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876D2D7-7C27-8E48-8F7F-8F42ABF27949}" xr6:coauthVersionLast="47" xr6:coauthVersionMax="47" xr10:uidLastSave="{00000000-0000-0000-0000-000000000000}"/>
  <bookViews>
    <workbookView xWindow="25040" yWindow="500" windowWidth="26160" windowHeight="2650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  <sheet name="Nedsideberegn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7" i="2" l="1"/>
  <c r="AJ7" i="2" s="1"/>
  <c r="AK7" i="2" s="1"/>
  <c r="AL7" i="2" s="1"/>
  <c r="AM7" i="2" s="1"/>
  <c r="AN7" i="2" s="1"/>
  <c r="AO7" i="2" s="1"/>
  <c r="AP7" i="2" s="1"/>
  <c r="AI8" i="2"/>
  <c r="AJ8" i="2" s="1"/>
  <c r="AK8" i="2" s="1"/>
  <c r="AL8" i="2" s="1"/>
  <c r="AM8" i="2" s="1"/>
  <c r="AN8" i="2" s="1"/>
  <c r="AO8" i="2" s="1"/>
  <c r="AP8" i="2" s="1"/>
  <c r="AI9" i="2"/>
  <c r="AJ9" i="2" s="1"/>
  <c r="AK9" i="2" s="1"/>
  <c r="AL9" i="2" s="1"/>
  <c r="AM9" i="2" s="1"/>
  <c r="AN9" i="2" s="1"/>
  <c r="AO9" i="2" s="1"/>
  <c r="AP9" i="2" s="1"/>
  <c r="AH8" i="2"/>
  <c r="AH9" i="2"/>
  <c r="AH7" i="2"/>
  <c r="AH5" i="2"/>
  <c r="AI5" i="2"/>
  <c r="AJ5" i="2"/>
  <c r="AK5" i="2"/>
  <c r="AL5" i="2"/>
  <c r="AM5" i="2"/>
  <c r="AN5" i="2"/>
  <c r="AO5" i="2"/>
  <c r="AP5" i="2"/>
  <c r="AG5" i="2"/>
  <c r="AG4" i="2"/>
  <c r="T74" i="2"/>
  <c r="T68" i="2"/>
  <c r="T64" i="2"/>
  <c r="T40" i="2"/>
  <c r="T51" i="2"/>
  <c r="T36" i="2"/>
  <c r="AA56" i="4"/>
  <c r="Z55" i="4"/>
  <c r="Y55" i="4"/>
  <c r="X55" i="4"/>
  <c r="W55" i="4"/>
  <c r="AA54" i="4"/>
  <c r="AA55" i="4" s="1"/>
  <c r="AA52" i="4"/>
  <c r="Z50" i="4"/>
  <c r="Y50" i="4"/>
  <c r="X50" i="4"/>
  <c r="X51" i="4" s="1"/>
  <c r="W50" i="4"/>
  <c r="W51" i="4" s="1"/>
  <c r="AA49" i="4"/>
  <c r="AA48" i="4"/>
  <c r="AA45" i="4"/>
  <c r="Z44" i="4"/>
  <c r="Y44" i="4"/>
  <c r="X44" i="4"/>
  <c r="W44" i="4"/>
  <c r="AA43" i="4"/>
  <c r="AA44" i="4" s="1"/>
  <c r="AA41" i="4"/>
  <c r="Z40" i="4"/>
  <c r="Z39" i="4"/>
  <c r="Y39" i="4"/>
  <c r="X39" i="4"/>
  <c r="X40" i="4" s="1"/>
  <c r="W39" i="4"/>
  <c r="W40" i="4" s="1"/>
  <c r="AA38" i="4"/>
  <c r="AA37" i="4"/>
  <c r="AA34" i="4"/>
  <c r="Z33" i="4"/>
  <c r="Y33" i="4"/>
  <c r="X33" i="4"/>
  <c r="W33" i="4"/>
  <c r="AA32" i="4"/>
  <c r="AA33" i="4" s="1"/>
  <c r="AA30" i="4"/>
  <c r="Z28" i="4"/>
  <c r="Y28" i="4"/>
  <c r="X28" i="4"/>
  <c r="X29" i="4" s="1"/>
  <c r="W28" i="4"/>
  <c r="W29" i="4" s="1"/>
  <c r="AA27" i="4"/>
  <c r="AA26" i="4"/>
  <c r="AA23" i="4"/>
  <c r="Z22" i="4"/>
  <c r="Y22" i="4"/>
  <c r="X22" i="4"/>
  <c r="W22" i="4"/>
  <c r="AA21" i="4"/>
  <c r="AA22" i="4" s="1"/>
  <c r="AA19" i="4"/>
  <c r="Z17" i="4"/>
  <c r="Y17" i="4"/>
  <c r="X17" i="4"/>
  <c r="X18" i="4" s="1"/>
  <c r="W17" i="4"/>
  <c r="W18" i="4" s="1"/>
  <c r="AA16" i="4"/>
  <c r="AA15" i="4"/>
  <c r="AA12" i="4"/>
  <c r="Z11" i="4"/>
  <c r="Y11" i="4"/>
  <c r="X11" i="4"/>
  <c r="W11" i="4"/>
  <c r="AA10" i="4"/>
  <c r="AA11" i="4" s="1"/>
  <c r="AA8" i="4"/>
  <c r="Z6" i="4"/>
  <c r="Z7" i="4" s="1"/>
  <c r="Y6" i="4"/>
  <c r="X6" i="4"/>
  <c r="X7" i="4" s="1"/>
  <c r="W6" i="4"/>
  <c r="W7" i="4" s="1"/>
  <c r="AA5" i="4"/>
  <c r="AA4" i="4"/>
  <c r="AA6" i="4" s="1"/>
  <c r="AA7" i="4" s="1"/>
  <c r="T6" i="2"/>
  <c r="T10" i="2" s="1"/>
  <c r="T12" i="2" s="1"/>
  <c r="T20" i="2"/>
  <c r="AC66" i="2"/>
  <c r="AB63" i="2"/>
  <c r="AC63" i="2"/>
  <c r="AC62" i="2"/>
  <c r="AF80" i="2"/>
  <c r="AF74" i="2"/>
  <c r="AF68" i="2"/>
  <c r="AF64" i="2"/>
  <c r="AF55" i="2"/>
  <c r="T78" i="2" l="1"/>
  <c r="T80" i="2"/>
  <c r="T52" i="2"/>
  <c r="AA50" i="4"/>
  <c r="AA51" i="4" s="1"/>
  <c r="AA39" i="4"/>
  <c r="AA40" i="4" s="1"/>
  <c r="AA28" i="4"/>
  <c r="AA29" i="4" s="1"/>
  <c r="AA17" i="4"/>
  <c r="AA18" i="4" s="1"/>
  <c r="AA20" i="4"/>
  <c r="AA13" i="4"/>
  <c r="AA53" i="4"/>
  <c r="Z51" i="4"/>
  <c r="AA46" i="4"/>
  <c r="AA42" i="4"/>
  <c r="AA31" i="4"/>
  <c r="Z29" i="4"/>
  <c r="Z18" i="4"/>
  <c r="Y7" i="4"/>
  <c r="AA9" i="4"/>
  <c r="AA57" i="4"/>
  <c r="Y18" i="4"/>
  <c r="Y29" i="4"/>
  <c r="Y40" i="4"/>
  <c r="Y51" i="4"/>
  <c r="T22" i="2"/>
  <c r="T14" i="2"/>
  <c r="T21" i="2"/>
  <c r="AF78" i="2"/>
  <c r="T16" i="2" l="1"/>
  <c r="T18" i="2" s="1"/>
  <c r="T55" i="2"/>
  <c r="AA35" i="4"/>
  <c r="AA24" i="4"/>
  <c r="AH13" i="2"/>
  <c r="AI13" i="2" s="1"/>
  <c r="AJ13" i="2" s="1"/>
  <c r="AK13" i="2" s="1"/>
  <c r="AL13" i="2" s="1"/>
  <c r="AM13" i="2" s="1"/>
  <c r="AN13" i="2" s="1"/>
  <c r="AO13" i="2" s="1"/>
  <c r="AP13" i="2" s="1"/>
  <c r="AG13" i="2"/>
  <c r="AG7" i="2"/>
  <c r="AH4" i="2"/>
  <c r="AI4" i="2"/>
  <c r="AJ4" i="2" s="1"/>
  <c r="AK4" i="2" s="1"/>
  <c r="AL4" i="2" s="1"/>
  <c r="AM4" i="2" s="1"/>
  <c r="AN4" i="2" s="1"/>
  <c r="AO4" i="2" s="1"/>
  <c r="AP4" i="2" s="1"/>
  <c r="AF23" i="2"/>
  <c r="B8" i="2"/>
  <c r="B7" i="2"/>
  <c r="S63" i="2"/>
  <c r="S74" i="2"/>
  <c r="S68" i="2"/>
  <c r="S64" i="2"/>
  <c r="S40" i="2"/>
  <c r="S51" i="2"/>
  <c r="S36" i="2"/>
  <c r="S6" i="2"/>
  <c r="S21" i="2" s="1"/>
  <c r="S20" i="2"/>
  <c r="R20" i="2"/>
  <c r="R74" i="2"/>
  <c r="R68" i="2"/>
  <c r="R63" i="2"/>
  <c r="R64" i="2" s="1"/>
  <c r="R80" i="2" s="1"/>
  <c r="R51" i="2"/>
  <c r="R40" i="2"/>
  <c r="R36" i="2"/>
  <c r="R6" i="2"/>
  <c r="R10" i="2" s="1"/>
  <c r="R12" i="2" s="1"/>
  <c r="T13" i="4"/>
  <c r="U24" i="4"/>
  <c r="V56" i="4"/>
  <c r="V54" i="4"/>
  <c r="V55" i="4" s="1"/>
  <c r="V52" i="4"/>
  <c r="V49" i="4"/>
  <c r="V48" i="4"/>
  <c r="V50" i="4" s="1"/>
  <c r="V51" i="4" s="1"/>
  <c r="Q56" i="4"/>
  <c r="Q57" i="4" s="1"/>
  <c r="Q54" i="4"/>
  <c r="Q55" i="4" s="1"/>
  <c r="Q52" i="4"/>
  <c r="Q53" i="4" s="1"/>
  <c r="Q50" i="4"/>
  <c r="Q51" i="4" s="1"/>
  <c r="Q49" i="4"/>
  <c r="Q48" i="4"/>
  <c r="L56" i="4"/>
  <c r="L57" i="4" s="1"/>
  <c r="L54" i="4"/>
  <c r="L55" i="4" s="1"/>
  <c r="L52" i="4"/>
  <c r="L53" i="4" s="1"/>
  <c r="L50" i="4"/>
  <c r="L51" i="4" s="1"/>
  <c r="L49" i="4"/>
  <c r="L48" i="4"/>
  <c r="G56" i="4"/>
  <c r="G54" i="4"/>
  <c r="G52" i="4"/>
  <c r="G49" i="4"/>
  <c r="G48" i="4"/>
  <c r="G50" i="4" s="1"/>
  <c r="V45" i="4"/>
  <c r="V43" i="4"/>
  <c r="V44" i="4" s="1"/>
  <c r="V41" i="4"/>
  <c r="V38" i="4"/>
  <c r="V37" i="4"/>
  <c r="V39" i="4" s="1"/>
  <c r="V40" i="4" s="1"/>
  <c r="Q45" i="4"/>
  <c r="Q46" i="4" s="1"/>
  <c r="Q43" i="4"/>
  <c r="Q44" i="4" s="1"/>
  <c r="Q41" i="4"/>
  <c r="Q42" i="4" s="1"/>
  <c r="Q39" i="4"/>
  <c r="Q40" i="4" s="1"/>
  <c r="Q38" i="4"/>
  <c r="Q37" i="4"/>
  <c r="L45" i="4"/>
  <c r="L46" i="4" s="1"/>
  <c r="L43" i="4"/>
  <c r="L44" i="4" s="1"/>
  <c r="L41" i="4"/>
  <c r="L42" i="4" s="1"/>
  <c r="L39" i="4"/>
  <c r="L40" i="4" s="1"/>
  <c r="L38" i="4"/>
  <c r="L37" i="4"/>
  <c r="G45" i="4"/>
  <c r="G43" i="4"/>
  <c r="G41" i="4"/>
  <c r="G38" i="4"/>
  <c r="G37" i="4"/>
  <c r="G39" i="4" s="1"/>
  <c r="G46" i="4" s="1"/>
  <c r="V34" i="4"/>
  <c r="V32" i="4"/>
  <c r="V33" i="4" s="1"/>
  <c r="V30" i="4"/>
  <c r="V27" i="4"/>
  <c r="V26" i="4"/>
  <c r="V28" i="4" s="1"/>
  <c r="V29" i="4" s="1"/>
  <c r="Q34" i="4"/>
  <c r="Q35" i="4" s="1"/>
  <c r="Q32" i="4"/>
  <c r="Q33" i="4" s="1"/>
  <c r="Q30" i="4"/>
  <c r="Q31" i="4" s="1"/>
  <c r="Q28" i="4"/>
  <c r="Q29" i="4" s="1"/>
  <c r="Q27" i="4"/>
  <c r="Q26" i="4"/>
  <c r="L34" i="4"/>
  <c r="L35" i="4" s="1"/>
  <c r="L32" i="4"/>
  <c r="L33" i="4" s="1"/>
  <c r="L30" i="4"/>
  <c r="L31" i="4" s="1"/>
  <c r="L28" i="4"/>
  <c r="L29" i="4" s="1"/>
  <c r="L27" i="4"/>
  <c r="L26" i="4"/>
  <c r="G34" i="4"/>
  <c r="G32" i="4"/>
  <c r="G30" i="4"/>
  <c r="G27" i="4"/>
  <c r="G26" i="4"/>
  <c r="G28" i="4" s="1"/>
  <c r="V23" i="4"/>
  <c r="V21" i="4"/>
  <c r="V22" i="4" s="1"/>
  <c r="V19" i="4"/>
  <c r="V16" i="4"/>
  <c r="V15" i="4"/>
  <c r="V17" i="4" s="1"/>
  <c r="V18" i="4" s="1"/>
  <c r="Q23" i="4"/>
  <c r="Q24" i="4" s="1"/>
  <c r="Q21" i="4"/>
  <c r="Q22" i="4" s="1"/>
  <c r="Q19" i="4"/>
  <c r="Q20" i="4" s="1"/>
  <c r="Q17" i="4"/>
  <c r="Q18" i="4" s="1"/>
  <c r="Q16" i="4"/>
  <c r="Q15" i="4"/>
  <c r="L23" i="4"/>
  <c r="L24" i="4" s="1"/>
  <c r="L22" i="4"/>
  <c r="L21" i="4"/>
  <c r="L19" i="4"/>
  <c r="L20" i="4" s="1"/>
  <c r="L17" i="4"/>
  <c r="L18" i="4" s="1"/>
  <c r="L16" i="4"/>
  <c r="L15" i="4"/>
  <c r="G23" i="4"/>
  <c r="G21" i="4"/>
  <c r="G19" i="4"/>
  <c r="G16" i="4"/>
  <c r="G15" i="4"/>
  <c r="G17" i="4" s="1"/>
  <c r="Q11" i="4"/>
  <c r="L11" i="4"/>
  <c r="V12" i="4"/>
  <c r="V10" i="4"/>
  <c r="V11" i="4" s="1"/>
  <c r="V8" i="4"/>
  <c r="V5" i="4"/>
  <c r="V4" i="4"/>
  <c r="Q12" i="4"/>
  <c r="Q10" i="4"/>
  <c r="Q8" i="4"/>
  <c r="Q5" i="4"/>
  <c r="Q4" i="4"/>
  <c r="L13" i="4"/>
  <c r="L7" i="4"/>
  <c r="L12" i="4"/>
  <c r="L10" i="4"/>
  <c r="L8" i="4"/>
  <c r="L5" i="4"/>
  <c r="L4" i="4"/>
  <c r="L6" i="4" s="1"/>
  <c r="G13" i="4"/>
  <c r="G12" i="4"/>
  <c r="G10" i="4"/>
  <c r="G9" i="4"/>
  <c r="G8" i="4"/>
  <c r="G6" i="4"/>
  <c r="G5" i="4"/>
  <c r="G4" i="4"/>
  <c r="E28" i="4"/>
  <c r="U28" i="4"/>
  <c r="U35" i="4" s="1"/>
  <c r="H55" i="4"/>
  <c r="C39" i="4"/>
  <c r="U55" i="4"/>
  <c r="T55" i="4"/>
  <c r="S55" i="4"/>
  <c r="R55" i="4"/>
  <c r="P55" i="4"/>
  <c r="O55" i="4"/>
  <c r="N55" i="4"/>
  <c r="M55" i="4"/>
  <c r="K55" i="4"/>
  <c r="J55" i="4"/>
  <c r="I55" i="4"/>
  <c r="U50" i="4"/>
  <c r="U57" i="4" s="1"/>
  <c r="T50" i="4"/>
  <c r="T57" i="4" s="1"/>
  <c r="S50" i="4"/>
  <c r="R50" i="4"/>
  <c r="P50" i="4"/>
  <c r="O50" i="4"/>
  <c r="N50" i="4"/>
  <c r="M50" i="4"/>
  <c r="K50" i="4"/>
  <c r="J50" i="4"/>
  <c r="I50" i="4"/>
  <c r="H50" i="4"/>
  <c r="F50" i="4"/>
  <c r="E50" i="4"/>
  <c r="D50" i="4"/>
  <c r="C50" i="4"/>
  <c r="R44" i="4"/>
  <c r="H44" i="4"/>
  <c r="I44" i="4"/>
  <c r="J44" i="4"/>
  <c r="K44" i="4"/>
  <c r="M44" i="4"/>
  <c r="N44" i="4"/>
  <c r="O44" i="4"/>
  <c r="P44" i="4"/>
  <c r="T44" i="4"/>
  <c r="U44" i="4"/>
  <c r="S44" i="4"/>
  <c r="U39" i="4"/>
  <c r="U46" i="4" s="1"/>
  <c r="T39" i="4"/>
  <c r="T46" i="4" s="1"/>
  <c r="S39" i="4"/>
  <c r="R39" i="4"/>
  <c r="P39" i="4"/>
  <c r="O39" i="4"/>
  <c r="N39" i="4"/>
  <c r="M39" i="4"/>
  <c r="K39" i="4"/>
  <c r="J39" i="4"/>
  <c r="J40" i="4" s="1"/>
  <c r="I39" i="4"/>
  <c r="H39" i="4"/>
  <c r="F39" i="4"/>
  <c r="E39" i="4"/>
  <c r="D39" i="4"/>
  <c r="U33" i="4"/>
  <c r="T33" i="4"/>
  <c r="S33" i="4"/>
  <c r="R33" i="4"/>
  <c r="P33" i="4"/>
  <c r="O33" i="4"/>
  <c r="N33" i="4"/>
  <c r="M33" i="4"/>
  <c r="K33" i="4"/>
  <c r="J33" i="4"/>
  <c r="I33" i="4"/>
  <c r="H33" i="4"/>
  <c r="T28" i="4"/>
  <c r="T35" i="4" s="1"/>
  <c r="S28" i="4"/>
  <c r="R28" i="4"/>
  <c r="P28" i="4"/>
  <c r="O28" i="4"/>
  <c r="N28" i="4"/>
  <c r="M28" i="4"/>
  <c r="K28" i="4"/>
  <c r="J28" i="4"/>
  <c r="I28" i="4"/>
  <c r="H28" i="4"/>
  <c r="F28" i="4"/>
  <c r="D28" i="4"/>
  <c r="C28" i="4"/>
  <c r="H22" i="4"/>
  <c r="I22" i="4"/>
  <c r="J22" i="4"/>
  <c r="K22" i="4"/>
  <c r="M22" i="4"/>
  <c r="N22" i="4"/>
  <c r="O22" i="4"/>
  <c r="P22" i="4"/>
  <c r="R22" i="4"/>
  <c r="T22" i="4"/>
  <c r="U22" i="4"/>
  <c r="C17" i="4"/>
  <c r="D17" i="4"/>
  <c r="E17" i="4"/>
  <c r="F17" i="4"/>
  <c r="H17" i="4"/>
  <c r="I17" i="4"/>
  <c r="J17" i="4"/>
  <c r="K17" i="4"/>
  <c r="M17" i="4"/>
  <c r="N17" i="4"/>
  <c r="O17" i="4"/>
  <c r="P17" i="4"/>
  <c r="P24" i="4" s="1"/>
  <c r="R17" i="4"/>
  <c r="T17" i="4"/>
  <c r="T24" i="4" s="1"/>
  <c r="U17" i="4"/>
  <c r="S22" i="4"/>
  <c r="S17" i="4"/>
  <c r="H11" i="4"/>
  <c r="I11" i="4"/>
  <c r="J11" i="4"/>
  <c r="K11" i="4"/>
  <c r="M11" i="4"/>
  <c r="N11" i="4"/>
  <c r="O11" i="4"/>
  <c r="P11" i="4"/>
  <c r="R11" i="4"/>
  <c r="T11" i="4"/>
  <c r="U11" i="4"/>
  <c r="C6" i="4"/>
  <c r="D6" i="4"/>
  <c r="E6" i="4"/>
  <c r="F6" i="4"/>
  <c r="H6" i="4"/>
  <c r="I6" i="4"/>
  <c r="J6" i="4"/>
  <c r="K6" i="4"/>
  <c r="M6" i="4"/>
  <c r="N6" i="4"/>
  <c r="O6" i="4"/>
  <c r="P6" i="4"/>
  <c r="R6" i="4"/>
  <c r="T6" i="4"/>
  <c r="T7" i="4" s="1"/>
  <c r="U6" i="4"/>
  <c r="S11" i="4"/>
  <c r="S6" i="4"/>
  <c r="Z74" i="2"/>
  <c r="AA74" i="2"/>
  <c r="Z68" i="2"/>
  <c r="AA68" i="2"/>
  <c r="AB68" i="2"/>
  <c r="AC68" i="2"/>
  <c r="AH11" i="2"/>
  <c r="AI11" i="2" s="1"/>
  <c r="AJ11" i="2" s="1"/>
  <c r="AK11" i="2" s="1"/>
  <c r="AL11" i="2" s="1"/>
  <c r="AM11" i="2" s="1"/>
  <c r="AN11" i="2" s="1"/>
  <c r="AO11" i="2" s="1"/>
  <c r="AP11" i="2" s="1"/>
  <c r="AG8" i="2"/>
  <c r="AG9" i="2"/>
  <c r="Q63" i="2"/>
  <c r="Q64" i="2" s="1"/>
  <c r="Q74" i="2"/>
  <c r="Q68" i="2"/>
  <c r="Q51" i="2"/>
  <c r="Q40" i="2"/>
  <c r="Q36" i="2"/>
  <c r="Q6" i="2"/>
  <c r="Q21" i="2" s="1"/>
  <c r="Q20" i="2"/>
  <c r="Q10" i="2" l="1"/>
  <c r="Q12" i="2" s="1"/>
  <c r="R52" i="2"/>
  <c r="R21" i="2"/>
  <c r="R14" i="2"/>
  <c r="R22" i="2"/>
  <c r="S52" i="2"/>
  <c r="R78" i="2"/>
  <c r="Q52" i="2"/>
  <c r="S78" i="2"/>
  <c r="S80" i="2"/>
  <c r="S10" i="2"/>
  <c r="S12" i="2" s="1"/>
  <c r="S22" i="2" s="1"/>
  <c r="T51" i="4"/>
  <c r="V57" i="4"/>
  <c r="V53" i="4"/>
  <c r="V35" i="4"/>
  <c r="V31" i="4"/>
  <c r="V20" i="4"/>
  <c r="V24" i="4"/>
  <c r="Q6" i="4"/>
  <c r="Q7" i="4" s="1"/>
  <c r="V6" i="4"/>
  <c r="V13" i="4" s="1"/>
  <c r="AG6" i="2"/>
  <c r="Q78" i="2"/>
  <c r="Q80" i="2"/>
  <c r="AF20" i="2"/>
  <c r="AF6" i="2"/>
  <c r="V46" i="4"/>
  <c r="V42" i="4"/>
  <c r="G53" i="4"/>
  <c r="G57" i="4"/>
  <c r="G42" i="4"/>
  <c r="G31" i="4"/>
  <c r="G35" i="4"/>
  <c r="G20" i="4"/>
  <c r="G24" i="4"/>
  <c r="Q13" i="4"/>
  <c r="L9" i="4"/>
  <c r="N40" i="4"/>
  <c r="U51" i="4"/>
  <c r="R40" i="4"/>
  <c r="S51" i="4"/>
  <c r="I40" i="4"/>
  <c r="S40" i="4"/>
  <c r="N51" i="4"/>
  <c r="H29" i="4"/>
  <c r="R29" i="4"/>
  <c r="R7" i="4"/>
  <c r="R18" i="4"/>
  <c r="H18" i="4"/>
  <c r="I29" i="4"/>
  <c r="S29" i="4"/>
  <c r="H40" i="4"/>
  <c r="J51" i="4"/>
  <c r="K51" i="4"/>
  <c r="K40" i="4"/>
  <c r="K18" i="4"/>
  <c r="H51" i="4"/>
  <c r="M51" i="4"/>
  <c r="H7" i="4"/>
  <c r="I51" i="4"/>
  <c r="O51" i="4"/>
  <c r="T40" i="4"/>
  <c r="O7" i="4"/>
  <c r="P51" i="4"/>
  <c r="U40" i="4"/>
  <c r="K24" i="4"/>
  <c r="U18" i="4"/>
  <c r="P7" i="4"/>
  <c r="R51" i="4"/>
  <c r="M40" i="4"/>
  <c r="S18" i="4"/>
  <c r="O40" i="4"/>
  <c r="P40" i="4"/>
  <c r="J18" i="4"/>
  <c r="J29" i="4"/>
  <c r="T29" i="4"/>
  <c r="T18" i="4"/>
  <c r="I18" i="4"/>
  <c r="K29" i="4"/>
  <c r="U29" i="4"/>
  <c r="M29" i="4"/>
  <c r="N29" i="4"/>
  <c r="M18" i="4"/>
  <c r="O29" i="4"/>
  <c r="O18" i="4"/>
  <c r="P29" i="4"/>
  <c r="I7" i="4"/>
  <c r="N18" i="4"/>
  <c r="N7" i="4"/>
  <c r="P18" i="4"/>
  <c r="S7" i="4"/>
  <c r="M7" i="4"/>
  <c r="K7" i="4"/>
  <c r="U7" i="4"/>
  <c r="J7" i="4"/>
  <c r="Q22" i="2"/>
  <c r="Q14" i="2"/>
  <c r="AG20" i="2"/>
  <c r="Z11" i="2"/>
  <c r="Z6" i="2"/>
  <c r="Z21" i="2" s="1"/>
  <c r="AA11" i="2"/>
  <c r="AA9" i="2"/>
  <c r="AA6" i="2"/>
  <c r="AA21" i="2" s="1"/>
  <c r="AB6" i="2"/>
  <c r="AB10" i="2" s="1"/>
  <c r="AB12" i="2" s="1"/>
  <c r="AC6" i="2"/>
  <c r="AC10" i="2" s="1"/>
  <c r="AC12" i="2" s="1"/>
  <c r="AD73" i="2"/>
  <c r="AD72" i="2"/>
  <c r="AD71" i="2"/>
  <c r="AD70" i="2"/>
  <c r="AE73" i="2"/>
  <c r="AE72" i="2"/>
  <c r="AE71" i="2"/>
  <c r="AE70" i="2"/>
  <c r="AD67" i="2"/>
  <c r="AD66" i="2"/>
  <c r="AE67" i="2"/>
  <c r="AE66" i="2"/>
  <c r="AD57" i="2"/>
  <c r="AD58" i="2"/>
  <c r="AD59" i="2"/>
  <c r="AD60" i="2"/>
  <c r="AD61" i="2"/>
  <c r="AD62" i="2"/>
  <c r="AD56" i="2"/>
  <c r="AE57" i="2"/>
  <c r="AE58" i="2"/>
  <c r="AE59" i="2"/>
  <c r="AE60" i="2"/>
  <c r="AE61" i="2"/>
  <c r="AE62" i="2"/>
  <c r="AE56" i="2"/>
  <c r="AC64" i="2"/>
  <c r="AB64" i="2"/>
  <c r="AA64" i="2"/>
  <c r="Z64" i="2"/>
  <c r="AD20" i="2"/>
  <c r="AC20" i="2"/>
  <c r="AB20" i="2"/>
  <c r="AA20" i="2"/>
  <c r="AD6" i="2"/>
  <c r="AD10" i="2" s="1"/>
  <c r="AD12" i="2" s="1"/>
  <c r="AD14" i="2" s="1"/>
  <c r="AD16" i="2" s="1"/>
  <c r="AE20" i="2"/>
  <c r="AE6" i="2"/>
  <c r="AE10" i="2" s="1"/>
  <c r="AE12" i="2" s="1"/>
  <c r="AE14" i="2" s="1"/>
  <c r="AE16" i="2" s="1"/>
  <c r="D63" i="2"/>
  <c r="D64" i="2" s="1"/>
  <c r="D80" i="2" s="1"/>
  <c r="H74" i="2"/>
  <c r="H63" i="2"/>
  <c r="H64" i="2" s="1"/>
  <c r="H80" i="2" s="1"/>
  <c r="I63" i="2"/>
  <c r="I64" i="2" s="1"/>
  <c r="I80" i="2" s="1"/>
  <c r="M63" i="2"/>
  <c r="M64" i="2" s="1"/>
  <c r="M80" i="2" s="1"/>
  <c r="J63" i="2"/>
  <c r="J64" i="2" s="1"/>
  <c r="J80" i="2" s="1"/>
  <c r="N63" i="2"/>
  <c r="N64" i="2" s="1"/>
  <c r="N80" i="2" s="1"/>
  <c r="K63" i="2"/>
  <c r="K64" i="2" s="1"/>
  <c r="K80" i="2" s="1"/>
  <c r="O63" i="2"/>
  <c r="O64" i="2" s="1"/>
  <c r="K40" i="2"/>
  <c r="L63" i="2"/>
  <c r="L64" i="2" s="1"/>
  <c r="L80" i="2" s="1"/>
  <c r="E64" i="2"/>
  <c r="F64" i="2"/>
  <c r="F80" i="2" s="1"/>
  <c r="G64" i="2"/>
  <c r="G80" i="2" s="1"/>
  <c r="D68" i="2"/>
  <c r="E68" i="2"/>
  <c r="F68" i="2"/>
  <c r="G68" i="2"/>
  <c r="H68" i="2"/>
  <c r="I68" i="2"/>
  <c r="J68" i="2"/>
  <c r="K68" i="2"/>
  <c r="L68" i="2"/>
  <c r="M68" i="2"/>
  <c r="N68" i="2"/>
  <c r="O68" i="2"/>
  <c r="D74" i="2"/>
  <c r="E74" i="2"/>
  <c r="F74" i="2"/>
  <c r="G74" i="2"/>
  <c r="I74" i="2"/>
  <c r="J74" i="2"/>
  <c r="K74" i="2"/>
  <c r="L74" i="2"/>
  <c r="M74" i="2"/>
  <c r="N74" i="2"/>
  <c r="O74" i="2"/>
  <c r="P74" i="2"/>
  <c r="P68" i="2"/>
  <c r="P63" i="2"/>
  <c r="P64" i="2" s="1"/>
  <c r="D36" i="2"/>
  <c r="E36" i="2"/>
  <c r="F36" i="2"/>
  <c r="G36" i="2"/>
  <c r="H36" i="2"/>
  <c r="I36" i="2"/>
  <c r="J36" i="2"/>
  <c r="K36" i="2"/>
  <c r="L36" i="2"/>
  <c r="M36" i="2"/>
  <c r="N36" i="2"/>
  <c r="O36" i="2"/>
  <c r="D40" i="2"/>
  <c r="E40" i="2"/>
  <c r="F40" i="2"/>
  <c r="G40" i="2"/>
  <c r="H40" i="2"/>
  <c r="I40" i="2"/>
  <c r="J40" i="2"/>
  <c r="L40" i="2"/>
  <c r="M40" i="2"/>
  <c r="N40" i="2"/>
  <c r="O40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P40" i="2"/>
  <c r="P36" i="2"/>
  <c r="AD18" i="2" l="1"/>
  <c r="AD23" i="2"/>
  <c r="R16" i="2"/>
  <c r="R18" i="2" s="1"/>
  <c r="R55" i="2"/>
  <c r="S14" i="2"/>
  <c r="V9" i="4"/>
  <c r="Q9" i="4"/>
  <c r="V7" i="4"/>
  <c r="AG10" i="2"/>
  <c r="AG12" i="2" s="1"/>
  <c r="AG21" i="2"/>
  <c r="AA78" i="2"/>
  <c r="AA80" i="2"/>
  <c r="Z78" i="2"/>
  <c r="Z80" i="2"/>
  <c r="AE18" i="2"/>
  <c r="AE23" i="2"/>
  <c r="AB78" i="2"/>
  <c r="AB80" i="2"/>
  <c r="AH20" i="2"/>
  <c r="AH6" i="2"/>
  <c r="AC78" i="2"/>
  <c r="AC80" i="2"/>
  <c r="Q16" i="2"/>
  <c r="Q18" i="2" s="1"/>
  <c r="Q55" i="2"/>
  <c r="AE68" i="2"/>
  <c r="AE74" i="2"/>
  <c r="AF10" i="2"/>
  <c r="AF12" i="2" s="1"/>
  <c r="AF21" i="2"/>
  <c r="O52" i="2"/>
  <c r="AD68" i="2"/>
  <c r="AE55" i="2"/>
  <c r="AE22" i="2"/>
  <c r="E78" i="2"/>
  <c r="AE21" i="2"/>
  <c r="G52" i="2"/>
  <c r="AD55" i="2"/>
  <c r="E80" i="2"/>
  <c r="N52" i="2"/>
  <c r="AB21" i="2"/>
  <c r="AB22" i="2"/>
  <c r="AB14" i="2"/>
  <c r="F52" i="2"/>
  <c r="P52" i="2"/>
  <c r="E52" i="2"/>
  <c r="G78" i="2"/>
  <c r="F78" i="2"/>
  <c r="AD21" i="2"/>
  <c r="AD22" i="2"/>
  <c r="AA10" i="2"/>
  <c r="AA12" i="2" s="1"/>
  <c r="AA14" i="2" s="1"/>
  <c r="AE63" i="2"/>
  <c r="AE64" i="2" s="1"/>
  <c r="AD63" i="2"/>
  <c r="AD64" i="2" s="1"/>
  <c r="AD74" i="2"/>
  <c r="Z10" i="2"/>
  <c r="Z12" i="2" s="1"/>
  <c r="AC22" i="2"/>
  <c r="AC14" i="2"/>
  <c r="AC21" i="2"/>
  <c r="P80" i="2"/>
  <c r="P78" i="2"/>
  <c r="L52" i="2"/>
  <c r="L78" i="2"/>
  <c r="D78" i="2"/>
  <c r="D52" i="2"/>
  <c r="M78" i="2"/>
  <c r="M52" i="2"/>
  <c r="N78" i="2"/>
  <c r="O78" i="2"/>
  <c r="O80" i="2"/>
  <c r="K78" i="2"/>
  <c r="J78" i="2"/>
  <c r="I78" i="2"/>
  <c r="H78" i="2"/>
  <c r="K52" i="2"/>
  <c r="J52" i="2"/>
  <c r="I52" i="2"/>
  <c r="H52" i="2"/>
  <c r="H20" i="2"/>
  <c r="I20" i="2"/>
  <c r="J20" i="2"/>
  <c r="K20" i="2"/>
  <c r="L20" i="2"/>
  <c r="M20" i="2"/>
  <c r="N20" i="2"/>
  <c r="O20" i="2"/>
  <c r="P20" i="2"/>
  <c r="D6" i="2"/>
  <c r="D10" i="2" s="1"/>
  <c r="D12" i="2" s="1"/>
  <c r="E6" i="2"/>
  <c r="E10" i="2" s="1"/>
  <c r="E12" i="2" s="1"/>
  <c r="F6" i="2"/>
  <c r="F21" i="2" s="1"/>
  <c r="G6" i="2"/>
  <c r="G21" i="2" s="1"/>
  <c r="H6" i="2"/>
  <c r="H10" i="2" s="1"/>
  <c r="H12" i="2" s="1"/>
  <c r="I6" i="2"/>
  <c r="I21" i="2" s="1"/>
  <c r="J6" i="2"/>
  <c r="J10" i="2" s="1"/>
  <c r="J12" i="2" s="1"/>
  <c r="K6" i="2"/>
  <c r="K21" i="2" s="1"/>
  <c r="L6" i="2"/>
  <c r="L10" i="2" s="1"/>
  <c r="L12" i="2" s="1"/>
  <c r="M6" i="2"/>
  <c r="M10" i="2" s="1"/>
  <c r="M12" i="2" s="1"/>
  <c r="N6" i="2"/>
  <c r="N10" i="2" s="1"/>
  <c r="N12" i="2" s="1"/>
  <c r="O6" i="2"/>
  <c r="O21" i="2" s="1"/>
  <c r="P6" i="2"/>
  <c r="P10" i="2" s="1"/>
  <c r="P12" i="2" s="1"/>
  <c r="B6" i="2"/>
  <c r="B9" i="2" s="1"/>
  <c r="S16" i="2" l="1"/>
  <c r="S18" i="2" s="1"/>
  <c r="S55" i="2"/>
  <c r="AH21" i="2"/>
  <c r="AH10" i="2"/>
  <c r="AH12" i="2" s="1"/>
  <c r="E5" i="3" s="1"/>
  <c r="AI6" i="2"/>
  <c r="AI20" i="2"/>
  <c r="AG22" i="2"/>
  <c r="AG14" i="2"/>
  <c r="AG15" i="2" s="1"/>
  <c r="AG16" i="2" s="1"/>
  <c r="AG18" i="2" s="1"/>
  <c r="D6" i="3" s="1"/>
  <c r="AF14" i="2"/>
  <c r="AF22" i="2"/>
  <c r="D5" i="3"/>
  <c r="P21" i="2"/>
  <c r="AD78" i="2"/>
  <c r="AD80" i="2"/>
  <c r="AA22" i="2"/>
  <c r="AB16" i="2"/>
  <c r="AB55" i="2"/>
  <c r="AE80" i="2"/>
  <c r="AE78" i="2"/>
  <c r="Z14" i="2"/>
  <c r="Z22" i="2"/>
  <c r="AA16" i="2"/>
  <c r="AA55" i="2"/>
  <c r="AC16" i="2"/>
  <c r="AC55" i="2"/>
  <c r="P22" i="2"/>
  <c r="P14" i="2"/>
  <c r="E22" i="2"/>
  <c r="E14" i="2"/>
  <c r="E21" i="2"/>
  <c r="F10" i="2"/>
  <c r="F12" i="2" s="1"/>
  <c r="G10" i="2"/>
  <c r="G12" i="2" s="1"/>
  <c r="G22" i="2" s="1"/>
  <c r="D14" i="2"/>
  <c r="D22" i="2"/>
  <c r="D21" i="2"/>
  <c r="H14" i="2"/>
  <c r="H22" i="2"/>
  <c r="H21" i="2"/>
  <c r="I10" i="2"/>
  <c r="I12" i="2" s="1"/>
  <c r="M22" i="2"/>
  <c r="M14" i="2"/>
  <c r="M21" i="2"/>
  <c r="J21" i="2"/>
  <c r="J14" i="2"/>
  <c r="J22" i="2"/>
  <c r="N22" i="2"/>
  <c r="N14" i="2"/>
  <c r="N21" i="2"/>
  <c r="K10" i="2"/>
  <c r="K12" i="2" s="1"/>
  <c r="O10" i="2"/>
  <c r="O12" i="2" s="1"/>
  <c r="O14" i="2" s="1"/>
  <c r="L21" i="2"/>
  <c r="L22" i="2"/>
  <c r="L14" i="2"/>
  <c r="AC18" i="2" l="1"/>
  <c r="AC23" i="2"/>
  <c r="AB18" i="2"/>
  <c r="AB23" i="2"/>
  <c r="AA18" i="2"/>
  <c r="AA23" i="2"/>
  <c r="AI10" i="2"/>
  <c r="AI12" i="2" s="1"/>
  <c r="F5" i="3" s="1"/>
  <c r="AI21" i="2"/>
  <c r="AH22" i="2"/>
  <c r="AH14" i="2"/>
  <c r="AH15" i="2" s="1"/>
  <c r="AH16" i="2" s="1"/>
  <c r="AH18" i="2" s="1"/>
  <c r="E6" i="3" s="1"/>
  <c r="AJ6" i="2"/>
  <c r="AJ20" i="2"/>
  <c r="AF16" i="2"/>
  <c r="AF18" i="2" s="1"/>
  <c r="Z55" i="2"/>
  <c r="Z16" i="2"/>
  <c r="P55" i="2"/>
  <c r="P16" i="2"/>
  <c r="P18" i="2" s="1"/>
  <c r="L16" i="2"/>
  <c r="L18" i="2" s="1"/>
  <c r="L55" i="2"/>
  <c r="E55" i="2"/>
  <c r="E16" i="2"/>
  <c r="E18" i="2" s="1"/>
  <c r="F22" i="2"/>
  <c r="F14" i="2"/>
  <c r="G14" i="2"/>
  <c r="G55" i="2" s="1"/>
  <c r="D55" i="2"/>
  <c r="D16" i="2"/>
  <c r="D18" i="2" s="1"/>
  <c r="H55" i="2"/>
  <c r="H16" i="2"/>
  <c r="H18" i="2" s="1"/>
  <c r="I22" i="2"/>
  <c r="I14" i="2"/>
  <c r="M55" i="2"/>
  <c r="M16" i="2"/>
  <c r="M18" i="2" s="1"/>
  <c r="J55" i="2"/>
  <c r="J16" i="2"/>
  <c r="J18" i="2" s="1"/>
  <c r="N55" i="2"/>
  <c r="N16" i="2"/>
  <c r="N18" i="2" s="1"/>
  <c r="K14" i="2"/>
  <c r="K22" i="2"/>
  <c r="O22" i="2"/>
  <c r="O55" i="2"/>
  <c r="O16" i="2"/>
  <c r="O18" i="2" s="1"/>
  <c r="Z18" i="2" l="1"/>
  <c r="Z23" i="2"/>
  <c r="AJ10" i="2"/>
  <c r="AJ12" i="2" s="1"/>
  <c r="AJ21" i="2"/>
  <c r="AK6" i="2"/>
  <c r="AK20" i="2"/>
  <c r="AI22" i="2"/>
  <c r="AI14" i="2"/>
  <c r="AI15" i="2" s="1"/>
  <c r="AI16" i="2" s="1"/>
  <c r="AI18" i="2" s="1"/>
  <c r="F6" i="3" s="1"/>
  <c r="F55" i="2"/>
  <c r="F16" i="2"/>
  <c r="F18" i="2" s="1"/>
  <c r="G16" i="2"/>
  <c r="G18" i="2" s="1"/>
  <c r="I55" i="2"/>
  <c r="I16" i="2"/>
  <c r="I18" i="2" s="1"/>
  <c r="K55" i="2"/>
  <c r="K16" i="2"/>
  <c r="K18" i="2" s="1"/>
  <c r="AK21" i="2" l="1"/>
  <c r="AK10" i="2"/>
  <c r="AK12" i="2" s="1"/>
  <c r="AL6" i="2"/>
  <c r="AL20" i="2"/>
  <c r="AJ22" i="2"/>
  <c r="AJ14" i="2"/>
  <c r="AJ15" i="2" s="1"/>
  <c r="AJ16" i="2" s="1"/>
  <c r="AJ18" i="2" s="1"/>
  <c r="AL10" i="2" l="1"/>
  <c r="AL12" i="2" s="1"/>
  <c r="AL21" i="2"/>
  <c r="AM6" i="2"/>
  <c r="AM20" i="2"/>
  <c r="AK14" i="2"/>
  <c r="AK15" i="2" s="1"/>
  <c r="AK16" i="2" s="1"/>
  <c r="AK18" i="2" s="1"/>
  <c r="AK22" i="2"/>
  <c r="AM10" i="2" l="1"/>
  <c r="AM12" i="2" s="1"/>
  <c r="AM21" i="2"/>
  <c r="AN6" i="2"/>
  <c r="AN20" i="2"/>
  <c r="AL14" i="2"/>
  <c r="AL15" i="2" s="1"/>
  <c r="AL16" i="2" s="1"/>
  <c r="AL18" i="2" s="1"/>
  <c r="AL22" i="2"/>
  <c r="AO20" i="2" l="1"/>
  <c r="AO6" i="2"/>
  <c r="AN21" i="2"/>
  <c r="AN10" i="2"/>
  <c r="AN12" i="2" s="1"/>
  <c r="AM14" i="2"/>
  <c r="AM15" i="2" s="1"/>
  <c r="AM16" i="2" s="1"/>
  <c r="AM22" i="2"/>
  <c r="AN14" i="2" l="1"/>
  <c r="AN15" i="2" s="1"/>
  <c r="AN16" i="2" s="1"/>
  <c r="AN18" i="2" s="1"/>
  <c r="AN22" i="2"/>
  <c r="AM18" i="2"/>
  <c r="AP20" i="2"/>
  <c r="AP6" i="2"/>
  <c r="AO21" i="2"/>
  <c r="AO10" i="2"/>
  <c r="AO12" i="2" s="1"/>
  <c r="AP10" i="2" l="1"/>
  <c r="AP12" i="2" s="1"/>
  <c r="AP21" i="2"/>
  <c r="AO22" i="2"/>
  <c r="AO14" i="2"/>
  <c r="AO15" i="2" s="1"/>
  <c r="AO16" i="2" s="1"/>
  <c r="AO18" i="2" l="1"/>
  <c r="AP22" i="2"/>
  <c r="AP14" i="2"/>
  <c r="AP15" i="2" s="1"/>
  <c r="AP16" i="2" s="1"/>
  <c r="AP18" i="2" l="1"/>
  <c r="AQ16" i="2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AS21" i="2" l="1"/>
  <c r="AS23" i="2" s="1"/>
  <c r="AS24" i="2" s="1"/>
</calcChain>
</file>

<file path=xl/sharedStrings.xml><?xml version="1.0" encoding="utf-8"?>
<sst xmlns="http://schemas.openxmlformats.org/spreadsheetml/2006/main" count="208" uniqueCount="140">
  <si>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</si>
  <si>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</si>
  <si>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</si>
  <si>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</si>
  <si>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</si>
  <si>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</si>
  <si>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</si>
  <si>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</si>
  <si>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</si>
  <si>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</si>
  <si>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</si>
  <si>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</si>
  <si>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</si>
  <si>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</si>
  <si>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</si>
  <si>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</si>
  <si>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</si>
  <si>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</si>
  <si>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</si>
  <si>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</si>
  <si>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</si>
  <si>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</si>
  <si>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</si>
  <si>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</si>
  <si>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</si>
  <si>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</si>
  <si>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</si>
  <si>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</si>
  <si>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</si>
  <si>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</si>
  <si>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Cash flow NOKm</t>
  </si>
  <si>
    <t>EBIT margin</t>
  </si>
  <si>
    <t>EV/EBIT</t>
  </si>
  <si>
    <t>P/E</t>
  </si>
  <si>
    <t>Balanse NOKm</t>
  </si>
  <si>
    <t>MC NOKm</t>
  </si>
  <si>
    <t>Cash NOKm</t>
  </si>
  <si>
    <t>Debt NOKm</t>
  </si>
  <si>
    <t>EV NOKm</t>
  </si>
  <si>
    <t>NOK million</t>
  </si>
  <si>
    <t>Q225</t>
  </si>
  <si>
    <t>FY 2019</t>
  </si>
  <si>
    <t>FY 2020</t>
  </si>
  <si>
    <t>FY 2021</t>
  </si>
  <si>
    <t>Q325</t>
  </si>
  <si>
    <t>Q425</t>
  </si>
  <si>
    <t>Q125</t>
  </si>
  <si>
    <t>Revenue</t>
  </si>
  <si>
    <t>COGS</t>
  </si>
  <si>
    <t>Gross profit</t>
  </si>
  <si>
    <t>Payroll and related costs</t>
  </si>
  <si>
    <t>Other opex</t>
  </si>
  <si>
    <t>Restructuring costs</t>
  </si>
  <si>
    <t>EBITDA</t>
  </si>
  <si>
    <t>D/A</t>
  </si>
  <si>
    <t>EBIT</t>
  </si>
  <si>
    <t>Net financial items</t>
  </si>
  <si>
    <t>PTP</t>
  </si>
  <si>
    <t>Tax</t>
  </si>
  <si>
    <t>Net income</t>
  </si>
  <si>
    <t>Share</t>
  </si>
  <si>
    <t>EPS</t>
  </si>
  <si>
    <t>Gross margin</t>
  </si>
  <si>
    <t>PP&amp;E</t>
  </si>
  <si>
    <t>Right-of-use assets</t>
  </si>
  <si>
    <t>Deferred tax assets</t>
  </si>
  <si>
    <t>Goodwill</t>
  </si>
  <si>
    <t>Other intangible assets</t>
  </si>
  <si>
    <t>Other long-term receivables</t>
  </si>
  <si>
    <t>Inventories</t>
  </si>
  <si>
    <t>Trade receivables</t>
  </si>
  <si>
    <t>Other receivables</t>
  </si>
  <si>
    <t>Cash</t>
  </si>
  <si>
    <t>Total assets</t>
  </si>
  <si>
    <t>Share capital and premium</t>
  </si>
  <si>
    <t>Other reserves</t>
  </si>
  <si>
    <t>Retained earnings</t>
  </si>
  <si>
    <t>Total Equity</t>
  </si>
  <si>
    <t>IB long-term liabilities</t>
  </si>
  <si>
    <t>Long-term leasing liabilites</t>
  </si>
  <si>
    <t>Other long-term liabilities</t>
  </si>
  <si>
    <t>Deferred tax liabilities</t>
  </si>
  <si>
    <t>Trade payables</t>
  </si>
  <si>
    <t>IB current liabilites</t>
  </si>
  <si>
    <t>Current leasing liabilites</t>
  </si>
  <si>
    <t>Tax payable</t>
  </si>
  <si>
    <t>Provisions</t>
  </si>
  <si>
    <t>Other current liabiliteis</t>
  </si>
  <si>
    <t>Total debt</t>
  </si>
  <si>
    <t>Total E/D</t>
  </si>
  <si>
    <t>Model PTP</t>
  </si>
  <si>
    <t>Reported PTP</t>
  </si>
  <si>
    <t>SBC</t>
  </si>
  <si>
    <t>Gains/losses on disposals</t>
  </si>
  <si>
    <t>Net interest expenses</t>
  </si>
  <si>
    <t>Taxes pid</t>
  </si>
  <si>
    <t>Net interest paid</t>
  </si>
  <si>
    <t>WC</t>
  </si>
  <si>
    <t>CFFO</t>
  </si>
  <si>
    <t>Capex</t>
  </si>
  <si>
    <t>Sale of PP&amp;E</t>
  </si>
  <si>
    <t>CFFI</t>
  </si>
  <si>
    <t>Dividends</t>
  </si>
  <si>
    <t>Proceeds/payments from treasury shares</t>
  </si>
  <si>
    <t>Payment of lease liabil</t>
  </si>
  <si>
    <t>Change in debt</t>
  </si>
  <si>
    <t>CFFF</t>
  </si>
  <si>
    <t>FX</t>
  </si>
  <si>
    <t>CIC</t>
  </si>
  <si>
    <t>FCF</t>
  </si>
  <si>
    <t>Discount</t>
  </si>
  <si>
    <t>TV</t>
  </si>
  <si>
    <t>NPV</t>
  </si>
  <si>
    <t>NPV/Share</t>
  </si>
  <si>
    <t>Opp/nedside</t>
  </si>
  <si>
    <t>Norway</t>
  </si>
  <si>
    <t>Product revenue</t>
  </si>
  <si>
    <t>Services revenue</t>
  </si>
  <si>
    <t>Total revenue</t>
  </si>
  <si>
    <t>Gross margin %</t>
  </si>
  <si>
    <t>OPEX</t>
  </si>
  <si>
    <t>EBIT margin %</t>
  </si>
  <si>
    <t>OPEX  y/y</t>
  </si>
  <si>
    <t>Sweden</t>
  </si>
  <si>
    <t>Denmark</t>
  </si>
  <si>
    <t>Finland</t>
  </si>
  <si>
    <t>Baltics</t>
  </si>
  <si>
    <t>Growth%</t>
  </si>
  <si>
    <t>ROE</t>
  </si>
  <si>
    <t>Q126</t>
  </si>
  <si>
    <t>Q226</t>
  </si>
  <si>
    <t>Q326</t>
  </si>
  <si>
    <t>Q426</t>
  </si>
  <si>
    <t>NOKm</t>
  </si>
  <si>
    <t>EBIT 26E</t>
  </si>
  <si>
    <t>Value</t>
  </si>
  <si>
    <t>NOK/share</t>
  </si>
  <si>
    <t>Norge</t>
  </si>
  <si>
    <t>Sverige</t>
  </si>
  <si>
    <t>Danmark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</si>
</sst>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66" fontId="1" fillId="0" borderId="0" xfId="0" applyNumberFormat="1" applyFont="1"/>
    <xf numFmtId="2" fontId="2" fillId="0" borderId="1" xfId="0" applyNumberFormat="1" applyFont="1" applyBorder="1"/>
    <xf numFmtId="166" fontId="1" fillId="0" borderId="1" xfId="0" applyNumberFormat="1" applyFont="1" applyBorder="1"/>
    <xf numFmtId="166" fontId="2" fillId="0" borderId="1" xfId="0" applyNumberFormat="1" applyFont="1" applyBorder="1"/>
    <xf numFmtId="3" fontId="8" fillId="0" borderId="0" xfId="0" applyNumberFormat="1" applyFont="1"/>
    <xf numFmtId="3" fontId="9" fillId="0" borderId="0" xfId="0" applyNumberFormat="1" applyFont="1"/>
    <xf numFmtId="10" fontId="2" fillId="0" borderId="0" xfId="0" applyNumberFormat="1" applyFont="1"/>
    <xf numFmtId="0" fontId="5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10" fontId="1" fillId="0" borderId="0" xfId="0" applyNumberFormat="1" applyFont="1"/>
    <xf numFmtId="165" fontId="6" fillId="0" borderId="2" xfId="0" applyNumberFormat="1" applyFont="1" applyBorder="1"/>
    <xf numFmtId="10" fontId="2" fillId="0" borderId="3" xfId="0" applyNumberFormat="1" applyFont="1" applyBorder="1"/>
    <xf numFmtId="0" fontId="8" fillId="0" borderId="0" xfId="0" applyFont="1"/>
    <xf numFmtId="0" fontId="9" fillId="0" borderId="0" xfId="0" applyFont="1"/>
    <xf numFmtId="10" fontId="9" fillId="0" borderId="0" xfId="0" applyNumberFormat="1" applyFont="1"/>
    <xf numFmtId="0" fontId="9" fillId="0" borderId="3" xfId="0" applyFont="1" applyBorder="1"/>
    <xf numFmtId="10" fontId="9" fillId="0" borderId="3" xfId="0" applyNumberFormat="1" applyFont="1" applyBorder="1"/>
    <xf numFmtId="10" fontId="4" fillId="0" borderId="0" xfId="0" applyNumberFormat="1" applyFont="1"/>
    <xf numFmtId="0" fontId="10" fillId="0" borderId="0" xfId="0" applyFont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10" fontId="3" fillId="0" borderId="5" xfId="0" applyNumberFormat="1" applyFont="1" applyBorder="1"/>
    <xf numFmtId="10" fontId="1" fillId="0" borderId="5" xfId="0" applyNumberFormat="1" applyFont="1" applyBorder="1"/>
    <xf numFmtId="0" fontId="3" fillId="0" borderId="5" xfId="0" applyFont="1" applyBorder="1"/>
    <xf numFmtId="10" fontId="1" fillId="0" borderId="4" xfId="0" applyNumberFormat="1" applyFont="1" applyBorder="1"/>
    <xf numFmtId="0" fontId="8" fillId="0" borderId="5" xfId="0" applyFont="1" applyBorder="1"/>
    <xf numFmtId="3" fontId="2" fillId="0" borderId="5" xfId="0" applyNumberFormat="1" applyFont="1" applyBorder="1"/>
    <xf numFmtId="3" fontId="1" fillId="0" borderId="5" xfId="0" applyNumberFormat="1" applyFont="1" applyBorder="1"/>
    <xf numFmtId="1" fontId="9" fillId="0" borderId="0" xfId="0" applyNumberFormat="1" applyFont="1"/>
    <xf numFmtId="1" fontId="1" fillId="0" borderId="5" xfId="0" applyNumberFormat="1" applyFont="1" applyBorder="1"/>
    <xf numFmtId="1" fontId="2" fillId="0" borderId="5" xfId="0" applyNumberFormat="1" applyFont="1" applyBorder="1"/>
    <xf numFmtId="1" fontId="1" fillId="0" borderId="0" xfId="0" applyNumberFormat="1" applyFont="1"/>
    <xf numFmtId="4" fontId="2" fillId="0" borderId="0" xfId="0" applyNumberFormat="1" applyFont="1"/>
    <xf numFmtId="0" fontId="12" fillId="0" borderId="0" xfId="0" applyFont="1"/>
    <xf numFmtId="0" fontId="11" fillId="0" borderId="2" xfId="0" applyFont="1" applyBorder="1"/>
    <xf numFmtId="0" fontId="12" fillId="0" borderId="2" xfId="0" applyFont="1" applyBorder="1"/>
    <xf numFmtId="3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72B342-1493-6647-A63E-720083A3E3C4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dc68414b-7307-49f9-8cbe-23a8660a0c3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8"/>
  <sheetViews>
    <sheetView showGridLines="0" workbookViewId="0">
      <selection activeCell="H17" sqref="H17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V80"/>
  <sheetViews>
    <sheetView showGridLines="0" tabSelected="1" workbookViewId="0">
      <pane xSplit="3" ySplit="3" topLeftCell="AE4" activePane="bottomRight" state="frozen"/>
      <selection pane="topRight" activeCell="D1" sqref="D1"/>
      <selection pane="bottomLeft" activeCell="A4" sqref="A4"/>
      <selection pane="bottomRight" activeCell="AP27" sqref="AP27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2.6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83203125" style="2" bestFit="1" customWidth="1"/>
    <col min="16" max="32" width="10.83203125" style="2"/>
    <col min="33" max="33" width="10.83203125" style="4"/>
    <col min="34" max="43" width="10.83203125" style="2"/>
    <col min="44" max="44" width="14.1640625" style="2" bestFit="1" customWidth="1"/>
    <col min="45" max="45" width="13.33203125" style="2" bestFit="1" customWidth="1"/>
    <col min="46" max="16384" width="10.83203125" style="2"/>
  </cols>
  <sheetData>
    <row r="1" spans="1:152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152" x14ac:dyDescent="0.25">
      <c r="A3" s="1" t="s">
        <v>0</v>
      </c>
      <c r="C3" s="2" t="s">
        <v>39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46</v>
      </c>
      <c r="Q3" s="7" t="s">
        <v>40</v>
      </c>
      <c r="R3" s="7" t="s">
        <v>44</v>
      </c>
      <c r="S3" s="7" t="s">
        <v>45</v>
      </c>
      <c r="T3" s="7" t="s">
        <v>129</v>
      </c>
      <c r="U3" s="7" t="s">
        <v>130</v>
      </c>
      <c r="V3" s="7" t="s">
        <v>131</v>
      </c>
      <c r="W3" s="7" t="s">
        <v>132</v>
      </c>
      <c r="Z3" s="7" t="s">
        <v>41</v>
      </c>
      <c r="AA3" s="7" t="s">
        <v>42</v>
      </c>
      <c r="AB3" s="7" t="s">
        <v>43</v>
      </c>
      <c r="AC3" s="7" t="s">
        <v>15</v>
      </c>
      <c r="AD3" s="7" t="s">
        <v>16</v>
      </c>
      <c r="AE3" s="7" t="s">
        <v>17</v>
      </c>
      <c r="AF3" s="7" t="s">
        <v>18</v>
      </c>
      <c r="AG3" s="1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152" x14ac:dyDescent="0.25">
      <c r="A4" s="2" t="s">
        <v>1</v>
      </c>
      <c r="B4" s="4">
        <v>161</v>
      </c>
      <c r="C4" s="1" t="s">
        <v>47</v>
      </c>
      <c r="D4" s="12">
        <v>6906</v>
      </c>
      <c r="E4" s="12">
        <v>7590</v>
      </c>
      <c r="F4" s="12">
        <v>8082</v>
      </c>
      <c r="G4" s="12">
        <v>9820</v>
      </c>
      <c r="H4" s="12">
        <v>8692</v>
      </c>
      <c r="I4" s="12">
        <v>8870</v>
      </c>
      <c r="J4" s="12">
        <v>7743</v>
      </c>
      <c r="K4" s="12">
        <v>9399</v>
      </c>
      <c r="L4" s="12">
        <v>7606</v>
      </c>
      <c r="M4" s="12">
        <v>8380</v>
      </c>
      <c r="N4" s="12">
        <v>7983</v>
      </c>
      <c r="O4" s="12">
        <v>10614</v>
      </c>
      <c r="P4" s="12">
        <v>8553</v>
      </c>
      <c r="Q4" s="12">
        <v>9139</v>
      </c>
      <c r="R4" s="12">
        <v>8433</v>
      </c>
      <c r="S4" s="12">
        <v>11252</v>
      </c>
      <c r="T4" s="12">
        <v>9654</v>
      </c>
      <c r="Z4" s="23">
        <v>36655</v>
      </c>
      <c r="AA4" s="23">
        <v>39503</v>
      </c>
      <c r="AB4" s="23">
        <v>28491</v>
      </c>
      <c r="AC4" s="12">
        <v>32397</v>
      </c>
      <c r="AD4" s="12">
        <v>34704</v>
      </c>
      <c r="AE4" s="12">
        <v>34583</v>
      </c>
      <c r="AF4" s="12">
        <v>37377</v>
      </c>
      <c r="AG4" s="13">
        <f>AF4*1.09</f>
        <v>40740.93</v>
      </c>
      <c r="AH4" s="12">
        <f t="shared" ref="AH4:AP4" si="0">AG4*1.06</f>
        <v>43185.385800000004</v>
      </c>
      <c r="AI4" s="12">
        <f t="shared" si="0"/>
        <v>45776.50894800001</v>
      </c>
      <c r="AJ4" s="12">
        <f t="shared" si="0"/>
        <v>48523.099484880011</v>
      </c>
      <c r="AK4" s="12">
        <f t="shared" si="0"/>
        <v>51434.485453972811</v>
      </c>
      <c r="AL4" s="12">
        <f t="shared" si="0"/>
        <v>54520.554581211181</v>
      </c>
      <c r="AM4" s="12">
        <f t="shared" si="0"/>
        <v>57791.787856083858</v>
      </c>
      <c r="AN4" s="12">
        <f t="shared" si="0"/>
        <v>61259.295127448895</v>
      </c>
      <c r="AO4" s="12">
        <f t="shared" si="0"/>
        <v>64934.85283509583</v>
      </c>
      <c r="AP4" s="12">
        <f t="shared" si="0"/>
        <v>68830.944005201585</v>
      </c>
    </row>
    <row r="5" spans="1:152" x14ac:dyDescent="0.25">
      <c r="A5" s="2" t="s">
        <v>2</v>
      </c>
      <c r="B5" s="5">
        <v>112.38409299999999</v>
      </c>
      <c r="C5" s="2" t="s">
        <v>48</v>
      </c>
      <c r="D5" s="14">
        <v>-4814</v>
      </c>
      <c r="E5" s="14">
        <v>-5378</v>
      </c>
      <c r="F5" s="14">
        <v>-6000</v>
      </c>
      <c r="G5" s="14">
        <v>-7202</v>
      </c>
      <c r="H5" s="14">
        <v>-6184</v>
      </c>
      <c r="I5" s="14">
        <v>-6214</v>
      </c>
      <c r="J5" s="14">
        <v>-5461</v>
      </c>
      <c r="K5" s="14">
        <v>-6595</v>
      </c>
      <c r="L5" s="14">
        <v>-5050</v>
      </c>
      <c r="M5" s="14">
        <v>-5738</v>
      </c>
      <c r="N5" s="14">
        <v>-5626</v>
      </c>
      <c r="O5" s="14">
        <v>-7771</v>
      </c>
      <c r="P5" s="14">
        <v>-5871</v>
      </c>
      <c r="Q5" s="14">
        <v>-6363</v>
      </c>
      <c r="R5" s="14">
        <v>-5919</v>
      </c>
      <c r="S5" s="14">
        <v>-8165</v>
      </c>
      <c r="T5" s="14">
        <v>-6811</v>
      </c>
      <c r="Z5" s="24">
        <v>-28897</v>
      </c>
      <c r="AA5" s="24">
        <v>-31266</v>
      </c>
      <c r="AB5" s="24">
        <v>-20045</v>
      </c>
      <c r="AC5" s="14">
        <v>-23395</v>
      </c>
      <c r="AD5" s="14">
        <v>-24455</v>
      </c>
      <c r="AE5" s="14">
        <v>-24186</v>
      </c>
      <c r="AF5" s="14">
        <v>-26318</v>
      </c>
      <c r="AG5" s="15">
        <f>AG4*-0.705</f>
        <v>-28722.355649999998</v>
      </c>
      <c r="AH5" s="57">
        <f t="shared" ref="AH5:AP5" si="1">AH4*-0.705</f>
        <v>-30445.696989</v>
      </c>
      <c r="AI5" s="57">
        <f t="shared" si="1"/>
        <v>-32272.438808340004</v>
      </c>
      <c r="AJ5" s="57">
        <f t="shared" si="1"/>
        <v>-34208.785136840408</v>
      </c>
      <c r="AK5" s="57">
        <f t="shared" si="1"/>
        <v>-36261.312245050831</v>
      </c>
      <c r="AL5" s="57">
        <f t="shared" si="1"/>
        <v>-38436.990979753878</v>
      </c>
      <c r="AM5" s="57">
        <f t="shared" si="1"/>
        <v>-40743.210438539121</v>
      </c>
      <c r="AN5" s="57">
        <f t="shared" si="1"/>
        <v>-43187.803064851469</v>
      </c>
      <c r="AO5" s="57">
        <f t="shared" si="1"/>
        <v>-45779.071248742555</v>
      </c>
      <c r="AP5" s="57">
        <f t="shared" si="1"/>
        <v>-48525.815523667115</v>
      </c>
    </row>
    <row r="6" spans="1:152" x14ac:dyDescent="0.25">
      <c r="A6" s="2" t="s">
        <v>35</v>
      </c>
      <c r="B6" s="5">
        <f>B4*B5</f>
        <v>18093.838972999998</v>
      </c>
      <c r="C6" s="2" t="s">
        <v>49</v>
      </c>
      <c r="D6" s="2">
        <f t="shared" ref="D6:O6" si="2">SUM(D4:D5)</f>
        <v>2092</v>
      </c>
      <c r="E6" s="2">
        <f t="shared" si="2"/>
        <v>2212</v>
      </c>
      <c r="F6" s="2">
        <f t="shared" si="2"/>
        <v>2082</v>
      </c>
      <c r="G6" s="2">
        <f t="shared" si="2"/>
        <v>2618</v>
      </c>
      <c r="H6" s="2">
        <f t="shared" si="2"/>
        <v>2508</v>
      </c>
      <c r="I6" s="2">
        <f t="shared" si="2"/>
        <v>2656</v>
      </c>
      <c r="J6" s="2">
        <f t="shared" si="2"/>
        <v>2282</v>
      </c>
      <c r="K6" s="2">
        <f t="shared" si="2"/>
        <v>2804</v>
      </c>
      <c r="L6" s="2">
        <f t="shared" si="2"/>
        <v>2556</v>
      </c>
      <c r="M6" s="2">
        <f t="shared" si="2"/>
        <v>2642</v>
      </c>
      <c r="N6" s="2">
        <f t="shared" si="2"/>
        <v>2357</v>
      </c>
      <c r="O6" s="2">
        <f t="shared" si="2"/>
        <v>2843</v>
      </c>
      <c r="P6" s="14">
        <f>SUM(P4:P5)</f>
        <v>2682</v>
      </c>
      <c r="Q6" s="14">
        <f>SUM(Q4:Q5)</f>
        <v>2776</v>
      </c>
      <c r="R6" s="14">
        <f>SUM(R4:R5)</f>
        <v>2514</v>
      </c>
      <c r="S6" s="14">
        <f>SUM(S4:S5)</f>
        <v>3087</v>
      </c>
      <c r="T6" s="14">
        <f>SUM(T4:T5)</f>
        <v>2843</v>
      </c>
      <c r="Z6" s="14">
        <f t="shared" ref="Z6:AE6" si="3">SUM(Z4:Z5)</f>
        <v>7758</v>
      </c>
      <c r="AA6" s="14">
        <f t="shared" si="3"/>
        <v>8237</v>
      </c>
      <c r="AB6" s="14">
        <f t="shared" si="3"/>
        <v>8446</v>
      </c>
      <c r="AC6" s="14">
        <f t="shared" si="3"/>
        <v>9002</v>
      </c>
      <c r="AD6" s="14">
        <f t="shared" si="3"/>
        <v>10249</v>
      </c>
      <c r="AE6" s="14">
        <f t="shared" si="3"/>
        <v>10397</v>
      </c>
      <c r="AF6" s="14">
        <f t="shared" ref="AF6" si="4">SUM(AF4:AF5)</f>
        <v>11059</v>
      </c>
      <c r="AG6" s="15">
        <f t="shared" ref="AG6" si="5">SUM(AG4:AG5)</f>
        <v>12018.574350000003</v>
      </c>
      <c r="AH6" s="14">
        <f t="shared" ref="AH6" si="6">SUM(AH4:AH5)</f>
        <v>12739.688811000004</v>
      </c>
      <c r="AI6" s="14">
        <f t="shared" ref="AI6" si="7">SUM(AI4:AI5)</f>
        <v>13504.070139660005</v>
      </c>
      <c r="AJ6" s="14">
        <f t="shared" ref="AJ6" si="8">SUM(AJ4:AJ5)</f>
        <v>14314.314348039603</v>
      </c>
      <c r="AK6" s="14">
        <f t="shared" ref="AK6" si="9">SUM(AK4:AK5)</f>
        <v>15173.17320892198</v>
      </c>
      <c r="AL6" s="14">
        <f t="shared" ref="AL6" si="10">SUM(AL4:AL5)</f>
        <v>16083.563601457303</v>
      </c>
      <c r="AM6" s="14">
        <f t="shared" ref="AM6" si="11">SUM(AM4:AM5)</f>
        <v>17048.577417544737</v>
      </c>
      <c r="AN6" s="14">
        <f t="shared" ref="AN6" si="12">SUM(AN4:AN5)</f>
        <v>18071.492062597426</v>
      </c>
      <c r="AO6" s="14">
        <f t="shared" ref="AO6" si="13">SUM(AO4:AO5)</f>
        <v>19155.781586353274</v>
      </c>
      <c r="AP6" s="14">
        <f t="shared" ref="AP6" si="14">SUM(AP4:AP5)</f>
        <v>20305.12848153447</v>
      </c>
    </row>
    <row r="7" spans="1:152" x14ac:dyDescent="0.25">
      <c r="A7" s="2" t="s">
        <v>36</v>
      </c>
      <c r="B7" s="5">
        <f>S35</f>
        <v>1594</v>
      </c>
      <c r="C7" s="2" t="s">
        <v>50</v>
      </c>
      <c r="D7" s="14">
        <v>-1613</v>
      </c>
      <c r="E7" s="14">
        <v>-1650</v>
      </c>
      <c r="F7" s="14">
        <v>-1477</v>
      </c>
      <c r="G7" s="14">
        <v>-1801</v>
      </c>
      <c r="H7" s="14">
        <v>-1870</v>
      </c>
      <c r="I7" s="14">
        <v>-1956</v>
      </c>
      <c r="J7" s="14">
        <v>-1598</v>
      </c>
      <c r="K7" s="14">
        <v>-1973</v>
      </c>
      <c r="L7" s="14">
        <v>-1919</v>
      </c>
      <c r="M7" s="14">
        <v>-2005</v>
      </c>
      <c r="N7" s="14">
        <v>-1662</v>
      </c>
      <c r="O7" s="14">
        <v>-2022</v>
      </c>
      <c r="P7" s="14">
        <v>-1994</v>
      </c>
      <c r="Q7" s="14">
        <v>-2071</v>
      </c>
      <c r="R7" s="14">
        <v>-1756</v>
      </c>
      <c r="S7" s="14">
        <v>-2142</v>
      </c>
      <c r="T7" s="14">
        <v>-2092</v>
      </c>
      <c r="Z7" s="24">
        <v>-5584</v>
      </c>
      <c r="AA7" s="24">
        <v>-5904</v>
      </c>
      <c r="AB7" s="24">
        <v>-6130</v>
      </c>
      <c r="AC7" s="14">
        <v>-6540</v>
      </c>
      <c r="AD7" s="14">
        <v>-7396</v>
      </c>
      <c r="AE7" s="14">
        <v>-7607</v>
      </c>
      <c r="AF7" s="14">
        <v>-7963</v>
      </c>
      <c r="AG7" s="15">
        <f>AF7*1.08</f>
        <v>-8600.0400000000009</v>
      </c>
      <c r="AH7" s="14">
        <f>AG7*1.05</f>
        <v>-9030.0420000000013</v>
      </c>
      <c r="AI7" s="14">
        <f t="shared" ref="AI7:AP7" si="15">AH7*1.05</f>
        <v>-9481.544100000001</v>
      </c>
      <c r="AJ7" s="14">
        <f t="shared" si="15"/>
        <v>-9955.6213050000006</v>
      </c>
      <c r="AK7" s="14">
        <f t="shared" si="15"/>
        <v>-10453.402370250002</v>
      </c>
      <c r="AL7" s="14">
        <f t="shared" si="15"/>
        <v>-10976.072488762502</v>
      </c>
      <c r="AM7" s="14">
        <f t="shared" si="15"/>
        <v>-11524.876113200628</v>
      </c>
      <c r="AN7" s="14">
        <f t="shared" si="15"/>
        <v>-12101.119918860659</v>
      </c>
      <c r="AO7" s="14">
        <f t="shared" si="15"/>
        <v>-12706.175914803693</v>
      </c>
      <c r="AP7" s="14">
        <f t="shared" si="15"/>
        <v>-13341.484710543878</v>
      </c>
    </row>
    <row r="8" spans="1:152" x14ac:dyDescent="0.25">
      <c r="A8" s="2" t="s">
        <v>37</v>
      </c>
      <c r="B8" s="5">
        <f>S41+S46</f>
        <v>592</v>
      </c>
      <c r="C8" s="2" t="s">
        <v>51</v>
      </c>
      <c r="D8" s="14">
        <v>-149</v>
      </c>
      <c r="E8" s="14">
        <v>-129</v>
      </c>
      <c r="F8" s="14">
        <v>-165</v>
      </c>
      <c r="G8" s="14">
        <v>-208</v>
      </c>
      <c r="H8" s="14">
        <v>-220</v>
      </c>
      <c r="I8" s="14">
        <v>-234</v>
      </c>
      <c r="J8" s="14">
        <v>-216</v>
      </c>
      <c r="K8" s="14">
        <v>-252</v>
      </c>
      <c r="L8" s="14">
        <v>-201</v>
      </c>
      <c r="M8" s="14">
        <v>-215</v>
      </c>
      <c r="N8" s="14">
        <v>-203</v>
      </c>
      <c r="O8" s="14">
        <v>-224</v>
      </c>
      <c r="P8" s="14">
        <v>-220</v>
      </c>
      <c r="Q8" s="14">
        <v>-242</v>
      </c>
      <c r="R8" s="14">
        <v>-213</v>
      </c>
      <c r="S8" s="14">
        <v>-256</v>
      </c>
      <c r="T8" s="14">
        <v>-233</v>
      </c>
      <c r="Z8" s="24">
        <v>-766</v>
      </c>
      <c r="AA8" s="24">
        <v>-745</v>
      </c>
      <c r="AB8" s="24">
        <v>-656</v>
      </c>
      <c r="AC8" s="14">
        <v>-651</v>
      </c>
      <c r="AD8" s="14">
        <v>-921</v>
      </c>
      <c r="AE8" s="14">
        <v>-843</v>
      </c>
      <c r="AF8" s="14">
        <v>-931</v>
      </c>
      <c r="AG8" s="15">
        <f t="shared" ref="AG8:AH9" si="16">AF8*1.085</f>
        <v>-1010.135</v>
      </c>
      <c r="AH8" s="14">
        <f t="shared" ref="AH8:AP9" si="17">AG8*1.05</f>
        <v>-1060.64175</v>
      </c>
      <c r="AI8" s="14">
        <f t="shared" si="17"/>
        <v>-1113.6738375</v>
      </c>
      <c r="AJ8" s="14">
        <f t="shared" si="17"/>
        <v>-1169.357529375</v>
      </c>
      <c r="AK8" s="14">
        <f t="shared" si="17"/>
        <v>-1227.8254058437501</v>
      </c>
      <c r="AL8" s="14">
        <f t="shared" si="17"/>
        <v>-1289.2166761359376</v>
      </c>
      <c r="AM8" s="14">
        <f t="shared" si="17"/>
        <v>-1353.6775099427346</v>
      </c>
      <c r="AN8" s="14">
        <f t="shared" si="17"/>
        <v>-1421.3613854398714</v>
      </c>
      <c r="AO8" s="14">
        <f t="shared" si="17"/>
        <v>-1492.429454711865</v>
      </c>
      <c r="AP8" s="14">
        <f t="shared" si="17"/>
        <v>-1567.0509274474582</v>
      </c>
    </row>
    <row r="9" spans="1:152" x14ac:dyDescent="0.25">
      <c r="A9" s="3" t="s">
        <v>38</v>
      </c>
      <c r="B9" s="6">
        <f>B6-B7+B8</f>
        <v>17091.838972999998</v>
      </c>
      <c r="C9" s="2" t="s">
        <v>52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-39</v>
      </c>
      <c r="P9" s="14">
        <v>0</v>
      </c>
      <c r="Q9" s="14">
        <v>0</v>
      </c>
      <c r="R9" s="14">
        <v>0</v>
      </c>
      <c r="S9" s="14">
        <v>-8</v>
      </c>
      <c r="T9" s="14">
        <v>0</v>
      </c>
      <c r="Z9" s="24">
        <v>-73</v>
      </c>
      <c r="AA9" s="24">
        <f>-37-53</f>
        <v>-90</v>
      </c>
      <c r="AB9" s="24">
        <v>0</v>
      </c>
      <c r="AC9" s="14">
        <v>0</v>
      </c>
      <c r="AD9" s="14">
        <v>0</v>
      </c>
      <c r="AE9" s="14">
        <v>-39</v>
      </c>
      <c r="AF9" s="14">
        <v>-8</v>
      </c>
      <c r="AG9" s="15">
        <f t="shared" si="16"/>
        <v>-8.68</v>
      </c>
      <c r="AH9" s="14">
        <f t="shared" si="17"/>
        <v>-9.1140000000000008</v>
      </c>
      <c r="AI9" s="14">
        <f t="shared" si="17"/>
        <v>-9.569700000000001</v>
      </c>
      <c r="AJ9" s="14">
        <f t="shared" si="17"/>
        <v>-10.048185000000002</v>
      </c>
      <c r="AK9" s="14">
        <f t="shared" si="17"/>
        <v>-10.550594250000003</v>
      </c>
      <c r="AL9" s="14">
        <f t="shared" si="17"/>
        <v>-11.078123962500003</v>
      </c>
      <c r="AM9" s="14">
        <f t="shared" si="17"/>
        <v>-11.632030160625003</v>
      </c>
      <c r="AN9" s="14">
        <f t="shared" si="17"/>
        <v>-12.213631668656253</v>
      </c>
      <c r="AO9" s="14">
        <f t="shared" si="17"/>
        <v>-12.824313252089066</v>
      </c>
      <c r="AP9" s="14">
        <f t="shared" si="17"/>
        <v>-13.46552891469352</v>
      </c>
    </row>
    <row r="10" spans="1:152" x14ac:dyDescent="0.25">
      <c r="C10" s="1" t="s">
        <v>53</v>
      </c>
      <c r="D10" s="1">
        <f t="shared" ref="D10:O10" si="18">SUM(D6:D9)</f>
        <v>330</v>
      </c>
      <c r="E10" s="1">
        <f t="shared" si="18"/>
        <v>433</v>
      </c>
      <c r="F10" s="1">
        <f t="shared" si="18"/>
        <v>440</v>
      </c>
      <c r="G10" s="1">
        <f t="shared" si="18"/>
        <v>609</v>
      </c>
      <c r="H10" s="1">
        <f t="shared" si="18"/>
        <v>418</v>
      </c>
      <c r="I10" s="1">
        <f t="shared" si="18"/>
        <v>466</v>
      </c>
      <c r="J10" s="1">
        <f t="shared" si="18"/>
        <v>468</v>
      </c>
      <c r="K10" s="1">
        <f t="shared" si="18"/>
        <v>579</v>
      </c>
      <c r="L10" s="1">
        <f t="shared" si="18"/>
        <v>436</v>
      </c>
      <c r="M10" s="1">
        <f t="shared" si="18"/>
        <v>422</v>
      </c>
      <c r="N10" s="1">
        <f t="shared" si="18"/>
        <v>492</v>
      </c>
      <c r="O10" s="1">
        <f t="shared" si="18"/>
        <v>558</v>
      </c>
      <c r="P10" s="12">
        <f>SUM(P6:P9)</f>
        <v>468</v>
      </c>
      <c r="Q10" s="12">
        <f>SUM(Q6:Q9)</f>
        <v>463</v>
      </c>
      <c r="R10" s="12">
        <f>SUM(R6:R9)</f>
        <v>545</v>
      </c>
      <c r="S10" s="12">
        <f>SUM(S6:S9)</f>
        <v>681</v>
      </c>
      <c r="T10" s="12">
        <f>SUM(T6:T9)</f>
        <v>518</v>
      </c>
      <c r="Z10" s="12">
        <f t="shared" ref="Z10:AE10" si="19">SUM(Z6:Z9)</f>
        <v>1335</v>
      </c>
      <c r="AA10" s="12">
        <f t="shared" si="19"/>
        <v>1498</v>
      </c>
      <c r="AB10" s="12">
        <f t="shared" si="19"/>
        <v>1660</v>
      </c>
      <c r="AC10" s="12">
        <f t="shared" si="19"/>
        <v>1811</v>
      </c>
      <c r="AD10" s="12">
        <f t="shared" si="19"/>
        <v>1932</v>
      </c>
      <c r="AE10" s="12">
        <f t="shared" si="19"/>
        <v>1908</v>
      </c>
      <c r="AF10" s="12">
        <f t="shared" ref="AF10" si="20">SUM(AF6:AF9)</f>
        <v>2157</v>
      </c>
      <c r="AG10" s="13">
        <f t="shared" ref="AG10" si="21">SUM(AG6:AG9)</f>
        <v>2399.7193500000017</v>
      </c>
      <c r="AH10" s="12">
        <f t="shared" ref="AH10" si="22">SUM(AH6:AH9)</f>
        <v>2639.8910610000025</v>
      </c>
      <c r="AI10" s="12">
        <f t="shared" ref="AI10" si="23">SUM(AI6:AI9)</f>
        <v>2899.2825021600042</v>
      </c>
      <c r="AJ10" s="12">
        <f t="shared" ref="AJ10" si="24">SUM(AJ6:AJ9)</f>
        <v>3179.2873286646022</v>
      </c>
      <c r="AK10" s="12">
        <f t="shared" ref="AK10" si="25">SUM(AK6:AK9)</f>
        <v>3481.3948385782287</v>
      </c>
      <c r="AL10" s="12">
        <f t="shared" ref="AL10" si="26">SUM(AL6:AL9)</f>
        <v>3807.1963125963634</v>
      </c>
      <c r="AM10" s="12">
        <f t="shared" ref="AM10" si="27">SUM(AM6:AM9)</f>
        <v>4158.3917642407505</v>
      </c>
      <c r="AN10" s="12">
        <f t="shared" ref="AN10" si="28">SUM(AN6:AN9)</f>
        <v>4536.7971266282393</v>
      </c>
      <c r="AO10" s="12">
        <f t="shared" ref="AO10" si="29">SUM(AO6:AO9)</f>
        <v>4944.351903585627</v>
      </c>
      <c r="AP10" s="12">
        <f t="shared" ref="AP10" si="30">SUM(AP6:AP9)</f>
        <v>5383.1273146284402</v>
      </c>
    </row>
    <row r="11" spans="1:152" x14ac:dyDescent="0.25">
      <c r="C11" s="2" t="s">
        <v>54</v>
      </c>
      <c r="D11" s="14">
        <v>-147</v>
      </c>
      <c r="E11" s="14">
        <v>-152</v>
      </c>
      <c r="F11" s="14">
        <v>-156</v>
      </c>
      <c r="G11" s="14">
        <v>-160</v>
      </c>
      <c r="H11" s="14">
        <v>-168</v>
      </c>
      <c r="I11" s="14">
        <v>-175</v>
      </c>
      <c r="J11" s="14">
        <v>-170</v>
      </c>
      <c r="K11" s="14">
        <v>-175</v>
      </c>
      <c r="L11" s="14">
        <v>-180</v>
      </c>
      <c r="M11" s="14">
        <v>-179</v>
      </c>
      <c r="N11" s="14">
        <v>-185</v>
      </c>
      <c r="O11" s="14">
        <v>-192</v>
      </c>
      <c r="P11" s="14">
        <v>-188</v>
      </c>
      <c r="Q11" s="14">
        <v>-194</v>
      </c>
      <c r="R11" s="14">
        <v>-197</v>
      </c>
      <c r="S11" s="14">
        <v>-200</v>
      </c>
      <c r="T11" s="14">
        <v>-194</v>
      </c>
      <c r="Z11" s="24">
        <f>-584-5</f>
        <v>-589</v>
      </c>
      <c r="AA11" s="24">
        <f>-638-5</f>
        <v>-643</v>
      </c>
      <c r="AB11" s="24">
        <v>-614</v>
      </c>
      <c r="AC11" s="14">
        <v>-615</v>
      </c>
      <c r="AD11" s="14">
        <v>-688</v>
      </c>
      <c r="AE11" s="14">
        <v>-736</v>
      </c>
      <c r="AF11" s="14">
        <v>-779</v>
      </c>
      <c r="AG11" s="15">
        <v>-800</v>
      </c>
      <c r="AH11" s="14">
        <f t="shared" ref="AH8:AP11" si="31">AG11*1.075</f>
        <v>-860</v>
      </c>
      <c r="AI11" s="14">
        <f t="shared" si="31"/>
        <v>-924.5</v>
      </c>
      <c r="AJ11" s="14">
        <f t="shared" si="31"/>
        <v>-993.83749999999998</v>
      </c>
      <c r="AK11" s="14">
        <f t="shared" si="31"/>
        <v>-1068.3753124999998</v>
      </c>
      <c r="AL11" s="14">
        <f t="shared" si="31"/>
        <v>-1148.5034609374998</v>
      </c>
      <c r="AM11" s="14">
        <f t="shared" si="31"/>
        <v>-1234.6412205078122</v>
      </c>
      <c r="AN11" s="14">
        <f t="shared" si="31"/>
        <v>-1327.239312045898</v>
      </c>
      <c r="AO11" s="14">
        <f t="shared" si="31"/>
        <v>-1426.7822604493404</v>
      </c>
      <c r="AP11" s="14">
        <f t="shared" si="31"/>
        <v>-1533.7909299830408</v>
      </c>
    </row>
    <row r="12" spans="1:152" x14ac:dyDescent="0.25">
      <c r="C12" s="1" t="s">
        <v>55</v>
      </c>
      <c r="D12" s="1">
        <f t="shared" ref="D12:O12" si="32">SUM(D10:D11)</f>
        <v>183</v>
      </c>
      <c r="E12" s="1">
        <f t="shared" si="32"/>
        <v>281</v>
      </c>
      <c r="F12" s="1">
        <f t="shared" si="32"/>
        <v>284</v>
      </c>
      <c r="G12" s="1">
        <f t="shared" si="32"/>
        <v>449</v>
      </c>
      <c r="H12" s="1">
        <f t="shared" si="32"/>
        <v>250</v>
      </c>
      <c r="I12" s="1">
        <f t="shared" si="32"/>
        <v>291</v>
      </c>
      <c r="J12" s="1">
        <f t="shared" si="32"/>
        <v>298</v>
      </c>
      <c r="K12" s="1">
        <f t="shared" si="32"/>
        <v>404</v>
      </c>
      <c r="L12" s="1">
        <f t="shared" si="32"/>
        <v>256</v>
      </c>
      <c r="M12" s="1">
        <f t="shared" si="32"/>
        <v>243</v>
      </c>
      <c r="N12" s="1">
        <f t="shared" si="32"/>
        <v>307</v>
      </c>
      <c r="O12" s="1">
        <f t="shared" si="32"/>
        <v>366</v>
      </c>
      <c r="P12" s="12">
        <f>SUM(P10:P11)</f>
        <v>280</v>
      </c>
      <c r="Q12" s="12">
        <f>SUM(Q10:Q11)</f>
        <v>269</v>
      </c>
      <c r="R12" s="12">
        <f>SUM(R10:R11)</f>
        <v>348</v>
      </c>
      <c r="S12" s="12">
        <f>SUM(S10:S11)</f>
        <v>481</v>
      </c>
      <c r="T12" s="12">
        <f>SUM(T10:T11)</f>
        <v>324</v>
      </c>
      <c r="U12" s="14"/>
      <c r="Z12" s="12">
        <f t="shared" ref="Z12:AE12" si="33">SUM(Z10:Z11)</f>
        <v>746</v>
      </c>
      <c r="AA12" s="12">
        <f t="shared" si="33"/>
        <v>855</v>
      </c>
      <c r="AB12" s="12">
        <f t="shared" si="33"/>
        <v>1046</v>
      </c>
      <c r="AC12" s="12">
        <f t="shared" si="33"/>
        <v>1196</v>
      </c>
      <c r="AD12" s="12">
        <f t="shared" si="33"/>
        <v>1244</v>
      </c>
      <c r="AE12" s="12">
        <f t="shared" si="33"/>
        <v>1172</v>
      </c>
      <c r="AF12" s="12">
        <f t="shared" ref="AF12" si="34">SUM(AF10:AF11)</f>
        <v>1378</v>
      </c>
      <c r="AG12" s="13">
        <f t="shared" ref="AG12" si="35">SUM(AG10:AG11)</f>
        <v>1599.7193500000017</v>
      </c>
      <c r="AH12" s="12">
        <f t="shared" ref="AH12" si="36">SUM(AH10:AH11)</f>
        <v>1779.8910610000025</v>
      </c>
      <c r="AI12" s="12">
        <f t="shared" ref="AI12" si="37">SUM(AI10:AI11)</f>
        <v>1974.7825021600042</v>
      </c>
      <c r="AJ12" s="12">
        <f t="shared" ref="AJ12" si="38">SUM(AJ10:AJ11)</f>
        <v>2185.4498286646021</v>
      </c>
      <c r="AK12" s="12">
        <f t="shared" ref="AK12" si="39">SUM(AK10:AK11)</f>
        <v>2413.0195260782289</v>
      </c>
      <c r="AL12" s="12">
        <f t="shared" ref="AL12" si="40">SUM(AL10:AL11)</f>
        <v>2658.6928516588637</v>
      </c>
      <c r="AM12" s="12">
        <f t="shared" ref="AM12" si="41">SUM(AM10:AM11)</f>
        <v>2923.7505437329382</v>
      </c>
      <c r="AN12" s="12">
        <f t="shared" ref="AN12" si="42">SUM(AN10:AN11)</f>
        <v>3209.5578145823411</v>
      </c>
      <c r="AO12" s="12">
        <f t="shared" ref="AO12" si="43">SUM(AO10:AO11)</f>
        <v>3517.5696431362867</v>
      </c>
      <c r="AP12" s="12">
        <f t="shared" ref="AP12" si="44">SUM(AP10:AP11)</f>
        <v>3849.3363846453994</v>
      </c>
    </row>
    <row r="13" spans="1:152" x14ac:dyDescent="0.25">
      <c r="C13" s="2" t="s">
        <v>56</v>
      </c>
      <c r="D13" s="14">
        <v>-19</v>
      </c>
      <c r="E13" s="14">
        <v>1</v>
      </c>
      <c r="F13" s="14">
        <v>-36</v>
      </c>
      <c r="G13" s="14">
        <v>-58</v>
      </c>
      <c r="H13" s="14">
        <v>-26</v>
      </c>
      <c r="I13" s="14">
        <v>-42</v>
      </c>
      <c r="J13" s="14">
        <v>-61</v>
      </c>
      <c r="K13" s="14">
        <v>-94</v>
      </c>
      <c r="L13" s="14">
        <v>-10</v>
      </c>
      <c r="M13" s="14">
        <v>-65</v>
      </c>
      <c r="N13" s="14">
        <v>-57</v>
      </c>
      <c r="O13" s="14">
        <v>-37</v>
      </c>
      <c r="P13" s="14">
        <v>-72</v>
      </c>
      <c r="Q13" s="14">
        <v>-66</v>
      </c>
      <c r="R13" s="14">
        <v>-56</v>
      </c>
      <c r="S13" s="14">
        <v>-43</v>
      </c>
      <c r="T13" s="14">
        <v>-16</v>
      </c>
      <c r="Z13" s="14">
        <v>-90</v>
      </c>
      <c r="AA13" s="14">
        <v>-105</v>
      </c>
      <c r="AB13" s="14">
        <v>-104</v>
      </c>
      <c r="AC13" s="14">
        <v>-112</v>
      </c>
      <c r="AD13" s="14">
        <v>-223</v>
      </c>
      <c r="AE13" s="14">
        <v>-170</v>
      </c>
      <c r="AF13" s="14">
        <v>-237</v>
      </c>
      <c r="AG13" s="15">
        <f>AF13*1.03</f>
        <v>-244.11</v>
      </c>
      <c r="AH13" s="14">
        <f t="shared" ref="AH13:AP13" si="45">AG13*1.03</f>
        <v>-251.43330000000003</v>
      </c>
      <c r="AI13" s="14">
        <f t="shared" si="45"/>
        <v>-258.97629900000004</v>
      </c>
      <c r="AJ13" s="14">
        <f t="shared" si="45"/>
        <v>-266.74558797000003</v>
      </c>
      <c r="AK13" s="14">
        <f t="shared" si="45"/>
        <v>-274.74795560910002</v>
      </c>
      <c r="AL13" s="14">
        <f t="shared" si="45"/>
        <v>-282.99039427737301</v>
      </c>
      <c r="AM13" s="14">
        <f t="shared" si="45"/>
        <v>-291.48010610569423</v>
      </c>
      <c r="AN13" s="14">
        <f t="shared" si="45"/>
        <v>-300.22450928886508</v>
      </c>
      <c r="AO13" s="14">
        <f t="shared" si="45"/>
        <v>-309.23124456753106</v>
      </c>
      <c r="AP13" s="14">
        <f t="shared" si="45"/>
        <v>-318.50818190455698</v>
      </c>
    </row>
    <row r="14" spans="1:152" x14ac:dyDescent="0.25">
      <c r="C14" s="2" t="s">
        <v>57</v>
      </c>
      <c r="D14" s="2">
        <f t="shared" ref="D14:O14" si="46">SUM(D12:D13)</f>
        <v>164</v>
      </c>
      <c r="E14" s="2">
        <f t="shared" si="46"/>
        <v>282</v>
      </c>
      <c r="F14" s="2">
        <f t="shared" si="46"/>
        <v>248</v>
      </c>
      <c r="G14" s="2">
        <f t="shared" si="46"/>
        <v>391</v>
      </c>
      <c r="H14" s="2">
        <f t="shared" si="46"/>
        <v>224</v>
      </c>
      <c r="I14" s="2">
        <f t="shared" si="46"/>
        <v>249</v>
      </c>
      <c r="J14" s="2">
        <f t="shared" si="46"/>
        <v>237</v>
      </c>
      <c r="K14" s="2">
        <f t="shared" si="46"/>
        <v>310</v>
      </c>
      <c r="L14" s="2">
        <f t="shared" si="46"/>
        <v>246</v>
      </c>
      <c r="M14" s="2">
        <f t="shared" si="46"/>
        <v>178</v>
      </c>
      <c r="N14" s="2">
        <f t="shared" si="46"/>
        <v>250</v>
      </c>
      <c r="O14" s="2">
        <f t="shared" si="46"/>
        <v>329</v>
      </c>
      <c r="P14" s="14">
        <f>SUM(P12:P13)</f>
        <v>208</v>
      </c>
      <c r="Q14" s="14">
        <f>SUM(Q12:Q13)</f>
        <v>203</v>
      </c>
      <c r="R14" s="14">
        <f>SUM(R12:R13)</f>
        <v>292</v>
      </c>
      <c r="S14" s="14">
        <f>SUM(S12:S13)</f>
        <v>438</v>
      </c>
      <c r="T14" s="14">
        <f>SUM(T12:T13)</f>
        <v>308</v>
      </c>
      <c r="Z14" s="14">
        <f t="shared" ref="Z14:AE14" si="47">SUM(Z12:Z13)</f>
        <v>656</v>
      </c>
      <c r="AA14" s="14">
        <f t="shared" si="47"/>
        <v>750</v>
      </c>
      <c r="AB14" s="14">
        <f t="shared" si="47"/>
        <v>942</v>
      </c>
      <c r="AC14" s="14">
        <f t="shared" si="47"/>
        <v>1084</v>
      </c>
      <c r="AD14" s="14">
        <f t="shared" si="47"/>
        <v>1021</v>
      </c>
      <c r="AE14" s="14">
        <f t="shared" si="47"/>
        <v>1002</v>
      </c>
      <c r="AF14" s="14">
        <f t="shared" ref="AF14" si="48">SUM(AF12:AF13)</f>
        <v>1141</v>
      </c>
      <c r="AG14" s="15">
        <f t="shared" ref="AG14" si="49">SUM(AG12:AG13)</f>
        <v>1355.6093500000015</v>
      </c>
      <c r="AH14" s="14">
        <f t="shared" ref="AH14" si="50">SUM(AH12:AH13)</f>
        <v>1528.4577610000024</v>
      </c>
      <c r="AI14" s="14">
        <f t="shared" ref="AI14" si="51">SUM(AI12:AI13)</f>
        <v>1715.8062031600043</v>
      </c>
      <c r="AJ14" s="14">
        <f t="shared" ref="AJ14" si="52">SUM(AJ12:AJ13)</f>
        <v>1918.704240694602</v>
      </c>
      <c r="AK14" s="14">
        <f t="shared" ref="AK14" si="53">SUM(AK12:AK13)</f>
        <v>2138.2715704691291</v>
      </c>
      <c r="AL14" s="14">
        <f t="shared" ref="AL14" si="54">SUM(AL12:AL13)</f>
        <v>2375.7024573814906</v>
      </c>
      <c r="AM14" s="14">
        <f t="shared" ref="AM14" si="55">SUM(AM12:AM13)</f>
        <v>2632.2704376272441</v>
      </c>
      <c r="AN14" s="14">
        <f t="shared" ref="AN14" si="56">SUM(AN12:AN13)</f>
        <v>2909.3333052934759</v>
      </c>
      <c r="AO14" s="14">
        <f t="shared" ref="AO14" si="57">SUM(AO12:AO13)</f>
        <v>3208.3383985687556</v>
      </c>
      <c r="AP14" s="14">
        <f t="shared" ref="AP14" si="58">SUM(AP12:AP13)</f>
        <v>3530.8282027408422</v>
      </c>
    </row>
    <row r="15" spans="1:152" x14ac:dyDescent="0.25">
      <c r="C15" s="2" t="s">
        <v>58</v>
      </c>
      <c r="D15" s="14">
        <v>-33</v>
      </c>
      <c r="E15" s="14">
        <v>-60</v>
      </c>
      <c r="F15" s="14">
        <v>-51</v>
      </c>
      <c r="G15" s="14">
        <v>-89</v>
      </c>
      <c r="H15" s="14">
        <v>-49</v>
      </c>
      <c r="I15" s="14">
        <v>-55</v>
      </c>
      <c r="J15" s="14">
        <v>-55</v>
      </c>
      <c r="K15" s="14">
        <v>-61</v>
      </c>
      <c r="L15" s="14">
        <v>-54</v>
      </c>
      <c r="M15" s="14">
        <v>-39</v>
      </c>
      <c r="N15" s="14">
        <v>-58</v>
      </c>
      <c r="O15" s="14">
        <v>-75</v>
      </c>
      <c r="P15" s="14">
        <v>-47</v>
      </c>
      <c r="Q15" s="14">
        <v>-46</v>
      </c>
      <c r="R15" s="14">
        <v>-66</v>
      </c>
      <c r="S15" s="14">
        <v>-104</v>
      </c>
      <c r="T15" s="14">
        <v>-71</v>
      </c>
      <c r="Z15" s="14">
        <v>-127</v>
      </c>
      <c r="AA15" s="14">
        <v>-159</v>
      </c>
      <c r="AB15" s="14">
        <v>-182</v>
      </c>
      <c r="AC15" s="14">
        <v>-235</v>
      </c>
      <c r="AD15" s="14">
        <v>-221</v>
      </c>
      <c r="AE15" s="14">
        <v>-227</v>
      </c>
      <c r="AF15" s="14">
        <v>-263</v>
      </c>
      <c r="AG15" s="15">
        <f t="shared" ref="AG15:AP15" si="59">AG14*-0.22</f>
        <v>-298.23405700000035</v>
      </c>
      <c r="AH15" s="14">
        <f t="shared" si="59"/>
        <v>-336.26070742000053</v>
      </c>
      <c r="AI15" s="14">
        <f t="shared" si="59"/>
        <v>-377.47736469520095</v>
      </c>
      <c r="AJ15" s="14">
        <f t="shared" si="59"/>
        <v>-422.11493295281247</v>
      </c>
      <c r="AK15" s="14">
        <f t="shared" si="59"/>
        <v>-470.41974550320839</v>
      </c>
      <c r="AL15" s="14">
        <f t="shared" si="59"/>
        <v>-522.65454062392791</v>
      </c>
      <c r="AM15" s="14">
        <f t="shared" si="59"/>
        <v>-579.09949627799369</v>
      </c>
      <c r="AN15" s="14">
        <f t="shared" si="59"/>
        <v>-640.05332716456473</v>
      </c>
      <c r="AO15" s="14">
        <f t="shared" si="59"/>
        <v>-705.83444768512618</v>
      </c>
      <c r="AP15" s="14">
        <f t="shared" si="59"/>
        <v>-776.7822046029853</v>
      </c>
    </row>
    <row r="16" spans="1:152" x14ac:dyDescent="0.25">
      <c r="C16" s="1" t="s">
        <v>59</v>
      </c>
      <c r="D16" s="1">
        <f t="shared" ref="D16:O16" si="60">SUM(D14:D15)</f>
        <v>131</v>
      </c>
      <c r="E16" s="1">
        <f t="shared" si="60"/>
        <v>222</v>
      </c>
      <c r="F16" s="1">
        <f t="shared" si="60"/>
        <v>197</v>
      </c>
      <c r="G16" s="1">
        <f t="shared" si="60"/>
        <v>302</v>
      </c>
      <c r="H16" s="1">
        <f t="shared" si="60"/>
        <v>175</v>
      </c>
      <c r="I16" s="1">
        <f t="shared" si="60"/>
        <v>194</v>
      </c>
      <c r="J16" s="1">
        <f t="shared" si="60"/>
        <v>182</v>
      </c>
      <c r="K16" s="1">
        <f t="shared" si="60"/>
        <v>249</v>
      </c>
      <c r="L16" s="1">
        <f t="shared" si="60"/>
        <v>192</v>
      </c>
      <c r="M16" s="1">
        <f t="shared" si="60"/>
        <v>139</v>
      </c>
      <c r="N16" s="1">
        <f t="shared" si="60"/>
        <v>192</v>
      </c>
      <c r="O16" s="1">
        <f t="shared" si="60"/>
        <v>254</v>
      </c>
      <c r="P16" s="12">
        <f>SUM(P14:P15)</f>
        <v>161</v>
      </c>
      <c r="Q16" s="12">
        <f>SUM(Q14:Q15)</f>
        <v>157</v>
      </c>
      <c r="R16" s="12">
        <f>SUM(R14:R15)</f>
        <v>226</v>
      </c>
      <c r="S16" s="12">
        <f>SUM(S14:S15)</f>
        <v>334</v>
      </c>
      <c r="T16" s="12">
        <f>SUM(T14:T15)</f>
        <v>237</v>
      </c>
      <c r="Z16" s="12">
        <f t="shared" ref="Z16:AE16" si="61">SUM(Z14:Z15)</f>
        <v>529</v>
      </c>
      <c r="AA16" s="12">
        <f t="shared" si="61"/>
        <v>591</v>
      </c>
      <c r="AB16" s="12">
        <f t="shared" si="61"/>
        <v>760</v>
      </c>
      <c r="AC16" s="12">
        <f t="shared" si="61"/>
        <v>849</v>
      </c>
      <c r="AD16" s="12">
        <f t="shared" si="61"/>
        <v>800</v>
      </c>
      <c r="AE16" s="12">
        <f t="shared" si="61"/>
        <v>775</v>
      </c>
      <c r="AF16" s="12">
        <f t="shared" ref="AF16" si="62">SUM(AF14:AF15)</f>
        <v>878</v>
      </c>
      <c r="AG16" s="13">
        <f t="shared" ref="AG16" si="63">SUM(AG14:AG15)</f>
        <v>1057.3752930000012</v>
      </c>
      <c r="AH16" s="12">
        <f t="shared" ref="AH16" si="64">SUM(AH14:AH15)</f>
        <v>1192.1970535800019</v>
      </c>
      <c r="AI16" s="12">
        <f t="shared" ref="AI16" si="65">SUM(AI14:AI15)</f>
        <v>1338.3288384648033</v>
      </c>
      <c r="AJ16" s="12">
        <f t="shared" ref="AJ16" si="66">SUM(AJ14:AJ15)</f>
        <v>1496.5893077417895</v>
      </c>
      <c r="AK16" s="12">
        <f t="shared" ref="AK16" si="67">SUM(AK14:AK15)</f>
        <v>1667.8518249659207</v>
      </c>
      <c r="AL16" s="12">
        <f t="shared" ref="AL16" si="68">SUM(AL14:AL15)</f>
        <v>1853.0479167575627</v>
      </c>
      <c r="AM16" s="12">
        <f t="shared" ref="AM16" si="69">SUM(AM14:AM15)</f>
        <v>2053.1709413492504</v>
      </c>
      <c r="AN16" s="12">
        <f t="shared" ref="AN16" si="70">SUM(AN14:AN15)</f>
        <v>2269.2799781289114</v>
      </c>
      <c r="AO16" s="12">
        <f t="shared" ref="AO16" si="71">SUM(AO14:AO15)</f>
        <v>2502.5039508836294</v>
      </c>
      <c r="AP16" s="12">
        <f t="shared" ref="AP16" si="72">SUM(AP14:AP15)</f>
        <v>2754.0459981378572</v>
      </c>
      <c r="AQ16" s="12">
        <f>AP16*(1+$AS$20)</f>
        <v>2726.5055381564785</v>
      </c>
      <c r="AR16" s="12">
        <f t="shared" ref="AR16:DC16" si="73">AQ16*(1+$AS$20)</f>
        <v>2699.2404827749137</v>
      </c>
      <c r="AS16" s="12">
        <f t="shared" si="73"/>
        <v>2672.2480779471648</v>
      </c>
      <c r="AT16" s="12">
        <f t="shared" si="73"/>
        <v>2645.5255971676929</v>
      </c>
      <c r="AU16" s="12">
        <f t="shared" si="73"/>
        <v>2619.0703411960158</v>
      </c>
      <c r="AV16" s="12">
        <f t="shared" si="73"/>
        <v>2592.8796377840554</v>
      </c>
      <c r="AW16" s="12">
        <f t="shared" si="73"/>
        <v>2566.9508414062147</v>
      </c>
      <c r="AX16" s="12">
        <f t="shared" si="73"/>
        <v>2541.2813329921528</v>
      </c>
      <c r="AY16" s="12">
        <f t="shared" si="73"/>
        <v>2515.8685196622314</v>
      </c>
      <c r="AZ16" s="12">
        <f t="shared" si="73"/>
        <v>2490.7098344656092</v>
      </c>
      <c r="BA16" s="12">
        <f t="shared" si="73"/>
        <v>2465.8027361209529</v>
      </c>
      <c r="BB16" s="12">
        <f t="shared" si="73"/>
        <v>2441.1447087597435</v>
      </c>
      <c r="BC16" s="12">
        <f t="shared" si="73"/>
        <v>2416.733261672146</v>
      </c>
      <c r="BD16" s="12">
        <f t="shared" si="73"/>
        <v>2392.5659290554245</v>
      </c>
      <c r="BE16" s="12">
        <f t="shared" si="73"/>
        <v>2368.64026976487</v>
      </c>
      <c r="BF16" s="12">
        <f t="shared" si="73"/>
        <v>2344.9538670672214</v>
      </c>
      <c r="BG16" s="12">
        <f t="shared" si="73"/>
        <v>2321.5043283965492</v>
      </c>
      <c r="BH16" s="12">
        <f t="shared" si="73"/>
        <v>2298.2892851125839</v>
      </c>
      <c r="BI16" s="12">
        <f t="shared" si="73"/>
        <v>2275.3063922614579</v>
      </c>
      <c r="BJ16" s="12">
        <f t="shared" si="73"/>
        <v>2252.5533283388431</v>
      </c>
      <c r="BK16" s="12">
        <f t="shared" si="73"/>
        <v>2230.0277950554546</v>
      </c>
      <c r="BL16" s="12">
        <f t="shared" si="73"/>
        <v>2207.7275171049</v>
      </c>
      <c r="BM16" s="12">
        <f t="shared" si="73"/>
        <v>2185.6502419338508</v>
      </c>
      <c r="BN16" s="12">
        <f t="shared" si="73"/>
        <v>2163.7937395145123</v>
      </c>
      <c r="BO16" s="12">
        <f t="shared" si="73"/>
        <v>2142.1558021193673</v>
      </c>
      <c r="BP16" s="12">
        <f t="shared" si="73"/>
        <v>2120.7342440981738</v>
      </c>
      <c r="BQ16" s="12">
        <f t="shared" si="73"/>
        <v>2099.526901657192</v>
      </c>
      <c r="BR16" s="12">
        <f t="shared" si="73"/>
        <v>2078.53163264062</v>
      </c>
      <c r="BS16" s="12">
        <f t="shared" si="73"/>
        <v>2057.7463163142138</v>
      </c>
      <c r="BT16" s="12">
        <f t="shared" si="73"/>
        <v>2037.1688531510717</v>
      </c>
      <c r="BU16" s="12">
        <f t="shared" si="73"/>
        <v>2016.797164619561</v>
      </c>
      <c r="BV16" s="12">
        <f t="shared" si="73"/>
        <v>1996.6291929733654</v>
      </c>
      <c r="BW16" s="12">
        <f t="shared" si="73"/>
        <v>1976.6629010436318</v>
      </c>
      <c r="BX16" s="12">
        <f t="shared" si="73"/>
        <v>1956.8962720331954</v>
      </c>
      <c r="BY16" s="12">
        <f t="shared" si="73"/>
        <v>1937.3273093128635</v>
      </c>
      <c r="BZ16" s="12">
        <f t="shared" si="73"/>
        <v>1917.9540362197349</v>
      </c>
      <c r="CA16" s="12">
        <f t="shared" si="73"/>
        <v>1898.7744958575377</v>
      </c>
      <c r="CB16" s="12">
        <f t="shared" si="73"/>
        <v>1879.7867508989623</v>
      </c>
      <c r="CC16" s="12">
        <f t="shared" si="73"/>
        <v>1860.9888833899727</v>
      </c>
      <c r="CD16" s="12">
        <f t="shared" si="73"/>
        <v>1842.3789945560729</v>
      </c>
      <c r="CE16" s="12">
        <f t="shared" si="73"/>
        <v>1823.9552046105123</v>
      </c>
      <c r="CF16" s="12">
        <f t="shared" si="73"/>
        <v>1805.715652564407</v>
      </c>
      <c r="CG16" s="12">
        <f t="shared" si="73"/>
        <v>1787.6584960387629</v>
      </c>
      <c r="CH16" s="12">
        <f t="shared" si="73"/>
        <v>1769.7819110783753</v>
      </c>
      <c r="CI16" s="12">
        <f t="shared" si="73"/>
        <v>1752.0840919675916</v>
      </c>
      <c r="CJ16" s="12">
        <f t="shared" si="73"/>
        <v>1734.5632510479156</v>
      </c>
      <c r="CK16" s="12">
        <f t="shared" si="73"/>
        <v>1717.2176185374365</v>
      </c>
      <c r="CL16" s="12">
        <f t="shared" si="73"/>
        <v>1700.0454423520621</v>
      </c>
      <c r="CM16" s="12">
        <f t="shared" si="73"/>
        <v>1683.0449879285416</v>
      </c>
      <c r="CN16" s="12">
        <f t="shared" si="73"/>
        <v>1666.2145380492561</v>
      </c>
      <c r="CO16" s="12">
        <f t="shared" si="73"/>
        <v>1649.5523926687636</v>
      </c>
      <c r="CP16" s="12">
        <f t="shared" si="73"/>
        <v>1633.0568687420759</v>
      </c>
      <c r="CQ16" s="12">
        <f t="shared" si="73"/>
        <v>1616.7263000546552</v>
      </c>
      <c r="CR16" s="12">
        <f t="shared" si="73"/>
        <v>1600.5590370541086</v>
      </c>
      <c r="CS16" s="12">
        <f t="shared" si="73"/>
        <v>1584.5534466835675</v>
      </c>
      <c r="CT16" s="12">
        <f t="shared" si="73"/>
        <v>1568.7079122167318</v>
      </c>
      <c r="CU16" s="12">
        <f t="shared" si="73"/>
        <v>1553.0208330945645</v>
      </c>
      <c r="CV16" s="12">
        <f t="shared" si="73"/>
        <v>1537.4906247636188</v>
      </c>
      <c r="CW16" s="12">
        <f t="shared" si="73"/>
        <v>1522.1157185159827</v>
      </c>
      <c r="CX16" s="12">
        <f t="shared" si="73"/>
        <v>1506.8945613308229</v>
      </c>
      <c r="CY16" s="12">
        <f t="shared" si="73"/>
        <v>1491.8256157175147</v>
      </c>
      <c r="CZ16" s="12">
        <f t="shared" si="73"/>
        <v>1476.9073595603395</v>
      </c>
      <c r="DA16" s="12">
        <f t="shared" si="73"/>
        <v>1462.138285964736</v>
      </c>
      <c r="DB16" s="12">
        <f t="shared" si="73"/>
        <v>1447.5169031050887</v>
      </c>
      <c r="DC16" s="12">
        <f t="shared" si="73"/>
        <v>1433.0417340740378</v>
      </c>
      <c r="DD16" s="12">
        <f t="shared" ref="DD16:EV16" si="74">DC16*(1+$AS$20)</f>
        <v>1418.7113167332973</v>
      </c>
      <c r="DE16" s="12">
        <f t="shared" si="74"/>
        <v>1404.5242035659644</v>
      </c>
      <c r="DF16" s="12">
        <f t="shared" si="74"/>
        <v>1390.4789615303048</v>
      </c>
      <c r="DG16" s="12">
        <f t="shared" si="74"/>
        <v>1376.5741719150017</v>
      </c>
      <c r="DH16" s="12">
        <f t="shared" si="74"/>
        <v>1362.8084301958515</v>
      </c>
      <c r="DI16" s="12">
        <f t="shared" si="74"/>
        <v>1349.180345893893</v>
      </c>
      <c r="DJ16" s="12">
        <f t="shared" si="74"/>
        <v>1335.6885424349541</v>
      </c>
      <c r="DK16" s="12">
        <f t="shared" si="74"/>
        <v>1322.3316570106047</v>
      </c>
      <c r="DL16" s="12">
        <f t="shared" si="74"/>
        <v>1309.1083404404985</v>
      </c>
      <c r="DM16" s="12">
        <f t="shared" si="74"/>
        <v>1296.0172570360935</v>
      </c>
      <c r="DN16" s="12">
        <f t="shared" si="74"/>
        <v>1283.0570844657325</v>
      </c>
      <c r="DO16" s="12">
        <f t="shared" si="74"/>
        <v>1270.2265136210751</v>
      </c>
      <c r="DP16" s="12">
        <f t="shared" si="74"/>
        <v>1257.5242484848643</v>
      </c>
      <c r="DQ16" s="12">
        <f t="shared" si="74"/>
        <v>1244.9490060000157</v>
      </c>
      <c r="DR16" s="12">
        <f t="shared" si="74"/>
        <v>1232.4995159400155</v>
      </c>
      <c r="DS16" s="12">
        <f t="shared" si="74"/>
        <v>1220.1745207806152</v>
      </c>
      <c r="DT16" s="12">
        <f t="shared" si="74"/>
        <v>1207.972775572809</v>
      </c>
      <c r="DU16" s="12">
        <f t="shared" si="74"/>
        <v>1195.893047817081</v>
      </c>
      <c r="DV16" s="12">
        <f t="shared" si="74"/>
        <v>1183.9341173389103</v>
      </c>
      <c r="DW16" s="12">
        <f t="shared" si="74"/>
        <v>1172.0947761655211</v>
      </c>
      <c r="DX16" s="12">
        <f t="shared" si="74"/>
        <v>1160.3738284038659</v>
      </c>
      <c r="DY16" s="12">
        <f t="shared" si="74"/>
        <v>1148.7700901198273</v>
      </c>
      <c r="DZ16" s="12">
        <f t="shared" si="74"/>
        <v>1137.2823892186291</v>
      </c>
      <c r="EA16" s="12">
        <f t="shared" si="74"/>
        <v>1125.9095653264428</v>
      </c>
      <c r="EB16" s="12">
        <f t="shared" si="74"/>
        <v>1114.6504696731783</v>
      </c>
      <c r="EC16" s="12">
        <f t="shared" si="74"/>
        <v>1103.5039649764465</v>
      </c>
      <c r="ED16" s="12">
        <f t="shared" si="74"/>
        <v>1092.468925326682</v>
      </c>
      <c r="EE16" s="12">
        <f t="shared" si="74"/>
        <v>1081.544236073415</v>
      </c>
      <c r="EF16" s="12">
        <f t="shared" si="74"/>
        <v>1070.728793712681</v>
      </c>
      <c r="EG16" s="12">
        <f t="shared" si="74"/>
        <v>1060.021505775554</v>
      </c>
      <c r="EH16" s="12">
        <f t="shared" si="74"/>
        <v>1049.4212907177985</v>
      </c>
      <c r="EI16" s="12">
        <f t="shared" si="74"/>
        <v>1038.9270778106204</v>
      </c>
      <c r="EJ16" s="12">
        <f t="shared" si="74"/>
        <v>1028.5378070325141</v>
      </c>
      <c r="EK16" s="12">
        <f t="shared" si="74"/>
        <v>1018.252428962189</v>
      </c>
      <c r="EL16" s="12">
        <f t="shared" si="74"/>
        <v>1008.0699046725671</v>
      </c>
      <c r="EM16" s="12">
        <f t="shared" si="74"/>
        <v>997.98920562584135</v>
      </c>
      <c r="EN16" s="12">
        <f t="shared" si="74"/>
        <v>988.0093135695829</v>
      </c>
      <c r="EO16" s="12">
        <f t="shared" si="74"/>
        <v>978.1292204338871</v>
      </c>
      <c r="EP16" s="12">
        <f t="shared" si="74"/>
        <v>968.34792822954819</v>
      </c>
      <c r="EQ16" s="12">
        <f t="shared" si="74"/>
        <v>958.66444894725271</v>
      </c>
      <c r="ER16" s="12">
        <f t="shared" si="74"/>
        <v>949.07780445778019</v>
      </c>
      <c r="ES16" s="12">
        <f t="shared" si="74"/>
        <v>939.58702641320235</v>
      </c>
      <c r="ET16" s="12">
        <f t="shared" si="74"/>
        <v>930.19115614907037</v>
      </c>
      <c r="EU16" s="12">
        <f t="shared" si="74"/>
        <v>920.8892445875797</v>
      </c>
      <c r="EV16" s="12">
        <f t="shared" si="74"/>
        <v>911.68035214170391</v>
      </c>
    </row>
    <row r="17" spans="3:45" x14ac:dyDescent="0.25">
      <c r="C17" s="2" t="s">
        <v>60</v>
      </c>
      <c r="D17" s="9">
        <v>112.38409299999999</v>
      </c>
      <c r="E17" s="9">
        <v>112.38409299999999</v>
      </c>
      <c r="F17" s="9">
        <v>112.38409299999999</v>
      </c>
      <c r="G17" s="9">
        <v>112.38409299999999</v>
      </c>
      <c r="H17" s="9">
        <v>112.38409299999999</v>
      </c>
      <c r="I17" s="9">
        <v>112.38409299999999</v>
      </c>
      <c r="J17" s="9">
        <v>112.38409299999999</v>
      </c>
      <c r="K17" s="9">
        <v>112.38409299999999</v>
      </c>
      <c r="L17" s="9">
        <v>112.38409299999999</v>
      </c>
      <c r="M17" s="9">
        <v>112.38409299999999</v>
      </c>
      <c r="N17" s="9">
        <v>112.38409299999999</v>
      </c>
      <c r="O17" s="9">
        <v>112.38409299999999</v>
      </c>
      <c r="P17" s="9">
        <v>112.38409299999999</v>
      </c>
      <c r="Q17" s="9">
        <v>112.38409299999999</v>
      </c>
      <c r="R17" s="9">
        <v>112.38409299999999</v>
      </c>
      <c r="S17" s="9">
        <v>112.38409299999999</v>
      </c>
      <c r="T17" s="9">
        <v>112.38409299999999</v>
      </c>
      <c r="Z17" s="9">
        <v>112.38409299999999</v>
      </c>
      <c r="AA17" s="9">
        <v>112.38409299999999</v>
      </c>
      <c r="AB17" s="9">
        <v>112.38409299999999</v>
      </c>
      <c r="AC17" s="9">
        <v>112.38409299999999</v>
      </c>
      <c r="AD17" s="9">
        <v>112.38409299999999</v>
      </c>
      <c r="AE17" s="9">
        <v>112.38409299999999</v>
      </c>
      <c r="AF17" s="9">
        <v>112.38409299999999</v>
      </c>
      <c r="AG17" s="8">
        <v>112.38409299999999</v>
      </c>
      <c r="AH17" s="9">
        <v>112.38409299999999</v>
      </c>
      <c r="AI17" s="9">
        <v>112.38409299999999</v>
      </c>
      <c r="AJ17" s="9">
        <v>112.38409299999999</v>
      </c>
      <c r="AK17" s="9">
        <v>112.38409299999999</v>
      </c>
      <c r="AL17" s="9">
        <v>112.38409299999999</v>
      </c>
      <c r="AM17" s="9">
        <v>112.38409299999999</v>
      </c>
      <c r="AN17" s="9">
        <v>112.38409299999999</v>
      </c>
      <c r="AO17" s="9">
        <v>112.38409299999999</v>
      </c>
      <c r="AP17" s="9">
        <v>112.38409299999999</v>
      </c>
    </row>
    <row r="18" spans="3:45" x14ac:dyDescent="0.25">
      <c r="C18" s="2" t="s">
        <v>61</v>
      </c>
      <c r="D18" s="18">
        <f t="shared" ref="D18:O18" si="75">D16/D17</f>
        <v>1.1656453907582811</v>
      </c>
      <c r="E18" s="18">
        <f t="shared" si="75"/>
        <v>1.9753685247964765</v>
      </c>
      <c r="F18" s="18">
        <f t="shared" si="75"/>
        <v>1.7529171143464228</v>
      </c>
      <c r="G18" s="18">
        <f t="shared" si="75"/>
        <v>2.6872130382366479</v>
      </c>
      <c r="H18" s="18">
        <f t="shared" si="75"/>
        <v>1.5571598731503755</v>
      </c>
      <c r="I18" s="18">
        <f t="shared" si="75"/>
        <v>1.7262229450924162</v>
      </c>
      <c r="J18" s="18">
        <f t="shared" si="75"/>
        <v>1.6194462680763906</v>
      </c>
      <c r="K18" s="18">
        <f t="shared" si="75"/>
        <v>2.2156160480825342</v>
      </c>
      <c r="L18" s="18">
        <f t="shared" si="75"/>
        <v>1.708426832256412</v>
      </c>
      <c r="M18" s="18">
        <f t="shared" si="75"/>
        <v>1.2368298421022983</v>
      </c>
      <c r="N18" s="18">
        <f t="shared" si="75"/>
        <v>1.708426832256412</v>
      </c>
      <c r="O18" s="18">
        <f t="shared" si="75"/>
        <v>2.2601063301725453</v>
      </c>
      <c r="P18" s="18">
        <f>P16/P17</f>
        <v>1.4325870832983456</v>
      </c>
      <c r="Q18" s="18">
        <f>Q16/Q17</f>
        <v>1.3969948576263369</v>
      </c>
      <c r="R18" s="18">
        <f>R16/R17</f>
        <v>2.010960750468485</v>
      </c>
      <c r="S18" s="18">
        <f>S16/S17</f>
        <v>2.9719508436127167</v>
      </c>
      <c r="T18" s="18">
        <f>T16/T17</f>
        <v>2.1088393710665088</v>
      </c>
      <c r="Z18" s="18">
        <f t="shared" ref="Z18:AE18" si="76">Z16/Z17</f>
        <v>4.707071845123135</v>
      </c>
      <c r="AA18" s="18">
        <f t="shared" si="76"/>
        <v>5.2587513430392683</v>
      </c>
      <c r="AB18" s="18">
        <f t="shared" si="76"/>
        <v>6.7625228776816311</v>
      </c>
      <c r="AC18" s="18">
        <f t="shared" si="76"/>
        <v>7.5544498988838225</v>
      </c>
      <c r="AD18" s="18">
        <f t="shared" si="76"/>
        <v>7.1184451344017168</v>
      </c>
      <c r="AE18" s="18">
        <f t="shared" si="76"/>
        <v>6.8959937239516629</v>
      </c>
      <c r="AF18" s="18">
        <f t="shared" ref="AF18" si="77">AF16/AF17</f>
        <v>7.8124935350058839</v>
      </c>
      <c r="AG18" s="20">
        <f t="shared" ref="AG18" si="78">AG16/AG17</f>
        <v>9.4085850121155605</v>
      </c>
      <c r="AH18" s="18">
        <f t="shared" ref="AH18" si="79">AH16/AH17</f>
        <v>10.608236644130784</v>
      </c>
      <c r="AI18" s="18">
        <f t="shared" ref="AI18" si="80">AI16/AI17</f>
        <v>11.9085255104991</v>
      </c>
      <c r="AJ18" s="18">
        <f t="shared" ref="AJ18" si="81">AJ16/AJ17</f>
        <v>13.316736094865218</v>
      </c>
      <c r="AK18" s="18">
        <f t="shared" ref="AK18" si="82">AK16/AK17</f>
        <v>14.840639635414604</v>
      </c>
      <c r="AL18" s="18">
        <f t="shared" ref="AL18" si="83">AL16/AL17</f>
        <v>16.488524908570138</v>
      </c>
      <c r="AM18" s="18">
        <f t="shared" ref="AM18" si="84">AM16/AM17</f>
        <v>18.269230871928205</v>
      </c>
      <c r="AN18" s="18">
        <f t="shared" ref="AN18" si="85">AN16/AN17</f>
        <v>20.192181273633729</v>
      </c>
      <c r="AO18" s="18">
        <f t="shared" ref="AO18" si="86">AO16/AO17</f>
        <v>22.267421341235806</v>
      </c>
      <c r="AP18" s="18">
        <f t="shared" ref="AP18" si="87">AP16/AP17</f>
        <v>24.505656669203688</v>
      </c>
    </row>
    <row r="19" spans="3:45" x14ac:dyDescent="0.25">
      <c r="AR19" s="2" t="s">
        <v>110</v>
      </c>
      <c r="AS19" s="28">
        <v>0.08</v>
      </c>
    </row>
    <row r="20" spans="3:45" x14ac:dyDescent="0.25">
      <c r="C20" s="1" t="s">
        <v>29</v>
      </c>
      <c r="D20" s="19"/>
      <c r="E20" s="19"/>
      <c r="F20" s="19"/>
      <c r="G20" s="19"/>
      <c r="H20" s="19">
        <f t="shared" ref="H20:O20" si="88">(H4-D4)/D4</f>
        <v>0.25861569649580074</v>
      </c>
      <c r="I20" s="19">
        <f t="shared" si="88"/>
        <v>0.16864295125164691</v>
      </c>
      <c r="J20" s="19">
        <f t="shared" si="88"/>
        <v>-4.1945063103192279E-2</v>
      </c>
      <c r="K20" s="19">
        <f t="shared" si="88"/>
        <v>-4.2871690427698575E-2</v>
      </c>
      <c r="L20" s="19">
        <f t="shared" si="88"/>
        <v>-0.12494247583985274</v>
      </c>
      <c r="M20" s="19">
        <f t="shared" si="88"/>
        <v>-5.5242390078917701E-2</v>
      </c>
      <c r="N20" s="19">
        <f t="shared" si="88"/>
        <v>3.0995738086013174E-2</v>
      </c>
      <c r="O20" s="19">
        <f t="shared" si="88"/>
        <v>0.12926907117778488</v>
      </c>
      <c r="P20" s="19">
        <f>(P4-L4)/L4</f>
        <v>0.12450696818301341</v>
      </c>
      <c r="Q20" s="19">
        <f>(Q4-M4)/M4</f>
        <v>9.0572792362768495E-2</v>
      </c>
      <c r="R20" s="19">
        <f>(R4-N4)/N4</f>
        <v>5.6369785794813977E-2</v>
      </c>
      <c r="S20" s="19">
        <f>(S4-O4)/O4</f>
        <v>6.0109289617486336E-2</v>
      </c>
      <c r="T20" s="19">
        <f>(T4-P4)/P4</f>
        <v>0.12872676253945983</v>
      </c>
      <c r="Z20" s="19"/>
      <c r="AA20" s="19">
        <f t="shared" ref="AA20:AD20" si="89">(AA4-Z4)/Z4</f>
        <v>7.769744918837812E-2</v>
      </c>
      <c r="AB20" s="19">
        <f t="shared" si="89"/>
        <v>-0.2787636382046933</v>
      </c>
      <c r="AC20" s="19">
        <f t="shared" si="89"/>
        <v>0.13709592502895651</v>
      </c>
      <c r="AD20" s="19">
        <f t="shared" si="89"/>
        <v>7.1210297249745341E-2</v>
      </c>
      <c r="AE20" s="19">
        <f>(AE4-AD4)/AD4</f>
        <v>-3.4866297833102814E-3</v>
      </c>
      <c r="AF20" s="19">
        <f t="shared" ref="AF20:AP20" si="90">(AF4-AE4)/AE4</f>
        <v>8.0791140155567764E-2</v>
      </c>
      <c r="AG20" s="21">
        <f t="shared" si="90"/>
        <v>9.0000000000000011E-2</v>
      </c>
      <c r="AH20" s="19">
        <f t="shared" si="90"/>
        <v>6.0000000000000081E-2</v>
      </c>
      <c r="AI20" s="19">
        <f t="shared" si="90"/>
        <v>6.0000000000000137E-2</v>
      </c>
      <c r="AJ20" s="19">
        <f t="shared" si="90"/>
        <v>6.0000000000000019E-2</v>
      </c>
      <c r="AK20" s="19">
        <f t="shared" si="90"/>
        <v>5.9999999999999991E-2</v>
      </c>
      <c r="AL20" s="19">
        <f t="shared" si="90"/>
        <v>6.0000000000000026E-2</v>
      </c>
      <c r="AM20" s="19">
        <f t="shared" si="90"/>
        <v>6.0000000000000109E-2</v>
      </c>
      <c r="AN20" s="19">
        <f t="shared" si="90"/>
        <v>6.0000000000000095E-2</v>
      </c>
      <c r="AO20" s="19">
        <f t="shared" si="90"/>
        <v>6.0000000000000012E-2</v>
      </c>
      <c r="AP20" s="19">
        <f t="shared" si="90"/>
        <v>6.0000000000000095E-2</v>
      </c>
      <c r="AR20" s="2" t="s">
        <v>111</v>
      </c>
      <c r="AS20" s="28">
        <v>-0.01</v>
      </c>
    </row>
    <row r="21" spans="3:45" x14ac:dyDescent="0.25">
      <c r="C21" s="2" t="s">
        <v>62</v>
      </c>
      <c r="D21" s="10">
        <f t="shared" ref="D21:P21" si="91">D6/D4</f>
        <v>0.30292499275991891</v>
      </c>
      <c r="E21" s="10">
        <f t="shared" si="91"/>
        <v>0.29143610013175231</v>
      </c>
      <c r="F21" s="10">
        <f t="shared" si="91"/>
        <v>0.25760950259836674</v>
      </c>
      <c r="G21" s="10">
        <f t="shared" si="91"/>
        <v>0.26659877800407333</v>
      </c>
      <c r="H21" s="10">
        <f t="shared" si="91"/>
        <v>0.28854118729866546</v>
      </c>
      <c r="I21" s="10">
        <f t="shared" si="91"/>
        <v>0.29943630214205186</v>
      </c>
      <c r="J21" s="10">
        <f t="shared" si="91"/>
        <v>0.29471780963450861</v>
      </c>
      <c r="K21" s="10">
        <f t="shared" si="91"/>
        <v>0.29832960953292903</v>
      </c>
      <c r="L21" s="10">
        <f t="shared" si="91"/>
        <v>0.33605048645805941</v>
      </c>
      <c r="M21" s="10">
        <f t="shared" si="91"/>
        <v>0.31527446300715989</v>
      </c>
      <c r="N21" s="10">
        <f t="shared" si="91"/>
        <v>0.29525241137417013</v>
      </c>
      <c r="O21" s="10">
        <f t="shared" si="91"/>
        <v>0.26785377802901827</v>
      </c>
      <c r="P21" s="10">
        <f t="shared" si="91"/>
        <v>0.31357418449666785</v>
      </c>
      <c r="Q21" s="10">
        <f t="shared" ref="Q21" si="92">Q6/Q4</f>
        <v>0.30375314585840901</v>
      </c>
      <c r="R21" s="10">
        <f>R6/R4</f>
        <v>0.29811454998221276</v>
      </c>
      <c r="S21" s="10">
        <f>S6/S4</f>
        <v>0.27435122644863136</v>
      </c>
      <c r="T21" s="10">
        <f>T6/T4</f>
        <v>0.29448933084731715</v>
      </c>
      <c r="Z21" s="10">
        <f t="shared" ref="Z21:AE21" si="93">Z6/Z4</f>
        <v>0.21164916109671258</v>
      </c>
      <c r="AA21" s="10">
        <f t="shared" si="93"/>
        <v>0.20851580892590435</v>
      </c>
      <c r="AB21" s="10">
        <f t="shared" si="93"/>
        <v>0.29644449124284861</v>
      </c>
      <c r="AC21" s="10">
        <f t="shared" si="93"/>
        <v>0.27786523443528721</v>
      </c>
      <c r="AD21" s="10">
        <f t="shared" si="93"/>
        <v>0.29532618718303366</v>
      </c>
      <c r="AE21" s="10">
        <f t="shared" si="93"/>
        <v>0.30063904230402222</v>
      </c>
      <c r="AF21" s="10">
        <f t="shared" ref="AF21:AP21" si="94">AF6/AF4</f>
        <v>0.29587714369799611</v>
      </c>
      <c r="AG21" s="22">
        <f t="shared" si="94"/>
        <v>0.29500000000000004</v>
      </c>
      <c r="AH21" s="10">
        <f t="shared" si="94"/>
        <v>0.29500000000000004</v>
      </c>
      <c r="AI21" s="10">
        <f t="shared" si="94"/>
        <v>0.29500000000000004</v>
      </c>
      <c r="AJ21" s="10">
        <f t="shared" si="94"/>
        <v>0.29499999999999998</v>
      </c>
      <c r="AK21" s="10">
        <f t="shared" si="94"/>
        <v>0.29500000000000004</v>
      </c>
      <c r="AL21" s="10">
        <f t="shared" si="94"/>
        <v>0.2950000000000001</v>
      </c>
      <c r="AM21" s="10">
        <f t="shared" si="94"/>
        <v>0.29499999999999998</v>
      </c>
      <c r="AN21" s="10">
        <f t="shared" si="94"/>
        <v>0.29500000000000004</v>
      </c>
      <c r="AO21" s="10">
        <f t="shared" si="94"/>
        <v>0.2950000000000001</v>
      </c>
      <c r="AP21" s="10">
        <f t="shared" si="94"/>
        <v>0.29500000000000004</v>
      </c>
      <c r="AR21" s="27" t="s">
        <v>112</v>
      </c>
      <c r="AS21" s="29">
        <f>NPV(AS19,AF16:EV16)</f>
        <v>24377.091408000437</v>
      </c>
    </row>
    <row r="22" spans="3:45" x14ac:dyDescent="0.25">
      <c r="C22" s="2" t="s">
        <v>31</v>
      </c>
      <c r="D22" s="10">
        <f t="shared" ref="D22:P22" si="95">D12/D4</f>
        <v>2.6498696785403997E-2</v>
      </c>
      <c r="E22" s="10">
        <f t="shared" si="95"/>
        <v>3.7022397891963106E-2</v>
      </c>
      <c r="F22" s="10">
        <f t="shared" si="95"/>
        <v>3.5139816877010642E-2</v>
      </c>
      <c r="G22" s="10">
        <f t="shared" si="95"/>
        <v>4.5723014256619142E-2</v>
      </c>
      <c r="H22" s="10">
        <f t="shared" si="95"/>
        <v>2.8762080073630927E-2</v>
      </c>
      <c r="I22" s="10">
        <f t="shared" si="95"/>
        <v>3.2807215332581734E-2</v>
      </c>
      <c r="J22" s="10">
        <f t="shared" si="95"/>
        <v>3.8486374790133025E-2</v>
      </c>
      <c r="K22" s="10">
        <f t="shared" si="95"/>
        <v>4.298329609532929E-2</v>
      </c>
      <c r="L22" s="10">
        <f t="shared" si="95"/>
        <v>3.3657638706284514E-2</v>
      </c>
      <c r="M22" s="10">
        <f t="shared" si="95"/>
        <v>2.899761336515513E-2</v>
      </c>
      <c r="N22" s="10">
        <f t="shared" si="95"/>
        <v>3.8456720531128648E-2</v>
      </c>
      <c r="O22" s="10">
        <f t="shared" si="95"/>
        <v>3.4482758620689655E-2</v>
      </c>
      <c r="P22" s="10">
        <f t="shared" si="95"/>
        <v>3.2737051327019762E-2</v>
      </c>
      <c r="Q22" s="10">
        <f t="shared" ref="Q22" si="96">Q12/Q4</f>
        <v>2.9434292592187328E-2</v>
      </c>
      <c r="R22" s="10">
        <f>R12/R4</f>
        <v>4.1266453219494841E-2</v>
      </c>
      <c r="S22" s="10">
        <f>S12/S4</f>
        <v>4.2747955918947741E-2</v>
      </c>
      <c r="T22" s="10">
        <f>T12/T4</f>
        <v>3.3561218147917959E-2</v>
      </c>
      <c r="Z22" s="10">
        <f t="shared" ref="Z22:AE22" si="97">Z12/Z4</f>
        <v>2.0351930159596236E-2</v>
      </c>
      <c r="AA22" s="10">
        <f t="shared" si="97"/>
        <v>2.1643925777789029E-2</v>
      </c>
      <c r="AB22" s="10">
        <f t="shared" si="97"/>
        <v>3.6713348074830648E-2</v>
      </c>
      <c r="AC22" s="10">
        <f t="shared" si="97"/>
        <v>3.6916998487514278E-2</v>
      </c>
      <c r="AD22" s="10">
        <f t="shared" si="97"/>
        <v>3.5846011987090823E-2</v>
      </c>
      <c r="AE22" s="10">
        <f t="shared" si="97"/>
        <v>3.3889483272127922E-2</v>
      </c>
      <c r="AF22" s="10">
        <f t="shared" ref="AF22:AP22" si="98">AF12/AF4</f>
        <v>3.6867592369639081E-2</v>
      </c>
      <c r="AG22" s="22">
        <f t="shared" si="98"/>
        <v>3.926565618408813E-2</v>
      </c>
      <c r="AH22" s="10">
        <f t="shared" si="98"/>
        <v>4.1215124700819561E-2</v>
      </c>
      <c r="AI22" s="10">
        <f t="shared" si="98"/>
        <v>4.3139648425424178E-2</v>
      </c>
      <c r="AJ22" s="10">
        <f t="shared" si="98"/>
        <v>4.5039369946794042E-2</v>
      </c>
      <c r="AK22" s="10">
        <f t="shared" si="98"/>
        <v>4.6914429196294148E-2</v>
      </c>
      <c r="AL22" s="10">
        <f t="shared" si="98"/>
        <v>4.8764963454262067E-2</v>
      </c>
      <c r="AM22" s="10">
        <f t="shared" si="98"/>
        <v>5.0591107356183808E-2</v>
      </c>
      <c r="AN22" s="10">
        <f t="shared" si="98"/>
        <v>5.2392992898545633E-2</v>
      </c>
      <c r="AO22" s="10">
        <f t="shared" si="98"/>
        <v>5.4170749444358783E-2</v>
      </c>
      <c r="AP22" s="10">
        <f t="shared" si="98"/>
        <v>5.5924503728359491E-2</v>
      </c>
      <c r="AR22" s="2" t="s">
        <v>2</v>
      </c>
      <c r="AS22" s="9">
        <v>112.38409299999999</v>
      </c>
    </row>
    <row r="23" spans="3:45" x14ac:dyDescent="0.25">
      <c r="C23" s="2" t="s">
        <v>128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>
        <f>Z16/3075</f>
        <v>0.17203252032520325</v>
      </c>
      <c r="AA23" s="25">
        <f>AA16/3384</f>
        <v>0.17464539007092197</v>
      </c>
      <c r="AB23" s="25">
        <f>AB16/3530</f>
        <v>0.21529745042492918</v>
      </c>
      <c r="AC23" s="25">
        <f>AC16/H40</f>
        <v>0.201423487544484</v>
      </c>
      <c r="AD23" s="25">
        <f>AD16/K40</f>
        <v>0.19056693663649357</v>
      </c>
      <c r="AE23" s="25">
        <f>AE16/O40</f>
        <v>0.17518083182640146</v>
      </c>
      <c r="AF23" s="10">
        <f>AF16/S40</f>
        <v>0.19334948249284298</v>
      </c>
      <c r="AG23" s="22"/>
      <c r="AH23" s="10"/>
      <c r="AI23" s="10"/>
      <c r="AJ23" s="10"/>
      <c r="AK23" s="10"/>
      <c r="AL23" s="10"/>
      <c r="AM23" s="10"/>
      <c r="AN23" s="10"/>
      <c r="AO23" s="10"/>
      <c r="AP23" s="10"/>
      <c r="AR23" s="2" t="s">
        <v>113</v>
      </c>
      <c r="AS23" s="9">
        <f>AS21/AS22</f>
        <v>216.90873465518325</v>
      </c>
    </row>
    <row r="24" spans="3:45" x14ac:dyDescent="0.25">
      <c r="AR24" s="1" t="s">
        <v>114</v>
      </c>
      <c r="AS24" s="30">
        <f>(AS23-B4)/B4</f>
        <v>0.34725922146076554</v>
      </c>
    </row>
    <row r="25" spans="3:45" x14ac:dyDescent="0.25">
      <c r="C25" s="3" t="s">
        <v>34</v>
      </c>
    </row>
    <row r="26" spans="3:45" x14ac:dyDescent="0.25">
      <c r="C26" s="2" t="s">
        <v>63</v>
      </c>
      <c r="D26" s="14">
        <v>466</v>
      </c>
      <c r="E26" s="14"/>
      <c r="F26" s="14"/>
      <c r="G26" s="14"/>
      <c r="H26" s="14">
        <v>553</v>
      </c>
      <c r="I26" s="14">
        <v>549</v>
      </c>
      <c r="J26" s="14">
        <v>511</v>
      </c>
      <c r="K26" s="14">
        <v>514</v>
      </c>
      <c r="L26" s="14">
        <v>518</v>
      </c>
      <c r="M26" s="14">
        <v>503</v>
      </c>
      <c r="N26" s="14">
        <v>501</v>
      </c>
      <c r="O26" s="14">
        <v>498</v>
      </c>
      <c r="P26" s="14">
        <v>474</v>
      </c>
      <c r="Q26" s="14">
        <v>476</v>
      </c>
      <c r="R26" s="14">
        <v>531</v>
      </c>
      <c r="S26" s="14">
        <v>563</v>
      </c>
      <c r="T26" s="14">
        <v>561</v>
      </c>
      <c r="U26" s="12"/>
      <c r="V26" s="12"/>
      <c r="W26" s="12"/>
      <c r="X26" s="12"/>
      <c r="Y26" s="12"/>
      <c r="Z26" s="1"/>
      <c r="AA26" s="1"/>
      <c r="AB26" s="1"/>
      <c r="AD26" s="14"/>
    </row>
    <row r="27" spans="3:45" x14ac:dyDescent="0.25">
      <c r="C27" s="2" t="s">
        <v>64</v>
      </c>
      <c r="D27" s="14">
        <v>1201</v>
      </c>
      <c r="E27" s="14"/>
      <c r="F27" s="14"/>
      <c r="G27" s="14"/>
      <c r="H27" s="14">
        <v>1296</v>
      </c>
      <c r="I27" s="14">
        <v>1269</v>
      </c>
      <c r="J27" s="14">
        <v>1313</v>
      </c>
      <c r="K27" s="14">
        <v>1314</v>
      </c>
      <c r="L27" s="14">
        <v>1368</v>
      </c>
      <c r="M27" s="14">
        <v>1407</v>
      </c>
      <c r="N27" s="14">
        <v>1419</v>
      </c>
      <c r="O27" s="14">
        <v>1448</v>
      </c>
      <c r="P27" s="14">
        <v>1436</v>
      </c>
      <c r="Q27" s="14">
        <v>1518</v>
      </c>
      <c r="R27" s="14">
        <v>1447</v>
      </c>
      <c r="S27" s="14">
        <v>1396</v>
      </c>
      <c r="T27" s="14">
        <v>1391</v>
      </c>
      <c r="U27" s="14"/>
      <c r="V27" s="14"/>
      <c r="W27" s="14"/>
      <c r="X27" s="14"/>
      <c r="Y27" s="14"/>
      <c r="AD27" s="14"/>
    </row>
    <row r="28" spans="3:45" x14ac:dyDescent="0.25">
      <c r="C28" s="2" t="s">
        <v>65</v>
      </c>
      <c r="D28" s="14">
        <v>278</v>
      </c>
      <c r="E28" s="14"/>
      <c r="F28" s="14"/>
      <c r="G28" s="14"/>
      <c r="H28" s="14">
        <v>211</v>
      </c>
      <c r="I28" s="14">
        <v>201</v>
      </c>
      <c r="J28" s="14">
        <v>186</v>
      </c>
      <c r="K28" s="14">
        <v>209</v>
      </c>
      <c r="L28" s="14">
        <v>223</v>
      </c>
      <c r="M28" s="14">
        <v>239</v>
      </c>
      <c r="N28" s="14">
        <v>198</v>
      </c>
      <c r="O28" s="14">
        <v>170</v>
      </c>
      <c r="P28" s="14">
        <v>182</v>
      </c>
      <c r="Q28" s="14">
        <v>199</v>
      </c>
      <c r="R28" s="14">
        <v>212</v>
      </c>
      <c r="S28" s="14">
        <v>126</v>
      </c>
      <c r="T28" s="14">
        <v>130</v>
      </c>
      <c r="U28" s="14"/>
      <c r="V28" s="14"/>
      <c r="W28" s="14"/>
      <c r="X28" s="14"/>
      <c r="Y28" s="14"/>
      <c r="AD28" s="14"/>
    </row>
    <row r="29" spans="3:45" x14ac:dyDescent="0.25">
      <c r="C29" s="2" t="s">
        <v>66</v>
      </c>
      <c r="D29" s="14">
        <v>3858</v>
      </c>
      <c r="E29" s="14"/>
      <c r="F29" s="14"/>
      <c r="G29" s="14"/>
      <c r="H29" s="14">
        <v>4367</v>
      </c>
      <c r="I29" s="14">
        <v>4417</v>
      </c>
      <c r="J29" s="14">
        <v>4307</v>
      </c>
      <c r="K29" s="14">
        <v>4336</v>
      </c>
      <c r="L29" s="14">
        <v>4429</v>
      </c>
      <c r="M29" s="14">
        <v>4360</v>
      </c>
      <c r="N29" s="14">
        <v>4469</v>
      </c>
      <c r="O29" s="14">
        <v>4465</v>
      </c>
      <c r="P29" s="14">
        <v>4403</v>
      </c>
      <c r="Q29" s="14">
        <v>4499</v>
      </c>
      <c r="R29" s="14">
        <v>4475</v>
      </c>
      <c r="S29" s="14">
        <v>4526</v>
      </c>
      <c r="T29" s="14">
        <v>4334</v>
      </c>
      <c r="U29" s="14"/>
      <c r="V29" s="14"/>
      <c r="W29" s="14"/>
      <c r="X29" s="14"/>
      <c r="Y29" s="14"/>
      <c r="AD29" s="14"/>
    </row>
    <row r="30" spans="3:45" x14ac:dyDescent="0.25">
      <c r="C30" s="2" t="s">
        <v>67</v>
      </c>
      <c r="D30" s="14">
        <v>332</v>
      </c>
      <c r="E30" s="14"/>
      <c r="F30" s="14"/>
      <c r="G30" s="14"/>
      <c r="H30" s="14">
        <v>501</v>
      </c>
      <c r="I30" s="14">
        <v>538</v>
      </c>
      <c r="J30" s="14">
        <v>541</v>
      </c>
      <c r="K30" s="14">
        <v>572</v>
      </c>
      <c r="L30" s="14">
        <v>590</v>
      </c>
      <c r="M30" s="14">
        <v>617</v>
      </c>
      <c r="N30" s="14">
        <v>661</v>
      </c>
      <c r="O30" s="14">
        <v>712</v>
      </c>
      <c r="P30" s="14">
        <v>747</v>
      </c>
      <c r="Q30" s="14">
        <v>791</v>
      </c>
      <c r="R30" s="14">
        <v>729</v>
      </c>
      <c r="S30" s="14">
        <v>753</v>
      </c>
      <c r="T30" s="14">
        <v>683</v>
      </c>
      <c r="U30" s="14"/>
      <c r="V30" s="14"/>
      <c r="W30" s="14"/>
      <c r="X30" s="14"/>
      <c r="Y30" s="14"/>
      <c r="AD30" s="14"/>
    </row>
    <row r="31" spans="3:45" x14ac:dyDescent="0.25">
      <c r="C31" s="2" t="s">
        <v>68</v>
      </c>
      <c r="D31" s="14">
        <v>72</v>
      </c>
      <c r="E31" s="14"/>
      <c r="F31" s="14"/>
      <c r="G31" s="14"/>
      <c r="H31" s="14">
        <v>168</v>
      </c>
      <c r="I31" s="14">
        <v>208</v>
      </c>
      <c r="J31" s="14">
        <v>206</v>
      </c>
      <c r="K31" s="14">
        <v>182</v>
      </c>
      <c r="L31" s="14">
        <v>195</v>
      </c>
      <c r="M31" s="14">
        <v>180</v>
      </c>
      <c r="N31" s="14">
        <v>183</v>
      </c>
      <c r="O31" s="14">
        <v>168</v>
      </c>
      <c r="P31" s="14">
        <v>195</v>
      </c>
      <c r="Q31" s="14">
        <v>191</v>
      </c>
      <c r="R31" s="14">
        <v>186</v>
      </c>
      <c r="S31" s="14">
        <v>174</v>
      </c>
      <c r="T31" s="14">
        <v>177</v>
      </c>
      <c r="U31" s="14"/>
      <c r="V31" s="14"/>
      <c r="W31" s="14"/>
      <c r="X31" s="14"/>
      <c r="Y31" s="14"/>
      <c r="AD31" s="14"/>
    </row>
    <row r="32" spans="3:45" x14ac:dyDescent="0.25">
      <c r="C32" s="2" t="s">
        <v>69</v>
      </c>
      <c r="D32" s="14">
        <v>1491</v>
      </c>
      <c r="E32" s="14"/>
      <c r="F32" s="14"/>
      <c r="G32" s="14"/>
      <c r="H32" s="14">
        <v>1266</v>
      </c>
      <c r="I32" s="14">
        <v>1232</v>
      </c>
      <c r="J32" s="14">
        <v>834</v>
      </c>
      <c r="K32" s="14">
        <v>785</v>
      </c>
      <c r="L32" s="14">
        <v>894</v>
      </c>
      <c r="M32" s="14">
        <v>998</v>
      </c>
      <c r="N32" s="14">
        <v>946</v>
      </c>
      <c r="O32" s="14">
        <v>974</v>
      </c>
      <c r="P32" s="14">
        <v>1104</v>
      </c>
      <c r="Q32" s="14">
        <v>1266</v>
      </c>
      <c r="R32" s="14">
        <v>1037</v>
      </c>
      <c r="S32" s="14">
        <v>974</v>
      </c>
      <c r="T32" s="14">
        <v>1428</v>
      </c>
      <c r="U32" s="14"/>
      <c r="V32" s="14"/>
      <c r="W32" s="14"/>
      <c r="X32" s="14"/>
      <c r="Y32" s="14"/>
      <c r="AD32" s="14"/>
    </row>
    <row r="33" spans="3:30" x14ac:dyDescent="0.25">
      <c r="C33" s="2" t="s">
        <v>70</v>
      </c>
      <c r="D33" s="14">
        <v>3120</v>
      </c>
      <c r="E33" s="14"/>
      <c r="F33" s="14"/>
      <c r="G33" s="14"/>
      <c r="H33" s="14">
        <v>4676</v>
      </c>
      <c r="I33" s="14">
        <v>6151</v>
      </c>
      <c r="J33" s="14">
        <v>3996</v>
      </c>
      <c r="K33" s="14">
        <v>6946</v>
      </c>
      <c r="L33" s="14">
        <v>4522</v>
      </c>
      <c r="M33" s="14">
        <v>5968</v>
      </c>
      <c r="N33" s="14">
        <v>4308</v>
      </c>
      <c r="O33" s="14">
        <v>8074</v>
      </c>
      <c r="P33" s="14">
        <v>4994</v>
      </c>
      <c r="Q33" s="14">
        <v>7566</v>
      </c>
      <c r="R33" s="14">
        <v>4549</v>
      </c>
      <c r="S33" s="14">
        <v>8721</v>
      </c>
      <c r="T33" s="14">
        <v>6134</v>
      </c>
      <c r="U33" s="14"/>
      <c r="V33" s="14"/>
      <c r="W33" s="14"/>
      <c r="X33" s="14"/>
      <c r="Y33" s="14"/>
      <c r="AD33" s="14"/>
    </row>
    <row r="34" spans="3:30" x14ac:dyDescent="0.25">
      <c r="C34" s="2" t="s">
        <v>71</v>
      </c>
      <c r="D34" s="14">
        <v>2040</v>
      </c>
      <c r="E34" s="14"/>
      <c r="F34" s="14"/>
      <c r="G34" s="14"/>
      <c r="H34" s="14">
        <v>2746</v>
      </c>
      <c r="I34" s="14">
        <v>2571</v>
      </c>
      <c r="J34" s="14">
        <v>2523</v>
      </c>
      <c r="K34" s="14">
        <v>2191</v>
      </c>
      <c r="L34" s="14">
        <v>2546</v>
      </c>
      <c r="M34" s="14">
        <v>2579</v>
      </c>
      <c r="N34" s="14">
        <v>2444</v>
      </c>
      <c r="O34" s="14">
        <v>2596</v>
      </c>
      <c r="P34" s="14">
        <v>2667</v>
      </c>
      <c r="Q34" s="14">
        <v>3126</v>
      </c>
      <c r="R34" s="14">
        <v>2934</v>
      </c>
      <c r="S34" s="14">
        <v>2515</v>
      </c>
      <c r="T34" s="14">
        <v>2740</v>
      </c>
      <c r="U34" s="14"/>
      <c r="V34" s="14"/>
      <c r="W34" s="14"/>
      <c r="X34" s="14"/>
      <c r="Y34" s="14"/>
      <c r="AD34" s="14"/>
    </row>
    <row r="35" spans="3:30" x14ac:dyDescent="0.25">
      <c r="C35" s="2" t="s">
        <v>72</v>
      </c>
      <c r="D35" s="14">
        <v>629</v>
      </c>
      <c r="E35" s="14"/>
      <c r="F35" s="14"/>
      <c r="G35" s="14"/>
      <c r="H35" s="14">
        <v>1053</v>
      </c>
      <c r="I35" s="14">
        <v>1161</v>
      </c>
      <c r="J35" s="14">
        <v>1019</v>
      </c>
      <c r="K35" s="14">
        <v>1587</v>
      </c>
      <c r="L35" s="14">
        <v>830</v>
      </c>
      <c r="M35" s="14">
        <v>1190</v>
      </c>
      <c r="N35" s="14">
        <v>1034</v>
      </c>
      <c r="O35" s="14">
        <v>2004</v>
      </c>
      <c r="P35" s="14">
        <v>879</v>
      </c>
      <c r="Q35" s="14">
        <v>1066</v>
      </c>
      <c r="R35" s="14">
        <v>907</v>
      </c>
      <c r="S35" s="14">
        <v>1594</v>
      </c>
      <c r="T35" s="14">
        <v>790</v>
      </c>
      <c r="U35" s="14"/>
      <c r="V35" s="14"/>
      <c r="W35" s="14"/>
      <c r="X35" s="14"/>
      <c r="Y35" s="14"/>
      <c r="AD35" s="14"/>
    </row>
    <row r="36" spans="3:30" x14ac:dyDescent="0.25">
      <c r="C36" s="1" t="s">
        <v>73</v>
      </c>
      <c r="D36" s="12">
        <f t="shared" ref="D36:O36" si="99">SUM(D26:D35)</f>
        <v>13487</v>
      </c>
      <c r="E36" s="12">
        <f t="shared" si="99"/>
        <v>0</v>
      </c>
      <c r="F36" s="12">
        <f t="shared" si="99"/>
        <v>0</v>
      </c>
      <c r="G36" s="12">
        <f t="shared" si="99"/>
        <v>0</v>
      </c>
      <c r="H36" s="12">
        <f t="shared" si="99"/>
        <v>16837</v>
      </c>
      <c r="I36" s="12">
        <f t="shared" si="99"/>
        <v>18297</v>
      </c>
      <c r="J36" s="12">
        <f t="shared" si="99"/>
        <v>15436</v>
      </c>
      <c r="K36" s="12">
        <f t="shared" si="99"/>
        <v>18636</v>
      </c>
      <c r="L36" s="12">
        <f t="shared" si="99"/>
        <v>16115</v>
      </c>
      <c r="M36" s="12">
        <f t="shared" si="99"/>
        <v>18041</v>
      </c>
      <c r="N36" s="12">
        <f t="shared" si="99"/>
        <v>16163</v>
      </c>
      <c r="O36" s="12">
        <f t="shared" si="99"/>
        <v>21109</v>
      </c>
      <c r="P36" s="12">
        <f>SUM(P26:P35)</f>
        <v>17081</v>
      </c>
      <c r="Q36" s="12">
        <f>SUM(Q26:Q35)</f>
        <v>20698</v>
      </c>
      <c r="R36" s="12">
        <f>SUM(R26:R35)</f>
        <v>17007</v>
      </c>
      <c r="S36" s="12">
        <f>SUM(S26:S35)</f>
        <v>21342</v>
      </c>
      <c r="T36" s="12">
        <f>SUM(T26:T35)</f>
        <v>18368</v>
      </c>
      <c r="U36" s="14"/>
      <c r="V36" s="14"/>
      <c r="W36" s="14"/>
      <c r="X36" s="14"/>
      <c r="Y36" s="14"/>
      <c r="AD36" s="14"/>
    </row>
    <row r="37" spans="3:30" x14ac:dyDescent="0.25">
      <c r="C37" s="2" t="s">
        <v>74</v>
      </c>
      <c r="D37" s="14">
        <v>680</v>
      </c>
      <c r="E37" s="14"/>
      <c r="F37" s="14"/>
      <c r="G37" s="14"/>
      <c r="H37" s="14">
        <v>680</v>
      </c>
      <c r="I37" s="14">
        <v>680</v>
      </c>
      <c r="J37" s="14">
        <v>680</v>
      </c>
      <c r="K37" s="14">
        <v>680</v>
      </c>
      <c r="L37" s="14">
        <v>680</v>
      </c>
      <c r="M37" s="14">
        <v>681</v>
      </c>
      <c r="N37" s="14">
        <v>681</v>
      </c>
      <c r="O37" s="14">
        <v>681</v>
      </c>
      <c r="P37" s="14">
        <v>681</v>
      </c>
      <c r="Q37" s="14">
        <v>681</v>
      </c>
      <c r="R37" s="14">
        <v>681</v>
      </c>
      <c r="S37" s="14">
        <v>680</v>
      </c>
      <c r="T37" s="14">
        <v>680</v>
      </c>
      <c r="U37" s="14"/>
      <c r="V37" s="14"/>
      <c r="W37" s="14"/>
      <c r="X37" s="14"/>
      <c r="Y37" s="14"/>
      <c r="AD37" s="14"/>
    </row>
    <row r="38" spans="3:30" x14ac:dyDescent="0.25">
      <c r="C38" s="2" t="s">
        <v>75</v>
      </c>
      <c r="D38" s="14">
        <v>1324</v>
      </c>
      <c r="E38" s="14"/>
      <c r="F38" s="14"/>
      <c r="G38" s="14"/>
      <c r="H38" s="14">
        <v>1828</v>
      </c>
      <c r="I38" s="14">
        <v>1899</v>
      </c>
      <c r="J38" s="14">
        <v>1763</v>
      </c>
      <c r="K38" s="14">
        <v>1806</v>
      </c>
      <c r="L38" s="14">
        <v>1923</v>
      </c>
      <c r="M38" s="14">
        <v>1832</v>
      </c>
      <c r="N38" s="14">
        <v>1975</v>
      </c>
      <c r="O38" s="14">
        <v>1957</v>
      </c>
      <c r="P38" s="14">
        <v>1883</v>
      </c>
      <c r="Q38" s="14">
        <v>2021</v>
      </c>
      <c r="R38" s="14">
        <v>1988</v>
      </c>
      <c r="S38" s="14">
        <v>2061</v>
      </c>
      <c r="T38" s="14">
        <v>1786</v>
      </c>
      <c r="U38" s="14"/>
      <c r="V38" s="14"/>
      <c r="W38" s="14"/>
      <c r="X38" s="14"/>
      <c r="Y38" s="14"/>
      <c r="AD38" s="14"/>
    </row>
    <row r="39" spans="3:30" x14ac:dyDescent="0.25">
      <c r="C39" s="2" t="s">
        <v>76</v>
      </c>
      <c r="D39" s="14">
        <v>1486</v>
      </c>
      <c r="E39" s="14"/>
      <c r="F39" s="14"/>
      <c r="G39" s="14"/>
      <c r="H39" s="14">
        <v>1707</v>
      </c>
      <c r="I39" s="14">
        <v>1563</v>
      </c>
      <c r="J39" s="14">
        <v>1770</v>
      </c>
      <c r="K39" s="14">
        <v>1712</v>
      </c>
      <c r="L39" s="14">
        <v>1908</v>
      </c>
      <c r="M39" s="14">
        <v>1670</v>
      </c>
      <c r="N39" s="14">
        <v>1498</v>
      </c>
      <c r="O39" s="14">
        <v>1786</v>
      </c>
      <c r="P39" s="14">
        <v>1893</v>
      </c>
      <c r="Q39" s="14">
        <v>1301</v>
      </c>
      <c r="R39" s="14">
        <v>1483</v>
      </c>
      <c r="S39" s="14">
        <v>1800</v>
      </c>
      <c r="T39" s="14">
        <v>2116</v>
      </c>
      <c r="U39" s="14"/>
      <c r="V39" s="14"/>
      <c r="W39" s="14"/>
      <c r="X39" s="14"/>
      <c r="Y39" s="14"/>
      <c r="AD39" s="14"/>
    </row>
    <row r="40" spans="3:30" x14ac:dyDescent="0.25">
      <c r="C40" s="11" t="s">
        <v>77</v>
      </c>
      <c r="D40" s="16">
        <f t="shared" ref="D40:O40" si="100">SUM(D37:D39)</f>
        <v>3490</v>
      </c>
      <c r="E40" s="16">
        <f t="shared" si="100"/>
        <v>0</v>
      </c>
      <c r="F40" s="16">
        <f t="shared" si="100"/>
        <v>0</v>
      </c>
      <c r="G40" s="16">
        <f t="shared" si="100"/>
        <v>0</v>
      </c>
      <c r="H40" s="16">
        <f t="shared" si="100"/>
        <v>4215</v>
      </c>
      <c r="I40" s="16">
        <f t="shared" si="100"/>
        <v>4142</v>
      </c>
      <c r="J40" s="16">
        <f t="shared" si="100"/>
        <v>4213</v>
      </c>
      <c r="K40" s="16">
        <f t="shared" si="100"/>
        <v>4198</v>
      </c>
      <c r="L40" s="16">
        <f t="shared" si="100"/>
        <v>4511</v>
      </c>
      <c r="M40" s="16">
        <f t="shared" si="100"/>
        <v>4183</v>
      </c>
      <c r="N40" s="16">
        <f t="shared" si="100"/>
        <v>4154</v>
      </c>
      <c r="O40" s="16">
        <f t="shared" si="100"/>
        <v>4424</v>
      </c>
      <c r="P40" s="16">
        <f>SUM(P37:P39)</f>
        <v>4457</v>
      </c>
      <c r="Q40" s="16">
        <f>SUM(Q37:Q39)</f>
        <v>4003</v>
      </c>
      <c r="R40" s="16">
        <f>SUM(R37:R39)</f>
        <v>4152</v>
      </c>
      <c r="S40" s="16">
        <f>SUM(S37:S39)</f>
        <v>4541</v>
      </c>
      <c r="T40" s="16">
        <f>SUM(T37:T39)</f>
        <v>4582</v>
      </c>
      <c r="U40" s="14"/>
      <c r="V40" s="14"/>
      <c r="W40" s="14"/>
      <c r="X40" s="14"/>
      <c r="Y40" s="14"/>
      <c r="AD40" s="53"/>
    </row>
    <row r="41" spans="3:30" x14ac:dyDescent="0.25">
      <c r="C41" s="2" t="s">
        <v>78</v>
      </c>
      <c r="D41" s="14">
        <v>475</v>
      </c>
      <c r="E41" s="14"/>
      <c r="F41" s="14"/>
      <c r="G41" s="14"/>
      <c r="H41" s="14">
        <v>0</v>
      </c>
      <c r="I41" s="14">
        <v>588</v>
      </c>
      <c r="J41" s="14">
        <v>588</v>
      </c>
      <c r="K41" s="14">
        <v>588</v>
      </c>
      <c r="L41" s="14">
        <v>588</v>
      </c>
      <c r="M41" s="14">
        <v>588</v>
      </c>
      <c r="N41" s="14">
        <v>588</v>
      </c>
      <c r="O41" s="14">
        <v>588</v>
      </c>
      <c r="P41" s="14">
        <v>588</v>
      </c>
      <c r="Q41" s="14">
        <v>588</v>
      </c>
      <c r="R41" s="14">
        <v>588</v>
      </c>
      <c r="S41" s="14">
        <v>588</v>
      </c>
      <c r="T41" s="14">
        <v>588</v>
      </c>
      <c r="U41" s="14"/>
      <c r="V41" s="14"/>
      <c r="W41" s="14"/>
      <c r="X41" s="14"/>
      <c r="Y41" s="14"/>
    </row>
    <row r="42" spans="3:30" x14ac:dyDescent="0.25">
      <c r="C42" s="2" t="s">
        <v>79</v>
      </c>
      <c r="D42" s="14">
        <v>1050</v>
      </c>
      <c r="E42" s="14"/>
      <c r="F42" s="14"/>
      <c r="G42" s="14"/>
      <c r="H42" s="14">
        <v>1110</v>
      </c>
      <c r="I42" s="14">
        <v>1100</v>
      </c>
      <c r="J42" s="14">
        <v>1149</v>
      </c>
      <c r="K42" s="14">
        <v>1093</v>
      </c>
      <c r="L42" s="14">
        <v>1144</v>
      </c>
      <c r="M42" s="14">
        <v>1183</v>
      </c>
      <c r="N42" s="14">
        <v>1186</v>
      </c>
      <c r="O42" s="14">
        <v>1151</v>
      </c>
      <c r="P42" s="14">
        <v>1167</v>
      </c>
      <c r="Q42" s="14">
        <v>1233</v>
      </c>
      <c r="R42" s="14">
        <v>1175</v>
      </c>
      <c r="S42" s="14">
        <v>1126</v>
      </c>
      <c r="T42" s="14">
        <v>1125</v>
      </c>
      <c r="U42" s="14"/>
      <c r="V42" s="14"/>
      <c r="W42" s="14"/>
      <c r="X42" s="14"/>
      <c r="Y42" s="14"/>
    </row>
    <row r="43" spans="3:30" x14ac:dyDescent="0.25">
      <c r="C43" s="2" t="s">
        <v>80</v>
      </c>
      <c r="D43" s="14">
        <v>144</v>
      </c>
      <c r="E43" s="16"/>
      <c r="F43" s="16"/>
      <c r="G43" s="16"/>
      <c r="H43" s="16">
        <v>148</v>
      </c>
      <c r="I43" s="16">
        <v>177</v>
      </c>
      <c r="J43" s="16">
        <v>148</v>
      </c>
      <c r="K43" s="16">
        <v>168</v>
      </c>
      <c r="L43" s="16">
        <v>176</v>
      </c>
      <c r="M43" s="16">
        <v>165</v>
      </c>
      <c r="N43" s="16">
        <v>187</v>
      </c>
      <c r="O43" s="16">
        <v>198</v>
      </c>
      <c r="P43" s="14">
        <v>191</v>
      </c>
      <c r="Q43" s="14">
        <v>192</v>
      </c>
      <c r="R43" s="14">
        <v>195</v>
      </c>
      <c r="S43" s="14">
        <v>185</v>
      </c>
      <c r="T43" s="14">
        <v>175</v>
      </c>
      <c r="U43" s="14"/>
      <c r="V43" s="14"/>
      <c r="W43" s="14"/>
      <c r="X43" s="14"/>
      <c r="Y43" s="14"/>
    </row>
    <row r="44" spans="3:30" x14ac:dyDescent="0.25">
      <c r="C44" s="2" t="s">
        <v>81</v>
      </c>
      <c r="D44" s="16">
        <v>135</v>
      </c>
      <c r="E44" s="14"/>
      <c r="F44" s="14"/>
      <c r="G44" s="14"/>
      <c r="H44" s="14">
        <v>155</v>
      </c>
      <c r="I44" s="14">
        <v>154</v>
      </c>
      <c r="J44" s="14">
        <v>150</v>
      </c>
      <c r="K44" s="14">
        <v>151</v>
      </c>
      <c r="L44" s="14">
        <v>153</v>
      </c>
      <c r="M44" s="14">
        <v>150</v>
      </c>
      <c r="N44" s="14">
        <v>156</v>
      </c>
      <c r="O44" s="14">
        <v>168</v>
      </c>
      <c r="P44" s="14">
        <v>167</v>
      </c>
      <c r="Q44" s="14">
        <v>170</v>
      </c>
      <c r="R44" s="14">
        <v>170</v>
      </c>
      <c r="S44" s="14">
        <v>174</v>
      </c>
      <c r="T44" s="14">
        <v>163</v>
      </c>
      <c r="U44" s="14"/>
      <c r="V44" s="14"/>
      <c r="W44" s="14"/>
      <c r="X44" s="14"/>
      <c r="Y44" s="14"/>
    </row>
    <row r="45" spans="3:30" x14ac:dyDescent="0.25">
      <c r="C45" s="2" t="s">
        <v>82</v>
      </c>
      <c r="D45" s="14">
        <v>4874</v>
      </c>
      <c r="E45" s="14"/>
      <c r="F45" s="14"/>
      <c r="G45" s="14"/>
      <c r="H45" s="14">
        <v>6999</v>
      </c>
      <c r="I45" s="14">
        <v>7521</v>
      </c>
      <c r="J45" s="14">
        <v>5007</v>
      </c>
      <c r="K45" s="14">
        <v>8045</v>
      </c>
      <c r="L45" s="14">
        <v>5148</v>
      </c>
      <c r="M45" s="14">
        <v>7118</v>
      </c>
      <c r="N45" s="14">
        <v>4905</v>
      </c>
      <c r="O45" s="14">
        <v>9746</v>
      </c>
      <c r="P45" s="14">
        <v>5950</v>
      </c>
      <c r="Q45" s="14">
        <v>8314</v>
      </c>
      <c r="R45" s="14">
        <v>5249</v>
      </c>
      <c r="S45" s="14">
        <v>9670</v>
      </c>
      <c r="T45" s="14">
        <v>7389</v>
      </c>
      <c r="U45" s="14"/>
      <c r="V45" s="14"/>
      <c r="W45" s="14"/>
      <c r="X45" s="14"/>
      <c r="Y45" s="14"/>
    </row>
    <row r="46" spans="3:30" x14ac:dyDescent="0.25">
      <c r="C46" s="2" t="s">
        <v>83</v>
      </c>
      <c r="D46" s="14">
        <v>265</v>
      </c>
      <c r="E46" s="14"/>
      <c r="F46" s="14"/>
      <c r="G46" s="14"/>
      <c r="H46" s="14">
        <v>484</v>
      </c>
      <c r="I46" s="14">
        <v>585</v>
      </c>
      <c r="J46" s="14">
        <v>570</v>
      </c>
      <c r="K46" s="14">
        <v>5</v>
      </c>
      <c r="L46" s="14">
        <v>327</v>
      </c>
      <c r="M46" s="14">
        <v>655</v>
      </c>
      <c r="N46" s="14">
        <v>520</v>
      </c>
      <c r="O46" s="14">
        <v>4</v>
      </c>
      <c r="P46" s="14">
        <v>13</v>
      </c>
      <c r="Q46" s="14">
        <v>891</v>
      </c>
      <c r="R46" s="14">
        <v>730</v>
      </c>
      <c r="S46" s="14">
        <v>4</v>
      </c>
      <c r="T46" s="14">
        <v>15</v>
      </c>
      <c r="U46" s="14"/>
      <c r="V46" s="14"/>
      <c r="W46" s="14"/>
      <c r="X46" s="14"/>
      <c r="Y46" s="14"/>
    </row>
    <row r="47" spans="3:30" x14ac:dyDescent="0.25">
      <c r="C47" s="2" t="s">
        <v>84</v>
      </c>
      <c r="D47" s="14">
        <v>337</v>
      </c>
      <c r="E47" s="14"/>
      <c r="F47" s="14"/>
      <c r="G47" s="14"/>
      <c r="H47" s="14">
        <v>411</v>
      </c>
      <c r="I47" s="14">
        <v>448</v>
      </c>
      <c r="J47" s="14">
        <v>423</v>
      </c>
      <c r="K47" s="14">
        <v>418</v>
      </c>
      <c r="L47" s="14">
        <v>470</v>
      </c>
      <c r="M47" s="14">
        <v>458</v>
      </c>
      <c r="N47" s="14">
        <v>447</v>
      </c>
      <c r="O47" s="14">
        <v>456</v>
      </c>
      <c r="P47" s="14">
        <v>470</v>
      </c>
      <c r="Q47" s="14">
        <v>491</v>
      </c>
      <c r="R47" s="14">
        <v>475</v>
      </c>
      <c r="S47" s="14">
        <v>470</v>
      </c>
      <c r="T47" s="14">
        <v>467</v>
      </c>
      <c r="U47" s="14"/>
      <c r="V47" s="14"/>
      <c r="W47" s="14"/>
      <c r="X47" s="14"/>
      <c r="Y47" s="14"/>
    </row>
    <row r="48" spans="3:30" x14ac:dyDescent="0.25">
      <c r="C48" s="2" t="s">
        <v>85</v>
      </c>
      <c r="D48" s="14">
        <v>50</v>
      </c>
      <c r="E48" s="14"/>
      <c r="F48" s="14"/>
      <c r="G48" s="14"/>
      <c r="H48" s="14">
        <v>71</v>
      </c>
      <c r="I48" s="14">
        <v>116</v>
      </c>
      <c r="J48" s="14">
        <v>150</v>
      </c>
      <c r="K48" s="14">
        <v>200</v>
      </c>
      <c r="L48" s="14">
        <v>103</v>
      </c>
      <c r="M48" s="14">
        <v>159</v>
      </c>
      <c r="N48" s="14">
        <v>160</v>
      </c>
      <c r="O48" s="14">
        <v>144</v>
      </c>
      <c r="P48" s="14">
        <v>83</v>
      </c>
      <c r="Q48" s="14">
        <v>144</v>
      </c>
      <c r="R48" s="14">
        <v>221</v>
      </c>
      <c r="S48" s="14">
        <v>48</v>
      </c>
      <c r="T48" s="14">
        <v>115</v>
      </c>
      <c r="U48" s="14"/>
      <c r="V48" s="14"/>
      <c r="W48" s="14"/>
      <c r="X48" s="14"/>
      <c r="Y48" s="14"/>
    </row>
    <row r="49" spans="3:32" x14ac:dyDescent="0.25">
      <c r="C49" s="2" t="s">
        <v>86</v>
      </c>
      <c r="D49" s="14">
        <v>118</v>
      </c>
      <c r="E49" s="14"/>
      <c r="F49" s="14"/>
      <c r="G49" s="14"/>
      <c r="H49" s="14">
        <v>45</v>
      </c>
      <c r="I49" s="14">
        <v>40</v>
      </c>
      <c r="J49" s="14">
        <v>49</v>
      </c>
      <c r="K49" s="14">
        <v>55</v>
      </c>
      <c r="L49" s="14">
        <v>54</v>
      </c>
      <c r="M49" s="14">
        <v>38</v>
      </c>
      <c r="N49" s="14">
        <v>39</v>
      </c>
      <c r="O49" s="14">
        <v>90</v>
      </c>
      <c r="P49" s="14">
        <v>64</v>
      </c>
      <c r="Q49" s="14">
        <v>58</v>
      </c>
      <c r="R49" s="14">
        <v>53</v>
      </c>
      <c r="S49" s="14">
        <v>75</v>
      </c>
      <c r="T49" s="14">
        <v>60</v>
      </c>
      <c r="U49" s="14"/>
      <c r="V49" s="14"/>
      <c r="W49" s="14"/>
      <c r="X49" s="14"/>
      <c r="Y49" s="14"/>
    </row>
    <row r="50" spans="3:32" x14ac:dyDescent="0.25">
      <c r="C50" s="2" t="s">
        <v>87</v>
      </c>
      <c r="D50" s="14">
        <v>2552</v>
      </c>
      <c r="E50" s="14"/>
      <c r="F50" s="14"/>
      <c r="G50" s="14"/>
      <c r="H50" s="14">
        <v>3199</v>
      </c>
      <c r="I50" s="14">
        <v>3427</v>
      </c>
      <c r="J50" s="14">
        <v>2989</v>
      </c>
      <c r="K50" s="14">
        <v>3715</v>
      </c>
      <c r="L50" s="14">
        <v>3442</v>
      </c>
      <c r="M50" s="14">
        <v>3343</v>
      </c>
      <c r="N50" s="14">
        <v>3821</v>
      </c>
      <c r="O50" s="14">
        <v>4141</v>
      </c>
      <c r="P50" s="14">
        <v>3932</v>
      </c>
      <c r="Q50" s="14">
        <v>4617</v>
      </c>
      <c r="R50" s="14">
        <v>3998</v>
      </c>
      <c r="S50" s="14">
        <v>4460</v>
      </c>
      <c r="T50" s="14">
        <v>3761</v>
      </c>
      <c r="U50" s="14"/>
      <c r="V50" s="14"/>
      <c r="W50" s="14"/>
      <c r="X50" s="14"/>
      <c r="Y50" s="14"/>
    </row>
    <row r="51" spans="3:32" x14ac:dyDescent="0.25">
      <c r="C51" s="11" t="s">
        <v>88</v>
      </c>
      <c r="D51" s="16">
        <f t="shared" ref="D51:O51" si="101">SUM(D41:D50)</f>
        <v>10000</v>
      </c>
      <c r="E51" s="16">
        <f t="shared" si="101"/>
        <v>0</v>
      </c>
      <c r="F51" s="16">
        <f t="shared" si="101"/>
        <v>0</v>
      </c>
      <c r="G51" s="16">
        <f t="shared" si="101"/>
        <v>0</v>
      </c>
      <c r="H51" s="16">
        <f t="shared" si="101"/>
        <v>12622</v>
      </c>
      <c r="I51" s="16">
        <f t="shared" si="101"/>
        <v>14156</v>
      </c>
      <c r="J51" s="16">
        <f t="shared" si="101"/>
        <v>11223</v>
      </c>
      <c r="K51" s="16">
        <f t="shared" si="101"/>
        <v>14438</v>
      </c>
      <c r="L51" s="16">
        <f t="shared" si="101"/>
        <v>11605</v>
      </c>
      <c r="M51" s="16">
        <f t="shared" si="101"/>
        <v>13857</v>
      </c>
      <c r="N51" s="16">
        <f t="shared" si="101"/>
        <v>12009</v>
      </c>
      <c r="O51" s="16">
        <f t="shared" si="101"/>
        <v>16686</v>
      </c>
      <c r="P51" s="16">
        <f>SUM(P41:P50)</f>
        <v>12625</v>
      </c>
      <c r="Q51" s="16">
        <f>SUM(Q41:Q50)</f>
        <v>16698</v>
      </c>
      <c r="R51" s="16">
        <f>SUM(R41:R50)</f>
        <v>12854</v>
      </c>
      <c r="S51" s="16">
        <f>SUM(S41:S50)</f>
        <v>16800</v>
      </c>
      <c r="T51" s="16">
        <f>SUM(T41:T50)</f>
        <v>13858</v>
      </c>
      <c r="U51" s="14"/>
      <c r="V51" s="14"/>
      <c r="W51" s="14"/>
      <c r="X51" s="14"/>
      <c r="Y51" s="14"/>
    </row>
    <row r="52" spans="3:32" x14ac:dyDescent="0.25">
      <c r="C52" s="1" t="s">
        <v>89</v>
      </c>
      <c r="D52" s="12">
        <f t="shared" ref="D52:O52" si="102">D40+D51</f>
        <v>13490</v>
      </c>
      <c r="E52" s="12">
        <f t="shared" si="102"/>
        <v>0</v>
      </c>
      <c r="F52" s="12">
        <f t="shared" si="102"/>
        <v>0</v>
      </c>
      <c r="G52" s="12">
        <f t="shared" si="102"/>
        <v>0</v>
      </c>
      <c r="H52" s="12">
        <f t="shared" si="102"/>
        <v>16837</v>
      </c>
      <c r="I52" s="12">
        <f t="shared" si="102"/>
        <v>18298</v>
      </c>
      <c r="J52" s="12">
        <f t="shared" si="102"/>
        <v>15436</v>
      </c>
      <c r="K52" s="12">
        <f t="shared" si="102"/>
        <v>18636</v>
      </c>
      <c r="L52" s="12">
        <f t="shared" si="102"/>
        <v>16116</v>
      </c>
      <c r="M52" s="12">
        <f t="shared" si="102"/>
        <v>18040</v>
      </c>
      <c r="N52" s="12">
        <f t="shared" si="102"/>
        <v>16163</v>
      </c>
      <c r="O52" s="12">
        <f t="shared" si="102"/>
        <v>21110</v>
      </c>
      <c r="P52" s="12">
        <f>P40+P51</f>
        <v>17082</v>
      </c>
      <c r="Q52" s="12">
        <f>Q40+Q51</f>
        <v>20701</v>
      </c>
      <c r="R52" s="12">
        <f>R40+R51</f>
        <v>17006</v>
      </c>
      <c r="S52" s="12">
        <f>S40+S51</f>
        <v>21341</v>
      </c>
      <c r="T52" s="12">
        <f>T40+T51</f>
        <v>18440</v>
      </c>
      <c r="U52" s="14"/>
      <c r="V52" s="14"/>
      <c r="W52" s="14"/>
      <c r="X52" s="14"/>
      <c r="Y52" s="14"/>
    </row>
    <row r="53" spans="3:32" x14ac:dyDescent="0.25"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</row>
    <row r="54" spans="3:32" x14ac:dyDescent="0.25">
      <c r="C54" s="3" t="s">
        <v>30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</row>
    <row r="55" spans="3:32" x14ac:dyDescent="0.25">
      <c r="C55" s="2" t="s">
        <v>90</v>
      </c>
      <c r="D55" s="14">
        <f t="shared" ref="D55:Q55" si="103">D14</f>
        <v>164</v>
      </c>
      <c r="E55" s="14">
        <f t="shared" si="103"/>
        <v>282</v>
      </c>
      <c r="F55" s="14">
        <f t="shared" si="103"/>
        <v>248</v>
      </c>
      <c r="G55" s="14">
        <f t="shared" si="103"/>
        <v>391</v>
      </c>
      <c r="H55" s="14">
        <f t="shared" si="103"/>
        <v>224</v>
      </c>
      <c r="I55" s="14">
        <f t="shared" si="103"/>
        <v>249</v>
      </c>
      <c r="J55" s="14">
        <f t="shared" si="103"/>
        <v>237</v>
      </c>
      <c r="K55" s="14">
        <f t="shared" si="103"/>
        <v>310</v>
      </c>
      <c r="L55" s="14">
        <f t="shared" si="103"/>
        <v>246</v>
      </c>
      <c r="M55" s="14">
        <f t="shared" si="103"/>
        <v>178</v>
      </c>
      <c r="N55" s="14">
        <f t="shared" si="103"/>
        <v>250</v>
      </c>
      <c r="O55" s="14">
        <f t="shared" si="103"/>
        <v>329</v>
      </c>
      <c r="P55" s="14">
        <f t="shared" si="103"/>
        <v>208</v>
      </c>
      <c r="Q55" s="14">
        <f t="shared" si="103"/>
        <v>203</v>
      </c>
      <c r="R55" s="14">
        <f>R14</f>
        <v>292</v>
      </c>
      <c r="S55" s="14">
        <f>S14</f>
        <v>438</v>
      </c>
      <c r="T55" s="14">
        <f>T14</f>
        <v>308</v>
      </c>
      <c r="V55" s="14"/>
      <c r="Z55" s="2">
        <f t="shared" ref="Z55:AF55" si="104">Z14</f>
        <v>656</v>
      </c>
      <c r="AA55" s="2">
        <f t="shared" si="104"/>
        <v>750</v>
      </c>
      <c r="AB55" s="2">
        <f t="shared" si="104"/>
        <v>942</v>
      </c>
      <c r="AC55" s="2">
        <f t="shared" si="104"/>
        <v>1084</v>
      </c>
      <c r="AD55" s="2">
        <f t="shared" si="104"/>
        <v>1021</v>
      </c>
      <c r="AE55" s="2">
        <f t="shared" si="104"/>
        <v>1002</v>
      </c>
      <c r="AF55" s="2">
        <f t="shared" si="104"/>
        <v>1141</v>
      </c>
    </row>
    <row r="56" spans="3:32" x14ac:dyDescent="0.25">
      <c r="C56" s="2" t="s">
        <v>91</v>
      </c>
      <c r="D56" s="14">
        <v>163</v>
      </c>
      <c r="E56" s="14"/>
      <c r="F56" s="14"/>
      <c r="G56" s="14"/>
      <c r="H56" s="14">
        <v>224</v>
      </c>
      <c r="I56" s="14">
        <v>249</v>
      </c>
      <c r="J56" s="14">
        <v>237</v>
      </c>
      <c r="K56" s="14">
        <v>311</v>
      </c>
      <c r="L56" s="14">
        <v>245</v>
      </c>
      <c r="M56" s="14">
        <v>178</v>
      </c>
      <c r="N56" s="14">
        <v>250</v>
      </c>
      <c r="O56" s="14">
        <v>329</v>
      </c>
      <c r="P56" s="14">
        <v>209</v>
      </c>
      <c r="Q56" s="14">
        <v>203</v>
      </c>
      <c r="R56" s="14">
        <v>292</v>
      </c>
      <c r="S56" s="2">
        <v>437</v>
      </c>
      <c r="T56" s="2">
        <v>460</v>
      </c>
      <c r="V56" s="14"/>
      <c r="AB56" s="2">
        <v>942</v>
      </c>
      <c r="AC56" s="2">
        <v>1084</v>
      </c>
      <c r="AD56" s="14">
        <f t="shared" ref="AD56:AD63" si="105">SUM(H56:K56)</f>
        <v>1021</v>
      </c>
      <c r="AE56" s="14">
        <f t="shared" ref="AE56:AE63" si="106">SUM(L56:O56)</f>
        <v>1002</v>
      </c>
      <c r="AF56" s="2">
        <v>1141</v>
      </c>
    </row>
    <row r="57" spans="3:32" x14ac:dyDescent="0.25">
      <c r="C57" s="2" t="s">
        <v>54</v>
      </c>
      <c r="D57" s="14">
        <v>147</v>
      </c>
      <c r="E57" s="14"/>
      <c r="F57" s="14"/>
      <c r="G57" s="14"/>
      <c r="H57" s="14">
        <v>168</v>
      </c>
      <c r="I57" s="14">
        <v>175</v>
      </c>
      <c r="J57" s="14">
        <v>170</v>
      </c>
      <c r="K57" s="14">
        <v>175</v>
      </c>
      <c r="L57" s="14">
        <v>180</v>
      </c>
      <c r="M57" s="14">
        <v>179</v>
      </c>
      <c r="N57" s="14">
        <v>185</v>
      </c>
      <c r="O57" s="14">
        <v>192</v>
      </c>
      <c r="P57" s="14">
        <v>188</v>
      </c>
      <c r="Q57" s="14">
        <v>194</v>
      </c>
      <c r="R57" s="14">
        <v>197</v>
      </c>
      <c r="S57" s="2">
        <v>200</v>
      </c>
      <c r="T57" s="2">
        <v>194</v>
      </c>
      <c r="V57" s="14"/>
      <c r="AB57" s="2">
        <v>84</v>
      </c>
      <c r="AC57" s="2">
        <v>133</v>
      </c>
      <c r="AD57" s="14">
        <f t="shared" si="105"/>
        <v>688</v>
      </c>
      <c r="AE57" s="14">
        <f t="shared" si="106"/>
        <v>736</v>
      </c>
      <c r="AF57" s="2">
        <v>779</v>
      </c>
    </row>
    <row r="58" spans="3:32" x14ac:dyDescent="0.25">
      <c r="C58" s="2" t="s">
        <v>92</v>
      </c>
      <c r="D58" s="14">
        <v>7</v>
      </c>
      <c r="E58" s="14"/>
      <c r="F58" s="14"/>
      <c r="G58" s="14"/>
      <c r="H58" s="14">
        <v>12</v>
      </c>
      <c r="I58" s="14">
        <v>16</v>
      </c>
      <c r="J58" s="14">
        <v>18</v>
      </c>
      <c r="K58" s="14">
        <v>17</v>
      </c>
      <c r="L58" s="14">
        <v>15</v>
      </c>
      <c r="M58" s="14">
        <v>20</v>
      </c>
      <c r="N58" s="14">
        <v>22</v>
      </c>
      <c r="O58" s="14">
        <v>21</v>
      </c>
      <c r="P58" s="14">
        <v>11</v>
      </c>
      <c r="Q58" s="14">
        <v>28</v>
      </c>
      <c r="R58" s="14">
        <v>21</v>
      </c>
      <c r="S58" s="2">
        <v>21</v>
      </c>
      <c r="T58" s="2">
        <v>20</v>
      </c>
      <c r="V58" s="14"/>
      <c r="AB58" s="2">
        <v>614</v>
      </c>
      <c r="AC58" s="2">
        <v>615</v>
      </c>
      <c r="AD58" s="14">
        <f t="shared" si="105"/>
        <v>63</v>
      </c>
      <c r="AE58" s="14">
        <f t="shared" si="106"/>
        <v>78</v>
      </c>
      <c r="AF58" s="2">
        <v>81</v>
      </c>
    </row>
    <row r="59" spans="3:32" x14ac:dyDescent="0.25">
      <c r="C59" s="2" t="s">
        <v>93</v>
      </c>
      <c r="D59" s="14">
        <v>0</v>
      </c>
      <c r="E59" s="14"/>
      <c r="F59" s="14"/>
      <c r="G59" s="14"/>
      <c r="H59" s="14">
        <v>0</v>
      </c>
      <c r="I59" s="14">
        <v>0</v>
      </c>
      <c r="J59" s="14">
        <v>0</v>
      </c>
      <c r="K59" s="14">
        <v>0</v>
      </c>
      <c r="L59" s="14">
        <v>-2</v>
      </c>
      <c r="M59" s="14">
        <v>0</v>
      </c>
      <c r="N59" s="14">
        <v>-2</v>
      </c>
      <c r="O59" s="14">
        <v>1</v>
      </c>
      <c r="P59" s="14">
        <v>0</v>
      </c>
      <c r="Q59" s="14">
        <v>-2</v>
      </c>
      <c r="R59" s="14">
        <v>0</v>
      </c>
      <c r="S59" s="2">
        <v>1</v>
      </c>
      <c r="T59" s="2">
        <v>-1</v>
      </c>
      <c r="V59" s="14"/>
      <c r="AB59" s="2">
        <v>49</v>
      </c>
      <c r="AC59" s="2">
        <v>53</v>
      </c>
      <c r="AD59" s="14">
        <f t="shared" si="105"/>
        <v>0</v>
      </c>
      <c r="AE59" s="14">
        <f t="shared" si="106"/>
        <v>-3</v>
      </c>
      <c r="AF59" s="2">
        <v>-1</v>
      </c>
    </row>
    <row r="60" spans="3:32" x14ac:dyDescent="0.25">
      <c r="C60" s="2" t="s">
        <v>94</v>
      </c>
      <c r="D60" s="14">
        <v>23</v>
      </c>
      <c r="E60" s="14"/>
      <c r="F60" s="14"/>
      <c r="G60" s="14"/>
      <c r="H60" s="14">
        <v>43</v>
      </c>
      <c r="I60" s="14">
        <v>48</v>
      </c>
      <c r="J60" s="14">
        <v>51</v>
      </c>
      <c r="K60" s="14">
        <v>54</v>
      </c>
      <c r="L60" s="14">
        <v>36</v>
      </c>
      <c r="M60" s="14">
        <v>52</v>
      </c>
      <c r="N60" s="14">
        <v>51</v>
      </c>
      <c r="O60" s="14">
        <v>41</v>
      </c>
      <c r="P60" s="14">
        <v>34</v>
      </c>
      <c r="Q60" s="14">
        <v>45</v>
      </c>
      <c r="R60" s="14">
        <v>45</v>
      </c>
      <c r="S60" s="2">
        <v>41</v>
      </c>
      <c r="T60" s="2">
        <v>-152</v>
      </c>
      <c r="V60" s="14"/>
      <c r="AB60" s="2">
        <v>-44</v>
      </c>
      <c r="AC60" s="2">
        <v>-72</v>
      </c>
      <c r="AD60" s="14">
        <f t="shared" si="105"/>
        <v>196</v>
      </c>
      <c r="AE60" s="14">
        <f t="shared" si="106"/>
        <v>180</v>
      </c>
      <c r="AF60" s="2">
        <v>165</v>
      </c>
    </row>
    <row r="61" spans="3:32" x14ac:dyDescent="0.25">
      <c r="C61" s="2" t="s">
        <v>95</v>
      </c>
      <c r="D61" s="14">
        <v>-95</v>
      </c>
      <c r="E61" s="14"/>
      <c r="F61" s="14"/>
      <c r="G61" s="14"/>
      <c r="H61" s="14">
        <v>-82</v>
      </c>
      <c r="I61" s="14">
        <v>-39</v>
      </c>
      <c r="J61" s="14">
        <v>-46</v>
      </c>
      <c r="K61" s="14">
        <v>-85</v>
      </c>
      <c r="L61" s="14">
        <v>-99</v>
      </c>
      <c r="M61" s="14">
        <v>-55</v>
      </c>
      <c r="N61" s="14">
        <v>-63</v>
      </c>
      <c r="O61" s="14">
        <v>-47</v>
      </c>
      <c r="P61" s="14">
        <v>-10</v>
      </c>
      <c r="Q61" s="14">
        <v>-42</v>
      </c>
      <c r="R61" s="14">
        <v>-42</v>
      </c>
      <c r="S61" s="2">
        <v>-86</v>
      </c>
      <c r="T61" s="2">
        <v>-27</v>
      </c>
      <c r="U61" s="1"/>
      <c r="V61" s="14"/>
      <c r="W61" s="1"/>
      <c r="X61" s="1"/>
      <c r="Y61" s="1"/>
      <c r="AB61" s="2">
        <v>-151</v>
      </c>
      <c r="AC61" s="2">
        <v>-240</v>
      </c>
      <c r="AD61" s="14">
        <f t="shared" si="105"/>
        <v>-252</v>
      </c>
      <c r="AE61" s="14">
        <f t="shared" si="106"/>
        <v>-264</v>
      </c>
      <c r="AF61" s="2">
        <v>-180</v>
      </c>
    </row>
    <row r="62" spans="3:32" x14ac:dyDescent="0.25">
      <c r="C62" s="2" t="s">
        <v>96</v>
      </c>
      <c r="D62" s="14">
        <v>-20</v>
      </c>
      <c r="E62" s="14"/>
      <c r="F62" s="14"/>
      <c r="G62" s="14"/>
      <c r="H62" s="14">
        <v>-43</v>
      </c>
      <c r="I62" s="14">
        <v>-46</v>
      </c>
      <c r="J62" s="14">
        <v>-43</v>
      </c>
      <c r="K62" s="14">
        <v>-64</v>
      </c>
      <c r="L62" s="14">
        <v>-36</v>
      </c>
      <c r="M62" s="14">
        <v>-52</v>
      </c>
      <c r="N62" s="14">
        <v>-52</v>
      </c>
      <c r="O62" s="14">
        <v>-41</v>
      </c>
      <c r="P62" s="14">
        <v>-34</v>
      </c>
      <c r="Q62" s="14">
        <v>-45</v>
      </c>
      <c r="R62" s="14">
        <v>-45</v>
      </c>
      <c r="S62" s="2">
        <v>-41</v>
      </c>
      <c r="T62" s="2">
        <v>-35</v>
      </c>
      <c r="U62" s="1"/>
      <c r="V62" s="14"/>
      <c r="W62" s="1"/>
      <c r="X62" s="1"/>
      <c r="Y62" s="1"/>
      <c r="AB62" s="2">
        <v>-80</v>
      </c>
      <c r="AC62" s="2">
        <f>-140+7</f>
        <v>-133</v>
      </c>
      <c r="AD62" s="14">
        <f t="shared" si="105"/>
        <v>-196</v>
      </c>
      <c r="AE62" s="14">
        <f t="shared" si="106"/>
        <v>-181</v>
      </c>
      <c r="AF62" s="2">
        <v>-165</v>
      </c>
    </row>
    <row r="63" spans="3:32" x14ac:dyDescent="0.25">
      <c r="C63" s="2" t="s">
        <v>97</v>
      </c>
      <c r="D63" s="14">
        <f>1923-340-1545-959</f>
        <v>-921</v>
      </c>
      <c r="E63" s="14"/>
      <c r="F63" s="14"/>
      <c r="G63" s="14"/>
      <c r="H63" s="14">
        <f>2407+14-1541-996</f>
        <v>-116</v>
      </c>
      <c r="I63" s="14">
        <f>-1449+28+891+465</f>
        <v>-65</v>
      </c>
      <c r="J63" s="14">
        <f>2045+377-2770-341</f>
        <v>-689</v>
      </c>
      <c r="K63" s="14">
        <f>-2810+69+2919+1048</f>
        <v>1226</v>
      </c>
      <c r="L63" s="14">
        <f>2482-96-2964-664</f>
        <v>-1242</v>
      </c>
      <c r="M63" s="14">
        <f>-1530-116+2037-48</f>
        <v>343</v>
      </c>
      <c r="N63" s="14">
        <f>1818+90-2385+197</f>
        <v>-280</v>
      </c>
      <c r="O63" s="14">
        <f>-3762-35+4839+617</f>
        <v>1659</v>
      </c>
      <c r="P63" s="14">
        <f>3088-125-3791-452</f>
        <v>-1280</v>
      </c>
      <c r="Q63" s="14">
        <f>-2470-147+2281-156</f>
        <v>-492</v>
      </c>
      <c r="R63" s="14">
        <f>3004+226-3051-427</f>
        <v>-248</v>
      </c>
      <c r="S63" s="14">
        <f>-4004+89+4279+1039</f>
        <v>1403</v>
      </c>
      <c r="T63" s="2">
        <v>-942</v>
      </c>
      <c r="U63" s="1"/>
      <c r="V63" s="14"/>
      <c r="W63" s="1"/>
      <c r="X63" s="1"/>
      <c r="Y63" s="1"/>
      <c r="AB63" s="2">
        <f>-446+306-40-136</f>
        <v>-316</v>
      </c>
      <c r="AC63" s="2">
        <f>-10-1537+1510-372</f>
        <v>-409</v>
      </c>
      <c r="AD63" s="14">
        <f t="shared" si="105"/>
        <v>356</v>
      </c>
      <c r="AE63" s="14">
        <f t="shared" si="106"/>
        <v>480</v>
      </c>
      <c r="AF63" s="2">
        <v>-617</v>
      </c>
    </row>
    <row r="64" spans="3:32" x14ac:dyDescent="0.25">
      <c r="C64" s="1" t="s">
        <v>98</v>
      </c>
      <c r="D64" s="12">
        <f t="shared" ref="D64:O64" si="107">SUM(D56:D63)</f>
        <v>-696</v>
      </c>
      <c r="E64" s="12">
        <f t="shared" si="107"/>
        <v>0</v>
      </c>
      <c r="F64" s="12">
        <f t="shared" si="107"/>
        <v>0</v>
      </c>
      <c r="G64" s="12">
        <f t="shared" si="107"/>
        <v>0</v>
      </c>
      <c r="H64" s="12">
        <f t="shared" si="107"/>
        <v>206</v>
      </c>
      <c r="I64" s="12">
        <f t="shared" si="107"/>
        <v>338</v>
      </c>
      <c r="J64" s="12">
        <f t="shared" si="107"/>
        <v>-302</v>
      </c>
      <c r="K64" s="12">
        <f t="shared" si="107"/>
        <v>1634</v>
      </c>
      <c r="L64" s="12">
        <f t="shared" si="107"/>
        <v>-903</v>
      </c>
      <c r="M64" s="12">
        <f t="shared" si="107"/>
        <v>665</v>
      </c>
      <c r="N64" s="12">
        <f t="shared" si="107"/>
        <v>111</v>
      </c>
      <c r="O64" s="12">
        <f t="shared" si="107"/>
        <v>2155</v>
      </c>
      <c r="P64" s="12">
        <f>SUM(P56:P63)</f>
        <v>-882</v>
      </c>
      <c r="Q64" s="12">
        <f>SUM(Q56:Q63)</f>
        <v>-111</v>
      </c>
      <c r="R64" s="12">
        <f>SUM(R56:R63)</f>
        <v>220</v>
      </c>
      <c r="S64" s="12">
        <f>SUM(S56:S63)</f>
        <v>1976</v>
      </c>
      <c r="T64" s="12">
        <f>SUM(T56:T63)</f>
        <v>-483</v>
      </c>
      <c r="U64" s="1"/>
      <c r="V64" s="14"/>
      <c r="W64" s="1"/>
      <c r="X64" s="1"/>
      <c r="Y64" s="1"/>
      <c r="Z64" s="1">
        <f t="shared" ref="Z64" si="108">SUM(Z56:Z63)</f>
        <v>0</v>
      </c>
      <c r="AA64" s="1">
        <f t="shared" ref="AA64" si="109">SUM(AA56:AA63)</f>
        <v>0</v>
      </c>
      <c r="AB64" s="1">
        <f t="shared" ref="AB64" si="110">SUM(AB56:AB63)</f>
        <v>1098</v>
      </c>
      <c r="AC64" s="1">
        <f t="shared" ref="AC64" si="111">SUM(AC56:AC63)</f>
        <v>1031</v>
      </c>
      <c r="AD64" s="1">
        <f t="shared" ref="AD64" si="112">SUM(AD56:AD63)</f>
        <v>1876</v>
      </c>
      <c r="AE64" s="1">
        <f t="shared" ref="AE64:AF64" si="113">SUM(AE56:AE63)</f>
        <v>2028</v>
      </c>
      <c r="AF64" s="1">
        <f t="shared" si="113"/>
        <v>1203</v>
      </c>
    </row>
    <row r="65" spans="3:32" x14ac:dyDescent="0.25">
      <c r="C65" s="1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"/>
      <c r="T65" s="1"/>
      <c r="U65" s="1"/>
      <c r="V65" s="14"/>
      <c r="W65" s="1"/>
      <c r="X65" s="1"/>
      <c r="Y65" s="1"/>
      <c r="Z65" s="1"/>
      <c r="AA65" s="1"/>
    </row>
    <row r="66" spans="3:32" x14ac:dyDescent="0.25">
      <c r="C66" s="2" t="s">
        <v>99</v>
      </c>
      <c r="D66" s="14">
        <v>-68</v>
      </c>
      <c r="E66" s="14"/>
      <c r="F66" s="14"/>
      <c r="G66" s="14"/>
      <c r="H66" s="14">
        <v>-73</v>
      </c>
      <c r="I66" s="14">
        <v>-108</v>
      </c>
      <c r="J66" s="14">
        <v>-41</v>
      </c>
      <c r="K66" s="14">
        <v>-100</v>
      </c>
      <c r="L66" s="14">
        <v>-82</v>
      </c>
      <c r="M66" s="14">
        <v>-112</v>
      </c>
      <c r="N66" s="14">
        <v>-89</v>
      </c>
      <c r="O66" s="14">
        <v>-144</v>
      </c>
      <c r="P66" s="14">
        <v>-103</v>
      </c>
      <c r="Q66" s="14">
        <v>-108</v>
      </c>
      <c r="R66" s="14">
        <v>-93</v>
      </c>
      <c r="S66" s="2">
        <v>-127</v>
      </c>
      <c r="T66" s="2">
        <v>-110</v>
      </c>
      <c r="U66" s="1"/>
      <c r="V66" s="14"/>
      <c r="W66" s="1"/>
      <c r="X66" s="1"/>
      <c r="Y66" s="1"/>
      <c r="Z66" s="1"/>
      <c r="AA66" s="1"/>
      <c r="AB66" s="2">
        <v>-329</v>
      </c>
      <c r="AC66" s="2">
        <f>-119-397</f>
        <v>-516</v>
      </c>
      <c r="AD66" s="14">
        <f>SUM(H66:K66)</f>
        <v>-322</v>
      </c>
      <c r="AE66" s="14">
        <f>SUM(L66:O66)</f>
        <v>-427</v>
      </c>
      <c r="AF66" s="2">
        <v>-431</v>
      </c>
    </row>
    <row r="67" spans="3:32" x14ac:dyDescent="0.25">
      <c r="C67" s="2" t="s">
        <v>100</v>
      </c>
      <c r="D67" s="14">
        <v>1</v>
      </c>
      <c r="E67" s="14"/>
      <c r="F67" s="14"/>
      <c r="G67" s="14"/>
      <c r="H67" s="14">
        <v>0</v>
      </c>
      <c r="I67" s="14">
        <v>1</v>
      </c>
      <c r="J67" s="14">
        <v>0</v>
      </c>
      <c r="K67" s="14">
        <v>1</v>
      </c>
      <c r="L67" s="14">
        <v>2</v>
      </c>
      <c r="M67" s="14">
        <v>1</v>
      </c>
      <c r="N67" s="14">
        <v>2</v>
      </c>
      <c r="O67" s="14">
        <v>0</v>
      </c>
      <c r="P67" s="14">
        <v>0</v>
      </c>
      <c r="Q67" s="14">
        <v>3</v>
      </c>
      <c r="R67" s="14">
        <v>9</v>
      </c>
      <c r="S67" s="2">
        <v>1</v>
      </c>
      <c r="T67" s="2">
        <v>63</v>
      </c>
      <c r="U67" s="1"/>
      <c r="V67" s="14"/>
      <c r="W67" s="1"/>
      <c r="X67" s="1"/>
      <c r="Y67" s="1"/>
      <c r="Z67" s="1"/>
      <c r="AA67" s="1"/>
      <c r="AB67" s="2">
        <v>56</v>
      </c>
      <c r="AC67" s="2">
        <v>76</v>
      </c>
      <c r="AD67" s="14">
        <f>SUM(H67:K67)</f>
        <v>2</v>
      </c>
      <c r="AE67" s="14">
        <f>SUM(L67:O67)</f>
        <v>5</v>
      </c>
      <c r="AF67" s="2">
        <v>13</v>
      </c>
    </row>
    <row r="68" spans="3:32" x14ac:dyDescent="0.25">
      <c r="C68" s="1" t="s">
        <v>101</v>
      </c>
      <c r="D68" s="12">
        <f t="shared" ref="D68:O68" si="114">SUM(D66:D67)</f>
        <v>-67</v>
      </c>
      <c r="E68" s="12">
        <f t="shared" si="114"/>
        <v>0</v>
      </c>
      <c r="F68" s="12">
        <f t="shared" si="114"/>
        <v>0</v>
      </c>
      <c r="G68" s="12">
        <f t="shared" si="114"/>
        <v>0</v>
      </c>
      <c r="H68" s="12">
        <f t="shared" si="114"/>
        <v>-73</v>
      </c>
      <c r="I68" s="12">
        <f t="shared" si="114"/>
        <v>-107</v>
      </c>
      <c r="J68" s="12">
        <f t="shared" si="114"/>
        <v>-41</v>
      </c>
      <c r="K68" s="12">
        <f t="shared" si="114"/>
        <v>-99</v>
      </c>
      <c r="L68" s="12">
        <f t="shared" si="114"/>
        <v>-80</v>
      </c>
      <c r="M68" s="12">
        <f t="shared" si="114"/>
        <v>-111</v>
      </c>
      <c r="N68" s="12">
        <f t="shared" si="114"/>
        <v>-87</v>
      </c>
      <c r="O68" s="12">
        <f t="shared" si="114"/>
        <v>-144</v>
      </c>
      <c r="P68" s="12">
        <f>SUM(P66:P67)</f>
        <v>-103</v>
      </c>
      <c r="Q68" s="12">
        <f>SUM(Q66:Q67)</f>
        <v>-105</v>
      </c>
      <c r="R68" s="12">
        <f>SUM(R66:R67)</f>
        <v>-84</v>
      </c>
      <c r="S68" s="12">
        <f>SUM(S66:S67)</f>
        <v>-126</v>
      </c>
      <c r="T68" s="12">
        <f>SUM(T66:T67)</f>
        <v>-47</v>
      </c>
      <c r="V68" s="14"/>
      <c r="Z68" s="1">
        <f t="shared" ref="Z68:AC68" si="115">SUM(Z66:Z67)</f>
        <v>0</v>
      </c>
      <c r="AA68" s="1">
        <f t="shared" si="115"/>
        <v>0</v>
      </c>
      <c r="AB68" s="1">
        <f t="shared" si="115"/>
        <v>-273</v>
      </c>
      <c r="AC68" s="1">
        <f t="shared" si="115"/>
        <v>-440</v>
      </c>
      <c r="AD68" s="1">
        <f t="shared" ref="AD68" si="116">SUM(AD66:AD67)</f>
        <v>-320</v>
      </c>
      <c r="AE68" s="1">
        <f t="shared" ref="AE68:AF68" si="117">SUM(AE66:AE67)</f>
        <v>-422</v>
      </c>
      <c r="AF68" s="1">
        <f t="shared" si="117"/>
        <v>-418</v>
      </c>
    </row>
    <row r="69" spans="3:32" x14ac:dyDescent="0.25"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V69" s="14"/>
    </row>
    <row r="70" spans="3:32" x14ac:dyDescent="0.25">
      <c r="C70" s="2" t="s">
        <v>102</v>
      </c>
      <c r="D70" s="14">
        <v>0</v>
      </c>
      <c r="E70" s="14"/>
      <c r="F70" s="14"/>
      <c r="G70" s="14"/>
      <c r="H70" s="14">
        <v>0</v>
      </c>
      <c r="I70" s="14">
        <v>-346</v>
      </c>
      <c r="J70" s="14">
        <v>0</v>
      </c>
      <c r="K70" s="14">
        <v>-347</v>
      </c>
      <c r="L70" s="14">
        <v>0</v>
      </c>
      <c r="M70" s="14">
        <v>-391</v>
      </c>
      <c r="N70" s="14">
        <v>0</v>
      </c>
      <c r="O70" s="14">
        <v>-391</v>
      </c>
      <c r="P70" s="14">
        <v>0</v>
      </c>
      <c r="Q70" s="14">
        <v>-390</v>
      </c>
      <c r="R70" s="14">
        <v>0</v>
      </c>
      <c r="S70" s="2">
        <v>-390</v>
      </c>
      <c r="T70" s="2">
        <v>0</v>
      </c>
      <c r="V70" s="14"/>
      <c r="AB70" s="2">
        <v>-555</v>
      </c>
      <c r="AC70" s="2">
        <v>-612</v>
      </c>
      <c r="AD70" s="14">
        <f>SUM(H70:K70)</f>
        <v>-693</v>
      </c>
      <c r="AE70" s="14">
        <f>SUM(L70:O70)</f>
        <v>-782</v>
      </c>
      <c r="AF70" s="2">
        <v>-780</v>
      </c>
    </row>
    <row r="71" spans="3:32" x14ac:dyDescent="0.25">
      <c r="C71" s="2" t="s">
        <v>103</v>
      </c>
      <c r="D71" s="14">
        <v>-81</v>
      </c>
      <c r="E71" s="14"/>
      <c r="F71" s="14"/>
      <c r="G71" s="14"/>
      <c r="H71" s="14">
        <v>0</v>
      </c>
      <c r="I71" s="14">
        <v>6</v>
      </c>
      <c r="J71" s="14">
        <v>10</v>
      </c>
      <c r="K71" s="14">
        <v>10</v>
      </c>
      <c r="L71" s="14">
        <v>9</v>
      </c>
      <c r="M71" s="14">
        <v>9</v>
      </c>
      <c r="N71" s="14">
        <v>10</v>
      </c>
      <c r="O71" s="14">
        <v>-6</v>
      </c>
      <c r="P71" s="14">
        <v>-65</v>
      </c>
      <c r="Q71" s="14">
        <v>9</v>
      </c>
      <c r="R71" s="14">
        <v>-30</v>
      </c>
      <c r="S71" s="2">
        <v>-3</v>
      </c>
      <c r="T71" s="2">
        <v>-63</v>
      </c>
      <c r="V71" s="14"/>
      <c r="AD71" s="14">
        <f>SUM(H71:K71)</f>
        <v>26</v>
      </c>
      <c r="AE71" s="14">
        <f>SUM(L71:O71)</f>
        <v>22</v>
      </c>
      <c r="AF71" s="2">
        <v>-89</v>
      </c>
    </row>
    <row r="72" spans="3:32" x14ac:dyDescent="0.25">
      <c r="C72" s="2" t="s">
        <v>104</v>
      </c>
      <c r="D72" s="14">
        <v>-78</v>
      </c>
      <c r="E72" s="14"/>
      <c r="F72" s="14"/>
      <c r="G72" s="14"/>
      <c r="H72" s="14">
        <v>-82</v>
      </c>
      <c r="I72" s="14">
        <v>-87</v>
      </c>
      <c r="J72" s="14">
        <v>-93</v>
      </c>
      <c r="K72" s="14">
        <v>-100</v>
      </c>
      <c r="L72" s="14">
        <v>-95</v>
      </c>
      <c r="M72" s="14">
        <v>-94</v>
      </c>
      <c r="N72" s="14">
        <v>-100</v>
      </c>
      <c r="O72" s="14">
        <v>-109</v>
      </c>
      <c r="P72" s="14">
        <v>-103</v>
      </c>
      <c r="Q72" s="14">
        <v>-104</v>
      </c>
      <c r="R72" s="14">
        <v>-109</v>
      </c>
      <c r="S72" s="2">
        <v>-108</v>
      </c>
      <c r="T72" s="2">
        <v>-109</v>
      </c>
      <c r="V72" s="14"/>
      <c r="AD72" s="14">
        <f>SUM(H72:K72)</f>
        <v>-362</v>
      </c>
      <c r="AE72" s="14">
        <f>SUM(L72:O72)</f>
        <v>-398</v>
      </c>
      <c r="AF72" s="2">
        <v>-424</v>
      </c>
    </row>
    <row r="73" spans="3:32" x14ac:dyDescent="0.25">
      <c r="C73" s="2" t="s">
        <v>105</v>
      </c>
      <c r="D73" s="14">
        <v>267</v>
      </c>
      <c r="E73" s="14"/>
      <c r="F73" s="14"/>
      <c r="G73" s="14"/>
      <c r="H73" s="14">
        <v>-97</v>
      </c>
      <c r="I73" s="14">
        <v>317</v>
      </c>
      <c r="J73" s="14">
        <v>317</v>
      </c>
      <c r="K73" s="14">
        <v>-592</v>
      </c>
      <c r="L73" s="14">
        <v>306</v>
      </c>
      <c r="M73" s="14">
        <v>314</v>
      </c>
      <c r="N73" s="14">
        <v>-153</v>
      </c>
      <c r="O73" s="14">
        <v>-540</v>
      </c>
      <c r="P73" s="14">
        <v>4</v>
      </c>
      <c r="Q73" s="14">
        <v>880</v>
      </c>
      <c r="R73" s="14">
        <v>-158</v>
      </c>
      <c r="S73" s="2">
        <v>-721</v>
      </c>
      <c r="T73" s="2">
        <v>15</v>
      </c>
      <c r="V73" s="14"/>
      <c r="AD73" s="14">
        <f>SUM(H73:K73)</f>
        <v>-55</v>
      </c>
      <c r="AE73" s="14">
        <f>SUM(L73:O73)</f>
        <v>-73</v>
      </c>
      <c r="AF73" s="2">
        <v>5</v>
      </c>
    </row>
    <row r="74" spans="3:32" x14ac:dyDescent="0.25">
      <c r="C74" s="1" t="s">
        <v>106</v>
      </c>
      <c r="D74" s="12">
        <f t="shared" ref="D74:O74" si="118">SUM(D70:D73)</f>
        <v>108</v>
      </c>
      <c r="E74" s="12">
        <f t="shared" si="118"/>
        <v>0</v>
      </c>
      <c r="F74" s="12">
        <f t="shared" si="118"/>
        <v>0</v>
      </c>
      <c r="G74" s="12">
        <f t="shared" si="118"/>
        <v>0</v>
      </c>
      <c r="H74" s="12">
        <f t="shared" si="118"/>
        <v>-179</v>
      </c>
      <c r="I74" s="12">
        <f t="shared" si="118"/>
        <v>-110</v>
      </c>
      <c r="J74" s="12">
        <f t="shared" si="118"/>
        <v>234</v>
      </c>
      <c r="K74" s="12">
        <f t="shared" si="118"/>
        <v>-1029</v>
      </c>
      <c r="L74" s="12">
        <f t="shared" si="118"/>
        <v>220</v>
      </c>
      <c r="M74" s="12">
        <f t="shared" si="118"/>
        <v>-162</v>
      </c>
      <c r="N74" s="12">
        <f t="shared" si="118"/>
        <v>-243</v>
      </c>
      <c r="O74" s="12">
        <f t="shared" si="118"/>
        <v>-1046</v>
      </c>
      <c r="P74" s="12">
        <f>SUM(P70:P73)</f>
        <v>-164</v>
      </c>
      <c r="Q74" s="12">
        <f>SUM(Q70:Q73)</f>
        <v>395</v>
      </c>
      <c r="R74" s="12">
        <f>SUM(R70:R73)</f>
        <v>-297</v>
      </c>
      <c r="S74" s="12">
        <f>SUM(S70:S73)</f>
        <v>-1222</v>
      </c>
      <c r="T74" s="12">
        <f>SUM(T70:T73)</f>
        <v>-157</v>
      </c>
      <c r="V74" s="14"/>
      <c r="Z74" s="1">
        <f t="shared" ref="Z74:AA74" si="119">SUM(Z70:Z73)</f>
        <v>0</v>
      </c>
      <c r="AA74" s="1">
        <f t="shared" si="119"/>
        <v>0</v>
      </c>
      <c r="AB74" s="1">
        <v>-870</v>
      </c>
      <c r="AC74" s="1">
        <v>-989</v>
      </c>
      <c r="AD74" s="1">
        <f t="shared" ref="AD74" si="120">SUM(AD70:AD73)</f>
        <v>-1084</v>
      </c>
      <c r="AE74" s="1">
        <f t="shared" ref="AE74:AF74" si="121">SUM(AE70:AE73)</f>
        <v>-1231</v>
      </c>
      <c r="AF74" s="1">
        <f t="shared" si="121"/>
        <v>-1288</v>
      </c>
    </row>
    <row r="75" spans="3:32" x14ac:dyDescent="0.25"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14"/>
    </row>
    <row r="76" spans="3:32" x14ac:dyDescent="0.25">
      <c r="C76" s="2" t="s">
        <v>107</v>
      </c>
      <c r="D76" s="14">
        <v>-92</v>
      </c>
      <c r="E76" s="14"/>
      <c r="F76" s="14"/>
      <c r="G76" s="14"/>
      <c r="H76" s="14">
        <v>179</v>
      </c>
      <c r="I76" s="14">
        <v>-15</v>
      </c>
      <c r="J76" s="14">
        <v>-36</v>
      </c>
      <c r="K76" s="14">
        <v>62</v>
      </c>
      <c r="L76" s="14">
        <v>6</v>
      </c>
      <c r="M76" s="14">
        <v>-32</v>
      </c>
      <c r="N76" s="14">
        <v>62</v>
      </c>
      <c r="O76" s="14">
        <v>5</v>
      </c>
      <c r="P76" s="14">
        <v>22</v>
      </c>
      <c r="Q76" s="14">
        <v>10</v>
      </c>
      <c r="R76" s="14">
        <v>2</v>
      </c>
      <c r="S76" s="2">
        <v>58</v>
      </c>
      <c r="T76" s="2">
        <v>-152</v>
      </c>
      <c r="V76" s="14"/>
      <c r="AB76" s="2">
        <v>-205</v>
      </c>
      <c r="AC76" s="2">
        <v>-31</v>
      </c>
      <c r="AD76" s="2">
        <v>190</v>
      </c>
      <c r="AE76" s="2">
        <v>41</v>
      </c>
      <c r="AF76" s="2">
        <v>92</v>
      </c>
    </row>
    <row r="77" spans="3:32" x14ac:dyDescent="0.25"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V77" s="14"/>
    </row>
    <row r="78" spans="3:32" x14ac:dyDescent="0.25">
      <c r="C78" s="2" t="s">
        <v>108</v>
      </c>
      <c r="D78" s="14">
        <f t="shared" ref="D78:O78" si="122">D64+D68+D74+D76</f>
        <v>-747</v>
      </c>
      <c r="E78" s="14">
        <f t="shared" si="122"/>
        <v>0</v>
      </c>
      <c r="F78" s="14">
        <f t="shared" si="122"/>
        <v>0</v>
      </c>
      <c r="G78" s="14">
        <f t="shared" si="122"/>
        <v>0</v>
      </c>
      <c r="H78" s="14">
        <f t="shared" si="122"/>
        <v>133</v>
      </c>
      <c r="I78" s="14">
        <f t="shared" si="122"/>
        <v>106</v>
      </c>
      <c r="J78" s="14">
        <f t="shared" si="122"/>
        <v>-145</v>
      </c>
      <c r="K78" s="14">
        <f t="shared" si="122"/>
        <v>568</v>
      </c>
      <c r="L78" s="14">
        <f t="shared" si="122"/>
        <v>-757</v>
      </c>
      <c r="M78" s="14">
        <f t="shared" si="122"/>
        <v>360</v>
      </c>
      <c r="N78" s="14">
        <f t="shared" si="122"/>
        <v>-157</v>
      </c>
      <c r="O78" s="14">
        <f t="shared" si="122"/>
        <v>970</v>
      </c>
      <c r="P78" s="14">
        <f>P64+P68+P74+P76</f>
        <v>-1127</v>
      </c>
      <c r="Q78" s="14">
        <f>Q64+Q68+Q74+Q76</f>
        <v>189</v>
      </c>
      <c r="R78" s="14">
        <f>R64+R68+R74+R76</f>
        <v>-159</v>
      </c>
      <c r="S78" s="14">
        <f>S64+S68+S74+S76</f>
        <v>686</v>
      </c>
      <c r="T78" s="14">
        <f>T64+T68+T74+T76</f>
        <v>-839</v>
      </c>
      <c r="V78" s="14"/>
      <c r="Z78" s="14">
        <f t="shared" ref="Z78:AC78" si="123">Z64+Z68+Z74+Z76</f>
        <v>0</v>
      </c>
      <c r="AA78" s="14">
        <f t="shared" si="123"/>
        <v>0</v>
      </c>
      <c r="AB78" s="14">
        <f t="shared" si="123"/>
        <v>-250</v>
      </c>
      <c r="AC78" s="14">
        <f t="shared" si="123"/>
        <v>-429</v>
      </c>
      <c r="AD78" s="14">
        <f>AD64+AD68+AD74+AD76</f>
        <v>662</v>
      </c>
      <c r="AE78" s="14">
        <f t="shared" ref="AE78:AF78" si="124">AE64+AE68+AE74+AE76</f>
        <v>416</v>
      </c>
      <c r="AF78" s="14">
        <f t="shared" si="124"/>
        <v>-411</v>
      </c>
    </row>
    <row r="79" spans="3:32" x14ac:dyDescent="0.25"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V79" s="14"/>
      <c r="Z79" s="14"/>
      <c r="AA79" s="14"/>
      <c r="AB79" s="14"/>
      <c r="AC79" s="14"/>
      <c r="AD79" s="14"/>
      <c r="AE79" s="14"/>
      <c r="AF79" s="14"/>
    </row>
    <row r="80" spans="3:32" x14ac:dyDescent="0.25">
      <c r="C80" s="2" t="s">
        <v>109</v>
      </c>
      <c r="D80" s="14">
        <f t="shared" ref="D80:O80" si="125">D64+D66</f>
        <v>-764</v>
      </c>
      <c r="E80" s="14">
        <f t="shared" si="125"/>
        <v>0</v>
      </c>
      <c r="F80" s="14">
        <f t="shared" si="125"/>
        <v>0</v>
      </c>
      <c r="G80" s="14">
        <f t="shared" si="125"/>
        <v>0</v>
      </c>
      <c r="H80" s="14">
        <f t="shared" si="125"/>
        <v>133</v>
      </c>
      <c r="I80" s="14">
        <f t="shared" si="125"/>
        <v>230</v>
      </c>
      <c r="J80" s="14">
        <f t="shared" si="125"/>
        <v>-343</v>
      </c>
      <c r="K80" s="14">
        <f t="shared" si="125"/>
        <v>1534</v>
      </c>
      <c r="L80" s="14">
        <f t="shared" si="125"/>
        <v>-985</v>
      </c>
      <c r="M80" s="14">
        <f t="shared" si="125"/>
        <v>553</v>
      </c>
      <c r="N80" s="14">
        <f t="shared" si="125"/>
        <v>22</v>
      </c>
      <c r="O80" s="14">
        <f t="shared" si="125"/>
        <v>2011</v>
      </c>
      <c r="P80" s="14">
        <f>P64+P66</f>
        <v>-985</v>
      </c>
      <c r="Q80" s="14">
        <f>Q64+Q66</f>
        <v>-219</v>
      </c>
      <c r="R80" s="14">
        <f>R64+R66</f>
        <v>127</v>
      </c>
      <c r="S80" s="14">
        <f>S64+S66</f>
        <v>1849</v>
      </c>
      <c r="T80" s="14">
        <f>T64+T66</f>
        <v>-593</v>
      </c>
      <c r="V80" s="14"/>
      <c r="Z80" s="14">
        <f t="shared" ref="Z80:AC80" si="126">Z64+Z66</f>
        <v>0</v>
      </c>
      <c r="AA80" s="14">
        <f t="shared" si="126"/>
        <v>0</v>
      </c>
      <c r="AB80" s="14">
        <f t="shared" si="126"/>
        <v>769</v>
      </c>
      <c r="AC80" s="14">
        <f t="shared" si="126"/>
        <v>515</v>
      </c>
      <c r="AD80" s="14">
        <f t="shared" ref="AD80:AE80" si="127">AD64+AD66</f>
        <v>1554</v>
      </c>
      <c r="AE80" s="14">
        <f t="shared" si="127"/>
        <v>1601</v>
      </c>
      <c r="AF80" s="14">
        <f t="shared" ref="AF80" si="128">AF64+AF66</f>
        <v>772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2:AA57"/>
  <sheetViews>
    <sheetView showGridLines="0" topLeftCell="B1" zoomScale="90" zoomScaleNormal="90" workbookViewId="0">
      <pane xSplit="1" ySplit="2" topLeftCell="K3" activePane="bottomRight" state="frozen"/>
      <selection activeCell="B1" sqref="B1"/>
      <selection pane="topRight" activeCell="C1" sqref="C1"/>
      <selection pane="bottomLeft" activeCell="B3" sqref="B3"/>
      <selection pane="bottomRight" activeCell="S37" sqref="S37"/>
    </sheetView>
  </sheetViews>
  <sheetFormatPr baseColWidth="10" defaultRowHeight="19" x14ac:dyDescent="0.25"/>
  <cols>
    <col min="1" max="1" width="5.5" style="2" customWidth="1"/>
    <col min="2" max="2" width="19.83203125" style="2" customWidth="1"/>
    <col min="3" max="11" width="10.83203125" style="2"/>
    <col min="12" max="12" width="11.1640625" style="2" bestFit="1" customWidth="1"/>
    <col min="13" max="18" width="10.83203125" style="2"/>
    <col min="19" max="19" width="11.1640625" style="2" bestFit="1" customWidth="1"/>
    <col min="20" max="22" width="10.83203125" style="2"/>
    <col min="23" max="27" width="12" style="2" bestFit="1" customWidth="1"/>
    <col min="28" max="16384" width="10.83203125" style="2"/>
  </cols>
  <sheetData>
    <row r="2" spans="2:27" x14ac:dyDescent="0.25">
      <c r="B2" s="2" t="s">
        <v>39</v>
      </c>
      <c r="C2" s="7" t="s">
        <v>3</v>
      </c>
      <c r="D2" s="7" t="s">
        <v>4</v>
      </c>
      <c r="E2" s="7" t="s">
        <v>5</v>
      </c>
      <c r="F2" s="7" t="s">
        <v>6</v>
      </c>
      <c r="G2" s="40">
        <v>2022</v>
      </c>
      <c r="H2" s="7" t="s">
        <v>7</v>
      </c>
      <c r="I2" s="7" t="s">
        <v>8</v>
      </c>
      <c r="J2" s="7" t="s">
        <v>9</v>
      </c>
      <c r="K2" s="7" t="s">
        <v>10</v>
      </c>
      <c r="L2" s="40">
        <v>2023</v>
      </c>
      <c r="M2" s="7" t="s">
        <v>11</v>
      </c>
      <c r="N2" s="7" t="s">
        <v>12</v>
      </c>
      <c r="O2" s="7" t="s">
        <v>13</v>
      </c>
      <c r="P2" s="7" t="s">
        <v>14</v>
      </c>
      <c r="Q2" s="40">
        <v>2024</v>
      </c>
      <c r="R2" s="7" t="s">
        <v>46</v>
      </c>
      <c r="S2" s="7" t="s">
        <v>40</v>
      </c>
      <c r="T2" s="7" t="s">
        <v>44</v>
      </c>
      <c r="U2" s="7" t="s">
        <v>45</v>
      </c>
      <c r="V2" s="41">
        <v>2025</v>
      </c>
      <c r="W2" s="7" t="s">
        <v>129</v>
      </c>
      <c r="X2" s="7" t="s">
        <v>130</v>
      </c>
      <c r="Y2" s="7" t="s">
        <v>131</v>
      </c>
      <c r="Z2" s="7" t="s">
        <v>132</v>
      </c>
      <c r="AA2" s="41">
        <v>2026</v>
      </c>
    </row>
    <row r="3" spans="2:27" x14ac:dyDescent="0.25">
      <c r="B3" s="1" t="s">
        <v>115</v>
      </c>
      <c r="G3" s="41"/>
      <c r="L3" s="41"/>
      <c r="Q3" s="41"/>
      <c r="V3" s="41"/>
      <c r="AA3" s="41"/>
    </row>
    <row r="4" spans="2:27" x14ac:dyDescent="0.25">
      <c r="B4" s="2" t="s">
        <v>116</v>
      </c>
      <c r="C4" s="14">
        <v>1218</v>
      </c>
      <c r="D4" s="14">
        <v>1411</v>
      </c>
      <c r="E4" s="14">
        <v>1456</v>
      </c>
      <c r="F4" s="14">
        <v>1828</v>
      </c>
      <c r="G4" s="47">
        <f>SUM(C4:F4)</f>
        <v>5913</v>
      </c>
      <c r="H4" s="14">
        <v>1288</v>
      </c>
      <c r="I4" s="14">
        <v>1462</v>
      </c>
      <c r="J4" s="14">
        <v>2082</v>
      </c>
      <c r="K4" s="14">
        <v>1686</v>
      </c>
      <c r="L4" s="47">
        <f>SUM(H4:K4)</f>
        <v>6518</v>
      </c>
      <c r="M4" s="14">
        <v>1305</v>
      </c>
      <c r="N4" s="14">
        <v>1510</v>
      </c>
      <c r="O4" s="14">
        <v>1413</v>
      </c>
      <c r="P4" s="14">
        <v>2184</v>
      </c>
      <c r="Q4" s="47">
        <f>SUM(M4:P4)</f>
        <v>6412</v>
      </c>
      <c r="R4" s="14">
        <v>1454</v>
      </c>
      <c r="S4" s="14">
        <v>1503</v>
      </c>
      <c r="T4" s="14">
        <v>1612</v>
      </c>
      <c r="U4" s="14">
        <v>2273</v>
      </c>
      <c r="V4" s="47">
        <f>SUM(R4:U4)</f>
        <v>6842</v>
      </c>
      <c r="W4" s="14">
        <v>1858</v>
      </c>
      <c r="X4" s="14"/>
      <c r="Y4" s="14"/>
      <c r="Z4" s="14"/>
      <c r="AA4" s="47">
        <f>SUM(W4:Z4)</f>
        <v>1858</v>
      </c>
    </row>
    <row r="5" spans="2:27" x14ac:dyDescent="0.25">
      <c r="B5" s="2" t="s">
        <v>117</v>
      </c>
      <c r="C5" s="14">
        <v>529</v>
      </c>
      <c r="D5" s="14">
        <v>516</v>
      </c>
      <c r="E5" s="14">
        <v>497</v>
      </c>
      <c r="F5" s="14">
        <v>598</v>
      </c>
      <c r="G5" s="47">
        <f>SUM(C5:F5)</f>
        <v>2140</v>
      </c>
      <c r="H5" s="14">
        <v>586</v>
      </c>
      <c r="I5" s="14">
        <v>573</v>
      </c>
      <c r="J5" s="14">
        <v>615</v>
      </c>
      <c r="K5" s="14">
        <v>610</v>
      </c>
      <c r="L5" s="47">
        <f>SUM(H5:K5)</f>
        <v>2384</v>
      </c>
      <c r="M5" s="14">
        <v>595</v>
      </c>
      <c r="N5" s="14">
        <v>605</v>
      </c>
      <c r="O5" s="14">
        <v>555</v>
      </c>
      <c r="P5" s="14">
        <v>634</v>
      </c>
      <c r="Q5" s="47">
        <f>SUM(M5:P5)</f>
        <v>2389</v>
      </c>
      <c r="R5" s="14">
        <v>646</v>
      </c>
      <c r="S5" s="14">
        <v>630</v>
      </c>
      <c r="T5" s="14">
        <v>603</v>
      </c>
      <c r="U5" s="14">
        <v>675</v>
      </c>
      <c r="V5" s="47">
        <f>SUM(R5:U5)</f>
        <v>2554</v>
      </c>
      <c r="W5" s="14">
        <v>660</v>
      </c>
      <c r="X5" s="14"/>
      <c r="Y5" s="14"/>
      <c r="Z5" s="14"/>
      <c r="AA5" s="47">
        <f>SUM(W5:Z5)</f>
        <v>660</v>
      </c>
    </row>
    <row r="6" spans="2:27" x14ac:dyDescent="0.25">
      <c r="B6" s="1" t="s">
        <v>118</v>
      </c>
      <c r="C6" s="12">
        <f t="shared" ref="C6:R6" si="0">SUM(C4:C5)</f>
        <v>1747</v>
      </c>
      <c r="D6" s="12">
        <f t="shared" si="0"/>
        <v>1927</v>
      </c>
      <c r="E6" s="12">
        <f t="shared" si="0"/>
        <v>1953</v>
      </c>
      <c r="F6" s="12">
        <f t="shared" si="0"/>
        <v>2426</v>
      </c>
      <c r="G6" s="48">
        <f>SUM(G4:G5)</f>
        <v>8053</v>
      </c>
      <c r="H6" s="12">
        <f t="shared" si="0"/>
        <v>1874</v>
      </c>
      <c r="I6" s="12">
        <f t="shared" si="0"/>
        <v>2035</v>
      </c>
      <c r="J6" s="12">
        <f t="shared" si="0"/>
        <v>2697</v>
      </c>
      <c r="K6" s="12">
        <f t="shared" si="0"/>
        <v>2296</v>
      </c>
      <c r="L6" s="48">
        <f>SUM(L4:L5)</f>
        <v>8902</v>
      </c>
      <c r="M6" s="12">
        <f t="shared" si="0"/>
        <v>1900</v>
      </c>
      <c r="N6" s="12">
        <f t="shared" si="0"/>
        <v>2115</v>
      </c>
      <c r="O6" s="12">
        <f t="shared" si="0"/>
        <v>1968</v>
      </c>
      <c r="P6" s="12">
        <f t="shared" si="0"/>
        <v>2818</v>
      </c>
      <c r="Q6" s="48">
        <f>SUM(Q4:Q5)</f>
        <v>8801</v>
      </c>
      <c r="R6" s="12">
        <f t="shared" si="0"/>
        <v>2100</v>
      </c>
      <c r="S6" s="12">
        <f>SUM(S4:S5)</f>
        <v>2133</v>
      </c>
      <c r="T6" s="12">
        <f t="shared" ref="T6:U6" si="1">SUM(T4:T5)</f>
        <v>2215</v>
      </c>
      <c r="U6" s="12">
        <f t="shared" si="1"/>
        <v>2948</v>
      </c>
      <c r="V6" s="48">
        <f>SUM(V4:V5)</f>
        <v>9396</v>
      </c>
      <c r="W6" s="12">
        <f t="shared" ref="W6:AA6" si="2">SUM(W4:W5)</f>
        <v>2518</v>
      </c>
      <c r="X6" s="12">
        <f>SUM(X4:X5)</f>
        <v>0</v>
      </c>
      <c r="Y6" s="12">
        <f t="shared" ref="Y6:Z6" si="3">SUM(Y4:Y5)</f>
        <v>0</v>
      </c>
      <c r="Z6" s="12">
        <f t="shared" si="3"/>
        <v>0</v>
      </c>
      <c r="AA6" s="48">
        <f>SUM(AA4:AA5)</f>
        <v>2518</v>
      </c>
    </row>
    <row r="7" spans="2:27" x14ac:dyDescent="0.25">
      <c r="B7" s="11" t="s">
        <v>127</v>
      </c>
      <c r="C7" s="38"/>
      <c r="D7" s="38"/>
      <c r="E7" s="38"/>
      <c r="F7" s="38"/>
      <c r="G7" s="42"/>
      <c r="H7" s="38">
        <f t="shared" ref="H7:Q7" si="4">(H6-C6)/C6</f>
        <v>7.2696050372066404E-2</v>
      </c>
      <c r="I7" s="38">
        <f t="shared" si="4"/>
        <v>5.6045666839647117E-2</v>
      </c>
      <c r="J7" s="38">
        <f t="shared" si="4"/>
        <v>0.38095238095238093</v>
      </c>
      <c r="K7" s="38">
        <f t="shared" si="4"/>
        <v>-5.3586150041220117E-2</v>
      </c>
      <c r="L7" s="42">
        <f t="shared" si="4"/>
        <v>0.10542654911213213</v>
      </c>
      <c r="M7" s="38">
        <f t="shared" si="4"/>
        <v>1.3874066168623266E-2</v>
      </c>
      <c r="N7" s="38">
        <f t="shared" si="4"/>
        <v>3.9312039312039311E-2</v>
      </c>
      <c r="O7" s="38">
        <f t="shared" si="4"/>
        <v>-0.27030033370411566</v>
      </c>
      <c r="P7" s="38">
        <f t="shared" si="4"/>
        <v>0.22735191637630661</v>
      </c>
      <c r="Q7" s="42">
        <f t="shared" si="4"/>
        <v>-1.1345764996629971E-2</v>
      </c>
      <c r="R7" s="38">
        <f t="shared" ref="R7" si="5">(R6-M6)/M6</f>
        <v>0.10526315789473684</v>
      </c>
      <c r="S7" s="38">
        <f>(S6-N6)/N6</f>
        <v>8.5106382978723406E-3</v>
      </c>
      <c r="T7" s="38">
        <f>(T6-O6)/O6</f>
        <v>0.12550813008130082</v>
      </c>
      <c r="U7" s="38">
        <f>(U6-P6)/P6</f>
        <v>4.6132008516678494E-2</v>
      </c>
      <c r="V7" s="42">
        <f>(V6-Q6)/Q6</f>
        <v>6.7605953868878535E-2</v>
      </c>
      <c r="W7" s="38">
        <f t="shared" ref="W7" si="6">(W6-R6)/R6</f>
        <v>0.19904761904761906</v>
      </c>
      <c r="X7" s="38">
        <f>(X6-S6)/S6</f>
        <v>-1</v>
      </c>
      <c r="Y7" s="38">
        <f>(Y6-T6)/T6</f>
        <v>-1</v>
      </c>
      <c r="Z7" s="38">
        <f>(Z6-U6)/U6</f>
        <v>-1</v>
      </c>
      <c r="AA7" s="42">
        <f>(AA6-V6)/V6</f>
        <v>-0.73201362281822047</v>
      </c>
    </row>
    <row r="8" spans="2:27" x14ac:dyDescent="0.25">
      <c r="B8" s="2" t="s">
        <v>49</v>
      </c>
      <c r="C8" s="14">
        <v>603</v>
      </c>
      <c r="D8" s="14">
        <v>594</v>
      </c>
      <c r="E8" s="14">
        <v>573</v>
      </c>
      <c r="F8" s="14">
        <v>741</v>
      </c>
      <c r="G8" s="48">
        <f>SUM(C8:F8)</f>
        <v>2511</v>
      </c>
      <c r="H8" s="14">
        <v>666</v>
      </c>
      <c r="I8" s="14">
        <v>667</v>
      </c>
      <c r="J8" s="14">
        <v>615</v>
      </c>
      <c r="K8" s="14">
        <v>745</v>
      </c>
      <c r="L8" s="48">
        <f>SUM(H8:K8)</f>
        <v>2693</v>
      </c>
      <c r="M8" s="14">
        <v>684</v>
      </c>
      <c r="N8" s="14">
        <v>728</v>
      </c>
      <c r="O8" s="14">
        <v>633</v>
      </c>
      <c r="P8" s="14">
        <v>783</v>
      </c>
      <c r="Q8" s="48">
        <f>SUM(M8:P8)</f>
        <v>2828</v>
      </c>
      <c r="R8" s="14">
        <v>729</v>
      </c>
      <c r="S8" s="14">
        <v>738</v>
      </c>
      <c r="T8" s="14">
        <v>682</v>
      </c>
      <c r="U8" s="14">
        <v>840</v>
      </c>
      <c r="V8" s="48">
        <f>SUM(R8:U8)</f>
        <v>2989</v>
      </c>
      <c r="W8" s="14">
        <v>774</v>
      </c>
      <c r="X8" s="14"/>
      <c r="Y8" s="14"/>
      <c r="Z8" s="14"/>
      <c r="AA8" s="48">
        <f>SUM(W8:Z8)</f>
        <v>774</v>
      </c>
    </row>
    <row r="9" spans="2:27" x14ac:dyDescent="0.25">
      <c r="B9" s="2" t="s">
        <v>119</v>
      </c>
      <c r="C9" s="25">
        <v>0.34499999999999997</v>
      </c>
      <c r="D9" s="25">
        <v>0.308</v>
      </c>
      <c r="E9" s="25">
        <v>0.29299999999999998</v>
      </c>
      <c r="F9" s="25">
        <v>0.30599999999999999</v>
      </c>
      <c r="G9" s="43">
        <f>G8/G6</f>
        <v>0.31180926362846145</v>
      </c>
      <c r="H9" s="25">
        <v>0.35499999999999998</v>
      </c>
      <c r="I9" s="25">
        <v>0.32800000000000001</v>
      </c>
      <c r="J9" s="25">
        <v>0.29499999999999998</v>
      </c>
      <c r="K9" s="25">
        <v>0.32400000000000001</v>
      </c>
      <c r="L9" s="43">
        <f>L8/L6</f>
        <v>0.30251628847450013</v>
      </c>
      <c r="M9" s="25">
        <v>0.36</v>
      </c>
      <c r="N9" s="25">
        <v>0.34399999999999997</v>
      </c>
      <c r="O9" s="25">
        <v>0.32100000000000001</v>
      </c>
      <c r="P9" s="25">
        <v>0.27800000000000002</v>
      </c>
      <c r="Q9" s="43">
        <f>Q8/Q6</f>
        <v>0.32132712191796386</v>
      </c>
      <c r="R9" s="25">
        <v>0.34699999999999998</v>
      </c>
      <c r="S9" s="25">
        <v>0.34599999999999997</v>
      </c>
      <c r="T9" s="25">
        <v>0.308</v>
      </c>
      <c r="U9" s="25">
        <v>0.28499999999999998</v>
      </c>
      <c r="V9" s="43">
        <f>V8/V6</f>
        <v>0.31811409110259686</v>
      </c>
      <c r="W9" s="25">
        <v>0.307</v>
      </c>
      <c r="X9" s="25"/>
      <c r="Y9" s="25"/>
      <c r="Z9" s="25"/>
      <c r="AA9" s="43">
        <f>AA8/AA6</f>
        <v>0.3073868149324861</v>
      </c>
    </row>
    <row r="10" spans="2:27" x14ac:dyDescent="0.25">
      <c r="B10" s="2" t="s">
        <v>120</v>
      </c>
      <c r="C10" s="14">
        <v>558</v>
      </c>
      <c r="D10" s="14">
        <v>475</v>
      </c>
      <c r="E10" s="14">
        <v>485</v>
      </c>
      <c r="F10" s="14">
        <v>606</v>
      </c>
      <c r="G10" s="48">
        <f>SUM(C10:F10)</f>
        <v>2124</v>
      </c>
      <c r="H10" s="14">
        <v>611</v>
      </c>
      <c r="I10" s="14">
        <v>586</v>
      </c>
      <c r="J10" s="14">
        <v>526</v>
      </c>
      <c r="K10" s="14">
        <v>637</v>
      </c>
      <c r="L10" s="48">
        <f>SUM(H10:K10)</f>
        <v>2360</v>
      </c>
      <c r="M10" s="14">
        <v>624</v>
      </c>
      <c r="N10" s="14">
        <v>630</v>
      </c>
      <c r="O10" s="14">
        <v>519</v>
      </c>
      <c r="P10" s="14">
        <v>644</v>
      </c>
      <c r="Q10" s="48">
        <f>SUM(M10:P10)</f>
        <v>2417</v>
      </c>
      <c r="R10" s="14">
        <v>656</v>
      </c>
      <c r="S10" s="14">
        <v>630</v>
      </c>
      <c r="T10" s="14">
        <v>559</v>
      </c>
      <c r="U10" s="14">
        <v>684</v>
      </c>
      <c r="V10" s="48">
        <f>SUM(R10:U10)</f>
        <v>2529</v>
      </c>
      <c r="W10" s="14">
        <v>683</v>
      </c>
      <c r="X10" s="14"/>
      <c r="Y10" s="14"/>
      <c r="Z10" s="14"/>
      <c r="AA10" s="48">
        <f>SUM(W10:Z10)</f>
        <v>683</v>
      </c>
    </row>
    <row r="11" spans="2:27" x14ac:dyDescent="0.25">
      <c r="B11" s="11" t="s">
        <v>122</v>
      </c>
      <c r="C11" s="11"/>
      <c r="D11" s="11"/>
      <c r="E11" s="11"/>
      <c r="F11" s="11"/>
      <c r="G11" s="44"/>
      <c r="H11" s="38">
        <f t="shared" ref="H11:Q11" si="7">(H10-C10)/C10</f>
        <v>9.4982078853046589E-2</v>
      </c>
      <c r="I11" s="38">
        <f t="shared" si="7"/>
        <v>0.2336842105263158</v>
      </c>
      <c r="J11" s="38">
        <f t="shared" si="7"/>
        <v>8.4536082474226809E-2</v>
      </c>
      <c r="K11" s="38">
        <f t="shared" si="7"/>
        <v>5.1155115511551157E-2</v>
      </c>
      <c r="L11" s="42">
        <f t="shared" si="7"/>
        <v>0.1111111111111111</v>
      </c>
      <c r="M11" s="38">
        <f t="shared" si="7"/>
        <v>2.1276595744680851E-2</v>
      </c>
      <c r="N11" s="38">
        <f t="shared" si="7"/>
        <v>7.5085324232081918E-2</v>
      </c>
      <c r="O11" s="38">
        <f t="shared" si="7"/>
        <v>-1.3307984790874524E-2</v>
      </c>
      <c r="P11" s="38">
        <f t="shared" si="7"/>
        <v>1.098901098901099E-2</v>
      </c>
      <c r="Q11" s="42">
        <f t="shared" si="7"/>
        <v>2.4152542372881357E-2</v>
      </c>
      <c r="R11" s="38">
        <f t="shared" ref="R11" si="8">(R10-M10)/M10</f>
        <v>5.128205128205128E-2</v>
      </c>
      <c r="S11" s="38">
        <f>(S10-N10)/N10</f>
        <v>0</v>
      </c>
      <c r="T11" s="38">
        <f>(T10-O10)/O10</f>
        <v>7.7071290944123308E-2</v>
      </c>
      <c r="U11" s="38">
        <f>(U10-P10)/P10</f>
        <v>6.2111801242236024E-2</v>
      </c>
      <c r="V11" s="42">
        <f>(V10-Q10)/Q10</f>
        <v>4.6338436077782375E-2</v>
      </c>
      <c r="W11" s="38">
        <f t="shared" ref="W11" si="9">(W10-R10)/R10</f>
        <v>4.1158536585365856E-2</v>
      </c>
      <c r="X11" s="38">
        <f>(X10-S10)/S10</f>
        <v>-1</v>
      </c>
      <c r="Y11" s="38">
        <f>(Y10-T10)/T10</f>
        <v>-1</v>
      </c>
      <c r="Z11" s="38">
        <f>(Z10-U10)/U10</f>
        <v>-1</v>
      </c>
      <c r="AA11" s="42">
        <f>(AA10-V10)/V10</f>
        <v>-0.72993277975484383</v>
      </c>
    </row>
    <row r="12" spans="2:27" x14ac:dyDescent="0.25">
      <c r="B12" s="2" t="s">
        <v>55</v>
      </c>
      <c r="C12" s="2">
        <v>45</v>
      </c>
      <c r="D12" s="2">
        <v>119</v>
      </c>
      <c r="E12" s="2">
        <v>88</v>
      </c>
      <c r="F12" s="2">
        <v>136</v>
      </c>
      <c r="G12" s="41">
        <f>SUM(C12:F12)</f>
        <v>388</v>
      </c>
      <c r="H12" s="2">
        <v>55</v>
      </c>
      <c r="I12" s="2">
        <v>81</v>
      </c>
      <c r="J12" s="2">
        <v>88</v>
      </c>
      <c r="K12" s="2">
        <v>108</v>
      </c>
      <c r="L12" s="41">
        <f>SUM(H12:K12)</f>
        <v>332</v>
      </c>
      <c r="M12" s="2">
        <v>60</v>
      </c>
      <c r="N12" s="2">
        <v>97</v>
      </c>
      <c r="O12" s="2">
        <v>114</v>
      </c>
      <c r="P12" s="2">
        <v>139</v>
      </c>
      <c r="Q12" s="41">
        <f>SUM(M12:P12)</f>
        <v>410</v>
      </c>
      <c r="R12" s="2">
        <v>73</v>
      </c>
      <c r="S12" s="2">
        <v>108</v>
      </c>
      <c r="T12" s="2">
        <v>123</v>
      </c>
      <c r="U12" s="2">
        <v>156</v>
      </c>
      <c r="V12" s="41">
        <f>SUM(R12:U12)</f>
        <v>460</v>
      </c>
      <c r="W12" s="2">
        <v>91</v>
      </c>
      <c r="AA12" s="41">
        <f>SUM(W12:Z12)</f>
        <v>91</v>
      </c>
    </row>
    <row r="13" spans="2:27" x14ac:dyDescent="0.25">
      <c r="B13" s="27" t="s">
        <v>121</v>
      </c>
      <c r="C13" s="32">
        <v>2.5999999999999999E-2</v>
      </c>
      <c r="D13" s="32">
        <v>6.2E-2</v>
      </c>
      <c r="E13" s="32">
        <v>4.4999999999999998E-2</v>
      </c>
      <c r="F13" s="32">
        <v>5.6000000000000001E-2</v>
      </c>
      <c r="G13" s="45">
        <f>G12/G6</f>
        <v>4.8180802185520927E-2</v>
      </c>
      <c r="H13" s="32">
        <v>2.9000000000000001E-2</v>
      </c>
      <c r="I13" s="32">
        <v>0.04</v>
      </c>
      <c r="J13" s="32">
        <v>4.2000000000000003E-2</v>
      </c>
      <c r="K13" s="32">
        <v>4.7E-2</v>
      </c>
      <c r="L13" s="45">
        <f>L12/L6</f>
        <v>3.7294989889912381E-2</v>
      </c>
      <c r="M13" s="32">
        <v>3.2000000000000001E-2</v>
      </c>
      <c r="N13" s="32">
        <v>4.5999999999999999E-2</v>
      </c>
      <c r="O13" s="32">
        <v>5.8000000000000003E-2</v>
      </c>
      <c r="P13" s="32">
        <v>4.9000000000000002E-2</v>
      </c>
      <c r="Q13" s="45">
        <f>Q12/Q6</f>
        <v>4.6585615270991934E-2</v>
      </c>
      <c r="R13" s="32">
        <v>3.5000000000000003E-2</v>
      </c>
      <c r="S13" s="32">
        <v>5.0999999999999997E-2</v>
      </c>
      <c r="T13" s="32">
        <f>T12/T6</f>
        <v>5.5530474040632057E-2</v>
      </c>
      <c r="U13" s="32">
        <v>5.2999999999999999E-2</v>
      </c>
      <c r="V13" s="45">
        <f>V12/V6</f>
        <v>4.8957002979991483E-2</v>
      </c>
      <c r="W13" s="32">
        <v>3.5999999999999997E-2</v>
      </c>
      <c r="X13" s="32"/>
      <c r="Y13" s="32"/>
      <c r="Z13" s="32"/>
      <c r="AA13" s="45">
        <f>AA12/AA6</f>
        <v>3.6139793486894362E-2</v>
      </c>
    </row>
    <row r="14" spans="2:27" x14ac:dyDescent="0.25">
      <c r="B14" s="1" t="s">
        <v>123</v>
      </c>
      <c r="G14" s="41"/>
      <c r="L14" s="41"/>
      <c r="Q14" s="41"/>
      <c r="V14" s="41"/>
      <c r="AA14" s="41"/>
    </row>
    <row r="15" spans="2:27" x14ac:dyDescent="0.25">
      <c r="B15" s="2" t="s">
        <v>116</v>
      </c>
      <c r="C15" s="14">
        <v>2054</v>
      </c>
      <c r="D15" s="14">
        <v>2334</v>
      </c>
      <c r="E15" s="14">
        <v>2645</v>
      </c>
      <c r="F15" s="14">
        <v>2974</v>
      </c>
      <c r="G15" s="47">
        <f>SUM(C15:F15)</f>
        <v>10007</v>
      </c>
      <c r="H15" s="14">
        <v>2391</v>
      </c>
      <c r="I15" s="14">
        <v>2568</v>
      </c>
      <c r="J15" s="14">
        <v>2072</v>
      </c>
      <c r="K15" s="14">
        <v>2352</v>
      </c>
      <c r="L15" s="47">
        <f>SUM(H15:K15)</f>
        <v>9383</v>
      </c>
      <c r="M15" s="14">
        <v>2008</v>
      </c>
      <c r="N15" s="14">
        <v>2222</v>
      </c>
      <c r="O15" s="14">
        <v>2211</v>
      </c>
      <c r="P15" s="14">
        <v>2647</v>
      </c>
      <c r="Q15" s="47">
        <f>SUM(M15:P15)</f>
        <v>9088</v>
      </c>
      <c r="R15" s="14">
        <v>2218</v>
      </c>
      <c r="S15" s="14">
        <v>2373</v>
      </c>
      <c r="T15" s="14">
        <v>2276</v>
      </c>
      <c r="U15" s="14">
        <v>2891</v>
      </c>
      <c r="V15" s="47">
        <f>SUM(R15:U15)</f>
        <v>9758</v>
      </c>
      <c r="W15" s="14">
        <v>2667</v>
      </c>
      <c r="X15" s="14"/>
      <c r="Y15" s="14"/>
      <c r="Z15" s="14"/>
      <c r="AA15" s="47">
        <f>SUM(W15:Z15)</f>
        <v>2667</v>
      </c>
    </row>
    <row r="16" spans="2:27" x14ac:dyDescent="0.25">
      <c r="B16" s="2" t="s">
        <v>117</v>
      </c>
      <c r="C16" s="14">
        <v>765</v>
      </c>
      <c r="D16" s="14">
        <v>825</v>
      </c>
      <c r="E16" s="14">
        <v>764</v>
      </c>
      <c r="F16" s="14">
        <v>960</v>
      </c>
      <c r="G16" s="47">
        <f>SUM(C16:F16)</f>
        <v>3314</v>
      </c>
      <c r="H16" s="14">
        <v>843</v>
      </c>
      <c r="I16" s="14">
        <v>911</v>
      </c>
      <c r="J16" s="14">
        <v>765</v>
      </c>
      <c r="K16" s="14">
        <v>994</v>
      </c>
      <c r="L16" s="47">
        <f>SUM(H16:K16)</f>
        <v>3513</v>
      </c>
      <c r="M16" s="14">
        <v>867</v>
      </c>
      <c r="N16" s="14">
        <v>871</v>
      </c>
      <c r="O16" s="14">
        <v>738</v>
      </c>
      <c r="P16" s="14">
        <v>985</v>
      </c>
      <c r="Q16" s="47">
        <f>SUM(M16:P16)</f>
        <v>3461</v>
      </c>
      <c r="R16" s="14">
        <v>881</v>
      </c>
      <c r="S16" s="14">
        <v>945</v>
      </c>
      <c r="T16" s="14">
        <v>803</v>
      </c>
      <c r="U16" s="14">
        <v>1051</v>
      </c>
      <c r="V16" s="47">
        <f>SUM(R16:U16)</f>
        <v>3680</v>
      </c>
      <c r="W16" s="14">
        <v>860</v>
      </c>
      <c r="X16" s="14"/>
      <c r="Y16" s="14"/>
      <c r="Z16" s="14"/>
      <c r="AA16" s="47">
        <f>SUM(W16:Z16)</f>
        <v>860</v>
      </c>
    </row>
    <row r="17" spans="2:27" x14ac:dyDescent="0.25">
      <c r="B17" s="1" t="s">
        <v>118</v>
      </c>
      <c r="C17" s="12">
        <f t="shared" ref="C17:R17" si="10">SUM(C15:C16)</f>
        <v>2819</v>
      </c>
      <c r="D17" s="12">
        <f t="shared" si="10"/>
        <v>3159</v>
      </c>
      <c r="E17" s="12">
        <f t="shared" si="10"/>
        <v>3409</v>
      </c>
      <c r="F17" s="12">
        <f t="shared" si="10"/>
        <v>3934</v>
      </c>
      <c r="G17" s="48">
        <f>SUM(G15:G16)</f>
        <v>13321</v>
      </c>
      <c r="H17" s="12">
        <f t="shared" si="10"/>
        <v>3234</v>
      </c>
      <c r="I17" s="12">
        <f t="shared" si="10"/>
        <v>3479</v>
      </c>
      <c r="J17" s="12">
        <f t="shared" si="10"/>
        <v>2837</v>
      </c>
      <c r="K17" s="12">
        <f t="shared" si="10"/>
        <v>3346</v>
      </c>
      <c r="L17" s="48">
        <f>SUM(L15:L16)</f>
        <v>12896</v>
      </c>
      <c r="M17" s="12">
        <f t="shared" si="10"/>
        <v>2875</v>
      </c>
      <c r="N17" s="12">
        <f t="shared" si="10"/>
        <v>3093</v>
      </c>
      <c r="O17" s="12">
        <f t="shared" si="10"/>
        <v>2949</v>
      </c>
      <c r="P17" s="12">
        <f t="shared" si="10"/>
        <v>3632</v>
      </c>
      <c r="Q17" s="48">
        <f>SUM(Q15:Q16)</f>
        <v>12549</v>
      </c>
      <c r="R17" s="12">
        <f t="shared" si="10"/>
        <v>3099</v>
      </c>
      <c r="S17" s="12">
        <f>SUM(S15:S16)</f>
        <v>3318</v>
      </c>
      <c r="T17" s="12">
        <f t="shared" ref="T17:U17" si="11">SUM(T15:T16)</f>
        <v>3079</v>
      </c>
      <c r="U17" s="12">
        <f t="shared" si="11"/>
        <v>3942</v>
      </c>
      <c r="V17" s="48">
        <f>SUM(V15:V16)</f>
        <v>13438</v>
      </c>
      <c r="W17" s="12">
        <f t="shared" ref="W17:AA17" si="12">SUM(W15:W16)</f>
        <v>3527</v>
      </c>
      <c r="X17" s="12">
        <f>SUM(X15:X16)</f>
        <v>0</v>
      </c>
      <c r="Y17" s="12">
        <f t="shared" ref="Y17:Z17" si="13">SUM(Y15:Y16)</f>
        <v>0</v>
      </c>
      <c r="Z17" s="12">
        <f t="shared" si="13"/>
        <v>0</v>
      </c>
      <c r="AA17" s="48">
        <f>SUM(AA15:AA16)</f>
        <v>3527</v>
      </c>
    </row>
    <row r="18" spans="2:27" x14ac:dyDescent="0.25">
      <c r="B18" s="11" t="s">
        <v>127</v>
      </c>
      <c r="C18" s="1"/>
      <c r="E18" s="1"/>
      <c r="F18" s="1"/>
      <c r="G18" s="42"/>
      <c r="H18" s="38">
        <f>(H17-C17)/C17</f>
        <v>0.14721532458318554</v>
      </c>
      <c r="I18" s="38">
        <f>(I17-D17)/D17</f>
        <v>0.10129787907565685</v>
      </c>
      <c r="J18" s="38">
        <f>(J17-E17)/E17</f>
        <v>-0.16779114109709592</v>
      </c>
      <c r="K18" s="38">
        <f t="shared" ref="K18" si="14">(K17-F17)/F17</f>
        <v>-0.1494661921708185</v>
      </c>
      <c r="L18" s="42">
        <f>(L17-G17)/G17</f>
        <v>-3.1904511673297803E-2</v>
      </c>
      <c r="M18" s="38">
        <f t="shared" ref="M18" si="15">(M17-H17)/H17</f>
        <v>-0.11100803957946816</v>
      </c>
      <c r="N18" s="38">
        <f t="shared" ref="N18" si="16">(N17-I17)/I17</f>
        <v>-0.11095142282265019</v>
      </c>
      <c r="O18" s="38">
        <f t="shared" ref="O18" si="17">(O17-J17)/J17</f>
        <v>3.9478322171307721E-2</v>
      </c>
      <c r="P18" s="38">
        <f t="shared" ref="P18" si="18">(P17-K17)/K17</f>
        <v>8.5475194261805137E-2</v>
      </c>
      <c r="Q18" s="42">
        <f>(Q17-L17)/L17</f>
        <v>-2.69075682382134E-2</v>
      </c>
      <c r="R18" s="38">
        <f t="shared" ref="R18" si="19">(R17-M17)/M17</f>
        <v>7.7913043478260863E-2</v>
      </c>
      <c r="S18" s="38">
        <f>(S17-N17)/N17</f>
        <v>7.2744907856450047E-2</v>
      </c>
      <c r="T18" s="38">
        <f t="shared" ref="T18" si="20">(T17-O17)/O17</f>
        <v>4.408273991183452E-2</v>
      </c>
      <c r="U18" s="38">
        <f t="shared" ref="U18" si="21">(U17-P17)/P17</f>
        <v>8.5352422907488984E-2</v>
      </c>
      <c r="V18" s="42">
        <f>(V17-Q17)/Q17</f>
        <v>7.0842298191090919E-2</v>
      </c>
      <c r="W18" s="38">
        <f t="shared" ref="W18" si="22">(W17-R17)/R17</f>
        <v>0.13810906744111004</v>
      </c>
      <c r="X18" s="38">
        <f>(X17-S17)/S17</f>
        <v>-1</v>
      </c>
      <c r="Y18" s="38">
        <f t="shared" ref="Y18" si="23">(Y17-T17)/T17</f>
        <v>-1</v>
      </c>
      <c r="Z18" s="38">
        <f t="shared" ref="Z18" si="24">(Z17-U17)/U17</f>
        <v>-1</v>
      </c>
      <c r="AA18" s="42">
        <f>(AA17-V17)/V17</f>
        <v>-0.73753534752195271</v>
      </c>
    </row>
    <row r="19" spans="2:27" x14ac:dyDescent="0.25">
      <c r="B19" s="2" t="s">
        <v>49</v>
      </c>
      <c r="C19" s="14">
        <v>848</v>
      </c>
      <c r="D19" s="14">
        <v>886</v>
      </c>
      <c r="E19" s="14">
        <v>791</v>
      </c>
      <c r="F19" s="14">
        <v>989</v>
      </c>
      <c r="G19" s="48">
        <f>SUM(C19:F19)</f>
        <v>3514</v>
      </c>
      <c r="H19" s="14">
        <v>945</v>
      </c>
      <c r="I19" s="14">
        <v>986</v>
      </c>
      <c r="J19" s="14">
        <v>803</v>
      </c>
      <c r="K19" s="14">
        <v>984</v>
      </c>
      <c r="L19" s="48">
        <f>SUM(H19:K19)</f>
        <v>3718</v>
      </c>
      <c r="M19" s="14">
        <v>960</v>
      </c>
      <c r="N19" s="14">
        <v>945</v>
      </c>
      <c r="O19" s="14">
        <v>809</v>
      </c>
      <c r="P19" s="14">
        <v>979</v>
      </c>
      <c r="Q19" s="48">
        <f>SUM(M19:P19)</f>
        <v>3693</v>
      </c>
      <c r="R19" s="14">
        <v>959</v>
      </c>
      <c r="S19" s="14">
        <v>1003</v>
      </c>
      <c r="T19" s="14">
        <v>842</v>
      </c>
      <c r="U19" s="14">
        <v>1033</v>
      </c>
      <c r="V19" s="48">
        <f>SUM(R19:U19)</f>
        <v>3837</v>
      </c>
      <c r="W19" s="14">
        <v>987</v>
      </c>
      <c r="X19" s="14"/>
      <c r="Y19" s="14"/>
      <c r="Z19" s="14"/>
      <c r="AA19" s="48">
        <f>SUM(W19:Z19)</f>
        <v>987</v>
      </c>
    </row>
    <row r="20" spans="2:27" x14ac:dyDescent="0.25">
      <c r="B20" s="2" t="s">
        <v>119</v>
      </c>
      <c r="C20" s="25">
        <v>0.30099999999999999</v>
      </c>
      <c r="D20" s="25">
        <v>0.28000000000000003</v>
      </c>
      <c r="E20" s="25">
        <v>0.23200000000000001</v>
      </c>
      <c r="F20" s="25">
        <v>0.251</v>
      </c>
      <c r="G20" s="43">
        <f>G19/G17</f>
        <v>0.26379400945874937</v>
      </c>
      <c r="H20" s="25">
        <v>0.29199999999999998</v>
      </c>
      <c r="I20" s="25">
        <v>0.28299999999999997</v>
      </c>
      <c r="J20" s="25">
        <v>0.28299999999999997</v>
      </c>
      <c r="K20" s="25">
        <v>0.29399999999999998</v>
      </c>
      <c r="L20" s="43">
        <f>L19/L17</f>
        <v>0.28830645161290325</v>
      </c>
      <c r="M20" s="25">
        <v>0.33400000000000002</v>
      </c>
      <c r="N20" s="25">
        <v>0.30499999999999999</v>
      </c>
      <c r="O20" s="25">
        <v>0.27400000000000002</v>
      </c>
      <c r="P20" s="25">
        <v>0.26900000000000002</v>
      </c>
      <c r="Q20" s="43">
        <f>Q19/Q17</f>
        <v>0.29428639732249584</v>
      </c>
      <c r="R20" s="25">
        <v>0.309</v>
      </c>
      <c r="S20" s="25">
        <v>0.30199999999999999</v>
      </c>
      <c r="T20" s="25">
        <v>0.27300000000000002</v>
      </c>
      <c r="U20" s="25">
        <v>0.26200000000000001</v>
      </c>
      <c r="V20" s="43">
        <f>V19/V17</f>
        <v>0.28553356154189613</v>
      </c>
      <c r="W20" s="25">
        <v>0.28000000000000003</v>
      </c>
      <c r="X20" s="25"/>
      <c r="Y20" s="25"/>
      <c r="Z20" s="25"/>
      <c r="AA20" s="43">
        <f>AA19/AA17</f>
        <v>0.27984122483697194</v>
      </c>
    </row>
    <row r="21" spans="2:27" x14ac:dyDescent="0.25">
      <c r="B21" s="2" t="s">
        <v>120</v>
      </c>
      <c r="C21" s="14">
        <v>697</v>
      </c>
      <c r="D21" s="14">
        <v>747</v>
      </c>
      <c r="E21" s="14">
        <v>651</v>
      </c>
      <c r="F21" s="14">
        <v>791</v>
      </c>
      <c r="G21" s="48">
        <f>SUM(C21:F21)</f>
        <v>2886</v>
      </c>
      <c r="H21" s="14">
        <v>772</v>
      </c>
      <c r="I21" s="14">
        <v>834</v>
      </c>
      <c r="J21" s="14">
        <v>650</v>
      </c>
      <c r="K21" s="14">
        <v>810</v>
      </c>
      <c r="L21" s="48">
        <f>SUM(H21:K21)</f>
        <v>3066</v>
      </c>
      <c r="M21" s="14">
        <v>778</v>
      </c>
      <c r="N21" s="14">
        <v>839</v>
      </c>
      <c r="O21" s="14">
        <v>679</v>
      </c>
      <c r="P21" s="14">
        <v>821</v>
      </c>
      <c r="Q21" s="48">
        <f>SUM(M21:P21)</f>
        <v>3117</v>
      </c>
      <c r="R21" s="14">
        <v>775</v>
      </c>
      <c r="S21" s="14">
        <v>878</v>
      </c>
      <c r="T21" s="14">
        <v>688</v>
      </c>
      <c r="U21" s="14">
        <v>826</v>
      </c>
      <c r="V21" s="48">
        <f>SUM(R21:U21)</f>
        <v>3167</v>
      </c>
      <c r="W21" s="14">
        <v>800</v>
      </c>
      <c r="X21" s="14"/>
      <c r="Y21" s="14"/>
      <c r="Z21" s="14"/>
      <c r="AA21" s="48">
        <f>SUM(W21:Z21)</f>
        <v>800</v>
      </c>
    </row>
    <row r="22" spans="2:27" x14ac:dyDescent="0.25">
      <c r="B22" s="11" t="s">
        <v>122</v>
      </c>
      <c r="C22" s="11"/>
      <c r="D22" s="11"/>
      <c r="E22" s="11"/>
      <c r="F22" s="11"/>
      <c r="G22" s="44"/>
      <c r="H22" s="38">
        <f t="shared" ref="H22:Q22" si="25">(H21-C21)/C21</f>
        <v>0.10760401721664276</v>
      </c>
      <c r="I22" s="38">
        <f t="shared" si="25"/>
        <v>0.11646586345381527</v>
      </c>
      <c r="J22" s="38">
        <f t="shared" si="25"/>
        <v>-1.5360983102918587E-3</v>
      </c>
      <c r="K22" s="38">
        <f t="shared" si="25"/>
        <v>2.402022756005057E-2</v>
      </c>
      <c r="L22" s="42">
        <f t="shared" si="25"/>
        <v>6.2370062370062374E-2</v>
      </c>
      <c r="M22" s="38">
        <f t="shared" si="25"/>
        <v>7.7720207253886009E-3</v>
      </c>
      <c r="N22" s="38">
        <f t="shared" si="25"/>
        <v>5.9952038369304557E-3</v>
      </c>
      <c r="O22" s="38">
        <f t="shared" si="25"/>
        <v>4.4615384615384612E-2</v>
      </c>
      <c r="P22" s="38">
        <f t="shared" si="25"/>
        <v>1.3580246913580247E-2</v>
      </c>
      <c r="Q22" s="42">
        <f t="shared" si="25"/>
        <v>1.6634050880626222E-2</v>
      </c>
      <c r="R22" s="38">
        <f t="shared" ref="R22" si="26">(R21-M21)/M21</f>
        <v>-3.8560411311053984E-3</v>
      </c>
      <c r="S22" s="38">
        <f>(S21-N21)/N21</f>
        <v>4.6483909415971393E-2</v>
      </c>
      <c r="T22" s="38">
        <f>(T21-O21)/O21</f>
        <v>1.3254786450662739E-2</v>
      </c>
      <c r="U22" s="38">
        <f>(U21-P21)/P21</f>
        <v>6.0901339829476245E-3</v>
      </c>
      <c r="V22" s="42">
        <f>(V21-Q21)/Q21</f>
        <v>1.6041065126724416E-2</v>
      </c>
      <c r="W22" s="38">
        <f t="shared" ref="W22" si="27">(W21-R21)/R21</f>
        <v>3.2258064516129031E-2</v>
      </c>
      <c r="X22" s="38">
        <f>(X21-S21)/S21</f>
        <v>-1</v>
      </c>
      <c r="Y22" s="38">
        <f>(Y21-T21)/T21</f>
        <v>-1</v>
      </c>
      <c r="Z22" s="38">
        <f>(Z21-U21)/U21</f>
        <v>-1</v>
      </c>
      <c r="AA22" s="42">
        <f>(AA21-V21)/V21</f>
        <v>-0.74739501105146822</v>
      </c>
    </row>
    <row r="23" spans="2:27" x14ac:dyDescent="0.25">
      <c r="B23" s="2" t="s">
        <v>55</v>
      </c>
      <c r="C23" s="2">
        <v>151</v>
      </c>
      <c r="D23" s="2">
        <v>139</v>
      </c>
      <c r="E23" s="2">
        <v>140</v>
      </c>
      <c r="F23" s="2">
        <v>198</v>
      </c>
      <c r="G23" s="41">
        <f>SUM(C23:F23)</f>
        <v>628</v>
      </c>
      <c r="H23" s="2">
        <v>173</v>
      </c>
      <c r="I23" s="2">
        <v>152</v>
      </c>
      <c r="J23" s="2">
        <v>153</v>
      </c>
      <c r="K23" s="2">
        <v>174</v>
      </c>
      <c r="L23" s="41">
        <f>SUM(H23:K23)</f>
        <v>652</v>
      </c>
      <c r="M23" s="2">
        <v>182</v>
      </c>
      <c r="N23" s="2">
        <v>106</v>
      </c>
      <c r="O23" s="2">
        <v>130</v>
      </c>
      <c r="P23" s="2">
        <v>157</v>
      </c>
      <c r="Q23" s="41">
        <f>SUM(M23:P23)</f>
        <v>575</v>
      </c>
      <c r="R23" s="2">
        <v>184</v>
      </c>
      <c r="S23" s="2">
        <v>125</v>
      </c>
      <c r="T23" s="2">
        <v>154</v>
      </c>
      <c r="U23" s="2">
        <v>207</v>
      </c>
      <c r="V23" s="41">
        <f>SUM(R23:U23)</f>
        <v>670</v>
      </c>
      <c r="W23" s="2">
        <v>187</v>
      </c>
      <c r="AA23" s="41">
        <f>SUM(W23:Z23)</f>
        <v>187</v>
      </c>
    </row>
    <row r="24" spans="2:27" x14ac:dyDescent="0.25">
      <c r="B24" s="27" t="s">
        <v>121</v>
      </c>
      <c r="C24" s="32">
        <v>5.2999999999999999E-2</v>
      </c>
      <c r="D24" s="32">
        <v>4.3999999999999997E-2</v>
      </c>
      <c r="E24" s="32">
        <v>4.1000000000000002E-2</v>
      </c>
      <c r="F24" s="32">
        <v>0.05</v>
      </c>
      <c r="G24" s="45">
        <f>G23/G17</f>
        <v>4.7143607837249454E-2</v>
      </c>
      <c r="H24" s="32">
        <v>5.2999999999999999E-2</v>
      </c>
      <c r="I24" s="32">
        <v>4.3999999999999997E-2</v>
      </c>
      <c r="J24" s="32">
        <v>5.3999999999999999E-2</v>
      </c>
      <c r="K24" s="32">
        <f>K23/K17</f>
        <v>5.2002390914524806E-2</v>
      </c>
      <c r="L24" s="45">
        <f>L23/L17</f>
        <v>5.0558312655086847E-2</v>
      </c>
      <c r="M24" s="32">
        <v>6.3E-2</v>
      </c>
      <c r="N24" s="32">
        <v>3.4000000000000002E-2</v>
      </c>
      <c r="O24" s="32">
        <v>4.3999999999999997E-2</v>
      </c>
      <c r="P24" s="32">
        <f>P23/P17</f>
        <v>4.3226872246696038E-2</v>
      </c>
      <c r="Q24" s="45">
        <f>Q23/Q17</f>
        <v>4.5820384094350144E-2</v>
      </c>
      <c r="R24" s="32">
        <v>5.8999999999999997E-2</v>
      </c>
      <c r="S24" s="32">
        <v>3.7999999999999999E-2</v>
      </c>
      <c r="T24" s="32">
        <f>T23/T17</f>
        <v>5.0016239038648914E-2</v>
      </c>
      <c r="U24" s="32">
        <f>U23/U17</f>
        <v>5.2511415525114152E-2</v>
      </c>
      <c r="V24" s="45">
        <f>V23/V17</f>
        <v>4.9858609912189315E-2</v>
      </c>
      <c r="W24" s="32">
        <v>5.2999999999999999E-2</v>
      </c>
      <c r="X24" s="32"/>
      <c r="Y24" s="32"/>
      <c r="Z24" s="32"/>
      <c r="AA24" s="45">
        <f>AA23/AA17</f>
        <v>5.3019563368301673E-2</v>
      </c>
    </row>
    <row r="25" spans="2:27" x14ac:dyDescent="0.25">
      <c r="B25" s="1" t="s">
        <v>124</v>
      </c>
      <c r="G25" s="41"/>
      <c r="L25" s="41"/>
      <c r="Q25" s="41"/>
      <c r="V25" s="41"/>
      <c r="AA25" s="41"/>
    </row>
    <row r="26" spans="2:27" x14ac:dyDescent="0.25">
      <c r="B26" s="2" t="s">
        <v>116</v>
      </c>
      <c r="C26" s="14">
        <v>882</v>
      </c>
      <c r="D26" s="14">
        <v>862</v>
      </c>
      <c r="E26" s="14">
        <v>930</v>
      </c>
      <c r="F26" s="14">
        <v>994</v>
      </c>
      <c r="G26" s="47">
        <f>SUM(C26:F26)</f>
        <v>3668</v>
      </c>
      <c r="H26" s="14">
        <v>1183</v>
      </c>
      <c r="I26" s="14">
        <v>828</v>
      </c>
      <c r="J26" s="14">
        <v>705</v>
      </c>
      <c r="K26" s="14">
        <v>994</v>
      </c>
      <c r="L26" s="47">
        <f>SUM(H26:K26)</f>
        <v>3710</v>
      </c>
      <c r="M26" s="14">
        <v>679</v>
      </c>
      <c r="N26" s="14">
        <v>763</v>
      </c>
      <c r="O26" s="14">
        <v>734</v>
      </c>
      <c r="P26" s="14">
        <v>1320</v>
      </c>
      <c r="Q26" s="47">
        <f>SUM(M26:P26)</f>
        <v>3496</v>
      </c>
      <c r="R26" s="14">
        <v>902</v>
      </c>
      <c r="S26" s="14">
        <v>908</v>
      </c>
      <c r="T26" s="14">
        <v>794</v>
      </c>
      <c r="U26" s="14">
        <v>1171</v>
      </c>
      <c r="V26" s="47">
        <f>SUM(R26:U26)</f>
        <v>3775</v>
      </c>
      <c r="W26" s="14">
        <v>1011</v>
      </c>
      <c r="X26" s="14"/>
      <c r="Y26" s="14"/>
      <c r="Z26" s="14"/>
      <c r="AA26" s="47">
        <f>SUM(W26:Z26)</f>
        <v>1011</v>
      </c>
    </row>
    <row r="27" spans="2:27" x14ac:dyDescent="0.25">
      <c r="B27" s="2" t="s">
        <v>117</v>
      </c>
      <c r="C27" s="14">
        <v>333</v>
      </c>
      <c r="D27" s="14">
        <v>356</v>
      </c>
      <c r="E27" s="14">
        <v>358</v>
      </c>
      <c r="F27" s="14">
        <v>433</v>
      </c>
      <c r="G27" s="47">
        <f>SUM(C27:F27)</f>
        <v>1480</v>
      </c>
      <c r="H27" s="14">
        <v>383</v>
      </c>
      <c r="I27" s="14">
        <v>390</v>
      </c>
      <c r="J27" s="14">
        <v>373</v>
      </c>
      <c r="K27" s="14">
        <v>433</v>
      </c>
      <c r="L27" s="47">
        <f>SUM(H27:K27)</f>
        <v>1579</v>
      </c>
      <c r="M27" s="14">
        <v>377</v>
      </c>
      <c r="N27" s="14">
        <v>408</v>
      </c>
      <c r="O27" s="14">
        <v>355</v>
      </c>
      <c r="P27" s="14">
        <v>404</v>
      </c>
      <c r="Q27" s="47">
        <f>SUM(M27:P27)</f>
        <v>1544</v>
      </c>
      <c r="R27" s="14">
        <v>378</v>
      </c>
      <c r="S27" s="14">
        <v>401</v>
      </c>
      <c r="T27" s="14">
        <v>343</v>
      </c>
      <c r="U27" s="14">
        <v>405</v>
      </c>
      <c r="V27" s="47">
        <f>SUM(R27:U27)</f>
        <v>1527</v>
      </c>
      <c r="W27" s="14">
        <v>374</v>
      </c>
      <c r="X27" s="14"/>
      <c r="Y27" s="14"/>
      <c r="Z27" s="14"/>
      <c r="AA27" s="47">
        <f>SUM(W27:Z27)</f>
        <v>374</v>
      </c>
    </row>
    <row r="28" spans="2:27" x14ac:dyDescent="0.25">
      <c r="B28" s="1" t="s">
        <v>118</v>
      </c>
      <c r="C28" s="12">
        <f t="shared" ref="C28" si="28">SUM(C26:C27)</f>
        <v>1215</v>
      </c>
      <c r="D28" s="12">
        <f t="shared" ref="D28:E28" si="29">SUM(D26:D27)</f>
        <v>1218</v>
      </c>
      <c r="E28" s="12">
        <f t="shared" si="29"/>
        <v>1288</v>
      </c>
      <c r="F28" s="12">
        <f t="shared" ref="F28" si="30">SUM(F26:F27)</f>
        <v>1427</v>
      </c>
      <c r="G28" s="48">
        <f>SUM(G26:G27)</f>
        <v>5148</v>
      </c>
      <c r="H28" s="12">
        <f t="shared" ref="H28" si="31">SUM(H26:H27)</f>
        <v>1566</v>
      </c>
      <c r="I28" s="12">
        <f t="shared" ref="I28" si="32">SUM(I26:I27)</f>
        <v>1218</v>
      </c>
      <c r="J28" s="12">
        <f t="shared" ref="J28" si="33">SUM(J26:J27)</f>
        <v>1078</v>
      </c>
      <c r="K28" s="12">
        <f t="shared" ref="K28" si="34">SUM(K26:K27)</f>
        <v>1427</v>
      </c>
      <c r="L28" s="48">
        <f>SUM(L26:L27)</f>
        <v>5289</v>
      </c>
      <c r="M28" s="12">
        <f t="shared" ref="M28" si="35">SUM(M26:M27)</f>
        <v>1056</v>
      </c>
      <c r="N28" s="12">
        <f t="shared" ref="N28" si="36">SUM(N26:N27)</f>
        <v>1171</v>
      </c>
      <c r="O28" s="12">
        <f t="shared" ref="O28" si="37">SUM(O26:O27)</f>
        <v>1089</v>
      </c>
      <c r="P28" s="12">
        <f t="shared" ref="P28" si="38">SUM(P26:P27)</f>
        <v>1724</v>
      </c>
      <c r="Q28" s="48">
        <f>SUM(Q26:Q27)</f>
        <v>5040</v>
      </c>
      <c r="R28" s="12">
        <f t="shared" ref="R28" si="39">SUM(R26:R27)</f>
        <v>1280</v>
      </c>
      <c r="S28" s="12">
        <f>SUM(S26:S27)</f>
        <v>1309</v>
      </c>
      <c r="T28" s="12">
        <f t="shared" ref="T28" si="40">SUM(T26:T27)</f>
        <v>1137</v>
      </c>
      <c r="U28" s="12">
        <f t="shared" ref="U28" si="41">SUM(U26:U27)</f>
        <v>1576</v>
      </c>
      <c r="V28" s="48">
        <f>SUM(V26:V27)</f>
        <v>5302</v>
      </c>
      <c r="W28" s="12">
        <f t="shared" ref="W28" si="42">SUM(W26:W27)</f>
        <v>1385</v>
      </c>
      <c r="X28" s="12">
        <f>SUM(X26:X27)</f>
        <v>0</v>
      </c>
      <c r="Y28" s="12">
        <f t="shared" ref="Y28:Z28" si="43">SUM(Y26:Y27)</f>
        <v>0</v>
      </c>
      <c r="Z28" s="12">
        <f t="shared" si="43"/>
        <v>0</v>
      </c>
      <c r="AA28" s="48">
        <f>SUM(AA26:AA27)</f>
        <v>1385</v>
      </c>
    </row>
    <row r="29" spans="2:27" x14ac:dyDescent="0.25">
      <c r="B29" s="11" t="s">
        <v>127</v>
      </c>
      <c r="C29" s="1"/>
      <c r="D29" s="1"/>
      <c r="E29" s="1"/>
      <c r="G29" s="42"/>
      <c r="H29" s="38">
        <f>(H28-C28)/C28</f>
        <v>0.28888888888888886</v>
      </c>
      <c r="I29" s="38">
        <f>(I28-D28)/D28</f>
        <v>0</v>
      </c>
      <c r="J29" s="38">
        <f>(J28-E28)/E28</f>
        <v>-0.16304347826086957</v>
      </c>
      <c r="K29" s="38">
        <f t="shared" ref="K29" si="44">(K28-F28)/F28</f>
        <v>0</v>
      </c>
      <c r="L29" s="42">
        <f>(L28-G28)/G28</f>
        <v>2.7389277389277388E-2</v>
      </c>
      <c r="M29" s="38">
        <f t="shared" ref="M29" si="45">(M28-H28)/H28</f>
        <v>-0.32567049808429116</v>
      </c>
      <c r="N29" s="38">
        <f t="shared" ref="N29" si="46">(N28-I28)/I28</f>
        <v>-3.858784893267652E-2</v>
      </c>
      <c r="O29" s="38">
        <f t="shared" ref="O29" si="47">(O28-J28)/J28</f>
        <v>1.020408163265306E-2</v>
      </c>
      <c r="P29" s="38">
        <f t="shared" ref="P29" si="48">(P28-K28)/K28</f>
        <v>0.20812894183601963</v>
      </c>
      <c r="Q29" s="42">
        <f>(Q28-L28)/L28</f>
        <v>-4.7078842881452074E-2</v>
      </c>
      <c r="R29" s="38">
        <f t="shared" ref="R29" si="49">(R28-M28)/M28</f>
        <v>0.21212121212121213</v>
      </c>
      <c r="S29" s="38">
        <f>(S28-N28)/N28</f>
        <v>0.11784799316823227</v>
      </c>
      <c r="T29" s="38">
        <f t="shared" ref="T29" si="50">(T28-O28)/O28</f>
        <v>4.4077134986225897E-2</v>
      </c>
      <c r="U29" s="38">
        <f t="shared" ref="U29" si="51">(U28-P28)/P28</f>
        <v>-8.584686774941995E-2</v>
      </c>
      <c r="V29" s="42">
        <f>(V28-Q28)/Q28</f>
        <v>5.1984126984126987E-2</v>
      </c>
      <c r="W29" s="38">
        <f t="shared" ref="W29" si="52">(W28-R28)/R28</f>
        <v>8.203125E-2</v>
      </c>
      <c r="X29" s="38">
        <f>(X28-S28)/S28</f>
        <v>-1</v>
      </c>
      <c r="Y29" s="38">
        <f t="shared" ref="Y29" si="53">(Y28-T28)/T28</f>
        <v>-1</v>
      </c>
      <c r="Z29" s="38">
        <f t="shared" ref="Z29" si="54">(Z28-U28)/U28</f>
        <v>-1</v>
      </c>
      <c r="AA29" s="42">
        <f>(AA28-V28)/V28</f>
        <v>-0.73877781969068279</v>
      </c>
    </row>
    <row r="30" spans="2:27" x14ac:dyDescent="0.25">
      <c r="B30" s="2" t="s">
        <v>49</v>
      </c>
      <c r="C30" s="14">
        <v>301</v>
      </c>
      <c r="D30" s="14">
        <v>323</v>
      </c>
      <c r="E30" s="14">
        <v>319</v>
      </c>
      <c r="F30" s="14">
        <v>375</v>
      </c>
      <c r="G30" s="48">
        <f>SUM(C30:F30)</f>
        <v>1318</v>
      </c>
      <c r="H30" s="14">
        <v>357</v>
      </c>
      <c r="I30" s="14">
        <v>355</v>
      </c>
      <c r="J30" s="14">
        <v>325</v>
      </c>
      <c r="K30" s="14">
        <v>375</v>
      </c>
      <c r="L30" s="48">
        <f>SUM(H30:K30)</f>
        <v>1412</v>
      </c>
      <c r="M30" s="14">
        <v>327</v>
      </c>
      <c r="N30" s="14">
        <v>348</v>
      </c>
      <c r="O30" s="14">
        <v>304</v>
      </c>
      <c r="P30" s="14">
        <v>374</v>
      </c>
      <c r="Q30" s="48">
        <f>SUM(M30:P30)</f>
        <v>1353</v>
      </c>
      <c r="R30" s="14">
        <v>332</v>
      </c>
      <c r="S30" s="14">
        <v>332</v>
      </c>
      <c r="T30" s="14">
        <v>323</v>
      </c>
      <c r="U30" s="14">
        <v>380</v>
      </c>
      <c r="V30" s="48">
        <f>SUM(R30:U30)</f>
        <v>1367</v>
      </c>
      <c r="W30" s="14">
        <v>356</v>
      </c>
      <c r="X30" s="14"/>
      <c r="Y30" s="14"/>
      <c r="Z30" s="14"/>
      <c r="AA30" s="48">
        <f>SUM(W30:Z30)</f>
        <v>356</v>
      </c>
    </row>
    <row r="31" spans="2:27" x14ac:dyDescent="0.25">
      <c r="B31" s="2" t="s">
        <v>119</v>
      </c>
      <c r="C31" s="25">
        <v>0.248</v>
      </c>
      <c r="D31" s="25">
        <v>0.26600000000000001</v>
      </c>
      <c r="E31" s="25">
        <v>0.247</v>
      </c>
      <c r="F31" s="25">
        <v>0.26300000000000001</v>
      </c>
      <c r="G31" s="43">
        <f>G30/G28</f>
        <v>0.25602175602175603</v>
      </c>
      <c r="H31" s="25">
        <v>0.22800000000000001</v>
      </c>
      <c r="I31" s="25">
        <v>0.29099999999999998</v>
      </c>
      <c r="J31" s="25">
        <v>0.30199999999999999</v>
      </c>
      <c r="K31" s="25">
        <v>0.26300000000000001</v>
      </c>
      <c r="L31" s="43">
        <f>L30/L28</f>
        <v>0.26696918131972019</v>
      </c>
      <c r="M31" s="25">
        <v>0.309</v>
      </c>
      <c r="N31" s="25">
        <v>0.29699999999999999</v>
      </c>
      <c r="O31" s="25">
        <v>0.28000000000000003</v>
      </c>
      <c r="P31" s="25">
        <v>0.217</v>
      </c>
      <c r="Q31" s="43">
        <f>Q30/Q28</f>
        <v>0.26845238095238094</v>
      </c>
      <c r="R31" s="25">
        <v>0.25900000000000001</v>
      </c>
      <c r="S31" s="25">
        <v>0.254</v>
      </c>
      <c r="T31" s="25">
        <v>0.28399999999999997</v>
      </c>
      <c r="U31" s="25">
        <v>0.24099999999999999</v>
      </c>
      <c r="V31" s="43">
        <f>V30/V28</f>
        <v>0.25782723500565824</v>
      </c>
      <c r="W31" s="25">
        <v>0.25700000000000001</v>
      </c>
      <c r="X31" s="25"/>
      <c r="Y31" s="25"/>
      <c r="Z31" s="25"/>
      <c r="AA31" s="43">
        <f>AA30/AA28</f>
        <v>0.25703971119133573</v>
      </c>
    </row>
    <row r="32" spans="2:27" x14ac:dyDescent="0.25">
      <c r="B32" s="2" t="s">
        <v>120</v>
      </c>
      <c r="C32" s="14">
        <v>313</v>
      </c>
      <c r="D32" s="14">
        <v>321</v>
      </c>
      <c r="E32" s="14">
        <v>300</v>
      </c>
      <c r="F32" s="14">
        <v>335</v>
      </c>
      <c r="G32" s="48">
        <f>SUM(C32:F32)</f>
        <v>1269</v>
      </c>
      <c r="H32" s="14">
        <v>347</v>
      </c>
      <c r="I32" s="14">
        <v>338</v>
      </c>
      <c r="J32" s="14">
        <v>312</v>
      </c>
      <c r="K32" s="14">
        <v>335</v>
      </c>
      <c r="L32" s="48">
        <f>SUM(H32:K32)</f>
        <v>1332</v>
      </c>
      <c r="M32" s="14">
        <v>334</v>
      </c>
      <c r="N32" s="14">
        <v>339</v>
      </c>
      <c r="O32" s="14">
        <v>292</v>
      </c>
      <c r="P32" s="14">
        <v>340</v>
      </c>
      <c r="Q32" s="48">
        <f>SUM(M32:P32)</f>
        <v>1305</v>
      </c>
      <c r="R32" s="14">
        <v>332</v>
      </c>
      <c r="S32" s="14">
        <v>321</v>
      </c>
      <c r="T32" s="14">
        <v>307</v>
      </c>
      <c r="U32" s="14">
        <v>339</v>
      </c>
      <c r="V32" s="48">
        <f>SUM(R32:U32)</f>
        <v>1299</v>
      </c>
      <c r="W32" s="14">
        <v>349</v>
      </c>
      <c r="X32" s="14"/>
      <c r="Y32" s="14"/>
      <c r="Z32" s="14"/>
      <c r="AA32" s="48">
        <f>SUM(W32:Z32)</f>
        <v>349</v>
      </c>
    </row>
    <row r="33" spans="2:27" x14ac:dyDescent="0.25">
      <c r="B33" s="11" t="s">
        <v>122</v>
      </c>
      <c r="D33" s="11"/>
      <c r="E33" s="11"/>
      <c r="F33" s="11"/>
      <c r="G33" s="44"/>
      <c r="H33" s="38">
        <f>(H32-C32)/C32</f>
        <v>0.10862619808306709</v>
      </c>
      <c r="I33" s="38">
        <f>(I32-D32)/D32</f>
        <v>5.2959501557632398E-2</v>
      </c>
      <c r="J33" s="38">
        <f>(J32-E32)/E32</f>
        <v>0.04</v>
      </c>
      <c r="K33" s="38">
        <f t="shared" ref="K33" si="55">(K32-F32)/F32</f>
        <v>0</v>
      </c>
      <c r="L33" s="42">
        <f>(L32-G32)/G32</f>
        <v>4.9645390070921988E-2</v>
      </c>
      <c r="M33" s="38">
        <f t="shared" ref="M33" si="56">(M32-H32)/H32</f>
        <v>-3.7463976945244955E-2</v>
      </c>
      <c r="N33" s="38">
        <f t="shared" ref="N33" si="57">(N32-I32)/I32</f>
        <v>2.9585798816568047E-3</v>
      </c>
      <c r="O33" s="38">
        <f t="shared" ref="O33" si="58">(O32-J32)/J32</f>
        <v>-6.4102564102564097E-2</v>
      </c>
      <c r="P33" s="38">
        <f t="shared" ref="P33" si="59">(P32-K32)/K32</f>
        <v>1.4925373134328358E-2</v>
      </c>
      <c r="Q33" s="42">
        <f>(Q32-L32)/L32</f>
        <v>-2.0270270270270271E-2</v>
      </c>
      <c r="R33" s="38">
        <f t="shared" ref="R33" si="60">(R32-M32)/M32</f>
        <v>-5.9880239520958087E-3</v>
      </c>
      <c r="S33" s="38">
        <f>(S32-N32)/N32</f>
        <v>-5.3097345132743362E-2</v>
      </c>
      <c r="T33" s="38">
        <f t="shared" ref="T33" si="61">(T32-O32)/O32</f>
        <v>5.1369863013698627E-2</v>
      </c>
      <c r="U33" s="38">
        <f t="shared" ref="U33" si="62">(U32-P32)/P32</f>
        <v>-2.9411764705882353E-3</v>
      </c>
      <c r="V33" s="42">
        <f>(V32-Q32)/Q32</f>
        <v>-4.5977011494252873E-3</v>
      </c>
      <c r="W33" s="38">
        <f t="shared" ref="W33" si="63">(W32-R32)/R32</f>
        <v>5.1204819277108432E-2</v>
      </c>
      <c r="X33" s="38">
        <f>(X32-S32)/S32</f>
        <v>-1</v>
      </c>
      <c r="Y33" s="38">
        <f t="shared" ref="Y33" si="64">(Y32-T32)/T32</f>
        <v>-1</v>
      </c>
      <c r="Z33" s="38">
        <f t="shared" ref="Z33" si="65">(Z32-U32)/U32</f>
        <v>-1</v>
      </c>
      <c r="AA33" s="42">
        <f>(AA32-V32)/V32</f>
        <v>-0.73133179368745194</v>
      </c>
    </row>
    <row r="34" spans="2:27" x14ac:dyDescent="0.25">
      <c r="B34" s="2" t="s">
        <v>55</v>
      </c>
      <c r="C34" s="11">
        <v>-12</v>
      </c>
      <c r="D34" s="2">
        <v>2</v>
      </c>
      <c r="E34" s="2">
        <v>18</v>
      </c>
      <c r="F34" s="2">
        <v>40</v>
      </c>
      <c r="G34" s="41">
        <f>SUM(C34:F34)</f>
        <v>48</v>
      </c>
      <c r="H34" s="2">
        <v>10</v>
      </c>
      <c r="I34" s="2">
        <v>17</v>
      </c>
      <c r="J34" s="2">
        <v>13</v>
      </c>
      <c r="K34" s="2">
        <v>40</v>
      </c>
      <c r="L34" s="41">
        <f>SUM(H34:K34)</f>
        <v>80</v>
      </c>
      <c r="M34" s="2">
        <v>-7</v>
      </c>
      <c r="N34" s="2">
        <v>9</v>
      </c>
      <c r="O34" s="2">
        <v>12</v>
      </c>
      <c r="P34" s="2">
        <v>33</v>
      </c>
      <c r="Q34" s="41">
        <f>SUM(M34:P34)</f>
        <v>47</v>
      </c>
      <c r="R34" s="2">
        <v>0</v>
      </c>
      <c r="S34" s="2">
        <v>11</v>
      </c>
      <c r="T34" s="2">
        <v>15</v>
      </c>
      <c r="U34" s="2">
        <v>36</v>
      </c>
      <c r="V34" s="41">
        <f>SUM(R34:U34)</f>
        <v>62</v>
      </c>
      <c r="W34" s="2">
        <v>7</v>
      </c>
      <c r="AA34" s="41">
        <f>SUM(W34:Z34)</f>
        <v>7</v>
      </c>
    </row>
    <row r="35" spans="2:27" x14ac:dyDescent="0.25">
      <c r="B35" s="27" t="s">
        <v>121</v>
      </c>
      <c r="C35" s="32">
        <v>-8.9999999999999993E-3</v>
      </c>
      <c r="D35" s="32">
        <v>2E-3</v>
      </c>
      <c r="E35" s="32">
        <v>1.4E-2</v>
      </c>
      <c r="F35" s="32">
        <v>2.8000000000000001E-2</v>
      </c>
      <c r="G35" s="45">
        <f>G34/G28</f>
        <v>9.324009324009324E-3</v>
      </c>
      <c r="H35" s="32">
        <v>6.0000000000000001E-3</v>
      </c>
      <c r="I35" s="32">
        <v>1.4E-2</v>
      </c>
      <c r="J35" s="32">
        <v>1.2E-2</v>
      </c>
      <c r="K35" s="32">
        <v>2.8000000000000001E-2</v>
      </c>
      <c r="L35" s="45">
        <f>L34/L28</f>
        <v>1.5125732652675365E-2</v>
      </c>
      <c r="M35" s="32">
        <v>-7.0000000000000001E-3</v>
      </c>
      <c r="N35" s="32">
        <v>8.0000000000000002E-3</v>
      </c>
      <c r="O35" s="32">
        <v>1.0999999999999999E-2</v>
      </c>
      <c r="P35" s="32">
        <v>1.9E-2</v>
      </c>
      <c r="Q35" s="45">
        <f>Q34/Q28</f>
        <v>9.3253968253968252E-3</v>
      </c>
      <c r="R35" s="32">
        <v>0</v>
      </c>
      <c r="S35" s="32">
        <v>8.0000000000000002E-3</v>
      </c>
      <c r="T35" s="32">
        <f t="shared" ref="T35:U35" si="66">T34/T28</f>
        <v>1.3192612137203167E-2</v>
      </c>
      <c r="U35" s="32">
        <f t="shared" si="66"/>
        <v>2.2842639593908629E-2</v>
      </c>
      <c r="V35" s="45">
        <f>V34/V28</f>
        <v>1.1693700490380989E-2</v>
      </c>
      <c r="W35" s="32">
        <v>5.0000000000000001E-3</v>
      </c>
      <c r="X35" s="32"/>
      <c r="Y35" s="32"/>
      <c r="Z35" s="32"/>
      <c r="AA35" s="45">
        <f>AA34/AA28</f>
        <v>5.0541516245487363E-3</v>
      </c>
    </row>
    <row r="36" spans="2:27" x14ac:dyDescent="0.25">
      <c r="B36" s="33" t="s">
        <v>125</v>
      </c>
      <c r="C36" s="34"/>
      <c r="D36" s="34"/>
      <c r="E36" s="34"/>
      <c r="F36" s="34"/>
      <c r="G36" s="46"/>
      <c r="H36" s="34"/>
      <c r="I36" s="34"/>
      <c r="K36" s="34"/>
      <c r="L36" s="46"/>
      <c r="M36" s="34"/>
      <c r="N36" s="34"/>
      <c r="O36" s="34"/>
      <c r="P36" s="34"/>
      <c r="Q36" s="46"/>
      <c r="R36" s="34"/>
      <c r="S36" s="34"/>
      <c r="T36" s="34"/>
      <c r="U36" s="34"/>
      <c r="V36" s="41"/>
      <c r="W36" s="34"/>
      <c r="X36" s="34"/>
      <c r="Y36" s="34"/>
      <c r="Z36" s="34"/>
      <c r="AA36" s="41"/>
    </row>
    <row r="37" spans="2:27" x14ac:dyDescent="0.25">
      <c r="B37" s="34" t="s">
        <v>116</v>
      </c>
      <c r="C37" s="24">
        <v>52</v>
      </c>
      <c r="D37" s="24">
        <v>58.4</v>
      </c>
      <c r="E37" s="24">
        <v>72.2</v>
      </c>
      <c r="F37" s="24">
        <v>67.599999999999994</v>
      </c>
      <c r="G37" s="47">
        <f>SUM(C37:F37)</f>
        <v>250.20000000000002</v>
      </c>
      <c r="H37" s="24">
        <v>76.900000000000006</v>
      </c>
      <c r="I37" s="24">
        <v>75.8</v>
      </c>
      <c r="J37" s="24">
        <v>63.6</v>
      </c>
      <c r="K37" s="24">
        <v>67.599999999999994</v>
      </c>
      <c r="L37" s="47">
        <f>SUM(H37:K37)</f>
        <v>283.89999999999998</v>
      </c>
      <c r="M37" s="24">
        <v>63.2</v>
      </c>
      <c r="N37" s="24">
        <v>72.3</v>
      </c>
      <c r="O37" s="24">
        <v>59.2</v>
      </c>
      <c r="P37" s="24">
        <v>63.8</v>
      </c>
      <c r="Q37" s="47">
        <f>SUM(M37:P37)</f>
        <v>258.5</v>
      </c>
      <c r="R37" s="24">
        <v>60.9</v>
      </c>
      <c r="S37" s="24">
        <v>70.5</v>
      </c>
      <c r="T37" s="24">
        <v>53.6</v>
      </c>
      <c r="U37" s="24">
        <v>69</v>
      </c>
      <c r="V37" s="47">
        <f>SUM(R37:U37)</f>
        <v>254</v>
      </c>
      <c r="W37" s="24">
        <v>66.599999999999994</v>
      </c>
      <c r="X37" s="24"/>
      <c r="Y37" s="24"/>
      <c r="Z37" s="24"/>
      <c r="AA37" s="47">
        <f>SUM(W37:Z37)</f>
        <v>66.599999999999994</v>
      </c>
    </row>
    <row r="38" spans="2:27" x14ac:dyDescent="0.25">
      <c r="B38" s="34" t="s">
        <v>117</v>
      </c>
      <c r="C38" s="24">
        <v>8.6999999999999993</v>
      </c>
      <c r="D38" s="24">
        <v>10.8</v>
      </c>
      <c r="E38" s="24">
        <v>9.6</v>
      </c>
      <c r="F38" s="24">
        <v>13.5</v>
      </c>
      <c r="G38" s="47">
        <f>SUM(C38:F38)</f>
        <v>42.6</v>
      </c>
      <c r="H38" s="24">
        <v>11.6</v>
      </c>
      <c r="I38" s="24">
        <v>11.6</v>
      </c>
      <c r="J38" s="24">
        <v>11.1</v>
      </c>
      <c r="K38" s="24">
        <v>13.5</v>
      </c>
      <c r="L38" s="47">
        <f>SUM(H38:K38)</f>
        <v>47.8</v>
      </c>
      <c r="M38" s="24">
        <v>11.9</v>
      </c>
      <c r="N38" s="24">
        <v>12.5</v>
      </c>
      <c r="O38" s="24">
        <v>12</v>
      </c>
      <c r="P38" s="24">
        <v>13.3</v>
      </c>
      <c r="Q38" s="47">
        <f>SUM(M38:P38)</f>
        <v>49.7</v>
      </c>
      <c r="R38" s="24">
        <v>12.1</v>
      </c>
      <c r="S38" s="24">
        <v>11.7</v>
      </c>
      <c r="T38" s="24">
        <v>10.8</v>
      </c>
      <c r="U38" s="24">
        <v>13.4</v>
      </c>
      <c r="V38" s="47">
        <f>SUM(R38:U38)</f>
        <v>47.999999999999993</v>
      </c>
      <c r="W38" s="24">
        <v>11</v>
      </c>
      <c r="X38" s="24"/>
      <c r="Y38" s="24"/>
      <c r="Z38" s="24"/>
      <c r="AA38" s="47">
        <f>SUM(W38:Z38)</f>
        <v>11</v>
      </c>
    </row>
    <row r="39" spans="2:27" x14ac:dyDescent="0.25">
      <c r="B39" s="33" t="s">
        <v>118</v>
      </c>
      <c r="C39" s="12">
        <f t="shared" ref="C39:D39" si="67">SUM(C37:C38)</f>
        <v>60.7</v>
      </c>
      <c r="D39" s="12">
        <f t="shared" si="67"/>
        <v>69.2</v>
      </c>
      <c r="E39" s="12">
        <f t="shared" ref="E39" si="68">SUM(E37:E38)</f>
        <v>81.8</v>
      </c>
      <c r="F39" s="12">
        <f t="shared" ref="F39" si="69">SUM(F37:F38)</f>
        <v>81.099999999999994</v>
      </c>
      <c r="G39" s="48">
        <f>SUM(G37:G38)</f>
        <v>292.8</v>
      </c>
      <c r="H39" s="12">
        <f t="shared" ref="H39" si="70">SUM(H37:H38)</f>
        <v>88.5</v>
      </c>
      <c r="I39" s="12">
        <f t="shared" ref="I39" si="71">SUM(I37:I38)</f>
        <v>87.399999999999991</v>
      </c>
      <c r="J39" s="12">
        <f t="shared" ref="J39" si="72">SUM(J37:J38)</f>
        <v>74.7</v>
      </c>
      <c r="K39" s="12">
        <f t="shared" ref="K39" si="73">SUM(K37:K38)</f>
        <v>81.099999999999994</v>
      </c>
      <c r="L39" s="48">
        <f>SUM(L37:L38)</f>
        <v>331.7</v>
      </c>
      <c r="M39" s="12">
        <f t="shared" ref="M39" si="74">SUM(M37:M38)</f>
        <v>75.100000000000009</v>
      </c>
      <c r="N39" s="12">
        <f t="shared" ref="N39" si="75">SUM(N37:N38)</f>
        <v>84.8</v>
      </c>
      <c r="O39" s="12">
        <f>SUM(O37:O38)</f>
        <v>71.2</v>
      </c>
      <c r="P39" s="12">
        <f t="shared" ref="P39" si="76">SUM(P37:P38)</f>
        <v>77.099999999999994</v>
      </c>
      <c r="Q39" s="48">
        <f>SUM(Q37:Q38)</f>
        <v>308.2</v>
      </c>
      <c r="R39" s="12">
        <f t="shared" ref="R39" si="77">SUM(R37:R38)</f>
        <v>73</v>
      </c>
      <c r="S39" s="12">
        <f>SUM(S37:S38)</f>
        <v>82.2</v>
      </c>
      <c r="T39" s="12">
        <f t="shared" ref="T39" si="78">SUM(T37:T38)</f>
        <v>64.400000000000006</v>
      </c>
      <c r="U39" s="12">
        <f t="shared" ref="U39" si="79">SUM(U37:U38)</f>
        <v>82.4</v>
      </c>
      <c r="V39" s="48">
        <f>SUM(V37:V38)</f>
        <v>302</v>
      </c>
      <c r="W39" s="12">
        <f t="shared" ref="W39" si="80">SUM(W37:W38)</f>
        <v>77.599999999999994</v>
      </c>
      <c r="X39" s="12">
        <f>SUM(X37:X38)</f>
        <v>0</v>
      </c>
      <c r="Y39" s="12">
        <f t="shared" ref="Y39:Z39" si="81">SUM(Y37:Y38)</f>
        <v>0</v>
      </c>
      <c r="Z39" s="12">
        <f t="shared" si="81"/>
        <v>0</v>
      </c>
      <c r="AA39" s="48">
        <f>SUM(AA37:AA38)</f>
        <v>77.599999999999994</v>
      </c>
    </row>
    <row r="40" spans="2:27" x14ac:dyDescent="0.25">
      <c r="B40" s="11" t="s">
        <v>127</v>
      </c>
      <c r="C40" s="1"/>
      <c r="D40" s="1"/>
      <c r="E40" s="1"/>
      <c r="F40" s="1"/>
      <c r="G40" s="42"/>
      <c r="H40" s="38">
        <f>(H39-C39)/C39</f>
        <v>0.457990115321252</v>
      </c>
      <c r="I40" s="38">
        <f>(I39-D39)/D39</f>
        <v>0.26300578034682065</v>
      </c>
      <c r="J40" s="38">
        <f>(J39-E39)/E39</f>
        <v>-8.6797066014669855E-2</v>
      </c>
      <c r="K40" s="38">
        <f t="shared" ref="K40" si="82">(K39-F39)/F39</f>
        <v>0</v>
      </c>
      <c r="L40" s="42">
        <f>(L39-G39)/G39</f>
        <v>0.13285519125683051</v>
      </c>
      <c r="M40" s="38">
        <f t="shared" ref="M40" si="83">(M39-H39)/H39</f>
        <v>-0.15141242937853097</v>
      </c>
      <c r="N40" s="38">
        <f t="shared" ref="N40" si="84">(N39-I39)/I39</f>
        <v>-2.9748283752860351E-2</v>
      </c>
      <c r="O40" s="38">
        <f t="shared" ref="O40" si="85">(O39-J39)/J39</f>
        <v>-4.6854082998661312E-2</v>
      </c>
      <c r="P40" s="38">
        <f t="shared" ref="P40" si="86">(P39-K39)/K39</f>
        <v>-4.9321824907521579E-2</v>
      </c>
      <c r="Q40" s="42">
        <f>(Q39-L39)/L39</f>
        <v>-7.0847151040096479E-2</v>
      </c>
      <c r="R40" s="38">
        <f t="shared" ref="R40" si="87">(R39-M39)/M39</f>
        <v>-2.7962716378162559E-2</v>
      </c>
      <c r="S40" s="38">
        <f>(S39-N39)/N39</f>
        <v>-3.06603773584905E-2</v>
      </c>
      <c r="T40" s="38">
        <f t="shared" ref="T40" si="88">(T39-O39)/O39</f>
        <v>-9.5505617977528046E-2</v>
      </c>
      <c r="U40" s="38">
        <f t="shared" ref="U40" si="89">(U39-P39)/P39</f>
        <v>6.8741893644617538E-2</v>
      </c>
      <c r="V40" s="42">
        <f>(V39-Q39)/Q39</f>
        <v>-2.0116807268007752E-2</v>
      </c>
      <c r="W40" s="38">
        <f t="shared" ref="W40" si="90">(W39-R39)/R39</f>
        <v>6.3013698630136908E-2</v>
      </c>
      <c r="X40" s="38">
        <f>(X39-S39)/S39</f>
        <v>-1</v>
      </c>
      <c r="Y40" s="38">
        <f t="shared" ref="Y40" si="91">(Y39-T39)/T39</f>
        <v>-1</v>
      </c>
      <c r="Z40" s="38">
        <f t="shared" ref="Z40" si="92">(Z39-U39)/U39</f>
        <v>-1</v>
      </c>
      <c r="AA40" s="42">
        <f>(AA39-V39)/V39</f>
        <v>-0.7430463576158941</v>
      </c>
    </row>
    <row r="41" spans="2:27" x14ac:dyDescent="0.25">
      <c r="B41" s="34" t="s">
        <v>49</v>
      </c>
      <c r="C41" s="49">
        <v>13.3</v>
      </c>
      <c r="D41" s="49">
        <v>15.3</v>
      </c>
      <c r="E41" s="49">
        <v>14.3</v>
      </c>
      <c r="F41" s="49">
        <v>18</v>
      </c>
      <c r="G41" s="50">
        <f>SUM(C41:F41)</f>
        <v>60.900000000000006</v>
      </c>
      <c r="H41" s="49">
        <v>16.8</v>
      </c>
      <c r="I41" s="49">
        <v>17.8</v>
      </c>
      <c r="J41" s="49">
        <v>15.9</v>
      </c>
      <c r="K41" s="49">
        <v>18</v>
      </c>
      <c r="L41" s="50">
        <f>SUM(H41:K41)</f>
        <v>68.5</v>
      </c>
      <c r="M41" s="49">
        <v>16.3</v>
      </c>
      <c r="N41" s="49">
        <v>17.2</v>
      </c>
      <c r="O41" s="49">
        <v>14.5</v>
      </c>
      <c r="P41" s="49">
        <v>16.899999999999999</v>
      </c>
      <c r="Q41" s="50">
        <f>SUM(M41:P41)</f>
        <v>64.900000000000006</v>
      </c>
      <c r="R41" s="49">
        <v>17.100000000000001</v>
      </c>
      <c r="S41" s="49">
        <v>17</v>
      </c>
      <c r="T41" s="49">
        <v>14.1</v>
      </c>
      <c r="U41" s="49">
        <v>18.399999999999999</v>
      </c>
      <c r="V41" s="50">
        <f>SUM(R41:U41)</f>
        <v>66.599999999999994</v>
      </c>
      <c r="W41" s="49">
        <v>17.899999999999999</v>
      </c>
      <c r="X41" s="49"/>
      <c r="Y41" s="49"/>
      <c r="Z41" s="49"/>
      <c r="AA41" s="50">
        <f>SUM(W41:Z41)</f>
        <v>17.899999999999999</v>
      </c>
    </row>
    <row r="42" spans="2:27" x14ac:dyDescent="0.25">
      <c r="B42" s="34" t="s">
        <v>119</v>
      </c>
      <c r="C42" s="35">
        <v>0.219</v>
      </c>
      <c r="D42" s="35">
        <v>0.222</v>
      </c>
      <c r="E42" s="35">
        <v>0.17399999999999999</v>
      </c>
      <c r="F42" s="35">
        <v>0.222</v>
      </c>
      <c r="G42" s="43">
        <f>G41/G39</f>
        <v>0.20799180327868855</v>
      </c>
      <c r="H42" s="35">
        <v>0.19</v>
      </c>
      <c r="I42" s="35">
        <v>0.20399999999999999</v>
      </c>
      <c r="J42" s="35">
        <v>0.214</v>
      </c>
      <c r="K42" s="35">
        <v>0.222</v>
      </c>
      <c r="L42" s="43">
        <f>L41/L39</f>
        <v>0.20651190835091951</v>
      </c>
      <c r="M42" s="35">
        <v>0.218</v>
      </c>
      <c r="N42" s="35">
        <v>0.20300000000000001</v>
      </c>
      <c r="O42" s="35">
        <v>0.20399999999999999</v>
      </c>
      <c r="P42" s="35">
        <v>0.219</v>
      </c>
      <c r="Q42" s="43">
        <f>Q41/Q39</f>
        <v>0.21057754704737186</v>
      </c>
      <c r="R42" s="35">
        <v>0.23400000000000001</v>
      </c>
      <c r="S42" s="35">
        <v>0.20699999999999999</v>
      </c>
      <c r="T42" s="35">
        <v>0.22</v>
      </c>
      <c r="U42" s="35">
        <v>0.224</v>
      </c>
      <c r="V42" s="43">
        <f>V41/V39</f>
        <v>0.22052980132450328</v>
      </c>
      <c r="W42" s="35">
        <v>0.23</v>
      </c>
      <c r="X42" s="35"/>
      <c r="Y42" s="35"/>
      <c r="Z42" s="35"/>
      <c r="AA42" s="43">
        <f>AA41/AA39</f>
        <v>0.23067010309278349</v>
      </c>
    </row>
    <row r="43" spans="2:27" x14ac:dyDescent="0.25">
      <c r="B43" s="34" t="s">
        <v>120</v>
      </c>
      <c r="C43" s="49">
        <v>11.8</v>
      </c>
      <c r="D43" s="49">
        <v>13</v>
      </c>
      <c r="E43" s="49">
        <v>11.8</v>
      </c>
      <c r="F43" s="49">
        <v>14.5</v>
      </c>
      <c r="G43" s="50">
        <f>SUM(C43:F43)</f>
        <v>51.1</v>
      </c>
      <c r="H43" s="49">
        <v>14.7</v>
      </c>
      <c r="I43" s="49">
        <v>14</v>
      </c>
      <c r="J43" s="49">
        <v>13.1</v>
      </c>
      <c r="K43" s="49">
        <v>14.5</v>
      </c>
      <c r="L43" s="50">
        <f>SUM(H43:K43)</f>
        <v>56.3</v>
      </c>
      <c r="M43" s="49">
        <v>14.4</v>
      </c>
      <c r="N43" s="49">
        <v>13.8</v>
      </c>
      <c r="O43" s="49">
        <v>12.7</v>
      </c>
      <c r="P43" s="49">
        <v>14</v>
      </c>
      <c r="Q43" s="50">
        <f>SUM(M43:P43)</f>
        <v>54.900000000000006</v>
      </c>
      <c r="R43" s="49">
        <v>15.1</v>
      </c>
      <c r="S43" s="49">
        <v>14.4</v>
      </c>
      <c r="T43" s="49">
        <v>12.5</v>
      </c>
      <c r="U43" s="49">
        <v>15.9</v>
      </c>
      <c r="V43" s="50">
        <f>SUM(R43:U43)</f>
        <v>57.9</v>
      </c>
      <c r="W43" s="49">
        <v>15.8</v>
      </c>
      <c r="X43" s="49"/>
      <c r="Y43" s="49"/>
      <c r="Z43" s="49"/>
      <c r="AA43" s="50">
        <f>SUM(W43:Z43)</f>
        <v>15.8</v>
      </c>
    </row>
    <row r="44" spans="2:27" x14ac:dyDescent="0.25">
      <c r="B44" s="39" t="s">
        <v>122</v>
      </c>
      <c r="C44" s="39"/>
      <c r="D44" s="39"/>
      <c r="E44" s="39"/>
      <c r="F44" s="39"/>
      <c r="G44" s="44"/>
      <c r="H44" s="38">
        <f t="shared" ref="H44:V44" si="93">(H43-C43)/C43</f>
        <v>0.24576271186440665</v>
      </c>
      <c r="I44" s="38">
        <f t="shared" si="93"/>
        <v>7.6923076923076927E-2</v>
      </c>
      <c r="J44" s="38">
        <f t="shared" si="93"/>
        <v>0.11016949152542363</v>
      </c>
      <c r="K44" s="38">
        <f t="shared" si="93"/>
        <v>0</v>
      </c>
      <c r="L44" s="42">
        <f t="shared" si="93"/>
        <v>0.10176125244618386</v>
      </c>
      <c r="M44" s="38">
        <f t="shared" si="93"/>
        <v>-2.0408163265306051E-2</v>
      </c>
      <c r="N44" s="38">
        <f t="shared" si="93"/>
        <v>-1.4285714285714235E-2</v>
      </c>
      <c r="O44" s="38">
        <f t="shared" si="93"/>
        <v>-3.0534351145038195E-2</v>
      </c>
      <c r="P44" s="38">
        <f t="shared" si="93"/>
        <v>-3.4482758620689655E-2</v>
      </c>
      <c r="Q44" s="42">
        <f t="shared" si="93"/>
        <v>-2.4866785079928802E-2</v>
      </c>
      <c r="R44" s="38">
        <f t="shared" si="93"/>
        <v>4.8611111111111063E-2</v>
      </c>
      <c r="S44" s="38">
        <f t="shared" si="93"/>
        <v>4.3478260869565188E-2</v>
      </c>
      <c r="T44" s="38">
        <f t="shared" si="93"/>
        <v>-1.5748031496062936E-2</v>
      </c>
      <c r="U44" s="38">
        <f t="shared" si="93"/>
        <v>0.13571428571428573</v>
      </c>
      <c r="V44" s="42">
        <f t="shared" si="93"/>
        <v>5.4644808743169265E-2</v>
      </c>
      <c r="W44" s="38">
        <f t="shared" ref="W44" si="94">(W43-R43)/R43</f>
        <v>4.6357615894039805E-2</v>
      </c>
      <c r="X44" s="38">
        <f t="shared" ref="X44" si="95">(X43-S43)/S43</f>
        <v>-1</v>
      </c>
      <c r="Y44" s="38">
        <f t="shared" ref="Y44" si="96">(Y43-T43)/T43</f>
        <v>-1</v>
      </c>
      <c r="Z44" s="38">
        <f t="shared" ref="Z44" si="97">(Z43-U43)/U43</f>
        <v>-1</v>
      </c>
      <c r="AA44" s="42">
        <f t="shared" ref="AA44" si="98">(AA43-V43)/V43</f>
        <v>-0.72711571675302233</v>
      </c>
    </row>
    <row r="45" spans="2:27" x14ac:dyDescent="0.25">
      <c r="B45" s="34" t="s">
        <v>55</v>
      </c>
      <c r="C45" s="49">
        <v>1.5</v>
      </c>
      <c r="D45" s="49">
        <v>2.4</v>
      </c>
      <c r="E45" s="49">
        <v>2.5</v>
      </c>
      <c r="F45" s="49">
        <v>3.5</v>
      </c>
      <c r="G45" s="50">
        <f>SUM(C45:F45)</f>
        <v>9.9</v>
      </c>
      <c r="H45" s="49">
        <v>2.2000000000000002</v>
      </c>
      <c r="I45" s="49">
        <v>3.8</v>
      </c>
      <c r="J45" s="49">
        <v>2.9</v>
      </c>
      <c r="K45" s="49">
        <v>3.5</v>
      </c>
      <c r="L45" s="50">
        <f>SUM(H45:K45)</f>
        <v>12.4</v>
      </c>
      <c r="M45" s="49">
        <v>2</v>
      </c>
      <c r="N45" s="49">
        <v>3.4</v>
      </c>
      <c r="O45" s="49">
        <v>1.8</v>
      </c>
      <c r="P45" s="49">
        <v>2.9</v>
      </c>
      <c r="Q45" s="50">
        <f>SUM(M45:P45)</f>
        <v>10.1</v>
      </c>
      <c r="R45" s="49">
        <v>2</v>
      </c>
      <c r="S45" s="49">
        <v>2.6</v>
      </c>
      <c r="T45" s="49">
        <v>1.7</v>
      </c>
      <c r="U45" s="49">
        <v>2.5</v>
      </c>
      <c r="V45" s="50">
        <f>SUM(R45:U45)</f>
        <v>8.8000000000000007</v>
      </c>
      <c r="W45" s="49">
        <v>2.1</v>
      </c>
      <c r="X45" s="49"/>
      <c r="Y45" s="49"/>
      <c r="Z45" s="49"/>
      <c r="AA45" s="50">
        <f>SUM(W45:Z45)</f>
        <v>2.1</v>
      </c>
    </row>
    <row r="46" spans="2:27" x14ac:dyDescent="0.25">
      <c r="B46" s="36" t="s">
        <v>121</v>
      </c>
      <c r="C46" s="37">
        <v>2.4E-2</v>
      </c>
      <c r="D46" s="37">
        <v>3.4000000000000002E-2</v>
      </c>
      <c r="E46" s="37">
        <v>0.03</v>
      </c>
      <c r="F46" s="37">
        <v>4.2999999999999997E-2</v>
      </c>
      <c r="G46" s="45">
        <f>G45/G39</f>
        <v>3.3811475409836068E-2</v>
      </c>
      <c r="H46" s="37">
        <v>2.5000000000000001E-2</v>
      </c>
      <c r="I46" s="37">
        <v>4.2999999999999997E-2</v>
      </c>
      <c r="J46" s="37">
        <v>3.7999999999999999E-2</v>
      </c>
      <c r="K46" s="37">
        <v>4.2999999999999997E-2</v>
      </c>
      <c r="L46" s="45">
        <f>L45/L39</f>
        <v>3.7383177570093462E-2</v>
      </c>
      <c r="M46" s="37">
        <v>2.5999999999999999E-2</v>
      </c>
      <c r="N46" s="37">
        <v>0.04</v>
      </c>
      <c r="O46" s="37">
        <v>2.5000000000000001E-2</v>
      </c>
      <c r="P46" s="37">
        <v>3.7999999999999999E-2</v>
      </c>
      <c r="Q46" s="45">
        <f>Q45/Q39</f>
        <v>3.2770927968851393E-2</v>
      </c>
      <c r="R46" s="37">
        <v>2.7E-2</v>
      </c>
      <c r="S46" s="37">
        <v>3.1E-2</v>
      </c>
      <c r="T46" s="32">
        <f t="shared" ref="T46:U46" si="99">T45/T39</f>
        <v>2.6397515527950308E-2</v>
      </c>
      <c r="U46" s="32">
        <f t="shared" si="99"/>
        <v>3.0339805825242715E-2</v>
      </c>
      <c r="V46" s="45">
        <f>V45/V39</f>
        <v>2.9139072847682121E-2</v>
      </c>
      <c r="W46" s="37">
        <v>2.7E-2</v>
      </c>
      <c r="X46" s="37"/>
      <c r="Y46" s="32"/>
      <c r="Z46" s="32"/>
      <c r="AA46" s="45">
        <f>AA45/AA39</f>
        <v>2.7061855670103097E-2</v>
      </c>
    </row>
    <row r="47" spans="2:27" x14ac:dyDescent="0.25">
      <c r="B47" s="33" t="s">
        <v>126</v>
      </c>
      <c r="C47" s="34"/>
      <c r="D47" s="34"/>
      <c r="E47" s="34"/>
      <c r="F47" s="34"/>
      <c r="G47" s="46"/>
      <c r="H47" s="34"/>
      <c r="I47" s="34"/>
      <c r="J47" s="34"/>
      <c r="K47" s="34"/>
      <c r="L47" s="46"/>
      <c r="M47" s="34"/>
      <c r="N47" s="34"/>
      <c r="O47" s="34"/>
      <c r="P47" s="34"/>
      <c r="Q47" s="46"/>
      <c r="R47" s="34"/>
      <c r="S47" s="34"/>
      <c r="T47" s="34"/>
      <c r="U47" s="34"/>
      <c r="V47" s="41"/>
      <c r="W47" s="34"/>
      <c r="X47" s="34"/>
      <c r="Y47" s="34"/>
      <c r="Z47" s="34"/>
      <c r="AA47" s="41"/>
    </row>
    <row r="48" spans="2:27" x14ac:dyDescent="0.25">
      <c r="B48" s="34" t="s">
        <v>116</v>
      </c>
      <c r="C48" s="49">
        <v>19.3</v>
      </c>
      <c r="D48" s="49">
        <v>21.2</v>
      </c>
      <c r="E48" s="49">
        <v>22.7</v>
      </c>
      <c r="F48" s="49">
        <v>33.799999999999997</v>
      </c>
      <c r="G48" s="51">
        <f>SUM(C48:F48)</f>
        <v>97</v>
      </c>
      <c r="H48" s="49">
        <v>20.3</v>
      </c>
      <c r="I48" s="49">
        <v>18.8</v>
      </c>
      <c r="J48" s="49">
        <v>24.4</v>
      </c>
      <c r="K48" s="49">
        <v>32.4</v>
      </c>
      <c r="L48" s="51">
        <f>SUM(H48:K48)</f>
        <v>95.9</v>
      </c>
      <c r="M48" s="49">
        <v>17.399999999999999</v>
      </c>
      <c r="N48" s="49">
        <v>23.5</v>
      </c>
      <c r="O48" s="49">
        <v>24.7</v>
      </c>
      <c r="P48" s="49">
        <v>28.1</v>
      </c>
      <c r="Q48" s="51">
        <f>SUM(M48:P48)</f>
        <v>93.699999999999989</v>
      </c>
      <c r="R48" s="49">
        <v>22.9</v>
      </c>
      <c r="S48" s="49">
        <v>29.7</v>
      </c>
      <c r="T48" s="49">
        <v>24.4</v>
      </c>
      <c r="U48" s="49">
        <v>46.9</v>
      </c>
      <c r="V48" s="51">
        <f>SUM(R48:U48)</f>
        <v>123.9</v>
      </c>
      <c r="W48" s="49">
        <v>25.1</v>
      </c>
      <c r="X48" s="49"/>
      <c r="Y48" s="49"/>
      <c r="Z48" s="49"/>
      <c r="AA48" s="51">
        <f>SUM(W48:Z48)</f>
        <v>25.1</v>
      </c>
    </row>
    <row r="49" spans="2:27" x14ac:dyDescent="0.25">
      <c r="B49" s="34" t="s">
        <v>117</v>
      </c>
      <c r="C49" s="49">
        <v>10.6</v>
      </c>
      <c r="D49" s="49">
        <v>10.4</v>
      </c>
      <c r="E49" s="49">
        <v>12</v>
      </c>
      <c r="F49" s="49">
        <v>13.8</v>
      </c>
      <c r="G49" s="51">
        <f>SUM(C49:F49)</f>
        <v>46.8</v>
      </c>
      <c r="H49" s="49">
        <v>12.5</v>
      </c>
      <c r="I49" s="49">
        <v>13.5</v>
      </c>
      <c r="J49" s="49">
        <v>12.9</v>
      </c>
      <c r="K49" s="49">
        <v>14.7</v>
      </c>
      <c r="L49" s="51">
        <f>SUM(H49:K49)</f>
        <v>53.599999999999994</v>
      </c>
      <c r="M49" s="49">
        <v>13.1</v>
      </c>
      <c r="N49" s="49">
        <v>13.2</v>
      </c>
      <c r="O49" s="49">
        <v>12.5</v>
      </c>
      <c r="P49" s="49">
        <v>15.7</v>
      </c>
      <c r="Q49" s="51">
        <f>SUM(M49:P49)</f>
        <v>54.5</v>
      </c>
      <c r="R49" s="49">
        <v>13.9</v>
      </c>
      <c r="S49" s="49">
        <v>13.9</v>
      </c>
      <c r="T49" s="49">
        <v>13.4</v>
      </c>
      <c r="U49" s="49">
        <v>15.3</v>
      </c>
      <c r="V49" s="51">
        <f>SUM(R49:U49)</f>
        <v>56.5</v>
      </c>
      <c r="W49" s="49">
        <v>14.9</v>
      </c>
      <c r="X49" s="49"/>
      <c r="Y49" s="49"/>
      <c r="Z49" s="49"/>
      <c r="AA49" s="51">
        <f>SUM(W49:Z49)</f>
        <v>14.9</v>
      </c>
    </row>
    <row r="50" spans="2:27" x14ac:dyDescent="0.25">
      <c r="B50" s="33" t="s">
        <v>118</v>
      </c>
      <c r="C50" s="52">
        <f t="shared" ref="C50" si="100">SUM(C48:C49)</f>
        <v>29.9</v>
      </c>
      <c r="D50" s="52">
        <f t="shared" ref="D50" si="101">SUM(D48:D49)</f>
        <v>31.6</v>
      </c>
      <c r="E50" s="52">
        <f t="shared" ref="E50" si="102">SUM(E48:E49)</f>
        <v>34.700000000000003</v>
      </c>
      <c r="F50" s="52">
        <f t="shared" ref="F50" si="103">SUM(F48:F49)</f>
        <v>47.599999999999994</v>
      </c>
      <c r="G50" s="50">
        <f>SUM(G48:G49)</f>
        <v>143.80000000000001</v>
      </c>
      <c r="H50" s="52">
        <f t="shared" ref="H50" si="104">SUM(H48:H49)</f>
        <v>32.799999999999997</v>
      </c>
      <c r="I50" s="52">
        <f t="shared" ref="I50" si="105">SUM(I48:I49)</f>
        <v>32.299999999999997</v>
      </c>
      <c r="J50" s="52">
        <f t="shared" ref="J50" si="106">SUM(J48:J49)</f>
        <v>37.299999999999997</v>
      </c>
      <c r="K50" s="52">
        <f t="shared" ref="K50" si="107">SUM(K48:K49)</f>
        <v>47.099999999999994</v>
      </c>
      <c r="L50" s="50">
        <f>SUM(L48:L49)</f>
        <v>149.5</v>
      </c>
      <c r="M50" s="52">
        <f t="shared" ref="M50" si="108">SUM(M48:M49)</f>
        <v>30.5</v>
      </c>
      <c r="N50" s="52">
        <f t="shared" ref="N50" si="109">SUM(N48:N49)</f>
        <v>36.700000000000003</v>
      </c>
      <c r="O50" s="52">
        <f t="shared" ref="O50" si="110">SUM(O48:O49)</f>
        <v>37.200000000000003</v>
      </c>
      <c r="P50" s="52">
        <f t="shared" ref="P50" si="111">SUM(P48:P49)</f>
        <v>43.8</v>
      </c>
      <c r="Q50" s="50">
        <f>SUM(Q48:Q49)</f>
        <v>148.19999999999999</v>
      </c>
      <c r="R50" s="52">
        <f t="shared" ref="R50" si="112">SUM(R48:R49)</f>
        <v>36.799999999999997</v>
      </c>
      <c r="S50" s="52">
        <f>SUM(S48:S49)</f>
        <v>43.6</v>
      </c>
      <c r="T50" s="52">
        <f t="shared" ref="T50" si="113">SUM(T48:T49)</f>
        <v>37.799999999999997</v>
      </c>
      <c r="U50" s="52">
        <f t="shared" ref="U50" si="114">SUM(U48:U49)</f>
        <v>62.2</v>
      </c>
      <c r="V50" s="50">
        <f>SUM(V48:V49)</f>
        <v>180.4</v>
      </c>
      <c r="W50" s="52">
        <f t="shared" ref="W50" si="115">SUM(W48:W49)</f>
        <v>40</v>
      </c>
      <c r="X50" s="52">
        <f>SUM(X48:X49)</f>
        <v>0</v>
      </c>
      <c r="Y50" s="52">
        <f t="shared" ref="Y50:Z50" si="116">SUM(Y48:Y49)</f>
        <v>0</v>
      </c>
      <c r="Z50" s="52">
        <f t="shared" si="116"/>
        <v>0</v>
      </c>
      <c r="AA50" s="50">
        <f>SUM(AA48:AA49)</f>
        <v>40</v>
      </c>
    </row>
    <row r="51" spans="2:27" x14ac:dyDescent="0.25">
      <c r="B51" s="11" t="s">
        <v>127</v>
      </c>
      <c r="C51" s="1"/>
      <c r="D51" s="1"/>
      <c r="E51" s="1"/>
      <c r="F51" s="1"/>
      <c r="G51" s="42"/>
      <c r="H51" s="38">
        <f>(H50-C50)/C50</f>
        <v>9.698996655518391E-2</v>
      </c>
      <c r="I51" s="38">
        <f>(I50-D50)/D50</f>
        <v>2.215189873417708E-2</v>
      </c>
      <c r="J51" s="38">
        <f>(J50-E50)/E50</f>
        <v>7.4927953890489743E-2</v>
      </c>
      <c r="K51" s="38">
        <f t="shared" ref="K51" si="117">(K50-F50)/F50</f>
        <v>-1.050420168067227E-2</v>
      </c>
      <c r="L51" s="42">
        <f>(L50-G50)/G50</f>
        <v>3.963838664812231E-2</v>
      </c>
      <c r="M51" s="38">
        <f t="shared" ref="M51" si="118">(M50-H50)/H50</f>
        <v>-7.0121951219512119E-2</v>
      </c>
      <c r="N51" s="38">
        <f t="shared" ref="N51" si="119">(N50-I50)/I50</f>
        <v>0.13622291021671845</v>
      </c>
      <c r="O51" s="38">
        <f t="shared" ref="O51" si="120">(O50-J50)/J50</f>
        <v>-2.6809651474529309E-3</v>
      </c>
      <c r="P51" s="38">
        <f t="shared" ref="P51" si="121">(P50-K50)/K50</f>
        <v>-7.0063694267515866E-2</v>
      </c>
      <c r="Q51" s="42">
        <f>(Q50-L50)/L50</f>
        <v>-8.6956521739131199E-3</v>
      </c>
      <c r="R51" s="38">
        <f t="shared" ref="R51" si="122">(R50-M50)/M50</f>
        <v>0.20655737704918023</v>
      </c>
      <c r="S51" s="38">
        <f>(S50-N50)/N50</f>
        <v>0.18801089918256125</v>
      </c>
      <c r="T51" s="38">
        <f t="shared" ref="T51" si="123">(T50-O50)/O50</f>
        <v>1.6129032258064363E-2</v>
      </c>
      <c r="U51" s="38">
        <f t="shared" ref="U51" si="124">(U50-P50)/P50</f>
        <v>0.42009132420091339</v>
      </c>
      <c r="V51" s="42">
        <f>(V50-Q50)/Q50</f>
        <v>0.21727395411605951</v>
      </c>
      <c r="W51" s="38">
        <f t="shared" ref="W51" si="125">(W50-R50)/R50</f>
        <v>8.6956521739130516E-2</v>
      </c>
      <c r="X51" s="38">
        <f>(X50-S50)/S50</f>
        <v>-1</v>
      </c>
      <c r="Y51" s="38">
        <f t="shared" ref="Y51" si="126">(Y50-T50)/T50</f>
        <v>-1</v>
      </c>
      <c r="Z51" s="38">
        <f t="shared" ref="Z51" si="127">(Z50-U50)/U50</f>
        <v>-1</v>
      </c>
      <c r="AA51" s="42">
        <f>(AA50-V50)/V50</f>
        <v>-0.7782705099778271</v>
      </c>
    </row>
    <row r="52" spans="2:27" x14ac:dyDescent="0.25">
      <c r="B52" s="34" t="s">
        <v>49</v>
      </c>
      <c r="C52" s="49">
        <v>9.4</v>
      </c>
      <c r="D52" s="49">
        <v>10.199999999999999</v>
      </c>
      <c r="E52" s="49">
        <v>10.1</v>
      </c>
      <c r="F52" s="49">
        <v>13.5</v>
      </c>
      <c r="G52" s="50">
        <f>SUM(C52:F52)</f>
        <v>43.2</v>
      </c>
      <c r="H52" s="49">
        <v>11.3</v>
      </c>
      <c r="I52" s="49">
        <v>11.4</v>
      </c>
      <c r="J52" s="49">
        <v>11.7</v>
      </c>
      <c r="K52" s="49">
        <v>15.4</v>
      </c>
      <c r="L52" s="50">
        <f>SUM(H52:K52)</f>
        <v>49.800000000000004</v>
      </c>
      <c r="M52" s="49">
        <v>12</v>
      </c>
      <c r="N52" s="49">
        <v>12.7</v>
      </c>
      <c r="O52" s="49">
        <v>12.5</v>
      </c>
      <c r="P52" s="49">
        <v>15.6</v>
      </c>
      <c r="Q52" s="50">
        <f>SUM(M52:P52)</f>
        <v>52.800000000000004</v>
      </c>
      <c r="R52" s="49">
        <v>13.2</v>
      </c>
      <c r="S52" s="49">
        <v>13.9</v>
      </c>
      <c r="T52" s="49">
        <v>13.5</v>
      </c>
      <c r="U52" s="49">
        <v>17.7</v>
      </c>
      <c r="V52" s="50">
        <f>SUM(R52:U52)</f>
        <v>58.3</v>
      </c>
      <c r="W52" s="49">
        <v>14.4</v>
      </c>
      <c r="X52" s="49"/>
      <c r="Y52" s="49"/>
      <c r="Z52" s="49"/>
      <c r="AA52" s="50">
        <f>SUM(W52:Z52)</f>
        <v>14.4</v>
      </c>
    </row>
    <row r="53" spans="2:27" x14ac:dyDescent="0.25">
      <c r="B53" s="34" t="s">
        <v>119</v>
      </c>
      <c r="C53" s="35">
        <v>0.315</v>
      </c>
      <c r="D53" s="35">
        <v>0.32300000000000001</v>
      </c>
      <c r="E53" s="35">
        <v>0.29299999999999998</v>
      </c>
      <c r="F53" s="35">
        <v>0.28299999999999997</v>
      </c>
      <c r="G53" s="43">
        <f>G52/G50</f>
        <v>0.3004172461752434</v>
      </c>
      <c r="H53" s="35">
        <v>0.34399999999999997</v>
      </c>
      <c r="I53" s="35">
        <v>0.35099999999999998</v>
      </c>
      <c r="J53" s="35">
        <v>0.314</v>
      </c>
      <c r="K53" s="35">
        <v>0.32600000000000001</v>
      </c>
      <c r="L53" s="43">
        <f>L52/L50</f>
        <v>0.3331103678929766</v>
      </c>
      <c r="M53" s="35">
        <v>0.39400000000000002</v>
      </c>
      <c r="N53" s="35">
        <v>0.34599999999999997</v>
      </c>
      <c r="O53" s="35">
        <v>0.33500000000000002</v>
      </c>
      <c r="P53" s="35">
        <v>0.35599999999999998</v>
      </c>
      <c r="Q53" s="43">
        <f>Q52/Q50</f>
        <v>0.35627530364372473</v>
      </c>
      <c r="R53" s="35">
        <v>0.36</v>
      </c>
      <c r="S53" s="35">
        <v>0.31900000000000001</v>
      </c>
      <c r="T53" s="35">
        <v>0.35799999999999998</v>
      </c>
      <c r="U53" s="35">
        <v>0.28499999999999998</v>
      </c>
      <c r="V53" s="43">
        <f>V52/V50</f>
        <v>0.32317073170731703</v>
      </c>
      <c r="W53" s="35">
        <v>0.36</v>
      </c>
      <c r="X53" s="35"/>
      <c r="Y53" s="35"/>
      <c r="Z53" s="35"/>
      <c r="AA53" s="43">
        <f>AA52/AA50</f>
        <v>0.36</v>
      </c>
    </row>
    <row r="54" spans="2:27" x14ac:dyDescent="0.25">
      <c r="B54" s="34" t="s">
        <v>120</v>
      </c>
      <c r="C54" s="34">
        <v>8.3000000000000007</v>
      </c>
      <c r="D54" s="34">
        <v>8.9</v>
      </c>
      <c r="E54" s="34">
        <v>8.9</v>
      </c>
      <c r="F54" s="34">
        <v>10.9</v>
      </c>
      <c r="G54" s="41">
        <f>SUM(C54:F54)</f>
        <v>37</v>
      </c>
      <c r="H54" s="34">
        <v>10</v>
      </c>
      <c r="I54" s="34">
        <v>10</v>
      </c>
      <c r="J54" s="34">
        <v>10.1</v>
      </c>
      <c r="K54" s="34">
        <v>12.5</v>
      </c>
      <c r="L54" s="41">
        <f>SUM(H54:K54)</f>
        <v>42.6</v>
      </c>
      <c r="M54" s="34">
        <v>10.6</v>
      </c>
      <c r="N54" s="34">
        <v>11.2</v>
      </c>
      <c r="O54" s="34">
        <v>10.7</v>
      </c>
      <c r="P54" s="34">
        <v>12.1</v>
      </c>
      <c r="Q54" s="41">
        <f>SUM(M54:P54)</f>
        <v>44.6</v>
      </c>
      <c r="R54" s="34">
        <v>11.7</v>
      </c>
      <c r="S54" s="34">
        <v>12.1</v>
      </c>
      <c r="T54" s="34">
        <v>11.3</v>
      </c>
      <c r="U54" s="34">
        <v>13.7</v>
      </c>
      <c r="V54" s="41">
        <f>SUM(R54:U54)</f>
        <v>48.8</v>
      </c>
      <c r="W54" s="34">
        <v>12.7</v>
      </c>
      <c r="X54" s="34"/>
      <c r="Y54" s="34"/>
      <c r="Z54" s="34"/>
      <c r="AA54" s="41">
        <f>SUM(W54:Z54)</f>
        <v>12.7</v>
      </c>
    </row>
    <row r="55" spans="2:27" x14ac:dyDescent="0.25">
      <c r="B55" s="39" t="s">
        <v>122</v>
      </c>
      <c r="C55" s="39"/>
      <c r="D55" s="39"/>
      <c r="E55" s="39"/>
      <c r="F55" s="39"/>
      <c r="G55" s="44"/>
      <c r="H55" s="38">
        <f>(H54-C54)/C54</f>
        <v>0.20481927710843364</v>
      </c>
      <c r="I55" s="38">
        <f>(I54-D54)/D54</f>
        <v>0.12359550561797748</v>
      </c>
      <c r="J55" s="38">
        <f>(J54-E54)/E54</f>
        <v>0.13483146067415722</v>
      </c>
      <c r="K55" s="38">
        <f t="shared" ref="K55" si="128">(K54-F54)/F54</f>
        <v>0.14678899082568803</v>
      </c>
      <c r="L55" s="42">
        <f>(L54-G54)/G54</f>
        <v>0.15135135135135139</v>
      </c>
      <c r="M55" s="38">
        <f t="shared" ref="M55" si="129">(M54-H54)/H54</f>
        <v>5.9999999999999963E-2</v>
      </c>
      <c r="N55" s="38">
        <f t="shared" ref="N55" si="130">(N54-I54)/I54</f>
        <v>0.11999999999999993</v>
      </c>
      <c r="O55" s="38">
        <f t="shared" ref="O55" si="131">(O54-J54)/J54</f>
        <v>5.9405940594059375E-2</v>
      </c>
      <c r="P55" s="38">
        <f t="shared" ref="P55" si="132">(P54-K54)/K54</f>
        <v>-3.2000000000000028E-2</v>
      </c>
      <c r="Q55" s="42">
        <f>(Q54-L54)/L54</f>
        <v>4.6948356807511735E-2</v>
      </c>
      <c r="R55" s="38">
        <f>(R54-M54)/M54</f>
        <v>0.10377358490566034</v>
      </c>
      <c r="S55" s="38">
        <f>(S54-N54)/N54</f>
        <v>8.0357142857142891E-2</v>
      </c>
      <c r="T55" s="38">
        <f t="shared" ref="T55" si="133">(T54-O54)/O54</f>
        <v>5.6074766355140325E-2</v>
      </c>
      <c r="U55" s="38">
        <f t="shared" ref="U55" si="134">(U54-P54)/P54</f>
        <v>0.13223140495867766</v>
      </c>
      <c r="V55" s="42">
        <f>(V54-Q54)/Q54</f>
        <v>9.4170403587443843E-2</v>
      </c>
      <c r="W55" s="38">
        <f>(W54-R54)/R54</f>
        <v>8.5470085470085472E-2</v>
      </c>
      <c r="X55" s="38">
        <f>(X54-S54)/S54</f>
        <v>-1</v>
      </c>
      <c r="Y55" s="38">
        <f t="shared" ref="Y55" si="135">(Y54-T54)/T54</f>
        <v>-1</v>
      </c>
      <c r="Z55" s="38">
        <f t="shared" ref="Z55" si="136">(Z54-U54)/U54</f>
        <v>-1</v>
      </c>
      <c r="AA55" s="42">
        <f>(AA54-V54)/V54</f>
        <v>-0.73975409836065564</v>
      </c>
    </row>
    <row r="56" spans="2:27" x14ac:dyDescent="0.25">
      <c r="B56" s="34" t="s">
        <v>55</v>
      </c>
      <c r="C56" s="49">
        <v>1.1000000000000001</v>
      </c>
      <c r="D56" s="49">
        <v>1.3</v>
      </c>
      <c r="E56" s="49">
        <v>1.3</v>
      </c>
      <c r="F56" s="49">
        <v>2.6</v>
      </c>
      <c r="G56" s="50">
        <f>SUM(C56:F56)</f>
        <v>6.3000000000000007</v>
      </c>
      <c r="H56" s="49">
        <v>1.3</v>
      </c>
      <c r="I56" s="49">
        <v>1.4</v>
      </c>
      <c r="J56" s="49">
        <v>1.6</v>
      </c>
      <c r="K56" s="49">
        <v>2.9</v>
      </c>
      <c r="L56" s="50">
        <f>SUM(H56:K56)</f>
        <v>7.2000000000000011</v>
      </c>
      <c r="M56" s="49">
        <v>1.4</v>
      </c>
      <c r="N56" s="49">
        <v>1.5</v>
      </c>
      <c r="O56" s="49">
        <v>1.8</v>
      </c>
      <c r="P56" s="49">
        <v>3.5</v>
      </c>
      <c r="Q56" s="50">
        <f>SUM(M56:P56)</f>
        <v>8.1999999999999993</v>
      </c>
      <c r="R56" s="49">
        <v>1.5</v>
      </c>
      <c r="S56" s="49">
        <v>1.8</v>
      </c>
      <c r="T56" s="49">
        <v>2.2000000000000002</v>
      </c>
      <c r="U56" s="49">
        <v>4</v>
      </c>
      <c r="V56" s="50">
        <f>SUM(R56:U56)</f>
        <v>9.5</v>
      </c>
      <c r="W56" s="49">
        <v>1.7</v>
      </c>
      <c r="X56" s="49"/>
      <c r="Y56" s="49"/>
      <c r="Z56" s="49"/>
      <c r="AA56" s="50">
        <f>SUM(W56:Z56)</f>
        <v>1.7</v>
      </c>
    </row>
    <row r="57" spans="2:27" x14ac:dyDescent="0.25">
      <c r="B57" s="36" t="s">
        <v>121</v>
      </c>
      <c r="C57" s="37">
        <v>3.7999999999999999E-2</v>
      </c>
      <c r="D57" s="37">
        <v>4.2000000000000003E-2</v>
      </c>
      <c r="E57" s="37">
        <v>3.5999999999999997E-2</v>
      </c>
      <c r="F57" s="37">
        <v>5.3999999999999999E-2</v>
      </c>
      <c r="G57" s="45">
        <f>G56/G50</f>
        <v>4.3810848400556331E-2</v>
      </c>
      <c r="H57" s="37">
        <v>3.7999999999999999E-2</v>
      </c>
      <c r="I57" s="37">
        <v>4.2000000000000003E-2</v>
      </c>
      <c r="J57" s="37">
        <v>4.3999999999999997E-2</v>
      </c>
      <c r="K57" s="37">
        <v>6.0999999999999999E-2</v>
      </c>
      <c r="L57" s="45">
        <f>L56/L50</f>
        <v>4.8160535117056862E-2</v>
      </c>
      <c r="M57" s="37">
        <v>4.3999999999999997E-2</v>
      </c>
      <c r="N57" s="37">
        <v>4.1000000000000002E-2</v>
      </c>
      <c r="O57" s="37">
        <v>4.7E-2</v>
      </c>
      <c r="P57" s="37">
        <v>7.9000000000000001E-2</v>
      </c>
      <c r="Q57" s="45">
        <f>Q56/Q50</f>
        <v>5.5330634278002701E-2</v>
      </c>
      <c r="R57" s="37">
        <v>4.1000000000000002E-2</v>
      </c>
      <c r="S57" s="37">
        <v>4.1000000000000002E-2</v>
      </c>
      <c r="T57" s="32">
        <f t="shared" ref="T57:U57" si="137">T56/T50</f>
        <v>5.8201058201058212E-2</v>
      </c>
      <c r="U57" s="32">
        <f t="shared" si="137"/>
        <v>6.4308681672025719E-2</v>
      </c>
      <c r="V57" s="45">
        <f>V56/V50</f>
        <v>5.2660753880266073E-2</v>
      </c>
      <c r="W57" s="37">
        <v>4.2999999999999997E-2</v>
      </c>
      <c r="X57" s="37"/>
      <c r="Y57" s="32"/>
      <c r="Z57" s="32"/>
      <c r="AA57" s="45">
        <f>AA56/AA50</f>
        <v>4.2499999999999996E-2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D5B08-BD9E-FC4B-8D1D-13F997661C2E}">
  <dimension ref="C6:H11"/>
  <sheetViews>
    <sheetView showGridLines="0" workbookViewId="0">
      <selection activeCell="I9" sqref="I9"/>
    </sheetView>
  </sheetViews>
  <sheetFormatPr baseColWidth="10" defaultRowHeight="24" x14ac:dyDescent="0.3"/>
  <cols>
    <col min="1" max="2" width="10.83203125" style="54"/>
    <col min="3" max="3" width="13.33203125" style="54" customWidth="1"/>
    <col min="4" max="4" width="13.1640625" style="54" customWidth="1"/>
    <col min="5" max="5" width="10.83203125" style="54"/>
    <col min="6" max="6" width="14.5" style="54" customWidth="1"/>
    <col min="7" max="7" width="13.83203125" style="54" customWidth="1"/>
    <col min="8" max="8" width="15.6640625" style="54" customWidth="1"/>
    <col min="9" max="16384" width="10.83203125" style="54"/>
  </cols>
  <sheetData>
    <row r="6" spans="3:8" x14ac:dyDescent="0.3">
      <c r="C6" s="55" t="s">
        <v>133</v>
      </c>
      <c r="D6" s="55" t="s">
        <v>134</v>
      </c>
      <c r="E6" s="55"/>
      <c r="F6" s="55" t="s">
        <v>32</v>
      </c>
      <c r="G6" s="55" t="s">
        <v>135</v>
      </c>
      <c r="H6" s="55" t="s">
        <v>136</v>
      </c>
    </row>
    <row r="7" spans="3:8" x14ac:dyDescent="0.3">
      <c r="C7" s="56" t="s">
        <v>137</v>
      </c>
      <c r="D7" s="56">
        <v>500</v>
      </c>
      <c r="E7" s="56"/>
      <c r="F7" s="56"/>
      <c r="G7" s="56"/>
      <c r="H7" s="56"/>
    </row>
    <row r="8" spans="3:8" x14ac:dyDescent="0.3">
      <c r="C8" s="56" t="s">
        <v>138</v>
      </c>
      <c r="D8" s="56"/>
      <c r="E8" s="56"/>
      <c r="F8" s="56"/>
      <c r="G8" s="56"/>
      <c r="H8" s="56"/>
    </row>
    <row r="9" spans="3:8" x14ac:dyDescent="0.3">
      <c r="C9" s="56" t="s">
        <v>139</v>
      </c>
      <c r="D9" s="56"/>
      <c r="E9" s="56"/>
      <c r="F9" s="56"/>
      <c r="G9" s="56"/>
      <c r="H9" s="56"/>
    </row>
    <row r="10" spans="3:8" x14ac:dyDescent="0.3">
      <c r="C10" s="56" t="s">
        <v>125</v>
      </c>
      <c r="D10" s="56"/>
      <c r="E10" s="56"/>
      <c r="F10" s="56"/>
      <c r="G10" s="56"/>
      <c r="H10" s="56"/>
    </row>
    <row r="11" spans="3:8" x14ac:dyDescent="0.3">
      <c r="C11" s="56" t="s">
        <v>126</v>
      </c>
      <c r="D11" s="56"/>
      <c r="E11" s="56"/>
      <c r="F11" s="56"/>
      <c r="G11" s="56"/>
      <c r="H11" s="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11" sqref="E11"/>
    </sheetView>
  </sheetViews>
  <sheetFormatPr baseColWidth="10" defaultRowHeight="16" x14ac:dyDescent="0.2"/>
  <cols>
    <col min="3" max="3" width="29.5" bestFit="1" customWidth="1"/>
    <col min="4" max="4" width="22.33203125" customWidth="1"/>
    <col min="5" max="6" width="28.33203125" bestFit="1" customWidth="1"/>
    <col min="7" max="7" width="18.6640625" bestFit="1" customWidth="1"/>
  </cols>
  <sheetData>
    <row r="4" spans="3:6" ht="62" x14ac:dyDescent="0.7">
      <c r="C4" s="26"/>
      <c r="D4" s="26">
        <v>2026</v>
      </c>
      <c r="E4" s="26">
        <v>2027</v>
      </c>
      <c r="F4" s="26">
        <v>2028</v>
      </c>
    </row>
    <row r="5" spans="3:6" ht="62" x14ac:dyDescent="0.7">
      <c r="C5" s="26" t="s">
        <v>32</v>
      </c>
      <c r="D5" s="31">
        <f>Modell!$B$9/Modell!AG12</f>
        <v>10.684273446464207</v>
      </c>
      <c r="E5" s="31">
        <f>Modell!$B$9/Modell!AH12</f>
        <v>9.6027444305480305</v>
      </c>
      <c r="F5" s="31">
        <f>Modell!$B$9/Modell!AI12</f>
        <v>8.6550488240122938</v>
      </c>
    </row>
    <row r="6" spans="3:6" ht="62" x14ac:dyDescent="0.7">
      <c r="C6" s="26" t="s">
        <v>33</v>
      </c>
      <c r="D6" s="31">
        <f>Modell!$B$4/Modell!AG18</f>
        <v>17.112031170752896</v>
      </c>
      <c r="E6" s="31">
        <f>Modell!$B$4/Modell!AH18</f>
        <v>15.176886168831501</v>
      </c>
      <c r="F6" s="31">
        <f>Modell!$B$4/Modell!AI18</f>
        <v>13.519725834911723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5D74-1C4C-0B49-8010-519E56DAB7D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2026-05-28T17:20:31Z</dcterms:modified>
</cp:coreProperties>
</file>