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9F51733B-6874-814B-9D7C-3C7BBE31CCEE}" xr6:coauthVersionLast="47" xr6:coauthVersionMax="47" xr10:uidLastSave="{00000000-0000-0000-0000-000000000000}"/>
  <bookViews>
    <workbookView xWindow="0" yWindow="740" windowWidth="29400" windowHeight="17220" activeTab="1" xr2:uid="{5AE0DF26-B7DD-1242-A60E-253C73A930AF}"/>
  </bookViews>
  <sheets>
    <sheet name="Info" sheetId="1" r:id="rId1"/>
    <sheet name="Modell" sheetId="2" r:id="rId2"/>
    <sheet name="Region" sheetId="8" r:id="rId3"/>
    <sheet name="SOTP" sheetId="9" r:id="rId4"/>
    <sheet name="Nøkkeltall" sheetId="3" r:id="rId5"/>
    <sheet name="Nedsideberegning" sheetId="5" r:id="rId6"/>
  </sheets>
  <definedNames>
    <definedName name="_xlchart.v1.0" hidden="1">SOTP!$A$36:$A$44</definedName>
    <definedName name="_xlchart.v1.1" hidden="1">SOTP!$B$36:$B$44</definedName>
    <definedName name="_xlchart.v1.2" hidden="1">SOTP!$A$36:$A$44</definedName>
    <definedName name="_xlchart.v1.3" hidden="1">SOTP!$B$36:$B$44</definedName>
    <definedName name="_xlchart.v1.4" hidden="1">SOTP!$A$36:$A$44</definedName>
    <definedName name="_xlchart.v1.5" hidden="1">SOTP!$B$36:$B$44</definedName>
    <definedName name="_xlchart.v1.6" hidden="1">SOTP!$A$36:$A$44</definedName>
    <definedName name="_xlchart.v1.7" hidden="1">SOTP!$B$36:$B$44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F10" i="9" s="1"/>
  <c r="E9" i="9"/>
  <c r="F9" i="9" s="1"/>
  <c r="G17" i="8"/>
  <c r="G23" i="8"/>
  <c r="H23" i="8"/>
  <c r="L23" i="8"/>
  <c r="L17" i="8"/>
  <c r="Q17" i="8"/>
  <c r="Q23" i="8"/>
  <c r="V23" i="8"/>
  <c r="AA23" i="8"/>
  <c r="AA17" i="8"/>
  <c r="V17" i="8"/>
  <c r="Z23" i="8"/>
  <c r="Y23" i="8"/>
  <c r="X23" i="8"/>
  <c r="W23" i="8"/>
  <c r="U23" i="8"/>
  <c r="T23" i="8"/>
  <c r="S23" i="8"/>
  <c r="R23" i="8"/>
  <c r="P23" i="8"/>
  <c r="O23" i="8"/>
  <c r="N23" i="8"/>
  <c r="M23" i="8"/>
  <c r="K23" i="8"/>
  <c r="J23" i="8"/>
  <c r="I23" i="8"/>
  <c r="F23" i="8"/>
  <c r="E23" i="8"/>
  <c r="D23" i="8"/>
  <c r="C23" i="8"/>
  <c r="F17" i="8"/>
  <c r="E17" i="8"/>
  <c r="D17" i="8"/>
  <c r="C17" i="8"/>
  <c r="K17" i="8"/>
  <c r="J17" i="8"/>
  <c r="I17" i="8"/>
  <c r="H17" i="8"/>
  <c r="P17" i="8"/>
  <c r="O17" i="8"/>
  <c r="N17" i="8"/>
  <c r="M17" i="8"/>
  <c r="U17" i="8"/>
  <c r="T17" i="8"/>
  <c r="S17" i="8"/>
  <c r="R17" i="8"/>
  <c r="Z17" i="8"/>
  <c r="Y17" i="8"/>
  <c r="X17" i="8"/>
  <c r="W17" i="8"/>
  <c r="Z11" i="8"/>
  <c r="Y11" i="8"/>
  <c r="X11" i="8"/>
  <c r="W11" i="8"/>
  <c r="U11" i="8"/>
  <c r="T11" i="8"/>
  <c r="S11" i="8"/>
  <c r="R11" i="8"/>
  <c r="P11" i="8"/>
  <c r="O11" i="8"/>
  <c r="N11" i="8"/>
  <c r="M11" i="8"/>
  <c r="K11" i="8"/>
  <c r="J11" i="8"/>
  <c r="I11" i="8"/>
  <c r="H11" i="8"/>
  <c r="F11" i="8"/>
  <c r="E11" i="8"/>
  <c r="D11" i="8"/>
  <c r="C11" i="8"/>
  <c r="G11" i="8"/>
  <c r="L11" i="8"/>
  <c r="Q11" i="8"/>
  <c r="V11" i="8"/>
  <c r="AA11" i="8"/>
  <c r="G22" i="8"/>
  <c r="L22" i="8"/>
  <c r="Q22" i="8"/>
  <c r="V22" i="8"/>
  <c r="AA22" i="8"/>
  <c r="E6" i="9"/>
  <c r="E5" i="9"/>
  <c r="F5" i="9" s="1"/>
  <c r="E4" i="9"/>
  <c r="F4" i="9" s="1"/>
  <c r="AA21" i="8"/>
  <c r="AA19" i="8"/>
  <c r="AA16" i="8"/>
  <c r="AA15" i="8"/>
  <c r="AA13" i="8"/>
  <c r="AA10" i="8"/>
  <c r="AA9" i="8"/>
  <c r="AA7" i="8"/>
  <c r="V21" i="8"/>
  <c r="V19" i="8"/>
  <c r="V20" i="8" s="1"/>
  <c r="V16" i="8"/>
  <c r="V15" i="8"/>
  <c r="V13" i="8"/>
  <c r="V10" i="8"/>
  <c r="V9" i="8"/>
  <c r="V7" i="8"/>
  <c r="V8" i="8" s="1"/>
  <c r="Q21" i="8"/>
  <c r="Q19" i="8"/>
  <c r="Q16" i="8"/>
  <c r="Q15" i="8"/>
  <c r="Q13" i="8"/>
  <c r="Q14" i="8" s="1"/>
  <c r="Q10" i="8"/>
  <c r="Q9" i="8"/>
  <c r="Q7" i="8"/>
  <c r="Q8" i="8" s="1"/>
  <c r="L10" i="8"/>
  <c r="L9" i="8"/>
  <c r="L7" i="8"/>
  <c r="L8" i="8" s="1"/>
  <c r="L16" i="8"/>
  <c r="L15" i="8"/>
  <c r="L13" i="8"/>
  <c r="L14" i="8" s="1"/>
  <c r="L21" i="8"/>
  <c r="L19" i="8"/>
  <c r="L20" i="8" s="1"/>
  <c r="G21" i="8"/>
  <c r="G19" i="8"/>
  <c r="G16" i="8"/>
  <c r="G15" i="8"/>
  <c r="G13" i="8"/>
  <c r="G10" i="8"/>
  <c r="G9" i="8"/>
  <c r="G7" i="8"/>
  <c r="W20" i="8"/>
  <c r="X20" i="8"/>
  <c r="Y20" i="8"/>
  <c r="Z20" i="8"/>
  <c r="W14" i="8"/>
  <c r="X14" i="8"/>
  <c r="Y14" i="8"/>
  <c r="Z14" i="8"/>
  <c r="W8" i="8"/>
  <c r="X8" i="8"/>
  <c r="Y8" i="8"/>
  <c r="Z8" i="8"/>
  <c r="U20" i="8"/>
  <c r="T20" i="8"/>
  <c r="S20" i="8"/>
  <c r="R20" i="8"/>
  <c r="P20" i="8"/>
  <c r="O20" i="8"/>
  <c r="N20" i="8"/>
  <c r="M20" i="8"/>
  <c r="K20" i="8"/>
  <c r="J20" i="8"/>
  <c r="I20" i="8"/>
  <c r="H20" i="8"/>
  <c r="U14" i="8"/>
  <c r="T14" i="8"/>
  <c r="S14" i="8"/>
  <c r="R14" i="8"/>
  <c r="P14" i="8"/>
  <c r="O14" i="8"/>
  <c r="N14" i="8"/>
  <c r="M14" i="8"/>
  <c r="K14" i="8"/>
  <c r="J14" i="8"/>
  <c r="I14" i="8"/>
  <c r="H14" i="8"/>
  <c r="H8" i="8"/>
  <c r="I8" i="8"/>
  <c r="J8" i="8"/>
  <c r="K8" i="8"/>
  <c r="M8" i="8"/>
  <c r="N8" i="8"/>
  <c r="O8" i="8"/>
  <c r="P8" i="8"/>
  <c r="R8" i="8"/>
  <c r="S8" i="8"/>
  <c r="T8" i="8"/>
  <c r="U8" i="8"/>
  <c r="AE9" i="2"/>
  <c r="AE10" i="2"/>
  <c r="AE11" i="2"/>
  <c r="AE8" i="2"/>
  <c r="AE4" i="2"/>
  <c r="A5" i="5"/>
  <c r="V54" i="2"/>
  <c r="W54" i="2"/>
  <c r="V6" i="2"/>
  <c r="V12" i="2" s="1"/>
  <c r="V14" i="2" s="1"/>
  <c r="V16" i="2" s="1"/>
  <c r="V18" i="2" s="1"/>
  <c r="W6" i="2"/>
  <c r="W12" i="2" s="1"/>
  <c r="W14" i="2" s="1"/>
  <c r="W16" i="2" s="1"/>
  <c r="W18" i="2" s="1"/>
  <c r="D57" i="2"/>
  <c r="D54" i="2"/>
  <c r="H54" i="2"/>
  <c r="D6" i="2"/>
  <c r="D12" i="2" s="1"/>
  <c r="D14" i="2" s="1"/>
  <c r="D16" i="2" s="1"/>
  <c r="D18" i="2" s="1"/>
  <c r="H6" i="2"/>
  <c r="H12" i="2" s="1"/>
  <c r="H14" i="2" s="1"/>
  <c r="H16" i="2" s="1"/>
  <c r="H18" i="2" s="1"/>
  <c r="E57" i="2"/>
  <c r="E54" i="2"/>
  <c r="I57" i="2"/>
  <c r="I54" i="2"/>
  <c r="E6" i="2"/>
  <c r="E12" i="2" s="1"/>
  <c r="E14" i="2" s="1"/>
  <c r="E16" i="2" s="1"/>
  <c r="E18" i="2" s="1"/>
  <c r="I6" i="2"/>
  <c r="I12" i="2" s="1"/>
  <c r="I14" i="2" s="1"/>
  <c r="I16" i="2" s="1"/>
  <c r="I18" i="2" s="1"/>
  <c r="F58" i="2"/>
  <c r="F57" i="2"/>
  <c r="F54" i="2"/>
  <c r="F50" i="2"/>
  <c r="J57" i="2"/>
  <c r="J54" i="2"/>
  <c r="F6" i="2"/>
  <c r="F12" i="2" s="1"/>
  <c r="F14" i="2" s="1"/>
  <c r="F16" i="2" s="1"/>
  <c r="F18" i="2" s="1"/>
  <c r="J6" i="2"/>
  <c r="J12" i="2" s="1"/>
  <c r="J14" i="2" s="1"/>
  <c r="J16" i="2" s="1"/>
  <c r="J18" i="2" s="1"/>
  <c r="G57" i="2"/>
  <c r="G54" i="2"/>
  <c r="K57" i="2"/>
  <c r="K54" i="2"/>
  <c r="G6" i="2"/>
  <c r="K6" i="2"/>
  <c r="K12" i="2" s="1"/>
  <c r="K14" i="2" s="1"/>
  <c r="K16" i="2" s="1"/>
  <c r="K18" i="2" s="1"/>
  <c r="E7" i="9" l="1"/>
  <c r="F6" i="9"/>
  <c r="F7" i="9" s="1"/>
  <c r="F12" i="9" s="1"/>
  <c r="V14" i="8"/>
  <c r="Q20" i="8"/>
  <c r="AA14" i="8"/>
  <c r="AA20" i="8"/>
  <c r="AA8" i="8"/>
  <c r="G12" i="2"/>
  <c r="G14" i="2" s="1"/>
  <c r="G16" i="2" s="1"/>
  <c r="G18" i="2" s="1"/>
  <c r="AF13" i="2"/>
  <c r="AG13" i="2" s="1"/>
  <c r="AH13" i="2" s="1"/>
  <c r="AI13" i="2" s="1"/>
  <c r="AJ13" i="2" s="1"/>
  <c r="AK13" i="2" s="1"/>
  <c r="AL13" i="2" s="1"/>
  <c r="AM13" i="2" s="1"/>
  <c r="AN13" i="2" s="1"/>
  <c r="AE13" i="2"/>
  <c r="AF9" i="2"/>
  <c r="AG9" i="2" s="1"/>
  <c r="AH9" i="2" s="1"/>
  <c r="AI9" i="2" s="1"/>
  <c r="AJ9" i="2" s="1"/>
  <c r="AK9" i="2" s="1"/>
  <c r="AL9" i="2" s="1"/>
  <c r="AM9" i="2" s="1"/>
  <c r="AN9" i="2" s="1"/>
  <c r="AF10" i="2"/>
  <c r="AG10" i="2" s="1"/>
  <c r="AH10" i="2" s="1"/>
  <c r="AI10" i="2" s="1"/>
  <c r="AJ10" i="2" s="1"/>
  <c r="AK10" i="2" s="1"/>
  <c r="AL10" i="2" s="1"/>
  <c r="AM10" i="2" s="1"/>
  <c r="AN10" i="2" s="1"/>
  <c r="AF8" i="2"/>
  <c r="AG8" i="2" s="1"/>
  <c r="AH8" i="2" s="1"/>
  <c r="AI8" i="2" s="1"/>
  <c r="AJ8" i="2" s="1"/>
  <c r="AK8" i="2" s="1"/>
  <c r="AL8" i="2" s="1"/>
  <c r="AM8" i="2" s="1"/>
  <c r="AN8" i="2" s="1"/>
  <c r="AF11" i="2"/>
  <c r="AG11" i="2" s="1"/>
  <c r="AH11" i="2" s="1"/>
  <c r="AI11" i="2" s="1"/>
  <c r="AJ11" i="2" s="1"/>
  <c r="AK11" i="2" s="1"/>
  <c r="AL11" i="2" s="1"/>
  <c r="AM11" i="2" s="1"/>
  <c r="AN11" i="2" s="1"/>
  <c r="AE7" i="2"/>
  <c r="AF7" i="2" s="1"/>
  <c r="AG7" i="2" s="1"/>
  <c r="AH7" i="2" s="1"/>
  <c r="AI7" i="2" s="1"/>
  <c r="AJ7" i="2" s="1"/>
  <c r="AK7" i="2" s="1"/>
  <c r="AL7" i="2" s="1"/>
  <c r="AM7" i="2" s="1"/>
  <c r="AN7" i="2" s="1"/>
  <c r="AF4" i="2"/>
  <c r="AG4" i="2" l="1"/>
  <c r="AF5" i="2"/>
  <c r="AE5" i="2"/>
  <c r="AE6" i="2" s="1"/>
  <c r="AE12" i="2" s="1"/>
  <c r="AA24" i="5"/>
  <c r="A6" i="5" s="1"/>
  <c r="AA23" i="5"/>
  <c r="AA21" i="5"/>
  <c r="Z16" i="5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Y16" i="5"/>
  <c r="P15" i="5"/>
  <c r="Q15" i="5"/>
  <c r="R15" i="5"/>
  <c r="S15" i="5"/>
  <c r="T15" i="5"/>
  <c r="U15" i="5"/>
  <c r="V15" i="5"/>
  <c r="W15" i="5"/>
  <c r="X15" i="5"/>
  <c r="O15" i="5"/>
  <c r="Q7" i="5"/>
  <c r="R7" i="5" s="1"/>
  <c r="S7" i="5" s="1"/>
  <c r="T7" i="5" s="1"/>
  <c r="U7" i="5" s="1"/>
  <c r="V7" i="5" s="1"/>
  <c r="W7" i="5" s="1"/>
  <c r="X7" i="5" s="1"/>
  <c r="Q8" i="5"/>
  <c r="R8" i="5"/>
  <c r="S8" i="5"/>
  <c r="T8" i="5"/>
  <c r="U8" i="5"/>
  <c r="V8" i="5"/>
  <c r="W8" i="5" s="1"/>
  <c r="X8" i="5" s="1"/>
  <c r="Q9" i="5"/>
  <c r="R9" i="5"/>
  <c r="S9" i="5"/>
  <c r="T9" i="5"/>
  <c r="U9" i="5"/>
  <c r="V9" i="5"/>
  <c r="W9" i="5" s="1"/>
  <c r="X9" i="5" s="1"/>
  <c r="Q10" i="5"/>
  <c r="R10" i="5"/>
  <c r="S10" i="5"/>
  <c r="T10" i="5"/>
  <c r="U10" i="5" s="1"/>
  <c r="V10" i="5" s="1"/>
  <c r="W10" i="5" s="1"/>
  <c r="X10" i="5" s="1"/>
  <c r="Q11" i="5"/>
  <c r="R11" i="5"/>
  <c r="S11" i="5"/>
  <c r="T11" i="5"/>
  <c r="U11" i="5"/>
  <c r="V11" i="5"/>
  <c r="W11" i="5" s="1"/>
  <c r="X11" i="5" s="1"/>
  <c r="P8" i="5"/>
  <c r="P12" i="5" s="1"/>
  <c r="P23" i="5" s="1"/>
  <c r="P9" i="5"/>
  <c r="P10" i="5"/>
  <c r="P11" i="5"/>
  <c r="P7" i="5"/>
  <c r="O9" i="5"/>
  <c r="O8" i="5"/>
  <c r="O10" i="5"/>
  <c r="O11" i="5"/>
  <c r="O7" i="5"/>
  <c r="P5" i="5"/>
  <c r="Q5" i="5"/>
  <c r="R5" i="5"/>
  <c r="S5" i="5"/>
  <c r="T5" i="5"/>
  <c r="U5" i="5"/>
  <c r="V5" i="5"/>
  <c r="W5" i="5"/>
  <c r="X5" i="5"/>
  <c r="O5" i="5"/>
  <c r="O6" i="5" s="1"/>
  <c r="P4" i="5"/>
  <c r="Q4" i="5" s="1"/>
  <c r="O4" i="5"/>
  <c r="G23" i="5"/>
  <c r="F23" i="5"/>
  <c r="E23" i="5"/>
  <c r="D23" i="5"/>
  <c r="K22" i="5"/>
  <c r="G22" i="5"/>
  <c r="F22" i="5"/>
  <c r="E22" i="5"/>
  <c r="D22" i="5"/>
  <c r="P20" i="5"/>
  <c r="O20" i="5"/>
  <c r="N20" i="5"/>
  <c r="M20" i="5"/>
  <c r="L20" i="5"/>
  <c r="K20" i="5"/>
  <c r="J20" i="5"/>
  <c r="I20" i="5"/>
  <c r="H20" i="5"/>
  <c r="G20" i="5"/>
  <c r="F20" i="5"/>
  <c r="E20" i="5"/>
  <c r="N14" i="5"/>
  <c r="N16" i="5" s="1"/>
  <c r="N18" i="5" s="1"/>
  <c r="M13" i="5"/>
  <c r="L13" i="5"/>
  <c r="N12" i="5"/>
  <c r="N23" i="5" s="1"/>
  <c r="L12" i="5"/>
  <c r="L23" i="5" s="1"/>
  <c r="H12" i="5"/>
  <c r="H23" i="5" s="1"/>
  <c r="P6" i="5"/>
  <c r="P22" i="5" s="1"/>
  <c r="N6" i="5"/>
  <c r="N22" i="5" s="1"/>
  <c r="M6" i="5"/>
  <c r="M22" i="5" s="1"/>
  <c r="L6" i="5"/>
  <c r="L22" i="5" s="1"/>
  <c r="K6" i="5"/>
  <c r="K12" i="5" s="1"/>
  <c r="J6" i="5"/>
  <c r="J12" i="5" s="1"/>
  <c r="I6" i="5"/>
  <c r="I12" i="5" s="1"/>
  <c r="H6" i="5"/>
  <c r="H22" i="5" s="1"/>
  <c r="AF6" i="2"/>
  <c r="AF12" i="2" s="1"/>
  <c r="AF23" i="2" s="1"/>
  <c r="AE20" i="2"/>
  <c r="AF20" i="2"/>
  <c r="AG20" i="2"/>
  <c r="X57" i="2"/>
  <c r="X54" i="2"/>
  <c r="Y57" i="2"/>
  <c r="Y54" i="2"/>
  <c r="Y55" i="2" s="1"/>
  <c r="X6" i="2"/>
  <c r="X12" i="2" s="1"/>
  <c r="Y6" i="2"/>
  <c r="Y12" i="2" s="1"/>
  <c r="Y14" i="2" s="1"/>
  <c r="Y16" i="2" s="1"/>
  <c r="Y18" i="2" s="1"/>
  <c r="AD64" i="2"/>
  <c r="AD59" i="2"/>
  <c r="AD55" i="2"/>
  <c r="AD70" i="2" s="1"/>
  <c r="Z57" i="2"/>
  <c r="Z54" i="2"/>
  <c r="Z55" i="2" s="1"/>
  <c r="AA57" i="2"/>
  <c r="AA59" i="2" s="1"/>
  <c r="AA54" i="2"/>
  <c r="AA55" i="2" s="1"/>
  <c r="Z6" i="2"/>
  <c r="Z12" i="2" s="1"/>
  <c r="AA20" i="2"/>
  <c r="AA6" i="2"/>
  <c r="AA12" i="2" s="1"/>
  <c r="AB61" i="2"/>
  <c r="AB57" i="2"/>
  <c r="AB54" i="2"/>
  <c r="AB55" i="2" s="1"/>
  <c r="AC57" i="2"/>
  <c r="AC59" i="2" s="1"/>
  <c r="AC54" i="2"/>
  <c r="AC55" i="2" s="1"/>
  <c r="AC70" i="2" s="1"/>
  <c r="AC64" i="2"/>
  <c r="AB64" i="2"/>
  <c r="AA64" i="2"/>
  <c r="Z64" i="2"/>
  <c r="Y64" i="2"/>
  <c r="X64" i="2"/>
  <c r="W64" i="2"/>
  <c r="V64" i="2"/>
  <c r="AB59" i="2"/>
  <c r="Z59" i="2"/>
  <c r="Y59" i="2"/>
  <c r="X59" i="2"/>
  <c r="W59" i="2"/>
  <c r="V59" i="2"/>
  <c r="X55" i="2"/>
  <c r="W55" i="2"/>
  <c r="V55" i="2"/>
  <c r="V70" i="2" s="1"/>
  <c r="AC47" i="2"/>
  <c r="W47" i="2"/>
  <c r="V47" i="2"/>
  <c r="AB13" i="2"/>
  <c r="AB6" i="2"/>
  <c r="AB22" i="2" s="1"/>
  <c r="AC23" i="2"/>
  <c r="W23" i="2"/>
  <c r="V23" i="2"/>
  <c r="AC22" i="2"/>
  <c r="W22" i="2"/>
  <c r="V22" i="2"/>
  <c r="W20" i="2"/>
  <c r="X20" i="2"/>
  <c r="Y20" i="2"/>
  <c r="Z20" i="2"/>
  <c r="AB20" i="2"/>
  <c r="AC20" i="2"/>
  <c r="AC13" i="2"/>
  <c r="AC6" i="2"/>
  <c r="AC12" i="2" s="1"/>
  <c r="AD20" i="2"/>
  <c r="AD23" i="2"/>
  <c r="AD22" i="2"/>
  <c r="AD16" i="2"/>
  <c r="AD6" i="2"/>
  <c r="AD12" i="2" s="1"/>
  <c r="AD14" i="2" s="1"/>
  <c r="L57" i="2"/>
  <c r="L59" i="2" s="1"/>
  <c r="L54" i="2"/>
  <c r="P57" i="2"/>
  <c r="P54" i="2"/>
  <c r="P55" i="2" s="1"/>
  <c r="L6" i="2"/>
  <c r="L12" i="2" s="1"/>
  <c r="L47" i="2" s="1"/>
  <c r="P6" i="2"/>
  <c r="P12" i="2" s="1"/>
  <c r="M57" i="2"/>
  <c r="M54" i="2"/>
  <c r="Q57" i="2"/>
  <c r="Q59" i="2" s="1"/>
  <c r="Q54" i="2"/>
  <c r="M6" i="2"/>
  <c r="M22" i="2" s="1"/>
  <c r="Q6" i="2"/>
  <c r="Q12" i="2" s="1"/>
  <c r="N57" i="2"/>
  <c r="N54" i="2"/>
  <c r="N55" i="2" s="1"/>
  <c r="R57" i="2"/>
  <c r="R59" i="2" s="1"/>
  <c r="R54" i="2"/>
  <c r="Q27" i="2"/>
  <c r="P27" i="2"/>
  <c r="O27" i="2"/>
  <c r="N27" i="2"/>
  <c r="M27" i="2"/>
  <c r="L27" i="2"/>
  <c r="K27" i="2"/>
  <c r="J27" i="2"/>
  <c r="I27" i="2"/>
  <c r="H27" i="2"/>
  <c r="R27" i="2"/>
  <c r="N6" i="2"/>
  <c r="N12" i="2" s="1"/>
  <c r="R6" i="2"/>
  <c r="R12" i="2" s="1"/>
  <c r="R14" i="2" s="1"/>
  <c r="R16" i="2" s="1"/>
  <c r="R18" i="2" s="1"/>
  <c r="B8" i="2"/>
  <c r="B7" i="2"/>
  <c r="O57" i="2"/>
  <c r="O5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P59" i="2"/>
  <c r="O59" i="2"/>
  <c r="N59" i="2"/>
  <c r="M59" i="2"/>
  <c r="K59" i="2"/>
  <c r="J59" i="2"/>
  <c r="I59" i="2"/>
  <c r="H59" i="2"/>
  <c r="G59" i="2"/>
  <c r="F59" i="2"/>
  <c r="E59" i="2"/>
  <c r="D59" i="2"/>
  <c r="R55" i="2"/>
  <c r="Q55" i="2"/>
  <c r="O55" i="2"/>
  <c r="M55" i="2"/>
  <c r="L55" i="2"/>
  <c r="L70" i="2" s="1"/>
  <c r="K55" i="2"/>
  <c r="J55" i="2"/>
  <c r="J70" i="2" s="1"/>
  <c r="I55" i="2"/>
  <c r="H55" i="2"/>
  <c r="H70" i="2" s="1"/>
  <c r="G55" i="2"/>
  <c r="G70" i="2" s="1"/>
  <c r="F55" i="2"/>
  <c r="E55" i="2"/>
  <c r="D55" i="2"/>
  <c r="S64" i="2"/>
  <c r="S59" i="2"/>
  <c r="S57" i="2"/>
  <c r="S54" i="2"/>
  <c r="S55" i="2" s="1"/>
  <c r="K47" i="2"/>
  <c r="J47" i="2"/>
  <c r="I47" i="2"/>
  <c r="H47" i="2"/>
  <c r="G47" i="2"/>
  <c r="F47" i="2"/>
  <c r="E47" i="2"/>
  <c r="D47" i="2"/>
  <c r="R43" i="2"/>
  <c r="P43" i="2"/>
  <c r="O43" i="2"/>
  <c r="N43" i="2"/>
  <c r="M43" i="2"/>
  <c r="L43" i="2"/>
  <c r="L44" i="2" s="1"/>
  <c r="K43" i="2"/>
  <c r="J43" i="2"/>
  <c r="I43" i="2"/>
  <c r="H43" i="2"/>
  <c r="G43" i="2"/>
  <c r="F43" i="2"/>
  <c r="E43" i="2"/>
  <c r="D43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S43" i="2"/>
  <c r="S38" i="2"/>
  <c r="S44" i="2" s="1"/>
  <c r="S36" i="2"/>
  <c r="B6" i="2"/>
  <c r="S27" i="2"/>
  <c r="H20" i="2"/>
  <c r="I20" i="2"/>
  <c r="J20" i="2"/>
  <c r="K20" i="2"/>
  <c r="L20" i="2"/>
  <c r="M20" i="2"/>
  <c r="N20" i="2"/>
  <c r="O20" i="2"/>
  <c r="P20" i="2"/>
  <c r="Q20" i="2"/>
  <c r="R20" i="2"/>
  <c r="D22" i="2"/>
  <c r="E22" i="2"/>
  <c r="F22" i="2"/>
  <c r="G22" i="2"/>
  <c r="H22" i="2"/>
  <c r="I22" i="2"/>
  <c r="J22" i="2"/>
  <c r="K22" i="2"/>
  <c r="D23" i="2"/>
  <c r="E23" i="2"/>
  <c r="F23" i="2"/>
  <c r="G23" i="2"/>
  <c r="H23" i="2"/>
  <c r="I23" i="2"/>
  <c r="J23" i="2"/>
  <c r="K23" i="2"/>
  <c r="S20" i="2"/>
  <c r="O6" i="2"/>
  <c r="O12" i="2" s="1"/>
  <c r="O14" i="2" s="1"/>
  <c r="O16" i="2" s="1"/>
  <c r="O18" i="2" s="1"/>
  <c r="S6" i="2"/>
  <c r="S12" i="2" s="1"/>
  <c r="S47" i="2" s="1"/>
  <c r="B9" i="2" l="1"/>
  <c r="E5" i="3"/>
  <c r="D5" i="3"/>
  <c r="S70" i="2"/>
  <c r="S68" i="2"/>
  <c r="O47" i="2"/>
  <c r="M70" i="2"/>
  <c r="O70" i="2"/>
  <c r="Q70" i="2"/>
  <c r="AD47" i="2"/>
  <c r="AH4" i="2"/>
  <c r="AG5" i="2"/>
  <c r="AG6" i="2" s="1"/>
  <c r="V68" i="2"/>
  <c r="W68" i="2"/>
  <c r="W70" i="2"/>
  <c r="D68" i="2"/>
  <c r="D70" i="2"/>
  <c r="H68" i="2"/>
  <c r="D44" i="2"/>
  <c r="H44" i="2"/>
  <c r="E68" i="2"/>
  <c r="E70" i="2"/>
  <c r="I68" i="2"/>
  <c r="I70" i="2"/>
  <c r="E44" i="2"/>
  <c r="I44" i="2"/>
  <c r="F68" i="2"/>
  <c r="F70" i="2"/>
  <c r="J68" i="2"/>
  <c r="F44" i="2"/>
  <c r="J44" i="2"/>
  <c r="G68" i="2"/>
  <c r="K68" i="2"/>
  <c r="K70" i="2"/>
  <c r="G44" i="2"/>
  <c r="K44" i="2"/>
  <c r="AD68" i="2"/>
  <c r="AF22" i="2"/>
  <c r="AE22" i="2"/>
  <c r="AF14" i="2"/>
  <c r="AE23" i="2"/>
  <c r="AE14" i="2"/>
  <c r="O12" i="5"/>
  <c r="Q20" i="5"/>
  <c r="R4" i="5"/>
  <c r="Q6" i="5"/>
  <c r="Q12" i="5" s="1"/>
  <c r="Q14" i="5" s="1"/>
  <c r="Q16" i="5" s="1"/>
  <c r="Q18" i="5" s="1"/>
  <c r="J23" i="5"/>
  <c r="J14" i="5"/>
  <c r="J16" i="5" s="1"/>
  <c r="J18" i="5" s="1"/>
  <c r="K14" i="5"/>
  <c r="K16" i="5" s="1"/>
  <c r="K18" i="5" s="1"/>
  <c r="K23" i="5"/>
  <c r="O23" i="5"/>
  <c r="O14" i="5"/>
  <c r="O16" i="5" s="1"/>
  <c r="O18" i="5" s="1"/>
  <c r="I14" i="5"/>
  <c r="I16" i="5" s="1"/>
  <c r="I18" i="5" s="1"/>
  <c r="I23" i="5"/>
  <c r="M12" i="5"/>
  <c r="O22" i="5"/>
  <c r="L14" i="5"/>
  <c r="L16" i="5" s="1"/>
  <c r="L18" i="5" s="1"/>
  <c r="I22" i="5"/>
  <c r="Q22" i="5"/>
  <c r="J22" i="5"/>
  <c r="H14" i="5"/>
  <c r="H16" i="5" s="1"/>
  <c r="H18" i="5" s="1"/>
  <c r="P14" i="5"/>
  <c r="P16" i="5" s="1"/>
  <c r="P18" i="5" s="1"/>
  <c r="X68" i="2"/>
  <c r="X70" i="2"/>
  <c r="Y68" i="2"/>
  <c r="Y70" i="2"/>
  <c r="X47" i="2"/>
  <c r="X14" i="2"/>
  <c r="X16" i="2" s="1"/>
  <c r="X18" i="2" s="1"/>
  <c r="X23" i="2"/>
  <c r="X22" i="2"/>
  <c r="Y22" i="2"/>
  <c r="Y23" i="2"/>
  <c r="Y47" i="2"/>
  <c r="Z68" i="2"/>
  <c r="Z70" i="2"/>
  <c r="AA68" i="2"/>
  <c r="AA70" i="2"/>
  <c r="Z22" i="2"/>
  <c r="Z14" i="2"/>
  <c r="Z16" i="2" s="1"/>
  <c r="Z18" i="2" s="1"/>
  <c r="Z23" i="2"/>
  <c r="Z47" i="2"/>
  <c r="AA14" i="2"/>
  <c r="AA16" i="2" s="1"/>
  <c r="AA18" i="2" s="1"/>
  <c r="AA47" i="2"/>
  <c r="AA23" i="2"/>
  <c r="AA22" i="2"/>
  <c r="AB70" i="2"/>
  <c r="AB68" i="2"/>
  <c r="AC68" i="2"/>
  <c r="AB12" i="2"/>
  <c r="AB47" i="2" s="1"/>
  <c r="AC14" i="2"/>
  <c r="AC16" i="2" s="1"/>
  <c r="AC18" i="2" s="1"/>
  <c r="AD18" i="2"/>
  <c r="L68" i="2"/>
  <c r="P68" i="2"/>
  <c r="P70" i="2"/>
  <c r="P44" i="2"/>
  <c r="L22" i="2"/>
  <c r="L23" i="2"/>
  <c r="L14" i="2"/>
  <c r="L16" i="2" s="1"/>
  <c r="L18" i="2" s="1"/>
  <c r="P14" i="2"/>
  <c r="P16" i="2" s="1"/>
  <c r="P18" i="2" s="1"/>
  <c r="P23" i="2"/>
  <c r="P47" i="2"/>
  <c r="P22" i="2"/>
  <c r="M68" i="2"/>
  <c r="Q68" i="2"/>
  <c r="M44" i="2"/>
  <c r="Q44" i="2"/>
  <c r="M12" i="2"/>
  <c r="Q22" i="2"/>
  <c r="Q14" i="2"/>
  <c r="Q16" i="2" s="1"/>
  <c r="Q18" i="2" s="1"/>
  <c r="Q23" i="2"/>
  <c r="Q47" i="2"/>
  <c r="N68" i="2"/>
  <c r="N70" i="2"/>
  <c r="R68" i="2"/>
  <c r="R70" i="2"/>
  <c r="N44" i="2"/>
  <c r="R44" i="2"/>
  <c r="N14" i="2"/>
  <c r="N16" i="2" s="1"/>
  <c r="N18" i="2" s="1"/>
  <c r="N23" i="2"/>
  <c r="N47" i="2"/>
  <c r="N22" i="2"/>
  <c r="R22" i="2"/>
  <c r="R47" i="2"/>
  <c r="R23" i="2"/>
  <c r="O68" i="2"/>
  <c r="O44" i="2"/>
  <c r="S23" i="2"/>
  <c r="S14" i="2"/>
  <c r="S16" i="2" s="1"/>
  <c r="S18" i="2" s="1"/>
  <c r="O22" i="2"/>
  <c r="O23" i="2"/>
  <c r="S22" i="2"/>
  <c r="AF15" i="2" l="1"/>
  <c r="AF16" i="2" s="1"/>
  <c r="AF18" i="2" s="1"/>
  <c r="E6" i="3" s="1"/>
  <c r="AE15" i="2"/>
  <c r="AE16" i="2" s="1"/>
  <c r="AG12" i="2"/>
  <c r="AG22" i="2"/>
  <c r="AI4" i="2"/>
  <c r="AH5" i="2"/>
  <c r="AH6" i="2" s="1"/>
  <c r="AH20" i="2"/>
  <c r="Q23" i="5"/>
  <c r="R6" i="5"/>
  <c r="S4" i="5"/>
  <c r="R20" i="5"/>
  <c r="M23" i="5"/>
  <c r="M14" i="5"/>
  <c r="M16" i="5" s="1"/>
  <c r="M18" i="5" s="1"/>
  <c r="AB14" i="2"/>
  <c r="AB16" i="2" s="1"/>
  <c r="AB18" i="2" s="1"/>
  <c r="AB23" i="2"/>
  <c r="M47" i="2"/>
  <c r="M23" i="2"/>
  <c r="M14" i="2"/>
  <c r="M16" i="2" s="1"/>
  <c r="M18" i="2" s="1"/>
  <c r="AE18" i="2" l="1"/>
  <c r="D6" i="3" s="1"/>
  <c r="AH22" i="2"/>
  <c r="AH12" i="2"/>
  <c r="AJ4" i="2"/>
  <c r="AI5" i="2"/>
  <c r="AI20" i="2"/>
  <c r="AI6" i="2"/>
  <c r="AG23" i="2"/>
  <c r="F5" i="3"/>
  <c r="AG14" i="2"/>
  <c r="S6" i="5"/>
  <c r="S20" i="5"/>
  <c r="T4" i="5"/>
  <c r="R12" i="5"/>
  <c r="R22" i="5"/>
  <c r="AI22" i="2" l="1"/>
  <c r="AI12" i="2"/>
  <c r="AK4" i="2"/>
  <c r="AJ5" i="2"/>
  <c r="AJ20" i="2"/>
  <c r="AJ6" i="2"/>
  <c r="AH23" i="2"/>
  <c r="AH14" i="2"/>
  <c r="AG15" i="2"/>
  <c r="AG16" i="2" s="1"/>
  <c r="T20" i="5"/>
  <c r="U4" i="5"/>
  <c r="T6" i="5"/>
  <c r="R14" i="5"/>
  <c r="R16" i="5" s="1"/>
  <c r="R18" i="5" s="1"/>
  <c r="R23" i="5"/>
  <c r="S12" i="5"/>
  <c r="S22" i="5"/>
  <c r="AG18" i="2" l="1"/>
  <c r="F6" i="3" s="1"/>
  <c r="AH15" i="2"/>
  <c r="AH16" i="2" s="1"/>
  <c r="AJ22" i="2"/>
  <c r="AJ12" i="2"/>
  <c r="AL4" i="2"/>
  <c r="AK5" i="2"/>
  <c r="AK6" i="2" s="1"/>
  <c r="AK20" i="2"/>
  <c r="AI23" i="2"/>
  <c r="AI14" i="2"/>
  <c r="S14" i="5"/>
  <c r="S16" i="5" s="1"/>
  <c r="S18" i="5" s="1"/>
  <c r="S23" i="5"/>
  <c r="T22" i="5"/>
  <c r="T12" i="5"/>
  <c r="V4" i="5"/>
  <c r="U6" i="5"/>
  <c r="U20" i="5"/>
  <c r="AK22" i="2" l="1"/>
  <c r="AK12" i="2"/>
  <c r="AH18" i="2"/>
  <c r="AM4" i="2"/>
  <c r="AL5" i="2"/>
  <c r="AL6" i="2" s="1"/>
  <c r="AL20" i="2"/>
  <c r="AJ23" i="2"/>
  <c r="AJ14" i="2"/>
  <c r="AI15" i="2"/>
  <c r="AI16" i="2" s="1"/>
  <c r="U22" i="5"/>
  <c r="U12" i="5"/>
  <c r="V6" i="5"/>
  <c r="V20" i="5"/>
  <c r="W4" i="5"/>
  <c r="T23" i="5"/>
  <c r="T14" i="5"/>
  <c r="T16" i="5" s="1"/>
  <c r="T18" i="5" s="1"/>
  <c r="AI18" i="2" l="1"/>
  <c r="AL12" i="2"/>
  <c r="AL22" i="2"/>
  <c r="AN4" i="2"/>
  <c r="AM5" i="2"/>
  <c r="AM6" i="2"/>
  <c r="AM20" i="2"/>
  <c r="AJ15" i="2"/>
  <c r="AJ16" i="2" s="1"/>
  <c r="AK23" i="2"/>
  <c r="AK14" i="2"/>
  <c r="X4" i="5"/>
  <c r="W6" i="5"/>
  <c r="W20" i="5"/>
  <c r="V22" i="5"/>
  <c r="V12" i="5"/>
  <c r="U23" i="5"/>
  <c r="U14" i="5"/>
  <c r="U16" i="5" s="1"/>
  <c r="U18" i="5" s="1"/>
  <c r="AJ18" i="2" l="1"/>
  <c r="AM22" i="2"/>
  <c r="AM12" i="2"/>
  <c r="AN5" i="2"/>
  <c r="AN20" i="2"/>
  <c r="AN6" i="2"/>
  <c r="AK15" i="2"/>
  <c r="AK16" i="2" s="1"/>
  <c r="AK18" i="2" s="1"/>
  <c r="AL23" i="2"/>
  <c r="AL14" i="2"/>
  <c r="V23" i="5"/>
  <c r="V14" i="5"/>
  <c r="V16" i="5" s="1"/>
  <c r="V18" i="5" s="1"/>
  <c r="W12" i="5"/>
  <c r="W22" i="5"/>
  <c r="X20" i="5"/>
  <c r="X6" i="5"/>
  <c r="AN22" i="2" l="1"/>
  <c r="AN12" i="2"/>
  <c r="AM23" i="2"/>
  <c r="AM14" i="2"/>
  <c r="AL15" i="2"/>
  <c r="AL16" i="2" s="1"/>
  <c r="AL18" i="2" s="1"/>
  <c r="X22" i="5"/>
  <c r="X12" i="5"/>
  <c r="W23" i="5"/>
  <c r="W14" i="5"/>
  <c r="W16" i="5" s="1"/>
  <c r="W18" i="5" s="1"/>
  <c r="AM15" i="2" l="1"/>
  <c r="AM16" i="2" s="1"/>
  <c r="AM18" i="2" s="1"/>
  <c r="AN23" i="2"/>
  <c r="AN14" i="2"/>
  <c r="X23" i="5"/>
  <c r="X14" i="5"/>
  <c r="X16" i="5" s="1"/>
  <c r="X18" i="5" s="1"/>
  <c r="AN15" i="2" l="1"/>
  <c r="AN16" i="2" s="1"/>
  <c r="AN18" i="2" l="1"/>
  <c r="AO16" i="2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AQ21" i="2" s="1"/>
  <c r="AQ23" i="2" s="1"/>
  <c r="AQ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tc={0591926E-8634-3B4E-AE9F-3CBD05F68B3D}</author>
  </authors>
  <commentList>
    <comment ref="A19" authorId="0" shapeId="0" xr:uid="{0591926E-8634-3B4E-AE9F-3CBD05F68B3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Produksjonsfilosofi som handler om å fjerne alt som er sløsing</t>
      </text>
    </comment>
  </commentList>
</comments>
</file>

<file path=xl/sharedStrings.xml><?xml version="1.0" encoding="utf-8"?>
<sst xmlns="http://schemas.openxmlformats.org/spreadsheetml/2006/main" count="277" uniqueCount="187">
  <si>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</si>
  <si>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</si>
  <si>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</si>
  <si>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</si>
  <si>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</si>
  <si>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</si>
  <si>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</si>
  <si>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</si>
  <si>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</si>
  <si>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</si>
  <si>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</si>
  <si>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</si>
  <si>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</si>
  <si>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</si>
  <si>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</si>
  <si>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</si>
  <si>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</si>
  <si>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</si>
  <si>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</si>
  <si>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</si>
  <si>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</si>
  <si>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</si>
  <si>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</si>
  <si>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</si>
  <si>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</si>
  <si>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</si>
  <si>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</si>
  <si>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</si>
  <si>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</si>
  <si>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</si>
  <si>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</si>
  <si>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</si>
  <si>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</si>
  <si>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</si>
  <si>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</si>
  <si>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</si>
  <si>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</si>
  <si>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</si>
  <si>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</si>
  <si>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</si>
  <si>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</si>
  <si>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2015</t>
  </si>
  <si>
    <t>FY 2016</t>
  </si>
  <si>
    <t>FY 2017</t>
  </si>
  <si>
    <t>FY 2018</t>
  </si>
  <si>
    <t>Gross margin</t>
  </si>
  <si>
    <t>SEKm</t>
  </si>
  <si>
    <t>MC SEKm</t>
  </si>
  <si>
    <t>Cash SEKm</t>
  </si>
  <si>
    <t>Debt SEKm</t>
  </si>
  <si>
    <t>EV SEKm</t>
  </si>
  <si>
    <t>Balanse SEKm</t>
  </si>
  <si>
    <t>Revenue</t>
  </si>
  <si>
    <t>COGS</t>
  </si>
  <si>
    <t>Gross profit</t>
  </si>
  <si>
    <t>Other revenue</t>
  </si>
  <si>
    <t>Other external costs</t>
  </si>
  <si>
    <t>Personnel costs</t>
  </si>
  <si>
    <t>D/A/I</t>
  </si>
  <si>
    <t>Other opex</t>
  </si>
  <si>
    <t>Operating profit (EBIT)</t>
  </si>
  <si>
    <t>Net financial items</t>
  </si>
  <si>
    <t>PTP</t>
  </si>
  <si>
    <t>Tax</t>
  </si>
  <si>
    <t>Net income</t>
  </si>
  <si>
    <t>Share</t>
  </si>
  <si>
    <t>EPS</t>
  </si>
  <si>
    <t>ROCE</t>
  </si>
  <si>
    <t>intangible non-current assets</t>
  </si>
  <si>
    <t>Other non-current assets</t>
  </si>
  <si>
    <t>Inventories</t>
  </si>
  <si>
    <t>Trade receivables</t>
  </si>
  <si>
    <t>Other current assets</t>
  </si>
  <si>
    <t>Cash</t>
  </si>
  <si>
    <t>Total assets</t>
  </si>
  <si>
    <t>Order intake</t>
  </si>
  <si>
    <t>y/y</t>
  </si>
  <si>
    <t>Organic growth</t>
  </si>
  <si>
    <t>Equity</t>
  </si>
  <si>
    <t>Total equity</t>
  </si>
  <si>
    <t>Long term IB liabilties</t>
  </si>
  <si>
    <t>Long term non-IB liabilities</t>
  </si>
  <si>
    <t>Current IB liabilities</t>
  </si>
  <si>
    <t>Current non-IB liabiltiies</t>
  </si>
  <si>
    <t>Total debt</t>
  </si>
  <si>
    <t>Total E/D</t>
  </si>
  <si>
    <t>Cash flow SEKm</t>
  </si>
  <si>
    <t>Model OP</t>
  </si>
  <si>
    <t>Reported OP</t>
  </si>
  <si>
    <t>Other non-cash items</t>
  </si>
  <si>
    <t xml:space="preserve">Interest income </t>
  </si>
  <si>
    <t>Interest expense</t>
  </si>
  <si>
    <t>Paid taxes</t>
  </si>
  <si>
    <t>WC</t>
  </si>
  <si>
    <t>CFFO</t>
  </si>
  <si>
    <t>Capex</t>
  </si>
  <si>
    <t>Change in long-term receivables</t>
  </si>
  <si>
    <t>CFFI</t>
  </si>
  <si>
    <t>Amortization of IB debt</t>
  </si>
  <si>
    <t>Amortization of lease</t>
  </si>
  <si>
    <t>Dividend</t>
  </si>
  <si>
    <t>CFFF</t>
  </si>
  <si>
    <t>FX</t>
  </si>
  <si>
    <t>CIC</t>
  </si>
  <si>
    <t>FCF</t>
  </si>
  <si>
    <t>Discount</t>
  </si>
  <si>
    <t>TV</t>
  </si>
  <si>
    <t>NPV</t>
  </si>
  <si>
    <t>NPV/Share</t>
  </si>
  <si>
    <t>Opp/nedside</t>
  </si>
  <si>
    <t>Nullvekst og flate marginer</t>
  </si>
  <si>
    <t xml:space="preserve">Press releases: </t>
  </si>
  <si>
    <t>Produksjon</t>
  </si>
  <si>
    <t>Nederland</t>
  </si>
  <si>
    <t>Ny fabrikk Bangladesh</t>
  </si>
  <si>
    <t>LEAN-program</t>
  </si>
  <si>
    <t>Egne fabrikker (in-house)</t>
  </si>
  <si>
    <t>Lokal trykkproduksjon</t>
  </si>
  <si>
    <t>Hvor</t>
  </si>
  <si>
    <t>Portugal, Bangladesh</t>
  </si>
  <si>
    <t>Produkter</t>
  </si>
  <si>
    <t>Woven + printed labels</t>
  </si>
  <si>
    <t>Kun printed labels</t>
  </si>
  <si>
    <t>Skala</t>
  </si>
  <si>
    <t>Stor, dedikerte fabrikker</t>
  </si>
  <si>
    <t>Mindre, tilknyttet salgskontor</t>
  </si>
  <si>
    <t>Fordel</t>
  </si>
  <si>
    <t>Full kontroll, bredde</t>
  </si>
  <si>
    <t>Nærhet til kunde, rask levering</t>
  </si>
  <si>
    <t>UK, Tyskland, Vietnam, Tyrkia, Hong Kong</t>
  </si>
  <si>
    <t>RIS = Labels with variable information such as barcodes, care labels and RFID</t>
  </si>
  <si>
    <t>Retail information solutions</t>
  </si>
  <si>
    <t>Investeringsplan og strategiske initiativ</t>
  </si>
  <si>
    <t>PRODUKSJON &amp; KAPASITET</t>
  </si>
  <si>
    <t>~MUSD 10. Nåværende full (MSEK 80). Ferdig H1 2027, dobler kapasitet</t>
  </si>
  <si>
    <t>Portugal oppgradering</t>
  </si>
  <si>
    <t>MSEK 10 investering, øke kapasitet og servicenivå</t>
  </si>
  <si>
    <t>Innføres på alle fabrikker, startet Portugal &amp; Bangladesh</t>
  </si>
  <si>
    <t>In-house trend</t>
  </si>
  <si>
    <t>Andelen egen produksjon øker — bedre kontroll og marginer</t>
  </si>
  <si>
    <t>SALG &amp; ORGANISASJON</t>
  </si>
  <si>
    <t>USA-ekspansjon</t>
  </si>
  <si>
    <t>3 nye selgere, akselerere Nord-Amerika</t>
  </si>
  <si>
    <t>Nytt datterselskap, styrke Benelux</t>
  </si>
  <si>
    <t>CCO (ny rolle)</t>
  </si>
  <si>
    <t>Chief Commercial Officer — sentralisere global salgsstrategi</t>
  </si>
  <si>
    <t>DIGITALISERING &amp; NYE PRODUKTER</t>
  </si>
  <si>
    <t>Nilörn:CONNECT</t>
  </si>
  <si>
    <t>QR/NFC i etiketter, koblet til digitalt system. Svarer på EUs Digital Product Passport (DPP)</t>
  </si>
  <si>
    <t>Packaging-satsing</t>
  </si>
  <si>
    <t>Ny Category Manager rekruttert. Premium emballasje + bærekraftige materialer</t>
  </si>
  <si>
    <t>RFID</t>
  </si>
  <si>
    <t>Identifisert som stort vekstområde 2025→2030</t>
  </si>
  <si>
    <t>Heat Transfer</t>
  </si>
  <si>
    <t>Vekstambisjon i radardiagram 2025→2030</t>
  </si>
  <si>
    <t>MARKED &amp; KONSOLIDERING</t>
  </si>
  <si>
    <t>Bransjetrend</t>
  </si>
  <si>
    <t>Konsolidering — store kunder vil ha færre, sterkere leverandører</t>
  </si>
  <si>
    <t>Nilörns respons</t>
  </si>
  <si>
    <t>Global dekning, digital + compliance → posisjonert for organisk vekst og oppkjøp</t>
  </si>
  <si>
    <t>TRANSFORMASJON 2020→2025 (gjennomført)</t>
  </si>
  <si>
    <t>Styrket</t>
  </si>
  <si>
    <t>Sustainability/CSR, Digital Solutions, Global Deliveries, Packaging, Financial Strength</t>
  </si>
  <si>
    <t>Endret modell</t>
  </si>
  <si>
    <t>Fra desentralisert → integrert organisasjon med sentralisert sourcing</t>
  </si>
  <si>
    <t>STRATEGISK RETNING 2025→2030</t>
  </si>
  <si>
    <t>Størst vekstambisjon</t>
  </si>
  <si>
    <t>RFID, Digital solutions, Heat Transfer, Packaging</t>
  </si>
  <si>
    <t>Videre vekst</t>
  </si>
  <si>
    <t>Own production, Global deliveries</t>
  </si>
  <si>
    <t>Overordnet mål</t>
  </si>
  <si>
    <t>Full-service leverandør med digitale løsninger, ikke bare etiketter</t>
  </si>
  <si>
    <t>Sweden</t>
  </si>
  <si>
    <t>Depreciation</t>
  </si>
  <si>
    <t>EBIT</t>
  </si>
  <si>
    <t>Europe</t>
  </si>
  <si>
    <t>Asia</t>
  </si>
  <si>
    <t>Q126</t>
  </si>
  <si>
    <t>Q226</t>
  </si>
  <si>
    <t>Q326</t>
  </si>
  <si>
    <t>Q426</t>
  </si>
  <si>
    <t>Enterprise value</t>
  </si>
  <si>
    <t>EBIT 26E</t>
  </si>
  <si>
    <t>Value</t>
  </si>
  <si>
    <t>SEK/Share</t>
  </si>
  <si>
    <t>Debt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</si>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</sst>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kr&quot;\ #,##0.00_);[Red]\(&quot;kr&quot;\ #,##0.00\)"/>
    <numFmt numFmtId="164" formatCode="#,##0.0"/>
    <numFmt numFmtId="165" formatCode="0.0"/>
  </numFmts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000000"/>
      <name val="Tahoma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BFCA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99999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999999"/>
      </bottom>
      <diagonal/>
    </border>
    <border>
      <left style="thin">
        <color rgb="FF999999"/>
      </left>
      <right style="thin">
        <color rgb="FFCCCCCC"/>
      </right>
      <top style="thin">
        <color rgb="FF999999"/>
      </top>
      <bottom style="thin">
        <color rgb="FFCCCCCC"/>
      </bottom>
      <diagonal/>
    </border>
    <border>
      <left style="thin">
        <color rgb="FF99999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CCCCCC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 style="thin">
        <color rgb="FF999999"/>
      </right>
      <top style="thin">
        <color rgb="FF999999"/>
      </top>
      <bottom style="thin">
        <color rgb="FFCCCCCC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2" fillId="0" borderId="0" xfId="0" applyNumberFormat="1" applyFont="1"/>
    <xf numFmtId="165" fontId="2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10" fontId="1" fillId="0" borderId="0" xfId="0" applyNumberFormat="1" applyFont="1"/>
    <xf numFmtId="10" fontId="2" fillId="0" borderId="0" xfId="0" applyNumberFormat="1" applyFont="1"/>
    <xf numFmtId="3" fontId="4" fillId="0" borderId="0" xfId="0" applyNumberFormat="1" applyFont="1"/>
    <xf numFmtId="165" fontId="2" fillId="0" borderId="1" xfId="0" applyNumberFormat="1" applyFont="1" applyBorder="1"/>
    <xf numFmtId="2" fontId="2" fillId="0" borderId="1" xfId="0" applyNumberFormat="1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4" fontId="2" fillId="0" borderId="0" xfId="0" applyNumberFormat="1" applyFont="1"/>
    <xf numFmtId="10" fontId="1" fillId="0" borderId="1" xfId="0" applyNumberFormat="1" applyFont="1" applyBorder="1"/>
    <xf numFmtId="10" fontId="2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8" fontId="2" fillId="0" borderId="0" xfId="0" applyNumberFormat="1" applyFont="1"/>
    <xf numFmtId="1" fontId="1" fillId="0" borderId="0" xfId="0" applyNumberFormat="1" applyFont="1"/>
    <xf numFmtId="165" fontId="6" fillId="0" borderId="2" xfId="0" applyNumberFormat="1" applyFont="1" applyBorder="1"/>
    <xf numFmtId="8" fontId="1" fillId="0" borderId="0" xfId="0" applyNumberFormat="1" applyFont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10" fontId="2" fillId="0" borderId="3" xfId="0" applyNumberFormat="1" applyFont="1" applyBorder="1"/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9" fillId="2" borderId="7" xfId="0" applyFont="1" applyFill="1" applyBorder="1"/>
    <xf numFmtId="0" fontId="9" fillId="2" borderId="12" xfId="0" applyFont="1" applyFill="1" applyBorder="1"/>
    <xf numFmtId="0" fontId="9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10" fontId="4" fillId="0" borderId="0" xfId="0" applyNumberFormat="1" applyFont="1"/>
    <xf numFmtId="0" fontId="1" fillId="0" borderId="16" xfId="0" applyFont="1" applyBorder="1" applyAlignment="1">
      <alignment horizontal="right"/>
    </xf>
    <xf numFmtId="0" fontId="2" fillId="0" borderId="16" xfId="0" applyFont="1" applyBorder="1"/>
    <xf numFmtId="3" fontId="1" fillId="0" borderId="16" xfId="0" applyNumberFormat="1" applyFont="1" applyBorder="1"/>
    <xf numFmtId="10" fontId="4" fillId="0" borderId="16" xfId="0" applyNumberFormat="1" applyFont="1" applyBorder="1"/>
    <xf numFmtId="0" fontId="1" fillId="0" borderId="1" xfId="0" applyFont="1" applyBorder="1"/>
    <xf numFmtId="0" fontId="1" fillId="0" borderId="16" xfId="0" applyFont="1" applyBorder="1"/>
    <xf numFmtId="0" fontId="1" fillId="0" borderId="0" xfId="0" applyFont="1" applyBorder="1"/>
    <xf numFmtId="3" fontId="1" fillId="0" borderId="0" xfId="0" applyNumberFormat="1" applyFont="1" applyBorder="1"/>
    <xf numFmtId="10" fontId="4" fillId="0" borderId="3" xfId="0" applyNumberFormat="1" applyFont="1" applyBorder="1"/>
    <xf numFmtId="10" fontId="4" fillId="0" borderId="15" xfId="0" applyNumberFormat="1" applyFont="1" applyBorder="1"/>
    <xf numFmtId="0" fontId="4" fillId="0" borderId="1" xfId="0" applyFont="1" applyBorder="1"/>
    <xf numFmtId="0" fontId="11" fillId="0" borderId="0" xfId="0" applyFont="1"/>
    <xf numFmtId="0" fontId="11" fillId="0" borderId="2" xfId="0" applyFont="1" applyBorder="1"/>
    <xf numFmtId="0" fontId="12" fillId="0" borderId="2" xfId="0" applyFont="1" applyBorder="1"/>
    <xf numFmtId="0" fontId="11" fillId="3" borderId="2" xfId="0" applyFont="1" applyFill="1" applyBorder="1"/>
    <xf numFmtId="1" fontId="11" fillId="0" borderId="2" xfId="0" applyNumberFormat="1" applyFont="1" applyBorder="1"/>
    <xf numFmtId="0" fontId="4" fillId="0" borderId="0" xfId="0" applyNumberFormat="1" applyFont="1"/>
    <xf numFmtId="1" fontId="1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63470BE1-BAF5-6942-9384-1040058F6B4D}">
          <cx:dataPt idx="3"/>
          <cx:dataPt idx="6">
            <cx:spPr>
              <a:solidFill>
                <a:srgbClr val="FF0000"/>
              </a:solidFill>
            </cx:spPr>
          </cx:dataPt>
          <cx:dataPt idx="8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title>
          <cx:tx>
            <cx:txData>
              <cx:v>SEK/Share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b-NO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SEK/Share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2</xdr:row>
      <xdr:rowOff>60325</xdr:rowOff>
    </xdr:from>
    <xdr:to>
      <xdr:col>8</xdr:col>
      <xdr:colOff>336550</xdr:colOff>
      <xdr:row>14</xdr:row>
      <xdr:rowOff>42706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B332F52-6880-6918-4ADC-D27F4C80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5375" y="536575"/>
          <a:ext cx="3670300" cy="2839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</xdr:row>
      <xdr:rowOff>323850</xdr:rowOff>
    </xdr:from>
    <xdr:to>
      <xdr:col>16</xdr:col>
      <xdr:colOff>0</xdr:colOff>
      <xdr:row>18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A303CEBC-FE93-B3CA-E660-B2F60B1865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9350" y="654050"/>
              <a:ext cx="8248650" cy="535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ACC4BB94-42AB-B646-8041-6ED9EF8C4DF6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" dT="2026-03-28T07:25:59.74" personId="{ACC4BB94-42AB-B646-8041-6ED9EF8C4DF6}" id="{0591926E-8634-3B4E-AE9F-3CBD05F68B3D}">
    <text>Produksjonsfilosofi som handler om å fjerne alt som er sløsing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5E0F7D-2F4B-1E48-BED4-E729049B782B}">
  <we:reference id="wa200009404" version="1.0.0.8" store="nb-NO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G46"/>
  <sheetViews>
    <sheetView showGridLines="0" topLeftCell="A10" zoomScale="90" zoomScaleNormal="90" workbookViewId="0">
      <selection activeCell="D39" sqref="D39"/>
    </sheetView>
  </sheetViews>
  <sheetFormatPr baseColWidth="10" defaultRowHeight="19" x14ac:dyDescent="0.25"/>
  <cols>
    <col min="1" max="1" width="30" style="2" customWidth="1"/>
    <col min="2" max="2" width="75" style="2" customWidth="1"/>
    <col min="3" max="3" width="42.83203125" style="2" customWidth="1"/>
    <col min="4" max="6" width="10.83203125" style="2"/>
    <col min="7" max="7" width="18.83203125" style="2" customWidth="1"/>
    <col min="8" max="16384" width="10.83203125" style="2"/>
  </cols>
  <sheetData>
    <row r="2" spans="1:7" x14ac:dyDescent="0.25">
      <c r="A2" s="1" t="s">
        <v>112</v>
      </c>
      <c r="F2" s="2" t="s">
        <v>36</v>
      </c>
    </row>
    <row r="3" spans="1:7" x14ac:dyDescent="0.25">
      <c r="A3" s="34"/>
      <c r="B3" s="46" t="s">
        <v>116</v>
      </c>
      <c r="C3" s="47" t="s">
        <v>117</v>
      </c>
    </row>
    <row r="4" spans="1:7" x14ac:dyDescent="0.25">
      <c r="A4" s="35" t="s">
        <v>118</v>
      </c>
      <c r="B4" s="32" t="s">
        <v>119</v>
      </c>
      <c r="C4" s="37" t="s">
        <v>129</v>
      </c>
    </row>
    <row r="5" spans="1:7" x14ac:dyDescent="0.25">
      <c r="A5" s="35" t="s">
        <v>120</v>
      </c>
      <c r="B5" s="32" t="s">
        <v>121</v>
      </c>
      <c r="C5" s="37" t="s">
        <v>122</v>
      </c>
    </row>
    <row r="6" spans="1:7" x14ac:dyDescent="0.25">
      <c r="A6" s="35" t="s">
        <v>123</v>
      </c>
      <c r="B6" s="32" t="s">
        <v>124</v>
      </c>
      <c r="C6" s="37" t="s">
        <v>125</v>
      </c>
    </row>
    <row r="7" spans="1:7" x14ac:dyDescent="0.25">
      <c r="A7" s="36" t="s">
        <v>126</v>
      </c>
      <c r="B7" s="33" t="s">
        <v>127</v>
      </c>
      <c r="C7" s="38" t="s">
        <v>128</v>
      </c>
    </row>
    <row r="10" spans="1:7" x14ac:dyDescent="0.25">
      <c r="A10" s="2" t="s">
        <v>130</v>
      </c>
    </row>
    <row r="11" spans="1:7" x14ac:dyDescent="0.25">
      <c r="A11" s="2" t="s">
        <v>131</v>
      </c>
    </row>
    <row r="12" spans="1:7" x14ac:dyDescent="0.25">
      <c r="A12" s="1"/>
      <c r="G12" s="1"/>
    </row>
    <row r="13" spans="1:7" x14ac:dyDescent="0.25">
      <c r="A13" s="1"/>
    </row>
    <row r="14" spans="1:7" x14ac:dyDescent="0.25">
      <c r="A14" s="1" t="s">
        <v>132</v>
      </c>
    </row>
    <row r="16" spans="1:7" ht="20" x14ac:dyDescent="0.25">
      <c r="A16" s="48" t="s">
        <v>133</v>
      </c>
      <c r="B16" s="49"/>
    </row>
    <row r="17" spans="1:2" ht="43" customHeight="1" x14ac:dyDescent="0.25">
      <c r="A17" s="44" t="s">
        <v>114</v>
      </c>
      <c r="B17" s="40" t="s">
        <v>134</v>
      </c>
    </row>
    <row r="18" spans="1:2" ht="34" customHeight="1" x14ac:dyDescent="0.25">
      <c r="A18" s="45" t="s">
        <v>135</v>
      </c>
      <c r="B18" s="41" t="s">
        <v>136</v>
      </c>
    </row>
    <row r="19" spans="1:2" ht="32" customHeight="1" x14ac:dyDescent="0.25">
      <c r="A19" s="45" t="s">
        <v>115</v>
      </c>
      <c r="B19" s="41" t="s">
        <v>137</v>
      </c>
    </row>
    <row r="20" spans="1:2" ht="29" customHeight="1" x14ac:dyDescent="0.25">
      <c r="A20" s="45" t="s">
        <v>138</v>
      </c>
      <c r="B20" s="41" t="s">
        <v>139</v>
      </c>
    </row>
    <row r="21" spans="1:2" x14ac:dyDescent="0.25">
      <c r="A21" s="42"/>
      <c r="B21" s="42"/>
    </row>
    <row r="22" spans="1:2" ht="20" x14ac:dyDescent="0.25">
      <c r="A22" s="48" t="s">
        <v>140</v>
      </c>
      <c r="B22" s="49"/>
    </row>
    <row r="23" spans="1:2" ht="34" customHeight="1" x14ac:dyDescent="0.25">
      <c r="A23" s="44" t="s">
        <v>141</v>
      </c>
      <c r="B23" s="40" t="s">
        <v>142</v>
      </c>
    </row>
    <row r="24" spans="1:2" ht="28" customHeight="1" x14ac:dyDescent="0.25">
      <c r="A24" s="45" t="s">
        <v>113</v>
      </c>
      <c r="B24" s="41" t="s">
        <v>143</v>
      </c>
    </row>
    <row r="25" spans="1:2" ht="28" customHeight="1" x14ac:dyDescent="0.25">
      <c r="A25" s="45" t="s">
        <v>144</v>
      </c>
      <c r="B25" s="41" t="s">
        <v>145</v>
      </c>
    </row>
    <row r="26" spans="1:2" x14ac:dyDescent="0.25">
      <c r="A26" s="43"/>
      <c r="B26" s="42"/>
    </row>
    <row r="27" spans="1:2" ht="40" x14ac:dyDescent="0.25">
      <c r="A27" s="48" t="s">
        <v>146</v>
      </c>
      <c r="B27" s="49"/>
    </row>
    <row r="28" spans="1:2" ht="37" customHeight="1" x14ac:dyDescent="0.25">
      <c r="A28" s="44" t="s">
        <v>147</v>
      </c>
      <c r="B28" s="40" t="s">
        <v>148</v>
      </c>
    </row>
    <row r="29" spans="1:2" ht="40" x14ac:dyDescent="0.25">
      <c r="A29" s="45" t="s">
        <v>149</v>
      </c>
      <c r="B29" s="41" t="s">
        <v>150</v>
      </c>
    </row>
    <row r="30" spans="1:2" ht="20" x14ac:dyDescent="0.25">
      <c r="A30" s="45" t="s">
        <v>151</v>
      </c>
      <c r="B30" s="41" t="s">
        <v>152</v>
      </c>
    </row>
    <row r="31" spans="1:2" ht="27" customHeight="1" x14ac:dyDescent="0.25">
      <c r="A31" s="45" t="s">
        <v>153</v>
      </c>
      <c r="B31" s="41" t="s">
        <v>154</v>
      </c>
    </row>
    <row r="32" spans="1:2" x14ac:dyDescent="0.25">
      <c r="A32" s="42"/>
      <c r="B32" s="42"/>
    </row>
    <row r="33" spans="1:2" ht="20" x14ac:dyDescent="0.25">
      <c r="A33" s="48" t="s">
        <v>155</v>
      </c>
      <c r="B33" s="49"/>
    </row>
    <row r="34" spans="1:2" ht="31" customHeight="1" x14ac:dyDescent="0.25">
      <c r="A34" s="44" t="s">
        <v>156</v>
      </c>
      <c r="B34" s="40" t="s">
        <v>157</v>
      </c>
    </row>
    <row r="35" spans="1:2" ht="44" customHeight="1" x14ac:dyDescent="0.25">
      <c r="A35" s="45" t="s">
        <v>158</v>
      </c>
      <c r="B35" s="41" t="s">
        <v>159</v>
      </c>
    </row>
    <row r="36" spans="1:2" x14ac:dyDescent="0.25">
      <c r="A36" s="42"/>
      <c r="B36" s="42"/>
    </row>
    <row r="37" spans="1:2" ht="40" x14ac:dyDescent="0.25">
      <c r="A37" s="48" t="s">
        <v>160</v>
      </c>
      <c r="B37" s="49"/>
    </row>
    <row r="38" spans="1:2" ht="40" x14ac:dyDescent="0.25">
      <c r="A38" s="44" t="s">
        <v>161</v>
      </c>
      <c r="B38" s="40" t="s">
        <v>162</v>
      </c>
    </row>
    <row r="39" spans="1:2" ht="40" x14ac:dyDescent="0.25">
      <c r="A39" s="45" t="s">
        <v>163</v>
      </c>
      <c r="B39" s="41" t="s">
        <v>164</v>
      </c>
    </row>
    <row r="40" spans="1:2" x14ac:dyDescent="0.25">
      <c r="A40" s="42"/>
      <c r="B40" s="42"/>
    </row>
    <row r="41" spans="1:2" ht="40" x14ac:dyDescent="0.25">
      <c r="A41" s="48" t="s">
        <v>165</v>
      </c>
      <c r="B41" s="49"/>
    </row>
    <row r="42" spans="1:2" ht="29" customHeight="1" x14ac:dyDescent="0.25">
      <c r="A42" s="44" t="s">
        <v>166</v>
      </c>
      <c r="B42" s="40" t="s">
        <v>167</v>
      </c>
    </row>
    <row r="43" spans="1:2" ht="26" customHeight="1" x14ac:dyDescent="0.25">
      <c r="A43" s="45" t="s">
        <v>168</v>
      </c>
      <c r="B43" s="41" t="s">
        <v>169</v>
      </c>
    </row>
    <row r="44" spans="1:2" ht="29" customHeight="1" x14ac:dyDescent="0.25">
      <c r="A44" s="45" t="s">
        <v>170</v>
      </c>
      <c r="B44" s="41" t="s">
        <v>171</v>
      </c>
    </row>
    <row r="45" spans="1:2" x14ac:dyDescent="0.25">
      <c r="A45" s="42"/>
      <c r="B45" s="42"/>
    </row>
    <row r="46" spans="1:2" x14ac:dyDescent="0.25">
      <c r="A46" s="1" t="s">
        <v>111</v>
      </c>
      <c r="B46" s="4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G124"/>
  <sheetViews>
    <sheetView showGridLines="0" tabSelected="1" workbookViewId="0">
      <pane xSplit="3" ySplit="3" topLeftCell="T4" activePane="bottomRight" state="frozen"/>
      <selection pane="topRight" activeCell="D1" sqref="D1"/>
      <selection pane="bottomLeft" activeCell="A4" sqref="A4"/>
      <selection pane="bottomRight" activeCell="AE47" sqref="AE47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33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1.3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0" width="10.83203125" style="2"/>
    <col min="31" max="31" width="10.83203125" style="3"/>
    <col min="32" max="42" width="10.83203125" style="2"/>
    <col min="43" max="43" width="12.6640625" style="2" customWidth="1"/>
    <col min="44" max="44" width="14.1640625" style="2" bestFit="1" customWidth="1"/>
    <col min="45" max="45" width="12.1640625" style="2" bestFit="1" customWidth="1"/>
    <col min="46" max="16384" width="10.83203125" style="2"/>
  </cols>
  <sheetData>
    <row r="1" spans="1:137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B1" s="1"/>
    </row>
    <row r="3" spans="1:137" x14ac:dyDescent="0.25">
      <c r="A3" s="1" t="s">
        <v>0</v>
      </c>
      <c r="C3" s="2" t="s">
        <v>46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37</v>
      </c>
      <c r="Q3" s="4" t="s">
        <v>31</v>
      </c>
      <c r="R3" s="4" t="s">
        <v>35</v>
      </c>
      <c r="S3" s="4" t="s">
        <v>36</v>
      </c>
      <c r="V3" s="4" t="s">
        <v>43</v>
      </c>
      <c r="W3" s="4" t="s">
        <v>44</v>
      </c>
      <c r="X3" s="4" t="s">
        <v>32</v>
      </c>
      <c r="Y3" s="4" t="s">
        <v>33</v>
      </c>
      <c r="Z3" s="4" t="s">
        <v>34</v>
      </c>
      <c r="AA3" s="4" t="s">
        <v>15</v>
      </c>
      <c r="AB3" s="4" t="s">
        <v>16</v>
      </c>
      <c r="AC3" s="4" t="s">
        <v>17</v>
      </c>
      <c r="AD3" s="4" t="s">
        <v>18</v>
      </c>
      <c r="AE3" s="5" t="s">
        <v>19</v>
      </c>
      <c r="AF3" s="4" t="s">
        <v>20</v>
      </c>
      <c r="AG3" s="4" t="s">
        <v>21</v>
      </c>
      <c r="AH3" s="4" t="s">
        <v>22</v>
      </c>
      <c r="AI3" s="4" t="s">
        <v>23</v>
      </c>
      <c r="AJ3" s="4" t="s">
        <v>24</v>
      </c>
      <c r="AK3" s="4" t="s">
        <v>25</v>
      </c>
      <c r="AL3" s="4" t="s">
        <v>26</v>
      </c>
      <c r="AM3" s="4" t="s">
        <v>27</v>
      </c>
      <c r="AN3" s="4" t="s">
        <v>28</v>
      </c>
    </row>
    <row r="4" spans="1:137" x14ac:dyDescent="0.25">
      <c r="A4" s="2" t="s">
        <v>1</v>
      </c>
      <c r="B4" s="3">
        <v>49.95</v>
      </c>
      <c r="C4" s="1" t="s">
        <v>52</v>
      </c>
      <c r="D4" s="13">
        <v>242.33799999999999</v>
      </c>
      <c r="E4" s="13">
        <v>269.13799999999998</v>
      </c>
      <c r="F4" s="13">
        <v>232.024</v>
      </c>
      <c r="G4" s="13">
        <v>199.31100000000001</v>
      </c>
      <c r="H4" s="13">
        <v>221.27</v>
      </c>
      <c r="I4" s="13">
        <v>230.19399999999999</v>
      </c>
      <c r="J4" s="13">
        <v>214.65100000000001</v>
      </c>
      <c r="K4" s="13">
        <v>203.654</v>
      </c>
      <c r="L4" s="13">
        <v>242.33799999999999</v>
      </c>
      <c r="M4" s="13">
        <v>262</v>
      </c>
      <c r="N4" s="13">
        <v>208.429</v>
      </c>
      <c r="O4" s="13">
        <v>231.90299999999999</v>
      </c>
      <c r="P4" s="13">
        <v>258.56900000000002</v>
      </c>
      <c r="Q4" s="13">
        <v>237.285</v>
      </c>
      <c r="R4" s="13">
        <v>230.25899999999999</v>
      </c>
      <c r="S4" s="13">
        <v>219.001</v>
      </c>
      <c r="V4" s="13">
        <v>686.52700000000004</v>
      </c>
      <c r="W4" s="13">
        <v>738.447</v>
      </c>
      <c r="X4" s="13">
        <v>720.46799999999996</v>
      </c>
      <c r="Y4" s="13">
        <v>637.35900000000004</v>
      </c>
      <c r="Z4" s="13">
        <v>800.18200000000002</v>
      </c>
      <c r="AA4" s="13">
        <v>975.25800000000004</v>
      </c>
      <c r="AB4" s="13">
        <v>895.16099999999994</v>
      </c>
      <c r="AC4" s="13">
        <v>962.86400000000003</v>
      </c>
      <c r="AD4" s="13">
        <v>945</v>
      </c>
      <c r="AE4" s="20">
        <f>AD4*1.03</f>
        <v>973.35</v>
      </c>
      <c r="AF4" s="13">
        <f t="shared" ref="AF4:AN4" si="0">AE4*1.05</f>
        <v>1022.0175</v>
      </c>
      <c r="AG4" s="13">
        <f t="shared" si="0"/>
        <v>1073.118375</v>
      </c>
      <c r="AH4" s="13">
        <f t="shared" si="0"/>
        <v>1126.77429375</v>
      </c>
      <c r="AI4" s="13">
        <f t="shared" si="0"/>
        <v>1183.1130084375</v>
      </c>
      <c r="AJ4" s="13">
        <f t="shared" si="0"/>
        <v>1242.2686588593749</v>
      </c>
      <c r="AK4" s="13">
        <f t="shared" si="0"/>
        <v>1304.3820918023437</v>
      </c>
      <c r="AL4" s="13">
        <f t="shared" si="0"/>
        <v>1369.6011963924609</v>
      </c>
      <c r="AM4" s="13">
        <f t="shared" si="0"/>
        <v>1438.0812562120841</v>
      </c>
      <c r="AN4" s="13">
        <f t="shared" si="0"/>
        <v>1509.9853190226884</v>
      </c>
    </row>
    <row r="5" spans="1:137" x14ac:dyDescent="0.25">
      <c r="A5" s="2" t="s">
        <v>2</v>
      </c>
      <c r="B5" s="18">
        <v>11.401999999999999</v>
      </c>
      <c r="C5" s="2" t="s">
        <v>53</v>
      </c>
      <c r="D5" s="14">
        <v>-136.18600000000001</v>
      </c>
      <c r="E5" s="14">
        <v>-150.846</v>
      </c>
      <c r="F5" s="14">
        <v>-127.583</v>
      </c>
      <c r="G5" s="14">
        <v>-111.678</v>
      </c>
      <c r="H5" s="14">
        <v>-126.063</v>
      </c>
      <c r="I5" s="14">
        <v>-134.423</v>
      </c>
      <c r="J5" s="14">
        <v>-117.268</v>
      </c>
      <c r="K5" s="14">
        <v>-112.30800000000001</v>
      </c>
      <c r="L5" s="14">
        <v>-137.613</v>
      </c>
      <c r="M5" s="14">
        <v>-146.565</v>
      </c>
      <c r="N5" s="14">
        <v>-108.291</v>
      </c>
      <c r="O5" s="14">
        <v>-124.682</v>
      </c>
      <c r="P5" s="14">
        <v>-142.846</v>
      </c>
      <c r="Q5" s="14">
        <v>-130.94300000000001</v>
      </c>
      <c r="R5" s="14">
        <v>-121.35899999999999</v>
      </c>
      <c r="S5" s="14">
        <v>-115.629</v>
      </c>
      <c r="V5" s="14">
        <v>-364.6</v>
      </c>
      <c r="W5" s="14">
        <v>-396.03300000000002</v>
      </c>
      <c r="X5" s="14">
        <v>-407.62299999999999</v>
      </c>
      <c r="Y5" s="14">
        <v>-346.10899999999998</v>
      </c>
      <c r="Z5" s="14">
        <v>-424.17399999999998</v>
      </c>
      <c r="AA5" s="14">
        <v>-526.29200000000003</v>
      </c>
      <c r="AB5" s="14">
        <v>-490.06200000000001</v>
      </c>
      <c r="AC5" s="14">
        <v>-517.15200000000004</v>
      </c>
      <c r="AD5" s="14">
        <v>-511</v>
      </c>
      <c r="AE5" s="21">
        <f>AE4*-0.54</f>
        <v>-525.60900000000004</v>
      </c>
      <c r="AF5" s="14">
        <f t="shared" ref="AF5:AN5" si="1">AF4*-0.54</f>
        <v>-551.88945000000001</v>
      </c>
      <c r="AG5" s="14">
        <f t="shared" si="1"/>
        <v>-579.48392250000006</v>
      </c>
      <c r="AH5" s="14">
        <f t="shared" si="1"/>
        <v>-608.458118625</v>
      </c>
      <c r="AI5" s="14">
        <f t="shared" si="1"/>
        <v>-638.88102455625005</v>
      </c>
      <c r="AJ5" s="14">
        <f t="shared" si="1"/>
        <v>-670.82507578406251</v>
      </c>
      <c r="AK5" s="14">
        <f t="shared" si="1"/>
        <v>-704.3663295732656</v>
      </c>
      <c r="AL5" s="14">
        <f t="shared" si="1"/>
        <v>-739.58464605192898</v>
      </c>
      <c r="AM5" s="14">
        <f t="shared" si="1"/>
        <v>-776.56387835452551</v>
      </c>
      <c r="AN5" s="14">
        <f t="shared" si="1"/>
        <v>-815.39207227225177</v>
      </c>
    </row>
    <row r="6" spans="1:137" x14ac:dyDescent="0.25">
      <c r="A6" s="2" t="s">
        <v>47</v>
      </c>
      <c r="B6" s="18">
        <f>B4*B5</f>
        <v>569.5299</v>
      </c>
      <c r="C6" s="2" t="s">
        <v>54</v>
      </c>
      <c r="D6" s="14">
        <f t="shared" ref="D6:G6" si="2">SUM(D4:D5)</f>
        <v>106.15199999999999</v>
      </c>
      <c r="E6" s="14">
        <f t="shared" si="2"/>
        <v>118.29199999999997</v>
      </c>
      <c r="F6" s="14">
        <f t="shared" si="2"/>
        <v>104.441</v>
      </c>
      <c r="G6" s="14">
        <f t="shared" si="2"/>
        <v>87.63300000000001</v>
      </c>
      <c r="H6" s="14">
        <f t="shared" ref="H6:S6" si="3">SUM(H4:H5)</f>
        <v>95.207000000000008</v>
      </c>
      <c r="I6" s="14">
        <f t="shared" si="3"/>
        <v>95.770999999999987</v>
      </c>
      <c r="J6" s="14">
        <f t="shared" si="3"/>
        <v>97.38300000000001</v>
      </c>
      <c r="K6" s="14">
        <f t="shared" si="3"/>
        <v>91.345999999999989</v>
      </c>
      <c r="L6" s="14">
        <f t="shared" si="3"/>
        <v>104.72499999999999</v>
      </c>
      <c r="M6" s="14">
        <f t="shared" si="3"/>
        <v>115.435</v>
      </c>
      <c r="N6" s="14">
        <f t="shared" si="3"/>
        <v>100.13800000000001</v>
      </c>
      <c r="O6" s="14">
        <f t="shared" si="3"/>
        <v>107.22099999999999</v>
      </c>
      <c r="P6" s="14">
        <f t="shared" si="3"/>
        <v>115.72300000000001</v>
      </c>
      <c r="Q6" s="14">
        <f t="shared" si="3"/>
        <v>106.34199999999998</v>
      </c>
      <c r="R6" s="14">
        <f t="shared" si="3"/>
        <v>108.89999999999999</v>
      </c>
      <c r="S6" s="14">
        <f t="shared" si="3"/>
        <v>103.372</v>
      </c>
      <c r="V6" s="14">
        <f t="shared" ref="V6:AD6" si="4">SUM(V4:V5)</f>
        <v>321.92700000000002</v>
      </c>
      <c r="W6" s="14">
        <f t="shared" si="4"/>
        <v>342.41399999999999</v>
      </c>
      <c r="X6" s="14">
        <f t="shared" si="4"/>
        <v>312.84499999999997</v>
      </c>
      <c r="Y6" s="14">
        <f t="shared" si="4"/>
        <v>291.25000000000006</v>
      </c>
      <c r="Z6" s="14">
        <f t="shared" si="4"/>
        <v>376.00800000000004</v>
      </c>
      <c r="AA6" s="14">
        <f t="shared" si="4"/>
        <v>448.96600000000001</v>
      </c>
      <c r="AB6" s="14">
        <f t="shared" si="4"/>
        <v>405.09899999999993</v>
      </c>
      <c r="AC6" s="14">
        <f t="shared" si="4"/>
        <v>445.71199999999999</v>
      </c>
      <c r="AD6" s="14">
        <f t="shared" si="4"/>
        <v>434</v>
      </c>
      <c r="AE6" s="21">
        <f t="shared" ref="AE6:AN6" si="5">SUM(AE4:AE5)</f>
        <v>447.74099999999999</v>
      </c>
      <c r="AF6" s="14">
        <f t="shared" si="5"/>
        <v>470.12805000000003</v>
      </c>
      <c r="AG6" s="14">
        <f t="shared" si="5"/>
        <v>493.63445249999995</v>
      </c>
      <c r="AH6" s="14">
        <f t="shared" si="5"/>
        <v>518.31617512499997</v>
      </c>
      <c r="AI6" s="14">
        <f t="shared" si="5"/>
        <v>544.2319838812499</v>
      </c>
      <c r="AJ6" s="14">
        <f t="shared" si="5"/>
        <v>571.4435830753124</v>
      </c>
      <c r="AK6" s="14">
        <f t="shared" si="5"/>
        <v>600.01576222907806</v>
      </c>
      <c r="AL6" s="14">
        <f t="shared" si="5"/>
        <v>630.01655034053192</v>
      </c>
      <c r="AM6" s="14">
        <f t="shared" si="5"/>
        <v>661.51737785755859</v>
      </c>
      <c r="AN6" s="14">
        <f t="shared" si="5"/>
        <v>694.59324675043661</v>
      </c>
    </row>
    <row r="7" spans="1:137" x14ac:dyDescent="0.25">
      <c r="A7" s="2" t="s">
        <v>48</v>
      </c>
      <c r="B7" s="9">
        <f>S35</f>
        <v>101.682</v>
      </c>
      <c r="C7" s="2" t="s">
        <v>55</v>
      </c>
      <c r="D7" s="14">
        <v>2.7330000000000001</v>
      </c>
      <c r="E7" s="14">
        <v>7.2080000000000002</v>
      </c>
      <c r="F7" s="14">
        <v>8.1920000000000002</v>
      </c>
      <c r="G7" s="14">
        <v>14.314</v>
      </c>
      <c r="H7" s="14">
        <v>4.3</v>
      </c>
      <c r="I7" s="14">
        <v>8.2170000000000005</v>
      </c>
      <c r="J7" s="14">
        <v>5.4859999999999998</v>
      </c>
      <c r="K7" s="14">
        <v>7.3879999999999999</v>
      </c>
      <c r="L7" s="14">
        <v>4</v>
      </c>
      <c r="M7" s="14">
        <v>3.3450000000000002</v>
      </c>
      <c r="N7" s="14">
        <v>2.593</v>
      </c>
      <c r="O7" s="14">
        <v>8.1910000000000007</v>
      </c>
      <c r="P7" s="14">
        <v>3</v>
      </c>
      <c r="Q7" s="14">
        <v>4.0389999999999997</v>
      </c>
      <c r="R7" s="14">
        <v>4.5270000000000001</v>
      </c>
      <c r="S7" s="14">
        <v>1.6919999999999999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13</v>
      </c>
      <c r="AE7" s="21">
        <f>AD7*1.04</f>
        <v>13.52</v>
      </c>
      <c r="AF7" s="14">
        <f t="shared" ref="AF7:AN7" si="6">AE7*1.04</f>
        <v>14.0608</v>
      </c>
      <c r="AG7" s="14">
        <f t="shared" si="6"/>
        <v>14.623232000000002</v>
      </c>
      <c r="AH7" s="14">
        <f t="shared" si="6"/>
        <v>15.208161280000002</v>
      </c>
      <c r="AI7" s="14">
        <f t="shared" si="6"/>
        <v>15.816487731200002</v>
      </c>
      <c r="AJ7" s="14">
        <f t="shared" si="6"/>
        <v>16.449147240448003</v>
      </c>
      <c r="AK7" s="14">
        <f t="shared" si="6"/>
        <v>17.107113130065922</v>
      </c>
      <c r="AL7" s="14">
        <f t="shared" si="6"/>
        <v>17.791397655268561</v>
      </c>
      <c r="AM7" s="14">
        <f t="shared" si="6"/>
        <v>18.503053561479305</v>
      </c>
      <c r="AN7" s="14">
        <f t="shared" si="6"/>
        <v>19.24317570393848</v>
      </c>
    </row>
    <row r="8" spans="1:137" x14ac:dyDescent="0.25">
      <c r="A8" s="2" t="s">
        <v>49</v>
      </c>
      <c r="B8" s="9">
        <f>(S39+S41)</f>
        <v>64.373000000000005</v>
      </c>
      <c r="C8" s="2" t="s">
        <v>56</v>
      </c>
      <c r="D8" s="14">
        <v>-15.135999999999999</v>
      </c>
      <c r="E8" s="14">
        <v>-21.765999999999998</v>
      </c>
      <c r="F8" s="14">
        <v>-16</v>
      </c>
      <c r="G8" s="14">
        <v>-18.265000000000001</v>
      </c>
      <c r="H8" s="14">
        <v>-19.184000000000001</v>
      </c>
      <c r="I8" s="14">
        <v>-20.538</v>
      </c>
      <c r="J8" s="14">
        <v>-19.149000000000001</v>
      </c>
      <c r="K8" s="14">
        <v>-21.521999999999998</v>
      </c>
      <c r="L8" s="14">
        <v>-19.515000000000001</v>
      </c>
      <c r="M8" s="14">
        <v>-21.734000000000002</v>
      </c>
      <c r="N8" s="14">
        <v>-21.43</v>
      </c>
      <c r="O8" s="14">
        <v>-24</v>
      </c>
      <c r="P8" s="14">
        <v>-21.91</v>
      </c>
      <c r="Q8" s="14">
        <v>-22.65</v>
      </c>
      <c r="R8" s="14">
        <v>-20.498999999999999</v>
      </c>
      <c r="S8" s="14">
        <v>-26.561</v>
      </c>
      <c r="V8" s="14">
        <v>-96.462000000000003</v>
      </c>
      <c r="W8" s="14">
        <v>-99.346000000000004</v>
      </c>
      <c r="X8" s="14">
        <v>-65.156999999999996</v>
      </c>
      <c r="Y8" s="14">
        <v>-62.686</v>
      </c>
      <c r="Z8" s="14">
        <v>-61.953000000000003</v>
      </c>
      <c r="AA8" s="14">
        <v>-71.173000000000002</v>
      </c>
      <c r="AB8" s="14">
        <v>-80.393000000000001</v>
      </c>
      <c r="AC8" s="14">
        <v>-86.759</v>
      </c>
      <c r="AD8" s="14">
        <v>-92</v>
      </c>
      <c r="AE8" s="21">
        <f>AD8*1.02</f>
        <v>-93.84</v>
      </c>
      <c r="AF8" s="14">
        <f>AE8*1.045</f>
        <v>-98.062799999999996</v>
      </c>
      <c r="AG8" s="14">
        <f t="shared" ref="AG8:AN8" si="7">AF8*1.045</f>
        <v>-102.47562599999999</v>
      </c>
      <c r="AH8" s="14">
        <f t="shared" si="7"/>
        <v>-107.08702916999998</v>
      </c>
      <c r="AI8" s="14">
        <f t="shared" si="7"/>
        <v>-111.90594548264997</v>
      </c>
      <c r="AJ8" s="14">
        <f t="shared" si="7"/>
        <v>-116.94171302936921</v>
      </c>
      <c r="AK8" s="14">
        <f t="shared" si="7"/>
        <v>-122.20409011569082</v>
      </c>
      <c r="AL8" s="14">
        <f t="shared" si="7"/>
        <v>-127.70327417089689</v>
      </c>
      <c r="AM8" s="14">
        <f t="shared" si="7"/>
        <v>-133.44992150858724</v>
      </c>
      <c r="AN8" s="14">
        <f t="shared" si="7"/>
        <v>-139.45516797647366</v>
      </c>
    </row>
    <row r="9" spans="1:137" x14ac:dyDescent="0.25">
      <c r="A9" s="6" t="s">
        <v>50</v>
      </c>
      <c r="B9" s="10">
        <f>B6-B7+B8</f>
        <v>532.22090000000003</v>
      </c>
      <c r="C9" s="2" t="s">
        <v>57</v>
      </c>
      <c r="D9" s="14">
        <v>-45.767000000000003</v>
      </c>
      <c r="E9" s="14">
        <v>-48.716999999999999</v>
      </c>
      <c r="F9" s="14">
        <v>-47.073</v>
      </c>
      <c r="G9" s="14">
        <v>-52.746000000000002</v>
      </c>
      <c r="H9" s="14">
        <v>-53.642000000000003</v>
      </c>
      <c r="I9" s="14">
        <v>-54.396000000000001</v>
      </c>
      <c r="J9" s="14">
        <v>-51.228999999999999</v>
      </c>
      <c r="K9" s="14">
        <v>-55.677</v>
      </c>
      <c r="L9" s="14">
        <v>-56.097000000000001</v>
      </c>
      <c r="M9" s="14">
        <v>-59.279000000000003</v>
      </c>
      <c r="N9" s="14">
        <v>-53.438000000000002</v>
      </c>
      <c r="O9" s="14">
        <v>-57.905000000000001</v>
      </c>
      <c r="P9" s="14">
        <v>-61</v>
      </c>
      <c r="Q9" s="14">
        <v>-59.088999999999999</v>
      </c>
      <c r="R9" s="14">
        <v>-55.771999999999998</v>
      </c>
      <c r="S9" s="14">
        <v>-60.972000000000001</v>
      </c>
      <c r="V9" s="14">
        <v>-133.31100000000001</v>
      </c>
      <c r="W9" s="14">
        <v>-144.77000000000001</v>
      </c>
      <c r="X9" s="14">
        <v>-153.75299999999999</v>
      </c>
      <c r="Y9" s="14">
        <v>-146.6</v>
      </c>
      <c r="Z9" s="14">
        <v>-163.876</v>
      </c>
      <c r="AA9" s="14">
        <v>-194.303</v>
      </c>
      <c r="AB9" s="14">
        <v>-214.94399999999999</v>
      </c>
      <c r="AC9" s="14">
        <v>-226.71899999999999</v>
      </c>
      <c r="AD9" s="14">
        <v>-237</v>
      </c>
      <c r="AE9" s="21">
        <f t="shared" ref="AE9:AE11" si="8">AD9*1.02</f>
        <v>-241.74</v>
      </c>
      <c r="AF9" s="14">
        <f t="shared" ref="AF9:AN11" si="9">AE9*1.045</f>
        <v>-252.6183</v>
      </c>
      <c r="AG9" s="14">
        <f t="shared" si="9"/>
        <v>-263.98612349999996</v>
      </c>
      <c r="AH9" s="14">
        <f t="shared" si="9"/>
        <v>-275.86549905749996</v>
      </c>
      <c r="AI9" s="14">
        <f t="shared" si="9"/>
        <v>-288.27944651508744</v>
      </c>
      <c r="AJ9" s="14">
        <f t="shared" si="9"/>
        <v>-301.25202160826638</v>
      </c>
      <c r="AK9" s="14">
        <f t="shared" si="9"/>
        <v>-314.80836258063835</v>
      </c>
      <c r="AL9" s="14">
        <f t="shared" si="9"/>
        <v>-328.97473889676706</v>
      </c>
      <c r="AM9" s="14">
        <f t="shared" si="9"/>
        <v>-343.77860214712155</v>
      </c>
      <c r="AN9" s="14">
        <f t="shared" si="9"/>
        <v>-359.24863924374199</v>
      </c>
    </row>
    <row r="10" spans="1:137" x14ac:dyDescent="0.25">
      <c r="C10" s="2" t="s">
        <v>58</v>
      </c>
      <c r="D10" s="14">
        <v>-6.9130000000000003</v>
      </c>
      <c r="E10" s="14">
        <v>-7.7</v>
      </c>
      <c r="F10" s="14">
        <v>-8.3840000000000003</v>
      </c>
      <c r="G10" s="14">
        <v>-6.8760000000000003</v>
      </c>
      <c r="H10" s="14">
        <v>-7.34</v>
      </c>
      <c r="I10" s="14">
        <v>-7.7809999999999997</v>
      </c>
      <c r="J10" s="14">
        <v>-8.4559999999999995</v>
      </c>
      <c r="K10" s="14">
        <v>-7.6180000000000003</v>
      </c>
      <c r="L10" s="14">
        <v>-8.2799999999999994</v>
      </c>
      <c r="M10" s="14">
        <v>-8.2200000000000006</v>
      </c>
      <c r="N10" s="14">
        <v>-8.6199999999999992</v>
      </c>
      <c r="O10" s="14">
        <v>-9.44</v>
      </c>
      <c r="P10" s="14">
        <v>-8.4990000000000006</v>
      </c>
      <c r="Q10" s="14">
        <v>-8.3309999999999995</v>
      </c>
      <c r="R10" s="14">
        <v>-8.2520000000000007</v>
      </c>
      <c r="S10" s="14">
        <v>-6.9790000000000001</v>
      </c>
      <c r="V10" s="14">
        <v>-6.2869999999999999</v>
      </c>
      <c r="W10" s="14">
        <v>-8.3620000000000001</v>
      </c>
      <c r="X10" s="14">
        <v>-24.6</v>
      </c>
      <c r="Y10" s="14">
        <v>-25.853999999999999</v>
      </c>
      <c r="Z10" s="14">
        <v>-25.940999999999999</v>
      </c>
      <c r="AA10" s="14">
        <v>-29.920999999999999</v>
      </c>
      <c r="AB10" s="14">
        <v>-31.195</v>
      </c>
      <c r="AC10" s="14">
        <v>-34.566000000000003</v>
      </c>
      <c r="AD10" s="14">
        <v>-32</v>
      </c>
      <c r="AE10" s="21">
        <f t="shared" si="8"/>
        <v>-32.64</v>
      </c>
      <c r="AF10" s="14">
        <f t="shared" si="9"/>
        <v>-34.108799999999995</v>
      </c>
      <c r="AG10" s="14">
        <f t="shared" si="9"/>
        <v>-35.643695999999991</v>
      </c>
      <c r="AH10" s="14">
        <f t="shared" si="9"/>
        <v>-37.247662319999989</v>
      </c>
      <c r="AI10" s="14">
        <f t="shared" si="9"/>
        <v>-38.923807124399985</v>
      </c>
      <c r="AJ10" s="14">
        <f t="shared" si="9"/>
        <v>-40.675378444997982</v>
      </c>
      <c r="AK10" s="14">
        <f t="shared" si="9"/>
        <v>-42.505770475022885</v>
      </c>
      <c r="AL10" s="14">
        <f t="shared" si="9"/>
        <v>-44.418530146398915</v>
      </c>
      <c r="AM10" s="14">
        <f t="shared" si="9"/>
        <v>-46.417364002986865</v>
      </c>
      <c r="AN10" s="14">
        <f t="shared" si="9"/>
        <v>-48.506145383121272</v>
      </c>
    </row>
    <row r="11" spans="1:137" x14ac:dyDescent="0.25">
      <c r="C11" s="2" t="s">
        <v>59</v>
      </c>
      <c r="D11" s="14">
        <v>-0.88900000000000001</v>
      </c>
      <c r="E11" s="14">
        <v>-2.3839999999999999</v>
      </c>
      <c r="F11" s="14">
        <v>-4.1210000000000004</v>
      </c>
      <c r="G11" s="14">
        <v>-9.76</v>
      </c>
      <c r="H11" s="14">
        <v>-2.4169999999999998</v>
      </c>
      <c r="I11" s="14">
        <v>-5.2</v>
      </c>
      <c r="J11" s="14">
        <v>-3.2240000000000002</v>
      </c>
      <c r="K11" s="14">
        <v>-4.72</v>
      </c>
      <c r="L11" s="14">
        <v>-2.4329999999999998</v>
      </c>
      <c r="M11" s="14">
        <v>-3.915</v>
      </c>
      <c r="N11" s="14">
        <v>-3.9590000000000001</v>
      </c>
      <c r="O11" s="14">
        <v>-4.5</v>
      </c>
      <c r="P11" s="14">
        <v>-4.33</v>
      </c>
      <c r="Q11" s="14">
        <v>-4.3</v>
      </c>
      <c r="R11" s="14">
        <v>-2.6080000000000001</v>
      </c>
      <c r="S11" s="14">
        <v>-2.4460000000000002</v>
      </c>
      <c r="V11" s="14">
        <v>-3.4580000000000002</v>
      </c>
      <c r="W11" s="14">
        <v>-4.66</v>
      </c>
      <c r="X11" s="14">
        <v>-3.1619999999999999</v>
      </c>
      <c r="Y11" s="14">
        <v>-5.3</v>
      </c>
      <c r="Z11" s="14">
        <v>-4.6909999999999998</v>
      </c>
      <c r="AA11" s="14">
        <v>-17.154</v>
      </c>
      <c r="AB11" s="14">
        <v>-15.57</v>
      </c>
      <c r="AC11" s="14">
        <v>-14.816000000000001</v>
      </c>
      <c r="AD11" s="14">
        <v>-14</v>
      </c>
      <c r="AE11" s="21">
        <f t="shared" si="8"/>
        <v>-14.280000000000001</v>
      </c>
      <c r="AF11" s="14">
        <f t="shared" si="9"/>
        <v>-14.922600000000001</v>
      </c>
      <c r="AG11" s="14">
        <f t="shared" si="9"/>
        <v>-15.594117000000001</v>
      </c>
      <c r="AH11" s="14">
        <f t="shared" si="9"/>
        <v>-16.295852265000001</v>
      </c>
      <c r="AI11" s="14">
        <f t="shared" si="9"/>
        <v>-17.029165616924999</v>
      </c>
      <c r="AJ11" s="14">
        <f t="shared" si="9"/>
        <v>-17.795478069686624</v>
      </c>
      <c r="AK11" s="14">
        <f t="shared" si="9"/>
        <v>-18.59627458282252</v>
      </c>
      <c r="AL11" s="14">
        <f t="shared" si="9"/>
        <v>-19.433106939049534</v>
      </c>
      <c r="AM11" s="14">
        <f t="shared" si="9"/>
        <v>-20.307596751306761</v>
      </c>
      <c r="AN11" s="14">
        <f t="shared" si="9"/>
        <v>-21.221438605115562</v>
      </c>
    </row>
    <row r="12" spans="1:137" x14ac:dyDescent="0.25">
      <c r="C12" s="1" t="s">
        <v>60</v>
      </c>
      <c r="D12" s="13">
        <f t="shared" ref="D12:G12" si="10">SUM(D6:D11)</f>
        <v>40.179999999999986</v>
      </c>
      <c r="E12" s="13">
        <f t="shared" si="10"/>
        <v>44.932999999999979</v>
      </c>
      <c r="F12" s="13">
        <f t="shared" si="10"/>
        <v>37.055000000000007</v>
      </c>
      <c r="G12" s="13">
        <f t="shared" si="10"/>
        <v>14.299999999999999</v>
      </c>
      <c r="H12" s="13">
        <f t="shared" ref="H12:S12" si="11">SUM(H6:H11)</f>
        <v>16.924000000000007</v>
      </c>
      <c r="I12" s="13">
        <f t="shared" si="11"/>
        <v>16.07299999999999</v>
      </c>
      <c r="J12" s="13">
        <f t="shared" si="11"/>
        <v>20.811000000000014</v>
      </c>
      <c r="K12" s="13">
        <f t="shared" si="11"/>
        <v>9.1969999999999885</v>
      </c>
      <c r="L12" s="13">
        <f t="shared" si="11"/>
        <v>22.399999999999991</v>
      </c>
      <c r="M12" s="13">
        <f t="shared" si="11"/>
        <v>25.631999999999991</v>
      </c>
      <c r="N12" s="13">
        <f t="shared" si="11"/>
        <v>15.284000000000017</v>
      </c>
      <c r="O12" s="13">
        <f t="shared" si="11"/>
        <v>19.566999999999993</v>
      </c>
      <c r="P12" s="13">
        <f t="shared" si="11"/>
        <v>22.984000000000016</v>
      </c>
      <c r="Q12" s="13">
        <f t="shared" si="11"/>
        <v>16.010999999999996</v>
      </c>
      <c r="R12" s="13">
        <f t="shared" si="11"/>
        <v>26.295999999999996</v>
      </c>
      <c r="S12" s="13">
        <f t="shared" si="11"/>
        <v>8.1059999999999857</v>
      </c>
      <c r="V12" s="13">
        <f t="shared" ref="V12:AD12" si="12">SUM(V6:V11)</f>
        <v>82.40900000000002</v>
      </c>
      <c r="W12" s="13">
        <f t="shared" si="12"/>
        <v>85.275999999999982</v>
      </c>
      <c r="X12" s="13">
        <f t="shared" si="12"/>
        <v>66.173000000000002</v>
      </c>
      <c r="Y12" s="13">
        <f t="shared" si="12"/>
        <v>50.810000000000059</v>
      </c>
      <c r="Z12" s="13">
        <f t="shared" si="12"/>
        <v>119.54700000000005</v>
      </c>
      <c r="AA12" s="13">
        <f t="shared" si="12"/>
        <v>136.41500000000002</v>
      </c>
      <c r="AB12" s="13">
        <f t="shared" si="12"/>
        <v>62.996999999999922</v>
      </c>
      <c r="AC12" s="13">
        <f t="shared" si="12"/>
        <v>82.851999999999975</v>
      </c>
      <c r="AD12" s="13">
        <f t="shared" si="12"/>
        <v>72</v>
      </c>
      <c r="AE12" s="20">
        <f t="shared" ref="AE12:AN12" si="13">SUM(AE6:AE11)</f>
        <v>78.760999999999925</v>
      </c>
      <c r="AF12" s="13">
        <f t="shared" si="13"/>
        <v>84.476350000000011</v>
      </c>
      <c r="AG12" s="13">
        <f t="shared" si="13"/>
        <v>90.558122000000054</v>
      </c>
      <c r="AH12" s="13">
        <f t="shared" si="13"/>
        <v>97.028293592500034</v>
      </c>
      <c r="AI12" s="13">
        <f t="shared" si="13"/>
        <v>103.91010687338756</v>
      </c>
      <c r="AJ12" s="13">
        <f t="shared" si="13"/>
        <v>111.22813916344023</v>
      </c>
      <c r="AK12" s="13">
        <f t="shared" si="13"/>
        <v>119.00837760496948</v>
      </c>
      <c r="AL12" s="13">
        <f t="shared" si="13"/>
        <v>127.27829784268815</v>
      </c>
      <c r="AM12" s="13">
        <f t="shared" si="13"/>
        <v>136.06694700903554</v>
      </c>
      <c r="AN12" s="13">
        <f t="shared" si="13"/>
        <v>145.40503124592257</v>
      </c>
    </row>
    <row r="13" spans="1:137" x14ac:dyDescent="0.25">
      <c r="C13" s="2" t="s">
        <v>61</v>
      </c>
      <c r="D13" s="14">
        <v>-0.95699999999999996</v>
      </c>
      <c r="E13" s="14">
        <v>-0.60599999999999998</v>
      </c>
      <c r="F13" s="14">
        <v>-0.41699999999999998</v>
      </c>
      <c r="G13" s="14">
        <v>-2</v>
      </c>
      <c r="H13" s="14">
        <v>-2.4750000000000001</v>
      </c>
      <c r="I13" s="14">
        <v>-3.4</v>
      </c>
      <c r="J13" s="14">
        <v>-2.5539999999999998</v>
      </c>
      <c r="K13" s="14">
        <v>-1.99</v>
      </c>
      <c r="L13" s="14">
        <v>-1.2669999999999999</v>
      </c>
      <c r="M13" s="14">
        <v>-0.872</v>
      </c>
      <c r="N13" s="14">
        <v>-2.27</v>
      </c>
      <c r="O13" s="14">
        <v>-0.40899999999999997</v>
      </c>
      <c r="P13" s="14">
        <v>-2</v>
      </c>
      <c r="Q13" s="14">
        <v>-1.8260000000000001</v>
      </c>
      <c r="R13" s="14">
        <v>-1.214</v>
      </c>
      <c r="S13" s="14">
        <v>-1</v>
      </c>
      <c r="V13" s="14">
        <v>-0.16200000000000001</v>
      </c>
      <c r="W13" s="14">
        <v>-1.391</v>
      </c>
      <c r="X13" s="14">
        <v>-3</v>
      </c>
      <c r="Y13" s="14">
        <v>-3.698</v>
      </c>
      <c r="Z13" s="14">
        <v>-3.343</v>
      </c>
      <c r="AA13" s="14">
        <v>-4</v>
      </c>
      <c r="AB13" s="14">
        <f>2.325-12.758</f>
        <v>-10.433</v>
      </c>
      <c r="AC13" s="14">
        <f>3.834-8.652</f>
        <v>-4.8179999999999996</v>
      </c>
      <c r="AD13" s="14">
        <v>-6</v>
      </c>
      <c r="AE13" s="21">
        <f>AD13*1.03</f>
        <v>-6.18</v>
      </c>
      <c r="AF13" s="14">
        <f t="shared" ref="AF13:AN13" si="14">AE13*1.03</f>
        <v>-6.3654000000000002</v>
      </c>
      <c r="AG13" s="14">
        <f t="shared" si="14"/>
        <v>-6.556362</v>
      </c>
      <c r="AH13" s="14">
        <f t="shared" si="14"/>
        <v>-6.7530528600000004</v>
      </c>
      <c r="AI13" s="14">
        <f t="shared" si="14"/>
        <v>-6.9556444458000009</v>
      </c>
      <c r="AJ13" s="14">
        <f t="shared" si="14"/>
        <v>-7.1643137791740008</v>
      </c>
      <c r="AK13" s="14">
        <f t="shared" si="14"/>
        <v>-7.3792431925492208</v>
      </c>
      <c r="AL13" s="14">
        <f t="shared" si="14"/>
        <v>-7.6006204883256974</v>
      </c>
      <c r="AM13" s="14">
        <f t="shared" si="14"/>
        <v>-7.8286391029754681</v>
      </c>
      <c r="AN13" s="14">
        <f t="shared" si="14"/>
        <v>-8.0634982760647329</v>
      </c>
    </row>
    <row r="14" spans="1:137" x14ac:dyDescent="0.25">
      <c r="C14" s="2" t="s">
        <v>62</v>
      </c>
      <c r="D14" s="14">
        <f t="shared" ref="D14:G14" si="15">SUM(D12:D13)</f>
        <v>39.222999999999985</v>
      </c>
      <c r="E14" s="14">
        <f t="shared" si="15"/>
        <v>44.326999999999977</v>
      </c>
      <c r="F14" s="14">
        <f t="shared" si="15"/>
        <v>36.638000000000005</v>
      </c>
      <c r="G14" s="14">
        <f t="shared" si="15"/>
        <v>12.299999999999999</v>
      </c>
      <c r="H14" s="14">
        <f t="shared" ref="H14:S14" si="16">SUM(H12:H13)</f>
        <v>14.449000000000007</v>
      </c>
      <c r="I14" s="14">
        <f t="shared" si="16"/>
        <v>12.672999999999989</v>
      </c>
      <c r="J14" s="14">
        <f t="shared" si="16"/>
        <v>18.257000000000016</v>
      </c>
      <c r="K14" s="14">
        <f t="shared" si="16"/>
        <v>7.2069999999999883</v>
      </c>
      <c r="L14" s="14">
        <f t="shared" si="16"/>
        <v>21.132999999999992</v>
      </c>
      <c r="M14" s="14">
        <f t="shared" si="16"/>
        <v>24.759999999999991</v>
      </c>
      <c r="N14" s="14">
        <f t="shared" si="16"/>
        <v>13.014000000000017</v>
      </c>
      <c r="O14" s="14">
        <f t="shared" si="16"/>
        <v>19.157999999999994</v>
      </c>
      <c r="P14" s="14">
        <f t="shared" si="16"/>
        <v>20.984000000000016</v>
      </c>
      <c r="Q14" s="14">
        <f t="shared" si="16"/>
        <v>14.184999999999995</v>
      </c>
      <c r="R14" s="14">
        <f t="shared" si="16"/>
        <v>25.081999999999997</v>
      </c>
      <c r="S14" s="14">
        <f t="shared" si="16"/>
        <v>7.1059999999999857</v>
      </c>
      <c r="V14" s="14">
        <f t="shared" ref="V14:AD14" si="17">SUM(V12:V13)</f>
        <v>82.247000000000014</v>
      </c>
      <c r="W14" s="14">
        <f t="shared" si="17"/>
        <v>83.884999999999977</v>
      </c>
      <c r="X14" s="14">
        <f t="shared" si="17"/>
        <v>63.173000000000002</v>
      </c>
      <c r="Y14" s="14">
        <f t="shared" si="17"/>
        <v>47.112000000000059</v>
      </c>
      <c r="Z14" s="14">
        <f t="shared" si="17"/>
        <v>116.20400000000005</v>
      </c>
      <c r="AA14" s="14">
        <f t="shared" si="17"/>
        <v>132.41500000000002</v>
      </c>
      <c r="AB14" s="14">
        <f t="shared" si="17"/>
        <v>52.563999999999922</v>
      </c>
      <c r="AC14" s="14">
        <f t="shared" si="17"/>
        <v>78.033999999999978</v>
      </c>
      <c r="AD14" s="14">
        <f t="shared" si="17"/>
        <v>66</v>
      </c>
      <c r="AE14" s="21">
        <f t="shared" ref="AE14:AN14" si="18">SUM(AE12:AE13)</f>
        <v>72.580999999999932</v>
      </c>
      <c r="AF14" s="14">
        <f t="shared" si="18"/>
        <v>78.110950000000017</v>
      </c>
      <c r="AG14" s="14">
        <f t="shared" si="18"/>
        <v>84.001760000000047</v>
      </c>
      <c r="AH14" s="14">
        <f t="shared" si="18"/>
        <v>90.275240732500038</v>
      </c>
      <c r="AI14" s="14">
        <f t="shared" si="18"/>
        <v>96.954462427587558</v>
      </c>
      <c r="AJ14" s="14">
        <f t="shared" si="18"/>
        <v>104.06382538426624</v>
      </c>
      <c r="AK14" s="14">
        <f t="shared" si="18"/>
        <v>111.62913441242026</v>
      </c>
      <c r="AL14" s="14">
        <f t="shared" si="18"/>
        <v>119.67767735436244</v>
      </c>
      <c r="AM14" s="14">
        <f t="shared" si="18"/>
        <v>128.23830790606007</v>
      </c>
      <c r="AN14" s="14">
        <f t="shared" si="18"/>
        <v>137.34153296985784</v>
      </c>
    </row>
    <row r="15" spans="1:137" x14ac:dyDescent="0.25">
      <c r="C15" s="2" t="s">
        <v>63</v>
      </c>
      <c r="D15" s="14">
        <v>-11.278</v>
      </c>
      <c r="E15" s="14">
        <v>-8.3000000000000007</v>
      </c>
      <c r="F15" s="14">
        <v>-8.6609999999999996</v>
      </c>
      <c r="G15" s="14">
        <v>-3.1789000000000001</v>
      </c>
      <c r="H15" s="14">
        <v>-3.3570000000000002</v>
      </c>
      <c r="I15" s="14">
        <v>-3.4569999999999999</v>
      </c>
      <c r="J15" s="14">
        <v>-4.88</v>
      </c>
      <c r="K15" s="14">
        <v>-1.482</v>
      </c>
      <c r="L15" s="14">
        <v>-4.5</v>
      </c>
      <c r="M15" s="14">
        <v>-6</v>
      </c>
      <c r="N15" s="14">
        <v>-3.2639999999999998</v>
      </c>
      <c r="O15" s="14">
        <v>-5.3</v>
      </c>
      <c r="P15" s="14">
        <v>-5.0999999999999996</v>
      </c>
      <c r="Q15" s="14">
        <v>-3.3879999999999999</v>
      </c>
      <c r="R15" s="14">
        <v>-6.1669999999999998</v>
      </c>
      <c r="S15" s="14">
        <v>-2</v>
      </c>
      <c r="V15" s="14">
        <v>-17.219000000000001</v>
      </c>
      <c r="W15" s="14">
        <v>-13.122</v>
      </c>
      <c r="X15" s="14">
        <v>-15.84</v>
      </c>
      <c r="Y15" s="14">
        <v>-13.551</v>
      </c>
      <c r="Z15" s="14">
        <v>-28.765999999999998</v>
      </c>
      <c r="AA15" s="14">
        <v>-31.417000000000002</v>
      </c>
      <c r="AB15" s="14">
        <v>-13.176</v>
      </c>
      <c r="AC15" s="14">
        <v>-19</v>
      </c>
      <c r="AD15" s="14">
        <v>-17</v>
      </c>
      <c r="AE15" s="21">
        <f>AE14*-0.2</f>
        <v>-14.516199999999987</v>
      </c>
      <c r="AF15" s="14">
        <f t="shared" ref="AF15:AN15" si="19">AF14*-0.2</f>
        <v>-15.622190000000003</v>
      </c>
      <c r="AG15" s="14">
        <f t="shared" si="19"/>
        <v>-16.800352000000011</v>
      </c>
      <c r="AH15" s="14">
        <f t="shared" si="19"/>
        <v>-18.05504814650001</v>
      </c>
      <c r="AI15" s="14">
        <f t="shared" si="19"/>
        <v>-19.390892485517512</v>
      </c>
      <c r="AJ15" s="14">
        <f t="shared" si="19"/>
        <v>-20.81276507685325</v>
      </c>
      <c r="AK15" s="14">
        <f t="shared" si="19"/>
        <v>-22.325826882484051</v>
      </c>
      <c r="AL15" s="14">
        <f t="shared" si="19"/>
        <v>-23.935535470872491</v>
      </c>
      <c r="AM15" s="14">
        <f t="shared" si="19"/>
        <v>-25.647661581212017</v>
      </c>
      <c r="AN15" s="14">
        <f t="shared" si="19"/>
        <v>-27.468306593971569</v>
      </c>
    </row>
    <row r="16" spans="1:137" x14ac:dyDescent="0.25">
      <c r="C16" s="1" t="s">
        <v>64</v>
      </c>
      <c r="D16" s="13">
        <f t="shared" ref="D16:G16" si="20">SUM(D14:D15)</f>
        <v>27.944999999999986</v>
      </c>
      <c r="E16" s="13">
        <f t="shared" si="20"/>
        <v>36.026999999999973</v>
      </c>
      <c r="F16" s="13">
        <f t="shared" si="20"/>
        <v>27.977000000000004</v>
      </c>
      <c r="G16" s="13">
        <f t="shared" si="20"/>
        <v>9.1210999999999984</v>
      </c>
      <c r="H16" s="13">
        <f t="shared" ref="H16:S16" si="21">SUM(H14:H15)</f>
        <v>11.092000000000006</v>
      </c>
      <c r="I16" s="13">
        <f t="shared" si="21"/>
        <v>9.2159999999999904</v>
      </c>
      <c r="J16" s="13">
        <f t="shared" si="21"/>
        <v>13.377000000000017</v>
      </c>
      <c r="K16" s="13">
        <f t="shared" si="21"/>
        <v>5.7249999999999881</v>
      </c>
      <c r="L16" s="13">
        <f t="shared" si="21"/>
        <v>16.632999999999992</v>
      </c>
      <c r="M16" s="13">
        <f t="shared" si="21"/>
        <v>18.759999999999991</v>
      </c>
      <c r="N16" s="13">
        <f t="shared" si="21"/>
        <v>9.7500000000000178</v>
      </c>
      <c r="O16" s="13">
        <f t="shared" si="21"/>
        <v>13.857999999999993</v>
      </c>
      <c r="P16" s="13">
        <f t="shared" si="21"/>
        <v>15.884000000000016</v>
      </c>
      <c r="Q16" s="13">
        <f t="shared" si="21"/>
        <v>10.796999999999995</v>
      </c>
      <c r="R16" s="13">
        <f t="shared" si="21"/>
        <v>18.914999999999999</v>
      </c>
      <c r="S16" s="13">
        <f t="shared" si="21"/>
        <v>5.1059999999999857</v>
      </c>
      <c r="T16" s="1"/>
      <c r="V16" s="13">
        <f t="shared" ref="V16:AD16" si="22">SUM(V14:V15)</f>
        <v>65.02800000000002</v>
      </c>
      <c r="W16" s="13">
        <f t="shared" si="22"/>
        <v>70.762999999999977</v>
      </c>
      <c r="X16" s="13">
        <f t="shared" si="22"/>
        <v>47.332999999999998</v>
      </c>
      <c r="Y16" s="13">
        <f t="shared" si="22"/>
        <v>33.561000000000057</v>
      </c>
      <c r="Z16" s="13">
        <f t="shared" si="22"/>
        <v>87.438000000000045</v>
      </c>
      <c r="AA16" s="13">
        <f t="shared" si="22"/>
        <v>100.99800000000002</v>
      </c>
      <c r="AB16" s="13">
        <f t="shared" si="22"/>
        <v>39.38799999999992</v>
      </c>
      <c r="AC16" s="13">
        <f t="shared" si="22"/>
        <v>59.033999999999978</v>
      </c>
      <c r="AD16" s="13">
        <f t="shared" si="22"/>
        <v>49</v>
      </c>
      <c r="AE16" s="20">
        <f t="shared" ref="AE16:AN16" si="23">SUM(AE14:AE15)</f>
        <v>58.064799999999948</v>
      </c>
      <c r="AF16" s="13">
        <f t="shared" si="23"/>
        <v>62.488760000000013</v>
      </c>
      <c r="AG16" s="13">
        <f t="shared" si="23"/>
        <v>67.201408000000043</v>
      </c>
      <c r="AH16" s="13">
        <f t="shared" si="23"/>
        <v>72.220192586000024</v>
      </c>
      <c r="AI16" s="13">
        <f t="shared" si="23"/>
        <v>77.563569942070046</v>
      </c>
      <c r="AJ16" s="13">
        <f t="shared" si="23"/>
        <v>83.251060307412985</v>
      </c>
      <c r="AK16" s="13">
        <f t="shared" si="23"/>
        <v>89.303307529936205</v>
      </c>
      <c r="AL16" s="13">
        <f t="shared" si="23"/>
        <v>95.74214188348995</v>
      </c>
      <c r="AM16" s="13">
        <f t="shared" si="23"/>
        <v>102.59064632484805</v>
      </c>
      <c r="AN16" s="13">
        <f t="shared" si="23"/>
        <v>109.87322637588628</v>
      </c>
      <c r="AO16" s="29">
        <f>AN16*(1+$AQ$20)</f>
        <v>108.77449411212741</v>
      </c>
      <c r="AP16" s="29">
        <f t="shared" ref="AP16:DA16" si="24">AO16*(1+$AQ$20)</f>
        <v>107.68674917100614</v>
      </c>
      <c r="AQ16" s="29">
        <f t="shared" si="24"/>
        <v>106.60988167929608</v>
      </c>
      <c r="AR16" s="29">
        <f t="shared" si="24"/>
        <v>105.54378286250312</v>
      </c>
      <c r="AS16" s="29">
        <f t="shared" si="24"/>
        <v>104.48834503387809</v>
      </c>
      <c r="AT16" s="29">
        <f t="shared" si="24"/>
        <v>103.4434615835393</v>
      </c>
      <c r="AU16" s="29">
        <f t="shared" si="24"/>
        <v>102.40902696770391</v>
      </c>
      <c r="AV16" s="29">
        <f t="shared" si="24"/>
        <v>101.38493669802686</v>
      </c>
      <c r="AW16" s="29">
        <f t="shared" si="24"/>
        <v>100.3710873310466</v>
      </c>
      <c r="AX16" s="29">
        <f t="shared" si="24"/>
        <v>99.367376457736128</v>
      </c>
      <c r="AY16" s="29">
        <f t="shared" si="24"/>
        <v>98.373702693158762</v>
      </c>
      <c r="AZ16" s="29">
        <f t="shared" si="24"/>
        <v>97.38996566622717</v>
      </c>
      <c r="BA16" s="29">
        <f t="shared" si="24"/>
        <v>96.416066009564901</v>
      </c>
      <c r="BB16" s="29">
        <f t="shared" si="24"/>
        <v>95.451905349469257</v>
      </c>
      <c r="BC16" s="29">
        <f t="shared" si="24"/>
        <v>94.497386295974565</v>
      </c>
      <c r="BD16" s="29">
        <f t="shared" si="24"/>
        <v>93.552412433014823</v>
      </c>
      <c r="BE16" s="29">
        <f t="shared" si="24"/>
        <v>92.616888308684679</v>
      </c>
      <c r="BF16" s="29">
        <f t="shared" si="24"/>
        <v>91.690719425597834</v>
      </c>
      <c r="BG16" s="29">
        <f t="shared" si="24"/>
        <v>90.77381223134185</v>
      </c>
      <c r="BH16" s="29">
        <f t="shared" si="24"/>
        <v>89.866074109028432</v>
      </c>
      <c r="BI16" s="29">
        <f t="shared" si="24"/>
        <v>88.96741336793815</v>
      </c>
      <c r="BJ16" s="29">
        <f t="shared" si="24"/>
        <v>88.077739234258772</v>
      </c>
      <c r="BK16" s="29">
        <f t="shared" si="24"/>
        <v>87.196961841916178</v>
      </c>
      <c r="BL16" s="29">
        <f t="shared" si="24"/>
        <v>86.32499222349702</v>
      </c>
      <c r="BM16" s="29">
        <f t="shared" si="24"/>
        <v>85.461742301262049</v>
      </c>
      <c r="BN16" s="29">
        <f t="shared" si="24"/>
        <v>84.607124878249422</v>
      </c>
      <c r="BO16" s="29">
        <f t="shared" si="24"/>
        <v>83.761053629466929</v>
      </c>
      <c r="BP16" s="29">
        <f t="shared" si="24"/>
        <v>82.923443093172253</v>
      </c>
      <c r="BQ16" s="29">
        <f t="shared" si="24"/>
        <v>82.094208662240533</v>
      </c>
      <c r="BR16" s="29">
        <f t="shared" si="24"/>
        <v>81.273266575618123</v>
      </c>
      <c r="BS16" s="29">
        <f t="shared" si="24"/>
        <v>80.460533909861937</v>
      </c>
      <c r="BT16" s="29">
        <f t="shared" si="24"/>
        <v>79.655928570763322</v>
      </c>
      <c r="BU16" s="29">
        <f t="shared" si="24"/>
        <v>78.859369285055692</v>
      </c>
      <c r="BV16" s="29">
        <f t="shared" si="24"/>
        <v>78.070775592205138</v>
      </c>
      <c r="BW16" s="29">
        <f t="shared" si="24"/>
        <v>77.290067836283086</v>
      </c>
      <c r="BX16" s="29">
        <f t="shared" si="24"/>
        <v>76.517167157920255</v>
      </c>
      <c r="BY16" s="29">
        <f t="shared" si="24"/>
        <v>75.751995486341059</v>
      </c>
      <c r="BZ16" s="29">
        <f t="shared" si="24"/>
        <v>74.994475531477647</v>
      </c>
      <c r="CA16" s="29">
        <f t="shared" si="24"/>
        <v>74.244530776162875</v>
      </c>
      <c r="CB16" s="29">
        <f t="shared" si="24"/>
        <v>73.502085468401248</v>
      </c>
      <c r="CC16" s="29">
        <f t="shared" si="24"/>
        <v>72.767064613717238</v>
      </c>
      <c r="CD16" s="29">
        <f t="shared" si="24"/>
        <v>72.039393967580068</v>
      </c>
      <c r="CE16" s="29">
        <f t="shared" si="24"/>
        <v>71.319000027904266</v>
      </c>
      <c r="CF16" s="29">
        <f t="shared" si="24"/>
        <v>70.605810027625225</v>
      </c>
      <c r="CG16" s="29">
        <f t="shared" si="24"/>
        <v>69.899751927348973</v>
      </c>
      <c r="CH16" s="29">
        <f t="shared" si="24"/>
        <v>69.200754408075483</v>
      </c>
      <c r="CI16" s="29">
        <f t="shared" si="24"/>
        <v>68.50874686399473</v>
      </c>
      <c r="CJ16" s="29">
        <f t="shared" si="24"/>
        <v>67.823659395354781</v>
      </c>
      <c r="CK16" s="29">
        <f t="shared" si="24"/>
        <v>67.145422801401239</v>
      </c>
      <c r="CL16" s="29">
        <f t="shared" si="24"/>
        <v>66.473968573387225</v>
      </c>
      <c r="CM16" s="29">
        <f t="shared" si="24"/>
        <v>65.809228887653347</v>
      </c>
      <c r="CN16" s="29">
        <f t="shared" si="24"/>
        <v>65.151136598776816</v>
      </c>
      <c r="CO16" s="29">
        <f t="shared" si="24"/>
        <v>64.499625232789043</v>
      </c>
      <c r="CP16" s="29">
        <f t="shared" si="24"/>
        <v>63.85462898046115</v>
      </c>
      <c r="CQ16" s="29">
        <f t="shared" si="24"/>
        <v>63.216082690656542</v>
      </c>
      <c r="CR16" s="29">
        <f t="shared" si="24"/>
        <v>62.583921863749978</v>
      </c>
      <c r="CS16" s="29">
        <f t="shared" si="24"/>
        <v>61.958082645112476</v>
      </c>
      <c r="CT16" s="29">
        <f t="shared" si="24"/>
        <v>61.338501818661349</v>
      </c>
      <c r="CU16" s="29">
        <f t="shared" si="24"/>
        <v>60.725116800474737</v>
      </c>
      <c r="CV16" s="29">
        <f t="shared" si="24"/>
        <v>60.117865632469986</v>
      </c>
      <c r="CW16" s="29">
        <f t="shared" si="24"/>
        <v>59.516686976145287</v>
      </c>
      <c r="CX16" s="29">
        <f t="shared" si="24"/>
        <v>58.921520106383831</v>
      </c>
      <c r="CY16" s="29">
        <f t="shared" si="24"/>
        <v>58.332304905319994</v>
      </c>
      <c r="CZ16" s="29">
        <f t="shared" si="24"/>
        <v>57.748981856266795</v>
      </c>
      <c r="DA16" s="29">
        <f t="shared" si="24"/>
        <v>57.171492037704127</v>
      </c>
      <c r="DB16" s="29">
        <f t="shared" ref="DB16:EG16" si="25">DA16*(1+$AQ$20)</f>
        <v>56.599777117327086</v>
      </c>
      <c r="DC16" s="29">
        <f t="shared" si="25"/>
        <v>56.033779346153814</v>
      </c>
      <c r="DD16" s="29">
        <f t="shared" si="25"/>
        <v>55.473441552692279</v>
      </c>
      <c r="DE16" s="29">
        <f t="shared" si="25"/>
        <v>54.918707137165356</v>
      </c>
      <c r="DF16" s="29">
        <f t="shared" si="25"/>
        <v>54.369520065793701</v>
      </c>
      <c r="DG16" s="29">
        <f t="shared" si="25"/>
        <v>53.825824865135765</v>
      </c>
      <c r="DH16" s="29">
        <f t="shared" si="25"/>
        <v>53.287566616484405</v>
      </c>
      <c r="DI16" s="29">
        <f t="shared" si="25"/>
        <v>52.754690950319564</v>
      </c>
      <c r="DJ16" s="29">
        <f t="shared" si="25"/>
        <v>52.22714404081637</v>
      </c>
      <c r="DK16" s="29">
        <f t="shared" si="25"/>
        <v>51.704872600408208</v>
      </c>
      <c r="DL16" s="29">
        <f t="shared" si="25"/>
        <v>51.187823874404124</v>
      </c>
      <c r="DM16" s="29">
        <f t="shared" si="25"/>
        <v>50.675945635660085</v>
      </c>
      <c r="DN16" s="29">
        <f t="shared" si="25"/>
        <v>50.16918617930348</v>
      </c>
      <c r="DO16" s="29">
        <f t="shared" si="25"/>
        <v>49.667494317510446</v>
      </c>
      <c r="DP16" s="29">
        <f t="shared" si="25"/>
        <v>49.170819374335338</v>
      </c>
      <c r="DQ16" s="29">
        <f t="shared" si="25"/>
        <v>48.679111180591981</v>
      </c>
      <c r="DR16" s="29">
        <f t="shared" si="25"/>
        <v>48.19232006878606</v>
      </c>
      <c r="DS16" s="29">
        <f t="shared" si="25"/>
        <v>47.710396868098201</v>
      </c>
      <c r="DT16" s="29">
        <f t="shared" si="25"/>
        <v>47.233292899417215</v>
      </c>
      <c r="DU16" s="29">
        <f t="shared" si="25"/>
        <v>46.760959970423045</v>
      </c>
      <c r="DV16" s="29">
        <f t="shared" si="25"/>
        <v>46.293350370718812</v>
      </c>
      <c r="DW16" s="29">
        <f t="shared" si="25"/>
        <v>45.830416867011621</v>
      </c>
      <c r="DX16" s="29">
        <f t="shared" si="25"/>
        <v>45.372112698341503</v>
      </c>
      <c r="DY16" s="29">
        <f t="shared" si="25"/>
        <v>44.918391571358086</v>
      </c>
      <c r="DZ16" s="29">
        <f t="shared" si="25"/>
        <v>44.469207655644503</v>
      </c>
      <c r="EA16" s="29">
        <f t="shared" si="25"/>
        <v>44.02451557908806</v>
      </c>
      <c r="EB16" s="29">
        <f t="shared" si="25"/>
        <v>43.584270423297177</v>
      </c>
      <c r="EC16" s="29">
        <f t="shared" si="25"/>
        <v>43.148427719064202</v>
      </c>
      <c r="ED16" s="29">
        <f t="shared" si="25"/>
        <v>42.716943441873561</v>
      </c>
      <c r="EE16" s="29">
        <f t="shared" si="25"/>
        <v>42.289774007454824</v>
      </c>
      <c r="EF16" s="29">
        <f t="shared" si="25"/>
        <v>41.866876267380277</v>
      </c>
      <c r="EG16" s="29">
        <f t="shared" si="25"/>
        <v>41.448207504706474</v>
      </c>
    </row>
    <row r="17" spans="2:43" x14ac:dyDescent="0.25">
      <c r="C17" s="2" t="s">
        <v>65</v>
      </c>
      <c r="D17" s="12">
        <v>11.401999999999999</v>
      </c>
      <c r="E17" s="12">
        <v>11.401999999999999</v>
      </c>
      <c r="F17" s="12">
        <v>11.401999999999999</v>
      </c>
      <c r="G17" s="12">
        <v>11.401999999999999</v>
      </c>
      <c r="H17" s="12">
        <v>11.401999999999999</v>
      </c>
      <c r="I17" s="12">
        <v>11.401999999999999</v>
      </c>
      <c r="J17" s="12">
        <v>11.401999999999999</v>
      </c>
      <c r="K17" s="12">
        <v>11.401999999999999</v>
      </c>
      <c r="L17" s="12">
        <v>11.401999999999999</v>
      </c>
      <c r="M17" s="12">
        <v>11.401999999999999</v>
      </c>
      <c r="N17" s="12">
        <v>11.401999999999999</v>
      </c>
      <c r="O17" s="12">
        <v>11.401999999999999</v>
      </c>
      <c r="P17" s="12">
        <v>11.401999999999999</v>
      </c>
      <c r="Q17" s="12">
        <v>11.401999999999999</v>
      </c>
      <c r="R17" s="12">
        <v>11.401999999999999</v>
      </c>
      <c r="S17" s="12">
        <v>11.401999999999999</v>
      </c>
      <c r="V17" s="12">
        <v>11.401999999999999</v>
      </c>
      <c r="W17" s="12">
        <v>11.401999999999999</v>
      </c>
      <c r="X17" s="12">
        <v>11.401999999999999</v>
      </c>
      <c r="Y17" s="12">
        <v>11.401999999999999</v>
      </c>
      <c r="Z17" s="12">
        <v>11.401999999999999</v>
      </c>
      <c r="AA17" s="12">
        <v>11.401999999999999</v>
      </c>
      <c r="AB17" s="12">
        <v>11.401999999999999</v>
      </c>
      <c r="AC17" s="12">
        <v>11.401999999999999</v>
      </c>
      <c r="AD17" s="12">
        <v>11.401999999999999</v>
      </c>
      <c r="AE17" s="18">
        <v>11.401999999999999</v>
      </c>
      <c r="AF17" s="12">
        <v>11.401999999999999</v>
      </c>
      <c r="AG17" s="12">
        <v>11.401999999999999</v>
      </c>
      <c r="AH17" s="12">
        <v>11.401999999999999</v>
      </c>
      <c r="AI17" s="12">
        <v>11.401999999999999</v>
      </c>
      <c r="AJ17" s="12">
        <v>11.401999999999999</v>
      </c>
      <c r="AK17" s="12">
        <v>11.401999999999999</v>
      </c>
      <c r="AL17" s="12">
        <v>11.401999999999999</v>
      </c>
      <c r="AM17" s="12">
        <v>11.401999999999999</v>
      </c>
      <c r="AN17" s="12">
        <v>11.401999999999999</v>
      </c>
    </row>
    <row r="18" spans="2:43" x14ac:dyDescent="0.25">
      <c r="C18" s="2" t="s">
        <v>66</v>
      </c>
      <c r="D18" s="11">
        <f t="shared" ref="D18:G18" si="26">D16/D17</f>
        <v>2.4508858095071031</v>
      </c>
      <c r="E18" s="11">
        <f t="shared" si="26"/>
        <v>3.1597088230135042</v>
      </c>
      <c r="F18" s="11">
        <f t="shared" si="26"/>
        <v>2.4536923346781272</v>
      </c>
      <c r="G18" s="11">
        <f t="shared" si="26"/>
        <v>0.79995614804420268</v>
      </c>
      <c r="H18" s="11">
        <f t="shared" ref="H18:S18" si="27">H16/H17</f>
        <v>0.97281178740571883</v>
      </c>
      <c r="I18" s="11">
        <f t="shared" si="27"/>
        <v>0.808279249254516</v>
      </c>
      <c r="J18" s="11">
        <f t="shared" si="27"/>
        <v>1.1732152253990544</v>
      </c>
      <c r="K18" s="11">
        <f t="shared" si="27"/>
        <v>0.50210489387826596</v>
      </c>
      <c r="L18" s="11">
        <f t="shared" si="27"/>
        <v>1.4587791615506045</v>
      </c>
      <c r="M18" s="11">
        <f t="shared" si="27"/>
        <v>1.6453253815120148</v>
      </c>
      <c r="N18" s="11">
        <f t="shared" si="27"/>
        <v>0.85511313804595845</v>
      </c>
      <c r="O18" s="11">
        <f t="shared" si="27"/>
        <v>1.2154008068759863</v>
      </c>
      <c r="P18" s="11">
        <f t="shared" si="27"/>
        <v>1.3930889317663584</v>
      </c>
      <c r="Q18" s="11">
        <f t="shared" si="27"/>
        <v>0.94693913348535308</v>
      </c>
      <c r="R18" s="11">
        <f t="shared" si="27"/>
        <v>1.6589194878091562</v>
      </c>
      <c r="S18" s="11">
        <f t="shared" si="27"/>
        <v>0.4478161726012968</v>
      </c>
      <c r="V18" s="11">
        <f t="shared" ref="V18:AD18" si="28">V16/V17</f>
        <v>5.7032099631643591</v>
      </c>
      <c r="W18" s="11">
        <f t="shared" si="28"/>
        <v>6.2061918961585674</v>
      </c>
      <c r="X18" s="11">
        <f t="shared" si="28"/>
        <v>4.151289247500439</v>
      </c>
      <c r="Y18" s="11">
        <f t="shared" si="28"/>
        <v>2.9434309770215803</v>
      </c>
      <c r="Z18" s="11">
        <f t="shared" si="28"/>
        <v>7.6686546219961453</v>
      </c>
      <c r="AA18" s="11">
        <f t="shared" si="28"/>
        <v>8.8579196632169825</v>
      </c>
      <c r="AB18" s="11">
        <f t="shared" si="28"/>
        <v>3.4544816698824699</v>
      </c>
      <c r="AC18" s="11">
        <f t="shared" si="28"/>
        <v>5.17751271706718</v>
      </c>
      <c r="AD18" s="11">
        <f t="shared" si="28"/>
        <v>4.2974916681283988</v>
      </c>
      <c r="AE18" s="19">
        <f t="shared" ref="AE18:AN18" si="29">AE16/AE17</f>
        <v>5.0925100859498293</v>
      </c>
      <c r="AF18" s="11">
        <f t="shared" si="29"/>
        <v>5.4805086826872493</v>
      </c>
      <c r="AG18" s="11">
        <f t="shared" si="29"/>
        <v>5.8938263462550475</v>
      </c>
      <c r="AH18" s="11">
        <f t="shared" si="29"/>
        <v>6.3339933858972133</v>
      </c>
      <c r="AI18" s="11">
        <f t="shared" si="29"/>
        <v>6.802628481149803</v>
      </c>
      <c r="AJ18" s="11">
        <f t="shared" si="29"/>
        <v>7.3014436333461665</v>
      </c>
      <c r="AK18" s="11">
        <f t="shared" si="29"/>
        <v>7.8322493886981412</v>
      </c>
      <c r="AL18" s="11">
        <f t="shared" si="29"/>
        <v>8.3969603476135735</v>
      </c>
      <c r="AM18" s="11">
        <f t="shared" si="29"/>
        <v>8.9976009756926913</v>
      </c>
      <c r="AN18" s="11">
        <f t="shared" si="29"/>
        <v>9.6363117326685046</v>
      </c>
    </row>
    <row r="19" spans="2:43" x14ac:dyDescent="0.25">
      <c r="AP19" s="2" t="s">
        <v>105</v>
      </c>
      <c r="AQ19" s="26">
        <v>0.08</v>
      </c>
    </row>
    <row r="20" spans="2:43" x14ac:dyDescent="0.25">
      <c r="C20" s="1" t="s">
        <v>38</v>
      </c>
      <c r="D20" s="15"/>
      <c r="E20" s="15"/>
      <c r="F20" s="15"/>
      <c r="G20" s="15"/>
      <c r="H20" s="15">
        <f t="shared" ref="H20:S20" si="30">(H4-D4)/D4</f>
        <v>-8.6936427634130772E-2</v>
      </c>
      <c r="I20" s="15">
        <f t="shared" si="30"/>
        <v>-0.14469900199897448</v>
      </c>
      <c r="J20" s="15">
        <f t="shared" si="30"/>
        <v>-7.4875874909492074E-2</v>
      </c>
      <c r="K20" s="15">
        <f t="shared" si="30"/>
        <v>2.1790066780057241E-2</v>
      </c>
      <c r="L20" s="15">
        <f t="shared" si="30"/>
        <v>9.5213991955529362E-2</v>
      </c>
      <c r="M20" s="15">
        <f t="shared" si="30"/>
        <v>0.13817041278226197</v>
      </c>
      <c r="N20" s="15">
        <f t="shared" si="30"/>
        <v>-2.8986587530456454E-2</v>
      </c>
      <c r="O20" s="15">
        <f t="shared" si="30"/>
        <v>0.13871075451501072</v>
      </c>
      <c r="P20" s="15">
        <f t="shared" si="30"/>
        <v>6.6976701961722979E-2</v>
      </c>
      <c r="Q20" s="15">
        <f t="shared" si="30"/>
        <v>-9.4332061068702303E-2</v>
      </c>
      <c r="R20" s="15">
        <f t="shared" si="30"/>
        <v>0.10473590527229888</v>
      </c>
      <c r="S20" s="15">
        <f t="shared" si="30"/>
        <v>-5.5635330288956966E-2</v>
      </c>
      <c r="V20" s="15"/>
      <c r="W20" s="15">
        <f t="shared" ref="W20:AC20" si="31">(W4-V4)/V4</f>
        <v>7.5627032877075423E-2</v>
      </c>
      <c r="X20" s="15">
        <f t="shared" si="31"/>
        <v>-2.4347041832386132E-2</v>
      </c>
      <c r="Y20" s="15">
        <f t="shared" si="31"/>
        <v>-0.115354186445477</v>
      </c>
      <c r="Z20" s="15">
        <f t="shared" si="31"/>
        <v>0.25546513032686441</v>
      </c>
      <c r="AA20" s="15">
        <f t="shared" si="31"/>
        <v>0.21879522408652033</v>
      </c>
      <c r="AB20" s="15">
        <f t="shared" si="31"/>
        <v>-8.2129036624154939E-2</v>
      </c>
      <c r="AC20" s="15">
        <f t="shared" si="31"/>
        <v>7.5632204709543974E-2</v>
      </c>
      <c r="AD20" s="15">
        <f>(AD4-AC4)/AC4</f>
        <v>-1.8552983598929894E-2</v>
      </c>
      <c r="AE20" s="23">
        <f t="shared" ref="AE20:AN20" si="32">(AE4-AD4)/AD4</f>
        <v>3.0000000000000023E-2</v>
      </c>
      <c r="AF20" s="15">
        <f t="shared" si="32"/>
        <v>5.0000000000000017E-2</v>
      </c>
      <c r="AG20" s="15">
        <f t="shared" si="32"/>
        <v>4.9999999999999975E-2</v>
      </c>
      <c r="AH20" s="15">
        <f t="shared" si="32"/>
        <v>4.9999999999999954E-2</v>
      </c>
      <c r="AI20" s="15">
        <f t="shared" si="32"/>
        <v>4.9999999999999989E-2</v>
      </c>
      <c r="AJ20" s="15">
        <f t="shared" si="32"/>
        <v>4.9999999999999961E-2</v>
      </c>
      <c r="AK20" s="15">
        <f t="shared" si="32"/>
        <v>5.000000000000001E-2</v>
      </c>
      <c r="AL20" s="15">
        <f t="shared" si="32"/>
        <v>5.0000000000000044E-2</v>
      </c>
      <c r="AM20" s="15">
        <f t="shared" si="32"/>
        <v>5.0000000000000107E-2</v>
      </c>
      <c r="AN20" s="15">
        <f t="shared" si="32"/>
        <v>5.0000000000000044E-2</v>
      </c>
      <c r="AP20" s="2" t="s">
        <v>106</v>
      </c>
      <c r="AQ20" s="26">
        <v>-0.01</v>
      </c>
    </row>
    <row r="21" spans="2:43" s="16" customFormat="1" x14ac:dyDescent="0.25">
      <c r="B21" s="24"/>
      <c r="C21" s="15" t="s">
        <v>77</v>
      </c>
      <c r="D21" s="15">
        <v>0.28999999999999998</v>
      </c>
      <c r="E21" s="15">
        <v>0.39</v>
      </c>
      <c r="F21" s="15">
        <v>0.02</v>
      </c>
      <c r="G21" s="15">
        <v>-0.24</v>
      </c>
      <c r="H21" s="15">
        <v>-0.13</v>
      </c>
      <c r="I21" s="15">
        <v>-0.18</v>
      </c>
      <c r="J21" s="15">
        <v>-0.1</v>
      </c>
      <c r="K21" s="15">
        <v>0.03</v>
      </c>
      <c r="L21" s="15">
        <v>0.1</v>
      </c>
      <c r="M21" s="15">
        <v>0.14000000000000001</v>
      </c>
      <c r="N21" s="15">
        <v>-0.03</v>
      </c>
      <c r="O21" s="15">
        <v>0.13</v>
      </c>
      <c r="P21" s="15">
        <v>7.0000000000000007E-2</v>
      </c>
      <c r="Q21" s="15">
        <v>-0.01</v>
      </c>
      <c r="R21" s="15">
        <v>0.18</v>
      </c>
      <c r="S21" s="15">
        <v>0.06</v>
      </c>
      <c r="V21" s="15"/>
      <c r="W21" s="15"/>
      <c r="X21" s="15"/>
      <c r="Y21" s="15"/>
      <c r="Z21" s="15"/>
      <c r="AA21" s="15"/>
      <c r="AB21" s="15"/>
      <c r="AC21" s="15">
        <v>0.09</v>
      </c>
      <c r="AD21" s="15"/>
      <c r="AE21" s="23"/>
      <c r="AF21" s="15"/>
      <c r="AG21" s="15"/>
      <c r="AH21" s="15"/>
      <c r="AI21" s="15"/>
      <c r="AJ21" s="15"/>
      <c r="AK21" s="15"/>
      <c r="AL21" s="15"/>
      <c r="AM21" s="15"/>
      <c r="AN21" s="15"/>
      <c r="AP21" s="39" t="s">
        <v>107</v>
      </c>
      <c r="AQ21" s="39">
        <f>NPV(AQ19,AE16:EG16)</f>
        <v>1084.7639439905927</v>
      </c>
    </row>
    <row r="22" spans="2:43" x14ac:dyDescent="0.25">
      <c r="C22" s="2" t="s">
        <v>45</v>
      </c>
      <c r="D22" s="16">
        <f t="shared" ref="D22:S22" si="33">D6/D4</f>
        <v>0.43803283017933625</v>
      </c>
      <c r="E22" s="16">
        <f t="shared" si="33"/>
        <v>0.43952173234548814</v>
      </c>
      <c r="F22" s="16">
        <f t="shared" si="33"/>
        <v>0.45013015894907427</v>
      </c>
      <c r="G22" s="16">
        <f t="shared" si="33"/>
        <v>0.43967969655463074</v>
      </c>
      <c r="H22" s="16">
        <f t="shared" si="33"/>
        <v>0.43027522935779816</v>
      </c>
      <c r="I22" s="16">
        <f t="shared" si="33"/>
        <v>0.41604472749072519</v>
      </c>
      <c r="J22" s="16">
        <f t="shared" si="33"/>
        <v>0.45368062575995455</v>
      </c>
      <c r="K22" s="16">
        <f t="shared" si="33"/>
        <v>0.44853526078544981</v>
      </c>
      <c r="L22" s="16">
        <f t="shared" si="33"/>
        <v>0.43214436035619669</v>
      </c>
      <c r="M22" s="16">
        <f t="shared" si="33"/>
        <v>0.44059160305343514</v>
      </c>
      <c r="N22" s="16">
        <f t="shared" si="33"/>
        <v>0.48044178113410324</v>
      </c>
      <c r="O22" s="16">
        <f t="shared" si="33"/>
        <v>0.4623527940561355</v>
      </c>
      <c r="P22" s="16">
        <f t="shared" si="33"/>
        <v>0.44755171733657167</v>
      </c>
      <c r="Q22" s="16">
        <f t="shared" si="33"/>
        <v>0.44816149356259344</v>
      </c>
      <c r="R22" s="16">
        <f t="shared" si="33"/>
        <v>0.47294568290490274</v>
      </c>
      <c r="S22" s="16">
        <f t="shared" si="33"/>
        <v>0.47201610951548167</v>
      </c>
      <c r="V22" s="16">
        <f t="shared" ref="V22:AC22" si="34">V6/V4</f>
        <v>0.46892110579773266</v>
      </c>
      <c r="W22" s="16">
        <f t="shared" si="34"/>
        <v>0.46369475399046917</v>
      </c>
      <c r="X22" s="16">
        <f t="shared" si="34"/>
        <v>0.4342246983904906</v>
      </c>
      <c r="Y22" s="16">
        <f t="shared" si="34"/>
        <v>0.45696381474177039</v>
      </c>
      <c r="Z22" s="16">
        <f t="shared" si="34"/>
        <v>0.46990309704542221</v>
      </c>
      <c r="AA22" s="16">
        <f t="shared" si="34"/>
        <v>0.46035613140317738</v>
      </c>
      <c r="AB22" s="16">
        <f t="shared" si="34"/>
        <v>0.45254317379778602</v>
      </c>
      <c r="AC22" s="16">
        <f t="shared" si="34"/>
        <v>0.46290234134831082</v>
      </c>
      <c r="AD22" s="16">
        <f>AD6/AD4</f>
        <v>0.45925925925925926</v>
      </c>
      <c r="AE22" s="24">
        <f t="shared" ref="AE22:AN22" si="35">AE6/AE4</f>
        <v>0.45999999999999996</v>
      </c>
      <c r="AF22" s="16">
        <f t="shared" si="35"/>
        <v>0.46</v>
      </c>
      <c r="AG22" s="16">
        <f t="shared" si="35"/>
        <v>0.45999999999999996</v>
      </c>
      <c r="AH22" s="16">
        <f t="shared" si="35"/>
        <v>0.45999999999999996</v>
      </c>
      <c r="AI22" s="16">
        <f t="shared" si="35"/>
        <v>0.45999999999999991</v>
      </c>
      <c r="AJ22" s="16">
        <f t="shared" si="35"/>
        <v>0.45999999999999996</v>
      </c>
      <c r="AK22" s="16">
        <f t="shared" si="35"/>
        <v>0.45999999999999996</v>
      </c>
      <c r="AL22" s="16">
        <f t="shared" si="35"/>
        <v>0.45999999999999991</v>
      </c>
      <c r="AM22" s="16">
        <f t="shared" si="35"/>
        <v>0.45999999999999991</v>
      </c>
      <c r="AN22" s="16">
        <f t="shared" si="35"/>
        <v>0.45999999999999996</v>
      </c>
      <c r="AP22" s="2" t="s">
        <v>2</v>
      </c>
      <c r="AQ22" s="12">
        <v>11.401999999999999</v>
      </c>
    </row>
    <row r="23" spans="2:43" x14ac:dyDescent="0.25">
      <c r="C23" s="2" t="s">
        <v>39</v>
      </c>
      <c r="D23" s="16">
        <f t="shared" ref="D23:S23" si="36">D12/D4</f>
        <v>0.16580148387788951</v>
      </c>
      <c r="E23" s="16">
        <f t="shared" si="36"/>
        <v>0.16695152672606611</v>
      </c>
      <c r="F23" s="16">
        <f t="shared" si="36"/>
        <v>0.15970330655449438</v>
      </c>
      <c r="G23" s="16">
        <f t="shared" si="36"/>
        <v>7.1747168997195326E-2</v>
      </c>
      <c r="H23" s="16">
        <f t="shared" si="36"/>
        <v>7.6485741401907198E-2</v>
      </c>
      <c r="I23" s="16">
        <f t="shared" si="36"/>
        <v>6.9823713910875135E-2</v>
      </c>
      <c r="J23" s="16">
        <f t="shared" si="36"/>
        <v>9.6952727916478437E-2</v>
      </c>
      <c r="K23" s="16">
        <f t="shared" si="36"/>
        <v>4.5159928113368698E-2</v>
      </c>
      <c r="L23" s="16">
        <f t="shared" si="36"/>
        <v>9.2432882998126548E-2</v>
      </c>
      <c r="M23" s="16">
        <f t="shared" si="36"/>
        <v>9.783206106870225E-2</v>
      </c>
      <c r="N23" s="16">
        <f t="shared" si="36"/>
        <v>7.3329527081164414E-2</v>
      </c>
      <c r="O23" s="16">
        <f t="shared" si="36"/>
        <v>8.4375795052241645E-2</v>
      </c>
      <c r="P23" s="16">
        <f t="shared" si="36"/>
        <v>8.888923266130129E-2</v>
      </c>
      <c r="Q23" s="16">
        <f t="shared" si="36"/>
        <v>6.7475820216195692E-2</v>
      </c>
      <c r="R23" s="16">
        <f t="shared" si="36"/>
        <v>0.11420183358739505</v>
      </c>
      <c r="S23" s="16">
        <f t="shared" si="36"/>
        <v>3.7013529618586151E-2</v>
      </c>
      <c r="V23" s="16">
        <f t="shared" ref="V23:AC23" si="37">V12/V4</f>
        <v>0.12003752219504843</v>
      </c>
      <c r="W23" s="16">
        <f t="shared" si="37"/>
        <v>0.11548019018291086</v>
      </c>
      <c r="X23" s="16">
        <f t="shared" si="37"/>
        <v>9.1847243736016035E-2</v>
      </c>
      <c r="Y23" s="16">
        <f t="shared" si="37"/>
        <v>7.9719592882504298E-2</v>
      </c>
      <c r="Z23" s="16">
        <f t="shared" si="37"/>
        <v>0.14939976155424647</v>
      </c>
      <c r="AA23" s="16">
        <f t="shared" si="37"/>
        <v>0.13987580722229401</v>
      </c>
      <c r="AB23" s="16">
        <f t="shared" si="37"/>
        <v>7.037504985136743E-2</v>
      </c>
      <c r="AC23" s="16">
        <f t="shared" si="37"/>
        <v>8.6047458415726391E-2</v>
      </c>
      <c r="AD23" s="16">
        <f>AD12/AD4</f>
        <v>7.6190476190476197E-2</v>
      </c>
      <c r="AE23" s="24">
        <f t="shared" ref="AE23:AN23" si="38">AE12/AE4</f>
        <v>8.0917450043663561E-2</v>
      </c>
      <c r="AF23" s="16">
        <f t="shared" si="38"/>
        <v>8.2656461361962988E-2</v>
      </c>
      <c r="AG23" s="16">
        <f t="shared" si="38"/>
        <v>8.4387821613808492E-2</v>
      </c>
      <c r="AH23" s="16">
        <f t="shared" si="38"/>
        <v>8.6111561233422965E-2</v>
      </c>
      <c r="AI23" s="16">
        <f t="shared" si="38"/>
        <v>8.7827710567241896E-2</v>
      </c>
      <c r="AJ23" s="16">
        <f t="shared" si="38"/>
        <v>8.9536299873787029E-2</v>
      </c>
      <c r="AK23" s="16">
        <f t="shared" si="38"/>
        <v>9.1237359323546374E-2</v>
      </c>
      <c r="AL23" s="16">
        <f t="shared" si="38"/>
        <v>9.2930918998858983E-2</v>
      </c>
      <c r="AM23" s="16">
        <f t="shared" si="38"/>
        <v>9.4617008893806753E-2</v>
      </c>
      <c r="AN23" s="16">
        <f t="shared" si="38"/>
        <v>9.6295658914110127E-2</v>
      </c>
      <c r="AP23" s="2" t="s">
        <v>108</v>
      </c>
      <c r="AQ23" s="28">
        <f>AQ21/AQ22</f>
        <v>95.138041044605572</v>
      </c>
    </row>
    <row r="24" spans="2:43" x14ac:dyDescent="0.25">
      <c r="C24" s="2" t="s">
        <v>67</v>
      </c>
      <c r="V24" s="16">
        <v>0.47199999999999998</v>
      </c>
      <c r="W24" s="16">
        <v>0.41799999999999998</v>
      </c>
      <c r="X24" s="16">
        <v>0.252</v>
      </c>
      <c r="Y24" s="16">
        <v>0.17199999999999999</v>
      </c>
      <c r="Z24" s="16">
        <v>0.374</v>
      </c>
      <c r="AA24" s="16">
        <v>0.35</v>
      </c>
      <c r="AB24" s="16">
        <v>0.156</v>
      </c>
      <c r="AC24" s="16">
        <v>0.20699999999999999</v>
      </c>
      <c r="AP24" s="1" t="s">
        <v>109</v>
      </c>
      <c r="AQ24" s="15">
        <f>(AQ23-B4)/B4</f>
        <v>0.90466548637848987</v>
      </c>
    </row>
    <row r="25" spans="2:43" x14ac:dyDescent="0.25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AB25" s="14"/>
    </row>
    <row r="26" spans="2:43" x14ac:dyDescent="0.25">
      <c r="C26" s="2" t="s">
        <v>75</v>
      </c>
      <c r="D26" s="2">
        <v>283</v>
      </c>
      <c r="E26" s="2">
        <v>245</v>
      </c>
      <c r="F26" s="2">
        <v>230</v>
      </c>
      <c r="G26" s="2">
        <v>228</v>
      </c>
      <c r="H26" s="2">
        <v>223</v>
      </c>
      <c r="I26" s="2">
        <v>167</v>
      </c>
      <c r="J26" s="2">
        <v>182</v>
      </c>
      <c r="K26" s="2">
        <v>256</v>
      </c>
      <c r="L26" s="2">
        <v>233</v>
      </c>
      <c r="M26" s="2">
        <v>208</v>
      </c>
      <c r="N26" s="2">
        <v>256</v>
      </c>
      <c r="O26" s="2">
        <v>238</v>
      </c>
      <c r="P26" s="2">
        <v>267</v>
      </c>
      <c r="Q26" s="2">
        <v>205</v>
      </c>
      <c r="R26" s="2">
        <v>224</v>
      </c>
      <c r="S26" s="2">
        <v>251</v>
      </c>
      <c r="AB26" s="14"/>
    </row>
    <row r="27" spans="2:43" x14ac:dyDescent="0.25">
      <c r="C27" s="2" t="s">
        <v>76</v>
      </c>
      <c r="D27" s="16"/>
      <c r="E27" s="16"/>
      <c r="F27" s="16"/>
      <c r="G27" s="16"/>
      <c r="H27" s="16">
        <f t="shared" ref="H27:Q27" si="39">(H26-D26)/D26</f>
        <v>-0.21201413427561838</v>
      </c>
      <c r="I27" s="16">
        <f t="shared" si="39"/>
        <v>-0.3183673469387755</v>
      </c>
      <c r="J27" s="16">
        <f t="shared" si="39"/>
        <v>-0.20869565217391303</v>
      </c>
      <c r="K27" s="16">
        <f t="shared" si="39"/>
        <v>0.12280701754385964</v>
      </c>
      <c r="L27" s="16">
        <f t="shared" si="39"/>
        <v>4.4843049327354258E-2</v>
      </c>
      <c r="M27" s="16">
        <f t="shared" si="39"/>
        <v>0.24550898203592814</v>
      </c>
      <c r="N27" s="16">
        <f t="shared" si="39"/>
        <v>0.40659340659340659</v>
      </c>
      <c r="O27" s="16">
        <f t="shared" si="39"/>
        <v>-7.03125E-2</v>
      </c>
      <c r="P27" s="16">
        <f t="shared" si="39"/>
        <v>0.14592274678111589</v>
      </c>
      <c r="Q27" s="16">
        <f t="shared" si="39"/>
        <v>-1.4423076923076924E-2</v>
      </c>
      <c r="R27" s="16">
        <f>(R26-N26)/N26</f>
        <v>-0.125</v>
      </c>
      <c r="S27" s="16">
        <f>(S26-O26)/O26</f>
        <v>5.4621848739495799E-2</v>
      </c>
      <c r="AB27" s="14"/>
    </row>
    <row r="28" spans="2:43" x14ac:dyDescent="0.25">
      <c r="T28" s="1"/>
      <c r="U28" s="1"/>
      <c r="V28" s="1"/>
      <c r="W28" s="1"/>
      <c r="X28" s="1"/>
      <c r="Y28" s="1"/>
      <c r="Z28" s="1"/>
      <c r="AA28" s="1"/>
      <c r="AB28" s="14"/>
      <c r="AC28" s="1"/>
    </row>
    <row r="29" spans="2:43" x14ac:dyDescent="0.25"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AB29" s="14"/>
    </row>
    <row r="30" spans="2:43" x14ac:dyDescent="0.25">
      <c r="C30" s="2" t="s">
        <v>68</v>
      </c>
      <c r="D30" s="14">
        <v>26.113</v>
      </c>
      <c r="E30" s="14">
        <v>26.594999999999999</v>
      </c>
      <c r="F30" s="14">
        <v>27.210999999999999</v>
      </c>
      <c r="G30" s="14">
        <v>38.619</v>
      </c>
      <c r="H30" s="14">
        <v>41.027000000000001</v>
      </c>
      <c r="I30" s="14">
        <v>43.841000000000001</v>
      </c>
      <c r="J30" s="14">
        <v>44.75</v>
      </c>
      <c r="K30" s="14">
        <v>47.988999999999997</v>
      </c>
      <c r="L30" s="14">
        <v>49.69</v>
      </c>
      <c r="M30" s="14">
        <v>51.417000000000002</v>
      </c>
      <c r="N30" s="14">
        <v>52</v>
      </c>
      <c r="O30" s="14">
        <v>53.207000000000001</v>
      </c>
      <c r="P30" s="14">
        <v>52.511000000000003</v>
      </c>
      <c r="Q30" s="14">
        <v>52.417999999999999</v>
      </c>
      <c r="R30" s="14">
        <v>52.953000000000003</v>
      </c>
      <c r="S30" s="14">
        <v>54.305</v>
      </c>
      <c r="AB30" s="14"/>
    </row>
    <row r="31" spans="2:43" x14ac:dyDescent="0.25">
      <c r="C31" s="2" t="s">
        <v>69</v>
      </c>
      <c r="D31" s="14">
        <v>129.577</v>
      </c>
      <c r="E31" s="14">
        <v>130.63800000000001</v>
      </c>
      <c r="F31" s="14">
        <v>130.85499999999999</v>
      </c>
      <c r="G31" s="14">
        <v>122.914</v>
      </c>
      <c r="H31" s="14">
        <v>119.709</v>
      </c>
      <c r="I31" s="14">
        <v>119.547</v>
      </c>
      <c r="J31" s="14">
        <v>126.788</v>
      </c>
      <c r="K31" s="14">
        <v>120.495</v>
      </c>
      <c r="L31" s="14">
        <v>121.307</v>
      </c>
      <c r="M31" s="14">
        <v>113.806</v>
      </c>
      <c r="N31" s="14">
        <v>123.14100000000001</v>
      </c>
      <c r="O31" s="14">
        <v>146.102</v>
      </c>
      <c r="P31" s="14">
        <v>135.08699999999999</v>
      </c>
      <c r="Q31" s="14">
        <v>131.16749999999999</v>
      </c>
      <c r="R31" s="14">
        <v>125.545</v>
      </c>
      <c r="S31" s="14">
        <v>138.917</v>
      </c>
      <c r="AB31" s="14"/>
    </row>
    <row r="32" spans="2:43" x14ac:dyDescent="0.25">
      <c r="C32" s="2" t="s">
        <v>70</v>
      </c>
      <c r="D32" s="14">
        <v>169.69399999999999</v>
      </c>
      <c r="E32" s="14">
        <v>206.03100000000001</v>
      </c>
      <c r="F32" s="14">
        <v>213.01499999999999</v>
      </c>
      <c r="G32" s="14">
        <v>212.13</v>
      </c>
      <c r="H32" s="14">
        <v>202.322</v>
      </c>
      <c r="I32" s="14">
        <v>192.41800000000001</v>
      </c>
      <c r="J32" s="14">
        <v>181.10400000000001</v>
      </c>
      <c r="K32" s="14">
        <v>165.81299999999999</v>
      </c>
      <c r="L32" s="14">
        <v>166.17599999999999</v>
      </c>
      <c r="M32" s="14">
        <v>156.05699999999999</v>
      </c>
      <c r="N32" s="14">
        <v>158.10900000000001</v>
      </c>
      <c r="O32" s="14">
        <v>170.55199999999999</v>
      </c>
      <c r="P32" s="14">
        <v>158.501</v>
      </c>
      <c r="Q32" s="14">
        <v>150.30500000000001</v>
      </c>
      <c r="R32" s="14">
        <v>148.393</v>
      </c>
      <c r="S32" s="14">
        <v>143.971</v>
      </c>
      <c r="AB32" s="14"/>
    </row>
    <row r="33" spans="3:30" x14ac:dyDescent="0.25">
      <c r="C33" s="2" t="s">
        <v>71</v>
      </c>
      <c r="D33" s="14">
        <v>144.125</v>
      </c>
      <c r="E33" s="14">
        <v>148.40600000000001</v>
      </c>
      <c r="F33" s="14">
        <v>131.80600000000001</v>
      </c>
      <c r="G33" s="14">
        <v>99</v>
      </c>
      <c r="H33" s="14">
        <v>120.749</v>
      </c>
      <c r="I33" s="14">
        <v>120.355</v>
      </c>
      <c r="J33" s="14">
        <v>124.748</v>
      </c>
      <c r="K33" s="14">
        <v>106.363</v>
      </c>
      <c r="L33" s="14">
        <v>147.32</v>
      </c>
      <c r="M33" s="14">
        <v>132.63999999999999</v>
      </c>
      <c r="N33" s="14">
        <v>129.54499999999999</v>
      </c>
      <c r="O33" s="14">
        <v>85.471000000000004</v>
      </c>
      <c r="P33" s="14">
        <v>114.345</v>
      </c>
      <c r="Q33" s="14">
        <v>96.498999999999995</v>
      </c>
      <c r="R33" s="14">
        <v>110.036</v>
      </c>
      <c r="S33" s="14">
        <v>91.71</v>
      </c>
      <c r="AB33" s="14"/>
    </row>
    <row r="34" spans="3:30" x14ac:dyDescent="0.25">
      <c r="C34" s="2" t="s">
        <v>72</v>
      </c>
      <c r="D34" s="14">
        <v>27.628</v>
      </c>
      <c r="E34" s="14">
        <v>32.185000000000002</v>
      </c>
      <c r="F34" s="14">
        <v>37.465000000000003</v>
      </c>
      <c r="G34" s="14">
        <v>28.222000000000001</v>
      </c>
      <c r="H34" s="14">
        <v>38.043999999999997</v>
      </c>
      <c r="I34" s="14">
        <v>43.703000000000003</v>
      </c>
      <c r="J34" s="14">
        <v>40.192</v>
      </c>
      <c r="K34" s="14">
        <v>32.47</v>
      </c>
      <c r="L34" s="14">
        <v>39.959000000000003</v>
      </c>
      <c r="M34" s="14">
        <v>37.700000000000003</v>
      </c>
      <c r="N34" s="14">
        <v>34.911999999999999</v>
      </c>
      <c r="O34" s="14">
        <v>41.345999999999997</v>
      </c>
      <c r="P34" s="14">
        <v>42.987000000000002</v>
      </c>
      <c r="Q34" s="14">
        <v>44.896999999999998</v>
      </c>
      <c r="R34" s="14">
        <v>49.56</v>
      </c>
      <c r="S34" s="14">
        <v>45.167000000000002</v>
      </c>
      <c r="AB34" s="14"/>
    </row>
    <row r="35" spans="3:30" x14ac:dyDescent="0.25">
      <c r="C35" s="2" t="s">
        <v>73</v>
      </c>
      <c r="D35" s="14">
        <v>105.83799999999999</v>
      </c>
      <c r="E35" s="14">
        <v>112.505</v>
      </c>
      <c r="F35" s="14">
        <v>115.395</v>
      </c>
      <c r="G35" s="14">
        <v>113.08499999999999</v>
      </c>
      <c r="H35" s="14">
        <v>119.727</v>
      </c>
      <c r="I35" s="14">
        <v>98.442999999999998</v>
      </c>
      <c r="J35" s="14">
        <v>108.645</v>
      </c>
      <c r="K35" s="14">
        <v>104.714</v>
      </c>
      <c r="L35" s="14">
        <v>79.259</v>
      </c>
      <c r="M35" s="14">
        <v>87.593999999999994</v>
      </c>
      <c r="N35" s="14">
        <v>107.949</v>
      </c>
      <c r="O35" s="14">
        <v>100.81399999999999</v>
      </c>
      <c r="P35" s="14">
        <v>98.608000000000004</v>
      </c>
      <c r="Q35" s="14">
        <v>104.273</v>
      </c>
      <c r="R35" s="14">
        <v>118.711</v>
      </c>
      <c r="S35" s="14">
        <v>101.682</v>
      </c>
      <c r="AB35" s="14"/>
    </row>
    <row r="36" spans="3:30" x14ac:dyDescent="0.25">
      <c r="C36" s="1" t="s">
        <v>74</v>
      </c>
      <c r="D36" s="13">
        <f t="shared" ref="D36:R36" si="40">SUM(D30:D35)</f>
        <v>602.97500000000002</v>
      </c>
      <c r="E36" s="13">
        <f t="shared" si="40"/>
        <v>656.36</v>
      </c>
      <c r="F36" s="13">
        <f t="shared" si="40"/>
        <v>655.74699999999996</v>
      </c>
      <c r="G36" s="13">
        <f t="shared" si="40"/>
        <v>613.97</v>
      </c>
      <c r="H36" s="13">
        <f t="shared" si="40"/>
        <v>641.57799999999997</v>
      </c>
      <c r="I36" s="13">
        <f t="shared" si="40"/>
        <v>618.30700000000002</v>
      </c>
      <c r="J36" s="13">
        <f t="shared" si="40"/>
        <v>626.22699999999998</v>
      </c>
      <c r="K36" s="13">
        <f t="shared" si="40"/>
        <v>577.84400000000005</v>
      </c>
      <c r="L36" s="13">
        <f t="shared" si="40"/>
        <v>603.71100000000001</v>
      </c>
      <c r="M36" s="13">
        <f t="shared" si="40"/>
        <v>579.21399999999994</v>
      </c>
      <c r="N36" s="13">
        <f t="shared" si="40"/>
        <v>605.65599999999995</v>
      </c>
      <c r="O36" s="13">
        <f t="shared" si="40"/>
        <v>597.49199999999996</v>
      </c>
      <c r="P36" s="13">
        <f t="shared" si="40"/>
        <v>602.03899999999999</v>
      </c>
      <c r="Q36" s="13">
        <f t="shared" si="40"/>
        <v>579.55949999999996</v>
      </c>
      <c r="R36" s="13">
        <f t="shared" si="40"/>
        <v>605.19799999999998</v>
      </c>
      <c r="S36" s="13">
        <f>SUM(S30:S35)</f>
        <v>575.75199999999995</v>
      </c>
      <c r="T36" s="1"/>
      <c r="U36" s="1"/>
      <c r="AB36" s="22"/>
    </row>
    <row r="37" spans="3:30" x14ac:dyDescent="0.25">
      <c r="C37" s="2" t="s">
        <v>78</v>
      </c>
      <c r="D37" s="14">
        <v>306.78300000000002</v>
      </c>
      <c r="E37" s="14">
        <v>297.08800000000002</v>
      </c>
      <c r="F37" s="14">
        <v>333.28800000000001</v>
      </c>
      <c r="G37" s="14">
        <v>333.21899999999999</v>
      </c>
      <c r="H37" s="14">
        <v>344.72500000000002</v>
      </c>
      <c r="I37" s="14">
        <v>300.01499999999999</v>
      </c>
      <c r="J37" s="14">
        <v>305.61799999999999</v>
      </c>
      <c r="K37" s="14">
        <v>294.822</v>
      </c>
      <c r="L37" s="14">
        <v>322.18400000000003</v>
      </c>
      <c r="M37" s="14">
        <v>323.12299999999999</v>
      </c>
      <c r="N37" s="14">
        <v>325.625</v>
      </c>
      <c r="O37" s="14">
        <v>350.38900000000001</v>
      </c>
      <c r="P37" s="14">
        <v>343.553</v>
      </c>
      <c r="Q37" s="14">
        <v>331.98</v>
      </c>
      <c r="R37" s="14">
        <v>346.05399999999997</v>
      </c>
      <c r="S37" s="14">
        <v>344.24</v>
      </c>
    </row>
    <row r="38" spans="3:30" x14ac:dyDescent="0.25">
      <c r="C38" s="7" t="s">
        <v>79</v>
      </c>
      <c r="D38" s="17">
        <f t="shared" ref="D38:R38" si="41">D37</f>
        <v>306.78300000000002</v>
      </c>
      <c r="E38" s="17">
        <f t="shared" si="41"/>
        <v>297.08800000000002</v>
      </c>
      <c r="F38" s="17">
        <f t="shared" si="41"/>
        <v>333.28800000000001</v>
      </c>
      <c r="G38" s="17">
        <f t="shared" si="41"/>
        <v>333.21899999999999</v>
      </c>
      <c r="H38" s="17">
        <f t="shared" si="41"/>
        <v>344.72500000000002</v>
      </c>
      <c r="I38" s="17">
        <f t="shared" si="41"/>
        <v>300.01499999999999</v>
      </c>
      <c r="J38" s="17">
        <f t="shared" si="41"/>
        <v>305.61799999999999</v>
      </c>
      <c r="K38" s="17">
        <f t="shared" si="41"/>
        <v>294.822</v>
      </c>
      <c r="L38" s="17">
        <f t="shared" si="41"/>
        <v>322.18400000000003</v>
      </c>
      <c r="M38" s="17">
        <f t="shared" si="41"/>
        <v>323.12299999999999</v>
      </c>
      <c r="N38" s="17">
        <f t="shared" si="41"/>
        <v>325.625</v>
      </c>
      <c r="O38" s="17">
        <f t="shared" si="41"/>
        <v>350.38900000000001</v>
      </c>
      <c r="P38" s="17">
        <f t="shared" si="41"/>
        <v>343.553</v>
      </c>
      <c r="Q38" s="17">
        <f t="shared" si="41"/>
        <v>331.98</v>
      </c>
      <c r="R38" s="17">
        <f t="shared" si="41"/>
        <v>346.05399999999997</v>
      </c>
      <c r="S38" s="17">
        <f>S37</f>
        <v>344.24</v>
      </c>
    </row>
    <row r="39" spans="3:30" x14ac:dyDescent="0.25">
      <c r="C39" s="2" t="s">
        <v>80</v>
      </c>
      <c r="D39" s="14">
        <v>41.85</v>
      </c>
      <c r="E39" s="14">
        <v>43.265999999999998</v>
      </c>
      <c r="F39" s="14">
        <v>43.601999999999997</v>
      </c>
      <c r="G39" s="14">
        <v>30.748000000000001</v>
      </c>
      <c r="H39" s="14">
        <v>29.158000000000001</v>
      </c>
      <c r="I39" s="14">
        <v>29.724</v>
      </c>
      <c r="J39" s="14">
        <v>39.174999999999997</v>
      </c>
      <c r="K39" s="14">
        <v>31</v>
      </c>
      <c r="L39" s="14">
        <v>6.4779999999999998</v>
      </c>
      <c r="M39" s="14">
        <v>4.907</v>
      </c>
      <c r="N39" s="14">
        <v>9.2780000000000005</v>
      </c>
      <c r="O39" s="14">
        <v>23.155999999999999</v>
      </c>
      <c r="P39" s="14">
        <v>39</v>
      </c>
      <c r="Q39" s="14">
        <v>16.798999999999999</v>
      </c>
      <c r="R39" s="14">
        <v>14.741</v>
      </c>
      <c r="S39" s="14">
        <v>13.656000000000001</v>
      </c>
    </row>
    <row r="40" spans="3:30" x14ac:dyDescent="0.25">
      <c r="C40" s="2" t="s">
        <v>81</v>
      </c>
      <c r="D40" s="14">
        <v>5.6109999999999998</v>
      </c>
      <c r="E40" s="14">
        <v>5.6479999999999997</v>
      </c>
      <c r="F40" s="14">
        <v>5.37</v>
      </c>
      <c r="G40" s="14">
        <v>7</v>
      </c>
      <c r="H40" s="14">
        <v>15.211</v>
      </c>
      <c r="I40" s="14">
        <v>6.9630000000000001</v>
      </c>
      <c r="J40" s="14">
        <v>6.7389999999999999</v>
      </c>
      <c r="K40" s="14">
        <v>6.3789999999999996</v>
      </c>
      <c r="L40" s="14">
        <v>6.1890000000000001</v>
      </c>
      <c r="M40" s="14">
        <v>5.9560000000000004</v>
      </c>
      <c r="N40" s="14">
        <v>5.9379999999999997</v>
      </c>
      <c r="O40" s="14">
        <v>6.6529999999999996</v>
      </c>
      <c r="P40" s="14">
        <v>6.2720000000000002</v>
      </c>
      <c r="Q40" s="14">
        <v>5.4489999999999998</v>
      </c>
      <c r="R40" s="14">
        <v>5.3710000000000004</v>
      </c>
      <c r="S40" s="14">
        <v>4.694</v>
      </c>
    </row>
    <row r="41" spans="3:30" x14ac:dyDescent="0.25">
      <c r="C41" s="2" t="s">
        <v>82</v>
      </c>
      <c r="D41" s="14">
        <v>29.486000000000001</v>
      </c>
      <c r="E41" s="14">
        <v>64.608999999999995</v>
      </c>
      <c r="F41" s="14">
        <v>55.377000000000002</v>
      </c>
      <c r="G41" s="14">
        <v>64.872</v>
      </c>
      <c r="H41" s="14">
        <v>65.200999999999993</v>
      </c>
      <c r="I41" s="14">
        <v>110.907</v>
      </c>
      <c r="J41" s="14">
        <v>90.965000000000003</v>
      </c>
      <c r="K41" s="14">
        <v>80.477999999999994</v>
      </c>
      <c r="L41" s="14">
        <v>84.92</v>
      </c>
      <c r="M41" s="14">
        <v>79.097999999999999</v>
      </c>
      <c r="N41" s="14">
        <v>87.997</v>
      </c>
      <c r="O41" s="14">
        <v>58.408000000000001</v>
      </c>
      <c r="P41" s="14">
        <v>55.768999999999998</v>
      </c>
      <c r="Q41" s="14">
        <v>5.4489999999999998</v>
      </c>
      <c r="R41" s="14">
        <v>72.91</v>
      </c>
      <c r="S41" s="14">
        <v>50.716999999999999</v>
      </c>
    </row>
    <row r="42" spans="3:30" x14ac:dyDescent="0.25">
      <c r="C42" s="2" t="s">
        <v>83</v>
      </c>
      <c r="D42" s="14">
        <v>219.245</v>
      </c>
      <c r="E42" s="14">
        <v>245.749</v>
      </c>
      <c r="F42" s="14">
        <v>218.11</v>
      </c>
      <c r="G42" s="14">
        <v>178.12200000000001</v>
      </c>
      <c r="H42" s="14">
        <v>187.29300000000001</v>
      </c>
      <c r="I42" s="14">
        <v>170.69</v>
      </c>
      <c r="J42" s="14">
        <v>183.73</v>
      </c>
      <c r="K42" s="14">
        <v>165.15600000000001</v>
      </c>
      <c r="L42" s="14">
        <v>183.94</v>
      </c>
      <c r="M42" s="14">
        <v>166.13</v>
      </c>
      <c r="N42" s="14">
        <v>176.88200000000001</v>
      </c>
      <c r="O42" s="14">
        <v>158.886</v>
      </c>
      <c r="P42" s="14">
        <v>157.352</v>
      </c>
      <c r="Q42" s="14">
        <v>77.715999999999994</v>
      </c>
      <c r="R42" s="14">
        <v>166.12200000000001</v>
      </c>
      <c r="S42" s="14">
        <v>162.44499999999999</v>
      </c>
    </row>
    <row r="43" spans="3:30" x14ac:dyDescent="0.25">
      <c r="C43" s="7" t="s">
        <v>84</v>
      </c>
      <c r="D43" s="17">
        <f t="shared" ref="D43:R43" si="42">SUM(D39:D42)</f>
        <v>296.19200000000001</v>
      </c>
      <c r="E43" s="17">
        <f t="shared" si="42"/>
        <v>359.27199999999999</v>
      </c>
      <c r="F43" s="17">
        <f t="shared" si="42"/>
        <v>322.459</v>
      </c>
      <c r="G43" s="17">
        <f t="shared" si="42"/>
        <v>280.74200000000002</v>
      </c>
      <c r="H43" s="17">
        <f t="shared" si="42"/>
        <v>296.863</v>
      </c>
      <c r="I43" s="17">
        <f t="shared" si="42"/>
        <v>318.28399999999999</v>
      </c>
      <c r="J43" s="17">
        <f t="shared" si="42"/>
        <v>320.60899999999998</v>
      </c>
      <c r="K43" s="17">
        <f t="shared" si="42"/>
        <v>283.01300000000003</v>
      </c>
      <c r="L43" s="17">
        <f t="shared" si="42"/>
        <v>281.52699999999999</v>
      </c>
      <c r="M43" s="17">
        <f t="shared" si="42"/>
        <v>256.09100000000001</v>
      </c>
      <c r="N43" s="17">
        <f t="shared" si="42"/>
        <v>280.09500000000003</v>
      </c>
      <c r="O43" s="17">
        <f t="shared" si="42"/>
        <v>247.10300000000001</v>
      </c>
      <c r="P43" s="17">
        <f t="shared" si="42"/>
        <v>258.39300000000003</v>
      </c>
      <c r="Q43" s="17">
        <v>147.613</v>
      </c>
      <c r="R43" s="17">
        <f t="shared" si="42"/>
        <v>259.14400000000001</v>
      </c>
      <c r="S43" s="17">
        <f>SUM(S39:S42)</f>
        <v>231.512</v>
      </c>
    </row>
    <row r="44" spans="3:30" x14ac:dyDescent="0.25">
      <c r="C44" s="1" t="s">
        <v>85</v>
      </c>
      <c r="D44" s="13">
        <f t="shared" ref="D44:R44" si="43">D38+D43</f>
        <v>602.97500000000002</v>
      </c>
      <c r="E44" s="13">
        <f t="shared" si="43"/>
        <v>656.36</v>
      </c>
      <c r="F44" s="13">
        <f t="shared" si="43"/>
        <v>655.74700000000007</v>
      </c>
      <c r="G44" s="13">
        <f t="shared" si="43"/>
        <v>613.96100000000001</v>
      </c>
      <c r="H44" s="13">
        <f t="shared" si="43"/>
        <v>641.58799999999997</v>
      </c>
      <c r="I44" s="13">
        <f t="shared" si="43"/>
        <v>618.29899999999998</v>
      </c>
      <c r="J44" s="13">
        <f t="shared" si="43"/>
        <v>626.22699999999998</v>
      </c>
      <c r="K44" s="13">
        <f t="shared" si="43"/>
        <v>577.83500000000004</v>
      </c>
      <c r="L44" s="13">
        <f t="shared" si="43"/>
        <v>603.71100000000001</v>
      </c>
      <c r="M44" s="13">
        <f t="shared" si="43"/>
        <v>579.21399999999994</v>
      </c>
      <c r="N44" s="13">
        <f t="shared" si="43"/>
        <v>605.72</v>
      </c>
      <c r="O44" s="13">
        <f t="shared" si="43"/>
        <v>597.49199999999996</v>
      </c>
      <c r="P44" s="13">
        <f t="shared" si="43"/>
        <v>601.94600000000003</v>
      </c>
      <c r="Q44" s="13">
        <f t="shared" si="43"/>
        <v>479.59300000000002</v>
      </c>
      <c r="R44" s="13">
        <f t="shared" si="43"/>
        <v>605.19799999999998</v>
      </c>
      <c r="S44" s="13">
        <f>S38+S43</f>
        <v>575.75199999999995</v>
      </c>
      <c r="T44" s="7"/>
    </row>
    <row r="45" spans="3:30" x14ac:dyDescent="0.25">
      <c r="T45" s="1"/>
    </row>
    <row r="46" spans="3:30" x14ac:dyDescent="0.25">
      <c r="C46" s="1" t="s">
        <v>86</v>
      </c>
    </row>
    <row r="47" spans="3:30" x14ac:dyDescent="0.25">
      <c r="C47" s="2" t="s">
        <v>87</v>
      </c>
      <c r="D47" s="14">
        <f t="shared" ref="D47:R47" si="44">D12</f>
        <v>40.179999999999986</v>
      </c>
      <c r="E47" s="14">
        <f t="shared" si="44"/>
        <v>44.932999999999979</v>
      </c>
      <c r="F47" s="14">
        <f t="shared" si="44"/>
        <v>37.055000000000007</v>
      </c>
      <c r="G47" s="14">
        <f t="shared" si="44"/>
        <v>14.299999999999999</v>
      </c>
      <c r="H47" s="14">
        <f t="shared" si="44"/>
        <v>16.924000000000007</v>
      </c>
      <c r="I47" s="14">
        <f t="shared" si="44"/>
        <v>16.07299999999999</v>
      </c>
      <c r="J47" s="14">
        <f t="shared" si="44"/>
        <v>20.811000000000014</v>
      </c>
      <c r="K47" s="14">
        <f t="shared" si="44"/>
        <v>9.1969999999999885</v>
      </c>
      <c r="L47" s="14">
        <f t="shared" si="44"/>
        <v>22.399999999999991</v>
      </c>
      <c r="M47" s="14">
        <f t="shared" si="44"/>
        <v>25.631999999999991</v>
      </c>
      <c r="N47" s="14">
        <f t="shared" si="44"/>
        <v>15.284000000000017</v>
      </c>
      <c r="O47" s="14">
        <f t="shared" si="44"/>
        <v>19.566999999999993</v>
      </c>
      <c r="P47" s="14">
        <f t="shared" si="44"/>
        <v>22.984000000000016</v>
      </c>
      <c r="Q47" s="14">
        <f t="shared" si="44"/>
        <v>16.010999999999996</v>
      </c>
      <c r="R47" s="14">
        <f t="shared" si="44"/>
        <v>26.295999999999996</v>
      </c>
      <c r="S47" s="14">
        <f>S12</f>
        <v>8.1059999999999857</v>
      </c>
      <c r="U47" s="14"/>
      <c r="V47" s="14">
        <f t="shared" ref="V47:AD47" si="45">V12</f>
        <v>82.40900000000002</v>
      </c>
      <c r="W47" s="14">
        <f t="shared" si="45"/>
        <v>85.275999999999982</v>
      </c>
      <c r="X47" s="14">
        <f t="shared" si="45"/>
        <v>66.173000000000002</v>
      </c>
      <c r="Y47" s="14">
        <f t="shared" si="45"/>
        <v>50.810000000000059</v>
      </c>
      <c r="Z47" s="14">
        <f t="shared" si="45"/>
        <v>119.54700000000005</v>
      </c>
      <c r="AA47" s="14">
        <f t="shared" si="45"/>
        <v>136.41500000000002</v>
      </c>
      <c r="AB47" s="14">
        <f t="shared" si="45"/>
        <v>62.996999999999922</v>
      </c>
      <c r="AC47" s="14">
        <f t="shared" si="45"/>
        <v>82.851999999999975</v>
      </c>
      <c r="AD47" s="14">
        <f t="shared" si="45"/>
        <v>72</v>
      </c>
    </row>
    <row r="48" spans="3:30" x14ac:dyDescent="0.25">
      <c r="C48" s="2" t="s">
        <v>88</v>
      </c>
      <c r="D48" s="14">
        <v>40</v>
      </c>
      <c r="E48" s="14">
        <v>45</v>
      </c>
      <c r="F48" s="14">
        <v>37</v>
      </c>
      <c r="G48" s="14">
        <v>14.3</v>
      </c>
      <c r="H48" s="14">
        <v>17</v>
      </c>
      <c r="I48" s="14">
        <v>16</v>
      </c>
      <c r="J48" s="14">
        <v>21</v>
      </c>
      <c r="K48" s="14">
        <v>9</v>
      </c>
      <c r="L48" s="14">
        <v>22.466000000000001</v>
      </c>
      <c r="M48" s="14">
        <v>26</v>
      </c>
      <c r="N48" s="14">
        <v>15</v>
      </c>
      <c r="O48" s="14">
        <v>20</v>
      </c>
      <c r="P48" s="14">
        <v>23</v>
      </c>
      <c r="Q48" s="14">
        <v>16</v>
      </c>
      <c r="R48" s="14">
        <v>26</v>
      </c>
      <c r="S48" s="14">
        <v>8.1050000000000004</v>
      </c>
      <c r="U48" s="14"/>
      <c r="V48" s="14">
        <v>82.409000000000006</v>
      </c>
      <c r="W48" s="14">
        <v>85</v>
      </c>
      <c r="X48" s="14">
        <v>66</v>
      </c>
      <c r="Y48" s="14">
        <v>51</v>
      </c>
      <c r="Z48" s="14">
        <v>120</v>
      </c>
      <c r="AA48" s="14">
        <v>136</v>
      </c>
      <c r="AB48" s="14">
        <v>63</v>
      </c>
      <c r="AC48" s="14">
        <v>83</v>
      </c>
      <c r="AD48" s="2">
        <v>73</v>
      </c>
    </row>
    <row r="49" spans="3:30" x14ac:dyDescent="0.25">
      <c r="C49" s="2" t="s">
        <v>58</v>
      </c>
      <c r="D49" s="14">
        <v>6.9130000000000003</v>
      </c>
      <c r="E49" s="14">
        <v>7.78</v>
      </c>
      <c r="F49" s="14">
        <v>8.3840000000000003</v>
      </c>
      <c r="G49" s="14">
        <v>6.87</v>
      </c>
      <c r="H49" s="14">
        <v>7.34</v>
      </c>
      <c r="I49" s="14">
        <v>7.7809999999999997</v>
      </c>
      <c r="J49" s="14">
        <v>8.4559999999999995</v>
      </c>
      <c r="K49" s="14">
        <v>7.6180000000000003</v>
      </c>
      <c r="L49" s="14">
        <v>8.2799999999999994</v>
      </c>
      <c r="M49" s="14">
        <v>8.2200000000000006</v>
      </c>
      <c r="N49" s="14">
        <v>8.6199999999999992</v>
      </c>
      <c r="O49" s="14">
        <v>9.4459999999999997</v>
      </c>
      <c r="P49" s="14">
        <v>8.4990000000000006</v>
      </c>
      <c r="Q49" s="14">
        <v>8.3309999999999995</v>
      </c>
      <c r="R49" s="14">
        <v>8.2520000000000007</v>
      </c>
      <c r="S49" s="14">
        <v>6.9790000000000001</v>
      </c>
      <c r="U49" s="14"/>
      <c r="V49" s="14">
        <v>6.2869999999999999</v>
      </c>
      <c r="W49" s="14">
        <v>8.3661999999999992</v>
      </c>
      <c r="X49" s="14">
        <v>24.6</v>
      </c>
      <c r="Y49" s="14">
        <v>25.853999999999999</v>
      </c>
      <c r="Z49" s="14">
        <v>25.940999999999999</v>
      </c>
      <c r="AA49" s="14">
        <v>29.920999999999999</v>
      </c>
      <c r="AB49" s="14">
        <v>31.195</v>
      </c>
      <c r="AC49" s="14">
        <v>34.566000000000003</v>
      </c>
      <c r="AD49" s="2">
        <v>32</v>
      </c>
    </row>
    <row r="50" spans="3:30" x14ac:dyDescent="0.25">
      <c r="C50" s="2" t="s">
        <v>89</v>
      </c>
      <c r="D50" s="14">
        <v>-4.3570000000000002</v>
      </c>
      <c r="E50" s="14">
        <v>-5.5350000000000001</v>
      </c>
      <c r="F50" s="14">
        <f>-5.963-0.709</f>
        <v>-6.6719999999999997</v>
      </c>
      <c r="G50" s="14">
        <v>-3.2559999999999998</v>
      </c>
      <c r="H50" s="14">
        <v>-6.1710000000000003</v>
      </c>
      <c r="I50" s="14">
        <v>-7.423</v>
      </c>
      <c r="J50" s="14">
        <v>-5.8159999999999998</v>
      </c>
      <c r="K50" s="14">
        <v>-2.4460000000000002</v>
      </c>
      <c r="L50" s="14">
        <v>7.4999999999999997E-2</v>
      </c>
      <c r="M50" s="14">
        <v>-0.3</v>
      </c>
      <c r="N50" s="14">
        <v>-1.843</v>
      </c>
      <c r="O50" s="14">
        <v>1.788</v>
      </c>
      <c r="P50" s="14">
        <v>-1.629</v>
      </c>
      <c r="Q50" s="14">
        <v>-1.587</v>
      </c>
      <c r="R50" s="14">
        <v>-0.60499999999999998</v>
      </c>
      <c r="S50" s="14">
        <v>-1.69</v>
      </c>
      <c r="U50" s="14"/>
      <c r="V50" s="14">
        <v>3</v>
      </c>
      <c r="W50" s="14">
        <v>1</v>
      </c>
      <c r="X50" s="14">
        <v>-16.623000000000001</v>
      </c>
      <c r="Y50" s="14">
        <v>-15.663</v>
      </c>
      <c r="Z50" s="14">
        <v>-18.399999999999999</v>
      </c>
      <c r="AA50" s="14">
        <v>-23.864999999999998</v>
      </c>
      <c r="AB50" s="14">
        <v>-7</v>
      </c>
      <c r="AC50" s="14">
        <v>-0.28699999999999998</v>
      </c>
      <c r="AD50" s="2">
        <v>-6</v>
      </c>
    </row>
    <row r="51" spans="3:30" x14ac:dyDescent="0.25">
      <c r="C51" s="2" t="s">
        <v>90</v>
      </c>
      <c r="D51" s="14">
        <v>0.159</v>
      </c>
      <c r="E51" s="14">
        <v>0.30199999999999999</v>
      </c>
      <c r="F51" s="14">
        <v>0.124</v>
      </c>
      <c r="G51" s="14">
        <v>0.16</v>
      </c>
      <c r="H51" s="14">
        <v>0.15</v>
      </c>
      <c r="I51" s="14">
        <v>0.40500000000000003</v>
      </c>
      <c r="J51" s="14">
        <v>7.3999999999999996E-2</v>
      </c>
      <c r="K51" s="14">
        <v>1.696</v>
      </c>
      <c r="L51" s="14">
        <v>0.51200000000000001</v>
      </c>
      <c r="M51" s="14">
        <v>0.84199999999999997</v>
      </c>
      <c r="N51" s="14">
        <v>1.4</v>
      </c>
      <c r="O51" s="14">
        <v>1.0780000000000001</v>
      </c>
      <c r="P51" s="14">
        <v>0.59599999999999997</v>
      </c>
      <c r="Q51" s="14">
        <v>0.747</v>
      </c>
      <c r="R51" s="14">
        <v>0.52</v>
      </c>
      <c r="S51" s="14">
        <v>1.099</v>
      </c>
      <c r="U51" s="14"/>
      <c r="V51" s="14">
        <v>1</v>
      </c>
      <c r="W51" s="14">
        <v>0.59</v>
      </c>
      <c r="X51" s="14">
        <v>0.73399999999999999</v>
      </c>
      <c r="Y51" s="14">
        <v>0.60599999999999998</v>
      </c>
      <c r="Z51" s="14">
        <v>0.65400000000000003</v>
      </c>
      <c r="AA51" s="14">
        <v>0.745</v>
      </c>
      <c r="AB51" s="14">
        <v>2.3250000000000002</v>
      </c>
      <c r="AC51" s="14">
        <v>3.8340000000000001</v>
      </c>
      <c r="AD51" s="2">
        <v>3</v>
      </c>
    </row>
    <row r="52" spans="3:30" x14ac:dyDescent="0.25">
      <c r="C52" s="2" t="s">
        <v>91</v>
      </c>
      <c r="D52" s="14">
        <v>-0.17499999999999999</v>
      </c>
      <c r="E52" s="14">
        <v>-0.222</v>
      </c>
      <c r="F52" s="14">
        <v>-0.38400000000000001</v>
      </c>
      <c r="G52" s="14">
        <v>-0.69399999999999995</v>
      </c>
      <c r="H52" s="14">
        <v>-0.81899999999999995</v>
      </c>
      <c r="I52" s="14">
        <v>-1.1180000000000001</v>
      </c>
      <c r="J52" s="14">
        <v>-2</v>
      </c>
      <c r="K52" s="14">
        <v>-1.776</v>
      </c>
      <c r="L52" s="14">
        <v>-1.8540000000000001</v>
      </c>
      <c r="M52" s="14">
        <v>-1.413</v>
      </c>
      <c r="N52" s="14">
        <v>-1.3919999999999999</v>
      </c>
      <c r="O52" s="14">
        <v>-1.637</v>
      </c>
      <c r="P52" s="14">
        <v>-1</v>
      </c>
      <c r="Q52" s="14">
        <v>-0.98899999999999999</v>
      </c>
      <c r="R52" s="14">
        <v>-1.29</v>
      </c>
      <c r="S52" s="14">
        <v>-1.04</v>
      </c>
      <c r="U52" s="14"/>
      <c r="V52" s="14">
        <v>-1.218</v>
      </c>
      <c r="W52" s="14">
        <v>-1.98</v>
      </c>
      <c r="X52" s="14">
        <v>-1.5960000000000001</v>
      </c>
      <c r="Y52" s="14">
        <v>-2</v>
      </c>
      <c r="Z52" s="14">
        <v>-0.754</v>
      </c>
      <c r="AA52" s="14">
        <v>-1.3260000000000001</v>
      </c>
      <c r="AB52" s="14">
        <v>-6.2880000000000003</v>
      </c>
      <c r="AC52" s="14">
        <v>-6.2880000000000003</v>
      </c>
      <c r="AD52" s="2">
        <v>-4</v>
      </c>
    </row>
    <row r="53" spans="3:30" x14ac:dyDescent="0.25">
      <c r="C53" s="2" t="s">
        <v>92</v>
      </c>
      <c r="D53" s="14">
        <v>-3.7839999999999998</v>
      </c>
      <c r="E53" s="14">
        <v>-5.2320000000000002</v>
      </c>
      <c r="F53" s="14">
        <v>-4.657</v>
      </c>
      <c r="G53" s="14">
        <v>-19.18</v>
      </c>
      <c r="H53" s="14">
        <v>-0.437</v>
      </c>
      <c r="I53" s="14">
        <v>-2.8940000000000001</v>
      </c>
      <c r="J53" s="14">
        <v>-1.948</v>
      </c>
      <c r="K53" s="14">
        <v>-5.1100000000000003</v>
      </c>
      <c r="L53" s="14">
        <v>-5</v>
      </c>
      <c r="M53" s="14">
        <v>-4.8819999999999997</v>
      </c>
      <c r="N53" s="14">
        <v>1.2689999999999999</v>
      </c>
      <c r="O53" s="14">
        <v>-8.4849999999999994</v>
      </c>
      <c r="P53" s="14">
        <v>-4.55</v>
      </c>
      <c r="Q53" s="14">
        <v>-4</v>
      </c>
      <c r="R53" s="14">
        <v>-6.7530000000000001</v>
      </c>
      <c r="S53" s="14">
        <v>-2.0550000000000002</v>
      </c>
      <c r="U53" s="14"/>
      <c r="V53" s="14">
        <v>-19.831</v>
      </c>
      <c r="W53" s="14">
        <v>-15.372999999999999</v>
      </c>
      <c r="X53" s="14">
        <v>-13.612</v>
      </c>
      <c r="Y53" s="14">
        <v>-10.442</v>
      </c>
      <c r="Z53" s="14">
        <v>-12.529</v>
      </c>
      <c r="AA53" s="14">
        <v>-32.853000000000002</v>
      </c>
      <c r="AB53" s="14">
        <v>-23.2</v>
      </c>
      <c r="AC53" s="14">
        <v>-17.207999999999998</v>
      </c>
      <c r="AD53" s="2">
        <v>-17</v>
      </c>
    </row>
    <row r="54" spans="3:30" x14ac:dyDescent="0.25">
      <c r="C54" s="2" t="s">
        <v>93</v>
      </c>
      <c r="D54" s="14">
        <f>-23.736-29.11-6.996-6.448+20.393</f>
        <v>-45.897000000000006</v>
      </c>
      <c r="E54" s="14">
        <f>-26.177+5.689-4.557+9.697-2.911</f>
        <v>-18.259000000000004</v>
      </c>
      <c r="F54" s="14">
        <f>19.568-5-23.658-11.321</f>
        <v>-20.411000000000001</v>
      </c>
      <c r="G54" s="14">
        <f>-5.544+26.584+9.243-18.837-9</f>
        <v>2.4460000000000015</v>
      </c>
      <c r="H54" s="14">
        <f>8.587-21.807-9.822+13.141+2.7</f>
        <v>-7.2009999999999978</v>
      </c>
      <c r="I54" s="14">
        <f>12.95-0.708-5.659-1.225-30.468</f>
        <v>-25.11</v>
      </c>
      <c r="J54" s="14">
        <f>6.62+-3.585+3.511+8.592+9.432</f>
        <v>24.57</v>
      </c>
      <c r="K54" s="14">
        <f>3.537+7.659+7.722+4.86+0.327</f>
        <v>24.105</v>
      </c>
      <c r="L54" s="14">
        <f>4.495-34.72-7.489-8+21.629</f>
        <v>-24.084999999999997</v>
      </c>
      <c r="M54" s="14">
        <f>10.056+13.356+2.25+11.2-33.513</f>
        <v>3.3489999999999966</v>
      </c>
      <c r="N54" s="14">
        <f>-7.181-2+2.788+4.961+8.714</f>
        <v>7.282</v>
      </c>
      <c r="O54" s="14">
        <f>-3.583+21.642-0.542-11.516+4.379</f>
        <v>10.379999999999995</v>
      </c>
      <c r="P54" s="14">
        <f>-2.818-25.956-4.28+9.43-5.33</f>
        <v>-28.954000000000001</v>
      </c>
      <c r="Q54" s="14">
        <f>2.8+36.408-4.537+5.185-24.366</f>
        <v>15.490000000000002</v>
      </c>
      <c r="R54" s="14">
        <f>-0.476-3.587-11.151+23.8-4.681</f>
        <v>3.9050000000000002</v>
      </c>
      <c r="S54" s="14">
        <f>0.152-6.358+10.255-2.556+17.568</f>
        <v>19.061000000000003</v>
      </c>
      <c r="U54" s="14"/>
      <c r="V54" s="14">
        <f>-28.513-10.267+6.6+18.277+8.352</f>
        <v>-5.5509999999999984</v>
      </c>
      <c r="W54" s="14">
        <f>4.911-3.577-10.93+5.462-14</f>
        <v>-18.134</v>
      </c>
      <c r="X54" s="14">
        <f>-8.326+27.252+11.315-18.733-7.989</f>
        <v>3.5189999999999992</v>
      </c>
      <c r="Y54" s="14">
        <f>-0.293-12.993-0.752+24.176+15.474</f>
        <v>25.611999999999998</v>
      </c>
      <c r="Z54" s="14">
        <f>-37.684-35.278+0.692+32+4.5</f>
        <v>-35.769999999999996</v>
      </c>
      <c r="AA54" s="14">
        <f>-55.423+22.731-7.475-39.246-2.89</f>
        <v>-82.303000000000011</v>
      </c>
      <c r="AB54" s="14">
        <f>31.694-18.441-4.248+25.368-5.237</f>
        <v>29.135999999999996</v>
      </c>
      <c r="AC54" s="14">
        <f>3.787-1.723-2.984-3.5+1.209</f>
        <v>-3.2109999999999999</v>
      </c>
      <c r="AD54" s="2">
        <v>10</v>
      </c>
    </row>
    <row r="55" spans="3:30" x14ac:dyDescent="0.25">
      <c r="C55" s="1" t="s">
        <v>94</v>
      </c>
      <c r="D55" s="13">
        <f t="shared" ref="D55:R55" si="46">SUM(D48:D54)</f>
        <v>-7.1410000000000053</v>
      </c>
      <c r="E55" s="13">
        <f t="shared" si="46"/>
        <v>23.834</v>
      </c>
      <c r="F55" s="13">
        <f t="shared" si="46"/>
        <v>13.384</v>
      </c>
      <c r="G55" s="13">
        <f t="shared" si="46"/>
        <v>0.64600000000000435</v>
      </c>
      <c r="H55" s="13">
        <f t="shared" si="46"/>
        <v>9.8620000000000019</v>
      </c>
      <c r="I55" s="13">
        <f t="shared" si="46"/>
        <v>-12.359000000000002</v>
      </c>
      <c r="J55" s="13">
        <f t="shared" si="46"/>
        <v>44.335999999999999</v>
      </c>
      <c r="K55" s="13">
        <f t="shared" si="46"/>
        <v>33.087000000000003</v>
      </c>
      <c r="L55" s="13">
        <f t="shared" si="46"/>
        <v>0.39400000000000546</v>
      </c>
      <c r="M55" s="13">
        <f t="shared" si="46"/>
        <v>31.816000000000003</v>
      </c>
      <c r="N55" s="13">
        <f t="shared" si="46"/>
        <v>30.335999999999995</v>
      </c>
      <c r="O55" s="13">
        <f t="shared" si="46"/>
        <v>32.569999999999993</v>
      </c>
      <c r="P55" s="13">
        <f t="shared" si="46"/>
        <v>-4.0380000000000003</v>
      </c>
      <c r="Q55" s="13">
        <f t="shared" si="46"/>
        <v>33.992000000000004</v>
      </c>
      <c r="R55" s="13">
        <f t="shared" si="46"/>
        <v>30.029000000000011</v>
      </c>
      <c r="S55" s="13">
        <f>SUM(S48:S54)</f>
        <v>30.459000000000003</v>
      </c>
      <c r="T55" s="1"/>
      <c r="U55" s="14"/>
      <c r="V55" s="13">
        <f t="shared" ref="V55:AD55" si="47">SUM(V48:V54)</f>
        <v>66.096000000000004</v>
      </c>
      <c r="W55" s="13">
        <f t="shared" si="47"/>
        <v>59.469199999999987</v>
      </c>
      <c r="X55" s="13">
        <f t="shared" si="47"/>
        <v>63.021999999999977</v>
      </c>
      <c r="Y55" s="13">
        <f t="shared" si="47"/>
        <v>74.966999999999999</v>
      </c>
      <c r="Z55" s="13">
        <f t="shared" si="47"/>
        <v>79.141999999999996</v>
      </c>
      <c r="AA55" s="13">
        <f t="shared" si="47"/>
        <v>26.318999999999974</v>
      </c>
      <c r="AB55" s="13">
        <f t="shared" si="47"/>
        <v>89.167999999999992</v>
      </c>
      <c r="AC55" s="13">
        <f t="shared" si="47"/>
        <v>94.406000000000006</v>
      </c>
      <c r="AD55" s="13">
        <f t="shared" si="47"/>
        <v>91</v>
      </c>
    </row>
    <row r="56" spans="3:30" x14ac:dyDescent="0.25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3:30" x14ac:dyDescent="0.25">
      <c r="C57" s="2" t="s">
        <v>95</v>
      </c>
      <c r="D57" s="14">
        <f>-3</f>
        <v>-3</v>
      </c>
      <c r="E57" s="14">
        <f>-1.226-1.874</f>
        <v>-3.1</v>
      </c>
      <c r="F57" s="14">
        <f>-1.8-3.978</f>
        <v>-5.7780000000000005</v>
      </c>
      <c r="G57" s="14">
        <f>-1.784-2.629</f>
        <v>-4.4130000000000003</v>
      </c>
      <c r="H57" s="14">
        <v>-5</v>
      </c>
      <c r="I57" s="14">
        <f>-5</f>
        <v>-5</v>
      </c>
      <c r="J57" s="14">
        <f>-1.981-1.516</f>
        <v>-3.4969999999999999</v>
      </c>
      <c r="K57" s="14">
        <f>-4.384-1.217</f>
        <v>-5.6010000000000009</v>
      </c>
      <c r="L57" s="14">
        <f>-1.656-5.114</f>
        <v>-6.77</v>
      </c>
      <c r="M57" s="14">
        <f>-1.724-0.931</f>
        <v>-2.6550000000000002</v>
      </c>
      <c r="N57" s="14">
        <f>-4.144-0.623</f>
        <v>-4.7670000000000003</v>
      </c>
      <c r="O57" s="14">
        <f>-2-6.392</f>
        <v>-8.3919999999999995</v>
      </c>
      <c r="P57" s="14">
        <f>-0.815-1.782</f>
        <v>-2.597</v>
      </c>
      <c r="Q57" s="14">
        <f>-1.288-2.5</f>
        <v>-3.7880000000000003</v>
      </c>
      <c r="R57" s="14">
        <f>-1.181-2.702</f>
        <v>-3.883</v>
      </c>
      <c r="S57" s="14">
        <f>-1.359-18.072</f>
        <v>-19.430999999999997</v>
      </c>
      <c r="U57" s="14"/>
      <c r="V57" s="14">
        <v>-22</v>
      </c>
      <c r="W57" s="14">
        <v>-20</v>
      </c>
      <c r="X57" s="14">
        <f>-6.491-43.629</f>
        <v>-50.12</v>
      </c>
      <c r="Y57" s="14">
        <f>-5.398-5.2</f>
        <v>-10.597999999999999</v>
      </c>
      <c r="Z57" s="14">
        <f>-4.719-6.122</f>
        <v>-10.841000000000001</v>
      </c>
      <c r="AA57" s="14">
        <f>-6-10.572+6.29</f>
        <v>-10.282</v>
      </c>
      <c r="AB57" s="14">
        <f>-12.113-7</f>
        <v>-19.113</v>
      </c>
      <c r="AC57" s="14">
        <f>-9.626-13</f>
        <v>-22.625999999999998</v>
      </c>
      <c r="AD57" s="2">
        <v>-30</v>
      </c>
    </row>
    <row r="58" spans="3:30" x14ac:dyDescent="0.25">
      <c r="C58" s="2" t="s">
        <v>96</v>
      </c>
      <c r="D58" s="14">
        <v>0</v>
      </c>
      <c r="E58" s="14">
        <v>-0.50900000000000001</v>
      </c>
      <c r="F58" s="14">
        <f>1.1-0.776</f>
        <v>0.32400000000000007</v>
      </c>
      <c r="G58" s="14">
        <v>8</v>
      </c>
      <c r="H58" s="14">
        <v>0</v>
      </c>
      <c r="I58" s="14">
        <v>0</v>
      </c>
      <c r="J58" s="14">
        <v>0</v>
      </c>
      <c r="K58" s="14">
        <v>1.52</v>
      </c>
      <c r="L58" s="14">
        <v>-0.255</v>
      </c>
      <c r="M58" s="14">
        <v>8.7999999999999995E-2</v>
      </c>
      <c r="N58" s="14">
        <v>-1.4379999999999999</v>
      </c>
      <c r="O58" s="14">
        <v>2.0720000000000001</v>
      </c>
      <c r="P58" s="14">
        <v>0.29299999999999998</v>
      </c>
      <c r="Q58" s="14">
        <v>0.36199999999999999</v>
      </c>
      <c r="R58" s="14">
        <v>0.439</v>
      </c>
      <c r="S58" s="14">
        <v>-1.58</v>
      </c>
      <c r="U58" s="14"/>
      <c r="V58" s="14">
        <v>0</v>
      </c>
      <c r="W58" s="14">
        <v>-8.1</v>
      </c>
      <c r="X58" s="14">
        <v>-1.3</v>
      </c>
      <c r="Y58" s="14">
        <v>0.6</v>
      </c>
      <c r="Z58" s="14">
        <v>-0.89900000000000002</v>
      </c>
      <c r="AA58" s="14">
        <v>2</v>
      </c>
      <c r="AB58" s="14">
        <v>1.431</v>
      </c>
      <c r="AC58" s="14">
        <v>0.46899999999999997</v>
      </c>
      <c r="AD58" s="2">
        <v>0</v>
      </c>
    </row>
    <row r="59" spans="3:30" x14ac:dyDescent="0.25">
      <c r="C59" s="1" t="s">
        <v>97</v>
      </c>
      <c r="D59" s="13">
        <f t="shared" ref="D59:R59" si="48">SUM(D57:D58)</f>
        <v>-3</v>
      </c>
      <c r="E59" s="13">
        <f t="shared" si="48"/>
        <v>-3.609</v>
      </c>
      <c r="F59" s="13">
        <f t="shared" si="48"/>
        <v>-5.4540000000000006</v>
      </c>
      <c r="G59" s="13">
        <f t="shared" si="48"/>
        <v>3.5869999999999997</v>
      </c>
      <c r="H59" s="13">
        <f t="shared" si="48"/>
        <v>-5</v>
      </c>
      <c r="I59" s="13">
        <f t="shared" si="48"/>
        <v>-5</v>
      </c>
      <c r="J59" s="13">
        <f t="shared" si="48"/>
        <v>-3.4969999999999999</v>
      </c>
      <c r="K59" s="13">
        <f t="shared" si="48"/>
        <v>-4.0810000000000013</v>
      </c>
      <c r="L59" s="13">
        <f t="shared" si="48"/>
        <v>-7.0249999999999995</v>
      </c>
      <c r="M59" s="13">
        <f t="shared" si="48"/>
        <v>-2.5670000000000002</v>
      </c>
      <c r="N59" s="13">
        <f t="shared" si="48"/>
        <v>-6.2050000000000001</v>
      </c>
      <c r="O59" s="13">
        <f t="shared" si="48"/>
        <v>-6.3199999999999994</v>
      </c>
      <c r="P59" s="13">
        <f t="shared" si="48"/>
        <v>-2.3039999999999998</v>
      </c>
      <c r="Q59" s="13">
        <f t="shared" si="48"/>
        <v>-3.4260000000000002</v>
      </c>
      <c r="R59" s="13">
        <f t="shared" si="48"/>
        <v>-3.444</v>
      </c>
      <c r="S59" s="13">
        <f>SUM(S57:S58)</f>
        <v>-21.010999999999996</v>
      </c>
      <c r="U59" s="14"/>
      <c r="V59" s="13">
        <f t="shared" ref="V59:AD59" si="49">SUM(V57:V58)</f>
        <v>-22</v>
      </c>
      <c r="W59" s="13">
        <f t="shared" si="49"/>
        <v>-28.1</v>
      </c>
      <c r="X59" s="13">
        <f t="shared" si="49"/>
        <v>-51.419999999999995</v>
      </c>
      <c r="Y59" s="13">
        <f t="shared" si="49"/>
        <v>-9.9979999999999993</v>
      </c>
      <c r="Z59" s="13">
        <f t="shared" si="49"/>
        <v>-11.740000000000002</v>
      </c>
      <c r="AA59" s="13">
        <f t="shared" si="49"/>
        <v>-8.282</v>
      </c>
      <c r="AB59" s="13">
        <f t="shared" si="49"/>
        <v>-17.681999999999999</v>
      </c>
      <c r="AC59" s="13">
        <f t="shared" si="49"/>
        <v>-22.156999999999996</v>
      </c>
      <c r="AD59" s="13">
        <f t="shared" si="49"/>
        <v>-30</v>
      </c>
    </row>
    <row r="60" spans="3:30" x14ac:dyDescent="0.25">
      <c r="C60" s="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U60" s="14"/>
      <c r="V60" s="14"/>
      <c r="W60" s="14"/>
      <c r="X60" s="14"/>
      <c r="Y60" s="14"/>
      <c r="Z60" s="14"/>
      <c r="AA60" s="14"/>
      <c r="AB60" s="14"/>
      <c r="AC60" s="14"/>
    </row>
    <row r="61" spans="3:30" x14ac:dyDescent="0.25">
      <c r="C61" s="2" t="s">
        <v>98</v>
      </c>
      <c r="D61" s="14">
        <v>-0.89400000000000002</v>
      </c>
      <c r="E61" s="14">
        <v>37.664000000000001</v>
      </c>
      <c r="F61" s="14">
        <v>-6.4470000000000001</v>
      </c>
      <c r="G61" s="14">
        <v>3.7250000000000001</v>
      </c>
      <c r="H61" s="14">
        <v>2.6589999999999998</v>
      </c>
      <c r="I61" s="14">
        <v>50.457999999999998</v>
      </c>
      <c r="J61" s="14">
        <v>-21.117999999999999</v>
      </c>
      <c r="K61" s="14">
        <v>-18.329000000000001</v>
      </c>
      <c r="L61" s="14">
        <v>-16</v>
      </c>
      <c r="M61" s="14">
        <v>-2.911</v>
      </c>
      <c r="N61" s="14">
        <v>5.8209999999999997</v>
      </c>
      <c r="O61" s="14">
        <v>-32.636000000000003</v>
      </c>
      <c r="P61" s="14">
        <v>17.890999999999998</v>
      </c>
      <c r="Q61" s="14">
        <v>2.133</v>
      </c>
      <c r="R61" s="14">
        <v>-3.5419999999999998</v>
      </c>
      <c r="S61" s="14">
        <v>-21.981999999999999</v>
      </c>
      <c r="U61" s="14"/>
      <c r="V61" s="14">
        <v>10.177</v>
      </c>
      <c r="W61" s="14">
        <v>5.5</v>
      </c>
      <c r="X61" s="14">
        <v>26.91</v>
      </c>
      <c r="Y61" s="14">
        <v>-24.32</v>
      </c>
      <c r="Z61" s="14">
        <v>0.86099999999999999</v>
      </c>
      <c r="AA61" s="14">
        <v>33.816000000000003</v>
      </c>
      <c r="AB61" s="14">
        <f>17.824-3.51</f>
        <v>14.314000000000002</v>
      </c>
      <c r="AC61" s="14">
        <v>-45.5</v>
      </c>
      <c r="AD61" s="2">
        <v>-6</v>
      </c>
    </row>
    <row r="62" spans="3:30" x14ac:dyDescent="0.25">
      <c r="C62" s="2" t="s">
        <v>99</v>
      </c>
      <c r="D62" s="14">
        <v>0</v>
      </c>
      <c r="E62" s="14">
        <v>0</v>
      </c>
      <c r="F62" s="14">
        <v>0</v>
      </c>
      <c r="G62" s="14">
        <v>-4</v>
      </c>
      <c r="H62" s="14">
        <v>0</v>
      </c>
      <c r="I62" s="14">
        <v>0</v>
      </c>
      <c r="J62" s="14">
        <v>0</v>
      </c>
      <c r="K62" s="14">
        <v>-4.7</v>
      </c>
      <c r="L62" s="14">
        <v>0</v>
      </c>
      <c r="M62" s="14">
        <v>-4.9870000000000001</v>
      </c>
      <c r="N62" s="14">
        <v>-5.2859999999999996</v>
      </c>
      <c r="O62" s="14">
        <v>-6.8440000000000003</v>
      </c>
      <c r="P62" s="14">
        <v>0</v>
      </c>
      <c r="Q62" s="14">
        <v>-4.8579999999999997</v>
      </c>
      <c r="R62" s="14">
        <v>-4.7539999999999996</v>
      </c>
      <c r="S62" s="14">
        <v>-4.335</v>
      </c>
      <c r="U62" s="14"/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-19.556999999999999</v>
      </c>
      <c r="AC62" s="14">
        <v>-22.401</v>
      </c>
      <c r="AD62" s="2">
        <v>-14</v>
      </c>
    </row>
    <row r="63" spans="3:30" x14ac:dyDescent="0.25">
      <c r="C63" s="2" t="s">
        <v>100</v>
      </c>
      <c r="D63" s="14">
        <v>0</v>
      </c>
      <c r="E63" s="14">
        <v>-57</v>
      </c>
      <c r="F63" s="14">
        <v>0</v>
      </c>
      <c r="G63" s="14">
        <v>0</v>
      </c>
      <c r="H63" s="14">
        <v>0</v>
      </c>
      <c r="I63" s="14">
        <v>-57</v>
      </c>
      <c r="J63" s="14">
        <v>-0.68200000000000005</v>
      </c>
      <c r="K63" s="14">
        <v>0</v>
      </c>
      <c r="L63" s="14">
        <v>0</v>
      </c>
      <c r="M63" s="14">
        <v>-11.4</v>
      </c>
      <c r="N63" s="14">
        <v>0</v>
      </c>
      <c r="O63" s="14">
        <v>0</v>
      </c>
      <c r="P63" s="14">
        <v>0</v>
      </c>
      <c r="Q63" s="14">
        <v>-17</v>
      </c>
      <c r="R63" s="14">
        <v>-0.48699999999999999</v>
      </c>
      <c r="S63" s="14">
        <v>0</v>
      </c>
      <c r="T63" s="1"/>
      <c r="U63" s="14"/>
      <c r="V63" s="14">
        <v>-41.046999999999997</v>
      </c>
      <c r="W63" s="14">
        <v>-45.606000000000002</v>
      </c>
      <c r="X63" s="14">
        <v>-45</v>
      </c>
      <c r="Y63" s="14">
        <v>0</v>
      </c>
      <c r="Z63" s="14">
        <v>-22.806000000000001</v>
      </c>
      <c r="AA63" s="14">
        <v>-57</v>
      </c>
      <c r="AB63" s="14">
        <v>-57.692</v>
      </c>
      <c r="AC63" s="14">
        <v>-11.4</v>
      </c>
      <c r="AD63" s="2">
        <v>-17</v>
      </c>
    </row>
    <row r="64" spans="3:30" x14ac:dyDescent="0.25">
      <c r="C64" s="1" t="s">
        <v>101</v>
      </c>
      <c r="D64" s="13">
        <f t="shared" ref="D64:R64" si="50">SUM(D61:D63)</f>
        <v>-0.89400000000000002</v>
      </c>
      <c r="E64" s="13">
        <f t="shared" si="50"/>
        <v>-19.335999999999999</v>
      </c>
      <c r="F64" s="13">
        <f t="shared" si="50"/>
        <v>-6.4470000000000001</v>
      </c>
      <c r="G64" s="13">
        <f t="shared" si="50"/>
        <v>-0.27499999999999991</v>
      </c>
      <c r="H64" s="13">
        <f t="shared" si="50"/>
        <v>2.6589999999999998</v>
      </c>
      <c r="I64" s="13">
        <f t="shared" si="50"/>
        <v>-6.5420000000000016</v>
      </c>
      <c r="J64" s="13">
        <f t="shared" si="50"/>
        <v>-21.799999999999997</v>
      </c>
      <c r="K64" s="13">
        <f t="shared" si="50"/>
        <v>-23.029</v>
      </c>
      <c r="L64" s="13">
        <f t="shared" si="50"/>
        <v>-16</v>
      </c>
      <c r="M64" s="13">
        <f t="shared" si="50"/>
        <v>-19.298000000000002</v>
      </c>
      <c r="N64" s="13">
        <f t="shared" si="50"/>
        <v>0.53500000000000014</v>
      </c>
      <c r="O64" s="13">
        <f t="shared" si="50"/>
        <v>-39.480000000000004</v>
      </c>
      <c r="P64" s="13">
        <f t="shared" si="50"/>
        <v>17.890999999999998</v>
      </c>
      <c r="Q64" s="13">
        <f t="shared" si="50"/>
        <v>-19.725000000000001</v>
      </c>
      <c r="R64" s="13">
        <f t="shared" si="50"/>
        <v>-8.7829999999999995</v>
      </c>
      <c r="S64" s="13">
        <f>SUM(S61:S63)</f>
        <v>-26.317</v>
      </c>
      <c r="T64" s="1"/>
      <c r="U64" s="14"/>
      <c r="V64" s="13">
        <f t="shared" ref="V64:AD64" si="51">SUM(V61:V63)</f>
        <v>-30.869999999999997</v>
      </c>
      <c r="W64" s="13">
        <f t="shared" si="51"/>
        <v>-40.106000000000002</v>
      </c>
      <c r="X64" s="13">
        <f t="shared" si="51"/>
        <v>-18.09</v>
      </c>
      <c r="Y64" s="13">
        <f t="shared" si="51"/>
        <v>-24.32</v>
      </c>
      <c r="Z64" s="13">
        <f t="shared" si="51"/>
        <v>-21.945</v>
      </c>
      <c r="AA64" s="13">
        <f t="shared" si="51"/>
        <v>-23.183999999999997</v>
      </c>
      <c r="AB64" s="13">
        <f t="shared" si="51"/>
        <v>-62.934999999999995</v>
      </c>
      <c r="AC64" s="13">
        <f t="shared" si="51"/>
        <v>-79.301000000000002</v>
      </c>
      <c r="AD64" s="13">
        <f t="shared" si="51"/>
        <v>-37</v>
      </c>
    </row>
    <row r="65" spans="3:30" x14ac:dyDescent="0.25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"/>
      <c r="U65" s="14"/>
      <c r="V65" s="13"/>
      <c r="W65" s="13"/>
      <c r="X65" s="13"/>
      <c r="Y65" s="13"/>
      <c r="Z65" s="13"/>
      <c r="AA65" s="13"/>
      <c r="AB65" s="13"/>
      <c r="AC65" s="13"/>
    </row>
    <row r="66" spans="3:30" x14ac:dyDescent="0.25">
      <c r="C66" s="2" t="s">
        <v>102</v>
      </c>
      <c r="D66" s="14"/>
      <c r="E66" s="14">
        <v>5.9349999999999996</v>
      </c>
      <c r="F66" s="14">
        <v>1.484</v>
      </c>
      <c r="G66" s="14">
        <v>-6.6</v>
      </c>
      <c r="H66" s="14">
        <v>-1</v>
      </c>
      <c r="I66" s="14">
        <v>3</v>
      </c>
      <c r="J66" s="14">
        <v>-8.6660000000000004</v>
      </c>
      <c r="K66" s="14">
        <v>-10</v>
      </c>
      <c r="L66" s="14">
        <v>2.8149999999999999</v>
      </c>
      <c r="M66" s="14">
        <v>-1.26</v>
      </c>
      <c r="N66" s="14">
        <v>-4.5960000000000001</v>
      </c>
      <c r="O66" s="14">
        <v>6.7229999999999999</v>
      </c>
      <c r="P66" s="14">
        <v>-8.65</v>
      </c>
      <c r="Q66" s="14">
        <v>-5</v>
      </c>
      <c r="R66" s="14">
        <v>-3.8210000000000002</v>
      </c>
      <c r="S66" s="14">
        <v>-0.16</v>
      </c>
      <c r="T66" s="1"/>
      <c r="U66" s="14"/>
      <c r="V66" s="14">
        <v>-3</v>
      </c>
      <c r="W66" s="14">
        <v>1.6459999999999999</v>
      </c>
      <c r="X66" s="14">
        <v>1.2</v>
      </c>
      <c r="Y66" s="14">
        <v>-6.4379999999999997</v>
      </c>
      <c r="Z66" s="14">
        <v>4.9509999999999996</v>
      </c>
      <c r="AA66" s="14">
        <v>1.5469999999999999</v>
      </c>
      <c r="AB66" s="14">
        <v>-16.8</v>
      </c>
      <c r="AC66" s="14">
        <v>3.6819999999999999</v>
      </c>
      <c r="AD66" s="2">
        <v>-18</v>
      </c>
    </row>
    <row r="67" spans="3:30" x14ac:dyDescent="0.25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"/>
      <c r="U67" s="14"/>
      <c r="V67" s="13"/>
      <c r="W67" s="13"/>
      <c r="X67" s="13"/>
      <c r="Y67" s="14"/>
      <c r="Z67" s="14"/>
      <c r="AA67" s="14"/>
      <c r="AB67" s="14"/>
      <c r="AC67" s="14"/>
    </row>
    <row r="68" spans="3:30" x14ac:dyDescent="0.25">
      <c r="C68" s="2" t="s">
        <v>103</v>
      </c>
      <c r="D68" s="14">
        <f t="shared" ref="D68:R68" si="52">D55+D59+D64+D66</f>
        <v>-11.035000000000005</v>
      </c>
      <c r="E68" s="14">
        <f t="shared" si="52"/>
        <v>6.8240000000000025</v>
      </c>
      <c r="F68" s="14">
        <f t="shared" si="52"/>
        <v>2.9669999999999996</v>
      </c>
      <c r="G68" s="14">
        <f t="shared" si="52"/>
        <v>-2.6419999999999955</v>
      </c>
      <c r="H68" s="14">
        <f t="shared" si="52"/>
        <v>6.5210000000000017</v>
      </c>
      <c r="I68" s="14">
        <f t="shared" si="52"/>
        <v>-20.901000000000003</v>
      </c>
      <c r="J68" s="14">
        <f t="shared" si="52"/>
        <v>10.373000000000001</v>
      </c>
      <c r="K68" s="14">
        <f t="shared" si="52"/>
        <v>-4.0229999999999997</v>
      </c>
      <c r="L68" s="14">
        <f t="shared" si="52"/>
        <v>-19.815999999999992</v>
      </c>
      <c r="M68" s="14">
        <f t="shared" si="52"/>
        <v>8.6910000000000007</v>
      </c>
      <c r="N68" s="14">
        <f t="shared" si="52"/>
        <v>20.069999999999993</v>
      </c>
      <c r="O68" s="14">
        <f t="shared" si="52"/>
        <v>-6.5070000000000112</v>
      </c>
      <c r="P68" s="14">
        <f t="shared" si="52"/>
        <v>2.8989999999999974</v>
      </c>
      <c r="Q68" s="14">
        <f t="shared" si="52"/>
        <v>5.8410000000000011</v>
      </c>
      <c r="R68" s="14">
        <f t="shared" si="52"/>
        <v>13.981000000000014</v>
      </c>
      <c r="S68" s="14">
        <f>S55+S59+S64+S66</f>
        <v>-17.028999999999993</v>
      </c>
      <c r="T68" s="1"/>
      <c r="U68" s="14"/>
      <c r="V68" s="14">
        <f t="shared" ref="V68:AC68" si="53">V55+V59+V64+V66</f>
        <v>10.226000000000006</v>
      </c>
      <c r="W68" s="14">
        <f t="shared" si="53"/>
        <v>-7.0908000000000166</v>
      </c>
      <c r="X68" s="14">
        <f t="shared" si="53"/>
        <v>-5.2880000000000171</v>
      </c>
      <c r="Y68" s="14">
        <f t="shared" si="53"/>
        <v>34.210999999999991</v>
      </c>
      <c r="Z68" s="14">
        <f t="shared" si="53"/>
        <v>50.407999999999987</v>
      </c>
      <c r="AA68" s="14">
        <f t="shared" si="53"/>
        <v>-3.6000000000000236</v>
      </c>
      <c r="AB68" s="14">
        <f t="shared" si="53"/>
        <v>-8.2490000000000059</v>
      </c>
      <c r="AC68" s="14">
        <f t="shared" si="53"/>
        <v>-3.3699999999999926</v>
      </c>
      <c r="AD68" s="14">
        <f t="shared" ref="AD68" si="54">AD55+AD59+AD64+AD66</f>
        <v>6</v>
      </c>
    </row>
    <row r="69" spans="3:30" x14ac:dyDescent="0.25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3:30" x14ac:dyDescent="0.25">
      <c r="C70" s="2" t="s">
        <v>104</v>
      </c>
      <c r="D70" s="14">
        <f t="shared" ref="D70:R70" si="55">D55+D57</f>
        <v>-10.141000000000005</v>
      </c>
      <c r="E70" s="14">
        <f t="shared" si="55"/>
        <v>20.733999999999998</v>
      </c>
      <c r="F70" s="14">
        <f t="shared" si="55"/>
        <v>7.6059999999999999</v>
      </c>
      <c r="G70" s="14">
        <f t="shared" si="55"/>
        <v>-3.7669999999999959</v>
      </c>
      <c r="H70" s="14">
        <f t="shared" si="55"/>
        <v>4.8620000000000019</v>
      </c>
      <c r="I70" s="14">
        <f t="shared" si="55"/>
        <v>-17.359000000000002</v>
      </c>
      <c r="J70" s="14">
        <f t="shared" si="55"/>
        <v>40.838999999999999</v>
      </c>
      <c r="K70" s="14">
        <f t="shared" si="55"/>
        <v>27.486000000000004</v>
      </c>
      <c r="L70" s="14">
        <f t="shared" si="55"/>
        <v>-6.3759999999999941</v>
      </c>
      <c r="M70" s="14">
        <f t="shared" si="55"/>
        <v>29.161000000000001</v>
      </c>
      <c r="N70" s="14">
        <f t="shared" si="55"/>
        <v>25.568999999999996</v>
      </c>
      <c r="O70" s="14">
        <f t="shared" si="55"/>
        <v>24.177999999999994</v>
      </c>
      <c r="P70" s="14">
        <f t="shared" si="55"/>
        <v>-6.6349999999999998</v>
      </c>
      <c r="Q70" s="14">
        <f t="shared" si="55"/>
        <v>30.204000000000004</v>
      </c>
      <c r="R70" s="14">
        <f t="shared" si="55"/>
        <v>26.146000000000011</v>
      </c>
      <c r="S70" s="14">
        <f>S55+S57</f>
        <v>11.028000000000006</v>
      </c>
      <c r="U70" s="14"/>
      <c r="V70" s="14">
        <f t="shared" ref="V70:AC70" si="56">V55+V57</f>
        <v>44.096000000000004</v>
      </c>
      <c r="W70" s="14">
        <f t="shared" si="56"/>
        <v>39.469199999999987</v>
      </c>
      <c r="X70" s="14">
        <f t="shared" si="56"/>
        <v>12.90199999999998</v>
      </c>
      <c r="Y70" s="14">
        <f t="shared" si="56"/>
        <v>64.369</v>
      </c>
      <c r="Z70" s="14">
        <f t="shared" si="56"/>
        <v>68.300999999999988</v>
      </c>
      <c r="AA70" s="14">
        <f t="shared" si="56"/>
        <v>16.036999999999974</v>
      </c>
      <c r="AB70" s="14">
        <f t="shared" si="56"/>
        <v>70.054999999999993</v>
      </c>
      <c r="AC70" s="14">
        <f t="shared" si="56"/>
        <v>71.78</v>
      </c>
      <c r="AD70" s="14">
        <f t="shared" ref="AD70" si="57">AD55+AD57</f>
        <v>61</v>
      </c>
    </row>
    <row r="78" spans="3:30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3:30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96" spans="22:31" x14ac:dyDescent="0.25">
      <c r="V96" s="1"/>
      <c r="W96" s="1"/>
      <c r="X96" s="1"/>
      <c r="Y96" s="1"/>
      <c r="Z96" s="1"/>
      <c r="AA96" s="1"/>
      <c r="AB96" s="1"/>
      <c r="AC96" s="1"/>
      <c r="AD96" s="1"/>
      <c r="AE96" s="55"/>
    </row>
    <row r="97" spans="3:3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  <c r="W97" s="1"/>
      <c r="X97" s="1"/>
      <c r="Y97" s="1"/>
      <c r="Z97" s="1"/>
      <c r="AA97" s="1"/>
      <c r="AB97" s="1"/>
      <c r="AC97" s="1"/>
      <c r="AD97" s="1"/>
      <c r="AE97" s="55"/>
    </row>
    <row r="98" spans="3:3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61"/>
      <c r="AF98" s="7"/>
    </row>
    <row r="99" spans="3:32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9" spans="3:32" x14ac:dyDescent="0.25">
      <c r="V109" s="1"/>
      <c r="W109" s="1"/>
      <c r="X109" s="1"/>
      <c r="Y109" s="1"/>
      <c r="Z109" s="1"/>
      <c r="AA109" s="1"/>
      <c r="AB109" s="1"/>
      <c r="AC109" s="1"/>
      <c r="AD109" s="1"/>
      <c r="AE109" s="55"/>
    </row>
    <row r="110" spans="3:3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22" spans="3:31" x14ac:dyDescent="0.25">
      <c r="V122" s="1"/>
      <c r="W122" s="1"/>
      <c r="X122" s="1"/>
      <c r="Y122" s="1"/>
      <c r="Z122" s="1"/>
      <c r="AA122" s="1"/>
      <c r="AB122" s="1"/>
      <c r="AC122" s="1"/>
      <c r="AD122" s="1"/>
      <c r="AE122" s="55"/>
    </row>
    <row r="123" spans="3:31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3:31" x14ac:dyDescent="0.25">
      <c r="Q124" s="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1361-6F43-7243-A7FB-838720CD3DD7}">
  <dimension ref="A5:AC27"/>
  <sheetViews>
    <sheetView showGridLines="0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AC6" sqref="AC6:AC11"/>
    </sheetView>
  </sheetViews>
  <sheetFormatPr baseColWidth="10" defaultRowHeight="19" x14ac:dyDescent="0.25"/>
  <cols>
    <col min="1" max="1" width="10.83203125" style="2"/>
    <col min="2" max="2" width="14.6640625" style="2" customWidth="1"/>
    <col min="3" max="26" width="10.83203125" style="2"/>
    <col min="27" max="27" width="11" style="2" bestFit="1" customWidth="1"/>
    <col min="28" max="28" width="10.83203125" style="2"/>
    <col min="29" max="29" width="11.1640625" style="2" bestFit="1" customWidth="1"/>
    <col min="30" max="16384" width="10.83203125" style="2"/>
  </cols>
  <sheetData>
    <row r="5" spans="1:29" x14ac:dyDescent="0.25">
      <c r="B5" s="2" t="s">
        <v>46</v>
      </c>
      <c r="C5" s="4" t="s">
        <v>3</v>
      </c>
      <c r="D5" s="4" t="s">
        <v>4</v>
      </c>
      <c r="E5" s="4" t="s">
        <v>5</v>
      </c>
      <c r="F5" s="4" t="s">
        <v>6</v>
      </c>
      <c r="G5" s="51">
        <v>2022</v>
      </c>
      <c r="H5" s="4" t="s">
        <v>7</v>
      </c>
      <c r="I5" s="4" t="s">
        <v>8</v>
      </c>
      <c r="J5" s="4" t="s">
        <v>9</v>
      </c>
      <c r="K5" s="4" t="s">
        <v>10</v>
      </c>
      <c r="L5" s="51">
        <v>2023</v>
      </c>
      <c r="M5" s="4" t="s">
        <v>11</v>
      </c>
      <c r="N5" s="4" t="s">
        <v>12</v>
      </c>
      <c r="O5" s="4" t="s">
        <v>13</v>
      </c>
      <c r="P5" s="4" t="s">
        <v>14</v>
      </c>
      <c r="Q5" s="51">
        <v>2024</v>
      </c>
      <c r="R5" s="4" t="s">
        <v>37</v>
      </c>
      <c r="S5" s="4" t="s">
        <v>31</v>
      </c>
      <c r="T5" s="4" t="s">
        <v>35</v>
      </c>
      <c r="U5" s="4" t="s">
        <v>36</v>
      </c>
      <c r="V5" s="56">
        <v>2025</v>
      </c>
      <c r="W5" s="4" t="s">
        <v>177</v>
      </c>
      <c r="X5" s="4" t="s">
        <v>178</v>
      </c>
      <c r="Y5" s="4" t="s">
        <v>179</v>
      </c>
      <c r="Z5" s="4" t="s">
        <v>180</v>
      </c>
      <c r="AA5" s="51">
        <v>2026</v>
      </c>
    </row>
    <row r="6" spans="1:29" x14ac:dyDescent="0.25">
      <c r="B6" s="1" t="s">
        <v>172</v>
      </c>
      <c r="G6" s="52"/>
      <c r="L6" s="52"/>
      <c r="Q6" s="52"/>
      <c r="V6" s="52"/>
      <c r="AA6" s="52"/>
    </row>
    <row r="7" spans="1:29" s="1" customFormat="1" x14ac:dyDescent="0.25">
      <c r="B7" s="1" t="s">
        <v>52</v>
      </c>
      <c r="C7" s="13">
        <v>11.624000000000001</v>
      </c>
      <c r="D7" s="13">
        <v>15.861000000000001</v>
      </c>
      <c r="E7" s="13">
        <v>10.29</v>
      </c>
      <c r="F7" s="13">
        <v>14.586</v>
      </c>
      <c r="G7" s="53">
        <f>SUM(C7:F7)</f>
        <v>52.360999999999997</v>
      </c>
      <c r="H7" s="13">
        <v>9.859</v>
      </c>
      <c r="I7" s="13">
        <v>10.489000000000001</v>
      </c>
      <c r="J7" s="13">
        <v>11.151</v>
      </c>
      <c r="K7" s="13">
        <v>11</v>
      </c>
      <c r="L7" s="53">
        <f>SUM(H7:K7)</f>
        <v>42.498999999999995</v>
      </c>
      <c r="M7" s="13">
        <v>8.32</v>
      </c>
      <c r="N7" s="13">
        <v>11.023999999999999</v>
      </c>
      <c r="O7" s="13">
        <v>6.3440000000000003</v>
      </c>
      <c r="P7" s="13">
        <v>12.419</v>
      </c>
      <c r="Q7" s="53">
        <f>SUM(M7:P7)</f>
        <v>38.106999999999999</v>
      </c>
      <c r="R7" s="13">
        <v>9.6370000000000005</v>
      </c>
      <c r="S7" s="13">
        <v>14.545999999999999</v>
      </c>
      <c r="T7" s="13">
        <v>8.9760000000000009</v>
      </c>
      <c r="U7" s="13">
        <v>14.823</v>
      </c>
      <c r="V7" s="53">
        <f>SUM(R7:U7)</f>
        <v>47.981999999999999</v>
      </c>
      <c r="W7" s="13"/>
      <c r="X7" s="13"/>
      <c r="Y7" s="13"/>
      <c r="AA7" s="53">
        <f>SUM(W7:Z7)</f>
        <v>0</v>
      </c>
    </row>
    <row r="8" spans="1:29" s="50" customFormat="1" x14ac:dyDescent="0.25">
      <c r="B8" s="50" t="s">
        <v>76</v>
      </c>
      <c r="G8" s="54"/>
      <c r="H8" s="50">
        <f t="shared" ref="H8:T8" si="0">(H7-C7)/C7</f>
        <v>-0.15184101858224366</v>
      </c>
      <c r="I8" s="50">
        <f t="shared" si="0"/>
        <v>-0.33869239013933544</v>
      </c>
      <c r="J8" s="50">
        <f t="shared" si="0"/>
        <v>8.3673469387755176E-2</v>
      </c>
      <c r="K8" s="50">
        <f t="shared" si="0"/>
        <v>-0.24585218702865763</v>
      </c>
      <c r="L8" s="54">
        <f>(L7-G7)/G7</f>
        <v>-0.18834628826798577</v>
      </c>
      <c r="M8" s="50">
        <f t="shared" si="0"/>
        <v>-0.15610102444466981</v>
      </c>
      <c r="N8" s="50">
        <f t="shared" si="0"/>
        <v>5.1005815616359834E-2</v>
      </c>
      <c r="O8" s="50">
        <f t="shared" si="0"/>
        <v>-0.43108241413326154</v>
      </c>
      <c r="P8" s="50">
        <f t="shared" si="0"/>
        <v>0.12900000000000003</v>
      </c>
      <c r="Q8" s="54">
        <f>(Q7-L7)/L7</f>
        <v>-0.10334360808489602</v>
      </c>
      <c r="R8" s="50">
        <f t="shared" si="0"/>
        <v>0.15829326923076925</v>
      </c>
      <c r="S8" s="50">
        <f t="shared" si="0"/>
        <v>0.31948476052249641</v>
      </c>
      <c r="T8" s="50">
        <f t="shared" si="0"/>
        <v>0.41488020176544771</v>
      </c>
      <c r="U8" s="50">
        <f>(U7-P7)/P7</f>
        <v>0.19357436186488444</v>
      </c>
      <c r="V8" s="54">
        <f>(V7-Q7)/Q7</f>
        <v>0.25913874091374289</v>
      </c>
      <c r="W8" s="50">
        <f t="shared" ref="W8:Z8" si="1">(W7-R7)/R7</f>
        <v>-1</v>
      </c>
      <c r="X8" s="50">
        <f t="shared" si="1"/>
        <v>-1</v>
      </c>
      <c r="Y8" s="50">
        <f t="shared" si="1"/>
        <v>-1</v>
      </c>
      <c r="Z8" s="50">
        <f t="shared" si="1"/>
        <v>-1</v>
      </c>
      <c r="AA8" s="54">
        <f>(AA7-V7)/V7</f>
        <v>-1</v>
      </c>
    </row>
    <row r="9" spans="1:29" x14ac:dyDescent="0.25">
      <c r="B9" s="2" t="s">
        <v>173</v>
      </c>
      <c r="C9" s="14">
        <v>0</v>
      </c>
      <c r="D9" s="14">
        <v>0</v>
      </c>
      <c r="E9" s="14">
        <v>0</v>
      </c>
      <c r="F9" s="14">
        <v>0</v>
      </c>
      <c r="G9" s="53">
        <f>SUM(C9:F9)</f>
        <v>0</v>
      </c>
      <c r="H9" s="14">
        <v>0</v>
      </c>
      <c r="I9" s="14">
        <v>0</v>
      </c>
      <c r="J9" s="14">
        <v>0</v>
      </c>
      <c r="K9" s="14">
        <v>0</v>
      </c>
      <c r="L9" s="53">
        <f>SUM(H9:K9)</f>
        <v>0</v>
      </c>
      <c r="M9" s="14">
        <v>0</v>
      </c>
      <c r="N9" s="14">
        <v>0</v>
      </c>
      <c r="O9" s="14">
        <v>0</v>
      </c>
      <c r="P9" s="14">
        <v>-0.8</v>
      </c>
      <c r="Q9" s="53">
        <f>SUM(M9:P9)</f>
        <v>-0.8</v>
      </c>
      <c r="R9" s="14">
        <v>0</v>
      </c>
      <c r="S9" s="14">
        <v>0</v>
      </c>
      <c r="T9" s="14">
        <v>0</v>
      </c>
      <c r="U9" s="14">
        <v>-0.53500000000000003</v>
      </c>
      <c r="V9" s="53">
        <f>SUM(R9:U9)</f>
        <v>-0.53500000000000003</v>
      </c>
      <c r="W9" s="14"/>
      <c r="X9" s="14"/>
      <c r="Y9" s="14"/>
      <c r="Z9" s="14"/>
      <c r="AA9" s="53">
        <f>SUM(W9:Z9)</f>
        <v>0</v>
      </c>
    </row>
    <row r="10" spans="1:29" s="1" customFormat="1" x14ac:dyDescent="0.25">
      <c r="B10" s="57" t="s">
        <v>174</v>
      </c>
      <c r="C10" s="58">
        <v>4.6189999999999998</v>
      </c>
      <c r="D10" s="58">
        <v>4.9980000000000002</v>
      </c>
      <c r="E10" s="58">
        <v>3.4689999999999999</v>
      </c>
      <c r="F10" s="58">
        <v>0.51600000000000001</v>
      </c>
      <c r="G10" s="53">
        <f>SUM(C10:F10)</f>
        <v>13.602</v>
      </c>
      <c r="H10" s="58">
        <v>2.1030000000000002</v>
      </c>
      <c r="I10" s="58">
        <v>1.9330000000000001</v>
      </c>
      <c r="J10" s="58">
        <v>2.3660000000000001</v>
      </c>
      <c r="K10" s="58">
        <v>-0.316</v>
      </c>
      <c r="L10" s="53">
        <f>SUM(H10:K10)</f>
        <v>6.0860000000000012</v>
      </c>
      <c r="M10" s="58">
        <v>0.61799999999999999</v>
      </c>
      <c r="N10" s="58">
        <v>0.80800000000000005</v>
      </c>
      <c r="O10" s="58">
        <v>0.878</v>
      </c>
      <c r="P10" s="58">
        <v>2.6280000000000001</v>
      </c>
      <c r="Q10" s="53">
        <f>SUM(M10:P10)</f>
        <v>4.9320000000000004</v>
      </c>
      <c r="R10" s="58">
        <v>1.7909999999999999</v>
      </c>
      <c r="S10" s="58">
        <v>2.3170000000000002</v>
      </c>
      <c r="T10" s="58">
        <v>-0.11899999999999999</v>
      </c>
      <c r="U10" s="58">
        <v>-0.76</v>
      </c>
      <c r="V10" s="53">
        <f>SUM(R10:U10)</f>
        <v>3.229000000000001</v>
      </c>
      <c r="W10" s="58"/>
      <c r="X10" s="58"/>
      <c r="Y10" s="58"/>
      <c r="Z10" s="58"/>
      <c r="AA10" s="53">
        <f>SUM(W10:Z10)</f>
        <v>0</v>
      </c>
      <c r="AC10" s="67"/>
    </row>
    <row r="11" spans="1:29" s="50" customFormat="1" x14ac:dyDescent="0.25">
      <c r="A11" s="1"/>
      <c r="B11" s="59" t="s">
        <v>39</v>
      </c>
      <c r="C11" s="59">
        <f>C10/C7</f>
        <v>0.39736751548520299</v>
      </c>
      <c r="D11" s="59">
        <f t="shared" ref="D11:F11" si="2">D10/D7</f>
        <v>0.31511254019292606</v>
      </c>
      <c r="E11" s="59">
        <f t="shared" si="2"/>
        <v>0.33712342079689017</v>
      </c>
      <c r="F11" s="59">
        <f t="shared" si="2"/>
        <v>3.5376388317564789E-2</v>
      </c>
      <c r="G11" s="60">
        <f>G10/G7</f>
        <v>0.25977349554057411</v>
      </c>
      <c r="H11" s="59">
        <f>H10/H7</f>
        <v>0.21330763769144945</v>
      </c>
      <c r="I11" s="59">
        <f t="shared" ref="I11" si="3">I10/I7</f>
        <v>0.18428830203069882</v>
      </c>
      <c r="J11" s="59">
        <f t="shared" ref="J11" si="4">J10/J7</f>
        <v>0.21217827997489017</v>
      </c>
      <c r="K11" s="59">
        <f t="shared" ref="K11" si="5">K10/K7</f>
        <v>-2.8727272727272726E-2</v>
      </c>
      <c r="L11" s="60">
        <f>L10/L7</f>
        <v>0.14320336949104689</v>
      </c>
      <c r="M11" s="59">
        <f>M10/M7</f>
        <v>7.4278846153846154E-2</v>
      </c>
      <c r="N11" s="59">
        <f t="shared" ref="N11" si="6">N10/N7</f>
        <v>7.3294629898403491E-2</v>
      </c>
      <c r="O11" s="59">
        <f t="shared" ref="O11" si="7">O10/O7</f>
        <v>0.13839848675914249</v>
      </c>
      <c r="P11" s="59">
        <f t="shared" ref="P11" si="8">P10/P7</f>
        <v>0.21161124084064739</v>
      </c>
      <c r="Q11" s="60">
        <f>Q10/Q7</f>
        <v>0.12942504001889418</v>
      </c>
      <c r="R11" s="59">
        <f>R10/R7</f>
        <v>0.18584621770260454</v>
      </c>
      <c r="S11" s="59">
        <f t="shared" ref="S11" si="9">S10/S7</f>
        <v>0.15928777670837346</v>
      </c>
      <c r="T11" s="59">
        <f t="shared" ref="T11" si="10">T10/T7</f>
        <v>-1.3257575757575756E-2</v>
      </c>
      <c r="U11" s="59">
        <f t="shared" ref="U11" si="11">U10/U7</f>
        <v>-5.1271672400998447E-2</v>
      </c>
      <c r="V11" s="60">
        <f>V10/V7</f>
        <v>6.7296069359343111E-2</v>
      </c>
      <c r="W11" s="59" t="e">
        <f>W10/W7</f>
        <v>#DIV/0!</v>
      </c>
      <c r="X11" s="59" t="e">
        <f t="shared" ref="X11" si="12">X10/X7</f>
        <v>#DIV/0!</v>
      </c>
      <c r="Y11" s="59" t="e">
        <f t="shared" ref="Y11" si="13">Y10/Y7</f>
        <v>#DIV/0!</v>
      </c>
      <c r="Z11" s="59" t="e">
        <f t="shared" ref="Z11" si="14">Z10/Z7</f>
        <v>#DIV/0!</v>
      </c>
      <c r="AA11" s="60" t="e">
        <f>AA10/AA7</f>
        <v>#DIV/0!</v>
      </c>
    </row>
    <row r="12" spans="1:29" s="1" customFormat="1" x14ac:dyDescent="0.25">
      <c r="B12" s="1" t="s">
        <v>175</v>
      </c>
      <c r="C12" s="2"/>
      <c r="D12" s="2"/>
      <c r="E12" s="2"/>
      <c r="F12" s="2"/>
      <c r="G12" s="52"/>
      <c r="H12" s="2"/>
      <c r="I12" s="2"/>
      <c r="J12" s="2"/>
      <c r="K12" s="2"/>
      <c r="L12" s="52"/>
      <c r="M12" s="2"/>
      <c r="N12" s="2"/>
      <c r="O12" s="2"/>
      <c r="P12" s="2"/>
      <c r="Q12" s="52"/>
      <c r="R12" s="2"/>
      <c r="S12" s="2"/>
      <c r="T12" s="2"/>
      <c r="U12" s="2"/>
      <c r="V12" s="52"/>
      <c r="W12" s="2"/>
      <c r="X12" s="2"/>
      <c r="Y12" s="2"/>
      <c r="Z12" s="2"/>
      <c r="AA12" s="52"/>
    </row>
    <row r="13" spans="1:29" x14ac:dyDescent="0.25">
      <c r="B13" s="1" t="s">
        <v>52</v>
      </c>
      <c r="C13" s="13">
        <v>87.100999999999999</v>
      </c>
      <c r="D13" s="13">
        <v>94.483999999999995</v>
      </c>
      <c r="E13" s="13">
        <v>71.355000000000004</v>
      </c>
      <c r="F13" s="13">
        <v>74.950999999999993</v>
      </c>
      <c r="G13" s="53">
        <f>SUM(C13:F13)</f>
        <v>327.89099999999996</v>
      </c>
      <c r="H13" s="13">
        <v>81.709000000000003</v>
      </c>
      <c r="I13" s="13">
        <v>114.91800000000001</v>
      </c>
      <c r="J13" s="13">
        <v>82.816999999999993</v>
      </c>
      <c r="K13" s="13">
        <v>77.319999999999993</v>
      </c>
      <c r="L13" s="53">
        <f>SUM(H13:K13)</f>
        <v>356.76400000000001</v>
      </c>
      <c r="M13" s="13">
        <v>104.393</v>
      </c>
      <c r="N13" s="13">
        <v>103.45399999999999</v>
      </c>
      <c r="O13" s="13">
        <v>66.647000000000006</v>
      </c>
      <c r="P13" s="13">
        <v>74.363</v>
      </c>
      <c r="Q13" s="53">
        <f>SUM(M13:P13)</f>
        <v>348.85699999999997</v>
      </c>
      <c r="R13" s="13">
        <v>89.418000000000006</v>
      </c>
      <c r="S13" s="13">
        <v>88.909000000000006</v>
      </c>
      <c r="T13" s="13">
        <v>72.471000000000004</v>
      </c>
      <c r="U13" s="13">
        <v>68.811999999999998</v>
      </c>
      <c r="V13" s="53">
        <f>SUM(R13:U13)</f>
        <v>319.61</v>
      </c>
      <c r="W13" s="13"/>
      <c r="X13" s="13"/>
      <c r="Y13" s="13"/>
      <c r="Z13" s="1"/>
      <c r="AA13" s="53">
        <f>SUM(W13:Z13)</f>
        <v>0</v>
      </c>
    </row>
    <row r="14" spans="1:29" x14ac:dyDescent="0.25">
      <c r="B14" s="50" t="s">
        <v>76</v>
      </c>
      <c r="C14" s="50"/>
      <c r="D14" s="50"/>
      <c r="E14" s="50"/>
      <c r="F14" s="50"/>
      <c r="G14" s="54"/>
      <c r="H14" s="50">
        <f t="shared" ref="H14" si="15">(H13-C13)/C13</f>
        <v>-6.1905144602243327E-2</v>
      </c>
      <c r="I14" s="50">
        <f t="shared" ref="I14" si="16">(I13-D13)/D13</f>
        <v>0.21626942127767679</v>
      </c>
      <c r="J14" s="50">
        <f t="shared" ref="J14" si="17">(J13-E13)/E13</f>
        <v>0.16063345245602956</v>
      </c>
      <c r="K14" s="50">
        <f t="shared" ref="K14" si="18">(K13-F13)/F13</f>
        <v>3.1607316780296463E-2</v>
      </c>
      <c r="L14" s="54">
        <f>(L13-G13)/G13</f>
        <v>8.8056701769795603E-2</v>
      </c>
      <c r="M14" s="50">
        <f t="shared" ref="M14" si="19">(M13-H13)/H13</f>
        <v>0.27761935649683628</v>
      </c>
      <c r="N14" s="50">
        <f t="shared" ref="N14" si="20">(N13-I13)/I13</f>
        <v>-9.9758088376059553E-2</v>
      </c>
      <c r="O14" s="50">
        <f t="shared" ref="O14" si="21">(O13-J13)/J13</f>
        <v>-0.19524976755980039</v>
      </c>
      <c r="P14" s="50">
        <f t="shared" ref="P14" si="22">(P13-K13)/K13</f>
        <v>-3.8243662700465517E-2</v>
      </c>
      <c r="Q14" s="54">
        <f>(Q13-L13)/L13</f>
        <v>-2.2163110627754029E-2</v>
      </c>
      <c r="R14" s="50">
        <f t="shared" ref="R14" si="23">(R13-M13)/M13</f>
        <v>-0.14344831550008136</v>
      </c>
      <c r="S14" s="50">
        <f t="shared" ref="S14" si="24">(S13-N13)/N13</f>
        <v>-0.14059388713824492</v>
      </c>
      <c r="T14" s="50">
        <f t="shared" ref="T14" si="25">(T13-O13)/O13</f>
        <v>8.7385778804747363E-2</v>
      </c>
      <c r="U14" s="50">
        <f>(U13-P13)/P13</f>
        <v>-7.4647338057905174E-2</v>
      </c>
      <c r="V14" s="54">
        <f t="shared" ref="V14" si="26">(V13-Q13)/Q13</f>
        <v>-8.3836643667749136E-2</v>
      </c>
      <c r="W14" s="50">
        <f t="shared" ref="W14:AA14" si="27">(W13-R13)/R13</f>
        <v>-1</v>
      </c>
      <c r="X14" s="50">
        <f t="shared" si="27"/>
        <v>-1</v>
      </c>
      <c r="Y14" s="50">
        <f t="shared" si="27"/>
        <v>-1</v>
      </c>
      <c r="Z14" s="50">
        <f t="shared" si="27"/>
        <v>-1</v>
      </c>
      <c r="AA14" s="54">
        <f t="shared" si="27"/>
        <v>-1</v>
      </c>
    </row>
    <row r="15" spans="1:29" x14ac:dyDescent="0.25">
      <c r="B15" s="2" t="s">
        <v>173</v>
      </c>
      <c r="C15" s="14">
        <v>0</v>
      </c>
      <c r="D15" s="14">
        <v>0</v>
      </c>
      <c r="E15" s="14">
        <v>0</v>
      </c>
      <c r="F15" s="14">
        <v>0</v>
      </c>
      <c r="G15" s="53">
        <f>SUM(C15:F15)</f>
        <v>0</v>
      </c>
      <c r="H15" s="14">
        <v>0</v>
      </c>
      <c r="I15" s="14">
        <v>0</v>
      </c>
      <c r="J15" s="14">
        <v>0</v>
      </c>
      <c r="K15" s="14">
        <v>0</v>
      </c>
      <c r="L15" s="53">
        <f>SUM(H15:K15)</f>
        <v>0</v>
      </c>
      <c r="M15" s="14">
        <v>0</v>
      </c>
      <c r="N15" s="14">
        <v>0</v>
      </c>
      <c r="O15" s="14">
        <v>0</v>
      </c>
      <c r="P15" s="14">
        <v>-2.581</v>
      </c>
      <c r="Q15" s="53">
        <f>SUM(M15:P15)</f>
        <v>-2.581</v>
      </c>
      <c r="R15" s="14">
        <v>0</v>
      </c>
      <c r="S15" s="14">
        <v>0</v>
      </c>
      <c r="T15" s="14">
        <v>0</v>
      </c>
      <c r="U15" s="14">
        <v>-2.8119999999999998</v>
      </c>
      <c r="V15" s="53">
        <f>SUM(R15:U15)</f>
        <v>-2.8119999999999998</v>
      </c>
      <c r="W15" s="14"/>
      <c r="X15" s="14"/>
      <c r="Y15" s="14"/>
      <c r="Z15" s="14"/>
      <c r="AA15" s="53">
        <f>SUM(W15:Z15)</f>
        <v>0</v>
      </c>
    </row>
    <row r="16" spans="1:29" x14ac:dyDescent="0.25">
      <c r="B16" s="57" t="s">
        <v>174</v>
      </c>
      <c r="C16" s="58">
        <v>16.920000000000002</v>
      </c>
      <c r="D16" s="58">
        <v>16.213999999999999</v>
      </c>
      <c r="E16" s="58">
        <v>11.753</v>
      </c>
      <c r="F16" s="58">
        <v>7</v>
      </c>
      <c r="G16" s="53">
        <f>SUM(C16:F16)</f>
        <v>51.887</v>
      </c>
      <c r="H16" s="58">
        <v>8.1240000000000006</v>
      </c>
      <c r="I16" s="58">
        <v>12.564</v>
      </c>
      <c r="J16" s="58">
        <v>8.1660000000000004</v>
      </c>
      <c r="K16" s="58">
        <v>-5</v>
      </c>
      <c r="L16" s="53">
        <f>SUM(H16:K16)</f>
        <v>23.854000000000003</v>
      </c>
      <c r="M16" s="58">
        <v>11.928000000000001</v>
      </c>
      <c r="N16" s="58">
        <v>12.366</v>
      </c>
      <c r="O16" s="58">
        <v>2.15</v>
      </c>
      <c r="P16" s="58">
        <v>0.61099999999999999</v>
      </c>
      <c r="Q16" s="53">
        <f>SUM(M16:P16)</f>
        <v>27.055</v>
      </c>
      <c r="R16" s="58">
        <v>6.4450000000000003</v>
      </c>
      <c r="S16" s="58">
        <v>9.4469999999999992</v>
      </c>
      <c r="T16" s="58">
        <v>9.94</v>
      </c>
      <c r="U16" s="58">
        <v>-9.9380000000000006</v>
      </c>
      <c r="V16" s="53">
        <f>SUM(R16:U16)</f>
        <v>15.894</v>
      </c>
      <c r="W16" s="58"/>
      <c r="X16" s="58"/>
      <c r="Y16" s="58"/>
      <c r="Z16" s="58"/>
      <c r="AA16" s="53">
        <f>SUM(W16:Z16)</f>
        <v>0</v>
      </c>
    </row>
    <row r="17" spans="1:27" s="50" customFormat="1" x14ac:dyDescent="0.25">
      <c r="A17" s="2"/>
      <c r="B17" s="59" t="s">
        <v>39</v>
      </c>
      <c r="C17" s="59">
        <f>C16/C13</f>
        <v>0.1942572415930931</v>
      </c>
      <c r="D17" s="59">
        <f t="shared" ref="D17" si="28">D16/D13</f>
        <v>0.17160577452267051</v>
      </c>
      <c r="E17" s="59">
        <f t="shared" ref="E17" si="29">E16/E13</f>
        <v>0.16471165300259266</v>
      </c>
      <c r="F17" s="59">
        <f t="shared" ref="F17" si="30">F16/F13</f>
        <v>9.3394350975970972E-2</v>
      </c>
      <c r="G17" s="60">
        <f>G16/G13</f>
        <v>0.15824466057317829</v>
      </c>
      <c r="H17" s="59">
        <f>H16/H13</f>
        <v>9.9426011822443067E-2</v>
      </c>
      <c r="I17" s="59">
        <f t="shared" ref="I17" si="31">I16/I13</f>
        <v>0.10933013104996606</v>
      </c>
      <c r="J17" s="59">
        <f t="shared" ref="J17" si="32">J16/J13</f>
        <v>9.8602943840032861E-2</v>
      </c>
      <c r="K17" s="59">
        <f t="shared" ref="K17" si="33">K16/K13</f>
        <v>-6.4666321779617175E-2</v>
      </c>
      <c r="L17" s="60">
        <f>L16/L13</f>
        <v>6.6862127344687244E-2</v>
      </c>
      <c r="M17" s="59">
        <f>M16/M13</f>
        <v>0.11426053471018173</v>
      </c>
      <c r="N17" s="59">
        <f t="shared" ref="N17" si="34">N16/N13</f>
        <v>0.11953138592997854</v>
      </c>
      <c r="O17" s="59">
        <f t="shared" ref="O17" si="35">O16/O13</f>
        <v>3.2259516557384425E-2</v>
      </c>
      <c r="P17" s="59">
        <f t="shared" ref="P17" si="36">P16/P13</f>
        <v>8.2164517300270298E-3</v>
      </c>
      <c r="Q17" s="60">
        <f>Q16/Q13</f>
        <v>7.7553266811329583E-2</v>
      </c>
      <c r="R17" s="59">
        <f>R16/R13</f>
        <v>7.207721040506386E-2</v>
      </c>
      <c r="S17" s="59">
        <f t="shared" ref="S17" si="37">S16/S13</f>
        <v>0.10625470987189146</v>
      </c>
      <c r="T17" s="59">
        <f t="shared" ref="T17" si="38">T16/T13</f>
        <v>0.13715831160050226</v>
      </c>
      <c r="U17" s="59">
        <f t="shared" ref="U17" si="39">U16/U13</f>
        <v>-0.14442248445038658</v>
      </c>
      <c r="V17" s="60">
        <f>V16/V13</f>
        <v>4.9729357654641593E-2</v>
      </c>
      <c r="W17" s="59" t="e">
        <f>W16/W13</f>
        <v>#DIV/0!</v>
      </c>
      <c r="X17" s="59" t="e">
        <f t="shared" ref="X17" si="40">X16/X13</f>
        <v>#DIV/0!</v>
      </c>
      <c r="Y17" s="59" t="e">
        <f t="shared" ref="Y17" si="41">Y16/Y13</f>
        <v>#DIV/0!</v>
      </c>
      <c r="Z17" s="59" t="e">
        <f t="shared" ref="Z17" si="42">Z16/Z13</f>
        <v>#DIV/0!</v>
      </c>
      <c r="AA17" s="60" t="e">
        <f>AA16/AA13</f>
        <v>#DIV/0!</v>
      </c>
    </row>
    <row r="18" spans="1:27" x14ac:dyDescent="0.25">
      <c r="B18" s="1" t="s">
        <v>176</v>
      </c>
      <c r="G18" s="52"/>
      <c r="L18" s="52"/>
      <c r="Q18" s="52"/>
      <c r="V18" s="52"/>
      <c r="AA18" s="52"/>
    </row>
    <row r="19" spans="1:27" x14ac:dyDescent="0.25">
      <c r="B19" s="1" t="s">
        <v>52</v>
      </c>
      <c r="C19" s="13">
        <v>143.613</v>
      </c>
      <c r="D19" s="13">
        <v>158.79300000000001</v>
      </c>
      <c r="E19" s="13">
        <v>150.37899999999999</v>
      </c>
      <c r="F19" s="13">
        <v>109.774</v>
      </c>
      <c r="G19" s="53">
        <f>SUM(C19:F19)</f>
        <v>562.55899999999997</v>
      </c>
      <c r="H19" s="13">
        <v>129.702</v>
      </c>
      <c r="I19" s="13">
        <v>104.78700000000001</v>
      </c>
      <c r="J19" s="13">
        <v>120.682</v>
      </c>
      <c r="K19" s="13">
        <v>115.3</v>
      </c>
      <c r="L19" s="53">
        <f>SUM(H19:K19)</f>
        <v>470.471</v>
      </c>
      <c r="M19" s="13">
        <v>129.625</v>
      </c>
      <c r="N19" s="13">
        <v>147.52199999999999</v>
      </c>
      <c r="O19" s="13">
        <v>135.43799999999999</v>
      </c>
      <c r="P19" s="13">
        <v>145.12100000000001</v>
      </c>
      <c r="Q19" s="53">
        <f>SUM(M19:P19)</f>
        <v>557.70600000000002</v>
      </c>
      <c r="R19" s="13">
        <v>159.51400000000001</v>
      </c>
      <c r="S19" s="13">
        <v>133.83000000000001</v>
      </c>
      <c r="T19" s="13">
        <v>148.81200000000001</v>
      </c>
      <c r="U19" s="13">
        <v>135.36699999999999</v>
      </c>
      <c r="V19" s="53">
        <f>SUM(R19:U19)</f>
        <v>577.52300000000002</v>
      </c>
      <c r="W19" s="13"/>
      <c r="X19" s="13"/>
      <c r="Y19" s="13"/>
      <c r="Z19" s="1"/>
      <c r="AA19" s="53">
        <f>SUM(W19:Z19)</f>
        <v>0</v>
      </c>
    </row>
    <row r="20" spans="1:27" x14ac:dyDescent="0.25">
      <c r="B20" s="50" t="s">
        <v>76</v>
      </c>
      <c r="C20" s="50"/>
      <c r="D20" s="50"/>
      <c r="E20" s="50"/>
      <c r="F20" s="50"/>
      <c r="G20" s="54"/>
      <c r="H20" s="50">
        <f t="shared" ref="H20" si="43">(H19-C19)/C19</f>
        <v>-9.6864489983497323E-2</v>
      </c>
      <c r="I20" s="50">
        <f t="shared" ref="I20" si="44">(I19-D19)/D19</f>
        <v>-0.34010315316166329</v>
      </c>
      <c r="J20" s="50">
        <f t="shared" ref="J20" si="45">(J19-E19)/E19</f>
        <v>-0.19748103126101377</v>
      </c>
      <c r="K20" s="50">
        <f t="shared" ref="K20" si="46">(K19-F19)/F19</f>
        <v>5.0339789021079641E-2</v>
      </c>
      <c r="L20" s="54">
        <f>(L19-G19)/G19</f>
        <v>-0.16369483023114015</v>
      </c>
      <c r="M20" s="50">
        <f t="shared" ref="M20" si="47">(M19-H19)/H19</f>
        <v>-5.9366856332206271E-4</v>
      </c>
      <c r="N20" s="50">
        <f t="shared" ref="N20" si="48">(N19-I19)/I19</f>
        <v>0.40782730682241103</v>
      </c>
      <c r="O20" s="50">
        <f t="shared" ref="O20" si="49">(O19-J19)/J19</f>
        <v>0.12227175552277876</v>
      </c>
      <c r="P20" s="50">
        <f t="shared" ref="P20" si="50">(P19-K19)/K19</f>
        <v>0.25863833477883791</v>
      </c>
      <c r="Q20" s="54">
        <f>(Q19-L19)/L19</f>
        <v>0.18542056789897787</v>
      </c>
      <c r="R20" s="50">
        <f t="shared" ref="R20" si="51">(R19-M19)/M19</f>
        <v>0.2305805207328834</v>
      </c>
      <c r="S20" s="50">
        <f t="shared" ref="S20" si="52">(S19-N19)/N19</f>
        <v>-9.2813275308089499E-2</v>
      </c>
      <c r="T20" s="50">
        <f t="shared" ref="T20" si="53">(T19-O19)/O19</f>
        <v>9.8746289815266203E-2</v>
      </c>
      <c r="U20" s="50">
        <f>(U19-P19)/P19</f>
        <v>-6.7212877529785622E-2</v>
      </c>
      <c r="V20" s="54">
        <f t="shared" ref="V20:AA20" si="54">(V19-Q19)/Q19</f>
        <v>3.5533058636629346E-2</v>
      </c>
      <c r="W20" s="50">
        <f t="shared" si="54"/>
        <v>-1</v>
      </c>
      <c r="X20" s="50">
        <f t="shared" si="54"/>
        <v>-1</v>
      </c>
      <c r="Y20" s="50">
        <f t="shared" si="54"/>
        <v>-1</v>
      </c>
      <c r="Z20" s="50">
        <f t="shared" si="54"/>
        <v>-1</v>
      </c>
      <c r="AA20" s="54">
        <f t="shared" si="54"/>
        <v>-1</v>
      </c>
    </row>
    <row r="21" spans="1:27" x14ac:dyDescent="0.25">
      <c r="B21" s="2" t="s">
        <v>173</v>
      </c>
      <c r="C21" s="14">
        <v>0</v>
      </c>
      <c r="D21" s="14">
        <v>0</v>
      </c>
      <c r="E21" s="14">
        <v>0</v>
      </c>
      <c r="F21" s="14">
        <v>0</v>
      </c>
      <c r="G21" s="53">
        <f>SUM(C21:F21)</f>
        <v>0</v>
      </c>
      <c r="H21" s="14">
        <v>0</v>
      </c>
      <c r="I21" s="14">
        <v>0</v>
      </c>
      <c r="J21" s="14">
        <v>0</v>
      </c>
      <c r="K21" s="14">
        <v>0</v>
      </c>
      <c r="L21" s="53">
        <f>SUM(H21:K21)</f>
        <v>0</v>
      </c>
      <c r="M21" s="14">
        <v>0</v>
      </c>
      <c r="N21" s="14">
        <v>0</v>
      </c>
      <c r="O21" s="14">
        <v>0</v>
      </c>
      <c r="P21" s="14">
        <v>-6</v>
      </c>
      <c r="Q21" s="53">
        <f>SUM(M21:P21)</f>
        <v>-6</v>
      </c>
      <c r="R21" s="14">
        <v>0</v>
      </c>
      <c r="S21" s="14">
        <v>0</v>
      </c>
      <c r="T21" s="14">
        <v>0</v>
      </c>
      <c r="U21" s="14">
        <v>-3.6320000000000001</v>
      </c>
      <c r="V21" s="53">
        <f>SUM(R21:U21)</f>
        <v>-3.6320000000000001</v>
      </c>
      <c r="W21" s="14"/>
      <c r="X21" s="14"/>
      <c r="Y21" s="14"/>
      <c r="Z21" s="14"/>
      <c r="AA21" s="53">
        <f>SUM(W21:Z21)</f>
        <v>0</v>
      </c>
    </row>
    <row r="22" spans="1:27" x14ac:dyDescent="0.25">
      <c r="B22" s="57" t="s">
        <v>174</v>
      </c>
      <c r="C22" s="58">
        <v>19.754999999999999</v>
      </c>
      <c r="D22" s="58">
        <v>24.731000000000002</v>
      </c>
      <c r="E22" s="58">
        <v>21.260999999999999</v>
      </c>
      <c r="F22" s="58">
        <v>7</v>
      </c>
      <c r="G22" s="53">
        <f>SUM(C22:F22)</f>
        <v>72.747</v>
      </c>
      <c r="H22" s="58">
        <v>8.4879999999999995</v>
      </c>
      <c r="I22" s="58">
        <v>2.4039999999999999</v>
      </c>
      <c r="J22" s="58">
        <v>9.6370000000000005</v>
      </c>
      <c r="K22" s="58">
        <v>14.72</v>
      </c>
      <c r="L22" s="53">
        <f>SUM(H22:K22)</f>
        <v>35.249000000000002</v>
      </c>
      <c r="M22" s="58">
        <v>10.406000000000001</v>
      </c>
      <c r="N22" s="58">
        <v>13.962</v>
      </c>
      <c r="O22" s="58">
        <v>13.417</v>
      </c>
      <c r="P22" s="58">
        <v>17.396999999999998</v>
      </c>
      <c r="Q22" s="53">
        <f>SUM(M22:P22)</f>
        <v>55.182000000000002</v>
      </c>
      <c r="R22" s="58">
        <v>16.213999999999999</v>
      </c>
      <c r="S22" s="58">
        <v>7.2119999999999997</v>
      </c>
      <c r="T22" s="58">
        <v>13.308999999999999</v>
      </c>
      <c r="U22" s="58">
        <v>20.488</v>
      </c>
      <c r="V22" s="53">
        <f>SUM(R22:U22)</f>
        <v>57.222999999999999</v>
      </c>
      <c r="W22" s="58"/>
      <c r="X22" s="58"/>
      <c r="Y22" s="58"/>
      <c r="Z22" s="58"/>
      <c r="AA22" s="53">
        <f>SUM(W22:Z22)</f>
        <v>0</v>
      </c>
    </row>
    <row r="23" spans="1:27" s="50" customFormat="1" x14ac:dyDescent="0.25">
      <c r="A23" s="2"/>
      <c r="B23" s="59" t="s">
        <v>39</v>
      </c>
      <c r="C23" s="59">
        <f>C22/C19</f>
        <v>0.13755718493451149</v>
      </c>
      <c r="D23" s="59">
        <f t="shared" ref="D23" si="55">D22/D19</f>
        <v>0.15574364109249147</v>
      </c>
      <c r="E23" s="59">
        <f t="shared" ref="E23" si="56">E22/E19</f>
        <v>0.1413827728605723</v>
      </c>
      <c r="F23" s="59">
        <f t="shared" ref="F23" si="57">F22/F19</f>
        <v>6.3767376610126256E-2</v>
      </c>
      <c r="G23" s="60">
        <f>G22/G19</f>
        <v>0.12931443635245371</v>
      </c>
      <c r="H23" s="59">
        <f>H22/H19</f>
        <v>6.5442321629581648E-2</v>
      </c>
      <c r="I23" s="59">
        <f t="shared" ref="I23" si="58">I22/I19</f>
        <v>2.2941777128842315E-2</v>
      </c>
      <c r="J23" s="59">
        <f t="shared" ref="J23" si="59">J22/J19</f>
        <v>7.9854493627881537E-2</v>
      </c>
      <c r="K23" s="59">
        <f t="shared" ref="K23" si="60">K22/K19</f>
        <v>0.1276669557675629</v>
      </c>
      <c r="L23" s="60">
        <f>L22/L19</f>
        <v>7.4922790140093662E-2</v>
      </c>
      <c r="M23" s="59">
        <f>M22/M19</f>
        <v>8.027772420443588E-2</v>
      </c>
      <c r="N23" s="59">
        <f t="shared" ref="N23" si="61">N22/N19</f>
        <v>9.4643510798389396E-2</v>
      </c>
      <c r="O23" s="59">
        <f t="shared" ref="O23" si="62">O22/O19</f>
        <v>9.9063778260163327E-2</v>
      </c>
      <c r="P23" s="59">
        <f t="shared" ref="P23" si="63">P22/P19</f>
        <v>0.11987927315826102</v>
      </c>
      <c r="Q23" s="60">
        <f>Q22/Q19</f>
        <v>9.8944605222106269E-2</v>
      </c>
      <c r="R23" s="59">
        <f>R22/R19</f>
        <v>0.10164625048585076</v>
      </c>
      <c r="S23" s="59">
        <f t="shared" ref="S23" si="64">S22/S19</f>
        <v>5.3889262497197929E-2</v>
      </c>
      <c r="T23" s="59">
        <f t="shared" ref="T23" si="65">T22/T19</f>
        <v>8.9434991801736405E-2</v>
      </c>
      <c r="U23" s="59">
        <f t="shared" ref="U23" si="66">U22/U19</f>
        <v>0.15135151107729358</v>
      </c>
      <c r="V23" s="60">
        <f>V22/V19</f>
        <v>9.9083499704773662E-2</v>
      </c>
      <c r="W23" s="59" t="e">
        <f>W22/W19</f>
        <v>#DIV/0!</v>
      </c>
      <c r="X23" s="59" t="e">
        <f t="shared" ref="X23" si="67">X22/X19</f>
        <v>#DIV/0!</v>
      </c>
      <c r="Y23" s="59" t="e">
        <f t="shared" ref="Y23" si="68">Y22/Y19</f>
        <v>#DIV/0!</v>
      </c>
      <c r="Z23" s="59" t="e">
        <f t="shared" ref="Z23" si="69">Z22/Z19</f>
        <v>#DIV/0!</v>
      </c>
      <c r="AA23" s="60" t="e">
        <f>AA22/AA19</f>
        <v>#DIV/0!</v>
      </c>
    </row>
    <row r="26" spans="1:27" x14ac:dyDescent="0.25">
      <c r="U26" s="14"/>
    </row>
    <row r="27" spans="1:27" x14ac:dyDescent="0.25">
      <c r="U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0D5C-4F8F-6A4B-A196-7F8A081BBDCE}">
  <dimension ref="A3:F44"/>
  <sheetViews>
    <sheetView showGridLines="0" workbookViewId="0">
      <selection activeCell="B14" sqref="B14"/>
    </sheetView>
  </sheetViews>
  <sheetFormatPr baseColWidth="10" defaultRowHeight="26" x14ac:dyDescent="0.3"/>
  <cols>
    <col min="1" max="1" width="10.83203125" style="62"/>
    <col min="2" max="2" width="25" style="62" customWidth="1"/>
    <col min="3" max="4" width="14.1640625" style="62" customWidth="1"/>
    <col min="5" max="6" width="15.83203125" style="62" customWidth="1"/>
    <col min="7" max="7" width="16" style="62" customWidth="1"/>
    <col min="8" max="16384" width="10.83203125" style="62"/>
  </cols>
  <sheetData>
    <row r="3" spans="2:6" x14ac:dyDescent="0.3">
      <c r="B3" s="63" t="s">
        <v>46</v>
      </c>
      <c r="C3" s="63" t="s">
        <v>182</v>
      </c>
      <c r="D3" s="63" t="s">
        <v>29</v>
      </c>
      <c r="E3" s="63" t="s">
        <v>183</v>
      </c>
      <c r="F3" s="63" t="s">
        <v>184</v>
      </c>
    </row>
    <row r="4" spans="2:6" x14ac:dyDescent="0.3">
      <c r="B4" s="63" t="s">
        <v>172</v>
      </c>
      <c r="C4" s="63">
        <v>4</v>
      </c>
      <c r="D4" s="63">
        <v>8.5</v>
      </c>
      <c r="E4" s="63">
        <f>C4*D4</f>
        <v>34</v>
      </c>
      <c r="F4" s="66">
        <f>E4/Modell!$B$5</f>
        <v>2.981932994211542</v>
      </c>
    </row>
    <row r="5" spans="2:6" x14ac:dyDescent="0.3">
      <c r="B5" s="63" t="s">
        <v>175</v>
      </c>
      <c r="C5" s="63">
        <v>20</v>
      </c>
      <c r="D5" s="63">
        <v>6.5</v>
      </c>
      <c r="E5" s="63">
        <f t="shared" ref="E5:E6" si="0">C5*D5</f>
        <v>130</v>
      </c>
      <c r="F5" s="66">
        <f>E5/Modell!$B$5</f>
        <v>11.401508507279425</v>
      </c>
    </row>
    <row r="6" spans="2:6" x14ac:dyDescent="0.3">
      <c r="B6" s="63" t="s">
        <v>176</v>
      </c>
      <c r="C6" s="63">
        <v>60</v>
      </c>
      <c r="D6" s="63">
        <v>9</v>
      </c>
      <c r="E6" s="63">
        <f t="shared" si="0"/>
        <v>540</v>
      </c>
      <c r="F6" s="66">
        <f>E6/Modell!$B$5</f>
        <v>47.360112261006847</v>
      </c>
    </row>
    <row r="7" spans="2:6" x14ac:dyDescent="0.3">
      <c r="B7" s="64" t="s">
        <v>181</v>
      </c>
      <c r="C7" s="64"/>
      <c r="D7" s="64"/>
      <c r="E7" s="64">
        <f>SUM(E4:E6)</f>
        <v>704</v>
      </c>
      <c r="F7" s="68">
        <f>SUM(F4:F6)</f>
        <v>61.743553762497811</v>
      </c>
    </row>
    <row r="8" spans="2:6" x14ac:dyDescent="0.3">
      <c r="B8" s="65"/>
      <c r="C8" s="65"/>
      <c r="D8" s="65"/>
      <c r="E8" s="65"/>
      <c r="F8" s="65"/>
    </row>
    <row r="9" spans="2:6" x14ac:dyDescent="0.3">
      <c r="B9" s="63" t="s">
        <v>73</v>
      </c>
      <c r="C9" s="63"/>
      <c r="D9" s="63"/>
      <c r="E9" s="66">
        <f>Modell!B7</f>
        <v>101.682</v>
      </c>
      <c r="F9" s="66">
        <f>E9/Modell!$B$5</f>
        <v>8.9179091387475893</v>
      </c>
    </row>
    <row r="10" spans="2:6" x14ac:dyDescent="0.3">
      <c r="B10" s="63" t="s">
        <v>185</v>
      </c>
      <c r="C10" s="63"/>
      <c r="D10" s="63"/>
      <c r="E10" s="66">
        <f>Modell!B8</f>
        <v>64.373000000000005</v>
      </c>
      <c r="F10" s="66">
        <f>-E10/Modell!$B$5</f>
        <v>-5.6457639010699889</v>
      </c>
    </row>
    <row r="11" spans="2:6" x14ac:dyDescent="0.3">
      <c r="B11" s="65"/>
      <c r="C11" s="65"/>
      <c r="D11" s="65"/>
      <c r="E11" s="65"/>
      <c r="F11" s="65"/>
    </row>
    <row r="12" spans="2:6" x14ac:dyDescent="0.3">
      <c r="B12" s="64" t="s">
        <v>186</v>
      </c>
      <c r="C12" s="64"/>
      <c r="D12" s="64"/>
      <c r="E12" s="64"/>
      <c r="F12" s="68">
        <f>SUM(F7:F10)</f>
        <v>65.015699000175417</v>
      </c>
    </row>
    <row r="36" spans="1:2" x14ac:dyDescent="0.3">
      <c r="A36" s="63" t="s">
        <v>172</v>
      </c>
      <c r="B36" s="66">
        <v>2.981932994211542</v>
      </c>
    </row>
    <row r="37" spans="1:2" x14ac:dyDescent="0.3">
      <c r="A37" s="63" t="s">
        <v>175</v>
      </c>
      <c r="B37" s="66">
        <v>12.278547623223997</v>
      </c>
    </row>
    <row r="38" spans="1:2" x14ac:dyDescent="0.3">
      <c r="A38" s="63" t="s">
        <v>176</v>
      </c>
      <c r="B38" s="66">
        <v>47.360112261006847</v>
      </c>
    </row>
    <row r="39" spans="1:2" x14ac:dyDescent="0.3">
      <c r="A39" s="64" t="s">
        <v>181</v>
      </c>
      <c r="B39" s="68">
        <v>62.620592878442388</v>
      </c>
    </row>
    <row r="40" spans="1:2" x14ac:dyDescent="0.3">
      <c r="A40" s="65"/>
      <c r="B40" s="65"/>
    </row>
    <row r="41" spans="1:2" x14ac:dyDescent="0.3">
      <c r="A41" s="63" t="s">
        <v>73</v>
      </c>
      <c r="B41" s="66">
        <v>8.9179091387475893</v>
      </c>
    </row>
    <row r="42" spans="1:2" x14ac:dyDescent="0.3">
      <c r="A42" s="63" t="s">
        <v>185</v>
      </c>
      <c r="B42" s="66">
        <v>-5.6457639010699889</v>
      </c>
    </row>
    <row r="43" spans="1:2" x14ac:dyDescent="0.3">
      <c r="A43" s="65"/>
      <c r="B43" s="65"/>
    </row>
    <row r="44" spans="1:2" x14ac:dyDescent="0.3">
      <c r="A44" s="63" t="s">
        <v>186</v>
      </c>
      <c r="B44" s="66">
        <v>65.89273811612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E16" sqref="E16"/>
    </sheetView>
  </sheetViews>
  <sheetFormatPr baseColWidth="10" defaultRowHeight="16" x14ac:dyDescent="0.2"/>
  <cols>
    <col min="3" max="3" width="29.5" bestFit="1" customWidth="1"/>
    <col min="4" max="7" width="18.6640625" bestFit="1" customWidth="1"/>
  </cols>
  <sheetData>
    <row r="4" spans="3:6" ht="62" x14ac:dyDescent="0.7">
      <c r="C4" s="8"/>
      <c r="D4" s="8">
        <v>2026</v>
      </c>
      <c r="E4" s="8">
        <v>2027</v>
      </c>
      <c r="F4" s="8">
        <v>2028</v>
      </c>
    </row>
    <row r="5" spans="3:6" ht="62" x14ac:dyDescent="0.7">
      <c r="C5" s="8" t="s">
        <v>29</v>
      </c>
      <c r="D5" s="30">
        <f>Modell!$B$9/Modell!AE12</f>
        <v>6.7574167417884556</v>
      </c>
      <c r="E5" s="30">
        <f>Modell!$B$9/Modell!AF12</f>
        <v>6.3002355097018272</v>
      </c>
      <c r="F5" s="30">
        <f>Modell!$B$9/Modell!AG12</f>
        <v>5.8771194482147022</v>
      </c>
    </row>
    <row r="6" spans="3:6" ht="62" x14ac:dyDescent="0.7">
      <c r="C6" s="8" t="s">
        <v>30</v>
      </c>
      <c r="D6" s="30">
        <f>Modell!$B$4/Modell!AE18</f>
        <v>9.8085225472231112</v>
      </c>
      <c r="E6" s="30">
        <f>Modell!$B$4/Modell!AF18</f>
        <v>9.1141174828881208</v>
      </c>
      <c r="F6" s="30">
        <f>Modell!$B$4/Modell!AG18</f>
        <v>8.4749697506337895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EM24"/>
  <sheetViews>
    <sheetView showGridLines="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S28" sqref="S28:S29"/>
    </sheetView>
  </sheetViews>
  <sheetFormatPr baseColWidth="10" defaultRowHeight="19" x14ac:dyDescent="0.25"/>
  <cols>
    <col min="1" max="1" width="10.83203125" style="2"/>
    <col min="2" max="2" width="17" style="3" customWidth="1"/>
    <col min="3" max="3" width="31.5" style="2" customWidth="1"/>
    <col min="4" max="14" width="10.83203125" style="2"/>
    <col min="15" max="15" width="10.83203125" style="3"/>
    <col min="16" max="25" width="10.83203125" style="2"/>
    <col min="26" max="26" width="14.1640625" style="2" bestFit="1" customWidth="1"/>
    <col min="27" max="16384" width="10.83203125" style="2"/>
  </cols>
  <sheetData>
    <row r="3" spans="1:143" x14ac:dyDescent="0.25">
      <c r="A3" s="1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32</v>
      </c>
      <c r="I3" s="4" t="s">
        <v>33</v>
      </c>
      <c r="J3" s="4" t="s">
        <v>34</v>
      </c>
      <c r="K3" s="4" t="s">
        <v>15</v>
      </c>
      <c r="L3" s="4" t="s">
        <v>16</v>
      </c>
      <c r="M3" s="4" t="s">
        <v>17</v>
      </c>
      <c r="N3" s="4" t="s">
        <v>18</v>
      </c>
      <c r="O3" s="5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</row>
    <row r="4" spans="1:143" x14ac:dyDescent="0.25">
      <c r="A4" s="1" t="s">
        <v>110</v>
      </c>
      <c r="C4" s="1" t="s">
        <v>52</v>
      </c>
      <c r="D4" s="1"/>
      <c r="E4" s="1"/>
      <c r="F4" s="1"/>
      <c r="G4" s="1"/>
      <c r="H4" s="13">
        <v>720.46799999999996</v>
      </c>
      <c r="I4" s="13">
        <v>637.35900000000004</v>
      </c>
      <c r="J4" s="13">
        <v>800.18200000000002</v>
      </c>
      <c r="K4" s="13">
        <v>975.25800000000004</v>
      </c>
      <c r="L4" s="13">
        <v>895.16099999999994</v>
      </c>
      <c r="M4" s="13">
        <v>962.86400000000003</v>
      </c>
      <c r="N4" s="13">
        <v>945</v>
      </c>
      <c r="O4" s="20">
        <f>N4</f>
        <v>945</v>
      </c>
      <c r="P4" s="13">
        <f t="shared" ref="P4:X4" si="0">O4</f>
        <v>945</v>
      </c>
      <c r="Q4" s="13">
        <f t="shared" si="0"/>
        <v>945</v>
      </c>
      <c r="R4" s="13">
        <f t="shared" si="0"/>
        <v>945</v>
      </c>
      <c r="S4" s="13">
        <f t="shared" si="0"/>
        <v>945</v>
      </c>
      <c r="T4" s="13">
        <f t="shared" si="0"/>
        <v>945</v>
      </c>
      <c r="U4" s="13">
        <f t="shared" si="0"/>
        <v>945</v>
      </c>
      <c r="V4" s="13">
        <f t="shared" si="0"/>
        <v>945</v>
      </c>
      <c r="W4" s="13">
        <f t="shared" si="0"/>
        <v>945</v>
      </c>
      <c r="X4" s="13">
        <f t="shared" si="0"/>
        <v>945</v>
      </c>
    </row>
    <row r="5" spans="1:143" x14ac:dyDescent="0.25">
      <c r="A5" s="31">
        <f>AA23</f>
        <v>50.052904299721945</v>
      </c>
      <c r="C5" s="2" t="s">
        <v>53</v>
      </c>
      <c r="H5" s="14">
        <v>-407.62299999999999</v>
      </c>
      <c r="I5" s="14">
        <v>-346.10899999999998</v>
      </c>
      <c r="J5" s="14">
        <v>-424.17399999999998</v>
      </c>
      <c r="K5" s="14">
        <v>-526.29200000000003</v>
      </c>
      <c r="L5" s="14">
        <v>-490.06200000000001</v>
      </c>
      <c r="M5" s="14">
        <v>-517.15200000000004</v>
      </c>
      <c r="N5" s="14">
        <v>-511</v>
      </c>
      <c r="O5" s="21">
        <f>O4*-0.56</f>
        <v>-529.20000000000005</v>
      </c>
      <c r="P5" s="14">
        <f t="shared" ref="P5:X5" si="1">P4*-0.56</f>
        <v>-529.20000000000005</v>
      </c>
      <c r="Q5" s="14">
        <f t="shared" si="1"/>
        <v>-529.20000000000005</v>
      </c>
      <c r="R5" s="14">
        <f t="shared" si="1"/>
        <v>-529.20000000000005</v>
      </c>
      <c r="S5" s="14">
        <f t="shared" si="1"/>
        <v>-529.20000000000005</v>
      </c>
      <c r="T5" s="14">
        <f t="shared" si="1"/>
        <v>-529.20000000000005</v>
      </c>
      <c r="U5" s="14">
        <f t="shared" si="1"/>
        <v>-529.20000000000005</v>
      </c>
      <c r="V5" s="14">
        <f t="shared" si="1"/>
        <v>-529.20000000000005</v>
      </c>
      <c r="W5" s="14">
        <f t="shared" si="1"/>
        <v>-529.20000000000005</v>
      </c>
      <c r="X5" s="14">
        <f t="shared" si="1"/>
        <v>-529.20000000000005</v>
      </c>
    </row>
    <row r="6" spans="1:143" x14ac:dyDescent="0.25">
      <c r="A6" s="15">
        <f>AA24</f>
        <v>2.0601461405794202E-3</v>
      </c>
      <c r="C6" s="2" t="s">
        <v>54</v>
      </c>
      <c r="H6" s="14">
        <f t="shared" ref="H6:N6" si="2">SUM(H4:H5)</f>
        <v>312.84499999999997</v>
      </c>
      <c r="I6" s="14">
        <f t="shared" si="2"/>
        <v>291.25000000000006</v>
      </c>
      <c r="J6" s="14">
        <f t="shared" si="2"/>
        <v>376.00800000000004</v>
      </c>
      <c r="K6" s="14">
        <f t="shared" si="2"/>
        <v>448.96600000000001</v>
      </c>
      <c r="L6" s="14">
        <f t="shared" si="2"/>
        <v>405.09899999999993</v>
      </c>
      <c r="M6" s="14">
        <f t="shared" si="2"/>
        <v>445.71199999999999</v>
      </c>
      <c r="N6" s="14">
        <f t="shared" si="2"/>
        <v>434</v>
      </c>
      <c r="O6" s="21">
        <f t="shared" ref="O6:X6" si="3">SUM(O4:O5)</f>
        <v>415.79999999999995</v>
      </c>
      <c r="P6" s="14">
        <f t="shared" si="3"/>
        <v>415.79999999999995</v>
      </c>
      <c r="Q6" s="14">
        <f t="shared" si="3"/>
        <v>415.79999999999995</v>
      </c>
      <c r="R6" s="14">
        <f t="shared" si="3"/>
        <v>415.79999999999995</v>
      </c>
      <c r="S6" s="14">
        <f t="shared" si="3"/>
        <v>415.79999999999995</v>
      </c>
      <c r="T6" s="14">
        <f t="shared" si="3"/>
        <v>415.79999999999995</v>
      </c>
      <c r="U6" s="14">
        <f t="shared" si="3"/>
        <v>415.79999999999995</v>
      </c>
      <c r="V6" s="14">
        <f t="shared" si="3"/>
        <v>415.79999999999995</v>
      </c>
      <c r="W6" s="14">
        <f t="shared" si="3"/>
        <v>415.79999999999995</v>
      </c>
      <c r="X6" s="14">
        <f t="shared" si="3"/>
        <v>415.79999999999995</v>
      </c>
    </row>
    <row r="7" spans="1:143" x14ac:dyDescent="0.25">
      <c r="C7" s="2" t="s">
        <v>55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13</v>
      </c>
      <c r="O7" s="21">
        <f>N7*1</f>
        <v>13</v>
      </c>
      <c r="P7" s="14">
        <f>O7</f>
        <v>13</v>
      </c>
      <c r="Q7" s="14">
        <f t="shared" ref="Q7:X7" si="4">P7</f>
        <v>13</v>
      </c>
      <c r="R7" s="14">
        <f t="shared" si="4"/>
        <v>13</v>
      </c>
      <c r="S7" s="14">
        <f t="shared" si="4"/>
        <v>13</v>
      </c>
      <c r="T7" s="14">
        <f t="shared" si="4"/>
        <v>13</v>
      </c>
      <c r="U7" s="14">
        <f t="shared" si="4"/>
        <v>13</v>
      </c>
      <c r="V7" s="14">
        <f t="shared" si="4"/>
        <v>13</v>
      </c>
      <c r="W7" s="14">
        <f t="shared" si="4"/>
        <v>13</v>
      </c>
      <c r="X7" s="14">
        <f t="shared" si="4"/>
        <v>13</v>
      </c>
    </row>
    <row r="8" spans="1:143" x14ac:dyDescent="0.25">
      <c r="C8" s="2" t="s">
        <v>56</v>
      </c>
      <c r="H8" s="14">
        <v>-65.156999999999996</v>
      </c>
      <c r="I8" s="14">
        <v>-62.686</v>
      </c>
      <c r="J8" s="14">
        <v>-61.953000000000003</v>
      </c>
      <c r="K8" s="14">
        <v>-71.173000000000002</v>
      </c>
      <c r="L8" s="14">
        <v>-80.393000000000001</v>
      </c>
      <c r="M8" s="14">
        <v>-86.759</v>
      </c>
      <c r="N8" s="14">
        <v>-92</v>
      </c>
      <c r="O8" s="21">
        <f>N8*0.96</f>
        <v>-88.32</v>
      </c>
      <c r="P8" s="14">
        <f t="shared" ref="P8:X11" si="5">O8</f>
        <v>-88.32</v>
      </c>
      <c r="Q8" s="14">
        <f t="shared" si="5"/>
        <v>-88.32</v>
      </c>
      <c r="R8" s="14">
        <f t="shared" si="5"/>
        <v>-88.32</v>
      </c>
      <c r="S8" s="14">
        <f t="shared" si="5"/>
        <v>-88.32</v>
      </c>
      <c r="T8" s="14">
        <f t="shared" si="5"/>
        <v>-88.32</v>
      </c>
      <c r="U8" s="14">
        <f t="shared" si="5"/>
        <v>-88.32</v>
      </c>
      <c r="V8" s="14">
        <f t="shared" si="5"/>
        <v>-88.32</v>
      </c>
      <c r="W8" s="14">
        <f t="shared" si="5"/>
        <v>-88.32</v>
      </c>
      <c r="X8" s="14">
        <f t="shared" si="5"/>
        <v>-88.32</v>
      </c>
    </row>
    <row r="9" spans="1:143" x14ac:dyDescent="0.25">
      <c r="C9" s="2" t="s">
        <v>57</v>
      </c>
      <c r="H9" s="14">
        <v>-153.75299999999999</v>
      </c>
      <c r="I9" s="14">
        <v>-146.6</v>
      </c>
      <c r="J9" s="14">
        <v>-163.876</v>
      </c>
      <c r="K9" s="14">
        <v>-194.303</v>
      </c>
      <c r="L9" s="14">
        <v>-214.94399999999999</v>
      </c>
      <c r="M9" s="14">
        <v>-226.71899999999999</v>
      </c>
      <c r="N9" s="14">
        <v>-237</v>
      </c>
      <c r="O9" s="21">
        <f>N9*0.97</f>
        <v>-229.89</v>
      </c>
      <c r="P9" s="14">
        <f t="shared" si="5"/>
        <v>-229.89</v>
      </c>
      <c r="Q9" s="14">
        <f t="shared" si="5"/>
        <v>-229.89</v>
      </c>
      <c r="R9" s="14">
        <f t="shared" si="5"/>
        <v>-229.89</v>
      </c>
      <c r="S9" s="14">
        <f t="shared" si="5"/>
        <v>-229.89</v>
      </c>
      <c r="T9" s="14">
        <f t="shared" si="5"/>
        <v>-229.89</v>
      </c>
      <c r="U9" s="14">
        <f t="shared" si="5"/>
        <v>-229.89</v>
      </c>
      <c r="V9" s="14">
        <f t="shared" si="5"/>
        <v>-229.89</v>
      </c>
      <c r="W9" s="14">
        <f t="shared" si="5"/>
        <v>-229.89</v>
      </c>
      <c r="X9" s="14">
        <f t="shared" si="5"/>
        <v>-229.89</v>
      </c>
    </row>
    <row r="10" spans="1:143" x14ac:dyDescent="0.25">
      <c r="C10" s="2" t="s">
        <v>58</v>
      </c>
      <c r="H10" s="14">
        <v>-24.6</v>
      </c>
      <c r="I10" s="14">
        <v>-25.853999999999999</v>
      </c>
      <c r="J10" s="14">
        <v>-25.940999999999999</v>
      </c>
      <c r="K10" s="14">
        <v>-29.920999999999999</v>
      </c>
      <c r="L10" s="14">
        <v>-31.195</v>
      </c>
      <c r="M10" s="14">
        <v>-34.566000000000003</v>
      </c>
      <c r="N10" s="14">
        <v>-32</v>
      </c>
      <c r="O10" s="21">
        <f t="shared" ref="O10:O11" si="6">N10*0.96</f>
        <v>-30.72</v>
      </c>
      <c r="P10" s="14">
        <f t="shared" si="5"/>
        <v>-30.72</v>
      </c>
      <c r="Q10" s="14">
        <f t="shared" si="5"/>
        <v>-30.72</v>
      </c>
      <c r="R10" s="14">
        <f t="shared" si="5"/>
        <v>-30.72</v>
      </c>
      <c r="S10" s="14">
        <f t="shared" si="5"/>
        <v>-30.72</v>
      </c>
      <c r="T10" s="14">
        <f t="shared" si="5"/>
        <v>-30.72</v>
      </c>
      <c r="U10" s="14">
        <f t="shared" si="5"/>
        <v>-30.72</v>
      </c>
      <c r="V10" s="14">
        <f t="shared" si="5"/>
        <v>-30.72</v>
      </c>
      <c r="W10" s="14">
        <f t="shared" si="5"/>
        <v>-30.72</v>
      </c>
      <c r="X10" s="14">
        <f t="shared" si="5"/>
        <v>-30.72</v>
      </c>
    </row>
    <row r="11" spans="1:143" x14ac:dyDescent="0.25">
      <c r="C11" s="2" t="s">
        <v>59</v>
      </c>
      <c r="H11" s="14">
        <v>-3.1619999999999999</v>
      </c>
      <c r="I11" s="14">
        <v>-5.3</v>
      </c>
      <c r="J11" s="14">
        <v>-4.6909999999999998</v>
      </c>
      <c r="K11" s="14">
        <v>-17.154</v>
      </c>
      <c r="L11" s="14">
        <v>-15.57</v>
      </c>
      <c r="M11" s="14">
        <v>-14.816000000000001</v>
      </c>
      <c r="N11" s="14">
        <v>-14</v>
      </c>
      <c r="O11" s="21">
        <f t="shared" si="6"/>
        <v>-13.44</v>
      </c>
      <c r="P11" s="14">
        <f t="shared" si="5"/>
        <v>-13.44</v>
      </c>
      <c r="Q11" s="14">
        <f t="shared" si="5"/>
        <v>-13.44</v>
      </c>
      <c r="R11" s="14">
        <f t="shared" si="5"/>
        <v>-13.44</v>
      </c>
      <c r="S11" s="14">
        <f t="shared" si="5"/>
        <v>-13.44</v>
      </c>
      <c r="T11" s="14">
        <f t="shared" si="5"/>
        <v>-13.44</v>
      </c>
      <c r="U11" s="14">
        <f t="shared" si="5"/>
        <v>-13.44</v>
      </c>
      <c r="V11" s="14">
        <f t="shared" si="5"/>
        <v>-13.44</v>
      </c>
      <c r="W11" s="14">
        <f t="shared" si="5"/>
        <v>-13.44</v>
      </c>
      <c r="X11" s="14">
        <f t="shared" si="5"/>
        <v>-13.44</v>
      </c>
    </row>
    <row r="12" spans="1:143" x14ac:dyDescent="0.25">
      <c r="C12" s="1" t="s">
        <v>60</v>
      </c>
      <c r="D12" s="1"/>
      <c r="E12" s="1"/>
      <c r="F12" s="1"/>
      <c r="G12" s="1"/>
      <c r="H12" s="13">
        <f t="shared" ref="H12:N12" si="7">SUM(H6:H11)</f>
        <v>66.173000000000002</v>
      </c>
      <c r="I12" s="13">
        <f t="shared" si="7"/>
        <v>50.810000000000059</v>
      </c>
      <c r="J12" s="13">
        <f t="shared" si="7"/>
        <v>119.54700000000005</v>
      </c>
      <c r="K12" s="13">
        <f t="shared" si="7"/>
        <v>136.41500000000002</v>
      </c>
      <c r="L12" s="13">
        <f t="shared" si="7"/>
        <v>62.996999999999922</v>
      </c>
      <c r="M12" s="13">
        <f t="shared" si="7"/>
        <v>82.851999999999975</v>
      </c>
      <c r="N12" s="13">
        <f t="shared" si="7"/>
        <v>72</v>
      </c>
      <c r="O12" s="20">
        <f t="shared" ref="O12:X12" si="8">SUM(O6:O11)</f>
        <v>66.429999999999978</v>
      </c>
      <c r="P12" s="13">
        <f t="shared" si="8"/>
        <v>66.429999999999978</v>
      </c>
      <c r="Q12" s="13">
        <f t="shared" si="8"/>
        <v>66.429999999999978</v>
      </c>
      <c r="R12" s="13">
        <f t="shared" si="8"/>
        <v>66.429999999999978</v>
      </c>
      <c r="S12" s="13">
        <f t="shared" si="8"/>
        <v>66.429999999999978</v>
      </c>
      <c r="T12" s="13">
        <f t="shared" si="8"/>
        <v>66.429999999999978</v>
      </c>
      <c r="U12" s="13">
        <f t="shared" si="8"/>
        <v>66.429999999999978</v>
      </c>
      <c r="V12" s="13">
        <f t="shared" si="8"/>
        <v>66.429999999999978</v>
      </c>
      <c r="W12" s="13">
        <f t="shared" si="8"/>
        <v>66.429999999999978</v>
      </c>
      <c r="X12" s="13">
        <f t="shared" si="8"/>
        <v>66.429999999999978</v>
      </c>
    </row>
    <row r="13" spans="1:143" x14ac:dyDescent="0.25">
      <c r="C13" s="2" t="s">
        <v>61</v>
      </c>
      <c r="H13" s="14">
        <v>-3</v>
      </c>
      <c r="I13" s="14">
        <v>-3.698</v>
      </c>
      <c r="J13" s="14">
        <v>-3.343</v>
      </c>
      <c r="K13" s="14">
        <v>-4</v>
      </c>
      <c r="L13" s="14">
        <f>2.325-12.758</f>
        <v>-10.433</v>
      </c>
      <c r="M13" s="14">
        <f>3.834-8.652</f>
        <v>-4.8179999999999996</v>
      </c>
      <c r="N13" s="14">
        <v>-6</v>
      </c>
      <c r="O13" s="21">
        <v>-6</v>
      </c>
      <c r="P13" s="14">
        <v>-6</v>
      </c>
      <c r="Q13" s="14">
        <v>-6</v>
      </c>
      <c r="R13" s="14">
        <v>-6</v>
      </c>
      <c r="S13" s="14">
        <v>-6</v>
      </c>
      <c r="T13" s="14">
        <v>-6</v>
      </c>
      <c r="U13" s="14">
        <v>-6</v>
      </c>
      <c r="V13" s="14">
        <v>-6</v>
      </c>
      <c r="W13" s="14">
        <v>-6</v>
      </c>
      <c r="X13" s="14">
        <v>-6</v>
      </c>
    </row>
    <row r="14" spans="1:143" x14ac:dyDescent="0.25">
      <c r="C14" s="2" t="s">
        <v>62</v>
      </c>
      <c r="D14" s="1"/>
      <c r="E14" s="1"/>
      <c r="F14" s="1"/>
      <c r="G14" s="1"/>
      <c r="H14" s="14">
        <f t="shared" ref="H14:N14" si="9">SUM(H12:H13)</f>
        <v>63.173000000000002</v>
      </c>
      <c r="I14" s="14">
        <f t="shared" si="9"/>
        <v>47.112000000000059</v>
      </c>
      <c r="J14" s="14">
        <f t="shared" si="9"/>
        <v>116.20400000000005</v>
      </c>
      <c r="K14" s="14">
        <f t="shared" si="9"/>
        <v>132.41500000000002</v>
      </c>
      <c r="L14" s="14">
        <f t="shared" si="9"/>
        <v>52.563999999999922</v>
      </c>
      <c r="M14" s="14">
        <f t="shared" si="9"/>
        <v>78.033999999999978</v>
      </c>
      <c r="N14" s="14">
        <f t="shared" si="9"/>
        <v>66</v>
      </c>
      <c r="O14" s="21">
        <f t="shared" ref="O14:X14" si="10">SUM(O12:O13)</f>
        <v>60.429999999999978</v>
      </c>
      <c r="P14" s="14">
        <f t="shared" si="10"/>
        <v>60.429999999999978</v>
      </c>
      <c r="Q14" s="14">
        <f t="shared" si="10"/>
        <v>60.429999999999978</v>
      </c>
      <c r="R14" s="14">
        <f t="shared" si="10"/>
        <v>60.429999999999978</v>
      </c>
      <c r="S14" s="14">
        <f t="shared" si="10"/>
        <v>60.429999999999978</v>
      </c>
      <c r="T14" s="14">
        <f t="shared" si="10"/>
        <v>60.429999999999978</v>
      </c>
      <c r="U14" s="14">
        <f t="shared" si="10"/>
        <v>60.429999999999978</v>
      </c>
      <c r="V14" s="14">
        <f t="shared" si="10"/>
        <v>60.429999999999978</v>
      </c>
      <c r="W14" s="14">
        <f t="shared" si="10"/>
        <v>60.429999999999978</v>
      </c>
      <c r="X14" s="14">
        <f t="shared" si="10"/>
        <v>60.429999999999978</v>
      </c>
    </row>
    <row r="15" spans="1:143" x14ac:dyDescent="0.25">
      <c r="C15" s="2" t="s">
        <v>63</v>
      </c>
      <c r="H15" s="14">
        <v>-15.84</v>
      </c>
      <c r="I15" s="14">
        <v>-13.551</v>
      </c>
      <c r="J15" s="14">
        <v>-28.765999999999998</v>
      </c>
      <c r="K15" s="14">
        <v>-31.417000000000002</v>
      </c>
      <c r="L15" s="14">
        <v>-13.176</v>
      </c>
      <c r="M15" s="14">
        <v>-19</v>
      </c>
      <c r="N15" s="14">
        <v>-17</v>
      </c>
      <c r="O15" s="21">
        <f>O14*-0.2</f>
        <v>-12.085999999999997</v>
      </c>
      <c r="P15" s="14">
        <f t="shared" ref="P15:X15" si="11">P14*-0.2</f>
        <v>-12.085999999999997</v>
      </c>
      <c r="Q15" s="14">
        <f t="shared" si="11"/>
        <v>-12.085999999999997</v>
      </c>
      <c r="R15" s="14">
        <f t="shared" si="11"/>
        <v>-12.085999999999997</v>
      </c>
      <c r="S15" s="14">
        <f t="shared" si="11"/>
        <v>-12.085999999999997</v>
      </c>
      <c r="T15" s="14">
        <f t="shared" si="11"/>
        <v>-12.085999999999997</v>
      </c>
      <c r="U15" s="14">
        <f t="shared" si="11"/>
        <v>-12.085999999999997</v>
      </c>
      <c r="V15" s="14">
        <f t="shared" si="11"/>
        <v>-12.085999999999997</v>
      </c>
      <c r="W15" s="14">
        <f t="shared" si="11"/>
        <v>-12.085999999999997</v>
      </c>
      <c r="X15" s="14">
        <f t="shared" si="11"/>
        <v>-12.085999999999997</v>
      </c>
    </row>
    <row r="16" spans="1:143" x14ac:dyDescent="0.25">
      <c r="C16" s="1" t="s">
        <v>64</v>
      </c>
      <c r="H16" s="13">
        <f t="shared" ref="H16:N16" si="12">SUM(H14:H15)</f>
        <v>47.332999999999998</v>
      </c>
      <c r="I16" s="13">
        <f t="shared" si="12"/>
        <v>33.561000000000057</v>
      </c>
      <c r="J16" s="13">
        <f t="shared" si="12"/>
        <v>87.438000000000045</v>
      </c>
      <c r="K16" s="13">
        <f t="shared" si="12"/>
        <v>100.99800000000002</v>
      </c>
      <c r="L16" s="13">
        <f t="shared" si="12"/>
        <v>39.38799999999992</v>
      </c>
      <c r="M16" s="13">
        <f t="shared" si="12"/>
        <v>59.033999999999978</v>
      </c>
      <c r="N16" s="13">
        <f t="shared" si="12"/>
        <v>49</v>
      </c>
      <c r="O16" s="20">
        <f t="shared" ref="O16:X16" si="13">SUM(O14:O15)</f>
        <v>48.34399999999998</v>
      </c>
      <c r="P16" s="13">
        <f t="shared" si="13"/>
        <v>48.34399999999998</v>
      </c>
      <c r="Q16" s="13">
        <f t="shared" si="13"/>
        <v>48.34399999999998</v>
      </c>
      <c r="R16" s="13">
        <f t="shared" si="13"/>
        <v>48.34399999999998</v>
      </c>
      <c r="S16" s="13">
        <f t="shared" si="13"/>
        <v>48.34399999999998</v>
      </c>
      <c r="T16" s="13">
        <f t="shared" si="13"/>
        <v>48.34399999999998</v>
      </c>
      <c r="U16" s="13">
        <f t="shared" si="13"/>
        <v>48.34399999999998</v>
      </c>
      <c r="V16" s="13">
        <f t="shared" si="13"/>
        <v>48.34399999999998</v>
      </c>
      <c r="W16" s="13">
        <f t="shared" si="13"/>
        <v>48.34399999999998</v>
      </c>
      <c r="X16" s="13">
        <f t="shared" si="13"/>
        <v>48.34399999999998</v>
      </c>
      <c r="Y16" s="13">
        <f>X16*(1+$AA$20)</f>
        <v>47.860559999999978</v>
      </c>
      <c r="Z16" s="13">
        <f t="shared" ref="Z16:CK16" si="14">Y16*(1+$AA$20)</f>
        <v>47.381954399999977</v>
      </c>
      <c r="AA16" s="13">
        <f t="shared" si="14"/>
        <v>46.908134855999975</v>
      </c>
      <c r="AB16" s="13">
        <f t="shared" si="14"/>
        <v>46.439053507439972</v>
      </c>
      <c r="AC16" s="13">
        <f t="shared" si="14"/>
        <v>45.974662972365572</v>
      </c>
      <c r="AD16" s="13">
        <f t="shared" si="14"/>
        <v>45.514916342641918</v>
      </c>
      <c r="AE16" s="13">
        <f t="shared" si="14"/>
        <v>45.059767179215498</v>
      </c>
      <c r="AF16" s="13">
        <f t="shared" si="14"/>
        <v>44.609169507423346</v>
      </c>
      <c r="AG16" s="13">
        <f t="shared" si="14"/>
        <v>44.163077812349108</v>
      </c>
      <c r="AH16" s="13">
        <f t="shared" si="14"/>
        <v>43.721447034225619</v>
      </c>
      <c r="AI16" s="13">
        <f t="shared" si="14"/>
        <v>43.284232563883364</v>
      </c>
      <c r="AJ16" s="13">
        <f t="shared" si="14"/>
        <v>42.851390238244534</v>
      </c>
      <c r="AK16" s="13">
        <f t="shared" si="14"/>
        <v>42.422876335862085</v>
      </c>
      <c r="AL16" s="13">
        <f t="shared" si="14"/>
        <v>41.998647572503465</v>
      </c>
      <c r="AM16" s="13">
        <f t="shared" si="14"/>
        <v>41.578661096778433</v>
      </c>
      <c r="AN16" s="13">
        <f t="shared" si="14"/>
        <v>41.162874485810647</v>
      </c>
      <c r="AO16" s="13">
        <f t="shared" si="14"/>
        <v>40.751245740952541</v>
      </c>
      <c r="AP16" s="13">
        <f t="shared" si="14"/>
        <v>40.343733283543017</v>
      </c>
      <c r="AQ16" s="13">
        <f t="shared" si="14"/>
        <v>39.940295950707586</v>
      </c>
      <c r="AR16" s="13">
        <f t="shared" si="14"/>
        <v>39.540892991200508</v>
      </c>
      <c r="AS16" s="13">
        <f t="shared" si="14"/>
        <v>39.145484061288499</v>
      </c>
      <c r="AT16" s="13">
        <f t="shared" si="14"/>
        <v>38.754029220675612</v>
      </c>
      <c r="AU16" s="13">
        <f t="shared" si="14"/>
        <v>38.366488928468854</v>
      </c>
      <c r="AV16" s="13">
        <f t="shared" si="14"/>
        <v>37.982824039184166</v>
      </c>
      <c r="AW16" s="13">
        <f t="shared" si="14"/>
        <v>37.602995798792321</v>
      </c>
      <c r="AX16" s="13">
        <f t="shared" si="14"/>
        <v>37.226965840804397</v>
      </c>
      <c r="AY16" s="13">
        <f t="shared" si="14"/>
        <v>36.854696182396353</v>
      </c>
      <c r="AZ16" s="13">
        <f t="shared" si="14"/>
        <v>36.486149220572386</v>
      </c>
      <c r="BA16" s="13">
        <f t="shared" si="14"/>
        <v>36.12128772836666</v>
      </c>
      <c r="BB16" s="13">
        <f t="shared" si="14"/>
        <v>35.76007485108299</v>
      </c>
      <c r="BC16" s="13">
        <f t="shared" si="14"/>
        <v>35.402474102572157</v>
      </c>
      <c r="BD16" s="13">
        <f t="shared" si="14"/>
        <v>35.048449361546432</v>
      </c>
      <c r="BE16" s="13">
        <f t="shared" si="14"/>
        <v>34.69796486793097</v>
      </c>
      <c r="BF16" s="13">
        <f t="shared" si="14"/>
        <v>34.350985219251662</v>
      </c>
      <c r="BG16" s="13">
        <f t="shared" si="14"/>
        <v>34.007475367059143</v>
      </c>
      <c r="BH16" s="13">
        <f t="shared" si="14"/>
        <v>33.667400613388551</v>
      </c>
      <c r="BI16" s="13">
        <f t="shared" si="14"/>
        <v>33.330726607254668</v>
      </c>
      <c r="BJ16" s="13">
        <f t="shared" si="14"/>
        <v>32.997419341182123</v>
      </c>
      <c r="BK16" s="13">
        <f t="shared" si="14"/>
        <v>32.667445147770302</v>
      </c>
      <c r="BL16" s="13">
        <f t="shared" si="14"/>
        <v>32.340770696292601</v>
      </c>
      <c r="BM16" s="13">
        <f t="shared" si="14"/>
        <v>32.017362989329676</v>
      </c>
      <c r="BN16" s="13">
        <f t="shared" si="14"/>
        <v>31.697189359436379</v>
      </c>
      <c r="BO16" s="13">
        <f t="shared" si="14"/>
        <v>31.380217465842016</v>
      </c>
      <c r="BP16" s="13">
        <f t="shared" si="14"/>
        <v>31.066415291183596</v>
      </c>
      <c r="BQ16" s="13">
        <f t="shared" si="14"/>
        <v>30.755751138271759</v>
      </c>
      <c r="BR16" s="13">
        <f t="shared" si="14"/>
        <v>30.44819362688904</v>
      </c>
      <c r="BS16" s="13">
        <f t="shared" si="14"/>
        <v>30.143711690620151</v>
      </c>
      <c r="BT16" s="13">
        <f t="shared" si="14"/>
        <v>29.842274573713951</v>
      </c>
      <c r="BU16" s="13">
        <f t="shared" si="14"/>
        <v>29.543851827976813</v>
      </c>
      <c r="BV16" s="13">
        <f t="shared" si="14"/>
        <v>29.248413309697042</v>
      </c>
      <c r="BW16" s="13">
        <f t="shared" si="14"/>
        <v>28.955929176600073</v>
      </c>
      <c r="BX16" s="13">
        <f t="shared" si="14"/>
        <v>28.666369884834072</v>
      </c>
      <c r="BY16" s="13">
        <f t="shared" si="14"/>
        <v>28.379706185985732</v>
      </c>
      <c r="BZ16" s="13">
        <f t="shared" si="14"/>
        <v>28.095909124125875</v>
      </c>
      <c r="CA16" s="13">
        <f t="shared" si="14"/>
        <v>27.814950032884617</v>
      </c>
      <c r="CB16" s="13">
        <f t="shared" si="14"/>
        <v>27.53680053255577</v>
      </c>
      <c r="CC16" s="13">
        <f t="shared" si="14"/>
        <v>27.261432527230212</v>
      </c>
      <c r="CD16" s="13">
        <f t="shared" si="14"/>
        <v>26.988818201957908</v>
      </c>
      <c r="CE16" s="13">
        <f t="shared" si="14"/>
        <v>26.71893001993833</v>
      </c>
      <c r="CF16" s="13">
        <f t="shared" si="14"/>
        <v>26.451740719738947</v>
      </c>
      <c r="CG16" s="13">
        <f t="shared" si="14"/>
        <v>26.187223312541558</v>
      </c>
      <c r="CH16" s="13">
        <f t="shared" si="14"/>
        <v>25.925351079416142</v>
      </c>
      <c r="CI16" s="13">
        <f t="shared" si="14"/>
        <v>25.666097568621982</v>
      </c>
      <c r="CJ16" s="13">
        <f t="shared" si="14"/>
        <v>25.409436592935762</v>
      </c>
      <c r="CK16" s="13">
        <f t="shared" si="14"/>
        <v>25.155342227006404</v>
      </c>
      <c r="CL16" s="13">
        <f t="shared" ref="CL16:EM16" si="15">CK16*(1+$AA$20)</f>
        <v>24.90378880473634</v>
      </c>
      <c r="CM16" s="13">
        <f t="shared" si="15"/>
        <v>24.654750916688975</v>
      </c>
      <c r="CN16" s="13">
        <f t="shared" si="15"/>
        <v>24.408203407522084</v>
      </c>
      <c r="CO16" s="13">
        <f t="shared" si="15"/>
        <v>24.164121373446864</v>
      </c>
      <c r="CP16" s="13">
        <f t="shared" si="15"/>
        <v>23.922480159712396</v>
      </c>
      <c r="CQ16" s="13">
        <f t="shared" si="15"/>
        <v>23.683255358115272</v>
      </c>
      <c r="CR16" s="13">
        <f t="shared" si="15"/>
        <v>23.446422804534119</v>
      </c>
      <c r="CS16" s="13">
        <f t="shared" si="15"/>
        <v>23.211958576488779</v>
      </c>
      <c r="CT16" s="13">
        <f t="shared" si="15"/>
        <v>22.979838990723891</v>
      </c>
      <c r="CU16" s="13">
        <f t="shared" si="15"/>
        <v>22.750040600816654</v>
      </c>
      <c r="CV16" s="13">
        <f t="shared" si="15"/>
        <v>22.522540194808485</v>
      </c>
      <c r="CW16" s="13">
        <f t="shared" si="15"/>
        <v>22.297314792860401</v>
      </c>
      <c r="CX16" s="13">
        <f t="shared" si="15"/>
        <v>22.074341644931796</v>
      </c>
      <c r="CY16" s="13">
        <f t="shared" si="15"/>
        <v>21.853598228482479</v>
      </c>
      <c r="CZ16" s="13">
        <f t="shared" si="15"/>
        <v>21.635062246197656</v>
      </c>
      <c r="DA16" s="13">
        <f t="shared" si="15"/>
        <v>21.418711623735678</v>
      </c>
      <c r="DB16" s="13">
        <f t="shared" si="15"/>
        <v>21.20452450749832</v>
      </c>
      <c r="DC16" s="13">
        <f t="shared" si="15"/>
        <v>20.992479262423338</v>
      </c>
      <c r="DD16" s="13">
        <f t="shared" si="15"/>
        <v>20.782554469799106</v>
      </c>
      <c r="DE16" s="13">
        <f t="shared" si="15"/>
        <v>20.574728925101116</v>
      </c>
      <c r="DF16" s="13">
        <f t="shared" si="15"/>
        <v>20.368981635850105</v>
      </c>
      <c r="DG16" s="13">
        <f t="shared" si="15"/>
        <v>20.165291819491603</v>
      </c>
      <c r="DH16" s="13">
        <f t="shared" si="15"/>
        <v>19.963638901296687</v>
      </c>
      <c r="DI16" s="13">
        <f t="shared" si="15"/>
        <v>19.764002512283721</v>
      </c>
      <c r="DJ16" s="13">
        <f t="shared" si="15"/>
        <v>19.566362487160884</v>
      </c>
      <c r="DK16" s="13">
        <f t="shared" si="15"/>
        <v>19.370698862289274</v>
      </c>
      <c r="DL16" s="13">
        <f t="shared" si="15"/>
        <v>19.176991873666381</v>
      </c>
      <c r="DM16" s="13">
        <f t="shared" si="15"/>
        <v>18.985221954929717</v>
      </c>
      <c r="DN16" s="13">
        <f t="shared" si="15"/>
        <v>18.795369735380419</v>
      </c>
      <c r="DO16" s="13">
        <f t="shared" si="15"/>
        <v>18.607416038026614</v>
      </c>
      <c r="DP16" s="13">
        <f t="shared" si="15"/>
        <v>18.421341877646348</v>
      </c>
      <c r="DQ16" s="13">
        <f t="shared" si="15"/>
        <v>18.237128458869886</v>
      </c>
      <c r="DR16" s="13">
        <f t="shared" si="15"/>
        <v>18.054757174281189</v>
      </c>
      <c r="DS16" s="13">
        <f t="shared" si="15"/>
        <v>17.874209602538375</v>
      </c>
      <c r="DT16" s="13">
        <f t="shared" si="15"/>
        <v>17.69546750651299</v>
      </c>
      <c r="DU16" s="13">
        <f t="shared" si="15"/>
        <v>17.518512831447861</v>
      </c>
      <c r="DV16" s="13">
        <f t="shared" si="15"/>
        <v>17.343327703133383</v>
      </c>
      <c r="DW16" s="13">
        <f t="shared" si="15"/>
        <v>17.169894426102051</v>
      </c>
      <c r="DX16" s="13">
        <f t="shared" si="15"/>
        <v>16.99819548184103</v>
      </c>
      <c r="DY16" s="13">
        <f t="shared" si="15"/>
        <v>16.828213527022619</v>
      </c>
      <c r="DZ16" s="13">
        <f t="shared" si="15"/>
        <v>16.659931391752394</v>
      </c>
      <c r="EA16" s="13">
        <f t="shared" si="15"/>
        <v>16.493332077834872</v>
      </c>
      <c r="EB16" s="13">
        <f t="shared" si="15"/>
        <v>16.328398757056522</v>
      </c>
      <c r="EC16" s="13">
        <f t="shared" si="15"/>
        <v>16.165114769485957</v>
      </c>
      <c r="ED16" s="13">
        <f t="shared" si="15"/>
        <v>16.003463621791099</v>
      </c>
      <c r="EE16" s="13">
        <f t="shared" si="15"/>
        <v>15.843428985573187</v>
      </c>
      <c r="EF16" s="13">
        <f t="shared" si="15"/>
        <v>15.684994695717455</v>
      </c>
      <c r="EG16" s="13">
        <f t="shared" si="15"/>
        <v>15.52814474876028</v>
      </c>
      <c r="EH16" s="13">
        <f t="shared" si="15"/>
        <v>15.372863301272677</v>
      </c>
      <c r="EI16" s="13">
        <f t="shared" si="15"/>
        <v>15.219134668259949</v>
      </c>
      <c r="EJ16" s="13">
        <f t="shared" si="15"/>
        <v>15.06694332157735</v>
      </c>
      <c r="EK16" s="13">
        <f t="shared" si="15"/>
        <v>14.916273888361577</v>
      </c>
      <c r="EL16" s="13">
        <f t="shared" si="15"/>
        <v>14.767111149477961</v>
      </c>
      <c r="EM16" s="13">
        <f t="shared" si="15"/>
        <v>14.61944003798318</v>
      </c>
    </row>
    <row r="17" spans="3:27" x14ac:dyDescent="0.25">
      <c r="C17" s="2" t="s">
        <v>65</v>
      </c>
      <c r="H17" s="12">
        <v>11.401999999999999</v>
      </c>
      <c r="I17" s="12">
        <v>11.401999999999999</v>
      </c>
      <c r="J17" s="12">
        <v>11.401999999999999</v>
      </c>
      <c r="K17" s="12">
        <v>11.401999999999999</v>
      </c>
      <c r="L17" s="12">
        <v>11.401999999999999</v>
      </c>
      <c r="M17" s="12">
        <v>11.401999999999999</v>
      </c>
      <c r="N17" s="12">
        <v>11.401999999999999</v>
      </c>
      <c r="O17" s="18">
        <v>11.401999999999999</v>
      </c>
      <c r="P17" s="12">
        <v>11.401999999999999</v>
      </c>
      <c r="Q17" s="12">
        <v>11.401999999999999</v>
      </c>
      <c r="R17" s="12">
        <v>11.401999999999999</v>
      </c>
      <c r="S17" s="12">
        <v>11.401999999999999</v>
      </c>
      <c r="T17" s="12">
        <v>11.401999999999999</v>
      </c>
      <c r="U17" s="12">
        <v>11.401999999999999</v>
      </c>
      <c r="V17" s="12">
        <v>11.401999999999999</v>
      </c>
      <c r="W17" s="12">
        <v>11.401999999999999</v>
      </c>
      <c r="X17" s="12">
        <v>11.401999999999999</v>
      </c>
    </row>
    <row r="18" spans="3:27" x14ac:dyDescent="0.25">
      <c r="C18" s="2" t="s">
        <v>66</v>
      </c>
      <c r="H18" s="11">
        <f t="shared" ref="H18:N18" si="16">H16/H17</f>
        <v>4.151289247500439</v>
      </c>
      <c r="I18" s="11">
        <f t="shared" si="16"/>
        <v>2.9434309770215803</v>
      </c>
      <c r="J18" s="11">
        <f t="shared" si="16"/>
        <v>7.6686546219961453</v>
      </c>
      <c r="K18" s="11">
        <f t="shared" si="16"/>
        <v>8.8579196632169825</v>
      </c>
      <c r="L18" s="11">
        <f t="shared" si="16"/>
        <v>3.4544816698824699</v>
      </c>
      <c r="M18" s="11">
        <f t="shared" si="16"/>
        <v>5.17751271706718</v>
      </c>
      <c r="N18" s="11">
        <f t="shared" si="16"/>
        <v>4.2974916681283988</v>
      </c>
      <c r="O18" s="19">
        <f t="shared" ref="O18:X18" si="17">O16/O17</f>
        <v>4.2399579021224332</v>
      </c>
      <c r="P18" s="11">
        <f t="shared" si="17"/>
        <v>4.2399579021224332</v>
      </c>
      <c r="Q18" s="11">
        <f t="shared" si="17"/>
        <v>4.2399579021224332</v>
      </c>
      <c r="R18" s="11">
        <f t="shared" si="17"/>
        <v>4.2399579021224332</v>
      </c>
      <c r="S18" s="11">
        <f t="shared" si="17"/>
        <v>4.2399579021224332</v>
      </c>
      <c r="T18" s="11">
        <f t="shared" si="17"/>
        <v>4.2399579021224332</v>
      </c>
      <c r="U18" s="11">
        <f t="shared" si="17"/>
        <v>4.2399579021224332</v>
      </c>
      <c r="V18" s="11">
        <f t="shared" si="17"/>
        <v>4.2399579021224332</v>
      </c>
      <c r="W18" s="11">
        <f t="shared" si="17"/>
        <v>4.2399579021224332</v>
      </c>
      <c r="X18" s="11">
        <f t="shared" si="17"/>
        <v>4.2399579021224332</v>
      </c>
    </row>
    <row r="19" spans="3:27" x14ac:dyDescent="0.25">
      <c r="Z19" s="2" t="s">
        <v>105</v>
      </c>
      <c r="AA19" s="26">
        <v>0.08</v>
      </c>
    </row>
    <row r="20" spans="3:27" x14ac:dyDescent="0.25">
      <c r="C20" s="1" t="s">
        <v>38</v>
      </c>
      <c r="E20" s="15" t="e">
        <f t="shared" ref="E20:M20" si="18">(E4-D4)/D4</f>
        <v>#DIV/0!</v>
      </c>
      <c r="F20" s="15" t="e">
        <f t="shared" si="18"/>
        <v>#DIV/0!</v>
      </c>
      <c r="G20" s="15" t="e">
        <f t="shared" si="18"/>
        <v>#DIV/0!</v>
      </c>
      <c r="H20" s="15" t="e">
        <f t="shared" si="18"/>
        <v>#DIV/0!</v>
      </c>
      <c r="I20" s="15">
        <f t="shared" si="18"/>
        <v>-0.115354186445477</v>
      </c>
      <c r="J20" s="15">
        <f t="shared" si="18"/>
        <v>0.25546513032686441</v>
      </c>
      <c r="K20" s="15">
        <f t="shared" si="18"/>
        <v>0.21879522408652033</v>
      </c>
      <c r="L20" s="15">
        <f t="shared" si="18"/>
        <v>-8.2129036624154939E-2</v>
      </c>
      <c r="M20" s="15">
        <f t="shared" si="18"/>
        <v>7.5632204709543974E-2</v>
      </c>
      <c r="N20" s="15">
        <f>(N4-M4)/M4</f>
        <v>-1.8552983598929894E-2</v>
      </c>
      <c r="O20" s="23">
        <f t="shared" ref="O20:X20" si="19">(O4-N4)/N4</f>
        <v>0</v>
      </c>
      <c r="P20" s="15">
        <f t="shared" si="19"/>
        <v>0</v>
      </c>
      <c r="Q20" s="15">
        <f t="shared" si="19"/>
        <v>0</v>
      </c>
      <c r="R20" s="15">
        <f t="shared" si="19"/>
        <v>0</v>
      </c>
      <c r="S20" s="15">
        <f t="shared" si="19"/>
        <v>0</v>
      </c>
      <c r="T20" s="15">
        <f t="shared" si="19"/>
        <v>0</v>
      </c>
      <c r="U20" s="15">
        <f t="shared" si="19"/>
        <v>0</v>
      </c>
      <c r="V20" s="15">
        <f t="shared" si="19"/>
        <v>0</v>
      </c>
      <c r="W20" s="15">
        <f t="shared" si="19"/>
        <v>0</v>
      </c>
      <c r="X20" s="15">
        <f t="shared" si="19"/>
        <v>0</v>
      </c>
      <c r="Z20" s="2" t="s">
        <v>106</v>
      </c>
      <c r="AA20" s="26">
        <v>-0.01</v>
      </c>
    </row>
    <row r="21" spans="3:27" x14ac:dyDescent="0.25">
      <c r="C21" s="1" t="s">
        <v>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5"/>
      <c r="O21" s="23"/>
      <c r="P21" s="15"/>
      <c r="Q21" s="15"/>
      <c r="R21" s="15"/>
      <c r="S21" s="15"/>
      <c r="T21" s="15"/>
      <c r="U21" s="15"/>
      <c r="V21" s="15"/>
      <c r="W21" s="15"/>
      <c r="X21" s="15"/>
      <c r="Z21" s="25" t="s">
        <v>107</v>
      </c>
      <c r="AA21" s="27">
        <f>NPV(AA19,O16:EM16)</f>
        <v>570.70321482542954</v>
      </c>
    </row>
    <row r="22" spans="3:27" x14ac:dyDescent="0.25">
      <c r="C22" s="2" t="s">
        <v>45</v>
      </c>
      <c r="D22" s="16" t="e">
        <f t="shared" ref="D22:M22" si="20">D6/D4</f>
        <v>#DIV/0!</v>
      </c>
      <c r="E22" s="16" t="e">
        <f t="shared" si="20"/>
        <v>#DIV/0!</v>
      </c>
      <c r="F22" s="16" t="e">
        <f t="shared" si="20"/>
        <v>#DIV/0!</v>
      </c>
      <c r="G22" s="16" t="e">
        <f t="shared" si="20"/>
        <v>#DIV/0!</v>
      </c>
      <c r="H22" s="16">
        <f t="shared" si="20"/>
        <v>0.4342246983904906</v>
      </c>
      <c r="I22" s="16">
        <f t="shared" si="20"/>
        <v>0.45696381474177039</v>
      </c>
      <c r="J22" s="16">
        <f t="shared" si="20"/>
        <v>0.46990309704542221</v>
      </c>
      <c r="K22" s="16">
        <f t="shared" si="20"/>
        <v>0.46035613140317738</v>
      </c>
      <c r="L22" s="16">
        <f t="shared" si="20"/>
        <v>0.45254317379778602</v>
      </c>
      <c r="M22" s="16">
        <f t="shared" si="20"/>
        <v>0.46290234134831082</v>
      </c>
      <c r="N22" s="16">
        <f>N6/N4</f>
        <v>0.45925925925925926</v>
      </c>
      <c r="O22" s="24">
        <f t="shared" ref="O22:X22" si="21">O6/O4</f>
        <v>0.43999999999999995</v>
      </c>
      <c r="P22" s="16">
        <f t="shared" si="21"/>
        <v>0.43999999999999995</v>
      </c>
      <c r="Q22" s="16">
        <f t="shared" si="21"/>
        <v>0.43999999999999995</v>
      </c>
      <c r="R22" s="16">
        <f t="shared" si="21"/>
        <v>0.43999999999999995</v>
      </c>
      <c r="S22" s="16">
        <f t="shared" si="21"/>
        <v>0.43999999999999995</v>
      </c>
      <c r="T22" s="16">
        <f t="shared" si="21"/>
        <v>0.43999999999999995</v>
      </c>
      <c r="U22" s="16">
        <f t="shared" si="21"/>
        <v>0.43999999999999995</v>
      </c>
      <c r="V22" s="16">
        <f t="shared" si="21"/>
        <v>0.43999999999999995</v>
      </c>
      <c r="W22" s="16">
        <f t="shared" si="21"/>
        <v>0.43999999999999995</v>
      </c>
      <c r="X22" s="16">
        <f t="shared" si="21"/>
        <v>0.43999999999999995</v>
      </c>
      <c r="Z22" s="2" t="s">
        <v>2</v>
      </c>
      <c r="AA22" s="12">
        <v>11.401999999999999</v>
      </c>
    </row>
    <row r="23" spans="3:27" x14ac:dyDescent="0.25">
      <c r="C23" s="2" t="s">
        <v>39</v>
      </c>
      <c r="D23" s="16" t="e">
        <f t="shared" ref="D23:M23" si="22">D12/D4</f>
        <v>#DIV/0!</v>
      </c>
      <c r="E23" s="16" t="e">
        <f t="shared" si="22"/>
        <v>#DIV/0!</v>
      </c>
      <c r="F23" s="16" t="e">
        <f t="shared" si="22"/>
        <v>#DIV/0!</v>
      </c>
      <c r="G23" s="16" t="e">
        <f t="shared" si="22"/>
        <v>#DIV/0!</v>
      </c>
      <c r="H23" s="16">
        <f t="shared" si="22"/>
        <v>9.1847243736016035E-2</v>
      </c>
      <c r="I23" s="16">
        <f t="shared" si="22"/>
        <v>7.9719592882504298E-2</v>
      </c>
      <c r="J23" s="16">
        <f t="shared" si="22"/>
        <v>0.14939976155424647</v>
      </c>
      <c r="K23" s="16">
        <f t="shared" si="22"/>
        <v>0.13987580722229401</v>
      </c>
      <c r="L23" s="16">
        <f t="shared" si="22"/>
        <v>7.037504985136743E-2</v>
      </c>
      <c r="M23" s="16">
        <f t="shared" si="22"/>
        <v>8.6047458415726391E-2</v>
      </c>
      <c r="N23" s="16">
        <f>N12/N4</f>
        <v>7.6190476190476197E-2</v>
      </c>
      <c r="O23" s="24">
        <f t="shared" ref="O23:X23" si="23">O12/O4</f>
        <v>7.0296296296296273E-2</v>
      </c>
      <c r="P23" s="16">
        <f t="shared" si="23"/>
        <v>7.0296296296296273E-2</v>
      </c>
      <c r="Q23" s="16">
        <f t="shared" si="23"/>
        <v>7.0296296296296273E-2</v>
      </c>
      <c r="R23" s="16">
        <f t="shared" si="23"/>
        <v>7.0296296296296273E-2</v>
      </c>
      <c r="S23" s="16">
        <f t="shared" si="23"/>
        <v>7.0296296296296273E-2</v>
      </c>
      <c r="T23" s="16">
        <f t="shared" si="23"/>
        <v>7.0296296296296273E-2</v>
      </c>
      <c r="U23" s="16">
        <f t="shared" si="23"/>
        <v>7.0296296296296273E-2</v>
      </c>
      <c r="V23" s="16">
        <f t="shared" si="23"/>
        <v>7.0296296296296273E-2</v>
      </c>
      <c r="W23" s="16">
        <f t="shared" si="23"/>
        <v>7.0296296296296273E-2</v>
      </c>
      <c r="X23" s="16">
        <f t="shared" si="23"/>
        <v>7.0296296296296273E-2</v>
      </c>
      <c r="Z23" s="2" t="s">
        <v>108</v>
      </c>
      <c r="AA23" s="28">
        <f>AA21/AA22</f>
        <v>50.052904299721945</v>
      </c>
    </row>
    <row r="24" spans="3:27" x14ac:dyDescent="0.25">
      <c r="Z24" s="1" t="s">
        <v>109</v>
      </c>
      <c r="AA24" s="15">
        <f>(AA23-Modell!B4)/Modell!B4</f>
        <v>2.0601461405794202E-3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Region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2026-03-28T08:27:19Z</dcterms:modified>
</cp:coreProperties>
</file>