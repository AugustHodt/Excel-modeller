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8E691B0D-4343-EF44-AD5C-2CDD364D4BCE}" xr6:coauthVersionLast="47" xr6:coauthVersionMax="47" xr10:uidLastSave="{00000000-0000-0000-0000-000000000000}"/>
  <bookViews>
    <workbookView xWindow="0" yWindow="740" windowWidth="29400" windowHeight="17080" xr2:uid="{5AE0DF26-B7DD-1242-A60E-253C73A930AF}"/>
  </bookViews>
  <sheets>
    <sheet name="Info" sheetId="1" r:id="rId1"/>
    <sheet name="Modell" sheetId="2" r:id="rId2"/>
    <sheet name="Segementer" sheetId="4" r:id="rId3"/>
    <sheet name="Product type" sheetId="6" r:id="rId4"/>
    <sheet name="Nøkkeltall" sheetId="3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4" l="1"/>
  <c r="V46" i="4"/>
  <c r="V44" i="4"/>
  <c r="V42" i="4"/>
  <c r="V39" i="4"/>
  <c r="V36" i="4"/>
  <c r="Q48" i="4"/>
  <c r="Q46" i="4"/>
  <c r="Q44" i="4"/>
  <c r="Q42" i="4"/>
  <c r="Q39" i="4"/>
  <c r="Q36" i="4"/>
  <c r="L48" i="4"/>
  <c r="L46" i="4"/>
  <c r="L44" i="4"/>
  <c r="L42" i="4"/>
  <c r="L39" i="4"/>
  <c r="L36" i="4"/>
  <c r="L37" i="4" s="1"/>
  <c r="G48" i="4"/>
  <c r="G46" i="4"/>
  <c r="G44" i="4"/>
  <c r="G42" i="4"/>
  <c r="G39" i="4"/>
  <c r="G36" i="4"/>
  <c r="V33" i="4"/>
  <c r="V31" i="4"/>
  <c r="V29" i="4"/>
  <c r="V27" i="4"/>
  <c r="V24" i="4"/>
  <c r="V21" i="4"/>
  <c r="V22" i="4" s="1"/>
  <c r="Q33" i="4"/>
  <c r="Q31" i="4"/>
  <c r="Q29" i="4"/>
  <c r="Q27" i="4"/>
  <c r="Q24" i="4"/>
  <c r="Q21" i="4"/>
  <c r="L33" i="4"/>
  <c r="L31" i="4"/>
  <c r="L29" i="4"/>
  <c r="L27" i="4"/>
  <c r="L24" i="4"/>
  <c r="L21" i="4"/>
  <c r="G33" i="4"/>
  <c r="G31" i="4"/>
  <c r="G29" i="4"/>
  <c r="G27" i="4"/>
  <c r="G24" i="4"/>
  <c r="G21" i="4"/>
  <c r="V18" i="4"/>
  <c r="V16" i="4"/>
  <c r="V14" i="4"/>
  <c r="V12" i="4"/>
  <c r="V9" i="4"/>
  <c r="V6" i="4"/>
  <c r="Q18" i="4"/>
  <c r="Q16" i="4"/>
  <c r="Q14" i="4"/>
  <c r="Q12" i="4"/>
  <c r="Q9" i="4"/>
  <c r="Q6" i="4"/>
  <c r="Q7" i="4" s="1"/>
  <c r="L7" i="4"/>
  <c r="L18" i="4"/>
  <c r="L16" i="4"/>
  <c r="L14" i="4"/>
  <c r="L12" i="4"/>
  <c r="L9" i="4"/>
  <c r="L6" i="4"/>
  <c r="G18" i="4"/>
  <c r="G16" i="4"/>
  <c r="G14" i="4"/>
  <c r="G12" i="4"/>
  <c r="G9" i="4"/>
  <c r="G6" i="4"/>
  <c r="G27" i="6"/>
  <c r="G25" i="6"/>
  <c r="G23" i="6"/>
  <c r="G21" i="6"/>
  <c r="L27" i="6"/>
  <c r="L25" i="6"/>
  <c r="L23" i="6"/>
  <c r="L21" i="6"/>
  <c r="Q27" i="6"/>
  <c r="Q25" i="6"/>
  <c r="Q23" i="6"/>
  <c r="Q21" i="6"/>
  <c r="V22" i="6" s="1"/>
  <c r="V27" i="6"/>
  <c r="V28" i="6" s="1"/>
  <c r="V25" i="6"/>
  <c r="V26" i="6" s="1"/>
  <c r="V23" i="6"/>
  <c r="V21" i="6"/>
  <c r="V16" i="6"/>
  <c r="V17" i="6" s="1"/>
  <c r="V14" i="6"/>
  <c r="V15" i="6" s="1"/>
  <c r="V12" i="6"/>
  <c r="V13" i="6" s="1"/>
  <c r="V10" i="6"/>
  <c r="V11" i="6" s="1"/>
  <c r="Q16" i="6"/>
  <c r="Q17" i="6" s="1"/>
  <c r="Q14" i="6"/>
  <c r="Q15" i="6" s="1"/>
  <c r="Q12" i="6"/>
  <c r="Q13" i="6" s="1"/>
  <c r="Q10" i="6"/>
  <c r="Q11" i="6" s="1"/>
  <c r="L17" i="6"/>
  <c r="L15" i="6"/>
  <c r="L13" i="6"/>
  <c r="L11" i="6"/>
  <c r="L16" i="6"/>
  <c r="L14" i="6"/>
  <c r="L12" i="6"/>
  <c r="L10" i="6"/>
  <c r="G16" i="6"/>
  <c r="G14" i="6"/>
  <c r="G12" i="6"/>
  <c r="G10" i="6"/>
  <c r="U17" i="6"/>
  <c r="R17" i="6"/>
  <c r="R28" i="6"/>
  <c r="U28" i="6"/>
  <c r="P28" i="6"/>
  <c r="P17" i="6"/>
  <c r="B8" i="2"/>
  <c r="B7" i="2"/>
  <c r="N9" i="5"/>
  <c r="Q37" i="4" l="1"/>
  <c r="L22" i="4"/>
  <c r="V37" i="4"/>
  <c r="Q22" i="4"/>
  <c r="V7" i="4"/>
  <c r="L22" i="6"/>
  <c r="L24" i="6"/>
  <c r="L26" i="6"/>
  <c r="L28" i="6"/>
  <c r="Q24" i="6"/>
  <c r="Q26" i="6"/>
  <c r="Q28" i="6"/>
  <c r="Q22" i="6"/>
  <c r="V24" i="6"/>
  <c r="U40" i="4"/>
  <c r="U43" i="4" s="1"/>
  <c r="U45" i="4" s="1"/>
  <c r="U47" i="4" s="1"/>
  <c r="U49" i="4" s="1"/>
  <c r="T40" i="4"/>
  <c r="T43" i="4" s="1"/>
  <c r="T45" i="4" s="1"/>
  <c r="T47" i="4" s="1"/>
  <c r="T49" i="4" s="1"/>
  <c r="S40" i="4"/>
  <c r="S43" i="4" s="1"/>
  <c r="S45" i="4" s="1"/>
  <c r="S47" i="4" s="1"/>
  <c r="S49" i="4" s="1"/>
  <c r="R40" i="4"/>
  <c r="P40" i="4"/>
  <c r="P43" i="4" s="1"/>
  <c r="P45" i="4" s="1"/>
  <c r="P47" i="4" s="1"/>
  <c r="P49" i="4" s="1"/>
  <c r="O40" i="4"/>
  <c r="O43" i="4" s="1"/>
  <c r="O45" i="4" s="1"/>
  <c r="O47" i="4" s="1"/>
  <c r="O49" i="4" s="1"/>
  <c r="N40" i="4"/>
  <c r="N43" i="4" s="1"/>
  <c r="N45" i="4" s="1"/>
  <c r="N47" i="4" s="1"/>
  <c r="N49" i="4" s="1"/>
  <c r="M40" i="4"/>
  <c r="K40" i="4"/>
  <c r="K43" i="4" s="1"/>
  <c r="K45" i="4" s="1"/>
  <c r="K47" i="4" s="1"/>
  <c r="K49" i="4" s="1"/>
  <c r="J40" i="4"/>
  <c r="J43" i="4" s="1"/>
  <c r="J45" i="4" s="1"/>
  <c r="J47" i="4" s="1"/>
  <c r="J49" i="4" s="1"/>
  <c r="I40" i="4"/>
  <c r="I43" i="4" s="1"/>
  <c r="I45" i="4" s="1"/>
  <c r="I47" i="4" s="1"/>
  <c r="I49" i="4" s="1"/>
  <c r="H40" i="4"/>
  <c r="F40" i="4"/>
  <c r="F43" i="4" s="1"/>
  <c r="F45" i="4" s="1"/>
  <c r="F47" i="4" s="1"/>
  <c r="F49" i="4" s="1"/>
  <c r="E40" i="4"/>
  <c r="E43" i="4" s="1"/>
  <c r="E45" i="4" s="1"/>
  <c r="E47" i="4" s="1"/>
  <c r="E49" i="4" s="1"/>
  <c r="D40" i="4"/>
  <c r="D43" i="4" s="1"/>
  <c r="D45" i="4" s="1"/>
  <c r="D47" i="4" s="1"/>
  <c r="D49" i="4" s="1"/>
  <c r="C40" i="4"/>
  <c r="U37" i="4"/>
  <c r="T37" i="4"/>
  <c r="S37" i="4"/>
  <c r="R37" i="4"/>
  <c r="P37" i="4"/>
  <c r="O37" i="4"/>
  <c r="N37" i="4"/>
  <c r="M37" i="4"/>
  <c r="K37" i="4"/>
  <c r="J37" i="4"/>
  <c r="I37" i="4"/>
  <c r="H37" i="4"/>
  <c r="U25" i="4"/>
  <c r="U28" i="4" s="1"/>
  <c r="U30" i="4" s="1"/>
  <c r="U32" i="4" s="1"/>
  <c r="U34" i="4" s="1"/>
  <c r="T25" i="4"/>
  <c r="T28" i="4" s="1"/>
  <c r="T30" i="4" s="1"/>
  <c r="T32" i="4" s="1"/>
  <c r="T34" i="4" s="1"/>
  <c r="S25" i="4"/>
  <c r="S28" i="4" s="1"/>
  <c r="S30" i="4" s="1"/>
  <c r="S32" i="4" s="1"/>
  <c r="S34" i="4" s="1"/>
  <c r="R25" i="4"/>
  <c r="P25" i="4"/>
  <c r="P28" i="4" s="1"/>
  <c r="P30" i="4" s="1"/>
  <c r="P32" i="4" s="1"/>
  <c r="P34" i="4" s="1"/>
  <c r="O25" i="4"/>
  <c r="O28" i="4" s="1"/>
  <c r="O30" i="4" s="1"/>
  <c r="O32" i="4" s="1"/>
  <c r="O34" i="4" s="1"/>
  <c r="N25" i="4"/>
  <c r="N28" i="4" s="1"/>
  <c r="N30" i="4" s="1"/>
  <c r="N32" i="4" s="1"/>
  <c r="N34" i="4" s="1"/>
  <c r="M25" i="4"/>
  <c r="K25" i="4"/>
  <c r="K28" i="4" s="1"/>
  <c r="K30" i="4" s="1"/>
  <c r="K32" i="4" s="1"/>
  <c r="K34" i="4" s="1"/>
  <c r="J25" i="4"/>
  <c r="J28" i="4" s="1"/>
  <c r="J30" i="4" s="1"/>
  <c r="J32" i="4" s="1"/>
  <c r="J34" i="4" s="1"/>
  <c r="I25" i="4"/>
  <c r="I28" i="4" s="1"/>
  <c r="I30" i="4" s="1"/>
  <c r="I32" i="4" s="1"/>
  <c r="I34" i="4" s="1"/>
  <c r="H25" i="4"/>
  <c r="F25" i="4"/>
  <c r="F28" i="4" s="1"/>
  <c r="F30" i="4" s="1"/>
  <c r="F32" i="4" s="1"/>
  <c r="F34" i="4" s="1"/>
  <c r="E25" i="4"/>
  <c r="E28" i="4" s="1"/>
  <c r="E30" i="4" s="1"/>
  <c r="E32" i="4" s="1"/>
  <c r="E34" i="4" s="1"/>
  <c r="D25" i="4"/>
  <c r="D28" i="4" s="1"/>
  <c r="D30" i="4" s="1"/>
  <c r="D32" i="4" s="1"/>
  <c r="D34" i="4" s="1"/>
  <c r="C25" i="4"/>
  <c r="U22" i="4"/>
  <c r="T22" i="4"/>
  <c r="S22" i="4"/>
  <c r="R22" i="4"/>
  <c r="P22" i="4"/>
  <c r="O22" i="4"/>
  <c r="N22" i="4"/>
  <c r="M22" i="4"/>
  <c r="K22" i="4"/>
  <c r="J22" i="4"/>
  <c r="I22" i="4"/>
  <c r="H22" i="4"/>
  <c r="H7" i="4"/>
  <c r="I7" i="4"/>
  <c r="J7" i="4"/>
  <c r="K7" i="4"/>
  <c r="M7" i="4"/>
  <c r="N7" i="4"/>
  <c r="O7" i="4"/>
  <c r="P7" i="4"/>
  <c r="S7" i="4"/>
  <c r="T7" i="4"/>
  <c r="U7" i="4"/>
  <c r="R7" i="4"/>
  <c r="P10" i="4"/>
  <c r="P13" i="4" s="1"/>
  <c r="P15" i="4" s="1"/>
  <c r="P17" i="4" s="1"/>
  <c r="P19" i="4" s="1"/>
  <c r="O10" i="4"/>
  <c r="O13" i="4" s="1"/>
  <c r="O15" i="4" s="1"/>
  <c r="O17" i="4" s="1"/>
  <c r="O19" i="4" s="1"/>
  <c r="N10" i="4"/>
  <c r="N13" i="4" s="1"/>
  <c r="N15" i="4" s="1"/>
  <c r="N17" i="4" s="1"/>
  <c r="N19" i="4" s="1"/>
  <c r="M10" i="4"/>
  <c r="K10" i="4"/>
  <c r="K13" i="4" s="1"/>
  <c r="K15" i="4" s="1"/>
  <c r="K17" i="4" s="1"/>
  <c r="K19" i="4" s="1"/>
  <c r="J10" i="4"/>
  <c r="J13" i="4" s="1"/>
  <c r="J15" i="4" s="1"/>
  <c r="J17" i="4" s="1"/>
  <c r="J19" i="4" s="1"/>
  <c r="I10" i="4"/>
  <c r="I13" i="4" s="1"/>
  <c r="I15" i="4" s="1"/>
  <c r="I17" i="4" s="1"/>
  <c r="I19" i="4" s="1"/>
  <c r="H10" i="4"/>
  <c r="F10" i="4"/>
  <c r="F13" i="4" s="1"/>
  <c r="F15" i="4" s="1"/>
  <c r="F17" i="4" s="1"/>
  <c r="F19" i="4" s="1"/>
  <c r="E10" i="4"/>
  <c r="E13" i="4" s="1"/>
  <c r="E15" i="4" s="1"/>
  <c r="E17" i="4" s="1"/>
  <c r="E19" i="4" s="1"/>
  <c r="D10" i="4"/>
  <c r="D13" i="4" s="1"/>
  <c r="D15" i="4" s="1"/>
  <c r="D17" i="4" s="1"/>
  <c r="D19" i="4" s="1"/>
  <c r="C10" i="4"/>
  <c r="U10" i="4"/>
  <c r="U13" i="4" s="1"/>
  <c r="U15" i="4" s="1"/>
  <c r="U17" i="4" s="1"/>
  <c r="U19" i="4" s="1"/>
  <c r="T10" i="4"/>
  <c r="T13" i="4" s="1"/>
  <c r="T15" i="4" s="1"/>
  <c r="T17" i="4" s="1"/>
  <c r="T19" i="4" s="1"/>
  <c r="S10" i="4"/>
  <c r="S13" i="4" s="1"/>
  <c r="S15" i="4" s="1"/>
  <c r="S17" i="4" s="1"/>
  <c r="S19" i="4" s="1"/>
  <c r="R10" i="4"/>
  <c r="J26" i="6"/>
  <c r="U26" i="6"/>
  <c r="T26" i="6"/>
  <c r="S26" i="6"/>
  <c r="R26" i="6"/>
  <c r="P26" i="6"/>
  <c r="O26" i="6"/>
  <c r="N26" i="6"/>
  <c r="M26" i="6"/>
  <c r="K26" i="6"/>
  <c r="I26" i="6"/>
  <c r="H26" i="6"/>
  <c r="U24" i="6"/>
  <c r="T24" i="6"/>
  <c r="S24" i="6"/>
  <c r="R24" i="6"/>
  <c r="P24" i="6"/>
  <c r="O24" i="6"/>
  <c r="N24" i="6"/>
  <c r="M24" i="6"/>
  <c r="K24" i="6"/>
  <c r="J24" i="6"/>
  <c r="I24" i="6"/>
  <c r="H24" i="6"/>
  <c r="U22" i="6"/>
  <c r="T22" i="6"/>
  <c r="S22" i="6"/>
  <c r="R22" i="6"/>
  <c r="P22" i="6"/>
  <c r="O22" i="6"/>
  <c r="N22" i="6"/>
  <c r="M22" i="6"/>
  <c r="K22" i="6"/>
  <c r="J22" i="6"/>
  <c r="I22" i="6"/>
  <c r="H22" i="6"/>
  <c r="U15" i="6"/>
  <c r="T15" i="6"/>
  <c r="S15" i="6"/>
  <c r="R15" i="6"/>
  <c r="P15" i="6"/>
  <c r="O15" i="6"/>
  <c r="N15" i="6"/>
  <c r="M15" i="6"/>
  <c r="K15" i="6"/>
  <c r="J15" i="6"/>
  <c r="I15" i="6"/>
  <c r="H15" i="6"/>
  <c r="U13" i="6"/>
  <c r="T13" i="6"/>
  <c r="S13" i="6"/>
  <c r="R13" i="6"/>
  <c r="P13" i="6"/>
  <c r="O13" i="6"/>
  <c r="N13" i="6"/>
  <c r="M13" i="6"/>
  <c r="K13" i="6"/>
  <c r="J13" i="6"/>
  <c r="I13" i="6"/>
  <c r="H13" i="6"/>
  <c r="H11" i="6"/>
  <c r="I11" i="6"/>
  <c r="J11" i="6"/>
  <c r="K11" i="6"/>
  <c r="M11" i="6"/>
  <c r="N11" i="6"/>
  <c r="O11" i="6"/>
  <c r="P11" i="6"/>
  <c r="S11" i="6"/>
  <c r="T11" i="6"/>
  <c r="U11" i="6"/>
  <c r="R11" i="6"/>
  <c r="R27" i="6"/>
  <c r="U27" i="6"/>
  <c r="T27" i="6"/>
  <c r="S27" i="6"/>
  <c r="P27" i="6"/>
  <c r="O27" i="6"/>
  <c r="N27" i="6"/>
  <c r="M27" i="6"/>
  <c r="K27" i="6"/>
  <c r="J27" i="6"/>
  <c r="J28" i="6" s="1"/>
  <c r="I27" i="6"/>
  <c r="H27" i="6"/>
  <c r="F27" i="6"/>
  <c r="K28" i="6" s="1"/>
  <c r="E27" i="6"/>
  <c r="D27" i="6"/>
  <c r="C27" i="6"/>
  <c r="U16" i="6"/>
  <c r="T16" i="6"/>
  <c r="S16" i="6"/>
  <c r="P16" i="6"/>
  <c r="O16" i="6"/>
  <c r="N16" i="6"/>
  <c r="M16" i="6"/>
  <c r="K16" i="6"/>
  <c r="J16" i="6"/>
  <c r="J17" i="6" s="1"/>
  <c r="I16" i="6"/>
  <c r="H16" i="6"/>
  <c r="F16" i="6"/>
  <c r="K17" i="6" s="1"/>
  <c r="E16" i="6"/>
  <c r="D16" i="6"/>
  <c r="C16" i="6"/>
  <c r="R16" i="6"/>
  <c r="AF4" i="2"/>
  <c r="AG4" i="2" s="1"/>
  <c r="P75" i="2"/>
  <c r="P79" i="2" s="1"/>
  <c r="P71" i="2"/>
  <c r="P68" i="2"/>
  <c r="P27" i="2"/>
  <c r="Q27" i="2"/>
  <c r="R27" i="2"/>
  <c r="S27" i="2"/>
  <c r="R81" i="2"/>
  <c r="S81" i="2"/>
  <c r="Q75" i="2"/>
  <c r="R75" i="2"/>
  <c r="S75" i="2"/>
  <c r="Q71" i="2"/>
  <c r="R71" i="2"/>
  <c r="R79" i="2" s="1"/>
  <c r="S71" i="2"/>
  <c r="S79" i="2" s="1"/>
  <c r="P81" i="2"/>
  <c r="Q68" i="2"/>
  <c r="Q81" i="2" s="1"/>
  <c r="R68" i="2"/>
  <c r="S68" i="2"/>
  <c r="P55" i="2"/>
  <c r="Q55" i="2"/>
  <c r="R55" i="2"/>
  <c r="S55" i="2"/>
  <c r="P44" i="2"/>
  <c r="Q44" i="2"/>
  <c r="R44" i="2"/>
  <c r="R56" i="2" s="1"/>
  <c r="S44" i="2"/>
  <c r="P41" i="2"/>
  <c r="Q41" i="2"/>
  <c r="R41" i="2"/>
  <c r="S41" i="2"/>
  <c r="P6" i="2"/>
  <c r="P12" i="2" s="1"/>
  <c r="P14" i="2" s="1"/>
  <c r="Q6" i="2"/>
  <c r="Q12" i="2" s="1"/>
  <c r="Q14" i="2" s="1"/>
  <c r="R6" i="2"/>
  <c r="R12" i="2" s="1"/>
  <c r="R14" i="2" s="1"/>
  <c r="R16" i="2" s="1"/>
  <c r="R18" i="2" s="1"/>
  <c r="S6" i="2"/>
  <c r="S12" i="2" s="1"/>
  <c r="S14" i="2" s="1"/>
  <c r="V74" i="2"/>
  <c r="V75" i="2" s="1"/>
  <c r="V67" i="2"/>
  <c r="V65" i="2"/>
  <c r="W74" i="2"/>
  <c r="W75" i="2" s="1"/>
  <c r="W67" i="2"/>
  <c r="W65" i="2"/>
  <c r="X67" i="2"/>
  <c r="X65" i="2"/>
  <c r="Y74" i="2"/>
  <c r="Y67" i="2"/>
  <c r="Y65" i="2"/>
  <c r="Z74" i="2"/>
  <c r="Z75" i="2" s="1"/>
  <c r="Z65" i="2"/>
  <c r="Z67" i="2"/>
  <c r="AA74" i="2"/>
  <c r="AA67" i="2"/>
  <c r="AA68" i="2" s="1"/>
  <c r="AA65" i="2"/>
  <c r="AB74" i="2"/>
  <c r="AB75" i="2" s="1"/>
  <c r="AB65" i="2"/>
  <c r="AB67" i="2"/>
  <c r="AC74" i="2"/>
  <c r="AC75" i="2" s="1"/>
  <c r="AC67" i="2"/>
  <c r="AC65" i="2"/>
  <c r="AC68" i="2" s="1"/>
  <c r="AC81" i="2" s="1"/>
  <c r="AD74" i="2"/>
  <c r="AD75" i="2" s="1"/>
  <c r="AD67" i="2"/>
  <c r="AD65" i="2"/>
  <c r="AE74" i="2"/>
  <c r="AE75" i="2" s="1"/>
  <c r="AE67" i="2"/>
  <c r="AE65" i="2"/>
  <c r="AE68" i="2" s="1"/>
  <c r="AE79" i="2" s="1"/>
  <c r="AA75" i="2"/>
  <c r="Y75" i="2"/>
  <c r="X75" i="2"/>
  <c r="AE71" i="2"/>
  <c r="AD71" i="2"/>
  <c r="AC71" i="2"/>
  <c r="AB71" i="2"/>
  <c r="AA71" i="2"/>
  <c r="Z71" i="2"/>
  <c r="Y71" i="2"/>
  <c r="X71" i="2"/>
  <c r="W71" i="2"/>
  <c r="V71" i="2"/>
  <c r="AD68" i="2"/>
  <c r="AD81" i="2" s="1"/>
  <c r="AB68" i="2"/>
  <c r="AB81" i="2" s="1"/>
  <c r="X68" i="2"/>
  <c r="C13" i="4" l="1"/>
  <c r="G10" i="4"/>
  <c r="G11" i="4" s="1"/>
  <c r="M13" i="4"/>
  <c r="Q10" i="4"/>
  <c r="Q11" i="4" s="1"/>
  <c r="H28" i="4"/>
  <c r="L25" i="4"/>
  <c r="L26" i="4" s="1"/>
  <c r="R28" i="4"/>
  <c r="V25" i="4"/>
  <c r="V26" i="4" s="1"/>
  <c r="C43" i="4"/>
  <c r="G40" i="4"/>
  <c r="G41" i="4" s="1"/>
  <c r="M43" i="4"/>
  <c r="Q40" i="4"/>
  <c r="Q41" i="4" s="1"/>
  <c r="R13" i="4"/>
  <c r="V10" i="4"/>
  <c r="V11" i="4" s="1"/>
  <c r="H13" i="4"/>
  <c r="L10" i="4"/>
  <c r="L11" i="4" s="1"/>
  <c r="C28" i="4"/>
  <c r="G25" i="4"/>
  <c r="G26" i="4" s="1"/>
  <c r="M28" i="4"/>
  <c r="Q25" i="4"/>
  <c r="Q26" i="4" s="1"/>
  <c r="H43" i="4"/>
  <c r="L40" i="4"/>
  <c r="L41" i="4" s="1"/>
  <c r="R43" i="4"/>
  <c r="V40" i="4"/>
  <c r="V41" i="4" s="1"/>
  <c r="H28" i="6"/>
  <c r="M28" i="6"/>
  <c r="H17" i="6"/>
  <c r="M17" i="6"/>
  <c r="N28" i="6"/>
  <c r="I28" i="6"/>
  <c r="N17" i="6"/>
  <c r="I17" i="6"/>
  <c r="T28" i="6"/>
  <c r="O28" i="6"/>
  <c r="T17" i="6"/>
  <c r="O17" i="6"/>
  <c r="S17" i="6"/>
  <c r="S28" i="6"/>
  <c r="S16" i="2"/>
  <c r="S18" i="2" s="1"/>
  <c r="S59" i="2"/>
  <c r="AF5" i="2"/>
  <c r="Z68" i="2"/>
  <c r="Z81" i="2" s="1"/>
  <c r="W68" i="2"/>
  <c r="W79" i="2" s="1"/>
  <c r="R59" i="2"/>
  <c r="S56" i="2"/>
  <c r="Q79" i="2"/>
  <c r="Q56" i="2"/>
  <c r="Q16" i="2"/>
  <c r="Q18" i="2" s="1"/>
  <c r="Q59" i="2"/>
  <c r="P56" i="2"/>
  <c r="P16" i="2"/>
  <c r="P18" i="2" s="1"/>
  <c r="P59" i="2"/>
  <c r="Y68" i="2"/>
  <c r="Y79" i="2" s="1"/>
  <c r="V68" i="2"/>
  <c r="V79" i="2" s="1"/>
  <c r="X79" i="2"/>
  <c r="W81" i="2"/>
  <c r="X81" i="2"/>
  <c r="Y81" i="2"/>
  <c r="AA79" i="2"/>
  <c r="AE81" i="2"/>
  <c r="AA81" i="2"/>
  <c r="AB79" i="2"/>
  <c r="AC79" i="2"/>
  <c r="AD79" i="2"/>
  <c r="H15" i="4" l="1"/>
  <c r="L13" i="4"/>
  <c r="H45" i="4"/>
  <c r="L43" i="4"/>
  <c r="H30" i="4"/>
  <c r="L28" i="4"/>
  <c r="M30" i="4"/>
  <c r="Q28" i="4"/>
  <c r="R45" i="4"/>
  <c r="V43" i="4"/>
  <c r="R30" i="4"/>
  <c r="V28" i="4"/>
  <c r="R15" i="4"/>
  <c r="V13" i="4"/>
  <c r="M45" i="4"/>
  <c r="Q43" i="4"/>
  <c r="M15" i="4"/>
  <c r="Q13" i="4"/>
  <c r="C30" i="4"/>
  <c r="G28" i="4"/>
  <c r="C45" i="4"/>
  <c r="G43" i="4"/>
  <c r="C15" i="4"/>
  <c r="G13" i="4"/>
  <c r="Z79" i="2"/>
  <c r="V81" i="2"/>
  <c r="P20" i="2"/>
  <c r="Q20" i="2"/>
  <c r="R20" i="2"/>
  <c r="S20" i="2"/>
  <c r="P22" i="2"/>
  <c r="Q22" i="2"/>
  <c r="R22" i="2"/>
  <c r="S22" i="2"/>
  <c r="P23" i="2"/>
  <c r="Q23" i="2"/>
  <c r="R23" i="2"/>
  <c r="S23" i="2"/>
  <c r="O20" i="2"/>
  <c r="D70" i="2"/>
  <c r="D71" i="2" s="1"/>
  <c r="D67" i="2"/>
  <c r="D68" i="2" s="1"/>
  <c r="D81" i="2" s="1"/>
  <c r="D6" i="2"/>
  <c r="D12" i="2" s="1"/>
  <c r="D14" i="2" s="1"/>
  <c r="E70" i="2"/>
  <c r="E67" i="2"/>
  <c r="E6" i="2"/>
  <c r="E12" i="2" s="1"/>
  <c r="E14" i="2" s="1"/>
  <c r="E16" i="2" s="1"/>
  <c r="E18" i="2" s="1"/>
  <c r="F70" i="2"/>
  <c r="F67" i="2"/>
  <c r="F6" i="2"/>
  <c r="F12" i="2" s="1"/>
  <c r="F14" i="2" s="1"/>
  <c r="G70" i="2"/>
  <c r="G71" i="2" s="1"/>
  <c r="G67" i="2"/>
  <c r="G6" i="2"/>
  <c r="G12" i="2" s="1"/>
  <c r="G14" i="2" s="1"/>
  <c r="AH9" i="2"/>
  <c r="AI9" i="2" s="1"/>
  <c r="AJ9" i="2" s="1"/>
  <c r="AK9" i="2" s="1"/>
  <c r="AL9" i="2" s="1"/>
  <c r="AM9" i="2" s="1"/>
  <c r="AN9" i="2" s="1"/>
  <c r="AO9" i="2" s="1"/>
  <c r="AP9" i="2" s="1"/>
  <c r="AG8" i="2"/>
  <c r="AH8" i="2" s="1"/>
  <c r="AI8" i="2" s="1"/>
  <c r="AJ8" i="2" s="1"/>
  <c r="AK8" i="2" s="1"/>
  <c r="AL8" i="2" s="1"/>
  <c r="AM8" i="2" s="1"/>
  <c r="AN8" i="2" s="1"/>
  <c r="AO8" i="2" s="1"/>
  <c r="AP8" i="2" s="1"/>
  <c r="AG9" i="2"/>
  <c r="AF7" i="2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F8" i="2"/>
  <c r="AF11" i="2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F10" i="2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N10" i="5"/>
  <c r="N11" i="5"/>
  <c r="N8" i="5"/>
  <c r="O11" i="5"/>
  <c r="P11" i="5" s="1"/>
  <c r="Q11" i="5" s="1"/>
  <c r="R11" i="5" s="1"/>
  <c r="S11" i="5" s="1"/>
  <c r="T11" i="5" s="1"/>
  <c r="U11" i="5" s="1"/>
  <c r="V11" i="5" s="1"/>
  <c r="W11" i="5" s="1"/>
  <c r="X11" i="5" s="1"/>
  <c r="N7" i="5"/>
  <c r="O7" i="5" s="1"/>
  <c r="P7" i="5" s="1"/>
  <c r="Q7" i="5" s="1"/>
  <c r="R7" i="5" s="1"/>
  <c r="S7" i="5" s="1"/>
  <c r="T7" i="5" s="1"/>
  <c r="U7" i="5" s="1"/>
  <c r="V7" i="5" s="1"/>
  <c r="W7" i="5" s="1"/>
  <c r="X7" i="5" s="1"/>
  <c r="O9" i="5"/>
  <c r="P9" i="5" s="1"/>
  <c r="Q9" i="5" s="1"/>
  <c r="R9" i="5" s="1"/>
  <c r="S9" i="5" s="1"/>
  <c r="T9" i="5" s="1"/>
  <c r="U9" i="5" s="1"/>
  <c r="V9" i="5" s="1"/>
  <c r="W9" i="5" s="1"/>
  <c r="X9" i="5" s="1"/>
  <c r="O10" i="5"/>
  <c r="P10" i="5" s="1"/>
  <c r="Q10" i="5" s="1"/>
  <c r="R10" i="5" s="1"/>
  <c r="S10" i="5" s="1"/>
  <c r="T10" i="5" s="1"/>
  <c r="U10" i="5" s="1"/>
  <c r="V10" i="5" s="1"/>
  <c r="W10" i="5" s="1"/>
  <c r="X10" i="5" s="1"/>
  <c r="O5" i="5"/>
  <c r="P5" i="5"/>
  <c r="P6" i="5" s="1"/>
  <c r="P21" i="5" s="1"/>
  <c r="Q5" i="5"/>
  <c r="R5" i="5"/>
  <c r="S5" i="5"/>
  <c r="T5" i="5"/>
  <c r="T6" i="5" s="1"/>
  <c r="T21" i="5" s="1"/>
  <c r="U5" i="5"/>
  <c r="V5" i="5"/>
  <c r="W5" i="5"/>
  <c r="X5" i="5"/>
  <c r="N5" i="5"/>
  <c r="Q6" i="5"/>
  <c r="S6" i="5"/>
  <c r="S21" i="5" s="1"/>
  <c r="O8" i="5"/>
  <c r="P8" i="5" s="1"/>
  <c r="Q8" i="5" s="1"/>
  <c r="R8" i="5" s="1"/>
  <c r="S8" i="5" s="1"/>
  <c r="T8" i="5" s="1"/>
  <c r="U8" i="5" s="1"/>
  <c r="V8" i="5" s="1"/>
  <c r="W8" i="5" s="1"/>
  <c r="X8" i="5" s="1"/>
  <c r="O4" i="5"/>
  <c r="P4" i="5"/>
  <c r="Q4" i="5"/>
  <c r="R4" i="5"/>
  <c r="S4" i="5"/>
  <c r="S20" i="5" s="1"/>
  <c r="T4" i="5"/>
  <c r="U4" i="5"/>
  <c r="N4" i="5"/>
  <c r="T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K13" i="5"/>
  <c r="J13" i="5"/>
  <c r="I13" i="5"/>
  <c r="H13" i="5"/>
  <c r="G13" i="5"/>
  <c r="F13" i="5"/>
  <c r="E13" i="5"/>
  <c r="D13" i="5"/>
  <c r="L12" i="5"/>
  <c r="L14" i="5" s="1"/>
  <c r="L16" i="5" s="1"/>
  <c r="L18" i="5" s="1"/>
  <c r="J12" i="5"/>
  <c r="J22" i="5" s="1"/>
  <c r="H12" i="5"/>
  <c r="H22" i="5" s="1"/>
  <c r="F12" i="5"/>
  <c r="F22" i="5" s="1"/>
  <c r="D12" i="5"/>
  <c r="D14" i="5" s="1"/>
  <c r="D16" i="5" s="1"/>
  <c r="D18" i="5" s="1"/>
  <c r="O6" i="5"/>
  <c r="O21" i="5" s="1"/>
  <c r="N6" i="5"/>
  <c r="N21" i="5" s="1"/>
  <c r="M6" i="5"/>
  <c r="M21" i="5" s="1"/>
  <c r="L6" i="5"/>
  <c r="L21" i="5" s="1"/>
  <c r="K6" i="5"/>
  <c r="K21" i="5" s="1"/>
  <c r="J6" i="5"/>
  <c r="J21" i="5" s="1"/>
  <c r="I6" i="5"/>
  <c r="I12" i="5" s="1"/>
  <c r="H6" i="5"/>
  <c r="H21" i="5" s="1"/>
  <c r="G6" i="5"/>
  <c r="G21" i="5" s="1"/>
  <c r="F6" i="5"/>
  <c r="F21" i="5" s="1"/>
  <c r="E6" i="5"/>
  <c r="E21" i="5" s="1"/>
  <c r="D6" i="5"/>
  <c r="D21" i="5" s="1"/>
  <c r="H27" i="2"/>
  <c r="I27" i="2"/>
  <c r="J27" i="2"/>
  <c r="K27" i="2"/>
  <c r="L27" i="2"/>
  <c r="M27" i="2"/>
  <c r="N27" i="2"/>
  <c r="W27" i="2"/>
  <c r="X27" i="2"/>
  <c r="Y27" i="2"/>
  <c r="Z27" i="2"/>
  <c r="AA27" i="2"/>
  <c r="AB27" i="2"/>
  <c r="AC27" i="2"/>
  <c r="AD27" i="2"/>
  <c r="AE27" i="2"/>
  <c r="O27" i="2"/>
  <c r="V13" i="2"/>
  <c r="V6" i="2"/>
  <c r="V12" i="2" s="1"/>
  <c r="W13" i="2"/>
  <c r="W6" i="2"/>
  <c r="W12" i="2" s="1"/>
  <c r="X13" i="2"/>
  <c r="X6" i="2"/>
  <c r="X12" i="2" s="1"/>
  <c r="Y13" i="2"/>
  <c r="Y6" i="2"/>
  <c r="Y12" i="2" s="1"/>
  <c r="Z13" i="2"/>
  <c r="Z6" i="2"/>
  <c r="Z12" i="2" s="1"/>
  <c r="AA13" i="2"/>
  <c r="AA6" i="2"/>
  <c r="AA12" i="2" s="1"/>
  <c r="H70" i="2"/>
  <c r="H71" i="2" s="1"/>
  <c r="H67" i="2"/>
  <c r="H68" i="2" s="1"/>
  <c r="L70" i="2"/>
  <c r="L71" i="2" s="1"/>
  <c r="L67" i="2"/>
  <c r="L68" i="2" s="1"/>
  <c r="H6" i="2"/>
  <c r="H12" i="2" s="1"/>
  <c r="H14" i="2" s="1"/>
  <c r="H16" i="2" s="1"/>
  <c r="H18" i="2" s="1"/>
  <c r="L6" i="2"/>
  <c r="L12" i="2" s="1"/>
  <c r="L14" i="2" s="1"/>
  <c r="I70" i="2"/>
  <c r="I71" i="2" s="1"/>
  <c r="I67" i="2"/>
  <c r="I68" i="2" s="1"/>
  <c r="M70" i="2"/>
  <c r="M71" i="2" s="1"/>
  <c r="M67" i="2"/>
  <c r="M68" i="2" s="1"/>
  <c r="M81" i="2" s="1"/>
  <c r="I6" i="2"/>
  <c r="I12" i="2" s="1"/>
  <c r="I14" i="2" s="1"/>
  <c r="M6" i="2"/>
  <c r="M12" i="2" s="1"/>
  <c r="M14" i="2" s="1"/>
  <c r="J70" i="2"/>
  <c r="J71" i="2" s="1"/>
  <c r="J67" i="2"/>
  <c r="J68" i="2" s="1"/>
  <c r="N70" i="2"/>
  <c r="N71" i="2" s="1"/>
  <c r="N67" i="2"/>
  <c r="N68" i="2" s="1"/>
  <c r="J6" i="2"/>
  <c r="J12" i="2" s="1"/>
  <c r="J14" i="2" s="1"/>
  <c r="N6" i="2"/>
  <c r="N12" i="2" s="1"/>
  <c r="N14" i="2" s="1"/>
  <c r="K67" i="2"/>
  <c r="K68" i="2" s="1"/>
  <c r="N75" i="2"/>
  <c r="M75" i="2"/>
  <c r="L75" i="2"/>
  <c r="K75" i="2"/>
  <c r="J75" i="2"/>
  <c r="I75" i="2"/>
  <c r="H75" i="2"/>
  <c r="G75" i="2"/>
  <c r="F75" i="2"/>
  <c r="E75" i="2"/>
  <c r="D75" i="2"/>
  <c r="O75" i="2"/>
  <c r="E68" i="2"/>
  <c r="F68" i="2"/>
  <c r="G68" i="2"/>
  <c r="E71" i="2"/>
  <c r="F71" i="2"/>
  <c r="K71" i="2"/>
  <c r="O71" i="2"/>
  <c r="O67" i="2"/>
  <c r="O68" i="2" s="1"/>
  <c r="D44" i="2"/>
  <c r="E44" i="2"/>
  <c r="F44" i="2"/>
  <c r="G44" i="2"/>
  <c r="H44" i="2"/>
  <c r="I44" i="2"/>
  <c r="J44" i="2"/>
  <c r="K44" i="2"/>
  <c r="L44" i="2"/>
  <c r="M44" i="2"/>
  <c r="N44" i="2"/>
  <c r="D41" i="2"/>
  <c r="E41" i="2"/>
  <c r="F41" i="2"/>
  <c r="G41" i="2"/>
  <c r="H41" i="2"/>
  <c r="I41" i="2"/>
  <c r="J41" i="2"/>
  <c r="K41" i="2"/>
  <c r="L41" i="2"/>
  <c r="M41" i="2"/>
  <c r="N41" i="2"/>
  <c r="D55" i="2"/>
  <c r="E55" i="2"/>
  <c r="F55" i="2"/>
  <c r="G55" i="2"/>
  <c r="H55" i="2"/>
  <c r="I55" i="2"/>
  <c r="J55" i="2"/>
  <c r="K55" i="2"/>
  <c r="L55" i="2"/>
  <c r="M55" i="2"/>
  <c r="N55" i="2"/>
  <c r="O55" i="2"/>
  <c r="O44" i="2"/>
  <c r="O56" i="2" s="1"/>
  <c r="O41" i="2"/>
  <c r="M32" i="4" l="1"/>
  <c r="Q30" i="4"/>
  <c r="C47" i="4"/>
  <c r="G45" i="4"/>
  <c r="C17" i="4"/>
  <c r="G15" i="4"/>
  <c r="H32" i="4"/>
  <c r="L30" i="4"/>
  <c r="C32" i="4"/>
  <c r="G30" i="4"/>
  <c r="H47" i="4"/>
  <c r="L45" i="4"/>
  <c r="M47" i="4"/>
  <c r="Q45" i="4"/>
  <c r="R17" i="4"/>
  <c r="V15" i="4"/>
  <c r="R32" i="4"/>
  <c r="V30" i="4"/>
  <c r="M17" i="4"/>
  <c r="Q15" i="4"/>
  <c r="R47" i="4"/>
  <c r="V45" i="4"/>
  <c r="H17" i="4"/>
  <c r="L15" i="4"/>
  <c r="AH4" i="2"/>
  <c r="AG5" i="2"/>
  <c r="AG6" i="2"/>
  <c r="AG22" i="2" s="1"/>
  <c r="J81" i="2"/>
  <c r="D16" i="2"/>
  <c r="D18" i="2" s="1"/>
  <c r="D59" i="2"/>
  <c r="E59" i="2"/>
  <c r="F56" i="2"/>
  <c r="F16" i="2"/>
  <c r="F18" i="2" s="1"/>
  <c r="F59" i="2"/>
  <c r="G59" i="2"/>
  <c r="G16" i="2"/>
  <c r="G18" i="2" s="1"/>
  <c r="AG20" i="2"/>
  <c r="AF6" i="2"/>
  <c r="AF22" i="2" s="1"/>
  <c r="AF20" i="2"/>
  <c r="Q12" i="5"/>
  <c r="Q22" i="5" s="1"/>
  <c r="P12" i="5"/>
  <c r="P22" i="5" s="1"/>
  <c r="U6" i="5"/>
  <c r="U21" i="5" s="1"/>
  <c r="R6" i="5"/>
  <c r="R21" i="5" s="1"/>
  <c r="N12" i="5"/>
  <c r="N22" i="5" s="1"/>
  <c r="R12" i="5"/>
  <c r="R22" i="5" s="1"/>
  <c r="V4" i="5"/>
  <c r="U20" i="5"/>
  <c r="T12" i="5"/>
  <c r="T14" i="5" s="1"/>
  <c r="R20" i="5"/>
  <c r="I22" i="5"/>
  <c r="I14" i="5"/>
  <c r="I16" i="5" s="1"/>
  <c r="I18" i="5" s="1"/>
  <c r="K12" i="5"/>
  <c r="S12" i="5"/>
  <c r="F14" i="5"/>
  <c r="F16" i="5" s="1"/>
  <c r="F18" i="5" s="1"/>
  <c r="I21" i="5"/>
  <c r="Q21" i="5"/>
  <c r="D22" i="5"/>
  <c r="L22" i="5"/>
  <c r="E12" i="5"/>
  <c r="M12" i="5"/>
  <c r="H14" i="5"/>
  <c r="H16" i="5" s="1"/>
  <c r="H18" i="5" s="1"/>
  <c r="G12" i="5"/>
  <c r="O12" i="5"/>
  <c r="J14" i="5"/>
  <c r="J16" i="5" s="1"/>
  <c r="J18" i="5" s="1"/>
  <c r="G56" i="2"/>
  <c r="Z14" i="2"/>
  <c r="G79" i="2"/>
  <c r="E56" i="2"/>
  <c r="Y14" i="2"/>
  <c r="E79" i="2"/>
  <c r="F79" i="2"/>
  <c r="D79" i="2"/>
  <c r="H56" i="2"/>
  <c r="X14" i="2"/>
  <c r="O79" i="2"/>
  <c r="O81" i="2"/>
  <c r="N81" i="2"/>
  <c r="G81" i="2"/>
  <c r="F81" i="2"/>
  <c r="N56" i="2"/>
  <c r="E81" i="2"/>
  <c r="D56" i="2"/>
  <c r="I79" i="2"/>
  <c r="AA14" i="2"/>
  <c r="W14" i="2"/>
  <c r="V14" i="2"/>
  <c r="H79" i="2"/>
  <c r="H81" i="2"/>
  <c r="L81" i="2"/>
  <c r="L79" i="2"/>
  <c r="L56" i="2"/>
  <c r="H59" i="2"/>
  <c r="L16" i="2"/>
  <c r="L18" i="2" s="1"/>
  <c r="L59" i="2"/>
  <c r="I81" i="2"/>
  <c r="M79" i="2"/>
  <c r="M56" i="2"/>
  <c r="I59" i="2"/>
  <c r="I16" i="2"/>
  <c r="I18" i="2" s="1"/>
  <c r="M16" i="2"/>
  <c r="M18" i="2" s="1"/>
  <c r="M59" i="2"/>
  <c r="J79" i="2"/>
  <c r="N79" i="2"/>
  <c r="J16" i="2"/>
  <c r="J18" i="2" s="1"/>
  <c r="J59" i="2"/>
  <c r="N16" i="2"/>
  <c r="N18" i="2" s="1"/>
  <c r="N59" i="2"/>
  <c r="K79" i="2"/>
  <c r="K81" i="2"/>
  <c r="K56" i="2"/>
  <c r="J56" i="2"/>
  <c r="I56" i="2"/>
  <c r="H20" i="2"/>
  <c r="I20" i="2"/>
  <c r="J20" i="2"/>
  <c r="K20" i="2"/>
  <c r="L20" i="2"/>
  <c r="M20" i="2"/>
  <c r="N20" i="2"/>
  <c r="D22" i="2"/>
  <c r="E22" i="2"/>
  <c r="F22" i="2"/>
  <c r="G22" i="2"/>
  <c r="H22" i="2"/>
  <c r="I22" i="2"/>
  <c r="J22" i="2"/>
  <c r="L22" i="2"/>
  <c r="M22" i="2"/>
  <c r="N22" i="2"/>
  <c r="D23" i="2"/>
  <c r="E23" i="2"/>
  <c r="F23" i="2"/>
  <c r="G23" i="2"/>
  <c r="H23" i="2"/>
  <c r="I23" i="2"/>
  <c r="J23" i="2"/>
  <c r="L23" i="2"/>
  <c r="M23" i="2"/>
  <c r="N23" i="2"/>
  <c r="K6" i="2"/>
  <c r="K12" i="2" s="1"/>
  <c r="K14" i="2" s="1"/>
  <c r="O6" i="2"/>
  <c r="O12" i="2" s="1"/>
  <c r="O14" i="2" s="1"/>
  <c r="AB13" i="2"/>
  <c r="AB6" i="2"/>
  <c r="AB12" i="2" s="1"/>
  <c r="AC13" i="2"/>
  <c r="AC6" i="2"/>
  <c r="AC12" i="2" s="1"/>
  <c r="V23" i="2"/>
  <c r="W23" i="2"/>
  <c r="X23" i="2"/>
  <c r="Y23" i="2"/>
  <c r="Z23" i="2"/>
  <c r="AA23" i="2"/>
  <c r="V22" i="2"/>
  <c r="W22" i="2"/>
  <c r="X22" i="2"/>
  <c r="Y22" i="2"/>
  <c r="Z22" i="2"/>
  <c r="AA22" i="2"/>
  <c r="W20" i="2"/>
  <c r="X20" i="2"/>
  <c r="Y20" i="2"/>
  <c r="Z20" i="2"/>
  <c r="AA20" i="2"/>
  <c r="AB20" i="2"/>
  <c r="AC20" i="2"/>
  <c r="AD20" i="2"/>
  <c r="AE20" i="2"/>
  <c r="AD6" i="2"/>
  <c r="AD12" i="2" s="1"/>
  <c r="AD14" i="2" s="1"/>
  <c r="AE6" i="2"/>
  <c r="AE12" i="2" s="1"/>
  <c r="B6" i="2"/>
  <c r="R19" i="4" l="1"/>
  <c r="V19" i="4" s="1"/>
  <c r="V17" i="4"/>
  <c r="R49" i="4"/>
  <c r="V49" i="4" s="1"/>
  <c r="V47" i="4"/>
  <c r="H34" i="4"/>
  <c r="L34" i="4" s="1"/>
  <c r="L32" i="4"/>
  <c r="C19" i="4"/>
  <c r="G19" i="4" s="1"/>
  <c r="G17" i="4"/>
  <c r="M19" i="4"/>
  <c r="Q19" i="4" s="1"/>
  <c r="Q17" i="4"/>
  <c r="H19" i="4"/>
  <c r="L19" i="4" s="1"/>
  <c r="L17" i="4"/>
  <c r="M49" i="4"/>
  <c r="Q49" i="4" s="1"/>
  <c r="Q47" i="4"/>
  <c r="H49" i="4"/>
  <c r="L49" i="4" s="1"/>
  <c r="L47" i="4"/>
  <c r="C49" i="4"/>
  <c r="G49" i="4" s="1"/>
  <c r="G47" i="4"/>
  <c r="R34" i="4"/>
  <c r="V34" i="4" s="1"/>
  <c r="V32" i="4"/>
  <c r="C34" i="4"/>
  <c r="G34" i="4" s="1"/>
  <c r="G32" i="4"/>
  <c r="M34" i="4"/>
  <c r="Q34" i="4" s="1"/>
  <c r="Q32" i="4"/>
  <c r="AG12" i="2"/>
  <c r="AG14" i="2" s="1"/>
  <c r="AF12" i="2"/>
  <c r="AF23" i="2" s="1"/>
  <c r="V16" i="2"/>
  <c r="V18" i="2" s="1"/>
  <c r="V59" i="2"/>
  <c r="W16" i="2"/>
  <c r="W18" i="2" s="1"/>
  <c r="W59" i="2"/>
  <c r="Z16" i="2"/>
  <c r="Z18" i="2" s="1"/>
  <c r="Z59" i="2"/>
  <c r="AA16" i="2"/>
  <c r="AA18" i="2" s="1"/>
  <c r="AA59" i="2"/>
  <c r="AD16" i="2"/>
  <c r="AD18" i="2" s="1"/>
  <c r="AD59" i="2"/>
  <c r="Y16" i="2"/>
  <c r="Y18" i="2" s="1"/>
  <c r="Y59" i="2"/>
  <c r="X16" i="2"/>
  <c r="X18" i="2" s="1"/>
  <c r="X59" i="2"/>
  <c r="AH20" i="2"/>
  <c r="AH5" i="2"/>
  <c r="AH6" i="2" s="1"/>
  <c r="AI4" i="2"/>
  <c r="AG15" i="2"/>
  <c r="AG16" i="2" s="1"/>
  <c r="AG18" i="2" s="1"/>
  <c r="E6" i="3" s="1"/>
  <c r="AG23" i="2"/>
  <c r="AF14" i="2"/>
  <c r="Q14" i="5"/>
  <c r="Q15" i="5" s="1"/>
  <c r="Q16" i="5" s="1"/>
  <c r="Q18" i="5" s="1"/>
  <c r="P14" i="5"/>
  <c r="P15" i="5" s="1"/>
  <c r="P16" i="5" s="1"/>
  <c r="P18" i="5" s="1"/>
  <c r="U12" i="5"/>
  <c r="U22" i="5" s="1"/>
  <c r="N14" i="5"/>
  <c r="N15" i="5" s="1"/>
  <c r="N16" i="5" s="1"/>
  <c r="N18" i="5" s="1"/>
  <c r="R14" i="5"/>
  <c r="T15" i="5"/>
  <c r="T16" i="5" s="1"/>
  <c r="T18" i="5" s="1"/>
  <c r="W4" i="5"/>
  <c r="V6" i="5"/>
  <c r="V20" i="5"/>
  <c r="T22" i="5"/>
  <c r="G22" i="5"/>
  <c r="G14" i="5"/>
  <c r="G16" i="5" s="1"/>
  <c r="G18" i="5" s="1"/>
  <c r="O22" i="5"/>
  <c r="O14" i="5"/>
  <c r="K14" i="5"/>
  <c r="K16" i="5" s="1"/>
  <c r="K18" i="5" s="1"/>
  <c r="K22" i="5"/>
  <c r="M22" i="5"/>
  <c r="M14" i="5"/>
  <c r="M16" i="5" s="1"/>
  <c r="M18" i="5" s="1"/>
  <c r="E22" i="5"/>
  <c r="E14" i="5"/>
  <c r="E16" i="5" s="1"/>
  <c r="E18" i="5" s="1"/>
  <c r="S14" i="5"/>
  <c r="S22" i="5"/>
  <c r="K23" i="2"/>
  <c r="AE22" i="2"/>
  <c r="AE14" i="2"/>
  <c r="AE23" i="2"/>
  <c r="O16" i="2"/>
  <c r="O18" i="2" s="1"/>
  <c r="O59" i="2"/>
  <c r="K16" i="2"/>
  <c r="K18" i="2" s="1"/>
  <c r="K59" i="2"/>
  <c r="O22" i="2"/>
  <c r="AD22" i="2"/>
  <c r="O23" i="2"/>
  <c r="K22" i="2"/>
  <c r="AD23" i="2"/>
  <c r="AB22" i="2"/>
  <c r="AB14" i="2"/>
  <c r="AB23" i="2"/>
  <c r="AC14" i="2"/>
  <c r="AC23" i="2"/>
  <c r="AC22" i="2"/>
  <c r="B9" i="2"/>
  <c r="AH22" i="2" l="1"/>
  <c r="AH12" i="2"/>
  <c r="AC16" i="2"/>
  <c r="AC18" i="2" s="1"/>
  <c r="AC59" i="2"/>
  <c r="AB16" i="2"/>
  <c r="AB18" i="2" s="1"/>
  <c r="AB59" i="2"/>
  <c r="AI5" i="2"/>
  <c r="AI6" i="2" s="1"/>
  <c r="AJ4" i="2"/>
  <c r="AI20" i="2"/>
  <c r="F5" i="3"/>
  <c r="E5" i="3"/>
  <c r="D5" i="3"/>
  <c r="AE16" i="2"/>
  <c r="AE18" i="2" s="1"/>
  <c r="AE59" i="2"/>
  <c r="AF15" i="2"/>
  <c r="AF16" i="2" s="1"/>
  <c r="AF18" i="2" s="1"/>
  <c r="D6" i="3" s="1"/>
  <c r="U14" i="5"/>
  <c r="S15" i="5"/>
  <c r="S16" i="5" s="1"/>
  <c r="S18" i="5" s="1"/>
  <c r="O15" i="5"/>
  <c r="O16" i="5" s="1"/>
  <c r="O18" i="5" s="1"/>
  <c r="U15" i="5"/>
  <c r="U16" i="5" s="1"/>
  <c r="U18" i="5" s="1"/>
  <c r="R15" i="5"/>
  <c r="R16" i="5" s="1"/>
  <c r="R18" i="5" s="1"/>
  <c r="V21" i="5"/>
  <c r="V12" i="5"/>
  <c r="W6" i="5"/>
  <c r="W20" i="5"/>
  <c r="X4" i="5"/>
  <c r="AI22" i="2" l="1"/>
  <c r="AI12" i="2"/>
  <c r="AJ20" i="2"/>
  <c r="AK4" i="2"/>
  <c r="AJ5" i="2"/>
  <c r="AJ6" i="2" s="1"/>
  <c r="AH14" i="2"/>
  <c r="AH15" i="2" s="1"/>
  <c r="AH16" i="2" s="1"/>
  <c r="AH18" i="2" s="1"/>
  <c r="F6" i="3" s="1"/>
  <c r="AH23" i="2"/>
  <c r="X6" i="5"/>
  <c r="X20" i="5"/>
  <c r="W21" i="5"/>
  <c r="W12" i="5"/>
  <c r="V22" i="5"/>
  <c r="V14" i="5"/>
  <c r="AJ22" i="2" l="1"/>
  <c r="AJ12" i="2"/>
  <c r="AL4" i="2"/>
  <c r="AK20" i="2"/>
  <c r="AK5" i="2"/>
  <c r="AK6" i="2" s="1"/>
  <c r="AI14" i="2"/>
  <c r="AI15" i="2" s="1"/>
  <c r="AI16" i="2" s="1"/>
  <c r="AI18" i="2" s="1"/>
  <c r="AI23" i="2"/>
  <c r="V15" i="5"/>
  <c r="V16" i="5" s="1"/>
  <c r="V18" i="5" s="1"/>
  <c r="W14" i="5"/>
  <c r="W22" i="5"/>
  <c r="X21" i="5"/>
  <c r="X12" i="5"/>
  <c r="AK12" i="2" l="1"/>
  <c r="AK22" i="2"/>
  <c r="AL20" i="2"/>
  <c r="AM4" i="2"/>
  <c r="AL5" i="2"/>
  <c r="AL6" i="2" s="1"/>
  <c r="AJ14" i="2"/>
  <c r="AJ15" i="2" s="1"/>
  <c r="AJ16" i="2" s="1"/>
  <c r="AJ18" i="2" s="1"/>
  <c r="AJ23" i="2"/>
  <c r="W15" i="5"/>
  <c r="W16" i="5" s="1"/>
  <c r="W18" i="5" s="1"/>
  <c r="X22" i="5"/>
  <c r="X14" i="5"/>
  <c r="AL22" i="2" l="1"/>
  <c r="AL12" i="2"/>
  <c r="AM20" i="2"/>
  <c r="AN4" i="2"/>
  <c r="AM5" i="2"/>
  <c r="AM6" i="2" s="1"/>
  <c r="AK14" i="2"/>
  <c r="AK15" i="2" s="1"/>
  <c r="AK16" i="2" s="1"/>
  <c r="AK18" i="2" s="1"/>
  <c r="AK23" i="2"/>
  <c r="X15" i="5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EK16" i="5" s="1"/>
  <c r="EL16" i="5" s="1"/>
  <c r="EM16" i="5" s="1"/>
  <c r="EN16" i="5" s="1"/>
  <c r="EO16" i="5" s="1"/>
  <c r="EP16" i="5" s="1"/>
  <c r="EQ16" i="5" s="1"/>
  <c r="ER16" i="5" s="1"/>
  <c r="ES16" i="5" s="1"/>
  <c r="ET16" i="5" s="1"/>
  <c r="EU16" i="5" s="1"/>
  <c r="EV16" i="5" s="1"/>
  <c r="EW16" i="5" s="1"/>
  <c r="EX16" i="5" s="1"/>
  <c r="EY16" i="5" s="1"/>
  <c r="EZ16" i="5" s="1"/>
  <c r="FA16" i="5" s="1"/>
  <c r="FB16" i="5" s="1"/>
  <c r="FC16" i="5" s="1"/>
  <c r="FD16" i="5" s="1"/>
  <c r="FE16" i="5" s="1"/>
  <c r="FF16" i="5" s="1"/>
  <c r="FG16" i="5" s="1"/>
  <c r="FH16" i="5" s="1"/>
  <c r="FI16" i="5" s="1"/>
  <c r="FJ16" i="5" s="1"/>
  <c r="FK16" i="5" s="1"/>
  <c r="FL16" i="5" s="1"/>
  <c r="FM16" i="5" s="1"/>
  <c r="FN16" i="5" s="1"/>
  <c r="FO16" i="5" s="1"/>
  <c r="FP16" i="5" s="1"/>
  <c r="FQ16" i="5" s="1"/>
  <c r="FR16" i="5" s="1"/>
  <c r="FS16" i="5" s="1"/>
  <c r="FT16" i="5" s="1"/>
  <c r="FU16" i="5" s="1"/>
  <c r="FV16" i="5" s="1"/>
  <c r="FW16" i="5" s="1"/>
  <c r="FX16" i="5" s="1"/>
  <c r="FY16" i="5" s="1"/>
  <c r="FZ16" i="5" s="1"/>
  <c r="GA16" i="5" s="1"/>
  <c r="GB16" i="5" s="1"/>
  <c r="GC16" i="5" s="1"/>
  <c r="GD16" i="5" s="1"/>
  <c r="AM22" i="2" l="1"/>
  <c r="AM12" i="2"/>
  <c r="AN5" i="2"/>
  <c r="AN6" i="2"/>
  <c r="AN20" i="2"/>
  <c r="AO4" i="2"/>
  <c r="AL23" i="2"/>
  <c r="AL14" i="2"/>
  <c r="AL15" i="2" s="1"/>
  <c r="AL16" i="2" s="1"/>
  <c r="AL18" i="2" s="1"/>
  <c r="X18" i="5"/>
  <c r="AP4" i="2" l="1"/>
  <c r="AO20" i="2"/>
  <c r="AO5" i="2"/>
  <c r="AO6" i="2" s="1"/>
  <c r="AN22" i="2"/>
  <c r="AN12" i="2"/>
  <c r="AM23" i="2"/>
  <c r="AM14" i="2"/>
  <c r="AM15" i="2" s="1"/>
  <c r="AM16" i="2" s="1"/>
  <c r="AM18" i="2" s="1"/>
  <c r="AA21" i="5"/>
  <c r="AA23" i="5" s="1"/>
  <c r="AA24" i="5" l="1"/>
  <c r="A6" i="5" s="1"/>
  <c r="A5" i="5"/>
  <c r="AO22" i="2"/>
  <c r="AO12" i="2"/>
  <c r="AN23" i="2"/>
  <c r="AN14" i="2"/>
  <c r="AN15" i="2" s="1"/>
  <c r="AN16" i="2" s="1"/>
  <c r="AN18" i="2" s="1"/>
  <c r="AP5" i="2"/>
  <c r="AP6" i="2" s="1"/>
  <c r="AP20" i="2"/>
  <c r="AP12" i="2" l="1"/>
  <c r="AP22" i="2"/>
  <c r="AO14" i="2"/>
  <c r="AO15" i="2" s="1"/>
  <c r="AO16" i="2" s="1"/>
  <c r="AO18" i="2" s="1"/>
  <c r="AO23" i="2"/>
  <c r="AP23" i="2" l="1"/>
  <c r="AP14" i="2"/>
  <c r="AP15" i="2" s="1"/>
  <c r="AP16" i="2" s="1"/>
  <c r="AQ16" i="2" l="1"/>
  <c r="AP18" i="2"/>
  <c r="AR16" i="2" l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GM16" i="2" s="1"/>
  <c r="GN16" i="2" s="1"/>
  <c r="GO16" i="2" s="1"/>
  <c r="GP16" i="2" s="1"/>
  <c r="GQ16" i="2" s="1"/>
  <c r="GR16" i="2" s="1"/>
  <c r="GS16" i="2" s="1"/>
  <c r="GT16" i="2" s="1"/>
  <c r="GU16" i="2" s="1"/>
  <c r="GV16" i="2" s="1"/>
  <c r="AS21" i="2" l="1"/>
  <c r="AS23" i="2" s="1"/>
  <c r="AS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tc={A50D18CB-A9B2-554F-BD49-20CB2359F526}</author>
    <author>tc={55D5E198-903B-3145-AB3D-6E68DFA8D391}</author>
  </authors>
  <commentList>
    <comment ref="Q4" authorId="0" shapeId="0" xr:uid="{A50D18CB-A9B2-554F-BD49-20CB2359F526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Sales down y/y, Conf call Q1
</t>
      </text>
    </comment>
    <comment ref="AE23" authorId="1" shapeId="0" xr:uid="{55D5E198-903B-3145-AB3D-6E68DFA8D39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11% justert for one-off på R&amp;D på -1100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tc={4A235142-554D-1041-9BF6-D69567DDDCF5}</author>
  </authors>
  <commentList>
    <comment ref="M22" authorId="0" shapeId="0" xr:uid="{4A235142-554D-1041-9BF6-D69567DDDCF5}">
      <text>
        <t>[Kommentartråd]
Din versjon av Excel lar deg lese denne kommentartråden. Eventuelle endringer i den vil imidlertid bli fjernet hvis filen åpnes i en nyere versjon av Excel. Finn ut mer: https://go.microsoft.com/fwlink/?linkid=870924
Kommentar:
    11% justert for one-off på R&amp;D på -1100</t>
      </text>
    </comment>
  </commentList>
</comments>
</file>

<file path=xl/sharedStrings.xml><?xml version="1.0" encoding="utf-8"?>
<sst xmlns="http://schemas.openxmlformats.org/spreadsheetml/2006/main" count="378" uniqueCount="196">
  <si>
    <t>Kapitalstruktur</t>
  </si>
  <si>
    <t>Price</t>
  </si>
  <si>
    <t>S/O</t>
  </si>
  <si>
    <t>EV/EBIT</t>
  </si>
  <si>
    <t>P/E</t>
  </si>
  <si>
    <t>Revenue y/y</t>
  </si>
  <si>
    <t>EBIT margin</t>
  </si>
  <si>
    <t>Nedside</t>
  </si>
  <si>
    <t>Gross margin</t>
  </si>
  <si>
    <t>SEKm</t>
  </si>
  <si>
    <t>Cash SEKm</t>
  </si>
  <si>
    <t>Debt SEKm</t>
  </si>
  <si>
    <t xml:space="preserve">Cash flow SEKm </t>
  </si>
  <si>
    <t>Q4 24/25</t>
  </si>
  <si>
    <t>Q1 25/26</t>
  </si>
  <si>
    <t>Q2 25/26</t>
  </si>
  <si>
    <t>Q3 25/26</t>
  </si>
  <si>
    <t>Q4 25/26</t>
  </si>
  <si>
    <t>MC SEKm</t>
  </si>
  <si>
    <t>EV SEKm</t>
  </si>
  <si>
    <t>Balanse SEKm</t>
  </si>
  <si>
    <t xml:space="preserve">Press releases: </t>
  </si>
  <si>
    <t>21.02.25: Med sin Q3 rapport nedjusterer Elekta sine EBIT-marginer for  fiscal 24/25 grunnet svakere i Kina og USA</t>
  </si>
  <si>
    <t>Q3 24/25</t>
  </si>
  <si>
    <t>Q2 24/25</t>
  </si>
  <si>
    <t>Q1 24/25</t>
  </si>
  <si>
    <t>Q4 23/24</t>
  </si>
  <si>
    <t>Q3 23/24</t>
  </si>
  <si>
    <t>Q2 23/24</t>
  </si>
  <si>
    <t>Q1 23/24</t>
  </si>
  <si>
    <t>Q4 22/23</t>
  </si>
  <si>
    <t>Q3 22/23</t>
  </si>
  <si>
    <t>Q2 22/23</t>
  </si>
  <si>
    <t>Q1 22/23</t>
  </si>
  <si>
    <t>FY 24/25</t>
  </si>
  <si>
    <t>FY 22/23</t>
  </si>
  <si>
    <t>FY 23/24</t>
  </si>
  <si>
    <t>Revenue</t>
  </si>
  <si>
    <t>COGS</t>
  </si>
  <si>
    <t>Gross profit</t>
  </si>
  <si>
    <t>Selling expenses</t>
  </si>
  <si>
    <t>Adminstrative expenses</t>
  </si>
  <si>
    <t>R&amp;D expenses</t>
  </si>
  <si>
    <t>Other operatign income/expense</t>
  </si>
  <si>
    <t>Exchange rate diff</t>
  </si>
  <si>
    <t>Operating profit (EBIT)</t>
  </si>
  <si>
    <t>Financial items, net</t>
  </si>
  <si>
    <t>PTP</t>
  </si>
  <si>
    <t>Tax</t>
  </si>
  <si>
    <t>Net income</t>
  </si>
  <si>
    <t>Share</t>
  </si>
  <si>
    <t>EPS</t>
  </si>
  <si>
    <t>FY 21/22</t>
  </si>
  <si>
    <t>FY 20/21</t>
  </si>
  <si>
    <t>FY 18/19</t>
  </si>
  <si>
    <t>FY 19/20</t>
  </si>
  <si>
    <t>FY 17/18</t>
  </si>
  <si>
    <t>FY 16/17</t>
  </si>
  <si>
    <t>FY 15/16</t>
  </si>
  <si>
    <t>ROCE</t>
  </si>
  <si>
    <t>Intangible assets</t>
  </si>
  <si>
    <t>Right of use assets</t>
  </si>
  <si>
    <t>Tangible assets</t>
  </si>
  <si>
    <t>Financial assets</t>
  </si>
  <si>
    <t>Deferred tax assets</t>
  </si>
  <si>
    <t>Invetories</t>
  </si>
  <si>
    <t>Account receivables</t>
  </si>
  <si>
    <t>Accrued income</t>
  </si>
  <si>
    <t>Other current receivables</t>
  </si>
  <si>
    <t>Cash</t>
  </si>
  <si>
    <t>Total assets</t>
  </si>
  <si>
    <t>Equity attributable to parent company</t>
  </si>
  <si>
    <t>Non-controlling interests</t>
  </si>
  <si>
    <t>Total equity</t>
  </si>
  <si>
    <t>Non-current IB liabilities</t>
  </si>
  <si>
    <t>Lease liabilities</t>
  </si>
  <si>
    <t>Other non-current liabilities</t>
  </si>
  <si>
    <t>Current IB liabilities</t>
  </si>
  <si>
    <t>Account payable</t>
  </si>
  <si>
    <t>Advances from customers</t>
  </si>
  <si>
    <t>Prepaid income</t>
  </si>
  <si>
    <t>Accrued expenses</t>
  </si>
  <si>
    <t>Other current lieabilities</t>
  </si>
  <si>
    <t>Total debt</t>
  </si>
  <si>
    <t>Total E/D</t>
  </si>
  <si>
    <t>Model PTP</t>
  </si>
  <si>
    <t>Reported PTP</t>
  </si>
  <si>
    <t>A/D</t>
  </si>
  <si>
    <t>Impairment</t>
  </si>
  <si>
    <t>Interest net</t>
  </si>
  <si>
    <t>Other non-cash items</t>
  </si>
  <si>
    <t>Interest received and paid</t>
  </si>
  <si>
    <t>Income tax paid</t>
  </si>
  <si>
    <t>WC</t>
  </si>
  <si>
    <t>CFFO</t>
  </si>
  <si>
    <t>Capex</t>
  </si>
  <si>
    <t>CFFI</t>
  </si>
  <si>
    <t>Dividends</t>
  </si>
  <si>
    <t>CF from other financing activities</t>
  </si>
  <si>
    <t>CFFF</t>
  </si>
  <si>
    <t>FX</t>
  </si>
  <si>
    <t>CIC</t>
  </si>
  <si>
    <t>FCF</t>
  </si>
  <si>
    <t>feb-apr</t>
  </si>
  <si>
    <t>nov-jan</t>
  </si>
  <si>
    <t>aug-okt</t>
  </si>
  <si>
    <t>mai-juli</t>
  </si>
  <si>
    <t>Discount</t>
  </si>
  <si>
    <t>TV</t>
  </si>
  <si>
    <t>NPV</t>
  </si>
  <si>
    <t>NPV/Share</t>
  </si>
  <si>
    <t>Opp-/nedside</t>
  </si>
  <si>
    <t>Order intake (SEKm)</t>
  </si>
  <si>
    <t>FY 25/26</t>
  </si>
  <si>
    <t>FY 26/27</t>
  </si>
  <si>
    <t>FY 27/28</t>
  </si>
  <si>
    <t>FY 28/29</t>
  </si>
  <si>
    <t>FY 29/30</t>
  </si>
  <si>
    <t>FY 30/31</t>
  </si>
  <si>
    <t>FY 31/32</t>
  </si>
  <si>
    <t>FY 32/33</t>
  </si>
  <si>
    <t>FY 33/34</t>
  </si>
  <si>
    <t>FY 34/35</t>
  </si>
  <si>
    <t>FY 35/36</t>
  </si>
  <si>
    <t>25/26</t>
  </si>
  <si>
    <t>26/27</t>
  </si>
  <si>
    <t>27/28</t>
  </si>
  <si>
    <t xml:space="preserve">Null vekst og dårligste marginer </t>
  </si>
  <si>
    <t>Revenue constant FX</t>
  </si>
  <si>
    <t>Solutions</t>
  </si>
  <si>
    <t>Americas</t>
  </si>
  <si>
    <t>y/y</t>
  </si>
  <si>
    <t>EMEA</t>
  </si>
  <si>
    <t xml:space="preserve">APAC </t>
  </si>
  <si>
    <t>Total sales</t>
  </si>
  <si>
    <t>Service</t>
  </si>
  <si>
    <t>Opex</t>
  </si>
  <si>
    <t>Contribution margin</t>
  </si>
  <si>
    <t>Contribution margin %</t>
  </si>
  <si>
    <t>Global costs</t>
  </si>
  <si>
    <t>Adjusted EBIT</t>
  </si>
  <si>
    <t>Items affecting comp</t>
  </si>
  <si>
    <t>Operating income (EBIT)</t>
  </si>
  <si>
    <t>Net financial items</t>
  </si>
  <si>
    <t>APAC</t>
  </si>
  <si>
    <t>22/23</t>
  </si>
  <si>
    <t>23/24</t>
  </si>
  <si>
    <t>24/25</t>
  </si>
  <si>
    <t>09.06.25: Elekta utnevner Jakob Just-Blomholt som ny CEO</t>
  </si>
  <si>
    <t>08.09.25: Elekta gjør endringer i ledelsen, Klara Eiritz blir ny CFO, tidligere CFO, COO og CPO vil forlate Elekta. Det vil ikke bli ansatt en ny COO, men en ny CPO vil de jobbe med å finne</t>
  </si>
  <si>
    <t>Y/Y (SEK)</t>
  </si>
  <si>
    <t>Y/Y (Constant FX)</t>
  </si>
  <si>
    <t>Q1 26/27</t>
  </si>
  <si>
    <t>Q2 26/27</t>
  </si>
  <si>
    <t>Q3 26/27</t>
  </si>
  <si>
    <t>Q4 26/27</t>
  </si>
  <si>
    <t>y/y constant FX</t>
  </si>
  <si>
    <t>Kjernen i virksomheten er strålebehanlding (Radiation therapy), stereotaktisk radiosurgery og tilhørende onkologisk programvare,</t>
  </si>
  <si>
    <t>som gjør det mulig for sykehus å planlegge, tilpasse og gjennomføre behandling med høy presisjon og minst mulig skade på friskt vev</t>
  </si>
  <si>
    <t>Elekta selger både store kapitalvarer (Maskiner/systemer) og langsiktige service- og prgramvareløsninger, og kundene er primært sykehus, lreftentre og spesialiserte klinikker</t>
  </si>
  <si>
    <t>Radiation therapy</t>
  </si>
  <si>
    <t>Linac=Maskinen som strålebehandler</t>
  </si>
  <si>
    <t>Handler om ekstern strålebehandling der en linac leverer presiuse stråledoser mot svulster</t>
  </si>
  <si>
    <t>Maskiner</t>
  </si>
  <si>
    <t>MR-bilder i sanntid mens pasienten</t>
  </si>
  <si>
    <t>ligger på bordet.</t>
  </si>
  <si>
    <t>Mulighet for adaptiv strålebehandling:</t>
  </si>
  <si>
    <t xml:space="preserve">Planen kan justeres samme dag hvis </t>
  </si>
  <si>
    <t>svulsten eller organene har flyttet seg</t>
  </si>
  <si>
    <t>CT-basert strålebehandling som tar</t>
  </si>
  <si>
    <t>i bruk AI-støttet bildebehandling for</t>
  </si>
  <si>
    <t>å forbedre planlegging og gjennomføring</t>
  </si>
  <si>
    <t>Designet for høy dose strålebehandling,</t>
  </si>
  <si>
    <t>særlig enget for komplekse kreftbehandlinger</t>
  </si>
  <si>
    <t>som krever stereotaktiske teknikker (SRS/SRBT)</t>
  </si>
  <si>
    <t xml:space="preserve">Designet for standard behandling, </t>
  </si>
  <si>
    <t>vært Elektas kjerneprodukt gjennom årene</t>
  </si>
  <si>
    <t>Allrounder for Elekta, fleksibel CT-styrt</t>
  </si>
  <si>
    <t xml:space="preserve">som kurerer de fleste standard og avanserte </t>
  </si>
  <si>
    <t>krefttypene</t>
  </si>
  <si>
    <t>Elekta utvikler og leverer avansert utstyr, prgramvare og tjenester for presisjonsbasert behandling av kreft og hjernesykdommer</t>
  </si>
  <si>
    <t>Stereotactic radiosurgery</t>
  </si>
  <si>
    <t>Form for ekstremt presis strålebehandling der en svært høy stråledose leveres til et lite, nøyaktig definert mål. Ofte i en eller få behandlinger</t>
  </si>
  <si>
    <t>Avansert Gamma Knife-system for</t>
  </si>
  <si>
    <t xml:space="preserve">som leverer ekstremt nøyaktig </t>
  </si>
  <si>
    <t>stråledoser for behandling av</t>
  </si>
  <si>
    <t xml:space="preserve">hjernesvulster og andre intrakraniale </t>
  </si>
  <si>
    <t xml:space="preserve">mål, men mål om å bevare friskt vev </t>
  </si>
  <si>
    <t>og høy pasientkomfort</t>
  </si>
  <si>
    <t>Oncology software</t>
  </si>
  <si>
    <t>Programvare som knytter sammen hele strålebehandlingsprosessen. Fra planlegging og beslutning, til gjennomføring, og oppfølging. "Digitale limet"</t>
  </si>
  <si>
    <t>Brachytherapy</t>
  </si>
  <si>
    <t>Intern strålebehandling der en radioaktiv kilde plasseres direkte i eller nær svulsten for å gi svært høy lokal dose</t>
  </si>
  <si>
    <t>Neurosurgery</t>
  </si>
  <si>
    <t>Behandling av hjernesykdommer ved hjelp av ekstremt presis stereokatisk stråling, der gamma Knife-systemet er kjernen i tilbudet</t>
  </si>
  <si>
    <t>16.01.26: Elekta fåpr godkjenning fra FDA for Elekta 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</si>
</sst>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\ %"/>
    <numFmt numFmtId="167" formatCode="[$SEK]\ #,##0.0_);[Red]\([$SEK]\ #,##0.0\)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6F8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166" fontId="1" fillId="0" borderId="0" xfId="0" applyNumberFormat="1" applyFont="1"/>
    <xf numFmtId="10" fontId="4" fillId="0" borderId="0" xfId="0" applyNumberFormat="1" applyFont="1"/>
    <xf numFmtId="10" fontId="4" fillId="0" borderId="1" xfId="0" applyNumberFormat="1" applyFont="1" applyBorder="1"/>
    <xf numFmtId="166" fontId="1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/>
    <xf numFmtId="164" fontId="2" fillId="0" borderId="0" xfId="0" applyNumberFormat="1" applyFont="1"/>
    <xf numFmtId="4" fontId="2" fillId="0" borderId="0" xfId="0" applyNumberFormat="1" applyFont="1"/>
    <xf numFmtId="10" fontId="1" fillId="0" borderId="0" xfId="0" applyNumberFormat="1" applyFont="1"/>
    <xf numFmtId="10" fontId="1" fillId="0" borderId="1" xfId="0" applyNumberFormat="1" applyFont="1" applyBorder="1"/>
    <xf numFmtId="9" fontId="2" fillId="0" borderId="0" xfId="0" applyNumberFormat="1" applyFont="1"/>
    <xf numFmtId="0" fontId="2" fillId="0" borderId="3" xfId="0" applyFont="1" applyBorder="1"/>
    <xf numFmtId="167" fontId="2" fillId="0" borderId="3" xfId="0" applyNumberFormat="1" applyFont="1" applyBorder="1"/>
    <xf numFmtId="167" fontId="2" fillId="0" borderId="0" xfId="0" applyNumberFormat="1" applyFont="1"/>
    <xf numFmtId="0" fontId="5" fillId="0" borderId="2" xfId="0" applyFont="1" applyBorder="1"/>
    <xf numFmtId="0" fontId="2" fillId="0" borderId="4" xfId="0" applyFont="1" applyBorder="1"/>
    <xf numFmtId="10" fontId="2" fillId="0" borderId="3" xfId="0" applyNumberFormat="1" applyFont="1" applyBorder="1"/>
    <xf numFmtId="10" fontId="2" fillId="0" borderId="4" xfId="0" applyNumberFormat="1" applyFont="1" applyBorder="1"/>
    <xf numFmtId="0" fontId="1" fillId="0" borderId="3" xfId="0" applyFont="1" applyBorder="1"/>
    <xf numFmtId="10" fontId="1" fillId="0" borderId="3" xfId="0" applyNumberFormat="1" applyFont="1" applyBorder="1"/>
    <xf numFmtId="167" fontId="1" fillId="0" borderId="0" xfId="0" applyNumberFormat="1" applyFont="1"/>
    <xf numFmtId="165" fontId="6" fillId="0" borderId="2" xfId="0" applyNumberFormat="1" applyFont="1" applyBorder="1"/>
    <xf numFmtId="10" fontId="4" fillId="0" borderId="3" xfId="0" applyNumberFormat="1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/>
    <xf numFmtId="10" fontId="3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6" xfId="0" applyFont="1" applyBorder="1"/>
    <xf numFmtId="10" fontId="4" fillId="0" borderId="6" xfId="0" applyNumberFormat="1" applyFont="1" applyBorder="1"/>
    <xf numFmtId="0" fontId="2" fillId="0" borderId="7" xfId="0" applyFont="1" applyBorder="1"/>
    <xf numFmtId="2" fontId="2" fillId="0" borderId="1" xfId="0" applyNumberFormat="1" applyFont="1" applyBorder="1"/>
    <xf numFmtId="0" fontId="4" fillId="0" borderId="3" xfId="0" applyFont="1" applyBorder="1"/>
    <xf numFmtId="0" fontId="4" fillId="0" borderId="9" xfId="0" applyFont="1" applyBorder="1"/>
    <xf numFmtId="10" fontId="4" fillId="0" borderId="9" xfId="0" applyNumberFormat="1" applyFont="1" applyBorder="1"/>
    <xf numFmtId="10" fontId="4" fillId="0" borderId="10" xfId="0" applyNumberFormat="1" applyFont="1" applyBorder="1"/>
    <xf numFmtId="10" fontId="3" fillId="0" borderId="7" xfId="0" applyNumberFormat="1" applyFont="1" applyBorder="1"/>
    <xf numFmtId="3" fontId="1" fillId="0" borderId="6" xfId="0" applyNumberFormat="1" applyFont="1" applyBorder="1"/>
    <xf numFmtId="0" fontId="8" fillId="0" borderId="0" xfId="0" applyFont="1"/>
    <xf numFmtId="0" fontId="9" fillId="0" borderId="0" xfId="0" applyFont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6F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25399</xdr:colOff>
      <xdr:row>0</xdr:row>
      <xdr:rowOff>0</xdr:rowOff>
    </xdr:from>
    <xdr:to>
      <xdr:col>18</xdr:col>
      <xdr:colOff>21920</xdr:colOff>
      <xdr:row>12</xdr:row>
      <xdr:rowOff>158750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3D0B0B02-4970-AA47-A31F-20D0E6C0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9999" y="0"/>
          <a:ext cx="6600521" cy="3441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41894</xdr:colOff>
      <xdr:row>13</xdr:row>
      <xdr:rowOff>101600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FEB091BC-7E98-9DE3-B99E-15B12EC0B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906494" cy="36576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63501</xdr:rowOff>
    </xdr:from>
    <xdr:to>
      <xdr:col>21</xdr:col>
      <xdr:colOff>158750</xdr:colOff>
      <xdr:row>15</xdr:row>
      <xdr:rowOff>1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2137A03F-8579-1C6E-044E-886CB5548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000" t="17198" r="7083" b="13171"/>
        <a:stretch>
          <a:fillRect/>
        </a:stretch>
      </xdr:blipFill>
      <xdr:spPr>
        <a:xfrm>
          <a:off x="16287750" y="1412876"/>
          <a:ext cx="3159125" cy="2635250"/>
        </a:xfrm>
        <a:prstGeom prst="rect">
          <a:avLst/>
        </a:prstGeom>
      </xdr:spPr>
    </xdr:pic>
    <xdr:clientData/>
  </xdr:twoCellAnchor>
  <xdr:twoCellAnchor editAs="oneCell">
    <xdr:from>
      <xdr:col>103</xdr:col>
      <xdr:colOff>571500</xdr:colOff>
      <xdr:row>72</xdr:row>
      <xdr:rowOff>254000</xdr:rowOff>
    </xdr:from>
    <xdr:to>
      <xdr:col>107</xdr:col>
      <xdr:colOff>698014</xdr:colOff>
      <xdr:row>83</xdr:row>
      <xdr:rowOff>41631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E509112B-8215-6D33-CF0C-42D73140D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074375" y="19685000"/>
          <a:ext cx="3428514" cy="2756256"/>
        </a:xfrm>
        <a:prstGeom prst="rect">
          <a:avLst/>
        </a:prstGeom>
      </xdr:spPr>
    </xdr:pic>
    <xdr:clientData/>
  </xdr:twoCellAnchor>
  <xdr:twoCellAnchor editAs="oneCell">
    <xdr:from>
      <xdr:col>76</xdr:col>
      <xdr:colOff>349250</xdr:colOff>
      <xdr:row>50</xdr:row>
      <xdr:rowOff>111125</xdr:rowOff>
    </xdr:from>
    <xdr:to>
      <xdr:col>80</xdr:col>
      <xdr:colOff>569880</xdr:colOff>
      <xdr:row>60</xdr:row>
      <xdr:rowOff>114851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55717409-0C54-EE36-59F2-F493E73A8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563625" y="13604875"/>
          <a:ext cx="3522630" cy="2702476"/>
        </a:xfrm>
        <a:prstGeom prst="rect">
          <a:avLst/>
        </a:prstGeom>
      </xdr:spPr>
    </xdr:pic>
    <xdr:clientData/>
  </xdr:twoCellAnchor>
  <xdr:twoCellAnchor editAs="oneCell">
    <xdr:from>
      <xdr:col>21</xdr:col>
      <xdr:colOff>730249</xdr:colOff>
      <xdr:row>5</xdr:row>
      <xdr:rowOff>0</xdr:rowOff>
    </xdr:from>
    <xdr:to>
      <xdr:col>26</xdr:col>
      <xdr:colOff>71598</xdr:colOff>
      <xdr:row>14</xdr:row>
      <xdr:rowOff>206375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1F1567A6-6164-F402-8186-E36FCBFA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42124" y="1349375"/>
          <a:ext cx="3468849" cy="263525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95249</xdr:colOff>
      <xdr:row>5</xdr:row>
      <xdr:rowOff>79374</xdr:rowOff>
    </xdr:from>
    <xdr:to>
      <xdr:col>30</xdr:col>
      <xdr:colOff>249178</xdr:colOff>
      <xdr:row>14</xdr:row>
      <xdr:rowOff>269874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FC88BD67-E59B-C016-4C1E-1AF0F353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034624" y="1428749"/>
          <a:ext cx="3455929" cy="2619375"/>
        </a:xfrm>
        <a:prstGeom prst="rect">
          <a:avLst/>
        </a:prstGeom>
      </xdr:spPr>
    </xdr:pic>
    <xdr:clientData/>
  </xdr:twoCellAnchor>
  <xdr:twoCellAnchor editAs="oneCell">
    <xdr:from>
      <xdr:col>35</xdr:col>
      <xdr:colOff>682624</xdr:colOff>
      <xdr:row>4</xdr:row>
      <xdr:rowOff>174625</xdr:rowOff>
    </xdr:from>
    <xdr:to>
      <xdr:col>40</xdr:col>
      <xdr:colOff>114283</xdr:colOff>
      <xdr:row>14</xdr:row>
      <xdr:rowOff>206375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06AE194D-4059-E644-D3D3-868164FF8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051499" y="1254125"/>
          <a:ext cx="3559159" cy="2730500"/>
        </a:xfrm>
        <a:prstGeom prst="rect">
          <a:avLst/>
        </a:prstGeom>
      </xdr:spPr>
    </xdr:pic>
    <xdr:clientData/>
  </xdr:twoCellAnchor>
  <xdr:twoCellAnchor editAs="oneCell">
    <xdr:from>
      <xdr:col>31</xdr:col>
      <xdr:colOff>15874</xdr:colOff>
      <xdr:row>4</xdr:row>
      <xdr:rowOff>269874</xdr:rowOff>
    </xdr:from>
    <xdr:to>
      <xdr:col>35</xdr:col>
      <xdr:colOff>31749</xdr:colOff>
      <xdr:row>14</xdr:row>
      <xdr:rowOff>238435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55303C3C-78A1-86A6-66F9-EC6BE5E8B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82749" y="1349374"/>
          <a:ext cx="3317875" cy="2667311"/>
        </a:xfrm>
        <a:prstGeom prst="rect">
          <a:avLst/>
        </a:prstGeom>
      </xdr:spPr>
    </xdr:pic>
    <xdr:clientData/>
  </xdr:twoCellAnchor>
  <xdr:twoCellAnchor editAs="oneCell">
    <xdr:from>
      <xdr:col>19</xdr:col>
      <xdr:colOff>15875</xdr:colOff>
      <xdr:row>22</xdr:row>
      <xdr:rowOff>174625</xdr:rowOff>
    </xdr:from>
    <xdr:to>
      <xdr:col>21</xdr:col>
      <xdr:colOff>241300</xdr:colOff>
      <xdr:row>32</xdr:row>
      <xdr:rowOff>79375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8398C658-1081-FD56-DDB7-DDB287E73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03625" y="6111875"/>
          <a:ext cx="3225800" cy="2603500"/>
        </a:xfrm>
        <a:prstGeom prst="rect">
          <a:avLst/>
        </a:prstGeom>
      </xdr:spPr>
    </xdr:pic>
    <xdr:clientData/>
  </xdr:twoCellAnchor>
  <xdr:twoCellAnchor editAs="oneCell">
    <xdr:from>
      <xdr:col>21</xdr:col>
      <xdr:colOff>333375</xdr:colOff>
      <xdr:row>22</xdr:row>
      <xdr:rowOff>158750</xdr:rowOff>
    </xdr:from>
    <xdr:to>
      <xdr:col>25</xdr:col>
      <xdr:colOff>487304</xdr:colOff>
      <xdr:row>32</xdr:row>
      <xdr:rowOff>79375</xdr:rowOff>
    </xdr:to>
    <xdr:pic>
      <xdr:nvPicPr>
        <xdr:cNvPr id="13" name="Bilde 12">
          <a:extLst>
            <a:ext uri="{FF2B5EF4-FFF2-40B4-BE49-F238E27FC236}">
              <a16:creationId xmlns:a16="http://schemas.microsoft.com/office/drawing/2014/main" id="{0AA5010A-61B2-ED40-971F-AAC1B7680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21500" y="6096000"/>
          <a:ext cx="3455929" cy="2619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673100</xdr:colOff>
      <xdr:row>4</xdr:row>
      <xdr:rowOff>129464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B36DEF15-C516-EB41-AAD2-F3390D1A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18100" cy="10946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2C55AB7D-FF2A-D548-9E25-0183F9C3B40C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" dT="2025-08-28T19:16:07.05" personId="{2C55AB7D-FF2A-D548-9E25-0183F9C3B40C}" id="{A50D18CB-A9B2-554F-BD49-20CB2359F526}">
    <text xml:space="preserve">Sales down y/y, Conf call Q1
</text>
  </threadedComment>
  <threadedComment ref="AE23" dT="2025-08-20T19:03:13.50" personId="{2C55AB7D-FF2A-D548-9E25-0183F9C3B40C}" id="{55D5E198-903B-3145-AB3D-6E68DFA8D391}">
    <text>11% justert for one-off på R&amp;D på -1100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2" dT="2025-08-20T19:03:13.50" personId="{2C55AB7D-FF2A-D548-9E25-0183F9C3B40C}" id="{4A235142-554D-1041-9BF6-D69567DDDCF5}">
    <text>11% justert for one-off på R&amp;D på -1100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2:AK45"/>
  <sheetViews>
    <sheetView showGridLines="0" tabSelected="1" zoomScale="80" zoomScaleNormal="80" workbookViewId="0">
      <selection activeCell="E20" sqref="E20"/>
    </sheetView>
  </sheetViews>
  <sheetFormatPr baseColWidth="10" defaultRowHeight="21" x14ac:dyDescent="0.25"/>
  <cols>
    <col min="1" max="6" width="10.83203125" style="61"/>
    <col min="7" max="7" width="18.83203125" style="61" customWidth="1"/>
    <col min="8" max="19" width="10.83203125" style="61"/>
    <col min="20" max="20" width="28.5" style="61" customWidth="1"/>
    <col min="21" max="16384" width="10.83203125" style="61"/>
  </cols>
  <sheetData>
    <row r="2" spans="1:37" x14ac:dyDescent="0.25">
      <c r="T2" s="62" t="s">
        <v>160</v>
      </c>
      <c r="U2" s="61" t="s">
        <v>162</v>
      </c>
    </row>
    <row r="3" spans="1:37" x14ac:dyDescent="0.25">
      <c r="T3" s="61" t="s">
        <v>161</v>
      </c>
    </row>
    <row r="5" spans="1:37" x14ac:dyDescent="0.25">
      <c r="A5" s="60"/>
      <c r="G5" s="60"/>
      <c r="T5" s="60" t="s">
        <v>163</v>
      </c>
    </row>
    <row r="6" spans="1:37" x14ac:dyDescent="0.25">
      <c r="A6" s="60"/>
    </row>
    <row r="7" spans="1:37" x14ac:dyDescent="0.25">
      <c r="A7" s="60"/>
    </row>
    <row r="8" spans="1:37" x14ac:dyDescent="0.25">
      <c r="A8" s="60"/>
    </row>
    <row r="15" spans="1:37" x14ac:dyDescent="0.25">
      <c r="A15" s="61" t="s">
        <v>180</v>
      </c>
    </row>
    <row r="16" spans="1:37" x14ac:dyDescent="0.25">
      <c r="A16" s="61" t="s">
        <v>157</v>
      </c>
      <c r="T16" s="61" t="s">
        <v>164</v>
      </c>
      <c r="W16" s="61" t="s">
        <v>169</v>
      </c>
      <c r="AA16" s="61" t="s">
        <v>172</v>
      </c>
      <c r="AF16" s="61" t="s">
        <v>175</v>
      </c>
      <c r="AK16" s="61" t="s">
        <v>177</v>
      </c>
    </row>
    <row r="17" spans="1:37" x14ac:dyDescent="0.25">
      <c r="A17" s="61" t="s">
        <v>158</v>
      </c>
      <c r="T17" s="61" t="s">
        <v>165</v>
      </c>
      <c r="W17" s="61" t="s">
        <v>170</v>
      </c>
      <c r="AA17" s="61" t="s">
        <v>173</v>
      </c>
      <c r="AF17" s="61" t="s">
        <v>176</v>
      </c>
      <c r="AK17" s="61" t="s">
        <v>178</v>
      </c>
    </row>
    <row r="18" spans="1:37" x14ac:dyDescent="0.25">
      <c r="A18" s="61" t="s">
        <v>159</v>
      </c>
      <c r="T18" s="61" t="s">
        <v>166</v>
      </c>
      <c r="W18" s="61" t="s">
        <v>171</v>
      </c>
      <c r="AA18" s="61" t="s">
        <v>174</v>
      </c>
      <c r="AK18" s="61" t="s">
        <v>179</v>
      </c>
    </row>
    <row r="19" spans="1:37" x14ac:dyDescent="0.25">
      <c r="A19" s="60"/>
      <c r="T19" s="61" t="s">
        <v>167</v>
      </c>
    </row>
    <row r="20" spans="1:37" x14ac:dyDescent="0.25">
      <c r="T20" s="61" t="s">
        <v>168</v>
      </c>
    </row>
    <row r="22" spans="1:37" x14ac:dyDescent="0.25">
      <c r="T22" s="62" t="s">
        <v>181</v>
      </c>
      <c r="U22" s="61" t="s">
        <v>182</v>
      </c>
    </row>
    <row r="28" spans="1:37" x14ac:dyDescent="0.25">
      <c r="A28" s="60" t="s">
        <v>21</v>
      </c>
    </row>
    <row r="29" spans="1:37" x14ac:dyDescent="0.25">
      <c r="A29" s="61" t="s">
        <v>195</v>
      </c>
    </row>
    <row r="30" spans="1:37" x14ac:dyDescent="0.25">
      <c r="A30" s="61" t="s">
        <v>149</v>
      </c>
    </row>
    <row r="31" spans="1:37" x14ac:dyDescent="0.25">
      <c r="A31" s="61" t="s">
        <v>148</v>
      </c>
    </row>
    <row r="32" spans="1:37" x14ac:dyDescent="0.25">
      <c r="A32" s="61" t="s">
        <v>22</v>
      </c>
    </row>
    <row r="34" spans="20:21" x14ac:dyDescent="0.25">
      <c r="T34" s="61" t="s">
        <v>183</v>
      </c>
    </row>
    <row r="35" spans="20:21" x14ac:dyDescent="0.25">
      <c r="T35" s="61" t="s">
        <v>184</v>
      </c>
    </row>
    <row r="36" spans="20:21" x14ac:dyDescent="0.25">
      <c r="T36" s="61" t="s">
        <v>185</v>
      </c>
    </row>
    <row r="37" spans="20:21" x14ac:dyDescent="0.25">
      <c r="T37" s="61" t="s">
        <v>186</v>
      </c>
    </row>
    <row r="38" spans="20:21" x14ac:dyDescent="0.25">
      <c r="T38" s="61" t="s">
        <v>187</v>
      </c>
    </row>
    <row r="39" spans="20:21" x14ac:dyDescent="0.25">
      <c r="T39" s="61" t="s">
        <v>188</v>
      </c>
    </row>
    <row r="41" spans="20:21" x14ac:dyDescent="0.25">
      <c r="T41" s="62" t="s">
        <v>189</v>
      </c>
      <c r="U41" s="61" t="s">
        <v>190</v>
      </c>
    </row>
    <row r="43" spans="20:21" x14ac:dyDescent="0.25">
      <c r="T43" s="62" t="s">
        <v>191</v>
      </c>
      <c r="U43" s="61" t="s">
        <v>192</v>
      </c>
    </row>
    <row r="45" spans="20:21" x14ac:dyDescent="0.25">
      <c r="T45" s="62" t="s">
        <v>193</v>
      </c>
      <c r="U45" s="61" t="s">
        <v>194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GV130"/>
  <sheetViews>
    <sheetView showGridLines="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7.1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10.1640625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6" width="10.83203125" style="2"/>
    <col min="17" max="17" width="10.83203125" style="4"/>
    <col min="18" max="30" width="10.83203125" style="2"/>
    <col min="31" max="31" width="10.83203125" style="2" customWidth="1"/>
    <col min="32" max="32" width="10.83203125" style="4"/>
    <col min="33" max="43" width="10.83203125" style="2"/>
    <col min="44" max="44" width="14.83203125" style="2" bestFit="1" customWidth="1"/>
    <col min="45" max="45" width="13.6640625" style="2" bestFit="1" customWidth="1"/>
    <col min="46" max="16384" width="10.83203125" style="2"/>
  </cols>
  <sheetData>
    <row r="1" spans="1:204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B1" s="1"/>
    </row>
    <row r="2" spans="1:204" x14ac:dyDescent="0.25">
      <c r="D2" s="2" t="s">
        <v>106</v>
      </c>
      <c r="E2" s="2" t="s">
        <v>105</v>
      </c>
      <c r="F2" s="2" t="s">
        <v>104</v>
      </c>
      <c r="G2" s="2" t="s">
        <v>103</v>
      </c>
      <c r="H2" s="2" t="s">
        <v>106</v>
      </c>
      <c r="I2" s="2" t="s">
        <v>105</v>
      </c>
      <c r="J2" s="2" t="s">
        <v>104</v>
      </c>
      <c r="K2" s="2" t="s">
        <v>103</v>
      </c>
      <c r="L2" s="2" t="s">
        <v>106</v>
      </c>
      <c r="M2" s="2" t="s">
        <v>105</v>
      </c>
      <c r="N2" s="2" t="s">
        <v>104</v>
      </c>
      <c r="O2" s="2" t="s">
        <v>103</v>
      </c>
      <c r="P2" s="2" t="s">
        <v>106</v>
      </c>
      <c r="Q2" s="4" t="s">
        <v>105</v>
      </c>
      <c r="R2" s="2" t="s">
        <v>104</v>
      </c>
      <c r="S2" s="2" t="s">
        <v>103</v>
      </c>
    </row>
    <row r="3" spans="1:204" x14ac:dyDescent="0.25">
      <c r="A3" s="1" t="s">
        <v>0</v>
      </c>
      <c r="C3" s="2" t="s">
        <v>9</v>
      </c>
      <c r="D3" s="7" t="s">
        <v>33</v>
      </c>
      <c r="E3" s="7" t="s">
        <v>32</v>
      </c>
      <c r="F3" s="7" t="s">
        <v>31</v>
      </c>
      <c r="G3" s="7" t="s">
        <v>30</v>
      </c>
      <c r="H3" s="7" t="s">
        <v>29</v>
      </c>
      <c r="I3" s="7" t="s">
        <v>28</v>
      </c>
      <c r="J3" s="7" t="s">
        <v>27</v>
      </c>
      <c r="K3" s="7" t="s">
        <v>26</v>
      </c>
      <c r="L3" s="7" t="s">
        <v>25</v>
      </c>
      <c r="M3" s="7" t="s">
        <v>24</v>
      </c>
      <c r="N3" s="7" t="s">
        <v>23</v>
      </c>
      <c r="O3" s="7" t="s">
        <v>13</v>
      </c>
      <c r="P3" s="7" t="s">
        <v>14</v>
      </c>
      <c r="Q3" s="16" t="s">
        <v>15</v>
      </c>
      <c r="R3" s="7" t="s">
        <v>16</v>
      </c>
      <c r="S3" s="7" t="s">
        <v>17</v>
      </c>
      <c r="V3" s="7" t="s">
        <v>58</v>
      </c>
      <c r="W3" s="7" t="s">
        <v>57</v>
      </c>
      <c r="X3" s="7" t="s">
        <v>56</v>
      </c>
      <c r="Y3" s="7" t="s">
        <v>54</v>
      </c>
      <c r="Z3" s="7" t="s">
        <v>55</v>
      </c>
      <c r="AA3" s="7" t="s">
        <v>53</v>
      </c>
      <c r="AB3" s="7" t="s">
        <v>52</v>
      </c>
      <c r="AC3" s="7" t="s">
        <v>35</v>
      </c>
      <c r="AD3" s="7" t="s">
        <v>36</v>
      </c>
      <c r="AE3" s="7" t="s">
        <v>34</v>
      </c>
      <c r="AF3" s="16" t="s">
        <v>113</v>
      </c>
      <c r="AG3" s="7" t="s">
        <v>114</v>
      </c>
      <c r="AH3" s="7" t="s">
        <v>115</v>
      </c>
      <c r="AI3" s="7" t="s">
        <v>116</v>
      </c>
      <c r="AJ3" s="7" t="s">
        <v>117</v>
      </c>
      <c r="AK3" s="7" t="s">
        <v>118</v>
      </c>
      <c r="AL3" s="7" t="s">
        <v>119</v>
      </c>
      <c r="AM3" s="7" t="s">
        <v>120</v>
      </c>
      <c r="AN3" s="7" t="s">
        <v>121</v>
      </c>
      <c r="AO3" s="7" t="s">
        <v>122</v>
      </c>
      <c r="AP3" s="7" t="s">
        <v>123</v>
      </c>
    </row>
    <row r="4" spans="1:204" x14ac:dyDescent="0.25">
      <c r="A4" s="2" t="s">
        <v>1</v>
      </c>
      <c r="B4" s="20">
        <v>64</v>
      </c>
      <c r="C4" s="1" t="s">
        <v>37</v>
      </c>
      <c r="D4" s="11">
        <v>3327</v>
      </c>
      <c r="E4" s="11">
        <v>4081</v>
      </c>
      <c r="F4" s="11">
        <v>4337</v>
      </c>
      <c r="G4" s="11">
        <v>5125</v>
      </c>
      <c r="H4" s="11">
        <v>3828</v>
      </c>
      <c r="I4" s="11">
        <v>4732</v>
      </c>
      <c r="J4" s="11">
        <v>4537</v>
      </c>
      <c r="K4" s="11">
        <v>5023</v>
      </c>
      <c r="L4" s="11">
        <v>3825</v>
      </c>
      <c r="M4" s="11">
        <v>4341</v>
      </c>
      <c r="N4" s="11">
        <v>4695</v>
      </c>
      <c r="O4" s="11">
        <v>5156</v>
      </c>
      <c r="P4" s="11">
        <v>3646</v>
      </c>
      <c r="Q4" s="12">
        <v>4070</v>
      </c>
      <c r="R4" s="11"/>
      <c r="S4" s="11"/>
      <c r="V4" s="11">
        <v>11221</v>
      </c>
      <c r="W4" s="11">
        <v>10704</v>
      </c>
      <c r="X4" s="11">
        <v>11573</v>
      </c>
      <c r="Y4" s="11">
        <v>13555</v>
      </c>
      <c r="Z4" s="11">
        <v>14601</v>
      </c>
      <c r="AA4" s="11">
        <v>13763</v>
      </c>
      <c r="AB4" s="11">
        <v>14548</v>
      </c>
      <c r="AC4" s="11">
        <v>16869</v>
      </c>
      <c r="AD4" s="11">
        <v>18119</v>
      </c>
      <c r="AE4" s="11">
        <v>18016</v>
      </c>
      <c r="AF4" s="12">
        <f>AE4*1.02</f>
        <v>18376.32</v>
      </c>
      <c r="AG4" s="11">
        <f>AF4*1.05</f>
        <v>19295.136000000002</v>
      </c>
      <c r="AH4" s="11">
        <f t="shared" ref="AH4:AP4" si="0">AG4*1.05</f>
        <v>20259.892800000001</v>
      </c>
      <c r="AI4" s="11">
        <f t="shared" si="0"/>
        <v>21272.887440000002</v>
      </c>
      <c r="AJ4" s="11">
        <f t="shared" si="0"/>
        <v>22336.531812000005</v>
      </c>
      <c r="AK4" s="11">
        <f t="shared" si="0"/>
        <v>23453.358402600006</v>
      </c>
      <c r="AL4" s="11">
        <f t="shared" si="0"/>
        <v>24626.026322730009</v>
      </c>
      <c r="AM4" s="11">
        <f t="shared" si="0"/>
        <v>25857.327638866511</v>
      </c>
      <c r="AN4" s="11">
        <f t="shared" si="0"/>
        <v>27150.194020809839</v>
      </c>
      <c r="AO4" s="11">
        <f t="shared" si="0"/>
        <v>28507.703721850332</v>
      </c>
      <c r="AP4" s="11">
        <f t="shared" si="0"/>
        <v>29933.088907942849</v>
      </c>
    </row>
    <row r="5" spans="1:204" x14ac:dyDescent="0.25">
      <c r="A5" s="2" t="s">
        <v>2</v>
      </c>
      <c r="B5" s="5">
        <v>382.08300000000003</v>
      </c>
      <c r="C5" s="2" t="s">
        <v>38</v>
      </c>
      <c r="D5" s="13">
        <v>-2039</v>
      </c>
      <c r="E5" s="13">
        <v>-2602</v>
      </c>
      <c r="F5" s="13">
        <v>-2686</v>
      </c>
      <c r="G5" s="13">
        <v>-3194</v>
      </c>
      <c r="H5" s="13">
        <v>-2238</v>
      </c>
      <c r="I5" s="13">
        <v>-3037</v>
      </c>
      <c r="J5" s="13">
        <v>-2873</v>
      </c>
      <c r="K5" s="13">
        <v>-3194</v>
      </c>
      <c r="L5" s="13">
        <v>-2408</v>
      </c>
      <c r="M5" s="13">
        <v>-2798</v>
      </c>
      <c r="N5" s="13">
        <v>-2961</v>
      </c>
      <c r="O5" s="13">
        <v>-3102</v>
      </c>
      <c r="P5" s="13">
        <v>-2305</v>
      </c>
      <c r="Q5" s="14">
        <v>-2532</v>
      </c>
      <c r="R5" s="13"/>
      <c r="S5" s="13"/>
      <c r="V5" s="13">
        <v>-6608</v>
      </c>
      <c r="W5" s="13">
        <v>-6277</v>
      </c>
      <c r="X5" s="13">
        <v>-6517</v>
      </c>
      <c r="Y5" s="13">
        <v>-7875</v>
      </c>
      <c r="Z5" s="13">
        <v>-8464</v>
      </c>
      <c r="AA5" s="13">
        <v>-8153</v>
      </c>
      <c r="AB5" s="13">
        <v>-9111</v>
      </c>
      <c r="AC5" s="13">
        <v>-10520</v>
      </c>
      <c r="AD5" s="13">
        <v>-11342</v>
      </c>
      <c r="AE5" s="13">
        <v>-11270</v>
      </c>
      <c r="AF5" s="14">
        <f>AF4*-0.63</f>
        <v>-11577.0816</v>
      </c>
      <c r="AG5" s="13">
        <f>AG4*-0.61</f>
        <v>-11770.03296</v>
      </c>
      <c r="AH5" s="13">
        <f>AH4*-0.6</f>
        <v>-12155.935680000001</v>
      </c>
      <c r="AI5" s="13">
        <f t="shared" ref="AI5:AP5" si="1">AI4*-0.6</f>
        <v>-12763.732464000001</v>
      </c>
      <c r="AJ5" s="13">
        <f t="shared" si="1"/>
        <v>-13401.919087200002</v>
      </c>
      <c r="AK5" s="13">
        <f t="shared" si="1"/>
        <v>-14072.015041560004</v>
      </c>
      <c r="AL5" s="13">
        <f t="shared" si="1"/>
        <v>-14775.615793638004</v>
      </c>
      <c r="AM5" s="13">
        <f t="shared" si="1"/>
        <v>-15514.396583319905</v>
      </c>
      <c r="AN5" s="13">
        <f t="shared" si="1"/>
        <v>-16290.116412485902</v>
      </c>
      <c r="AO5" s="13">
        <f t="shared" si="1"/>
        <v>-17104.6222331102</v>
      </c>
      <c r="AP5" s="13">
        <f t="shared" si="1"/>
        <v>-17959.85334476571</v>
      </c>
    </row>
    <row r="6" spans="1:204" x14ac:dyDescent="0.25">
      <c r="A6" s="2" t="s">
        <v>18</v>
      </c>
      <c r="B6" s="5">
        <f>B4*B5</f>
        <v>24453.312000000002</v>
      </c>
      <c r="C6" s="2" t="s">
        <v>39</v>
      </c>
      <c r="D6" s="13">
        <f t="shared" ref="D6:S6" si="2">SUM(D4:D5)</f>
        <v>1288</v>
      </c>
      <c r="E6" s="13">
        <f t="shared" si="2"/>
        <v>1479</v>
      </c>
      <c r="F6" s="13">
        <f t="shared" si="2"/>
        <v>1651</v>
      </c>
      <c r="G6" s="13">
        <f t="shared" si="2"/>
        <v>1931</v>
      </c>
      <c r="H6" s="13">
        <f t="shared" si="2"/>
        <v>1590</v>
      </c>
      <c r="I6" s="13">
        <f t="shared" si="2"/>
        <v>1695</v>
      </c>
      <c r="J6" s="13">
        <f t="shared" si="2"/>
        <v>1664</v>
      </c>
      <c r="K6" s="13">
        <f t="shared" si="2"/>
        <v>1829</v>
      </c>
      <c r="L6" s="13">
        <f t="shared" si="2"/>
        <v>1417</v>
      </c>
      <c r="M6" s="13">
        <f t="shared" si="2"/>
        <v>1543</v>
      </c>
      <c r="N6" s="13">
        <f t="shared" si="2"/>
        <v>1734</v>
      </c>
      <c r="O6" s="13">
        <f t="shared" si="2"/>
        <v>2054</v>
      </c>
      <c r="P6" s="13">
        <f t="shared" si="2"/>
        <v>1341</v>
      </c>
      <c r="Q6" s="14">
        <f t="shared" si="2"/>
        <v>1538</v>
      </c>
      <c r="R6" s="13">
        <f t="shared" si="2"/>
        <v>0</v>
      </c>
      <c r="S6" s="13">
        <f t="shared" si="2"/>
        <v>0</v>
      </c>
      <c r="V6" s="13">
        <f t="shared" ref="V6:AE6" si="3">SUM(V4:V5)</f>
        <v>4613</v>
      </c>
      <c r="W6" s="13">
        <f t="shared" si="3"/>
        <v>4427</v>
      </c>
      <c r="X6" s="13">
        <f t="shared" si="3"/>
        <v>5056</v>
      </c>
      <c r="Y6" s="13">
        <f t="shared" si="3"/>
        <v>5680</v>
      </c>
      <c r="Z6" s="13">
        <f t="shared" si="3"/>
        <v>6137</v>
      </c>
      <c r="AA6" s="13">
        <f t="shared" si="3"/>
        <v>5610</v>
      </c>
      <c r="AB6" s="13">
        <f t="shared" si="3"/>
        <v>5437</v>
      </c>
      <c r="AC6" s="13">
        <f t="shared" si="3"/>
        <v>6349</v>
      </c>
      <c r="AD6" s="13">
        <f t="shared" si="3"/>
        <v>6777</v>
      </c>
      <c r="AE6" s="13">
        <f t="shared" si="3"/>
        <v>6746</v>
      </c>
      <c r="AF6" s="14">
        <f t="shared" ref="AF6:AP6" si="4">SUM(AF4:AF5)</f>
        <v>6799.2384000000002</v>
      </c>
      <c r="AG6" s="13">
        <f t="shared" si="4"/>
        <v>7525.1030400000018</v>
      </c>
      <c r="AH6" s="13">
        <f t="shared" si="4"/>
        <v>8103.9571200000009</v>
      </c>
      <c r="AI6" s="13">
        <f t="shared" si="4"/>
        <v>8509.1549760000016</v>
      </c>
      <c r="AJ6" s="13">
        <f t="shared" si="4"/>
        <v>8934.612724800003</v>
      </c>
      <c r="AK6" s="13">
        <f t="shared" si="4"/>
        <v>9381.3433610400025</v>
      </c>
      <c r="AL6" s="13">
        <f t="shared" si="4"/>
        <v>9850.4105290920052</v>
      </c>
      <c r="AM6" s="13">
        <f t="shared" si="4"/>
        <v>10342.931055546605</v>
      </c>
      <c r="AN6" s="13">
        <f t="shared" si="4"/>
        <v>10860.077608323936</v>
      </c>
      <c r="AO6" s="13">
        <f t="shared" si="4"/>
        <v>11403.081488740132</v>
      </c>
      <c r="AP6" s="13">
        <f t="shared" si="4"/>
        <v>11973.235563177139</v>
      </c>
    </row>
    <row r="7" spans="1:204" x14ac:dyDescent="0.25">
      <c r="A7" s="2" t="s">
        <v>10</v>
      </c>
      <c r="B7" s="5">
        <f>Q40</f>
        <v>2576</v>
      </c>
      <c r="C7" s="2" t="s">
        <v>40</v>
      </c>
      <c r="D7" s="13">
        <v>-391</v>
      </c>
      <c r="E7" s="13">
        <v>-421</v>
      </c>
      <c r="F7" s="13">
        <v>-392</v>
      </c>
      <c r="G7" s="13">
        <v>-399</v>
      </c>
      <c r="H7" s="13">
        <v>-434</v>
      </c>
      <c r="I7" s="13">
        <v>-427</v>
      </c>
      <c r="J7" s="13">
        <v>-369</v>
      </c>
      <c r="K7" s="13">
        <v>-411</v>
      </c>
      <c r="L7" s="13">
        <v>-425</v>
      </c>
      <c r="M7" s="13">
        <v>-403</v>
      </c>
      <c r="N7" s="13">
        <v>-411</v>
      </c>
      <c r="O7" s="13">
        <v>-411</v>
      </c>
      <c r="P7" s="13">
        <v>-377</v>
      </c>
      <c r="Q7" s="14">
        <v>-382</v>
      </c>
      <c r="R7" s="13"/>
      <c r="S7" s="13"/>
      <c r="V7" s="13">
        <v>-1336</v>
      </c>
      <c r="W7" s="13">
        <v>-1165</v>
      </c>
      <c r="X7" s="13">
        <v>-1208</v>
      </c>
      <c r="Y7" s="13">
        <v>-1296</v>
      </c>
      <c r="Z7" s="13">
        <v>-1444</v>
      </c>
      <c r="AA7" s="13">
        <v>-1143</v>
      </c>
      <c r="AB7" s="13">
        <v>-1355</v>
      </c>
      <c r="AC7" s="13">
        <v>-1603</v>
      </c>
      <c r="AD7" s="13">
        <v>-1641</v>
      </c>
      <c r="AE7" s="13">
        <v>-1650</v>
      </c>
      <c r="AF7" s="14">
        <f>AE7*1.09</f>
        <v>-1798.5000000000002</v>
      </c>
      <c r="AG7" s="13">
        <f>AF7*1.05</f>
        <v>-1888.4250000000004</v>
      </c>
      <c r="AH7" s="13">
        <f>AG7*1.04</f>
        <v>-1963.9620000000004</v>
      </c>
      <c r="AI7" s="13">
        <f t="shared" ref="AI7:AP7" si="5">AH7*1.04</f>
        <v>-2042.5204800000006</v>
      </c>
      <c r="AJ7" s="13">
        <f t="shared" si="5"/>
        <v>-2124.2212992000009</v>
      </c>
      <c r="AK7" s="13">
        <f t="shared" si="5"/>
        <v>-2209.1901511680012</v>
      </c>
      <c r="AL7" s="13">
        <f t="shared" si="5"/>
        <v>-2297.5577572147213</v>
      </c>
      <c r="AM7" s="13">
        <f t="shared" si="5"/>
        <v>-2389.4600675033103</v>
      </c>
      <c r="AN7" s="13">
        <f t="shared" si="5"/>
        <v>-2485.0384702034426</v>
      </c>
      <c r="AO7" s="13">
        <f t="shared" si="5"/>
        <v>-2584.4400090115805</v>
      </c>
      <c r="AP7" s="13">
        <f t="shared" si="5"/>
        <v>-2687.817609372044</v>
      </c>
    </row>
    <row r="8" spans="1:204" x14ac:dyDescent="0.25">
      <c r="A8" s="2" t="s">
        <v>11</v>
      </c>
      <c r="B8" s="5">
        <f>Q45+Q48</f>
        <v>6512</v>
      </c>
      <c r="C8" s="2" t="s">
        <v>41</v>
      </c>
      <c r="D8" s="13">
        <v>-317</v>
      </c>
      <c r="E8" s="13">
        <v>-339</v>
      </c>
      <c r="F8" s="13">
        <v>-416</v>
      </c>
      <c r="G8" s="13">
        <v>-325</v>
      </c>
      <c r="H8" s="13">
        <v>-314</v>
      </c>
      <c r="I8" s="13">
        <v>-343</v>
      </c>
      <c r="J8" s="13">
        <v>-346</v>
      </c>
      <c r="K8" s="13">
        <v>-366</v>
      </c>
      <c r="L8" s="13">
        <v>-379</v>
      </c>
      <c r="M8" s="13">
        <v>-317</v>
      </c>
      <c r="N8" s="13">
        <v>-354</v>
      </c>
      <c r="O8" s="13">
        <v>-363</v>
      </c>
      <c r="P8" s="13">
        <v>-321</v>
      </c>
      <c r="Q8" s="14">
        <v>-345</v>
      </c>
      <c r="R8" s="13"/>
      <c r="S8" s="13"/>
      <c r="V8" s="13">
        <v>-1026</v>
      </c>
      <c r="W8" s="13">
        <v>-928</v>
      </c>
      <c r="X8" s="13">
        <v>-949</v>
      </c>
      <c r="Y8" s="13">
        <v>-1039</v>
      </c>
      <c r="Z8" s="13">
        <v>-1093</v>
      </c>
      <c r="AA8" s="13">
        <v>-1086</v>
      </c>
      <c r="AB8" s="13">
        <v>-1173</v>
      </c>
      <c r="AC8" s="13">
        <v>-1398</v>
      </c>
      <c r="AD8" s="13">
        <v>-1370</v>
      </c>
      <c r="AE8" s="13">
        <v>-1412</v>
      </c>
      <c r="AF8" s="14">
        <f>AE8*1.1</f>
        <v>-1553.2</v>
      </c>
      <c r="AG8" s="13">
        <f t="shared" ref="AG8:AG11" si="6">AF8*1.05</f>
        <v>-1630.8600000000001</v>
      </c>
      <c r="AH8" s="13">
        <f t="shared" ref="AH8:AP11" si="7">AG8*1.04</f>
        <v>-1696.0944000000002</v>
      </c>
      <c r="AI8" s="13">
        <f t="shared" si="7"/>
        <v>-1763.9381760000003</v>
      </c>
      <c r="AJ8" s="13">
        <f t="shared" si="7"/>
        <v>-1834.4957030400003</v>
      </c>
      <c r="AK8" s="13">
        <f t="shared" si="7"/>
        <v>-1907.8755311616003</v>
      </c>
      <c r="AL8" s="13">
        <f t="shared" si="7"/>
        <v>-1984.1905524080644</v>
      </c>
      <c r="AM8" s="13">
        <f t="shared" si="7"/>
        <v>-2063.5581745043869</v>
      </c>
      <c r="AN8" s="13">
        <f t="shared" si="7"/>
        <v>-2146.1005014845623</v>
      </c>
      <c r="AO8" s="13">
        <f t="shared" si="7"/>
        <v>-2231.944521543945</v>
      </c>
      <c r="AP8" s="13">
        <f t="shared" si="7"/>
        <v>-2321.222302405703</v>
      </c>
    </row>
    <row r="9" spans="1:204" x14ac:dyDescent="0.25">
      <c r="A9" s="3" t="s">
        <v>19</v>
      </c>
      <c r="B9" s="6">
        <f>B6-B7+B8</f>
        <v>28389.312000000002</v>
      </c>
      <c r="C9" s="2" t="s">
        <v>42</v>
      </c>
      <c r="D9" s="13">
        <v>-387</v>
      </c>
      <c r="E9" s="13">
        <v>-362</v>
      </c>
      <c r="F9" s="13">
        <v>-364</v>
      </c>
      <c r="G9" s="13">
        <v>-305</v>
      </c>
      <c r="H9" s="13">
        <v>-386</v>
      </c>
      <c r="I9" s="13">
        <v>-323</v>
      </c>
      <c r="J9" s="13">
        <v>-341</v>
      </c>
      <c r="K9" s="13">
        <v>-354</v>
      </c>
      <c r="L9" s="13">
        <v>-436</v>
      </c>
      <c r="M9" s="13">
        <v>-421</v>
      </c>
      <c r="N9" s="13">
        <v>-443</v>
      </c>
      <c r="O9" s="13">
        <v>-1376</v>
      </c>
      <c r="P9" s="13">
        <v>-438</v>
      </c>
      <c r="Q9" s="14">
        <v>-434</v>
      </c>
      <c r="R9" s="13"/>
      <c r="S9" s="13"/>
      <c r="V9" s="13">
        <v>-1065</v>
      </c>
      <c r="W9" s="13">
        <v>-1018</v>
      </c>
      <c r="X9" s="13">
        <v>-1095</v>
      </c>
      <c r="Y9" s="13">
        <v>-1592</v>
      </c>
      <c r="Z9" s="13">
        <v>-1657</v>
      </c>
      <c r="AA9" s="13">
        <v>-1486</v>
      </c>
      <c r="AB9" s="13">
        <v>-1372</v>
      </c>
      <c r="AC9" s="13">
        <v>-1418</v>
      </c>
      <c r="AD9" s="13">
        <v>-1404</v>
      </c>
      <c r="AE9" s="13">
        <v>-2676</v>
      </c>
      <c r="AF9" s="14">
        <v>-1500</v>
      </c>
      <c r="AG9" s="13">
        <f t="shared" si="6"/>
        <v>-1575</v>
      </c>
      <c r="AH9" s="13">
        <f t="shared" si="7"/>
        <v>-1638</v>
      </c>
      <c r="AI9" s="13">
        <f t="shared" si="7"/>
        <v>-1703.52</v>
      </c>
      <c r="AJ9" s="13">
        <f t="shared" si="7"/>
        <v>-1771.6608000000001</v>
      </c>
      <c r="AK9" s="13">
        <f t="shared" si="7"/>
        <v>-1842.5272320000001</v>
      </c>
      <c r="AL9" s="13">
        <f t="shared" si="7"/>
        <v>-1916.2283212800003</v>
      </c>
      <c r="AM9" s="13">
        <f t="shared" si="7"/>
        <v>-1992.8774541312002</v>
      </c>
      <c r="AN9" s="13">
        <f t="shared" si="7"/>
        <v>-2072.5925522964485</v>
      </c>
      <c r="AO9" s="13">
        <f t="shared" si="7"/>
        <v>-2155.4962543883066</v>
      </c>
      <c r="AP9" s="13">
        <f t="shared" si="7"/>
        <v>-2241.7161045638391</v>
      </c>
    </row>
    <row r="10" spans="1:204" x14ac:dyDescent="0.25">
      <c r="C10" s="2" t="s">
        <v>43</v>
      </c>
      <c r="D10" s="13">
        <v>-8</v>
      </c>
      <c r="E10" s="13">
        <v>-15</v>
      </c>
      <c r="F10" s="13">
        <v>-22</v>
      </c>
      <c r="G10" s="13">
        <v>-20</v>
      </c>
      <c r="H10" s="13">
        <v>-13</v>
      </c>
      <c r="I10" s="13">
        <v>-20</v>
      </c>
      <c r="J10" s="13">
        <v>-40</v>
      </c>
      <c r="K10" s="13">
        <v>-29</v>
      </c>
      <c r="L10" s="13">
        <v>-12</v>
      </c>
      <c r="M10" s="13">
        <v>-25</v>
      </c>
      <c r="N10" s="13">
        <v>-15</v>
      </c>
      <c r="O10" s="13">
        <v>-56</v>
      </c>
      <c r="P10" s="13">
        <v>-10</v>
      </c>
      <c r="Q10" s="14">
        <v>-8</v>
      </c>
      <c r="R10" s="13"/>
      <c r="S10" s="13"/>
      <c r="V10" s="2">
        <v>-598</v>
      </c>
      <c r="W10" s="13">
        <v>-518</v>
      </c>
      <c r="X10" s="13">
        <v>0</v>
      </c>
      <c r="Y10" s="13">
        <v>23</v>
      </c>
      <c r="Z10" s="13">
        <v>11</v>
      </c>
      <c r="AA10" s="13">
        <v>-85</v>
      </c>
      <c r="AB10" s="13">
        <v>-48</v>
      </c>
      <c r="AC10" s="13">
        <v>-65</v>
      </c>
      <c r="AD10" s="13">
        <v>-102</v>
      </c>
      <c r="AE10" s="13">
        <v>-108</v>
      </c>
      <c r="AF10" s="14">
        <f t="shared" ref="AF10:AF11" si="8">AE10*1.04</f>
        <v>-112.32000000000001</v>
      </c>
      <c r="AG10" s="13">
        <f t="shared" si="6"/>
        <v>-117.93600000000001</v>
      </c>
      <c r="AH10" s="13">
        <f t="shared" si="7"/>
        <v>-122.65344000000002</v>
      </c>
      <c r="AI10" s="13">
        <f t="shared" si="7"/>
        <v>-127.55957760000003</v>
      </c>
      <c r="AJ10" s="13">
        <f t="shared" si="7"/>
        <v>-132.66196070400002</v>
      </c>
      <c r="AK10" s="13">
        <f t="shared" si="7"/>
        <v>-137.96843913216003</v>
      </c>
      <c r="AL10" s="13">
        <f t="shared" si="7"/>
        <v>-143.48717669744644</v>
      </c>
      <c r="AM10" s="13">
        <f t="shared" si="7"/>
        <v>-149.22666376534431</v>
      </c>
      <c r="AN10" s="13">
        <f t="shared" si="7"/>
        <v>-155.19573031595809</v>
      </c>
      <c r="AO10" s="13">
        <f t="shared" si="7"/>
        <v>-161.40355952859642</v>
      </c>
      <c r="AP10" s="13">
        <f t="shared" si="7"/>
        <v>-167.85970190974027</v>
      </c>
    </row>
    <row r="11" spans="1:204" x14ac:dyDescent="0.25">
      <c r="C11" s="2" t="s">
        <v>44</v>
      </c>
      <c r="D11" s="13">
        <v>-68</v>
      </c>
      <c r="E11" s="13">
        <v>-142</v>
      </c>
      <c r="F11" s="13">
        <v>-126</v>
      </c>
      <c r="G11" s="13">
        <v>-99</v>
      </c>
      <c r="H11" s="13">
        <v>-31</v>
      </c>
      <c r="I11" s="13">
        <v>-57</v>
      </c>
      <c r="J11" s="13">
        <v>-81</v>
      </c>
      <c r="K11" s="13">
        <v>-51</v>
      </c>
      <c r="L11" s="13">
        <v>9</v>
      </c>
      <c r="M11" s="13">
        <v>11</v>
      </c>
      <c r="N11" s="13">
        <v>15</v>
      </c>
      <c r="O11" s="13">
        <v>-45</v>
      </c>
      <c r="P11" s="13">
        <v>23</v>
      </c>
      <c r="Q11" s="14">
        <v>22</v>
      </c>
      <c r="R11" s="13"/>
      <c r="S11" s="13"/>
      <c r="V11" s="13">
        <v>-165</v>
      </c>
      <c r="W11" s="13">
        <v>-201</v>
      </c>
      <c r="X11" s="13">
        <v>42</v>
      </c>
      <c r="Y11" s="13">
        <v>-80</v>
      </c>
      <c r="Z11" s="13">
        <v>-298</v>
      </c>
      <c r="AA11" s="13">
        <v>97</v>
      </c>
      <c r="AB11" s="13">
        <v>155</v>
      </c>
      <c r="AC11" s="13">
        <v>-434</v>
      </c>
      <c r="AD11" s="13">
        <v>-221</v>
      </c>
      <c r="AE11" s="13">
        <v>-9</v>
      </c>
      <c r="AF11" s="14">
        <f t="shared" si="8"/>
        <v>-9.36</v>
      </c>
      <c r="AG11" s="13">
        <f t="shared" si="6"/>
        <v>-9.8279999999999994</v>
      </c>
      <c r="AH11" s="13">
        <f t="shared" si="7"/>
        <v>-10.221119999999999</v>
      </c>
      <c r="AI11" s="13">
        <f t="shared" si="7"/>
        <v>-10.6299648</v>
      </c>
      <c r="AJ11" s="13">
        <f t="shared" si="7"/>
        <v>-11.055163392000001</v>
      </c>
      <c r="AK11" s="13">
        <f t="shared" si="7"/>
        <v>-11.497369927680001</v>
      </c>
      <c r="AL11" s="13">
        <f t="shared" si="7"/>
        <v>-11.957264724787201</v>
      </c>
      <c r="AM11" s="13">
        <f t="shared" si="7"/>
        <v>-12.435555313778689</v>
      </c>
      <c r="AN11" s="13">
        <f t="shared" si="7"/>
        <v>-12.932977526329838</v>
      </c>
      <c r="AO11" s="13">
        <f t="shared" si="7"/>
        <v>-13.450296627383032</v>
      </c>
      <c r="AP11" s="13">
        <f t="shared" si="7"/>
        <v>-13.988308492478355</v>
      </c>
    </row>
    <row r="12" spans="1:204" x14ac:dyDescent="0.25">
      <c r="C12" s="1" t="s">
        <v>45</v>
      </c>
      <c r="D12" s="11">
        <f t="shared" ref="D12:S12" si="9">SUM(D6:D11)</f>
        <v>117</v>
      </c>
      <c r="E12" s="11">
        <f t="shared" si="9"/>
        <v>200</v>
      </c>
      <c r="F12" s="11">
        <f t="shared" si="9"/>
        <v>331</v>
      </c>
      <c r="G12" s="11">
        <f t="shared" si="9"/>
        <v>783</v>
      </c>
      <c r="H12" s="11">
        <f t="shared" si="9"/>
        <v>412</v>
      </c>
      <c r="I12" s="11">
        <f t="shared" si="9"/>
        <v>525</v>
      </c>
      <c r="J12" s="11">
        <f t="shared" si="9"/>
        <v>487</v>
      </c>
      <c r="K12" s="11">
        <f t="shared" si="9"/>
        <v>618</v>
      </c>
      <c r="L12" s="11">
        <f t="shared" si="9"/>
        <v>174</v>
      </c>
      <c r="M12" s="11">
        <f t="shared" si="9"/>
        <v>388</v>
      </c>
      <c r="N12" s="11">
        <f t="shared" si="9"/>
        <v>526</v>
      </c>
      <c r="O12" s="11">
        <f t="shared" si="9"/>
        <v>-197</v>
      </c>
      <c r="P12" s="11">
        <f t="shared" si="9"/>
        <v>218</v>
      </c>
      <c r="Q12" s="12">
        <f t="shared" si="9"/>
        <v>391</v>
      </c>
      <c r="R12" s="11">
        <f t="shared" si="9"/>
        <v>0</v>
      </c>
      <c r="S12" s="11">
        <f t="shared" si="9"/>
        <v>0</v>
      </c>
      <c r="V12" s="11">
        <f t="shared" ref="V12:AE12" si="10">SUM(V6:V11)</f>
        <v>423</v>
      </c>
      <c r="W12" s="11">
        <f t="shared" si="10"/>
        <v>597</v>
      </c>
      <c r="X12" s="11">
        <f t="shared" si="10"/>
        <v>1846</v>
      </c>
      <c r="Y12" s="11">
        <f t="shared" si="10"/>
        <v>1696</v>
      </c>
      <c r="Z12" s="11">
        <f t="shared" si="10"/>
        <v>1656</v>
      </c>
      <c r="AA12" s="11">
        <f t="shared" si="10"/>
        <v>1907</v>
      </c>
      <c r="AB12" s="11">
        <f t="shared" si="10"/>
        <v>1644</v>
      </c>
      <c r="AC12" s="11">
        <f t="shared" si="10"/>
        <v>1431</v>
      </c>
      <c r="AD12" s="11">
        <f t="shared" si="10"/>
        <v>2039</v>
      </c>
      <c r="AE12" s="11">
        <f t="shared" si="10"/>
        <v>891</v>
      </c>
      <c r="AF12" s="12">
        <f t="shared" ref="AF12:AP12" si="11">SUM(AF6:AF11)</f>
        <v>1825.8584000000005</v>
      </c>
      <c r="AG12" s="11">
        <f t="shared" si="11"/>
        <v>2303.0540400000014</v>
      </c>
      <c r="AH12" s="11">
        <f t="shared" si="11"/>
        <v>2673.0261600000003</v>
      </c>
      <c r="AI12" s="11">
        <f t="shared" si="11"/>
        <v>2860.9867776000001</v>
      </c>
      <c r="AJ12" s="11">
        <f t="shared" si="11"/>
        <v>3060.5177984640022</v>
      </c>
      <c r="AK12" s="11">
        <f t="shared" si="11"/>
        <v>3272.2846376505609</v>
      </c>
      <c r="AL12" s="11">
        <f t="shared" si="11"/>
        <v>3496.9894567669849</v>
      </c>
      <c r="AM12" s="11">
        <f t="shared" si="11"/>
        <v>3735.3731403285838</v>
      </c>
      <c r="AN12" s="11">
        <f t="shared" si="11"/>
        <v>3988.2173764971944</v>
      </c>
      <c r="AO12" s="11">
        <f t="shared" si="11"/>
        <v>4256.3468476403195</v>
      </c>
      <c r="AP12" s="11">
        <f t="shared" si="11"/>
        <v>4540.6315364333341</v>
      </c>
    </row>
    <row r="13" spans="1:204" x14ac:dyDescent="0.25">
      <c r="C13" s="2" t="s">
        <v>46</v>
      </c>
      <c r="D13" s="13">
        <v>-39</v>
      </c>
      <c r="E13" s="13">
        <v>-40</v>
      </c>
      <c r="F13" s="13">
        <v>-58</v>
      </c>
      <c r="G13" s="13">
        <v>-95</v>
      </c>
      <c r="H13" s="13">
        <v>-107</v>
      </c>
      <c r="I13" s="13">
        <v>-83</v>
      </c>
      <c r="J13" s="13">
        <v>-93</v>
      </c>
      <c r="K13" s="13">
        <v>-88</v>
      </c>
      <c r="L13" s="13">
        <v>-83</v>
      </c>
      <c r="M13" s="13">
        <v>-113</v>
      </c>
      <c r="N13" s="13">
        <v>-95</v>
      </c>
      <c r="O13" s="13">
        <v>-109</v>
      </c>
      <c r="P13" s="13">
        <v>-83</v>
      </c>
      <c r="Q13" s="14">
        <v>-80</v>
      </c>
      <c r="R13" s="13"/>
      <c r="S13" s="13"/>
      <c r="V13" s="13">
        <f>11+37-285+3</f>
        <v>-234</v>
      </c>
      <c r="W13" s="13">
        <f>-17+31-271-1</f>
        <v>-258</v>
      </c>
      <c r="X13" s="13">
        <f>-7+67-225+1</f>
        <v>-164</v>
      </c>
      <c r="Y13" s="13">
        <f>3+66-186+2</f>
        <v>-115</v>
      </c>
      <c r="Z13" s="13">
        <f>-4+63-215-51+4</f>
        <v>-203</v>
      </c>
      <c r="AA13" s="13">
        <f>-7+30-253-41-5</f>
        <v>-276</v>
      </c>
      <c r="AB13" s="13">
        <f>5+42-159-41+12</f>
        <v>-141</v>
      </c>
      <c r="AC13" s="13">
        <f>1+79-272-38-3</f>
        <v>-233</v>
      </c>
      <c r="AD13" s="13">
        <v>-371</v>
      </c>
      <c r="AE13" s="13">
        <v>-400</v>
      </c>
      <c r="AF13" s="14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</row>
    <row r="14" spans="1:204" x14ac:dyDescent="0.25">
      <c r="C14" s="2" t="s">
        <v>47</v>
      </c>
      <c r="D14" s="13">
        <f t="shared" ref="D14:S14" si="12">SUM(D12:D13)</f>
        <v>78</v>
      </c>
      <c r="E14" s="13">
        <f t="shared" si="12"/>
        <v>160</v>
      </c>
      <c r="F14" s="13">
        <f t="shared" si="12"/>
        <v>273</v>
      </c>
      <c r="G14" s="13">
        <f t="shared" si="12"/>
        <v>688</v>
      </c>
      <c r="H14" s="13">
        <f t="shared" si="12"/>
        <v>305</v>
      </c>
      <c r="I14" s="13">
        <f t="shared" si="12"/>
        <v>442</v>
      </c>
      <c r="J14" s="13">
        <f t="shared" si="12"/>
        <v>394</v>
      </c>
      <c r="K14" s="13">
        <f t="shared" si="12"/>
        <v>530</v>
      </c>
      <c r="L14" s="13">
        <f t="shared" si="12"/>
        <v>91</v>
      </c>
      <c r="M14" s="13">
        <f t="shared" si="12"/>
        <v>275</v>
      </c>
      <c r="N14" s="13">
        <f t="shared" si="12"/>
        <v>431</v>
      </c>
      <c r="O14" s="13">
        <f t="shared" si="12"/>
        <v>-306</v>
      </c>
      <c r="P14" s="13">
        <f t="shared" si="12"/>
        <v>135</v>
      </c>
      <c r="Q14" s="14">
        <f t="shared" si="12"/>
        <v>311</v>
      </c>
      <c r="R14" s="13">
        <f t="shared" si="12"/>
        <v>0</v>
      </c>
      <c r="S14" s="13">
        <f t="shared" si="12"/>
        <v>0</v>
      </c>
      <c r="V14" s="13">
        <f t="shared" ref="V14:AE14" si="13">SUM(V12:V13)</f>
        <v>189</v>
      </c>
      <c r="W14" s="13">
        <f t="shared" si="13"/>
        <v>339</v>
      </c>
      <c r="X14" s="13">
        <f t="shared" si="13"/>
        <v>1682</v>
      </c>
      <c r="Y14" s="13">
        <f t="shared" si="13"/>
        <v>1581</v>
      </c>
      <c r="Z14" s="13">
        <f t="shared" si="13"/>
        <v>1453</v>
      </c>
      <c r="AA14" s="13">
        <f t="shared" si="13"/>
        <v>1631</v>
      </c>
      <c r="AB14" s="13">
        <f t="shared" si="13"/>
        <v>1503</v>
      </c>
      <c r="AC14" s="13">
        <f t="shared" si="13"/>
        <v>1198</v>
      </c>
      <c r="AD14" s="13">
        <f t="shared" si="13"/>
        <v>1668</v>
      </c>
      <c r="AE14" s="13">
        <f t="shared" si="13"/>
        <v>491</v>
      </c>
      <c r="AF14" s="14">
        <f t="shared" ref="AF14:AP14" si="14">SUM(AF12:AF13)</f>
        <v>1825.8584000000005</v>
      </c>
      <c r="AG14" s="13">
        <f t="shared" si="14"/>
        <v>2303.0540400000014</v>
      </c>
      <c r="AH14" s="13">
        <f t="shared" si="14"/>
        <v>2673.0261600000003</v>
      </c>
      <c r="AI14" s="13">
        <f t="shared" si="14"/>
        <v>2860.9867776000001</v>
      </c>
      <c r="AJ14" s="13">
        <f t="shared" si="14"/>
        <v>3060.5177984640022</v>
      </c>
      <c r="AK14" s="13">
        <f t="shared" si="14"/>
        <v>3272.2846376505609</v>
      </c>
      <c r="AL14" s="13">
        <f t="shared" si="14"/>
        <v>3496.9894567669849</v>
      </c>
      <c r="AM14" s="13">
        <f t="shared" si="14"/>
        <v>3735.3731403285838</v>
      </c>
      <c r="AN14" s="13">
        <f t="shared" si="14"/>
        <v>3988.2173764971944</v>
      </c>
      <c r="AO14" s="13">
        <f t="shared" si="14"/>
        <v>4256.3468476403195</v>
      </c>
      <c r="AP14" s="13">
        <f t="shared" si="14"/>
        <v>4540.6315364333341</v>
      </c>
    </row>
    <row r="15" spans="1:204" x14ac:dyDescent="0.25">
      <c r="C15" s="2" t="s">
        <v>48</v>
      </c>
      <c r="D15" s="13">
        <v>-18</v>
      </c>
      <c r="E15" s="13">
        <v>-38</v>
      </c>
      <c r="F15" s="13">
        <v>-57</v>
      </c>
      <c r="G15" s="13">
        <v>-142</v>
      </c>
      <c r="H15" s="13">
        <v>-67</v>
      </c>
      <c r="I15" s="13">
        <v>-97</v>
      </c>
      <c r="J15" s="13">
        <v>-86</v>
      </c>
      <c r="K15" s="13">
        <v>-115</v>
      </c>
      <c r="L15" s="13">
        <v>-20</v>
      </c>
      <c r="M15" s="13">
        <v>-61</v>
      </c>
      <c r="N15" s="13">
        <v>-95</v>
      </c>
      <c r="O15" s="13">
        <v>-74</v>
      </c>
      <c r="P15" s="13">
        <v>-30</v>
      </c>
      <c r="Q15" s="14">
        <v>-81</v>
      </c>
      <c r="R15" s="13"/>
      <c r="S15" s="13"/>
      <c r="V15" s="13">
        <v>-44</v>
      </c>
      <c r="W15" s="13">
        <v>-214</v>
      </c>
      <c r="X15" s="13">
        <v>-333</v>
      </c>
      <c r="Y15" s="13">
        <v>-382</v>
      </c>
      <c r="Z15" s="13">
        <v>-370</v>
      </c>
      <c r="AA15" s="13">
        <v>-377</v>
      </c>
      <c r="AB15" s="13">
        <v>-345</v>
      </c>
      <c r="AC15" s="13">
        <v>-254</v>
      </c>
      <c r="AD15" s="13">
        <v>-365</v>
      </c>
      <c r="AE15" s="13">
        <v>-250</v>
      </c>
      <c r="AF15" s="14">
        <f>AF14*-0.2</f>
        <v>-365.17168000000015</v>
      </c>
      <c r="AG15" s="13">
        <f t="shared" ref="AG15:AP15" si="15">AG14*-0.2</f>
        <v>-460.6108080000003</v>
      </c>
      <c r="AH15" s="13">
        <f t="shared" si="15"/>
        <v>-534.60523200000011</v>
      </c>
      <c r="AI15" s="13">
        <f t="shared" si="15"/>
        <v>-572.19735552000009</v>
      </c>
      <c r="AJ15" s="13">
        <f t="shared" si="15"/>
        <v>-612.10355969280045</v>
      </c>
      <c r="AK15" s="13">
        <f t="shared" si="15"/>
        <v>-654.45692753011224</v>
      </c>
      <c r="AL15" s="13">
        <f t="shared" si="15"/>
        <v>-699.39789135339697</v>
      </c>
      <c r="AM15" s="13">
        <f t="shared" si="15"/>
        <v>-747.07462806571675</v>
      </c>
      <c r="AN15" s="13">
        <f t="shared" si="15"/>
        <v>-797.64347529943893</v>
      </c>
      <c r="AO15" s="13">
        <f t="shared" si="15"/>
        <v>-851.26936952806398</v>
      </c>
      <c r="AP15" s="13">
        <f t="shared" si="15"/>
        <v>-908.12630728666682</v>
      </c>
    </row>
    <row r="16" spans="1:204" x14ac:dyDescent="0.25">
      <c r="C16" s="1" t="s">
        <v>49</v>
      </c>
      <c r="D16" s="11">
        <f t="shared" ref="D16:S16" si="16">SUM(D14:D15)</f>
        <v>60</v>
      </c>
      <c r="E16" s="11">
        <f t="shared" si="16"/>
        <v>122</v>
      </c>
      <c r="F16" s="11">
        <f t="shared" si="16"/>
        <v>216</v>
      </c>
      <c r="G16" s="11">
        <f t="shared" si="16"/>
        <v>546</v>
      </c>
      <c r="H16" s="11">
        <f t="shared" si="16"/>
        <v>238</v>
      </c>
      <c r="I16" s="11">
        <f t="shared" si="16"/>
        <v>345</v>
      </c>
      <c r="J16" s="11">
        <f t="shared" si="16"/>
        <v>308</v>
      </c>
      <c r="K16" s="11">
        <f t="shared" si="16"/>
        <v>415</v>
      </c>
      <c r="L16" s="11">
        <f t="shared" si="16"/>
        <v>71</v>
      </c>
      <c r="M16" s="11">
        <f t="shared" si="16"/>
        <v>214</v>
      </c>
      <c r="N16" s="11">
        <f t="shared" si="16"/>
        <v>336</v>
      </c>
      <c r="O16" s="11">
        <f t="shared" si="16"/>
        <v>-380</v>
      </c>
      <c r="P16" s="11">
        <f t="shared" si="16"/>
        <v>105</v>
      </c>
      <c r="Q16" s="12">
        <f t="shared" si="16"/>
        <v>230</v>
      </c>
      <c r="R16" s="11">
        <f t="shared" si="16"/>
        <v>0</v>
      </c>
      <c r="S16" s="11">
        <f t="shared" si="16"/>
        <v>0</v>
      </c>
      <c r="T16" s="1"/>
      <c r="U16" s="1"/>
      <c r="V16" s="11">
        <f t="shared" ref="V16:AE16" si="17">SUM(V14:V15)</f>
        <v>145</v>
      </c>
      <c r="W16" s="11">
        <f t="shared" si="17"/>
        <v>125</v>
      </c>
      <c r="X16" s="11">
        <f t="shared" si="17"/>
        <v>1349</v>
      </c>
      <c r="Y16" s="11">
        <f t="shared" si="17"/>
        <v>1199</v>
      </c>
      <c r="Z16" s="11">
        <f t="shared" si="17"/>
        <v>1083</v>
      </c>
      <c r="AA16" s="11">
        <f t="shared" si="17"/>
        <v>1254</v>
      </c>
      <c r="AB16" s="11">
        <f t="shared" si="17"/>
        <v>1158</v>
      </c>
      <c r="AC16" s="11">
        <f t="shared" si="17"/>
        <v>944</v>
      </c>
      <c r="AD16" s="11">
        <f t="shared" si="17"/>
        <v>1303</v>
      </c>
      <c r="AE16" s="11">
        <f t="shared" si="17"/>
        <v>241</v>
      </c>
      <c r="AF16" s="12">
        <f t="shared" ref="AF16:AP16" si="18">SUM(AF14:AF15)</f>
        <v>1460.6867200000004</v>
      </c>
      <c r="AG16" s="11">
        <f t="shared" si="18"/>
        <v>1842.443232000001</v>
      </c>
      <c r="AH16" s="11">
        <f t="shared" si="18"/>
        <v>2138.4209280000005</v>
      </c>
      <c r="AI16" s="11">
        <f t="shared" si="18"/>
        <v>2288.7894220799999</v>
      </c>
      <c r="AJ16" s="11">
        <f t="shared" si="18"/>
        <v>2448.4142387712018</v>
      </c>
      <c r="AK16" s="11">
        <f t="shared" si="18"/>
        <v>2617.8277101204485</v>
      </c>
      <c r="AL16" s="11">
        <f t="shared" si="18"/>
        <v>2797.5915654135879</v>
      </c>
      <c r="AM16" s="11">
        <f t="shared" si="18"/>
        <v>2988.298512262867</v>
      </c>
      <c r="AN16" s="11">
        <f t="shared" si="18"/>
        <v>3190.5739011977557</v>
      </c>
      <c r="AO16" s="11">
        <f t="shared" si="18"/>
        <v>3405.0774781122554</v>
      </c>
      <c r="AP16" s="11">
        <f t="shared" si="18"/>
        <v>3632.5052291466673</v>
      </c>
      <c r="AQ16" s="11">
        <f>AP16*(1+$AS$20)</f>
        <v>3596.1801768552004</v>
      </c>
      <c r="AR16" s="11">
        <f t="shared" ref="AR16:DC16" si="19">AQ16*(1+$AS$20)</f>
        <v>3560.2183750866484</v>
      </c>
      <c r="AS16" s="11">
        <f t="shared" si="19"/>
        <v>3524.6161913357819</v>
      </c>
      <c r="AT16" s="11">
        <f t="shared" si="19"/>
        <v>3489.3700294224241</v>
      </c>
      <c r="AU16" s="11">
        <f t="shared" si="19"/>
        <v>3454.4763291281997</v>
      </c>
      <c r="AV16" s="11">
        <f t="shared" si="19"/>
        <v>3419.9315658369178</v>
      </c>
      <c r="AW16" s="11">
        <f t="shared" si="19"/>
        <v>3385.7322501785484</v>
      </c>
      <c r="AX16" s="11">
        <f t="shared" si="19"/>
        <v>3351.874927676763</v>
      </c>
      <c r="AY16" s="11">
        <f t="shared" si="19"/>
        <v>3318.3561783999953</v>
      </c>
      <c r="AZ16" s="11">
        <f t="shared" si="19"/>
        <v>3285.1726166159951</v>
      </c>
      <c r="BA16" s="11">
        <f t="shared" si="19"/>
        <v>3252.3208904498351</v>
      </c>
      <c r="BB16" s="11">
        <f t="shared" si="19"/>
        <v>3219.7976815453367</v>
      </c>
      <c r="BC16" s="11">
        <f t="shared" si="19"/>
        <v>3187.5997047298833</v>
      </c>
      <c r="BD16" s="11">
        <f t="shared" si="19"/>
        <v>3155.7237076825845</v>
      </c>
      <c r="BE16" s="11">
        <f t="shared" si="19"/>
        <v>3124.1664706057586</v>
      </c>
      <c r="BF16" s="11">
        <f t="shared" si="19"/>
        <v>3092.9248058997009</v>
      </c>
      <c r="BG16" s="11">
        <f t="shared" si="19"/>
        <v>3061.9955578407039</v>
      </c>
      <c r="BH16" s="11">
        <f t="shared" si="19"/>
        <v>3031.375602262297</v>
      </c>
      <c r="BI16" s="11">
        <f t="shared" si="19"/>
        <v>3001.0618462396742</v>
      </c>
      <c r="BJ16" s="11">
        <f t="shared" si="19"/>
        <v>2971.0512277772773</v>
      </c>
      <c r="BK16" s="11">
        <f t="shared" si="19"/>
        <v>2941.3407154995043</v>
      </c>
      <c r="BL16" s="11">
        <f t="shared" si="19"/>
        <v>2911.9273083445091</v>
      </c>
      <c r="BM16" s="11">
        <f t="shared" si="19"/>
        <v>2882.8080352610641</v>
      </c>
      <c r="BN16" s="11">
        <f t="shared" si="19"/>
        <v>2853.9799549084532</v>
      </c>
      <c r="BO16" s="11">
        <f t="shared" si="19"/>
        <v>2825.4401553593689</v>
      </c>
      <c r="BP16" s="11">
        <f t="shared" si="19"/>
        <v>2797.1857538057752</v>
      </c>
      <c r="BQ16" s="11">
        <f t="shared" si="19"/>
        <v>2769.2138962677172</v>
      </c>
      <c r="BR16" s="11">
        <f t="shared" si="19"/>
        <v>2741.52175730504</v>
      </c>
      <c r="BS16" s="11">
        <f t="shared" si="19"/>
        <v>2714.1065397319894</v>
      </c>
      <c r="BT16" s="11">
        <f t="shared" si="19"/>
        <v>2686.9654743346696</v>
      </c>
      <c r="BU16" s="11">
        <f t="shared" si="19"/>
        <v>2660.0958195913227</v>
      </c>
      <c r="BV16" s="11">
        <f t="shared" si="19"/>
        <v>2633.4948613954093</v>
      </c>
      <c r="BW16" s="11">
        <f t="shared" si="19"/>
        <v>2607.1599127814552</v>
      </c>
      <c r="BX16" s="11">
        <f t="shared" si="19"/>
        <v>2581.0883136536409</v>
      </c>
      <c r="BY16" s="11">
        <f t="shared" si="19"/>
        <v>2555.2774305171042</v>
      </c>
      <c r="BZ16" s="11">
        <f t="shared" si="19"/>
        <v>2529.7246562119331</v>
      </c>
      <c r="CA16" s="11">
        <f t="shared" si="19"/>
        <v>2504.4274096498139</v>
      </c>
      <c r="CB16" s="11">
        <f t="shared" si="19"/>
        <v>2479.3831355533157</v>
      </c>
      <c r="CC16" s="11">
        <f t="shared" si="19"/>
        <v>2454.5893041977824</v>
      </c>
      <c r="CD16" s="11">
        <f t="shared" si="19"/>
        <v>2430.0434111558047</v>
      </c>
      <c r="CE16" s="11">
        <f t="shared" si="19"/>
        <v>2405.7429770442468</v>
      </c>
      <c r="CF16" s="11">
        <f t="shared" si="19"/>
        <v>2381.6855472738043</v>
      </c>
      <c r="CG16" s="11">
        <f t="shared" si="19"/>
        <v>2357.8686918010662</v>
      </c>
      <c r="CH16" s="11">
        <f t="shared" si="19"/>
        <v>2334.2900048830556</v>
      </c>
      <c r="CI16" s="11">
        <f t="shared" si="19"/>
        <v>2310.9471048342252</v>
      </c>
      <c r="CJ16" s="11">
        <f t="shared" si="19"/>
        <v>2287.8376337858831</v>
      </c>
      <c r="CK16" s="11">
        <f t="shared" si="19"/>
        <v>2264.9592574480243</v>
      </c>
      <c r="CL16" s="11">
        <f t="shared" si="19"/>
        <v>2242.3096648735441</v>
      </c>
      <c r="CM16" s="11">
        <f t="shared" si="19"/>
        <v>2219.8865682248088</v>
      </c>
      <c r="CN16" s="11">
        <f t="shared" si="19"/>
        <v>2197.6877025425606</v>
      </c>
      <c r="CO16" s="11">
        <f t="shared" si="19"/>
        <v>2175.7108255171352</v>
      </c>
      <c r="CP16" s="11">
        <f t="shared" si="19"/>
        <v>2153.9537172619639</v>
      </c>
      <c r="CQ16" s="11">
        <f t="shared" si="19"/>
        <v>2132.4141800893444</v>
      </c>
      <c r="CR16" s="11">
        <f t="shared" si="19"/>
        <v>2111.0900382884511</v>
      </c>
      <c r="CS16" s="11">
        <f t="shared" si="19"/>
        <v>2089.9791379055664</v>
      </c>
      <c r="CT16" s="11">
        <f t="shared" si="19"/>
        <v>2069.0793465265106</v>
      </c>
      <c r="CU16" s="11">
        <f t="shared" si="19"/>
        <v>2048.3885530612456</v>
      </c>
      <c r="CV16" s="11">
        <f t="shared" si="19"/>
        <v>2027.9046675306331</v>
      </c>
      <c r="CW16" s="11">
        <f t="shared" si="19"/>
        <v>2007.6256208553268</v>
      </c>
      <c r="CX16" s="11">
        <f t="shared" si="19"/>
        <v>1987.5493646467735</v>
      </c>
      <c r="CY16" s="11">
        <f t="shared" si="19"/>
        <v>1967.6738710003058</v>
      </c>
      <c r="CZ16" s="11">
        <f t="shared" si="19"/>
        <v>1947.9971322903027</v>
      </c>
      <c r="DA16" s="11">
        <f t="shared" si="19"/>
        <v>1928.5171609673996</v>
      </c>
      <c r="DB16" s="11">
        <f t="shared" si="19"/>
        <v>1909.2319893577255</v>
      </c>
      <c r="DC16" s="11">
        <f t="shared" si="19"/>
        <v>1890.1396694641483</v>
      </c>
      <c r="DD16" s="11">
        <f t="shared" ref="DD16:FO16" si="20">DC16*(1+$AS$20)</f>
        <v>1871.2382727695067</v>
      </c>
      <c r="DE16" s="11">
        <f t="shared" si="20"/>
        <v>1852.5258900418116</v>
      </c>
      <c r="DF16" s="11">
        <f t="shared" si="20"/>
        <v>1834.0006311413936</v>
      </c>
      <c r="DG16" s="11">
        <f t="shared" si="20"/>
        <v>1815.6606248299797</v>
      </c>
      <c r="DH16" s="11">
        <f t="shared" si="20"/>
        <v>1797.5040185816799</v>
      </c>
      <c r="DI16" s="11">
        <f t="shared" si="20"/>
        <v>1779.5289783958631</v>
      </c>
      <c r="DJ16" s="11">
        <f t="shared" si="20"/>
        <v>1761.7336886119044</v>
      </c>
      <c r="DK16" s="11">
        <f t="shared" si="20"/>
        <v>1744.1163517257853</v>
      </c>
      <c r="DL16" s="11">
        <f t="shared" si="20"/>
        <v>1726.6751882085275</v>
      </c>
      <c r="DM16" s="11">
        <f t="shared" si="20"/>
        <v>1709.4084363264421</v>
      </c>
      <c r="DN16" s="11">
        <f t="shared" si="20"/>
        <v>1692.3143519631776</v>
      </c>
      <c r="DO16" s="11">
        <f t="shared" si="20"/>
        <v>1675.3912084435458</v>
      </c>
      <c r="DP16" s="11">
        <f t="shared" si="20"/>
        <v>1658.6372963591102</v>
      </c>
      <c r="DQ16" s="11">
        <f t="shared" si="20"/>
        <v>1642.050923395519</v>
      </c>
      <c r="DR16" s="11">
        <f t="shared" si="20"/>
        <v>1625.6304141615637</v>
      </c>
      <c r="DS16" s="11">
        <f t="shared" si="20"/>
        <v>1609.3741100199481</v>
      </c>
      <c r="DT16" s="11">
        <f t="shared" si="20"/>
        <v>1593.2803689197488</v>
      </c>
      <c r="DU16" s="11">
        <f t="shared" si="20"/>
        <v>1577.3475652305513</v>
      </c>
      <c r="DV16" s="11">
        <f t="shared" si="20"/>
        <v>1561.5740895782458</v>
      </c>
      <c r="DW16" s="11">
        <f t="shared" si="20"/>
        <v>1545.9583486824633</v>
      </c>
      <c r="DX16" s="11">
        <f t="shared" si="20"/>
        <v>1530.4987651956387</v>
      </c>
      <c r="DY16" s="11">
        <f t="shared" si="20"/>
        <v>1515.1937775436822</v>
      </c>
      <c r="DZ16" s="11">
        <f t="shared" si="20"/>
        <v>1500.0418397682454</v>
      </c>
      <c r="EA16" s="11">
        <f t="shared" si="20"/>
        <v>1485.0414213705628</v>
      </c>
      <c r="EB16" s="11">
        <f t="shared" si="20"/>
        <v>1470.1910071568573</v>
      </c>
      <c r="EC16" s="11">
        <f t="shared" si="20"/>
        <v>1455.4890970852887</v>
      </c>
      <c r="ED16" s="11">
        <f t="shared" si="20"/>
        <v>1440.9342061144357</v>
      </c>
      <c r="EE16" s="11">
        <f t="shared" si="20"/>
        <v>1426.5248640532914</v>
      </c>
      <c r="EF16" s="11">
        <f t="shared" si="20"/>
        <v>1412.2596154127584</v>
      </c>
      <c r="EG16" s="11">
        <f t="shared" si="20"/>
        <v>1398.1370192586307</v>
      </c>
      <c r="EH16" s="11">
        <f t="shared" si="20"/>
        <v>1384.1556490660444</v>
      </c>
      <c r="EI16" s="11">
        <f t="shared" si="20"/>
        <v>1370.3140925753839</v>
      </c>
      <c r="EJ16" s="11">
        <f t="shared" si="20"/>
        <v>1356.6109516496301</v>
      </c>
      <c r="EK16" s="11">
        <f t="shared" si="20"/>
        <v>1343.0448421331339</v>
      </c>
      <c r="EL16" s="11">
        <f t="shared" si="20"/>
        <v>1329.6143937118024</v>
      </c>
      <c r="EM16" s="11">
        <f t="shared" si="20"/>
        <v>1316.3182497746843</v>
      </c>
      <c r="EN16" s="11">
        <f t="shared" si="20"/>
        <v>1303.1550672769374</v>
      </c>
      <c r="EO16" s="11">
        <f t="shared" si="20"/>
        <v>1290.1235166041681</v>
      </c>
      <c r="EP16" s="11">
        <f t="shared" si="20"/>
        <v>1277.2222814381264</v>
      </c>
      <c r="EQ16" s="11">
        <f t="shared" si="20"/>
        <v>1264.4500586237452</v>
      </c>
      <c r="ER16" s="11">
        <f t="shared" si="20"/>
        <v>1251.8055580375078</v>
      </c>
      <c r="ES16" s="11">
        <f t="shared" si="20"/>
        <v>1239.2875024571326</v>
      </c>
      <c r="ET16" s="11">
        <f t="shared" si="20"/>
        <v>1226.8946274325613</v>
      </c>
      <c r="EU16" s="11">
        <f t="shared" si="20"/>
        <v>1214.6256811582357</v>
      </c>
      <c r="EV16" s="11">
        <f t="shared" si="20"/>
        <v>1202.4794243466533</v>
      </c>
      <c r="EW16" s="11">
        <f t="shared" si="20"/>
        <v>1190.4546301031869</v>
      </c>
      <c r="EX16" s="11">
        <f t="shared" si="20"/>
        <v>1178.5500838021551</v>
      </c>
      <c r="EY16" s="11">
        <f t="shared" si="20"/>
        <v>1166.7645829641335</v>
      </c>
      <c r="EZ16" s="11">
        <f t="shared" si="20"/>
        <v>1155.0969371344922</v>
      </c>
      <c r="FA16" s="11">
        <f t="shared" si="20"/>
        <v>1143.5459677631472</v>
      </c>
      <c r="FB16" s="11">
        <f t="shared" si="20"/>
        <v>1132.1105080855157</v>
      </c>
      <c r="FC16" s="11">
        <f t="shared" si="20"/>
        <v>1120.7894030046605</v>
      </c>
      <c r="FD16" s="11">
        <f t="shared" si="20"/>
        <v>1109.5815089746138</v>
      </c>
      <c r="FE16" s="11">
        <f t="shared" si="20"/>
        <v>1098.4856938848677</v>
      </c>
      <c r="FF16" s="11">
        <f t="shared" si="20"/>
        <v>1087.500836946019</v>
      </c>
      <c r="FG16" s="11">
        <f t="shared" si="20"/>
        <v>1076.6258285765589</v>
      </c>
      <c r="FH16" s="11">
        <f t="shared" si="20"/>
        <v>1065.8595702907933</v>
      </c>
      <c r="FI16" s="11">
        <f t="shared" si="20"/>
        <v>1055.2009745878854</v>
      </c>
      <c r="FJ16" s="11">
        <f t="shared" si="20"/>
        <v>1044.6489648420065</v>
      </c>
      <c r="FK16" s="11">
        <f t="shared" si="20"/>
        <v>1034.2024751935865</v>
      </c>
      <c r="FL16" s="11">
        <f t="shared" si="20"/>
        <v>1023.8604504416505</v>
      </c>
      <c r="FM16" s="11">
        <f t="shared" si="20"/>
        <v>1013.6218459372341</v>
      </c>
      <c r="FN16" s="11">
        <f t="shared" si="20"/>
        <v>1003.4856274778617</v>
      </c>
      <c r="FO16" s="11">
        <f t="shared" si="20"/>
        <v>993.45077120308315</v>
      </c>
      <c r="FP16" s="11">
        <f t="shared" ref="FP16:GV16" si="21">FO16*(1+$AS$20)</f>
        <v>983.51626349105231</v>
      </c>
      <c r="FQ16" s="11">
        <f t="shared" si="21"/>
        <v>973.68110085614182</v>
      </c>
      <c r="FR16" s="11">
        <f t="shared" si="21"/>
        <v>963.94428984758042</v>
      </c>
      <c r="FS16" s="11">
        <f t="shared" si="21"/>
        <v>954.30484694910456</v>
      </c>
      <c r="FT16" s="11">
        <f t="shared" si="21"/>
        <v>944.7617984796135</v>
      </c>
      <c r="FU16" s="11">
        <f t="shared" si="21"/>
        <v>935.31418049481738</v>
      </c>
      <c r="FV16" s="11">
        <f t="shared" si="21"/>
        <v>925.96103868986916</v>
      </c>
      <c r="FW16" s="11">
        <f t="shared" si="21"/>
        <v>916.7014283029705</v>
      </c>
      <c r="FX16" s="11">
        <f t="shared" si="21"/>
        <v>907.53441401994075</v>
      </c>
      <c r="FY16" s="11">
        <f t="shared" si="21"/>
        <v>898.45906987974138</v>
      </c>
      <c r="FZ16" s="11">
        <f t="shared" si="21"/>
        <v>889.47447918094394</v>
      </c>
      <c r="GA16" s="11">
        <f t="shared" si="21"/>
        <v>880.5797343891345</v>
      </c>
      <c r="GB16" s="11">
        <f t="shared" si="21"/>
        <v>871.7739370452432</v>
      </c>
      <c r="GC16" s="11">
        <f t="shared" si="21"/>
        <v>863.05619767479072</v>
      </c>
      <c r="GD16" s="11">
        <f t="shared" si="21"/>
        <v>854.42563569804281</v>
      </c>
      <c r="GE16" s="11">
        <f t="shared" si="21"/>
        <v>845.88137934106237</v>
      </c>
      <c r="GF16" s="11">
        <f t="shared" si="21"/>
        <v>837.42256554765174</v>
      </c>
      <c r="GG16" s="11">
        <f t="shared" si="21"/>
        <v>829.04833989217525</v>
      </c>
      <c r="GH16" s="11">
        <f t="shared" si="21"/>
        <v>820.75785649325348</v>
      </c>
      <c r="GI16" s="11">
        <f t="shared" si="21"/>
        <v>812.55027792832095</v>
      </c>
      <c r="GJ16" s="11">
        <f t="shared" si="21"/>
        <v>804.42477514903771</v>
      </c>
      <c r="GK16" s="11">
        <f t="shared" si="21"/>
        <v>796.38052739754733</v>
      </c>
      <c r="GL16" s="11">
        <f t="shared" si="21"/>
        <v>788.41672212357184</v>
      </c>
      <c r="GM16" s="11">
        <f t="shared" si="21"/>
        <v>780.53255490233607</v>
      </c>
      <c r="GN16" s="11">
        <f t="shared" si="21"/>
        <v>772.72722935331274</v>
      </c>
      <c r="GO16" s="11">
        <f t="shared" si="21"/>
        <v>764.9999570597796</v>
      </c>
      <c r="GP16" s="11">
        <f t="shared" si="21"/>
        <v>757.34995748918175</v>
      </c>
      <c r="GQ16" s="11">
        <f t="shared" si="21"/>
        <v>749.77645791428995</v>
      </c>
      <c r="GR16" s="11">
        <f t="shared" si="21"/>
        <v>742.27869333514707</v>
      </c>
      <c r="GS16" s="11">
        <f t="shared" si="21"/>
        <v>734.85590640179555</v>
      </c>
      <c r="GT16" s="11">
        <f t="shared" si="21"/>
        <v>727.50734733777756</v>
      </c>
      <c r="GU16" s="11">
        <f t="shared" si="21"/>
        <v>720.23227386439976</v>
      </c>
      <c r="GV16" s="11">
        <f t="shared" si="21"/>
        <v>713.0299511257557</v>
      </c>
    </row>
    <row r="17" spans="3:45" x14ac:dyDescent="0.25">
      <c r="C17" s="2" t="s">
        <v>50</v>
      </c>
      <c r="D17" s="27">
        <v>382.08300000000003</v>
      </c>
      <c r="E17" s="27">
        <v>382.08300000000003</v>
      </c>
      <c r="F17" s="27">
        <v>382.08300000000003</v>
      </c>
      <c r="G17" s="27">
        <v>382.08300000000003</v>
      </c>
      <c r="H17" s="27">
        <v>382.08300000000003</v>
      </c>
      <c r="I17" s="27">
        <v>382.08300000000003</v>
      </c>
      <c r="J17" s="27">
        <v>382.08300000000003</v>
      </c>
      <c r="K17" s="27">
        <v>382.08300000000003</v>
      </c>
      <c r="L17" s="27">
        <v>382.08300000000003</v>
      </c>
      <c r="M17" s="27">
        <v>382.08300000000003</v>
      </c>
      <c r="N17" s="27">
        <v>382.08300000000003</v>
      </c>
      <c r="O17" s="27">
        <v>382.08300000000003</v>
      </c>
      <c r="P17" s="27">
        <v>382.08300000000003</v>
      </c>
      <c r="Q17" s="5">
        <v>382.08300000000003</v>
      </c>
      <c r="R17" s="27">
        <v>382.08300000000003</v>
      </c>
      <c r="S17" s="27">
        <v>382.08300000000003</v>
      </c>
      <c r="V17" s="27">
        <v>382.08300000000003</v>
      </c>
      <c r="W17" s="27">
        <v>382.08300000000003</v>
      </c>
      <c r="X17" s="27">
        <v>382.08300000000003</v>
      </c>
      <c r="Y17" s="27">
        <v>382.08300000000003</v>
      </c>
      <c r="Z17" s="27">
        <v>382.08300000000003</v>
      </c>
      <c r="AA17" s="27">
        <v>382.08300000000003</v>
      </c>
      <c r="AB17" s="27">
        <v>382.08300000000003</v>
      </c>
      <c r="AC17" s="27">
        <v>382.08300000000003</v>
      </c>
      <c r="AD17" s="27">
        <v>382.08300000000003</v>
      </c>
      <c r="AE17" s="27">
        <v>382.08300000000003</v>
      </c>
      <c r="AF17" s="5">
        <v>382.08300000000003</v>
      </c>
      <c r="AG17" s="27">
        <v>382.08300000000003</v>
      </c>
      <c r="AH17" s="27">
        <v>382.08300000000003</v>
      </c>
      <c r="AI17" s="27">
        <v>382.08300000000003</v>
      </c>
      <c r="AJ17" s="27">
        <v>382.08300000000003</v>
      </c>
      <c r="AK17" s="27">
        <v>382.08300000000003</v>
      </c>
      <c r="AL17" s="27">
        <v>382.08300000000003</v>
      </c>
      <c r="AM17" s="27">
        <v>382.08300000000003</v>
      </c>
      <c r="AN17" s="27">
        <v>382.08300000000003</v>
      </c>
      <c r="AO17" s="27">
        <v>382.08300000000003</v>
      </c>
      <c r="AP17" s="27">
        <v>382.08300000000003</v>
      </c>
    </row>
    <row r="18" spans="3:45" x14ac:dyDescent="0.25">
      <c r="C18" s="2" t="s">
        <v>51</v>
      </c>
      <c r="D18" s="28">
        <f t="shared" ref="D18:O18" si="22">D16/D17</f>
        <v>0.15703394288675496</v>
      </c>
      <c r="E18" s="28">
        <f t="shared" si="22"/>
        <v>0.31930235053640177</v>
      </c>
      <c r="F18" s="28">
        <f t="shared" si="22"/>
        <v>0.5653221943923179</v>
      </c>
      <c r="G18" s="28">
        <f t="shared" si="22"/>
        <v>1.42900888026947</v>
      </c>
      <c r="H18" s="28">
        <f t="shared" si="22"/>
        <v>0.62290130678412803</v>
      </c>
      <c r="I18" s="28">
        <f t="shared" si="22"/>
        <v>0.90294517159884102</v>
      </c>
      <c r="J18" s="28">
        <f t="shared" si="22"/>
        <v>0.80610757348534212</v>
      </c>
      <c r="K18" s="28">
        <f t="shared" si="22"/>
        <v>1.0861514383000552</v>
      </c>
      <c r="L18" s="28">
        <f t="shared" si="22"/>
        <v>0.18582349908266005</v>
      </c>
      <c r="M18" s="28">
        <f t="shared" si="22"/>
        <v>0.56008772962942599</v>
      </c>
      <c r="N18" s="28">
        <f t="shared" si="22"/>
        <v>0.87939008016582776</v>
      </c>
      <c r="O18" s="28">
        <f t="shared" si="22"/>
        <v>-0.99454830494944813</v>
      </c>
      <c r="P18" s="28">
        <f t="shared" ref="P18:S18" si="23">P16/P17</f>
        <v>0.2748094000518212</v>
      </c>
      <c r="Q18" s="20">
        <f t="shared" si="23"/>
        <v>0.60196344773256072</v>
      </c>
      <c r="R18" s="28">
        <f t="shared" si="23"/>
        <v>0</v>
      </c>
      <c r="S18" s="28">
        <f t="shared" si="23"/>
        <v>0</v>
      </c>
      <c r="T18" s="28"/>
      <c r="V18" s="28">
        <f t="shared" ref="V18:AC18" si="24">V16/V17</f>
        <v>0.3794986953096578</v>
      </c>
      <c r="W18" s="28">
        <f t="shared" si="24"/>
        <v>0.32715404768073952</v>
      </c>
      <c r="X18" s="28">
        <f t="shared" si="24"/>
        <v>3.5306464825705408</v>
      </c>
      <c r="Y18" s="28">
        <f t="shared" si="24"/>
        <v>3.1380616253536533</v>
      </c>
      <c r="Z18" s="28">
        <f t="shared" si="24"/>
        <v>2.8344626691059269</v>
      </c>
      <c r="AA18" s="28">
        <f t="shared" si="24"/>
        <v>3.2820094063331786</v>
      </c>
      <c r="AB18" s="28">
        <f t="shared" si="24"/>
        <v>3.0307550977143709</v>
      </c>
      <c r="AC18" s="28">
        <f t="shared" si="24"/>
        <v>2.4706673680849449</v>
      </c>
      <c r="AD18" s="28">
        <f>AD16/AD17</f>
        <v>3.4102537930240286</v>
      </c>
      <c r="AE18" s="28">
        <f>AE16/AE17</f>
        <v>0.63075300392846578</v>
      </c>
      <c r="AF18" s="20">
        <f t="shared" ref="AF18:AP18" si="25">AF16/AF17</f>
        <v>3.8229565827320249</v>
      </c>
      <c r="AG18" s="28">
        <f t="shared" si="25"/>
        <v>4.8221020877662726</v>
      </c>
      <c r="AH18" s="28">
        <f t="shared" si="25"/>
        <v>5.5967444979232273</v>
      </c>
      <c r="AI18" s="28">
        <f t="shared" si="25"/>
        <v>5.9902937897786597</v>
      </c>
      <c r="AJ18" s="28">
        <f t="shared" si="25"/>
        <v>6.408069028905242</v>
      </c>
      <c r="AK18" s="28">
        <f t="shared" si="25"/>
        <v>6.8514634519736504</v>
      </c>
      <c r="AL18" s="28">
        <f t="shared" si="25"/>
        <v>7.3219472350604127</v>
      </c>
      <c r="AM18" s="28">
        <f t="shared" si="25"/>
        <v>7.8210716317210309</v>
      </c>
      <c r="AN18" s="28">
        <f t="shared" si="25"/>
        <v>8.3504733296109883</v>
      </c>
      <c r="AO18" s="28">
        <f t="shared" si="25"/>
        <v>8.9118790370475924</v>
      </c>
      <c r="AP18" s="28">
        <f t="shared" si="25"/>
        <v>9.5071103114942748</v>
      </c>
    </row>
    <row r="19" spans="3:45" x14ac:dyDescent="0.25"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3"/>
      <c r="S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R19" s="2" t="s">
        <v>107</v>
      </c>
      <c r="AS19" s="31">
        <v>0.08</v>
      </c>
    </row>
    <row r="20" spans="3:45" x14ac:dyDescent="0.25">
      <c r="C20" s="1" t="s">
        <v>5</v>
      </c>
      <c r="D20" s="29"/>
      <c r="E20" s="29"/>
      <c r="F20" s="29"/>
      <c r="G20" s="29">
        <v>0.21</v>
      </c>
      <c r="H20" s="29">
        <f t="shared" ref="H20:N20" si="26">(H4-D4)/D4</f>
        <v>0.15058611361587015</v>
      </c>
      <c r="I20" s="29">
        <f t="shared" si="26"/>
        <v>0.15951972555746141</v>
      </c>
      <c r="J20" s="29">
        <f t="shared" si="26"/>
        <v>4.6114825916532168E-2</v>
      </c>
      <c r="K20" s="29">
        <f t="shared" si="26"/>
        <v>-1.9902439024390244E-2</v>
      </c>
      <c r="L20" s="29">
        <f t="shared" si="26"/>
        <v>-7.836990595611285E-4</v>
      </c>
      <c r="M20" s="29">
        <f t="shared" si="26"/>
        <v>-8.2628909551986471E-2</v>
      </c>
      <c r="N20" s="29">
        <f t="shared" si="26"/>
        <v>3.4824774079788408E-2</v>
      </c>
      <c r="O20" s="29">
        <f>(O4-K4)/K4</f>
        <v>2.6478200278717896E-2</v>
      </c>
      <c r="P20" s="29">
        <f t="shared" ref="P20:S20" si="27">(P4-L4)/L4</f>
        <v>-4.6797385620915032E-2</v>
      </c>
      <c r="Q20" s="30">
        <f t="shared" si="27"/>
        <v>-6.2428011978806729E-2</v>
      </c>
      <c r="R20" s="29">
        <f t="shared" si="27"/>
        <v>-1</v>
      </c>
      <c r="S20" s="29">
        <f t="shared" si="27"/>
        <v>-1</v>
      </c>
      <c r="V20" s="13"/>
      <c r="W20" s="29">
        <f t="shared" ref="W20:AD20" si="28">(W4-V4)/V4</f>
        <v>-4.6074324926477138E-2</v>
      </c>
      <c r="X20" s="29">
        <f t="shared" si="28"/>
        <v>8.1184603886397602E-2</v>
      </c>
      <c r="Y20" s="29">
        <f t="shared" si="28"/>
        <v>0.1712606929923097</v>
      </c>
      <c r="Z20" s="29">
        <f t="shared" si="28"/>
        <v>7.7167097012172628E-2</v>
      </c>
      <c r="AA20" s="29">
        <f t="shared" si="28"/>
        <v>-5.7393329224025749E-2</v>
      </c>
      <c r="AB20" s="29">
        <f t="shared" si="28"/>
        <v>5.7036983215868635E-2</v>
      </c>
      <c r="AC20" s="29">
        <f t="shared" si="28"/>
        <v>0.15954083035468794</v>
      </c>
      <c r="AD20" s="29">
        <f t="shared" si="28"/>
        <v>7.4100420890390664E-2</v>
      </c>
      <c r="AE20" s="29">
        <f>(AE4-AD4)/AD4</f>
        <v>-5.6846404326949609E-3</v>
      </c>
      <c r="AF20" s="30">
        <f t="shared" ref="AF20:AP20" si="29">(AF4-AE4)/AE4</f>
        <v>1.9999999999999983E-2</v>
      </c>
      <c r="AG20" s="29">
        <f t="shared" si="29"/>
        <v>5.0000000000000142E-2</v>
      </c>
      <c r="AH20" s="29">
        <f t="shared" si="29"/>
        <v>4.9999999999999954E-2</v>
      </c>
      <c r="AI20" s="29">
        <f t="shared" si="29"/>
        <v>5.0000000000000037E-2</v>
      </c>
      <c r="AJ20" s="29">
        <f t="shared" si="29"/>
        <v>5.0000000000000114E-2</v>
      </c>
      <c r="AK20" s="29">
        <f t="shared" si="29"/>
        <v>5.0000000000000058E-2</v>
      </c>
      <c r="AL20" s="29">
        <f t="shared" si="29"/>
        <v>5.0000000000000114E-2</v>
      </c>
      <c r="AM20" s="29">
        <f t="shared" si="29"/>
        <v>5.0000000000000044E-2</v>
      </c>
      <c r="AN20" s="29">
        <f t="shared" si="29"/>
        <v>5.0000000000000086E-2</v>
      </c>
      <c r="AO20" s="29">
        <f t="shared" si="29"/>
        <v>5.0000000000000051E-2</v>
      </c>
      <c r="AP20" s="29">
        <f t="shared" si="29"/>
        <v>5.000000000000001E-2</v>
      </c>
      <c r="AR20" s="2" t="s">
        <v>108</v>
      </c>
      <c r="AS20" s="31">
        <v>-0.01</v>
      </c>
    </row>
    <row r="21" spans="3:45" x14ac:dyDescent="0.25">
      <c r="C21" s="1" t="s">
        <v>128</v>
      </c>
      <c r="D21" s="29">
        <v>0.03</v>
      </c>
      <c r="E21" s="29">
        <v>-0.05</v>
      </c>
      <c r="F21" s="29">
        <v>0.08</v>
      </c>
      <c r="G21" s="29">
        <v>0.1</v>
      </c>
      <c r="H21" s="29">
        <v>0.08</v>
      </c>
      <c r="I21" s="29">
        <v>0.1</v>
      </c>
      <c r="J21" s="29">
        <v>0.04</v>
      </c>
      <c r="K21" s="29">
        <v>-0.02</v>
      </c>
      <c r="L21" s="29">
        <v>0.01</v>
      </c>
      <c r="M21" s="29">
        <v>-0.04</v>
      </c>
      <c r="N21" s="29">
        <v>0.02</v>
      </c>
      <c r="O21" s="29">
        <v>0.06</v>
      </c>
      <c r="P21" s="29">
        <v>0.03</v>
      </c>
      <c r="Q21" s="30">
        <v>0.01</v>
      </c>
      <c r="R21" s="29"/>
      <c r="S21" s="29"/>
      <c r="V21" s="13"/>
      <c r="W21" s="29"/>
      <c r="X21" s="29"/>
      <c r="Y21" s="29"/>
      <c r="Z21" s="29"/>
      <c r="AA21" s="29"/>
      <c r="AB21" s="29"/>
      <c r="AC21" s="29"/>
      <c r="AD21" s="29"/>
      <c r="AE21" s="29"/>
      <c r="AF21" s="30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R21" s="32" t="s">
        <v>109</v>
      </c>
      <c r="AS21" s="33">
        <f>NPV(AS19,AF16:GV16)</f>
        <v>34743.148269990284</v>
      </c>
    </row>
    <row r="22" spans="3:45" x14ac:dyDescent="0.25">
      <c r="C22" s="2" t="s">
        <v>8</v>
      </c>
      <c r="D22" s="18">
        <f t="shared" ref="D22:S22" si="30">D6/D4</f>
        <v>0.3871355575593628</v>
      </c>
      <c r="E22" s="18">
        <f t="shared" si="30"/>
        <v>0.36241117373192844</v>
      </c>
      <c r="F22" s="18">
        <f t="shared" si="30"/>
        <v>0.38067788794097301</v>
      </c>
      <c r="G22" s="18">
        <f t="shared" si="30"/>
        <v>0.37678048780487805</v>
      </c>
      <c r="H22" s="18">
        <f t="shared" si="30"/>
        <v>0.41536050156739812</v>
      </c>
      <c r="I22" s="18">
        <f t="shared" si="30"/>
        <v>0.35819949281487745</v>
      </c>
      <c r="J22" s="18">
        <f t="shared" si="30"/>
        <v>0.36676217765042979</v>
      </c>
      <c r="K22" s="18">
        <f t="shared" si="30"/>
        <v>0.36412502488552656</v>
      </c>
      <c r="L22" s="18">
        <f t="shared" si="30"/>
        <v>0.37045751633986929</v>
      </c>
      <c r="M22" s="18">
        <f t="shared" si="30"/>
        <v>0.35544805344390695</v>
      </c>
      <c r="N22" s="18">
        <f t="shared" si="30"/>
        <v>0.36932907348242811</v>
      </c>
      <c r="O22" s="18">
        <f t="shared" si="30"/>
        <v>0.39837083010085339</v>
      </c>
      <c r="P22" s="18">
        <f t="shared" si="30"/>
        <v>0.3678003291278113</v>
      </c>
      <c r="Q22" s="19">
        <f t="shared" si="30"/>
        <v>0.37788697788697789</v>
      </c>
      <c r="R22" s="18" t="e">
        <f t="shared" si="30"/>
        <v>#DIV/0!</v>
      </c>
      <c r="S22" s="18" t="e">
        <f t="shared" si="30"/>
        <v>#DIV/0!</v>
      </c>
      <c r="V22" s="18">
        <f t="shared" ref="V22:AP22" si="31">V6/V4</f>
        <v>0.41110417966313162</v>
      </c>
      <c r="W22" s="18">
        <f t="shared" si="31"/>
        <v>0.41358370702541108</v>
      </c>
      <c r="X22" s="18">
        <f t="shared" si="31"/>
        <v>0.43687894236585156</v>
      </c>
      <c r="Y22" s="18">
        <f t="shared" si="31"/>
        <v>0.41903356694946514</v>
      </c>
      <c r="Z22" s="18">
        <f t="shared" si="31"/>
        <v>0.42031367714540102</v>
      </c>
      <c r="AA22" s="18">
        <f t="shared" si="31"/>
        <v>0.40761461890576184</v>
      </c>
      <c r="AB22" s="18">
        <f t="shared" si="31"/>
        <v>0.37372834753918066</v>
      </c>
      <c r="AC22" s="18">
        <f t="shared" si="31"/>
        <v>0.37637085778647222</v>
      </c>
      <c r="AD22" s="18">
        <f t="shared" si="31"/>
        <v>0.37402726419780341</v>
      </c>
      <c r="AE22" s="18">
        <f t="shared" si="31"/>
        <v>0.37444493783303728</v>
      </c>
      <c r="AF22" s="19">
        <f t="shared" si="31"/>
        <v>0.37</v>
      </c>
      <c r="AG22" s="18">
        <f t="shared" si="31"/>
        <v>0.39000000000000007</v>
      </c>
      <c r="AH22" s="18">
        <f t="shared" si="31"/>
        <v>0.4</v>
      </c>
      <c r="AI22" s="18">
        <f t="shared" si="31"/>
        <v>0.4</v>
      </c>
      <c r="AJ22" s="18">
        <f t="shared" si="31"/>
        <v>0.4</v>
      </c>
      <c r="AK22" s="18">
        <f t="shared" si="31"/>
        <v>0.4</v>
      </c>
      <c r="AL22" s="18">
        <f t="shared" si="31"/>
        <v>0.40000000000000008</v>
      </c>
      <c r="AM22" s="18">
        <f t="shared" si="31"/>
        <v>0.4</v>
      </c>
      <c r="AN22" s="18">
        <f t="shared" si="31"/>
        <v>0.4</v>
      </c>
      <c r="AO22" s="18">
        <f t="shared" si="31"/>
        <v>0.39999999999999997</v>
      </c>
      <c r="AP22" s="18">
        <f t="shared" si="31"/>
        <v>0.39999999999999997</v>
      </c>
      <c r="AR22" s="2" t="s">
        <v>2</v>
      </c>
      <c r="AS22" s="2">
        <v>382.08300000000003</v>
      </c>
    </row>
    <row r="23" spans="3:45" x14ac:dyDescent="0.25">
      <c r="C23" s="2" t="s">
        <v>6</v>
      </c>
      <c r="D23" s="18">
        <f t="shared" ref="D23:S23" si="32">D12/D4</f>
        <v>3.5166816952209197E-2</v>
      </c>
      <c r="E23" s="18">
        <f t="shared" si="32"/>
        <v>4.9007596177407499E-2</v>
      </c>
      <c r="F23" s="18">
        <f t="shared" si="32"/>
        <v>7.6320036891860732E-2</v>
      </c>
      <c r="G23" s="18">
        <f t="shared" si="32"/>
        <v>0.15278048780487805</v>
      </c>
      <c r="H23" s="18">
        <f t="shared" si="32"/>
        <v>0.10762800417972831</v>
      </c>
      <c r="I23" s="18">
        <f t="shared" si="32"/>
        <v>0.11094674556213018</v>
      </c>
      <c r="J23" s="18">
        <f t="shared" si="32"/>
        <v>0.10733965175225921</v>
      </c>
      <c r="K23" s="18">
        <f t="shared" si="32"/>
        <v>0.12303404340035835</v>
      </c>
      <c r="L23" s="18">
        <f t="shared" si="32"/>
        <v>4.5490196078431369E-2</v>
      </c>
      <c r="M23" s="18">
        <f t="shared" si="32"/>
        <v>8.9380327113568303E-2</v>
      </c>
      <c r="N23" s="18">
        <f t="shared" si="32"/>
        <v>0.11203407880724174</v>
      </c>
      <c r="O23" s="18">
        <f t="shared" si="32"/>
        <v>-3.8207913110938713E-2</v>
      </c>
      <c r="P23" s="18">
        <f t="shared" si="32"/>
        <v>5.979155238617663E-2</v>
      </c>
      <c r="Q23" s="19">
        <f t="shared" si="32"/>
        <v>9.6068796068796064E-2</v>
      </c>
      <c r="R23" s="18" t="e">
        <f t="shared" si="32"/>
        <v>#DIV/0!</v>
      </c>
      <c r="S23" s="18" t="e">
        <f t="shared" si="32"/>
        <v>#DIV/0!</v>
      </c>
      <c r="V23" s="18">
        <f t="shared" ref="V23:AP23" si="33">V12/V4</f>
        <v>3.7697174939844931E-2</v>
      </c>
      <c r="W23" s="18">
        <f t="shared" si="33"/>
        <v>5.5773542600896862E-2</v>
      </c>
      <c r="X23" s="18">
        <f t="shared" si="33"/>
        <v>0.15950920245398773</v>
      </c>
      <c r="Y23" s="18">
        <f t="shared" si="33"/>
        <v>0.1251198819623755</v>
      </c>
      <c r="Z23" s="18">
        <f t="shared" si="33"/>
        <v>0.11341688925416067</v>
      </c>
      <c r="AA23" s="18">
        <f t="shared" si="33"/>
        <v>0.138559906997021</v>
      </c>
      <c r="AB23" s="18">
        <f t="shared" si="33"/>
        <v>0.11300522408578499</v>
      </c>
      <c r="AC23" s="18">
        <f t="shared" si="33"/>
        <v>8.4830161835319218E-2</v>
      </c>
      <c r="AD23" s="18">
        <f t="shared" si="33"/>
        <v>0.11253380429383521</v>
      </c>
      <c r="AE23" s="18">
        <f t="shared" si="33"/>
        <v>4.9456039076376551E-2</v>
      </c>
      <c r="AF23" s="19">
        <f t="shared" si="33"/>
        <v>9.9359305889318461E-2</v>
      </c>
      <c r="AG23" s="18">
        <f t="shared" si="33"/>
        <v>0.11935930588931848</v>
      </c>
      <c r="AH23" s="18">
        <f t="shared" si="33"/>
        <v>0.13193683630942016</v>
      </c>
      <c r="AI23" s="18">
        <f t="shared" si="33"/>
        <v>0.134489818820759</v>
      </c>
      <c r="AJ23" s="18">
        <f t="shared" si="33"/>
        <v>0.13701848721294232</v>
      </c>
      <c r="AK23" s="18">
        <f t="shared" si="33"/>
        <v>0.13952307304900949</v>
      </c>
      <c r="AL23" s="18">
        <f t="shared" si="33"/>
        <v>0.14200380568663801</v>
      </c>
      <c r="AM23" s="18">
        <f t="shared" si="33"/>
        <v>0.14446091229914618</v>
      </c>
      <c r="AN23" s="18">
        <f t="shared" si="33"/>
        <v>0.14689461789629721</v>
      </c>
      <c r="AO23" s="18">
        <f t="shared" si="33"/>
        <v>0.14930514534490383</v>
      </c>
      <c r="AP23" s="18">
        <f t="shared" si="33"/>
        <v>0.15169271538923809</v>
      </c>
      <c r="AR23" s="2" t="s">
        <v>110</v>
      </c>
      <c r="AS23" s="34">
        <f>AS21/AS22</f>
        <v>90.930892685595225</v>
      </c>
    </row>
    <row r="24" spans="3:45" x14ac:dyDescent="0.25">
      <c r="C24" s="2" t="s">
        <v>59</v>
      </c>
      <c r="M24" s="17"/>
      <c r="Q24" s="53"/>
      <c r="U24" s="18"/>
      <c r="V24" s="18">
        <v>0.04</v>
      </c>
      <c r="W24" s="18">
        <v>0.05</v>
      </c>
      <c r="X24" s="18">
        <v>0.17</v>
      </c>
      <c r="Y24" s="18">
        <v>0.15</v>
      </c>
      <c r="Z24" s="18">
        <v>0.12</v>
      </c>
      <c r="AA24" s="18">
        <v>0.12</v>
      </c>
      <c r="AB24" s="18">
        <v>0.12</v>
      </c>
      <c r="AC24" s="18">
        <v>0.1</v>
      </c>
      <c r="AD24" s="18">
        <v>0.12</v>
      </c>
      <c r="AE24" s="18">
        <v>0.06</v>
      </c>
      <c r="AF24" s="19"/>
      <c r="AR24" s="1" t="s">
        <v>111</v>
      </c>
      <c r="AS24" s="29">
        <f>(AS23-B4)/B4</f>
        <v>0.42079519821242539</v>
      </c>
    </row>
    <row r="25" spans="3:45" x14ac:dyDescent="0.25">
      <c r="M25" s="17"/>
      <c r="Q25" s="53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9"/>
    </row>
    <row r="26" spans="3:45" x14ac:dyDescent="0.25">
      <c r="C26" s="2" t="s">
        <v>112</v>
      </c>
      <c r="D26" s="13">
        <v>3871</v>
      </c>
      <c r="E26" s="13">
        <v>4598</v>
      </c>
      <c r="F26" s="13">
        <v>5316</v>
      </c>
      <c r="G26" s="13">
        <v>6359</v>
      </c>
      <c r="H26" s="13">
        <v>3839</v>
      </c>
      <c r="I26" s="13">
        <v>4989</v>
      </c>
      <c r="J26" s="13">
        <v>4433</v>
      </c>
      <c r="K26" s="13">
        <v>6436</v>
      </c>
      <c r="L26" s="13">
        <v>4192</v>
      </c>
      <c r="M26" s="13">
        <v>4317</v>
      </c>
      <c r="N26" s="13">
        <v>5418</v>
      </c>
      <c r="O26" s="13">
        <v>5792</v>
      </c>
      <c r="P26" s="13">
        <v>3838</v>
      </c>
      <c r="Q26" s="14">
        <v>4081</v>
      </c>
      <c r="R26" s="13"/>
      <c r="S26" s="13"/>
      <c r="V26" s="13"/>
      <c r="W26" s="13"/>
      <c r="X26" s="13"/>
      <c r="Y26" s="13"/>
      <c r="Z26" s="13">
        <v>17735</v>
      </c>
      <c r="AA26" s="13">
        <v>17411</v>
      </c>
      <c r="AB26" s="13">
        <v>18364</v>
      </c>
      <c r="AC26" s="13">
        <v>20143</v>
      </c>
      <c r="AD26" s="13">
        <v>19697</v>
      </c>
      <c r="AE26" s="13">
        <v>19718</v>
      </c>
      <c r="AF26" s="19"/>
    </row>
    <row r="27" spans="3:45" x14ac:dyDescent="0.25">
      <c r="C27" s="2" t="s">
        <v>150</v>
      </c>
      <c r="D27" s="18"/>
      <c r="E27" s="18"/>
      <c r="F27" s="18"/>
      <c r="G27" s="18"/>
      <c r="H27" s="18">
        <f t="shared" ref="H27:N27" si="34">(H26-D26)/D26</f>
        <v>-8.266597778351847E-3</v>
      </c>
      <c r="I27" s="18">
        <f t="shared" si="34"/>
        <v>8.503697259678121E-2</v>
      </c>
      <c r="J27" s="18">
        <f t="shared" si="34"/>
        <v>-0.16610233258088788</v>
      </c>
      <c r="K27" s="18">
        <f t="shared" si="34"/>
        <v>1.2108822141846201E-2</v>
      </c>
      <c r="L27" s="18">
        <f t="shared" si="34"/>
        <v>9.1951028913779626E-2</v>
      </c>
      <c r="M27" s="18">
        <f t="shared" si="34"/>
        <v>-0.13469633193024655</v>
      </c>
      <c r="N27" s="18">
        <f t="shared" si="34"/>
        <v>0.22219715768102866</v>
      </c>
      <c r="O27" s="18">
        <f>(O26-K26)/K26</f>
        <v>-0.10006215040397763</v>
      </c>
      <c r="P27" s="18">
        <f t="shared" ref="P27:S27" si="35">(P26-L26)/L26</f>
        <v>-8.4446564885496178E-2</v>
      </c>
      <c r="Q27" s="19">
        <f t="shared" si="35"/>
        <v>-5.4667593236043546E-2</v>
      </c>
      <c r="R27" s="18">
        <f t="shared" si="35"/>
        <v>-1</v>
      </c>
      <c r="S27" s="18">
        <f t="shared" si="35"/>
        <v>-1</v>
      </c>
      <c r="U27" s="18"/>
      <c r="V27" s="18"/>
      <c r="W27" s="18" t="e">
        <f t="shared" ref="W27:AD27" si="36">(W26-V26)/V26</f>
        <v>#DIV/0!</v>
      </c>
      <c r="X27" s="18" t="e">
        <f t="shared" si="36"/>
        <v>#DIV/0!</v>
      </c>
      <c r="Y27" s="18" t="e">
        <f t="shared" si="36"/>
        <v>#DIV/0!</v>
      </c>
      <c r="Z27" s="18" t="e">
        <f t="shared" si="36"/>
        <v>#DIV/0!</v>
      </c>
      <c r="AA27" s="18">
        <f t="shared" si="36"/>
        <v>-1.8268959684240204E-2</v>
      </c>
      <c r="AB27" s="18">
        <f t="shared" si="36"/>
        <v>5.4735512032623057E-2</v>
      </c>
      <c r="AC27" s="18">
        <f t="shared" si="36"/>
        <v>9.6874319320409491E-2</v>
      </c>
      <c r="AD27" s="18">
        <f t="shared" si="36"/>
        <v>-2.2141686938390508E-2</v>
      </c>
      <c r="AE27" s="18">
        <f>(AE26-AD26)/AD26</f>
        <v>1.0661522059196831E-3</v>
      </c>
      <c r="AF27" s="19"/>
    </row>
    <row r="28" spans="3:45" x14ac:dyDescent="0.25">
      <c r="C28" s="2" t="s">
        <v>151</v>
      </c>
      <c r="D28" s="18"/>
      <c r="E28" s="18"/>
      <c r="F28" s="18"/>
      <c r="G28" s="18"/>
      <c r="H28" s="18"/>
      <c r="I28" s="18"/>
      <c r="J28" s="18"/>
      <c r="K28" s="18"/>
      <c r="L28" s="18"/>
      <c r="M28" s="18">
        <v>-0.09</v>
      </c>
      <c r="N28" s="18">
        <v>0.21</v>
      </c>
      <c r="O28" s="18">
        <v>-7.0000000000000007E-2</v>
      </c>
      <c r="P28" s="18">
        <v>-0.01</v>
      </c>
      <c r="Q28" s="19">
        <v>0.02</v>
      </c>
      <c r="R28" s="18"/>
      <c r="S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3:45" x14ac:dyDescent="0.25">
      <c r="AI29" s="18"/>
      <c r="AJ29" s="18"/>
      <c r="AK29" s="18"/>
      <c r="AL29" s="18"/>
      <c r="AM29" s="18"/>
      <c r="AN29" s="18"/>
      <c r="AO29" s="18"/>
      <c r="AP29" s="18"/>
    </row>
    <row r="30" spans="3:45" x14ac:dyDescent="0.25">
      <c r="C30" s="1" t="s">
        <v>20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4"/>
      <c r="R30" s="21"/>
      <c r="S30" s="21"/>
      <c r="T30" s="1"/>
      <c r="U30" s="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3:45" x14ac:dyDescent="0.25">
      <c r="C31" s="2" t="s">
        <v>60</v>
      </c>
      <c r="D31" s="13">
        <v>10666</v>
      </c>
      <c r="E31" s="13">
        <v>11390</v>
      </c>
      <c r="F31" s="13">
        <v>11492</v>
      </c>
      <c r="G31" s="13">
        <v>11722</v>
      </c>
      <c r="H31" s="13">
        <v>12450</v>
      </c>
      <c r="I31" s="13">
        <v>13090</v>
      </c>
      <c r="J31" s="13">
        <v>12610</v>
      </c>
      <c r="K31" s="13">
        <v>13336</v>
      </c>
      <c r="L31" s="13">
        <v>13343</v>
      </c>
      <c r="M31" s="13">
        <v>13705</v>
      </c>
      <c r="N31" s="13">
        <v>13907</v>
      </c>
      <c r="O31" s="13">
        <v>11917</v>
      </c>
      <c r="P31" s="13">
        <v>12111</v>
      </c>
      <c r="Q31" s="14">
        <v>11806</v>
      </c>
      <c r="R31" s="13"/>
      <c r="S31" s="13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3:45" x14ac:dyDescent="0.25">
      <c r="C32" s="2" t="s">
        <v>61</v>
      </c>
      <c r="D32" s="13">
        <v>946</v>
      </c>
      <c r="E32" s="13">
        <v>923</v>
      </c>
      <c r="F32" s="13">
        <v>795</v>
      </c>
      <c r="G32" s="13">
        <v>773</v>
      </c>
      <c r="H32" s="13">
        <v>772</v>
      </c>
      <c r="I32" s="13">
        <v>873</v>
      </c>
      <c r="J32" s="13">
        <v>1139</v>
      </c>
      <c r="K32" s="13">
        <v>1164</v>
      </c>
      <c r="L32" s="13">
        <v>1083</v>
      </c>
      <c r="M32" s="13">
        <v>1068</v>
      </c>
      <c r="N32" s="13">
        <v>1070</v>
      </c>
      <c r="O32" s="13">
        <v>1006</v>
      </c>
      <c r="P32" s="13">
        <v>977</v>
      </c>
      <c r="Q32" s="14">
        <v>915</v>
      </c>
      <c r="R32" s="13"/>
      <c r="S32" s="13"/>
      <c r="T32" s="18"/>
      <c r="U32" s="18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9"/>
      <c r="AG32" s="18"/>
      <c r="AH32" s="18"/>
    </row>
    <row r="33" spans="3:31" x14ac:dyDescent="0.25">
      <c r="C33" s="2" t="s">
        <v>62</v>
      </c>
      <c r="D33" s="13">
        <v>961</v>
      </c>
      <c r="E33" s="13">
        <v>969</v>
      </c>
      <c r="F33" s="13">
        <v>999</v>
      </c>
      <c r="G33" s="13">
        <v>980</v>
      </c>
      <c r="H33" s="13">
        <v>1001</v>
      </c>
      <c r="I33" s="13">
        <v>1010</v>
      </c>
      <c r="J33" s="13">
        <v>1014</v>
      </c>
      <c r="K33" s="13">
        <v>1062</v>
      </c>
      <c r="L33" s="13">
        <v>1063</v>
      </c>
      <c r="M33" s="13">
        <v>1064</v>
      </c>
      <c r="N33" s="13">
        <v>1046</v>
      </c>
      <c r="O33" s="13">
        <v>901</v>
      </c>
      <c r="P33" s="13">
        <v>884</v>
      </c>
      <c r="Q33" s="14">
        <v>827</v>
      </c>
      <c r="R33" s="13"/>
      <c r="S33" s="13"/>
      <c r="T33" s="18"/>
      <c r="U33" s="18"/>
      <c r="V33" s="18"/>
      <c r="W33" s="29"/>
      <c r="X33" s="18"/>
      <c r="Y33" s="18"/>
      <c r="Z33" s="18"/>
      <c r="AA33" s="18"/>
      <c r="AB33" s="18"/>
      <c r="AC33" s="18"/>
      <c r="AD33" s="18"/>
      <c r="AE33" s="18"/>
    </row>
    <row r="34" spans="3:31" x14ac:dyDescent="0.25">
      <c r="C34" s="2" t="s">
        <v>63</v>
      </c>
      <c r="D34" s="13">
        <v>719</v>
      </c>
      <c r="E34" s="13">
        <v>720</v>
      </c>
      <c r="F34" s="13">
        <v>726</v>
      </c>
      <c r="G34" s="13">
        <v>1055</v>
      </c>
      <c r="H34" s="13">
        <v>1041</v>
      </c>
      <c r="I34" s="13">
        <v>1038</v>
      </c>
      <c r="J34" s="13">
        <v>1056</v>
      </c>
      <c r="K34" s="13">
        <v>1092</v>
      </c>
      <c r="L34" s="13">
        <v>1021</v>
      </c>
      <c r="M34" s="13">
        <v>1019</v>
      </c>
      <c r="N34" s="13">
        <v>981</v>
      </c>
      <c r="O34" s="13">
        <v>895</v>
      </c>
      <c r="P34" s="13">
        <v>826</v>
      </c>
      <c r="Q34" s="14">
        <v>769</v>
      </c>
      <c r="R34" s="13"/>
      <c r="S34" s="13"/>
    </row>
    <row r="35" spans="3:31" x14ac:dyDescent="0.25">
      <c r="C35" s="2" t="s">
        <v>64</v>
      </c>
      <c r="D35" s="13">
        <v>636</v>
      </c>
      <c r="E35" s="13">
        <v>696</v>
      </c>
      <c r="F35" s="13">
        <v>713</v>
      </c>
      <c r="G35" s="13">
        <v>703</v>
      </c>
      <c r="H35" s="13">
        <v>732</v>
      </c>
      <c r="I35" s="13">
        <v>786</v>
      </c>
      <c r="J35" s="13">
        <v>712</v>
      </c>
      <c r="K35" s="13">
        <v>801</v>
      </c>
      <c r="L35" s="13">
        <v>865</v>
      </c>
      <c r="M35" s="13">
        <v>913</v>
      </c>
      <c r="N35" s="13">
        <v>943</v>
      </c>
      <c r="O35" s="13">
        <v>841</v>
      </c>
      <c r="P35" s="13">
        <v>910</v>
      </c>
      <c r="Q35" s="14">
        <v>886</v>
      </c>
      <c r="R35" s="13"/>
      <c r="S35" s="13"/>
    </row>
    <row r="36" spans="3:31" x14ac:dyDescent="0.25">
      <c r="C36" s="2" t="s">
        <v>65</v>
      </c>
      <c r="D36" s="13">
        <v>2990</v>
      </c>
      <c r="E36" s="13">
        <v>3216</v>
      </c>
      <c r="F36" s="13">
        <v>3337</v>
      </c>
      <c r="G36" s="13">
        <v>3070</v>
      </c>
      <c r="H36" s="13">
        <v>3732</v>
      </c>
      <c r="I36" s="13">
        <v>3806</v>
      </c>
      <c r="J36" s="13">
        <v>3538</v>
      </c>
      <c r="K36" s="13">
        <v>3259</v>
      </c>
      <c r="L36" s="13">
        <v>3524</v>
      </c>
      <c r="M36" s="13">
        <v>3398</v>
      </c>
      <c r="N36" s="13">
        <v>3229</v>
      </c>
      <c r="O36" s="13">
        <v>2756</v>
      </c>
      <c r="P36" s="13">
        <v>3029</v>
      </c>
      <c r="Q36" s="14">
        <v>3086</v>
      </c>
      <c r="R36" s="13"/>
      <c r="S36" s="13"/>
    </row>
    <row r="37" spans="3:31" x14ac:dyDescent="0.25">
      <c r="C37" s="2" t="s">
        <v>66</v>
      </c>
      <c r="D37" s="13">
        <v>3275</v>
      </c>
      <c r="E37" s="13">
        <v>3666</v>
      </c>
      <c r="F37" s="13">
        <v>4239</v>
      </c>
      <c r="G37" s="13">
        <v>3990</v>
      </c>
      <c r="H37" s="13">
        <v>4173</v>
      </c>
      <c r="I37" s="13">
        <v>4376</v>
      </c>
      <c r="J37" s="13">
        <v>4158</v>
      </c>
      <c r="K37" s="13">
        <v>3877</v>
      </c>
      <c r="L37" s="13">
        <v>3922</v>
      </c>
      <c r="M37" s="13">
        <v>4015</v>
      </c>
      <c r="N37" s="13">
        <v>4109</v>
      </c>
      <c r="O37" s="13">
        <v>3625</v>
      </c>
      <c r="P37" s="13">
        <v>3572</v>
      </c>
      <c r="Q37" s="14">
        <v>3324</v>
      </c>
      <c r="R37" s="13"/>
      <c r="S37" s="13"/>
    </row>
    <row r="38" spans="3:31" x14ac:dyDescent="0.25">
      <c r="C38" s="2" t="s">
        <v>67</v>
      </c>
      <c r="D38" s="13">
        <v>1850</v>
      </c>
      <c r="E38" s="13">
        <v>2047</v>
      </c>
      <c r="F38" s="13">
        <v>2287</v>
      </c>
      <c r="G38" s="13">
        <v>2119</v>
      </c>
      <c r="H38" s="13">
        <v>2358</v>
      </c>
      <c r="I38" s="13">
        <v>2524</v>
      </c>
      <c r="J38" s="13">
        <v>1893</v>
      </c>
      <c r="K38" s="13">
        <v>2050</v>
      </c>
      <c r="L38" s="13">
        <v>2092</v>
      </c>
      <c r="M38" s="13">
        <v>1870</v>
      </c>
      <c r="N38" s="13">
        <v>1902</v>
      </c>
      <c r="O38" s="13">
        <v>2261</v>
      </c>
      <c r="P38" s="13">
        <v>2123</v>
      </c>
      <c r="Q38" s="14">
        <v>2168</v>
      </c>
      <c r="R38" s="13"/>
      <c r="S38" s="13"/>
    </row>
    <row r="39" spans="3:31" x14ac:dyDescent="0.25">
      <c r="C39" s="2" t="s">
        <v>68</v>
      </c>
      <c r="D39" s="13">
        <v>1857</v>
      </c>
      <c r="E39" s="13">
        <v>2062</v>
      </c>
      <c r="F39" s="13">
        <v>2165</v>
      </c>
      <c r="G39" s="13">
        <v>1917</v>
      </c>
      <c r="H39" s="13">
        <v>2197</v>
      </c>
      <c r="I39" s="13">
        <v>2243</v>
      </c>
      <c r="J39" s="13">
        <v>2260</v>
      </c>
      <c r="K39" s="13">
        <v>1994</v>
      </c>
      <c r="L39" s="13">
        <v>2138</v>
      </c>
      <c r="M39" s="13">
        <v>2131</v>
      </c>
      <c r="N39" s="13">
        <v>2184</v>
      </c>
      <c r="O39" s="13">
        <v>1820</v>
      </c>
      <c r="P39" s="13">
        <v>1959</v>
      </c>
      <c r="Q39" s="14">
        <v>1880</v>
      </c>
      <c r="R39" s="13"/>
      <c r="S39" s="13"/>
    </row>
    <row r="40" spans="3:31" x14ac:dyDescent="0.25">
      <c r="C40" s="2" t="s">
        <v>69</v>
      </c>
      <c r="D40" s="13">
        <v>2423</v>
      </c>
      <c r="E40" s="13">
        <v>1535</v>
      </c>
      <c r="F40" s="13">
        <v>1218</v>
      </c>
      <c r="G40" s="13">
        <v>3278</v>
      </c>
      <c r="H40" s="13">
        <v>2367</v>
      </c>
      <c r="I40" s="13">
        <v>1869</v>
      </c>
      <c r="J40" s="13">
        <v>2352</v>
      </c>
      <c r="K40" s="13">
        <v>2779</v>
      </c>
      <c r="L40" s="13">
        <v>2364</v>
      </c>
      <c r="M40" s="13">
        <v>3352</v>
      </c>
      <c r="N40" s="13">
        <v>3583</v>
      </c>
      <c r="O40" s="13">
        <v>2955</v>
      </c>
      <c r="P40" s="13">
        <v>2760</v>
      </c>
      <c r="Q40" s="14">
        <v>2576</v>
      </c>
      <c r="R40" s="13"/>
      <c r="S40" s="13"/>
    </row>
    <row r="41" spans="3:31" x14ac:dyDescent="0.25">
      <c r="C41" s="1" t="s">
        <v>70</v>
      </c>
      <c r="D41" s="11">
        <f t="shared" ref="D41:N41" si="37">SUM(D31:D40)</f>
        <v>26323</v>
      </c>
      <c r="E41" s="11">
        <f t="shared" si="37"/>
        <v>27224</v>
      </c>
      <c r="F41" s="11">
        <f t="shared" si="37"/>
        <v>27971</v>
      </c>
      <c r="G41" s="11">
        <f t="shared" si="37"/>
        <v>29607</v>
      </c>
      <c r="H41" s="11">
        <f t="shared" si="37"/>
        <v>30823</v>
      </c>
      <c r="I41" s="11">
        <f t="shared" si="37"/>
        <v>31615</v>
      </c>
      <c r="J41" s="11">
        <f t="shared" si="37"/>
        <v>30732</v>
      </c>
      <c r="K41" s="11">
        <f t="shared" si="37"/>
        <v>31414</v>
      </c>
      <c r="L41" s="11">
        <f t="shared" si="37"/>
        <v>31415</v>
      </c>
      <c r="M41" s="11">
        <f t="shared" si="37"/>
        <v>32535</v>
      </c>
      <c r="N41" s="11">
        <f t="shared" si="37"/>
        <v>32954</v>
      </c>
      <c r="O41" s="11">
        <f>SUM(O31:O40)</f>
        <v>28977</v>
      </c>
      <c r="P41" s="11">
        <f t="shared" ref="P41:S41" si="38">SUM(P31:P40)</f>
        <v>29151</v>
      </c>
      <c r="Q41" s="12">
        <f t="shared" si="38"/>
        <v>28237</v>
      </c>
      <c r="R41" s="11">
        <f t="shared" si="38"/>
        <v>0</v>
      </c>
      <c r="S41" s="11">
        <f t="shared" si="38"/>
        <v>0</v>
      </c>
    </row>
    <row r="42" spans="3:31" x14ac:dyDescent="0.25">
      <c r="C42" s="2" t="s">
        <v>71</v>
      </c>
      <c r="D42" s="13">
        <v>9079</v>
      </c>
      <c r="E42" s="13">
        <v>9128</v>
      </c>
      <c r="F42" s="13">
        <v>9625</v>
      </c>
      <c r="G42" s="13">
        <v>9729</v>
      </c>
      <c r="H42" s="13">
        <v>10214</v>
      </c>
      <c r="I42" s="13">
        <v>10364</v>
      </c>
      <c r="J42" s="13">
        <v>10247</v>
      </c>
      <c r="K42" s="13">
        <v>10774</v>
      </c>
      <c r="L42" s="13">
        <v>10703</v>
      </c>
      <c r="M42" s="13">
        <v>10419</v>
      </c>
      <c r="N42" s="13">
        <v>10784</v>
      </c>
      <c r="O42" s="13">
        <v>8803</v>
      </c>
      <c r="P42" s="13">
        <v>9086</v>
      </c>
      <c r="Q42" s="14">
        <v>8449</v>
      </c>
      <c r="R42" s="13"/>
      <c r="S42" s="13"/>
    </row>
    <row r="43" spans="3:31" x14ac:dyDescent="0.25">
      <c r="C43" s="2" t="s">
        <v>72</v>
      </c>
      <c r="D43" s="13">
        <v>3</v>
      </c>
      <c r="E43" s="13">
        <v>4</v>
      </c>
      <c r="F43" s="13">
        <v>4</v>
      </c>
      <c r="G43" s="13">
        <v>4</v>
      </c>
      <c r="H43" s="13">
        <v>5</v>
      </c>
      <c r="I43" s="13">
        <v>5</v>
      </c>
      <c r="J43" s="13">
        <v>5</v>
      </c>
      <c r="K43" s="13">
        <v>5</v>
      </c>
      <c r="L43" s="13">
        <v>5</v>
      </c>
      <c r="M43" s="13">
        <v>50</v>
      </c>
      <c r="N43" s="13">
        <v>46</v>
      </c>
      <c r="O43" s="13">
        <v>45</v>
      </c>
      <c r="P43" s="13">
        <v>46</v>
      </c>
      <c r="Q43" s="14">
        <v>43</v>
      </c>
      <c r="R43" s="13"/>
      <c r="S43" s="13"/>
    </row>
    <row r="44" spans="3:31" x14ac:dyDescent="0.25">
      <c r="C44" s="10" t="s">
        <v>73</v>
      </c>
      <c r="D44" s="15">
        <f t="shared" ref="D44:N44" si="39">SUM(D42:D43)</f>
        <v>9082</v>
      </c>
      <c r="E44" s="15">
        <f t="shared" si="39"/>
        <v>9132</v>
      </c>
      <c r="F44" s="15">
        <f t="shared" si="39"/>
        <v>9629</v>
      </c>
      <c r="G44" s="15">
        <f t="shared" si="39"/>
        <v>9733</v>
      </c>
      <c r="H44" s="15">
        <f t="shared" si="39"/>
        <v>10219</v>
      </c>
      <c r="I44" s="15">
        <f t="shared" si="39"/>
        <v>10369</v>
      </c>
      <c r="J44" s="15">
        <f t="shared" si="39"/>
        <v>10252</v>
      </c>
      <c r="K44" s="15">
        <f t="shared" si="39"/>
        <v>10779</v>
      </c>
      <c r="L44" s="15">
        <f t="shared" si="39"/>
        <v>10708</v>
      </c>
      <c r="M44" s="15">
        <f t="shared" si="39"/>
        <v>10469</v>
      </c>
      <c r="N44" s="15">
        <f t="shared" si="39"/>
        <v>10830</v>
      </c>
      <c r="O44" s="15">
        <f>SUM(O42:O43)</f>
        <v>8848</v>
      </c>
      <c r="P44" s="15">
        <f t="shared" ref="P44:S44" si="40">SUM(P42:P43)</f>
        <v>9132</v>
      </c>
      <c r="Q44" s="25">
        <f t="shared" si="40"/>
        <v>8492</v>
      </c>
      <c r="R44" s="15">
        <f t="shared" si="40"/>
        <v>0</v>
      </c>
      <c r="S44" s="15">
        <f t="shared" si="40"/>
        <v>0</v>
      </c>
    </row>
    <row r="45" spans="3:31" x14ac:dyDescent="0.25">
      <c r="C45" s="2" t="s">
        <v>74</v>
      </c>
      <c r="D45" s="13">
        <v>4112</v>
      </c>
      <c r="E45" s="13">
        <v>4138</v>
      </c>
      <c r="F45" s="13">
        <v>4152</v>
      </c>
      <c r="G45" s="13">
        <v>6706</v>
      </c>
      <c r="H45" s="13">
        <v>5783</v>
      </c>
      <c r="I45" s="13">
        <v>5796</v>
      </c>
      <c r="J45" s="13">
        <v>5738</v>
      </c>
      <c r="K45" s="13">
        <v>4807</v>
      </c>
      <c r="L45" s="13">
        <v>4811</v>
      </c>
      <c r="M45" s="13">
        <v>6307</v>
      </c>
      <c r="N45" s="13">
        <v>6291</v>
      </c>
      <c r="O45" s="13">
        <v>6195</v>
      </c>
      <c r="P45" s="13">
        <v>5708</v>
      </c>
      <c r="Q45" s="14">
        <v>5647</v>
      </c>
      <c r="R45" s="13"/>
      <c r="S45" s="13"/>
    </row>
    <row r="46" spans="3:31" x14ac:dyDescent="0.25">
      <c r="C46" s="2" t="s">
        <v>75</v>
      </c>
      <c r="D46" s="13">
        <v>807</v>
      </c>
      <c r="E46" s="13">
        <v>784</v>
      </c>
      <c r="F46" s="13">
        <v>729</v>
      </c>
      <c r="G46" s="13">
        <v>712</v>
      </c>
      <c r="H46" s="13">
        <v>731</v>
      </c>
      <c r="I46" s="13">
        <v>814</v>
      </c>
      <c r="J46" s="13">
        <v>1063</v>
      </c>
      <c r="K46" s="13">
        <v>1095</v>
      </c>
      <c r="L46" s="13">
        <v>1052</v>
      </c>
      <c r="M46" s="13">
        <v>1029</v>
      </c>
      <c r="N46" s="13">
        <v>1018</v>
      </c>
      <c r="O46" s="13">
        <v>961</v>
      </c>
      <c r="P46" s="13">
        <v>926</v>
      </c>
      <c r="Q46" s="14">
        <v>859</v>
      </c>
      <c r="R46" s="13"/>
      <c r="S46" s="13"/>
    </row>
    <row r="47" spans="3:31" x14ac:dyDescent="0.25">
      <c r="C47" s="2" t="s">
        <v>76</v>
      </c>
      <c r="D47" s="13">
        <v>822</v>
      </c>
      <c r="E47" s="13">
        <v>854</v>
      </c>
      <c r="F47" s="13">
        <v>783</v>
      </c>
      <c r="G47" s="13">
        <v>751</v>
      </c>
      <c r="H47" s="13">
        <v>803</v>
      </c>
      <c r="I47" s="13">
        <v>836</v>
      </c>
      <c r="J47" s="13">
        <v>706</v>
      </c>
      <c r="K47" s="13">
        <v>736</v>
      </c>
      <c r="L47" s="13">
        <v>582</v>
      </c>
      <c r="M47" s="13">
        <v>714</v>
      </c>
      <c r="N47" s="13">
        <v>694</v>
      </c>
      <c r="O47" s="13">
        <v>626</v>
      </c>
      <c r="P47" s="13">
        <v>633</v>
      </c>
      <c r="Q47" s="14">
        <v>674</v>
      </c>
      <c r="R47" s="13"/>
      <c r="S47" s="13"/>
    </row>
    <row r="48" spans="3:31" x14ac:dyDescent="0.25">
      <c r="C48" s="2" t="s">
        <v>77</v>
      </c>
      <c r="D48" s="13">
        <v>528</v>
      </c>
      <c r="E48" s="13">
        <v>531</v>
      </c>
      <c r="F48" s="13">
        <v>512</v>
      </c>
      <c r="G48" s="13">
        <v>14</v>
      </c>
      <c r="H48" s="13">
        <v>15</v>
      </c>
      <c r="I48" s="13">
        <v>9</v>
      </c>
      <c r="J48" s="13">
        <v>122</v>
      </c>
      <c r="K48" s="13">
        <v>1122</v>
      </c>
      <c r="L48" s="13">
        <v>1679</v>
      </c>
      <c r="M48" s="13">
        <v>1747</v>
      </c>
      <c r="N48" s="13">
        <v>1330</v>
      </c>
      <c r="O48" s="13">
        <v>178</v>
      </c>
      <c r="P48" s="13">
        <v>868</v>
      </c>
      <c r="Q48" s="14">
        <v>865</v>
      </c>
      <c r="R48" s="13"/>
      <c r="S48" s="13"/>
    </row>
    <row r="49" spans="3:31" x14ac:dyDescent="0.25">
      <c r="C49" s="2" t="s">
        <v>75</v>
      </c>
      <c r="D49" s="13">
        <v>252</v>
      </c>
      <c r="E49" s="13">
        <v>256</v>
      </c>
      <c r="F49" s="13">
        <v>246</v>
      </c>
      <c r="G49" s="13">
        <v>236</v>
      </c>
      <c r="H49" s="13">
        <v>217</v>
      </c>
      <c r="I49" s="13">
        <v>228</v>
      </c>
      <c r="J49" s="13">
        <v>219</v>
      </c>
      <c r="K49" s="13">
        <v>224</v>
      </c>
      <c r="L49" s="13">
        <v>200</v>
      </c>
      <c r="M49" s="13">
        <v>207</v>
      </c>
      <c r="N49" s="13">
        <v>223</v>
      </c>
      <c r="O49" s="13">
        <v>233</v>
      </c>
      <c r="P49" s="13">
        <v>237</v>
      </c>
      <c r="Q49" s="14">
        <v>231</v>
      </c>
      <c r="R49" s="13"/>
      <c r="S49" s="13"/>
    </row>
    <row r="50" spans="3:31" x14ac:dyDescent="0.25">
      <c r="C50" s="2" t="s">
        <v>78</v>
      </c>
      <c r="D50" s="13">
        <v>1280</v>
      </c>
      <c r="E50" s="13">
        <v>1464</v>
      </c>
      <c r="F50" s="13">
        <v>1390</v>
      </c>
      <c r="G50" s="13">
        <v>1809</v>
      </c>
      <c r="H50" s="13">
        <v>1690</v>
      </c>
      <c r="I50" s="13">
        <v>1721</v>
      </c>
      <c r="J50" s="13">
        <v>1495</v>
      </c>
      <c r="K50" s="13">
        <v>1550</v>
      </c>
      <c r="L50" s="13">
        <v>1571</v>
      </c>
      <c r="M50" s="13">
        <v>1657</v>
      </c>
      <c r="N50" s="13">
        <v>1556</v>
      </c>
      <c r="O50" s="13">
        <v>1837</v>
      </c>
      <c r="P50" s="13">
        <v>1643</v>
      </c>
      <c r="Q50" s="14">
        <v>1594</v>
      </c>
      <c r="R50" s="13"/>
      <c r="S50" s="13"/>
    </row>
    <row r="51" spans="3:31" x14ac:dyDescent="0.25">
      <c r="C51" s="2" t="s">
        <v>79</v>
      </c>
      <c r="D51" s="13">
        <v>4392</v>
      </c>
      <c r="E51" s="13">
        <v>4686</v>
      </c>
      <c r="F51" s="13">
        <v>4924</v>
      </c>
      <c r="G51" s="13">
        <v>5011</v>
      </c>
      <c r="H51" s="13">
        <v>5557</v>
      </c>
      <c r="I51" s="13">
        <v>5922</v>
      </c>
      <c r="J51" s="13">
        <v>5442</v>
      </c>
      <c r="K51" s="13">
        <v>4893</v>
      </c>
      <c r="L51" s="13">
        <v>4841</v>
      </c>
      <c r="M51" s="13">
        <v>4559</v>
      </c>
      <c r="N51" s="13">
        <v>4614</v>
      </c>
      <c r="O51" s="13">
        <v>4067</v>
      </c>
      <c r="P51" s="13">
        <v>4222</v>
      </c>
      <c r="Q51" s="14">
        <v>4316</v>
      </c>
      <c r="R51" s="13"/>
      <c r="S51" s="13"/>
    </row>
    <row r="52" spans="3:31" x14ac:dyDescent="0.25">
      <c r="C52" s="2" t="s">
        <v>80</v>
      </c>
      <c r="D52" s="13">
        <v>2373</v>
      </c>
      <c r="E52" s="13">
        <v>2335</v>
      </c>
      <c r="F52" s="13">
        <v>2416</v>
      </c>
      <c r="G52" s="13">
        <v>2565</v>
      </c>
      <c r="H52" s="13">
        <v>2692</v>
      </c>
      <c r="I52" s="13">
        <v>2670</v>
      </c>
      <c r="J52" s="13">
        <v>2692</v>
      </c>
      <c r="K52" s="13">
        <v>2945</v>
      </c>
      <c r="L52" s="13">
        <v>2913</v>
      </c>
      <c r="M52" s="13">
        <v>2709</v>
      </c>
      <c r="N52" s="13">
        <v>3022</v>
      </c>
      <c r="O52" s="13">
        <v>2831</v>
      </c>
      <c r="P52" s="13">
        <v>2737</v>
      </c>
      <c r="Q52" s="14">
        <v>2463</v>
      </c>
      <c r="R52" s="13"/>
      <c r="S52" s="13"/>
    </row>
    <row r="53" spans="3:31" x14ac:dyDescent="0.25">
      <c r="C53" s="2" t="s">
        <v>81</v>
      </c>
      <c r="D53" s="13">
        <v>1606</v>
      </c>
      <c r="E53" s="13">
        <v>1835</v>
      </c>
      <c r="F53" s="13">
        <v>1937</v>
      </c>
      <c r="G53" s="13">
        <v>1994</v>
      </c>
      <c r="H53" s="13">
        <v>1909</v>
      </c>
      <c r="I53" s="13">
        <v>2075</v>
      </c>
      <c r="J53" s="13">
        <v>1966</v>
      </c>
      <c r="K53" s="13">
        <v>2212</v>
      </c>
      <c r="L53" s="13">
        <v>1902</v>
      </c>
      <c r="M53" s="13">
        <v>2089</v>
      </c>
      <c r="N53" s="13">
        <v>2201</v>
      </c>
      <c r="O53" s="13">
        <v>2245</v>
      </c>
      <c r="P53" s="13">
        <v>2067</v>
      </c>
      <c r="Q53" s="14">
        <v>2141</v>
      </c>
      <c r="R53" s="13"/>
      <c r="S53" s="13"/>
    </row>
    <row r="54" spans="3:31" x14ac:dyDescent="0.25">
      <c r="C54" s="2" t="s">
        <v>82</v>
      </c>
      <c r="D54" s="13">
        <v>1068</v>
      </c>
      <c r="E54" s="13">
        <v>1211</v>
      </c>
      <c r="F54" s="13">
        <v>1254</v>
      </c>
      <c r="G54" s="13">
        <v>1077</v>
      </c>
      <c r="H54" s="13">
        <v>1207</v>
      </c>
      <c r="I54" s="13">
        <v>1175</v>
      </c>
      <c r="J54" s="13">
        <v>1037</v>
      </c>
      <c r="K54" s="13">
        <v>1051</v>
      </c>
      <c r="L54" s="13">
        <v>1057</v>
      </c>
      <c r="M54" s="13">
        <v>1047</v>
      </c>
      <c r="N54" s="13">
        <v>1174</v>
      </c>
      <c r="O54" s="13">
        <v>957</v>
      </c>
      <c r="P54" s="13">
        <v>978</v>
      </c>
      <c r="Q54" s="14">
        <v>954</v>
      </c>
      <c r="R54" s="13"/>
      <c r="S54" s="13"/>
    </row>
    <row r="55" spans="3:31" x14ac:dyDescent="0.25">
      <c r="C55" s="10" t="s">
        <v>83</v>
      </c>
      <c r="D55" s="15">
        <f t="shared" ref="D55:N55" si="41">SUM(D45:D54)</f>
        <v>17240</v>
      </c>
      <c r="E55" s="15">
        <f t="shared" si="41"/>
        <v>18094</v>
      </c>
      <c r="F55" s="15">
        <f t="shared" si="41"/>
        <v>18343</v>
      </c>
      <c r="G55" s="15">
        <f t="shared" si="41"/>
        <v>20875</v>
      </c>
      <c r="H55" s="15">
        <f t="shared" si="41"/>
        <v>20604</v>
      </c>
      <c r="I55" s="15">
        <f t="shared" si="41"/>
        <v>21246</v>
      </c>
      <c r="J55" s="15">
        <f t="shared" si="41"/>
        <v>20480</v>
      </c>
      <c r="K55" s="15">
        <f t="shared" si="41"/>
        <v>20635</v>
      </c>
      <c r="L55" s="15">
        <f t="shared" si="41"/>
        <v>20608</v>
      </c>
      <c r="M55" s="15">
        <f t="shared" si="41"/>
        <v>22065</v>
      </c>
      <c r="N55" s="15">
        <f t="shared" si="41"/>
        <v>22123</v>
      </c>
      <c r="O55" s="15">
        <f>SUM(O45:O54)</f>
        <v>20130</v>
      </c>
      <c r="P55" s="15">
        <f t="shared" ref="P55:S55" si="42">SUM(P45:P54)</f>
        <v>20019</v>
      </c>
      <c r="Q55" s="25">
        <f t="shared" si="42"/>
        <v>19744</v>
      </c>
      <c r="R55" s="15">
        <f t="shared" si="42"/>
        <v>0</v>
      </c>
      <c r="S55" s="15">
        <f t="shared" si="42"/>
        <v>0</v>
      </c>
    </row>
    <row r="56" spans="3:31" x14ac:dyDescent="0.25">
      <c r="C56" s="1" t="s">
        <v>84</v>
      </c>
      <c r="D56" s="11">
        <f t="shared" ref="D56:N56" si="43">D44+D55</f>
        <v>26322</v>
      </c>
      <c r="E56" s="11">
        <f t="shared" si="43"/>
        <v>27226</v>
      </c>
      <c r="F56" s="11">
        <f t="shared" si="43"/>
        <v>27972</v>
      </c>
      <c r="G56" s="11">
        <f t="shared" si="43"/>
        <v>30608</v>
      </c>
      <c r="H56" s="11">
        <f t="shared" si="43"/>
        <v>30823</v>
      </c>
      <c r="I56" s="11">
        <f t="shared" si="43"/>
        <v>31615</v>
      </c>
      <c r="J56" s="11">
        <f t="shared" si="43"/>
        <v>30732</v>
      </c>
      <c r="K56" s="11">
        <f t="shared" si="43"/>
        <v>31414</v>
      </c>
      <c r="L56" s="11">
        <f t="shared" si="43"/>
        <v>31316</v>
      </c>
      <c r="M56" s="11">
        <f t="shared" si="43"/>
        <v>32534</v>
      </c>
      <c r="N56" s="11">
        <f t="shared" si="43"/>
        <v>32953</v>
      </c>
      <c r="O56" s="11">
        <f>O44+O55</f>
        <v>28978</v>
      </c>
      <c r="P56" s="11">
        <f t="shared" ref="P56:S56" si="44">P44+P55</f>
        <v>29151</v>
      </c>
      <c r="Q56" s="12">
        <f t="shared" si="44"/>
        <v>28236</v>
      </c>
      <c r="R56" s="11">
        <f t="shared" si="44"/>
        <v>0</v>
      </c>
      <c r="S56" s="11">
        <f t="shared" si="44"/>
        <v>0</v>
      </c>
    </row>
    <row r="57" spans="3:31" x14ac:dyDescent="0.25"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R57" s="13"/>
      <c r="S57" s="13"/>
      <c r="Z57" s="1"/>
      <c r="AA57" s="1"/>
      <c r="AB57" s="1"/>
      <c r="AC57" s="1"/>
      <c r="AD57" s="1"/>
      <c r="AE57" s="1"/>
    </row>
    <row r="58" spans="3:31" x14ac:dyDescent="0.25">
      <c r="C58" s="1" t="s">
        <v>12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4"/>
      <c r="R58" s="13"/>
      <c r="S58" s="13"/>
    </row>
    <row r="59" spans="3:31" x14ac:dyDescent="0.25">
      <c r="C59" s="2" t="s">
        <v>85</v>
      </c>
      <c r="D59" s="13">
        <f t="shared" ref="D59:S59" si="45">D14</f>
        <v>78</v>
      </c>
      <c r="E59" s="13">
        <f t="shared" si="45"/>
        <v>160</v>
      </c>
      <c r="F59" s="13">
        <f t="shared" si="45"/>
        <v>273</v>
      </c>
      <c r="G59" s="13">
        <f t="shared" si="45"/>
        <v>688</v>
      </c>
      <c r="H59" s="13">
        <f t="shared" si="45"/>
        <v>305</v>
      </c>
      <c r="I59" s="13">
        <f t="shared" si="45"/>
        <v>442</v>
      </c>
      <c r="J59" s="13">
        <f t="shared" si="45"/>
        <v>394</v>
      </c>
      <c r="K59" s="13">
        <f t="shared" si="45"/>
        <v>530</v>
      </c>
      <c r="L59" s="13">
        <f t="shared" si="45"/>
        <v>91</v>
      </c>
      <c r="M59" s="13">
        <f t="shared" si="45"/>
        <v>275</v>
      </c>
      <c r="N59" s="13">
        <f t="shared" si="45"/>
        <v>431</v>
      </c>
      <c r="O59" s="13">
        <f t="shared" si="45"/>
        <v>-306</v>
      </c>
      <c r="P59" s="13">
        <f t="shared" si="45"/>
        <v>135</v>
      </c>
      <c r="Q59" s="14">
        <f t="shared" si="45"/>
        <v>311</v>
      </c>
      <c r="R59" s="13">
        <f t="shared" si="45"/>
        <v>0</v>
      </c>
      <c r="S59" s="13">
        <f t="shared" si="45"/>
        <v>0</v>
      </c>
      <c r="V59" s="13">
        <f t="shared" ref="V59:AE59" si="46">V14</f>
        <v>189</v>
      </c>
      <c r="W59" s="13">
        <f t="shared" si="46"/>
        <v>339</v>
      </c>
      <c r="X59" s="13">
        <f t="shared" si="46"/>
        <v>1682</v>
      </c>
      <c r="Y59" s="13">
        <f t="shared" si="46"/>
        <v>1581</v>
      </c>
      <c r="Z59" s="13">
        <f t="shared" si="46"/>
        <v>1453</v>
      </c>
      <c r="AA59" s="13">
        <f t="shared" si="46"/>
        <v>1631</v>
      </c>
      <c r="AB59" s="13">
        <f t="shared" si="46"/>
        <v>1503</v>
      </c>
      <c r="AC59" s="13">
        <f t="shared" si="46"/>
        <v>1198</v>
      </c>
      <c r="AD59" s="13">
        <f t="shared" si="46"/>
        <v>1668</v>
      </c>
      <c r="AE59" s="13">
        <f t="shared" si="46"/>
        <v>491</v>
      </c>
    </row>
    <row r="60" spans="3:31" x14ac:dyDescent="0.25">
      <c r="C60" s="2" t="s">
        <v>86</v>
      </c>
      <c r="D60" s="13">
        <v>78</v>
      </c>
      <c r="E60" s="13">
        <v>160</v>
      </c>
      <c r="F60" s="13">
        <v>273</v>
      </c>
      <c r="G60" s="13">
        <v>689</v>
      </c>
      <c r="H60" s="13">
        <v>305</v>
      </c>
      <c r="I60" s="13">
        <v>442</v>
      </c>
      <c r="J60" s="13">
        <v>392</v>
      </c>
      <c r="K60" s="13">
        <v>529</v>
      </c>
      <c r="L60" s="13">
        <v>91</v>
      </c>
      <c r="M60" s="13">
        <v>275</v>
      </c>
      <c r="N60" s="13">
        <v>431</v>
      </c>
      <c r="O60" s="13">
        <v>-307</v>
      </c>
      <c r="P60" s="13">
        <v>136</v>
      </c>
      <c r="Q60" s="14">
        <v>310</v>
      </c>
      <c r="R60" s="13"/>
      <c r="S60" s="13"/>
      <c r="V60" s="13">
        <v>189</v>
      </c>
      <c r="W60" s="13">
        <v>340</v>
      </c>
      <c r="X60" s="13">
        <v>1681</v>
      </c>
      <c r="Y60" s="13">
        <v>1580</v>
      </c>
      <c r="Z60" s="13">
        <v>1454</v>
      </c>
      <c r="AA60" s="13">
        <v>1630</v>
      </c>
      <c r="AB60" s="13">
        <v>1501</v>
      </c>
      <c r="AC60" s="13">
        <v>1198</v>
      </c>
      <c r="AD60" s="13">
        <v>1668</v>
      </c>
      <c r="AE60" s="13">
        <v>490</v>
      </c>
    </row>
    <row r="61" spans="3:31" x14ac:dyDescent="0.25">
      <c r="C61" s="2" t="s">
        <v>87</v>
      </c>
      <c r="D61" s="13">
        <v>262</v>
      </c>
      <c r="E61" s="13">
        <v>266</v>
      </c>
      <c r="F61" s="13">
        <v>275</v>
      </c>
      <c r="G61" s="13">
        <v>260</v>
      </c>
      <c r="H61" s="13">
        <v>281</v>
      </c>
      <c r="I61" s="13">
        <v>275</v>
      </c>
      <c r="J61" s="13">
        <v>282</v>
      </c>
      <c r="K61" s="13">
        <v>299</v>
      </c>
      <c r="L61" s="13">
        <v>317</v>
      </c>
      <c r="M61" s="13">
        <v>321</v>
      </c>
      <c r="N61" s="13">
        <v>338</v>
      </c>
      <c r="O61" s="13">
        <v>322</v>
      </c>
      <c r="P61" s="13">
        <v>313</v>
      </c>
      <c r="Q61" s="25">
        <v>314</v>
      </c>
      <c r="R61" s="15"/>
      <c r="S61" s="15"/>
      <c r="V61" s="13">
        <v>634</v>
      </c>
      <c r="W61" s="13">
        <v>655</v>
      </c>
      <c r="X61" s="13">
        <v>675</v>
      </c>
      <c r="Y61" s="13">
        <v>943</v>
      </c>
      <c r="Z61" s="2">
        <v>1275</v>
      </c>
      <c r="AA61" s="13">
        <v>1204</v>
      </c>
      <c r="AB61" s="13">
        <v>1039</v>
      </c>
      <c r="AC61" s="13">
        <v>1062</v>
      </c>
      <c r="AD61" s="13">
        <v>1136</v>
      </c>
      <c r="AE61" s="13">
        <v>1299</v>
      </c>
    </row>
    <row r="62" spans="3:31" x14ac:dyDescent="0.25">
      <c r="C62" s="2" t="s">
        <v>88</v>
      </c>
      <c r="E62" s="2">
        <v>0</v>
      </c>
      <c r="F62" s="13">
        <v>78</v>
      </c>
      <c r="G62" s="13">
        <v>26</v>
      </c>
      <c r="H62" s="13">
        <v>0</v>
      </c>
      <c r="I62" s="13">
        <v>0</v>
      </c>
      <c r="J62" s="13">
        <v>0</v>
      </c>
      <c r="K62" s="13">
        <v>13</v>
      </c>
      <c r="L62" s="13">
        <v>31</v>
      </c>
      <c r="M62" s="13">
        <v>-3</v>
      </c>
      <c r="N62" s="13">
        <v>3</v>
      </c>
      <c r="O62" s="13">
        <v>1064</v>
      </c>
      <c r="P62" s="13">
        <v>0</v>
      </c>
      <c r="Q62" s="14">
        <v>0</v>
      </c>
      <c r="R62" s="13"/>
      <c r="S62" s="13"/>
      <c r="V62" s="2">
        <v>0</v>
      </c>
      <c r="W62" s="2">
        <v>0</v>
      </c>
      <c r="X62" s="13">
        <v>0</v>
      </c>
      <c r="Y62" s="2">
        <v>0</v>
      </c>
      <c r="Z62" s="2">
        <v>0</v>
      </c>
      <c r="AA62" s="2">
        <v>0</v>
      </c>
      <c r="AB62" s="13">
        <v>0</v>
      </c>
      <c r="AC62" s="13">
        <v>103</v>
      </c>
      <c r="AD62" s="13">
        <v>13</v>
      </c>
      <c r="AE62" s="13">
        <v>1094</v>
      </c>
    </row>
    <row r="63" spans="3:31" x14ac:dyDescent="0.25">
      <c r="C63" s="2" t="s">
        <v>89</v>
      </c>
      <c r="D63" s="13">
        <v>27</v>
      </c>
      <c r="E63" s="13">
        <v>24</v>
      </c>
      <c r="F63" s="13">
        <v>44</v>
      </c>
      <c r="G63" s="13">
        <v>52</v>
      </c>
      <c r="H63" s="13">
        <v>68</v>
      </c>
      <c r="I63" s="13">
        <v>67</v>
      </c>
      <c r="J63" s="13">
        <v>79</v>
      </c>
      <c r="K63" s="13">
        <v>92</v>
      </c>
      <c r="L63" s="13">
        <v>77</v>
      </c>
      <c r="M63" s="13">
        <v>100</v>
      </c>
      <c r="N63" s="13">
        <v>85</v>
      </c>
      <c r="O63" s="13">
        <v>120</v>
      </c>
      <c r="P63" s="13">
        <v>65</v>
      </c>
      <c r="Q63" s="14">
        <v>101</v>
      </c>
      <c r="R63" s="13"/>
      <c r="S63" s="13"/>
      <c r="V63" s="13">
        <v>203</v>
      </c>
      <c r="W63" s="13">
        <v>178</v>
      </c>
      <c r="X63" s="13">
        <v>96</v>
      </c>
      <c r="Y63" s="13">
        <v>91</v>
      </c>
      <c r="Z63" s="13">
        <v>150</v>
      </c>
      <c r="AA63" s="13">
        <v>204</v>
      </c>
      <c r="AB63" s="13">
        <v>106</v>
      </c>
      <c r="AC63" s="13">
        <v>147</v>
      </c>
      <c r="AD63" s="13">
        <v>306</v>
      </c>
      <c r="AE63" s="13">
        <v>382</v>
      </c>
    </row>
    <row r="64" spans="3:31" x14ac:dyDescent="0.25">
      <c r="C64" s="2" t="s">
        <v>90</v>
      </c>
      <c r="D64" s="13">
        <v>34</v>
      </c>
      <c r="E64" s="13">
        <v>-130</v>
      </c>
      <c r="F64" s="13">
        <v>110</v>
      </c>
      <c r="G64" s="13">
        <v>34</v>
      </c>
      <c r="H64" s="13">
        <v>-5</v>
      </c>
      <c r="I64" s="13">
        <v>-10</v>
      </c>
      <c r="J64" s="13">
        <v>182</v>
      </c>
      <c r="K64" s="13">
        <v>80</v>
      </c>
      <c r="L64" s="13">
        <v>36</v>
      </c>
      <c r="M64" s="13">
        <v>30</v>
      </c>
      <c r="N64" s="13">
        <v>33</v>
      </c>
      <c r="O64" s="13">
        <v>164</v>
      </c>
      <c r="P64" s="13">
        <v>-142</v>
      </c>
      <c r="Q64" s="14">
        <v>65</v>
      </c>
      <c r="R64" s="13"/>
      <c r="S64" s="13"/>
      <c r="V64" s="13">
        <v>147</v>
      </c>
      <c r="W64" s="13">
        <v>50</v>
      </c>
      <c r="X64" s="13">
        <v>254</v>
      </c>
      <c r="Y64" s="13">
        <v>21</v>
      </c>
      <c r="Z64" s="13">
        <v>54</v>
      </c>
      <c r="AA64" s="13">
        <v>307</v>
      </c>
      <c r="AB64" s="13">
        <v>-211</v>
      </c>
      <c r="AC64" s="13">
        <v>49</v>
      </c>
      <c r="AD64" s="13">
        <v>247</v>
      </c>
      <c r="AE64" s="13">
        <v>263</v>
      </c>
    </row>
    <row r="65" spans="3:31" x14ac:dyDescent="0.25">
      <c r="C65" s="2" t="s">
        <v>91</v>
      </c>
      <c r="D65" s="13">
        <v>-17</v>
      </c>
      <c r="E65" s="13">
        <v>-26</v>
      </c>
      <c r="F65" s="13">
        <v>-38</v>
      </c>
      <c r="G65" s="13">
        <v>-75</v>
      </c>
      <c r="H65" s="13">
        <v>-13</v>
      </c>
      <c r="I65" s="13">
        <v>-72</v>
      </c>
      <c r="J65" s="13">
        <v>-63</v>
      </c>
      <c r="K65" s="13">
        <v>-109</v>
      </c>
      <c r="L65" s="13">
        <v>-52</v>
      </c>
      <c r="M65" s="13">
        <v>-107</v>
      </c>
      <c r="N65" s="13">
        <v>-84</v>
      </c>
      <c r="O65" s="13">
        <v>-145</v>
      </c>
      <c r="P65" s="13">
        <v>-46</v>
      </c>
      <c r="Q65" s="14">
        <v>-110</v>
      </c>
      <c r="R65" s="13"/>
      <c r="S65" s="13"/>
      <c r="T65" s="1"/>
      <c r="U65" s="1"/>
      <c r="V65" s="13">
        <f>37-233</f>
        <v>-196</v>
      </c>
      <c r="W65" s="13">
        <f>31-219</f>
        <v>-188</v>
      </c>
      <c r="X65" s="13">
        <f>67-165</f>
        <v>-98</v>
      </c>
      <c r="Y65" s="13">
        <f>66-175</f>
        <v>-109</v>
      </c>
      <c r="Z65" s="13">
        <f>63-208</f>
        <v>-145</v>
      </c>
      <c r="AA65" s="13">
        <f>30-249</f>
        <v>-219</v>
      </c>
      <c r="AB65" s="13">
        <f>42-156</f>
        <v>-114</v>
      </c>
      <c r="AC65" s="13">
        <f>79-235</f>
        <v>-156</v>
      </c>
      <c r="AD65" s="13">
        <f>108-366</f>
        <v>-258</v>
      </c>
      <c r="AE65" s="13">
        <f>139-527</f>
        <v>-388</v>
      </c>
    </row>
    <row r="66" spans="3:31" x14ac:dyDescent="0.25">
      <c r="C66" s="2" t="s">
        <v>92</v>
      </c>
      <c r="D66" s="13">
        <v>-33</v>
      </c>
      <c r="E66" s="13">
        <v>-145</v>
      </c>
      <c r="F66" s="13">
        <v>-73</v>
      </c>
      <c r="G66" s="13">
        <v>-39</v>
      </c>
      <c r="H66" s="13">
        <v>-138</v>
      </c>
      <c r="I66" s="13">
        <v>-152</v>
      </c>
      <c r="J66" s="13">
        <v>-115</v>
      </c>
      <c r="K66" s="13">
        <v>-27</v>
      </c>
      <c r="L66" s="13">
        <v>-60</v>
      </c>
      <c r="M66" s="13">
        <v>-139</v>
      </c>
      <c r="N66" s="13">
        <v>-97</v>
      </c>
      <c r="O66" s="13">
        <v>-15</v>
      </c>
      <c r="P66" s="13">
        <v>-128</v>
      </c>
      <c r="Q66" s="14">
        <v>-79</v>
      </c>
      <c r="R66" s="13"/>
      <c r="S66" s="13"/>
      <c r="T66" s="1"/>
      <c r="U66" s="1"/>
      <c r="V66" s="13">
        <v>-268</v>
      </c>
      <c r="W66" s="13">
        <v>-268</v>
      </c>
      <c r="X66" s="13">
        <v>-250</v>
      </c>
      <c r="Y66" s="13">
        <v>-249</v>
      </c>
      <c r="Z66" s="13">
        <v>-261</v>
      </c>
      <c r="AA66" s="13">
        <v>-465</v>
      </c>
      <c r="AB66" s="13">
        <v>-452</v>
      </c>
      <c r="AC66" s="13">
        <v>-290</v>
      </c>
      <c r="AD66" s="13">
        <v>-431</v>
      </c>
      <c r="AE66" s="13">
        <v>-311</v>
      </c>
    </row>
    <row r="67" spans="3:31" x14ac:dyDescent="0.25">
      <c r="C67" s="2" t="s">
        <v>93</v>
      </c>
      <c r="D67" s="13">
        <f>-422+200-327</f>
        <v>-549</v>
      </c>
      <c r="E67" s="13">
        <f>-175-459+432</f>
        <v>-202</v>
      </c>
      <c r="F67" s="13">
        <f>-102-828+485</f>
        <v>-445</v>
      </c>
      <c r="G67" s="13">
        <f>238+118+690</f>
        <v>1046</v>
      </c>
      <c r="H67" s="13">
        <f>-622-441+14</f>
        <v>-1049</v>
      </c>
      <c r="I67" s="13">
        <f>-211+285</f>
        <v>74</v>
      </c>
      <c r="J67" s="13">
        <f>173+364-222</f>
        <v>315</v>
      </c>
      <c r="K67" s="13">
        <f>357+602-518</f>
        <v>441</v>
      </c>
      <c r="L67" s="13">
        <f>-279-369-284</f>
        <v>-932</v>
      </c>
      <c r="M67" s="13">
        <f>130+44-196</f>
        <v>-22</v>
      </c>
      <c r="N67" s="13">
        <f>173-134+349</f>
        <v>388</v>
      </c>
      <c r="O67" s="13">
        <f>302-197+259</f>
        <v>364</v>
      </c>
      <c r="P67" s="13">
        <v>-286</v>
      </c>
      <c r="Q67" s="14">
        <v>36</v>
      </c>
      <c r="R67" s="13"/>
      <c r="S67" s="13"/>
      <c r="T67" s="1"/>
      <c r="U67" s="1"/>
      <c r="V67" s="13">
        <f>80+350-31</f>
        <v>399</v>
      </c>
      <c r="W67" s="13">
        <f>231+158+662</f>
        <v>1051</v>
      </c>
      <c r="X67" s="13">
        <f>-125-21+192</f>
        <v>46</v>
      </c>
      <c r="Y67" s="13">
        <f>-20-367-249</f>
        <v>-636</v>
      </c>
      <c r="Z67" s="13">
        <f>-116-434-962</f>
        <v>-1512</v>
      </c>
      <c r="AA67" s="13">
        <f>270-772+393</f>
        <v>-109</v>
      </c>
      <c r="AB67" s="13">
        <f>-97-291+376</f>
        <v>-12</v>
      </c>
      <c r="AC67" s="13">
        <f>-461-969+1280</f>
        <v>-150</v>
      </c>
      <c r="AD67" s="13">
        <f>-93+313-441</f>
        <v>-221</v>
      </c>
      <c r="AE67" s="13">
        <f>325-657+128</f>
        <v>-204</v>
      </c>
    </row>
    <row r="68" spans="3:31" x14ac:dyDescent="0.25">
      <c r="C68" s="1" t="s">
        <v>94</v>
      </c>
      <c r="D68" s="11">
        <f>SUM(D60:D67)</f>
        <v>-198</v>
      </c>
      <c r="E68" s="11">
        <f t="shared" ref="E68:N68" si="47">SUM(E60:E67)</f>
        <v>-53</v>
      </c>
      <c r="F68" s="11">
        <f t="shared" si="47"/>
        <v>224</v>
      </c>
      <c r="G68" s="11">
        <f t="shared" si="47"/>
        <v>1993</v>
      </c>
      <c r="H68" s="11">
        <f t="shared" si="47"/>
        <v>-551</v>
      </c>
      <c r="I68" s="11">
        <f t="shared" si="47"/>
        <v>624</v>
      </c>
      <c r="J68" s="11">
        <f t="shared" si="47"/>
        <v>1072</v>
      </c>
      <c r="K68" s="11">
        <f t="shared" si="47"/>
        <v>1318</v>
      </c>
      <c r="L68" s="11">
        <f t="shared" si="47"/>
        <v>-492</v>
      </c>
      <c r="M68" s="11">
        <f t="shared" si="47"/>
        <v>455</v>
      </c>
      <c r="N68" s="11">
        <f t="shared" si="47"/>
        <v>1097</v>
      </c>
      <c r="O68" s="11">
        <f>SUM(O60:O67)</f>
        <v>1567</v>
      </c>
      <c r="P68" s="11">
        <f>SUM(P60:P67)</f>
        <v>-88</v>
      </c>
      <c r="Q68" s="12">
        <f t="shared" ref="Q68:S68" si="48">SUM(Q60:Q67)</f>
        <v>637</v>
      </c>
      <c r="R68" s="11">
        <f t="shared" si="48"/>
        <v>0</v>
      </c>
      <c r="S68" s="11">
        <f t="shared" si="48"/>
        <v>0</v>
      </c>
      <c r="T68" s="1"/>
      <c r="U68" s="1"/>
      <c r="V68" s="11">
        <f t="shared" ref="V68:AE68" si="49">SUM(V60:V67)</f>
        <v>1108</v>
      </c>
      <c r="W68" s="11">
        <f t="shared" si="49"/>
        <v>1818</v>
      </c>
      <c r="X68" s="11">
        <f t="shared" si="49"/>
        <v>2404</v>
      </c>
      <c r="Y68" s="11">
        <f t="shared" si="49"/>
        <v>1641</v>
      </c>
      <c r="Z68" s="11">
        <f>SUM(Z60:Z67)</f>
        <v>1015</v>
      </c>
      <c r="AA68" s="11">
        <f t="shared" si="49"/>
        <v>2552</v>
      </c>
      <c r="AB68" s="11">
        <f t="shared" si="49"/>
        <v>1857</v>
      </c>
      <c r="AC68" s="11">
        <f t="shared" si="49"/>
        <v>1963</v>
      </c>
      <c r="AD68" s="11">
        <f t="shared" si="49"/>
        <v>2460</v>
      </c>
      <c r="AE68" s="11">
        <f t="shared" si="49"/>
        <v>2625</v>
      </c>
    </row>
    <row r="69" spans="3:31" x14ac:dyDescent="0.25"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4"/>
      <c r="R69" s="11"/>
      <c r="S69" s="11"/>
      <c r="T69" s="1"/>
      <c r="U69" s="1"/>
      <c r="V69" s="11"/>
      <c r="W69" s="11"/>
      <c r="X69" s="11"/>
      <c r="Y69" s="11"/>
      <c r="Z69" s="11"/>
      <c r="AA69" s="13"/>
      <c r="AB69" s="13"/>
      <c r="AC69" s="13"/>
      <c r="AD69" s="13"/>
      <c r="AE69" s="13"/>
    </row>
    <row r="70" spans="3:31" x14ac:dyDescent="0.25">
      <c r="C70" s="2" t="s">
        <v>95</v>
      </c>
      <c r="D70" s="13">
        <f>-396+1</f>
        <v>-395</v>
      </c>
      <c r="E70" s="13">
        <f>-362-3</f>
        <v>-365</v>
      </c>
      <c r="F70" s="13">
        <f>-315-74-36</f>
        <v>-425</v>
      </c>
      <c r="G70" s="13">
        <f>-366-51-13</f>
        <v>-430</v>
      </c>
      <c r="H70" s="13">
        <f>-348</f>
        <v>-348</v>
      </c>
      <c r="I70" s="13">
        <f>-367-45-205</f>
        <v>-617</v>
      </c>
      <c r="J70" s="13">
        <f>-440-73</f>
        <v>-513</v>
      </c>
      <c r="K70" s="13">
        <v>-445</v>
      </c>
      <c r="L70" s="13">
        <f>-397-12</f>
        <v>-409</v>
      </c>
      <c r="M70" s="13">
        <f>-487-86</f>
        <v>-573</v>
      </c>
      <c r="N70" s="13">
        <f>-366-5</f>
        <v>-371</v>
      </c>
      <c r="O70" s="13">
        <v>-320</v>
      </c>
      <c r="P70" s="13">
        <v>-275</v>
      </c>
      <c r="Q70" s="14">
        <v>-280</v>
      </c>
      <c r="R70" s="11"/>
      <c r="S70" s="11"/>
      <c r="T70" s="1"/>
      <c r="U70" s="1"/>
      <c r="V70" s="13">
        <v>-786</v>
      </c>
      <c r="W70" s="13">
        <v>-792</v>
      </c>
      <c r="X70" s="13">
        <v>-957</v>
      </c>
      <c r="Y70" s="13">
        <v>-674</v>
      </c>
      <c r="Z70" s="13">
        <v>-1298</v>
      </c>
      <c r="AA70" s="13">
        <v>-613</v>
      </c>
      <c r="AB70" s="13">
        <v>-1615</v>
      </c>
      <c r="AC70" s="13">
        <v>-1615</v>
      </c>
      <c r="AD70" s="13">
        <v>-1923</v>
      </c>
      <c r="AE70" s="13">
        <v>-1671</v>
      </c>
    </row>
    <row r="71" spans="3:31" x14ac:dyDescent="0.25">
      <c r="C71" s="1" t="s">
        <v>96</v>
      </c>
      <c r="D71" s="11">
        <f t="shared" ref="D71:N71" si="50">D70</f>
        <v>-395</v>
      </c>
      <c r="E71" s="11">
        <f t="shared" si="50"/>
        <v>-365</v>
      </c>
      <c r="F71" s="11">
        <f t="shared" si="50"/>
        <v>-425</v>
      </c>
      <c r="G71" s="11">
        <f t="shared" si="50"/>
        <v>-430</v>
      </c>
      <c r="H71" s="11">
        <f t="shared" si="50"/>
        <v>-348</v>
      </c>
      <c r="I71" s="11">
        <f t="shared" si="50"/>
        <v>-617</v>
      </c>
      <c r="J71" s="11">
        <f t="shared" si="50"/>
        <v>-513</v>
      </c>
      <c r="K71" s="11">
        <f t="shared" si="50"/>
        <v>-445</v>
      </c>
      <c r="L71" s="11">
        <f t="shared" si="50"/>
        <v>-409</v>
      </c>
      <c r="M71" s="11">
        <f t="shared" si="50"/>
        <v>-573</v>
      </c>
      <c r="N71" s="11">
        <f t="shared" si="50"/>
        <v>-371</v>
      </c>
      <c r="O71" s="11">
        <f>O70</f>
        <v>-320</v>
      </c>
      <c r="P71" s="11">
        <f>P70</f>
        <v>-275</v>
      </c>
      <c r="Q71" s="12">
        <f t="shared" ref="Q71:S71" si="51">Q70</f>
        <v>-280</v>
      </c>
      <c r="R71" s="11">
        <f t="shared" si="51"/>
        <v>0</v>
      </c>
      <c r="S71" s="11">
        <f t="shared" si="51"/>
        <v>0</v>
      </c>
      <c r="T71" s="1"/>
      <c r="U71" s="1"/>
      <c r="V71" s="11">
        <f t="shared" ref="V71:AE71" si="52">V70</f>
        <v>-786</v>
      </c>
      <c r="W71" s="11">
        <f t="shared" si="52"/>
        <v>-792</v>
      </c>
      <c r="X71" s="11">
        <f t="shared" si="52"/>
        <v>-957</v>
      </c>
      <c r="Y71" s="11">
        <f t="shared" si="52"/>
        <v>-674</v>
      </c>
      <c r="Z71" s="11">
        <f t="shared" si="52"/>
        <v>-1298</v>
      </c>
      <c r="AA71" s="11">
        <f t="shared" si="52"/>
        <v>-613</v>
      </c>
      <c r="AB71" s="11">
        <f t="shared" si="52"/>
        <v>-1615</v>
      </c>
      <c r="AC71" s="11">
        <f t="shared" si="52"/>
        <v>-1615</v>
      </c>
      <c r="AD71" s="11">
        <f t="shared" si="52"/>
        <v>-1923</v>
      </c>
      <c r="AE71" s="11">
        <f t="shared" si="52"/>
        <v>-1671</v>
      </c>
    </row>
    <row r="72" spans="3:31" x14ac:dyDescent="0.25"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4"/>
      <c r="R72" s="13"/>
      <c r="S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spans="3:31" x14ac:dyDescent="0.25">
      <c r="C73" s="2" t="s">
        <v>97</v>
      </c>
      <c r="D73" s="13">
        <v>0</v>
      </c>
      <c r="E73" s="13">
        <v>-459</v>
      </c>
      <c r="F73" s="13">
        <v>0</v>
      </c>
      <c r="G73" s="13">
        <v>-459</v>
      </c>
      <c r="H73" s="13">
        <v>0</v>
      </c>
      <c r="I73" s="13">
        <v>-459</v>
      </c>
      <c r="J73" s="13">
        <v>0</v>
      </c>
      <c r="K73" s="13">
        <v>-458</v>
      </c>
      <c r="L73" s="13">
        <v>0</v>
      </c>
      <c r="M73" s="13">
        <v>-458</v>
      </c>
      <c r="N73" s="13">
        <v>0</v>
      </c>
      <c r="O73" s="13">
        <v>-458</v>
      </c>
      <c r="P73" s="13">
        <v>0</v>
      </c>
      <c r="Q73" s="14">
        <v>-458</v>
      </c>
      <c r="R73" s="13"/>
      <c r="S73" s="13"/>
      <c r="V73" s="13">
        <v>-196</v>
      </c>
      <c r="W73" s="13">
        <v>-201</v>
      </c>
      <c r="X73" s="13">
        <v>-382</v>
      </c>
      <c r="Y73" s="13">
        <v>-535</v>
      </c>
      <c r="Z73" s="13">
        <v>-688</v>
      </c>
      <c r="AA73" s="13">
        <v>-688</v>
      </c>
      <c r="AB73" s="13">
        <v>-917</v>
      </c>
      <c r="AC73" s="13">
        <v>-917</v>
      </c>
      <c r="AD73" s="13">
        <v>-917</v>
      </c>
      <c r="AE73" s="13">
        <v>-917</v>
      </c>
    </row>
    <row r="74" spans="3:31" x14ac:dyDescent="0.25">
      <c r="C74" s="2" t="s">
        <v>98</v>
      </c>
      <c r="D74" s="13">
        <v>-45</v>
      </c>
      <c r="E74" s="13">
        <v>-60</v>
      </c>
      <c r="F74" s="13">
        <v>-98</v>
      </c>
      <c r="G74" s="13">
        <v>990</v>
      </c>
      <c r="H74" s="13">
        <v>-65</v>
      </c>
      <c r="I74" s="13">
        <v>-82</v>
      </c>
      <c r="J74" s="13">
        <v>30</v>
      </c>
      <c r="K74" s="13">
        <v>-65</v>
      </c>
      <c r="L74" s="13">
        <v>504</v>
      </c>
      <c r="M74" s="13">
        <v>1504</v>
      </c>
      <c r="N74" s="13">
        <v>-511</v>
      </c>
      <c r="O74" s="13">
        <v>-1187</v>
      </c>
      <c r="P74" s="13">
        <v>126</v>
      </c>
      <c r="Q74" s="14">
        <v>-64</v>
      </c>
      <c r="R74" s="13"/>
      <c r="S74" s="13"/>
      <c r="V74" s="13">
        <f>1-1108</f>
        <v>-1107</v>
      </c>
      <c r="W74" s="13">
        <f>1996-1829-21</f>
        <v>146</v>
      </c>
      <c r="X74" s="13">
        <v>15</v>
      </c>
      <c r="Y74" s="13">
        <f>500-1438</f>
        <v>-938</v>
      </c>
      <c r="Z74" s="13">
        <f>4745-205-1229</f>
        <v>3311</v>
      </c>
      <c r="AA74" s="13">
        <f>-215-2703</f>
        <v>-2918</v>
      </c>
      <c r="AB74" s="13">
        <f>1556-268-500</f>
        <v>788</v>
      </c>
      <c r="AC74" s="13">
        <f>1556-268-500</f>
        <v>788</v>
      </c>
      <c r="AD74" s="13">
        <f>123-289-16</f>
        <v>-182</v>
      </c>
      <c r="AE74" s="13">
        <f>1558-248-1000</f>
        <v>310</v>
      </c>
    </row>
    <row r="75" spans="3:31" x14ac:dyDescent="0.25">
      <c r="C75" s="1" t="s">
        <v>99</v>
      </c>
      <c r="D75" s="11">
        <f t="shared" ref="D75:N75" si="53">SUM(D73:D74)</f>
        <v>-45</v>
      </c>
      <c r="E75" s="11">
        <f t="shared" si="53"/>
        <v>-519</v>
      </c>
      <c r="F75" s="11">
        <f t="shared" si="53"/>
        <v>-98</v>
      </c>
      <c r="G75" s="11">
        <f t="shared" si="53"/>
        <v>531</v>
      </c>
      <c r="H75" s="11">
        <f t="shared" si="53"/>
        <v>-65</v>
      </c>
      <c r="I75" s="11">
        <f t="shared" si="53"/>
        <v>-541</v>
      </c>
      <c r="J75" s="11">
        <f t="shared" si="53"/>
        <v>30</v>
      </c>
      <c r="K75" s="11">
        <f t="shared" si="53"/>
        <v>-523</v>
      </c>
      <c r="L75" s="11">
        <f t="shared" si="53"/>
        <v>504</v>
      </c>
      <c r="M75" s="11">
        <f t="shared" si="53"/>
        <v>1046</v>
      </c>
      <c r="N75" s="11">
        <f t="shared" si="53"/>
        <v>-511</v>
      </c>
      <c r="O75" s="11">
        <f>SUM(O73:O74)</f>
        <v>-1645</v>
      </c>
      <c r="P75" s="11">
        <f>SUM(P73:P74)</f>
        <v>126</v>
      </c>
      <c r="Q75" s="12">
        <f t="shared" ref="Q75:S75" si="54">SUM(Q73:Q74)</f>
        <v>-522</v>
      </c>
      <c r="R75" s="11">
        <f t="shared" si="54"/>
        <v>0</v>
      </c>
      <c r="S75" s="11">
        <f t="shared" si="54"/>
        <v>0</v>
      </c>
      <c r="V75" s="11">
        <f t="shared" ref="V75:AE75" si="55">SUM(V73:V74)</f>
        <v>-1303</v>
      </c>
      <c r="W75" s="11">
        <f t="shared" si="55"/>
        <v>-55</v>
      </c>
      <c r="X75" s="11">
        <f t="shared" si="55"/>
        <v>-367</v>
      </c>
      <c r="Y75" s="11">
        <f t="shared" si="55"/>
        <v>-1473</v>
      </c>
      <c r="Z75" s="11">
        <f t="shared" si="55"/>
        <v>2623</v>
      </c>
      <c r="AA75" s="11">
        <f t="shared" si="55"/>
        <v>-3606</v>
      </c>
      <c r="AB75" s="11">
        <f t="shared" si="55"/>
        <v>-129</v>
      </c>
      <c r="AC75" s="11">
        <f t="shared" si="55"/>
        <v>-129</v>
      </c>
      <c r="AD75" s="11">
        <f t="shared" si="55"/>
        <v>-1099</v>
      </c>
      <c r="AE75" s="11">
        <f t="shared" si="55"/>
        <v>-607</v>
      </c>
    </row>
    <row r="76" spans="3:31" x14ac:dyDescent="0.25"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4"/>
      <c r="R76" s="13"/>
      <c r="S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spans="3:31" x14ac:dyDescent="0.25">
      <c r="C77" s="2" t="s">
        <v>100</v>
      </c>
      <c r="D77" s="13">
        <v>-16</v>
      </c>
      <c r="E77" s="13">
        <v>50</v>
      </c>
      <c r="F77" s="13">
        <v>-20</v>
      </c>
      <c r="G77" s="13">
        <v>-32</v>
      </c>
      <c r="H77" s="13">
        <v>52</v>
      </c>
      <c r="I77" s="13">
        <v>35</v>
      </c>
      <c r="J77" s="13">
        <v>-104</v>
      </c>
      <c r="K77" s="13">
        <v>79</v>
      </c>
      <c r="L77" s="13">
        <v>-17</v>
      </c>
      <c r="M77" s="13">
        <v>60</v>
      </c>
      <c r="N77" s="13">
        <v>17</v>
      </c>
      <c r="O77" s="13">
        <v>-230</v>
      </c>
      <c r="P77" s="13">
        <v>39</v>
      </c>
      <c r="Q77" s="14">
        <v>-20</v>
      </c>
      <c r="R77" s="13"/>
      <c r="S77" s="13"/>
      <c r="V77" s="13">
        <v>-72</v>
      </c>
      <c r="W77" s="13">
        <v>138</v>
      </c>
      <c r="X77" s="13">
        <v>-4</v>
      </c>
      <c r="Y77" s="13">
        <v>142</v>
      </c>
      <c r="Z77" s="13">
        <v>-5</v>
      </c>
      <c r="AA77" s="13">
        <v>-329</v>
      </c>
      <c r="AB77" s="13">
        <v>-18</v>
      </c>
      <c r="AC77" s="13">
        <v>-18</v>
      </c>
      <c r="AD77" s="13">
        <v>62</v>
      </c>
      <c r="AE77" s="13">
        <v>-170</v>
      </c>
    </row>
    <row r="78" spans="3:31" x14ac:dyDescent="0.25"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4"/>
      <c r="R78" s="13"/>
      <c r="S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spans="3:31" x14ac:dyDescent="0.25">
      <c r="C79" s="2" t="s">
        <v>101</v>
      </c>
      <c r="D79" s="13">
        <f t="shared" ref="D79" si="56">D68+D71+D75+D77</f>
        <v>-654</v>
      </c>
      <c r="E79" s="13">
        <f t="shared" ref="E79:N79" si="57">E68+E71+E75+E77</f>
        <v>-887</v>
      </c>
      <c r="F79" s="13">
        <f t="shared" si="57"/>
        <v>-319</v>
      </c>
      <c r="G79" s="13">
        <f t="shared" si="57"/>
        <v>2062</v>
      </c>
      <c r="H79" s="13">
        <f t="shared" si="57"/>
        <v>-912</v>
      </c>
      <c r="I79" s="13">
        <f t="shared" si="57"/>
        <v>-499</v>
      </c>
      <c r="J79" s="13">
        <f t="shared" si="57"/>
        <v>485</v>
      </c>
      <c r="K79" s="13">
        <f t="shared" si="57"/>
        <v>429</v>
      </c>
      <c r="L79" s="13">
        <f t="shared" si="57"/>
        <v>-414</v>
      </c>
      <c r="M79" s="13">
        <f t="shared" si="57"/>
        <v>988</v>
      </c>
      <c r="N79" s="13">
        <f t="shared" si="57"/>
        <v>232</v>
      </c>
      <c r="O79" s="13">
        <f>O68+O71+O75+O77</f>
        <v>-628</v>
      </c>
      <c r="P79" s="13">
        <f>P68+P71+P75+P77</f>
        <v>-198</v>
      </c>
      <c r="Q79" s="14">
        <f t="shared" ref="Q79:S79" si="58">Q68+Q71+Q75+Q77</f>
        <v>-185</v>
      </c>
      <c r="R79" s="13">
        <f t="shared" si="58"/>
        <v>0</v>
      </c>
      <c r="S79" s="13">
        <f t="shared" si="58"/>
        <v>0</v>
      </c>
      <c r="V79" s="13">
        <f t="shared" ref="V79:AE79" si="59">V68+V71+V75+V77</f>
        <v>-1053</v>
      </c>
      <c r="W79" s="13">
        <f t="shared" si="59"/>
        <v>1109</v>
      </c>
      <c r="X79" s="13">
        <f t="shared" si="59"/>
        <v>1076</v>
      </c>
      <c r="Y79" s="13">
        <f t="shared" si="59"/>
        <v>-364</v>
      </c>
      <c r="Z79" s="13">
        <f t="shared" si="59"/>
        <v>2335</v>
      </c>
      <c r="AA79" s="13">
        <f t="shared" si="59"/>
        <v>-1996</v>
      </c>
      <c r="AB79" s="13">
        <f t="shared" si="59"/>
        <v>95</v>
      </c>
      <c r="AC79" s="13">
        <f t="shared" si="59"/>
        <v>201</v>
      </c>
      <c r="AD79" s="13">
        <f t="shared" si="59"/>
        <v>-500</v>
      </c>
      <c r="AE79" s="13">
        <f t="shared" si="59"/>
        <v>177</v>
      </c>
    </row>
    <row r="80" spans="3:31" x14ac:dyDescent="0.25">
      <c r="C80" s="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11"/>
      <c r="S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3:31" x14ac:dyDescent="0.25">
      <c r="C81" s="2" t="s">
        <v>102</v>
      </c>
      <c r="D81" s="13">
        <f t="shared" ref="D81" si="60">D68+D70</f>
        <v>-593</v>
      </c>
      <c r="E81" s="13">
        <f t="shared" ref="E81:N81" si="61">E68+E70</f>
        <v>-418</v>
      </c>
      <c r="F81" s="13">
        <f t="shared" si="61"/>
        <v>-201</v>
      </c>
      <c r="G81" s="13">
        <f t="shared" si="61"/>
        <v>1563</v>
      </c>
      <c r="H81" s="13">
        <f t="shared" si="61"/>
        <v>-899</v>
      </c>
      <c r="I81" s="13">
        <f t="shared" si="61"/>
        <v>7</v>
      </c>
      <c r="J81" s="13">
        <f t="shared" si="61"/>
        <v>559</v>
      </c>
      <c r="K81" s="13">
        <f t="shared" si="61"/>
        <v>873</v>
      </c>
      <c r="L81" s="13">
        <f t="shared" si="61"/>
        <v>-901</v>
      </c>
      <c r="M81" s="13">
        <f t="shared" si="61"/>
        <v>-118</v>
      </c>
      <c r="N81" s="13">
        <f t="shared" si="61"/>
        <v>726</v>
      </c>
      <c r="O81" s="13">
        <f>O68+O70</f>
        <v>1247</v>
      </c>
      <c r="P81" s="13">
        <f t="shared" ref="P81:S81" si="62">P68+P70</f>
        <v>-363</v>
      </c>
      <c r="Q81" s="14">
        <f t="shared" si="62"/>
        <v>357</v>
      </c>
      <c r="R81" s="13">
        <f t="shared" si="62"/>
        <v>0</v>
      </c>
      <c r="S81" s="13">
        <f t="shared" si="62"/>
        <v>0</v>
      </c>
      <c r="V81" s="13">
        <f t="shared" ref="V81:AE81" si="63">V68+V70</f>
        <v>322</v>
      </c>
      <c r="W81" s="13">
        <f t="shared" si="63"/>
        <v>1026</v>
      </c>
      <c r="X81" s="13">
        <f t="shared" si="63"/>
        <v>1447</v>
      </c>
      <c r="Y81" s="13">
        <f t="shared" si="63"/>
        <v>967</v>
      </c>
      <c r="Z81" s="13">
        <f t="shared" si="63"/>
        <v>-283</v>
      </c>
      <c r="AA81" s="13">
        <f t="shared" si="63"/>
        <v>1939</v>
      </c>
      <c r="AB81" s="13">
        <f t="shared" si="63"/>
        <v>242</v>
      </c>
      <c r="AC81" s="13">
        <f t="shared" si="63"/>
        <v>348</v>
      </c>
      <c r="AD81" s="13">
        <f t="shared" si="63"/>
        <v>537</v>
      </c>
      <c r="AE81" s="13">
        <f t="shared" si="63"/>
        <v>954</v>
      </c>
    </row>
    <row r="83" spans="3:31" x14ac:dyDescent="0.25"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4"/>
      <c r="R83" s="13"/>
      <c r="S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spans="3:31" x14ac:dyDescent="0.25"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4"/>
      <c r="R84" s="13"/>
      <c r="S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spans="3:31" x14ac:dyDescent="0.25"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4"/>
      <c r="R85" s="13"/>
      <c r="S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spans="3:31" x14ac:dyDescent="0.25"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4"/>
      <c r="R86" s="13"/>
      <c r="S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spans="3:31" x14ac:dyDescent="0.25"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4"/>
      <c r="R87" s="13"/>
      <c r="S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spans="3:31" x14ac:dyDescent="0.25"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4"/>
      <c r="R88" s="13"/>
      <c r="S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spans="3:31" x14ac:dyDescent="0.25"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4"/>
      <c r="R89" s="13"/>
      <c r="S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spans="3:31" x14ac:dyDescent="0.25"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4"/>
      <c r="R90" s="13"/>
      <c r="S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spans="3:31" x14ac:dyDescent="0.25"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4"/>
      <c r="R91" s="13"/>
      <c r="S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spans="3:31" x14ac:dyDescent="0.25"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4"/>
      <c r="R92" s="13"/>
      <c r="S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spans="3:31" x14ac:dyDescent="0.25"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3"/>
      <c r="S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spans="3:31" x14ac:dyDescent="0.25"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4"/>
      <c r="R94" s="13"/>
      <c r="S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spans="3:31" x14ac:dyDescent="0.25"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4"/>
      <c r="R95" s="13"/>
      <c r="S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spans="3:31" x14ac:dyDescent="0.25"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4"/>
      <c r="R96" s="13"/>
      <c r="S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spans="3:32" x14ac:dyDescent="0.25"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4"/>
      <c r="R97" s="13"/>
      <c r="S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spans="3:32" x14ac:dyDescent="0.25">
      <c r="C98" s="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11"/>
      <c r="S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3:32" x14ac:dyDescent="0.25">
      <c r="C99" s="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2"/>
      <c r="R99" s="11"/>
      <c r="S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3:32" x14ac:dyDescent="0.25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26"/>
      <c r="R100" s="10"/>
      <c r="S100" s="10"/>
      <c r="T100" s="10"/>
      <c r="U100" s="10"/>
      <c r="V100" s="10"/>
      <c r="W100" s="22"/>
      <c r="X100" s="22"/>
      <c r="Y100" s="22"/>
      <c r="Z100" s="22"/>
      <c r="AA100" s="22"/>
      <c r="AB100" s="22"/>
      <c r="AC100" s="22"/>
      <c r="AD100" s="22"/>
      <c r="AE100" s="22"/>
      <c r="AF100" s="23"/>
    </row>
    <row r="101" spans="3:32" x14ac:dyDescent="0.25"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4"/>
      <c r="R101" s="13"/>
      <c r="S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spans="3:32" x14ac:dyDescent="0.25"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4"/>
      <c r="R102" s="13"/>
      <c r="S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spans="3:32" x14ac:dyDescent="0.25"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4"/>
      <c r="R103" s="13"/>
      <c r="S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spans="3:32" x14ac:dyDescent="0.25"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4"/>
      <c r="R104" s="13"/>
      <c r="S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spans="3:32" x14ac:dyDescent="0.25"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4"/>
      <c r="R105" s="13"/>
      <c r="S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spans="3:32" x14ac:dyDescent="0.25"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4"/>
      <c r="R106" s="13"/>
      <c r="S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spans="3:32" x14ac:dyDescent="0.25"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4"/>
      <c r="R107" s="13"/>
      <c r="S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spans="3:32" x14ac:dyDescent="0.25"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4"/>
      <c r="R108" s="13"/>
      <c r="S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spans="3:32" x14ac:dyDescent="0.25"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4"/>
      <c r="R109" s="13"/>
      <c r="S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spans="3:32" x14ac:dyDescent="0.25"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4"/>
      <c r="R110" s="13"/>
      <c r="S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spans="3:32" x14ac:dyDescent="0.25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2"/>
      <c r="R111" s="11"/>
      <c r="S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3:32" x14ac:dyDescent="0.25"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4"/>
      <c r="R112" s="13"/>
      <c r="S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spans="3:31" x14ac:dyDescent="0.25"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4"/>
      <c r="R113" s="13"/>
      <c r="S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spans="3:31" x14ac:dyDescent="0.25"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4"/>
      <c r="R114" s="13"/>
      <c r="S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spans="3:31" x14ac:dyDescent="0.25"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4"/>
      <c r="R115" s="13"/>
      <c r="S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spans="3:31" x14ac:dyDescent="0.25"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4"/>
      <c r="R116" s="13"/>
      <c r="S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spans="3:31" x14ac:dyDescent="0.25"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4"/>
      <c r="R117" s="13"/>
      <c r="S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spans="3:31" x14ac:dyDescent="0.25"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4"/>
      <c r="R118" s="13"/>
      <c r="S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spans="3:31" x14ac:dyDescent="0.25"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4"/>
      <c r="R119" s="13"/>
      <c r="S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spans="3:31" x14ac:dyDescent="0.25"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3"/>
      <c r="S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spans="3:31" x14ac:dyDescent="0.25"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4"/>
      <c r="R121" s="13"/>
      <c r="S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spans="3:31" x14ac:dyDescent="0.25"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4"/>
      <c r="R122" s="13"/>
      <c r="S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spans="3:31" x14ac:dyDescent="0.25"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4"/>
      <c r="R123" s="13"/>
      <c r="S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spans="3:31" x14ac:dyDescent="0.25">
      <c r="C124" s="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1"/>
      <c r="S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3:31" x14ac:dyDescent="0.25"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2"/>
      <c r="R125" s="13"/>
      <c r="S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spans="3:31" x14ac:dyDescent="0.25"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4"/>
      <c r="R126" s="13"/>
      <c r="S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spans="3:31" x14ac:dyDescent="0.25"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4"/>
      <c r="R127" s="13"/>
      <c r="S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spans="3:31" x14ac:dyDescent="0.25"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4"/>
      <c r="R128" s="13"/>
      <c r="S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spans="4:31" x14ac:dyDescent="0.25"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4"/>
      <c r="R129" s="13"/>
      <c r="S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spans="4:31" x14ac:dyDescent="0.25"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4"/>
      <c r="R130" s="13"/>
      <c r="S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V49"/>
  <sheetViews>
    <sheetView showGridLines="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O11" sqref="O11"/>
    </sheetView>
  </sheetViews>
  <sheetFormatPr baseColWidth="10" defaultRowHeight="19" x14ac:dyDescent="0.25"/>
  <cols>
    <col min="1" max="1" width="10.83203125" style="2"/>
    <col min="2" max="2" width="25" style="2" customWidth="1"/>
    <col min="3" max="16384" width="10.83203125" style="2"/>
  </cols>
  <sheetData>
    <row r="3" spans="2:22" x14ac:dyDescent="0.25">
      <c r="C3" s="2" t="s">
        <v>106</v>
      </c>
      <c r="D3" s="2" t="s">
        <v>105</v>
      </c>
      <c r="E3" s="2" t="s">
        <v>104</v>
      </c>
      <c r="F3" s="2" t="s">
        <v>103</v>
      </c>
      <c r="G3" s="50"/>
      <c r="H3" s="2" t="s">
        <v>106</v>
      </c>
      <c r="I3" s="2" t="s">
        <v>105</v>
      </c>
      <c r="J3" s="2" t="s">
        <v>104</v>
      </c>
      <c r="K3" s="2" t="s">
        <v>103</v>
      </c>
      <c r="L3" s="46"/>
      <c r="M3" s="2" t="s">
        <v>106</v>
      </c>
      <c r="N3" s="2" t="s">
        <v>105</v>
      </c>
      <c r="O3" s="2" t="s">
        <v>104</v>
      </c>
      <c r="P3" s="2" t="s">
        <v>103</v>
      </c>
      <c r="Q3" s="46"/>
      <c r="R3" s="2" t="s">
        <v>106</v>
      </c>
      <c r="S3" s="2" t="s">
        <v>105</v>
      </c>
      <c r="T3" s="2" t="s">
        <v>104</v>
      </c>
      <c r="U3" s="2" t="s">
        <v>103</v>
      </c>
      <c r="V3" s="46"/>
    </row>
    <row r="4" spans="2:22" x14ac:dyDescent="0.25">
      <c r="B4" s="2" t="s">
        <v>9</v>
      </c>
      <c r="C4" s="7" t="s">
        <v>33</v>
      </c>
      <c r="D4" s="7" t="s">
        <v>32</v>
      </c>
      <c r="E4" s="7" t="s">
        <v>31</v>
      </c>
      <c r="F4" s="7" t="s">
        <v>30</v>
      </c>
      <c r="G4" s="45" t="s">
        <v>145</v>
      </c>
      <c r="H4" s="7" t="s">
        <v>29</v>
      </c>
      <c r="I4" s="7" t="s">
        <v>28</v>
      </c>
      <c r="J4" s="7" t="s">
        <v>27</v>
      </c>
      <c r="K4" s="7" t="s">
        <v>26</v>
      </c>
      <c r="L4" s="45" t="s">
        <v>146</v>
      </c>
      <c r="M4" s="7" t="s">
        <v>25</v>
      </c>
      <c r="N4" s="7" t="s">
        <v>24</v>
      </c>
      <c r="O4" s="7" t="s">
        <v>23</v>
      </c>
      <c r="P4" s="7" t="s">
        <v>13</v>
      </c>
      <c r="Q4" s="45" t="s">
        <v>147</v>
      </c>
      <c r="R4" s="7" t="s">
        <v>14</v>
      </c>
      <c r="S4" s="7" t="s">
        <v>15</v>
      </c>
      <c r="T4" s="7" t="s">
        <v>16</v>
      </c>
      <c r="U4" s="7" t="s">
        <v>17</v>
      </c>
      <c r="V4" s="45" t="s">
        <v>124</v>
      </c>
    </row>
    <row r="5" spans="2:22" x14ac:dyDescent="0.25">
      <c r="B5" s="1" t="s">
        <v>130</v>
      </c>
      <c r="G5" s="46"/>
      <c r="L5" s="46"/>
      <c r="Q5" s="46"/>
      <c r="V5" s="46"/>
    </row>
    <row r="6" spans="2:22" x14ac:dyDescent="0.25">
      <c r="B6" s="1" t="s">
        <v>37</v>
      </c>
      <c r="C6" s="1">
        <v>1038</v>
      </c>
      <c r="D6" s="1">
        <v>1327</v>
      </c>
      <c r="E6" s="1">
        <v>1342</v>
      </c>
      <c r="F6" s="1">
        <v>1532</v>
      </c>
      <c r="G6" s="46">
        <f>SUM(C6:F6)</f>
        <v>5239</v>
      </c>
      <c r="H6" s="1">
        <v>1071</v>
      </c>
      <c r="I6" s="1">
        <v>1405</v>
      </c>
      <c r="J6" s="1">
        <v>1434</v>
      </c>
      <c r="K6" s="1">
        <v>1526</v>
      </c>
      <c r="L6" s="46">
        <f>SUM(H6:K6)</f>
        <v>5436</v>
      </c>
      <c r="M6" s="1">
        <v>1241</v>
      </c>
      <c r="N6" s="1">
        <v>1212</v>
      </c>
      <c r="O6" s="1">
        <v>1359</v>
      </c>
      <c r="P6" s="1">
        <v>1371</v>
      </c>
      <c r="Q6" s="46">
        <f>SUM(M6:P6)</f>
        <v>5183</v>
      </c>
      <c r="R6" s="1">
        <v>1071</v>
      </c>
      <c r="S6" s="1">
        <v>1031</v>
      </c>
      <c r="T6" s="1"/>
      <c r="U6" s="1"/>
      <c r="V6" s="46">
        <f>SUM(R6:U6)</f>
        <v>2102</v>
      </c>
    </row>
    <row r="7" spans="2:22" x14ac:dyDescent="0.25">
      <c r="B7" s="22" t="s">
        <v>131</v>
      </c>
      <c r="C7" s="22"/>
      <c r="D7" s="22"/>
      <c r="E7" s="22"/>
      <c r="F7" s="22"/>
      <c r="G7" s="47"/>
      <c r="H7" s="22">
        <f t="shared" ref="H7:V7" si="0">(H6-C6)/C6</f>
        <v>3.1791907514450865E-2</v>
      </c>
      <c r="I7" s="22">
        <f t="shared" si="0"/>
        <v>5.8779201205727202E-2</v>
      </c>
      <c r="J7" s="22">
        <f t="shared" si="0"/>
        <v>6.8554396423248884E-2</v>
      </c>
      <c r="K7" s="22">
        <f t="shared" si="0"/>
        <v>-3.9164490861618795E-3</v>
      </c>
      <c r="L7" s="47">
        <f t="shared" si="0"/>
        <v>3.7602595915251003E-2</v>
      </c>
      <c r="M7" s="22">
        <f t="shared" si="0"/>
        <v>0.15873015873015872</v>
      </c>
      <c r="N7" s="22">
        <f t="shared" si="0"/>
        <v>-0.13736654804270462</v>
      </c>
      <c r="O7" s="22">
        <f t="shared" si="0"/>
        <v>-5.2301255230125521E-2</v>
      </c>
      <c r="P7" s="22">
        <f t="shared" si="0"/>
        <v>-0.10157273918741809</v>
      </c>
      <c r="Q7" s="47">
        <f t="shared" si="0"/>
        <v>-4.6541574687270049E-2</v>
      </c>
      <c r="R7" s="22">
        <f t="shared" si="0"/>
        <v>-0.13698630136986301</v>
      </c>
      <c r="S7" s="22">
        <f t="shared" si="0"/>
        <v>-0.14933993399339934</v>
      </c>
      <c r="T7" s="22">
        <f t="shared" si="0"/>
        <v>-1</v>
      </c>
      <c r="U7" s="22">
        <f t="shared" si="0"/>
        <v>-1</v>
      </c>
      <c r="V7" s="47">
        <f t="shared" si="0"/>
        <v>-0.59444337256415203</v>
      </c>
    </row>
    <row r="8" spans="2:22" x14ac:dyDescent="0.25">
      <c r="B8" s="22" t="s">
        <v>156</v>
      </c>
      <c r="C8" s="22"/>
      <c r="D8" s="22"/>
      <c r="E8" s="22"/>
      <c r="F8" s="22"/>
      <c r="G8" s="47"/>
      <c r="H8" s="22"/>
      <c r="I8" s="22"/>
      <c r="J8" s="22"/>
      <c r="K8" s="22"/>
      <c r="L8" s="47"/>
      <c r="M8" s="22"/>
      <c r="N8" s="22"/>
      <c r="O8" s="22"/>
      <c r="P8" s="22"/>
      <c r="Q8" s="47"/>
      <c r="R8" s="22"/>
      <c r="S8" s="22">
        <v>-0.08</v>
      </c>
      <c r="T8" s="22"/>
      <c r="U8" s="22"/>
      <c r="V8" s="47"/>
    </row>
    <row r="9" spans="2:22" x14ac:dyDescent="0.25">
      <c r="B9" s="32" t="s">
        <v>136</v>
      </c>
      <c r="C9" s="32">
        <v>-677</v>
      </c>
      <c r="D9" s="32">
        <v>-800</v>
      </c>
      <c r="E9" s="32">
        <v>-752</v>
      </c>
      <c r="F9" s="32">
        <v>-917</v>
      </c>
      <c r="G9" s="48">
        <f>SUM(C9:F9)</f>
        <v>-3146</v>
      </c>
      <c r="H9" s="32">
        <v>-653</v>
      </c>
      <c r="I9" s="32">
        <v>-914</v>
      </c>
      <c r="J9" s="32">
        <v>-868</v>
      </c>
      <c r="K9" s="32">
        <v>-923</v>
      </c>
      <c r="L9" s="48">
        <f>SUM(H9:K9)</f>
        <v>-3358</v>
      </c>
      <c r="M9" s="32">
        <v>-743</v>
      </c>
      <c r="N9" s="32">
        <v>-760</v>
      </c>
      <c r="O9" s="32">
        <v>-798</v>
      </c>
      <c r="P9" s="32">
        <v>-914</v>
      </c>
      <c r="Q9" s="48">
        <f>SUM(M9:P9)</f>
        <v>-3215</v>
      </c>
      <c r="R9" s="32">
        <v>-697</v>
      </c>
      <c r="S9" s="32">
        <v>-670</v>
      </c>
      <c r="T9" s="32"/>
      <c r="U9" s="32"/>
      <c r="V9" s="48">
        <f>SUM(R9:U9)</f>
        <v>-1367</v>
      </c>
    </row>
    <row r="10" spans="2:22" x14ac:dyDescent="0.25">
      <c r="B10" s="1" t="s">
        <v>137</v>
      </c>
      <c r="C10" s="1">
        <f>C6+C9</f>
        <v>361</v>
      </c>
      <c r="D10" s="1">
        <f>D6+D9</f>
        <v>527</v>
      </c>
      <c r="E10" s="1">
        <f>E6+E9</f>
        <v>590</v>
      </c>
      <c r="F10" s="1">
        <f>F6+F9</f>
        <v>615</v>
      </c>
      <c r="G10" s="46">
        <f>SUM(C10:F10)</f>
        <v>2093</v>
      </c>
      <c r="H10" s="1">
        <f>H6+H9</f>
        <v>418</v>
      </c>
      <c r="I10" s="1">
        <f>I6+I9</f>
        <v>491</v>
      </c>
      <c r="J10" s="1">
        <f>J6+J9</f>
        <v>566</v>
      </c>
      <c r="K10" s="1">
        <f>K6+K9</f>
        <v>603</v>
      </c>
      <c r="L10" s="46">
        <f>SUM(H10:K10)</f>
        <v>2078</v>
      </c>
      <c r="M10" s="1">
        <f>M6+M9</f>
        <v>498</v>
      </c>
      <c r="N10" s="1">
        <f>N6+N9</f>
        <v>452</v>
      </c>
      <c r="O10" s="1">
        <f>O6+O9</f>
        <v>561</v>
      </c>
      <c r="P10" s="1">
        <f>P6+P9</f>
        <v>457</v>
      </c>
      <c r="Q10" s="46">
        <f>SUM(M10:P10)</f>
        <v>1968</v>
      </c>
      <c r="R10" s="1">
        <f>R6+R9</f>
        <v>374</v>
      </c>
      <c r="S10" s="1">
        <f>S6+S9</f>
        <v>361</v>
      </c>
      <c r="T10" s="1">
        <f>T6+T9</f>
        <v>0</v>
      </c>
      <c r="U10" s="1">
        <f>U6+U9</f>
        <v>0</v>
      </c>
      <c r="V10" s="46">
        <f>SUM(R10:U10)</f>
        <v>735</v>
      </c>
    </row>
    <row r="11" spans="2:22" x14ac:dyDescent="0.25">
      <c r="B11" s="22" t="s">
        <v>138</v>
      </c>
      <c r="C11" s="22">
        <v>0.35</v>
      </c>
      <c r="D11" s="22">
        <v>0.4</v>
      </c>
      <c r="E11" s="22">
        <v>0.44</v>
      </c>
      <c r="F11" s="22">
        <v>0.4</v>
      </c>
      <c r="G11" s="47">
        <f>G10/G6</f>
        <v>0.39950372208436724</v>
      </c>
      <c r="H11" s="22">
        <v>0.39</v>
      </c>
      <c r="I11" s="22">
        <v>0.35</v>
      </c>
      <c r="J11" s="22">
        <v>0.39</v>
      </c>
      <c r="K11" s="22">
        <v>0.4</v>
      </c>
      <c r="L11" s="47">
        <f>L10/L6</f>
        <v>0.38226637233259747</v>
      </c>
      <c r="M11" s="22">
        <v>0.4</v>
      </c>
      <c r="N11" s="22">
        <v>0.37</v>
      </c>
      <c r="O11" s="22">
        <v>0.41</v>
      </c>
      <c r="P11" s="22">
        <v>0.33</v>
      </c>
      <c r="Q11" s="47">
        <f>Q10/Q6</f>
        <v>0.37970287478294423</v>
      </c>
      <c r="R11" s="22">
        <v>0.35</v>
      </c>
      <c r="S11" s="22">
        <v>0.35</v>
      </c>
      <c r="T11" s="22"/>
      <c r="U11" s="22"/>
      <c r="V11" s="47">
        <f>V10/V6</f>
        <v>0.34966698382492861</v>
      </c>
    </row>
    <row r="12" spans="2:22" x14ac:dyDescent="0.25">
      <c r="B12" s="32" t="s">
        <v>139</v>
      </c>
      <c r="C12" s="32">
        <v>0</v>
      </c>
      <c r="D12" s="32">
        <v>0</v>
      </c>
      <c r="E12" s="32">
        <v>0</v>
      </c>
      <c r="F12" s="32">
        <v>0</v>
      </c>
      <c r="G12" s="48">
        <f t="shared" ref="G12:G19" si="1">SUM(C12:F12)</f>
        <v>0</v>
      </c>
      <c r="H12" s="32">
        <v>0</v>
      </c>
      <c r="I12" s="32">
        <v>0</v>
      </c>
      <c r="J12" s="32">
        <v>0</v>
      </c>
      <c r="K12" s="32">
        <v>0</v>
      </c>
      <c r="L12" s="48">
        <f t="shared" ref="L12:L19" si="2">SUM(H12:K12)</f>
        <v>0</v>
      </c>
      <c r="M12" s="32">
        <v>0</v>
      </c>
      <c r="N12" s="32">
        <v>0</v>
      </c>
      <c r="O12" s="32">
        <v>0</v>
      </c>
      <c r="P12" s="32">
        <v>0</v>
      </c>
      <c r="Q12" s="48">
        <f t="shared" ref="Q12:Q19" si="3">SUM(M12:P12)</f>
        <v>0</v>
      </c>
      <c r="R12" s="32">
        <v>0</v>
      </c>
      <c r="S12" s="32">
        <v>0</v>
      </c>
      <c r="T12" s="32"/>
      <c r="U12" s="32"/>
      <c r="V12" s="48">
        <f t="shared" ref="V12:V19" si="4">SUM(R12:U12)</f>
        <v>0</v>
      </c>
    </row>
    <row r="13" spans="2:22" x14ac:dyDescent="0.25">
      <c r="B13" s="1" t="s">
        <v>140</v>
      </c>
      <c r="C13" s="1">
        <f t="shared" ref="C13:P13" si="5">C10+C12</f>
        <v>361</v>
      </c>
      <c r="D13" s="1">
        <f t="shared" si="5"/>
        <v>527</v>
      </c>
      <c r="E13" s="1">
        <f t="shared" si="5"/>
        <v>590</v>
      </c>
      <c r="F13" s="1">
        <f t="shared" si="5"/>
        <v>615</v>
      </c>
      <c r="G13" s="46">
        <f t="shared" si="1"/>
        <v>2093</v>
      </c>
      <c r="H13" s="1">
        <f t="shared" si="5"/>
        <v>418</v>
      </c>
      <c r="I13" s="1">
        <f t="shared" si="5"/>
        <v>491</v>
      </c>
      <c r="J13" s="1">
        <f t="shared" si="5"/>
        <v>566</v>
      </c>
      <c r="K13" s="1">
        <f t="shared" si="5"/>
        <v>603</v>
      </c>
      <c r="L13" s="46">
        <f t="shared" si="2"/>
        <v>2078</v>
      </c>
      <c r="M13" s="1">
        <f t="shared" si="5"/>
        <v>498</v>
      </c>
      <c r="N13" s="1">
        <f t="shared" si="5"/>
        <v>452</v>
      </c>
      <c r="O13" s="1">
        <f t="shared" si="5"/>
        <v>561</v>
      </c>
      <c r="P13" s="1">
        <f t="shared" si="5"/>
        <v>457</v>
      </c>
      <c r="Q13" s="46">
        <f t="shared" si="3"/>
        <v>1968</v>
      </c>
      <c r="R13" s="1">
        <f>R10+R12</f>
        <v>374</v>
      </c>
      <c r="S13" s="1">
        <f t="shared" ref="S13:U13" si="6">S10+S12</f>
        <v>361</v>
      </c>
      <c r="T13" s="1">
        <f t="shared" si="6"/>
        <v>0</v>
      </c>
      <c r="U13" s="1">
        <f t="shared" si="6"/>
        <v>0</v>
      </c>
      <c r="V13" s="46">
        <f t="shared" si="4"/>
        <v>735</v>
      </c>
    </row>
    <row r="14" spans="2:22" x14ac:dyDescent="0.25">
      <c r="B14" s="32" t="s">
        <v>141</v>
      </c>
      <c r="C14" s="32">
        <v>-2</v>
      </c>
      <c r="D14" s="32">
        <v>-31</v>
      </c>
      <c r="E14" s="32">
        <v>-40</v>
      </c>
      <c r="F14" s="32">
        <v>-4</v>
      </c>
      <c r="G14" s="48">
        <f t="shared" si="1"/>
        <v>-77</v>
      </c>
      <c r="H14" s="32">
        <v>0</v>
      </c>
      <c r="I14" s="32">
        <v>0</v>
      </c>
      <c r="J14" s="32">
        <v>0</v>
      </c>
      <c r="K14" s="32">
        <v>-8</v>
      </c>
      <c r="L14" s="48">
        <f t="shared" si="2"/>
        <v>-8</v>
      </c>
      <c r="M14" s="32">
        <v>-7</v>
      </c>
      <c r="N14" s="32">
        <v>-5</v>
      </c>
      <c r="O14" s="32">
        <v>-10</v>
      </c>
      <c r="P14" s="32">
        <v>0</v>
      </c>
      <c r="Q14" s="48">
        <f t="shared" si="3"/>
        <v>-22</v>
      </c>
      <c r="R14" s="32">
        <v>-6</v>
      </c>
      <c r="S14" s="32">
        <v>0</v>
      </c>
      <c r="T14" s="32"/>
      <c r="U14" s="32"/>
      <c r="V14" s="48">
        <f t="shared" si="4"/>
        <v>-6</v>
      </c>
    </row>
    <row r="15" spans="2:22" x14ac:dyDescent="0.25">
      <c r="B15" s="1" t="s">
        <v>142</v>
      </c>
      <c r="C15" s="1">
        <f t="shared" ref="C15:P15" si="7">SUM(C13:C14)</f>
        <v>359</v>
      </c>
      <c r="D15" s="1">
        <f t="shared" si="7"/>
        <v>496</v>
      </c>
      <c r="E15" s="1">
        <f t="shared" si="7"/>
        <v>550</v>
      </c>
      <c r="F15" s="1">
        <f t="shared" si="7"/>
        <v>611</v>
      </c>
      <c r="G15" s="46">
        <f t="shared" si="1"/>
        <v>2016</v>
      </c>
      <c r="H15" s="1">
        <f t="shared" si="7"/>
        <v>418</v>
      </c>
      <c r="I15" s="1">
        <f t="shared" si="7"/>
        <v>491</v>
      </c>
      <c r="J15" s="1">
        <f t="shared" si="7"/>
        <v>566</v>
      </c>
      <c r="K15" s="1">
        <f t="shared" si="7"/>
        <v>595</v>
      </c>
      <c r="L15" s="46">
        <f t="shared" si="2"/>
        <v>2070</v>
      </c>
      <c r="M15" s="1">
        <f t="shared" si="7"/>
        <v>491</v>
      </c>
      <c r="N15" s="1">
        <f t="shared" si="7"/>
        <v>447</v>
      </c>
      <c r="O15" s="1">
        <f t="shared" si="7"/>
        <v>551</v>
      </c>
      <c r="P15" s="1">
        <f t="shared" si="7"/>
        <v>457</v>
      </c>
      <c r="Q15" s="46">
        <f t="shared" si="3"/>
        <v>1946</v>
      </c>
      <c r="R15" s="1">
        <f>SUM(R13:R14)</f>
        <v>368</v>
      </c>
      <c r="S15" s="1">
        <f t="shared" ref="S15:U15" si="8">SUM(S13:S14)</f>
        <v>361</v>
      </c>
      <c r="T15" s="1">
        <f t="shared" si="8"/>
        <v>0</v>
      </c>
      <c r="U15" s="1">
        <f t="shared" si="8"/>
        <v>0</v>
      </c>
      <c r="V15" s="46">
        <f t="shared" si="4"/>
        <v>729</v>
      </c>
    </row>
    <row r="16" spans="2:22" x14ac:dyDescent="0.25">
      <c r="B16" s="32" t="s">
        <v>143</v>
      </c>
      <c r="C16" s="32">
        <v>0</v>
      </c>
      <c r="D16" s="32">
        <v>0</v>
      </c>
      <c r="E16" s="32">
        <v>0</v>
      </c>
      <c r="F16" s="32">
        <v>0</v>
      </c>
      <c r="G16" s="48">
        <f t="shared" si="1"/>
        <v>0</v>
      </c>
      <c r="H16" s="32">
        <v>0</v>
      </c>
      <c r="I16" s="32">
        <v>0</v>
      </c>
      <c r="J16" s="32">
        <v>0</v>
      </c>
      <c r="K16" s="32">
        <v>0</v>
      </c>
      <c r="L16" s="48">
        <f t="shared" si="2"/>
        <v>0</v>
      </c>
      <c r="M16" s="32">
        <v>0</v>
      </c>
      <c r="N16" s="32">
        <v>0</v>
      </c>
      <c r="O16" s="32">
        <v>0</v>
      </c>
      <c r="P16" s="32">
        <v>0</v>
      </c>
      <c r="Q16" s="48">
        <f t="shared" si="3"/>
        <v>0</v>
      </c>
      <c r="R16" s="32">
        <v>0</v>
      </c>
      <c r="S16" s="32">
        <v>0</v>
      </c>
      <c r="T16" s="32"/>
      <c r="U16" s="32"/>
      <c r="V16" s="48">
        <f t="shared" si="4"/>
        <v>0</v>
      </c>
    </row>
    <row r="17" spans="2:22" x14ac:dyDescent="0.25">
      <c r="B17" s="2" t="s">
        <v>47</v>
      </c>
      <c r="C17" s="2">
        <f t="shared" ref="C17:P17" si="9">SUM(C15:C16)</f>
        <v>359</v>
      </c>
      <c r="D17" s="2">
        <f t="shared" si="9"/>
        <v>496</v>
      </c>
      <c r="E17" s="2">
        <f t="shared" si="9"/>
        <v>550</v>
      </c>
      <c r="F17" s="2">
        <f t="shared" si="9"/>
        <v>611</v>
      </c>
      <c r="G17" s="46">
        <f t="shared" si="1"/>
        <v>2016</v>
      </c>
      <c r="H17" s="2">
        <f t="shared" si="9"/>
        <v>418</v>
      </c>
      <c r="I17" s="2">
        <f t="shared" si="9"/>
        <v>491</v>
      </c>
      <c r="J17" s="2">
        <f t="shared" si="9"/>
        <v>566</v>
      </c>
      <c r="K17" s="2">
        <f t="shared" si="9"/>
        <v>595</v>
      </c>
      <c r="L17" s="46">
        <f t="shared" si="2"/>
        <v>2070</v>
      </c>
      <c r="M17" s="2">
        <f t="shared" si="9"/>
        <v>491</v>
      </c>
      <c r="N17" s="2">
        <f t="shared" si="9"/>
        <v>447</v>
      </c>
      <c r="O17" s="2">
        <f t="shared" si="9"/>
        <v>551</v>
      </c>
      <c r="P17" s="2">
        <f t="shared" si="9"/>
        <v>457</v>
      </c>
      <c r="Q17" s="46">
        <f t="shared" si="3"/>
        <v>1946</v>
      </c>
      <c r="R17" s="2">
        <f>SUM(R15:R16)</f>
        <v>368</v>
      </c>
      <c r="S17" s="2">
        <f t="shared" ref="S17:U17" si="10">SUM(S15:S16)</f>
        <v>361</v>
      </c>
      <c r="T17" s="2">
        <f t="shared" si="10"/>
        <v>0</v>
      </c>
      <c r="U17" s="2">
        <f t="shared" si="10"/>
        <v>0</v>
      </c>
      <c r="V17" s="46">
        <f t="shared" si="4"/>
        <v>729</v>
      </c>
    </row>
    <row r="18" spans="2:22" x14ac:dyDescent="0.25">
      <c r="B18" s="32" t="s">
        <v>48</v>
      </c>
      <c r="C18" s="32">
        <v>0</v>
      </c>
      <c r="D18" s="32">
        <v>0</v>
      </c>
      <c r="E18" s="32">
        <v>0</v>
      </c>
      <c r="F18" s="32">
        <v>0</v>
      </c>
      <c r="G18" s="48">
        <f t="shared" si="1"/>
        <v>0</v>
      </c>
      <c r="H18" s="32">
        <v>0</v>
      </c>
      <c r="I18" s="32">
        <v>0</v>
      </c>
      <c r="J18" s="32">
        <v>0</v>
      </c>
      <c r="K18" s="32">
        <v>0</v>
      </c>
      <c r="L18" s="48">
        <f t="shared" si="2"/>
        <v>0</v>
      </c>
      <c r="M18" s="32">
        <v>0</v>
      </c>
      <c r="N18" s="32">
        <v>0</v>
      </c>
      <c r="O18" s="32">
        <v>0</v>
      </c>
      <c r="P18" s="32">
        <v>0</v>
      </c>
      <c r="Q18" s="48">
        <f t="shared" si="3"/>
        <v>0</v>
      </c>
      <c r="R18" s="32">
        <v>0</v>
      </c>
      <c r="S18" s="32">
        <v>0</v>
      </c>
      <c r="T18" s="32"/>
      <c r="U18" s="32"/>
      <c r="V18" s="48">
        <f t="shared" si="4"/>
        <v>0</v>
      </c>
    </row>
    <row r="19" spans="2:22" ht="20" thickBot="1" x14ac:dyDescent="0.3">
      <c r="B19" s="44" t="s">
        <v>49</v>
      </c>
      <c r="C19" s="44">
        <f t="shared" ref="C19:P19" si="11">SUM(C17:C18)</f>
        <v>359</v>
      </c>
      <c r="D19" s="44">
        <f t="shared" si="11"/>
        <v>496</v>
      </c>
      <c r="E19" s="44">
        <f t="shared" si="11"/>
        <v>550</v>
      </c>
      <c r="F19" s="44">
        <f t="shared" si="11"/>
        <v>611</v>
      </c>
      <c r="G19" s="49">
        <f t="shared" si="1"/>
        <v>2016</v>
      </c>
      <c r="H19" s="44">
        <f t="shared" si="11"/>
        <v>418</v>
      </c>
      <c r="I19" s="44">
        <f t="shared" si="11"/>
        <v>491</v>
      </c>
      <c r="J19" s="44">
        <f t="shared" si="11"/>
        <v>566</v>
      </c>
      <c r="K19" s="44">
        <f t="shared" si="11"/>
        <v>595</v>
      </c>
      <c r="L19" s="49">
        <f t="shared" si="2"/>
        <v>2070</v>
      </c>
      <c r="M19" s="44">
        <f t="shared" si="11"/>
        <v>491</v>
      </c>
      <c r="N19" s="44">
        <f t="shared" si="11"/>
        <v>447</v>
      </c>
      <c r="O19" s="44">
        <f t="shared" si="11"/>
        <v>551</v>
      </c>
      <c r="P19" s="44">
        <f t="shared" si="11"/>
        <v>457</v>
      </c>
      <c r="Q19" s="49">
        <f t="shared" si="3"/>
        <v>1946</v>
      </c>
      <c r="R19" s="44">
        <f>SUM(R17:R18)</f>
        <v>368</v>
      </c>
      <c r="S19" s="44">
        <f t="shared" ref="S19:U19" si="12">SUM(S17:S18)</f>
        <v>361</v>
      </c>
      <c r="T19" s="44">
        <f t="shared" si="12"/>
        <v>0</v>
      </c>
      <c r="U19" s="44">
        <f t="shared" si="12"/>
        <v>0</v>
      </c>
      <c r="V19" s="49">
        <f t="shared" si="4"/>
        <v>729</v>
      </c>
    </row>
    <row r="20" spans="2:22" x14ac:dyDescent="0.25">
      <c r="B20" s="1" t="s">
        <v>132</v>
      </c>
      <c r="G20" s="46"/>
      <c r="L20" s="46"/>
      <c r="Q20" s="46"/>
      <c r="V20" s="46"/>
    </row>
    <row r="21" spans="2:22" x14ac:dyDescent="0.25">
      <c r="B21" s="1" t="s">
        <v>37</v>
      </c>
      <c r="C21" s="1">
        <v>1190</v>
      </c>
      <c r="D21" s="1">
        <v>1332</v>
      </c>
      <c r="E21" s="1">
        <v>1524</v>
      </c>
      <c r="F21" s="1">
        <v>1860</v>
      </c>
      <c r="G21" s="46">
        <f>SUM(C21:F21)</f>
        <v>5906</v>
      </c>
      <c r="H21" s="1">
        <v>1498</v>
      </c>
      <c r="I21" s="1">
        <v>1733</v>
      </c>
      <c r="J21" s="1">
        <v>1550</v>
      </c>
      <c r="K21" s="1">
        <v>1769</v>
      </c>
      <c r="L21" s="46">
        <f>SUM(H21:K21)</f>
        <v>6550</v>
      </c>
      <c r="M21" s="1">
        <v>1314</v>
      </c>
      <c r="N21" s="1">
        <v>1597</v>
      </c>
      <c r="O21" s="1">
        <v>1655</v>
      </c>
      <c r="P21" s="1">
        <v>2014</v>
      </c>
      <c r="Q21" s="46">
        <f>SUM(M21:P21)</f>
        <v>6580</v>
      </c>
      <c r="R21" s="1">
        <v>1443</v>
      </c>
      <c r="S21" s="1">
        <v>1693</v>
      </c>
      <c r="T21" s="1"/>
      <c r="U21" s="1"/>
      <c r="V21" s="46">
        <f>SUM(R21:U21)</f>
        <v>3136</v>
      </c>
    </row>
    <row r="22" spans="2:22" x14ac:dyDescent="0.25">
      <c r="B22" s="22" t="s">
        <v>131</v>
      </c>
      <c r="C22" s="22"/>
      <c r="D22" s="22"/>
      <c r="E22" s="22"/>
      <c r="F22" s="22"/>
      <c r="G22" s="47"/>
      <c r="H22" s="22">
        <f t="shared" ref="H22" si="13">(H21-C21)/C21</f>
        <v>0.25882352941176473</v>
      </c>
      <c r="I22" s="22">
        <f t="shared" ref="I22" si="14">(I21-D21)/D21</f>
        <v>0.30105105105105107</v>
      </c>
      <c r="J22" s="22">
        <f t="shared" ref="J22" si="15">(J21-E21)/E21</f>
        <v>1.7060367454068241E-2</v>
      </c>
      <c r="K22" s="22">
        <f t="shared" ref="K22" si="16">(K21-F21)/F21</f>
        <v>-4.8924731182795701E-2</v>
      </c>
      <c r="L22" s="47">
        <f>(L21-G21)/G21</f>
        <v>0.10904165255672198</v>
      </c>
      <c r="M22" s="22">
        <f t="shared" ref="M22" si="17">(M21-H21)/H21</f>
        <v>-0.12283044058744993</v>
      </c>
      <c r="N22" s="22">
        <f t="shared" ref="N22" si="18">(N21-I21)/I21</f>
        <v>-7.8476630121177143E-2</v>
      </c>
      <c r="O22" s="22">
        <f t="shared" ref="O22" si="19">(O21-J21)/J21</f>
        <v>6.7741935483870974E-2</v>
      </c>
      <c r="P22" s="22">
        <f t="shared" ref="P22" si="20">(P21-K21)/K21</f>
        <v>0.13849632560768796</v>
      </c>
      <c r="Q22" s="47">
        <f>(Q21-L21)/L21</f>
        <v>4.5801526717557254E-3</v>
      </c>
      <c r="R22" s="22">
        <f>(R21-M21)/M21</f>
        <v>9.8173515981735154E-2</v>
      </c>
      <c r="S22" s="22">
        <f t="shared" ref="S22" si="21">(S21-N21)/N21</f>
        <v>6.0112711333750783E-2</v>
      </c>
      <c r="T22" s="22">
        <f t="shared" ref="T22" si="22">(T21-O21)/O21</f>
        <v>-1</v>
      </c>
      <c r="U22" s="22">
        <f t="shared" ref="U22" si="23">(U21-P21)/P21</f>
        <v>-1</v>
      </c>
      <c r="V22" s="47">
        <f>(V21-Q21)/Q21</f>
        <v>-0.52340425531914891</v>
      </c>
    </row>
    <row r="23" spans="2:22" x14ac:dyDescent="0.25">
      <c r="B23" s="22" t="s">
        <v>156</v>
      </c>
      <c r="C23" s="22"/>
      <c r="D23" s="22"/>
      <c r="E23" s="22"/>
      <c r="F23" s="22"/>
      <c r="G23" s="47"/>
      <c r="H23" s="22"/>
      <c r="I23" s="22"/>
      <c r="J23" s="22"/>
      <c r="K23" s="22"/>
      <c r="L23" s="47"/>
      <c r="M23" s="22"/>
      <c r="N23" s="22"/>
      <c r="O23" s="22"/>
      <c r="P23" s="22"/>
      <c r="Q23" s="47"/>
      <c r="R23" s="22"/>
      <c r="S23" s="22">
        <v>0.11</v>
      </c>
      <c r="T23" s="22"/>
      <c r="U23" s="22"/>
      <c r="V23" s="47"/>
    </row>
    <row r="24" spans="2:22" x14ac:dyDescent="0.25">
      <c r="B24" s="32" t="s">
        <v>136</v>
      </c>
      <c r="C24" s="32">
        <v>-797</v>
      </c>
      <c r="D24" s="32">
        <v>-914</v>
      </c>
      <c r="E24" s="32">
        <v>-1035</v>
      </c>
      <c r="F24" s="32">
        <v>-1161</v>
      </c>
      <c r="G24" s="48">
        <f>SUM(C24:F24)</f>
        <v>-3907</v>
      </c>
      <c r="H24" s="32">
        <v>-1013</v>
      </c>
      <c r="I24" s="32">
        <v>-1170</v>
      </c>
      <c r="J24" s="32">
        <v>-1085</v>
      </c>
      <c r="K24" s="32">
        <v>-1259</v>
      </c>
      <c r="L24" s="48">
        <f>SUM(H24:K24)</f>
        <v>-4527</v>
      </c>
      <c r="M24" s="32">
        <v>-890</v>
      </c>
      <c r="N24" s="32">
        <v>-1081</v>
      </c>
      <c r="O24" s="32">
        <v>-1065</v>
      </c>
      <c r="P24" s="32">
        <v>-1210</v>
      </c>
      <c r="Q24" s="48">
        <f>SUM(M24:P24)</f>
        <v>-4246</v>
      </c>
      <c r="R24" s="32">
        <v>-908</v>
      </c>
      <c r="S24" s="32">
        <v>-1051</v>
      </c>
      <c r="T24" s="32"/>
      <c r="U24" s="32"/>
      <c r="V24" s="48">
        <f>SUM(R24:U24)</f>
        <v>-1959</v>
      </c>
    </row>
    <row r="25" spans="2:22" x14ac:dyDescent="0.25">
      <c r="B25" s="1" t="s">
        <v>137</v>
      </c>
      <c r="C25" s="1">
        <f>C21+C24</f>
        <v>393</v>
      </c>
      <c r="D25" s="1">
        <f>D21+D24</f>
        <v>418</v>
      </c>
      <c r="E25" s="1">
        <f>E21+E24</f>
        <v>489</v>
      </c>
      <c r="F25" s="1">
        <f>F21+F24</f>
        <v>699</v>
      </c>
      <c r="G25" s="46">
        <f>SUM(C25:F25)</f>
        <v>1999</v>
      </c>
      <c r="H25" s="1">
        <f>H21+H24</f>
        <v>485</v>
      </c>
      <c r="I25" s="1">
        <f>I21+I24</f>
        <v>563</v>
      </c>
      <c r="J25" s="1">
        <f>J21+J24</f>
        <v>465</v>
      </c>
      <c r="K25" s="1">
        <f>K21+K24</f>
        <v>510</v>
      </c>
      <c r="L25" s="46">
        <f>SUM(H25:K25)</f>
        <v>2023</v>
      </c>
      <c r="M25" s="1">
        <f>M21+M24</f>
        <v>424</v>
      </c>
      <c r="N25" s="1">
        <f>N21+N24</f>
        <v>516</v>
      </c>
      <c r="O25" s="1">
        <f>O21+O24</f>
        <v>590</v>
      </c>
      <c r="P25" s="1">
        <f>P21+P24</f>
        <v>804</v>
      </c>
      <c r="Q25" s="46">
        <f>SUM(M25:P25)</f>
        <v>2334</v>
      </c>
      <c r="R25" s="1">
        <f>R21+R24</f>
        <v>535</v>
      </c>
      <c r="S25" s="1">
        <f>S21+S24</f>
        <v>642</v>
      </c>
      <c r="T25" s="1">
        <f>T21+T24</f>
        <v>0</v>
      </c>
      <c r="U25" s="1">
        <f>U21+U24</f>
        <v>0</v>
      </c>
      <c r="V25" s="46">
        <f>SUM(R25:U25)</f>
        <v>1177</v>
      </c>
    </row>
    <row r="26" spans="2:22" x14ac:dyDescent="0.25">
      <c r="B26" s="22" t="s">
        <v>138</v>
      </c>
      <c r="C26" s="22">
        <v>0.33</v>
      </c>
      <c r="D26" s="22">
        <v>0.31</v>
      </c>
      <c r="E26" s="22">
        <v>0.32</v>
      </c>
      <c r="F26" s="22">
        <v>0.38</v>
      </c>
      <c r="G26" s="47">
        <f>G25/G21</f>
        <v>0.33846935320013544</v>
      </c>
      <c r="H26" s="22">
        <v>0.32</v>
      </c>
      <c r="I26" s="22">
        <v>0.32</v>
      </c>
      <c r="J26" s="22">
        <v>0.3</v>
      </c>
      <c r="K26" s="22">
        <v>0.28999999999999998</v>
      </c>
      <c r="L26" s="47">
        <f>L25/L21</f>
        <v>0.30885496183206107</v>
      </c>
      <c r="M26" s="22">
        <v>0.32</v>
      </c>
      <c r="N26" s="22">
        <v>0.32</v>
      </c>
      <c r="O26" s="22">
        <v>0.36</v>
      </c>
      <c r="P26" s="22">
        <v>0.4</v>
      </c>
      <c r="Q26" s="47">
        <f>Q25/Q21</f>
        <v>0.3547112462006079</v>
      </c>
      <c r="R26" s="22">
        <v>0.37</v>
      </c>
      <c r="S26" s="22">
        <v>0.38</v>
      </c>
      <c r="T26" s="22"/>
      <c r="U26" s="22"/>
      <c r="V26" s="47">
        <f>V25/V21</f>
        <v>0.37531887755102039</v>
      </c>
    </row>
    <row r="27" spans="2:22" x14ac:dyDescent="0.25">
      <c r="B27" s="32" t="s">
        <v>139</v>
      </c>
      <c r="C27" s="32">
        <v>0</v>
      </c>
      <c r="D27" s="32">
        <v>0</v>
      </c>
      <c r="E27" s="32">
        <v>0</v>
      </c>
      <c r="F27" s="32">
        <v>0</v>
      </c>
      <c r="G27" s="48">
        <f t="shared" ref="G27:G34" si="24">SUM(C27:F27)</f>
        <v>0</v>
      </c>
      <c r="H27" s="32">
        <v>0</v>
      </c>
      <c r="I27" s="32">
        <v>0</v>
      </c>
      <c r="J27" s="32">
        <v>0</v>
      </c>
      <c r="K27" s="32">
        <v>0</v>
      </c>
      <c r="L27" s="48">
        <f t="shared" ref="L27:L34" si="25">SUM(H27:K27)</f>
        <v>0</v>
      </c>
      <c r="M27" s="32">
        <v>0</v>
      </c>
      <c r="N27" s="32">
        <v>0</v>
      </c>
      <c r="O27" s="32">
        <v>0</v>
      </c>
      <c r="P27" s="32">
        <v>0</v>
      </c>
      <c r="Q27" s="48">
        <f t="shared" ref="Q27:Q34" si="26">SUM(M27:P27)</f>
        <v>0</v>
      </c>
      <c r="R27" s="32">
        <v>0</v>
      </c>
      <c r="S27" s="32">
        <v>0</v>
      </c>
      <c r="T27" s="32"/>
      <c r="U27" s="32"/>
      <c r="V27" s="48">
        <f t="shared" ref="V27:V34" si="27">SUM(R27:U27)</f>
        <v>0</v>
      </c>
    </row>
    <row r="28" spans="2:22" x14ac:dyDescent="0.25">
      <c r="B28" s="1" t="s">
        <v>140</v>
      </c>
      <c r="C28" s="1">
        <f t="shared" ref="C28" si="28">C25+C27</f>
        <v>393</v>
      </c>
      <c r="D28" s="1">
        <f t="shared" ref="D28" si="29">D25+D27</f>
        <v>418</v>
      </c>
      <c r="E28" s="1">
        <f t="shared" ref="E28" si="30">E25+E27</f>
        <v>489</v>
      </c>
      <c r="F28" s="1">
        <f t="shared" ref="F28" si="31">F25+F27</f>
        <v>699</v>
      </c>
      <c r="G28" s="46">
        <f t="shared" si="24"/>
        <v>1999</v>
      </c>
      <c r="H28" s="1">
        <f t="shared" ref="H28" si="32">H25+H27</f>
        <v>485</v>
      </c>
      <c r="I28" s="1">
        <f t="shared" ref="I28" si="33">I25+I27</f>
        <v>563</v>
      </c>
      <c r="J28" s="1">
        <f t="shared" ref="J28" si="34">J25+J27</f>
        <v>465</v>
      </c>
      <c r="K28" s="1">
        <f t="shared" ref="K28" si="35">K25+K27</f>
        <v>510</v>
      </c>
      <c r="L28" s="46">
        <f t="shared" si="25"/>
        <v>2023</v>
      </c>
      <c r="M28" s="1">
        <f t="shared" ref="M28" si="36">M25+M27</f>
        <v>424</v>
      </c>
      <c r="N28" s="1">
        <f t="shared" ref="N28" si="37">N25+N27</f>
        <v>516</v>
      </c>
      <c r="O28" s="1">
        <f t="shared" ref="O28" si="38">O25+O27</f>
        <v>590</v>
      </c>
      <c r="P28" s="1">
        <f t="shared" ref="P28" si="39">P25+P27</f>
        <v>804</v>
      </c>
      <c r="Q28" s="46">
        <f t="shared" si="26"/>
        <v>2334</v>
      </c>
      <c r="R28" s="1">
        <f>R25+R27</f>
        <v>535</v>
      </c>
      <c r="S28" s="1">
        <f t="shared" ref="S28" si="40">S25+S27</f>
        <v>642</v>
      </c>
      <c r="T28" s="1">
        <f t="shared" ref="T28" si="41">T25+T27</f>
        <v>0</v>
      </c>
      <c r="U28" s="1">
        <f t="shared" ref="U28" si="42">U25+U27</f>
        <v>0</v>
      </c>
      <c r="V28" s="46">
        <f t="shared" si="27"/>
        <v>1177</v>
      </c>
    </row>
    <row r="29" spans="2:22" x14ac:dyDescent="0.25">
      <c r="B29" s="32" t="s">
        <v>141</v>
      </c>
      <c r="C29" s="32">
        <v>-3</v>
      </c>
      <c r="D29" s="32">
        <v>-10</v>
      </c>
      <c r="E29" s="32">
        <v>-6</v>
      </c>
      <c r="F29" s="32">
        <v>-1</v>
      </c>
      <c r="G29" s="48">
        <f t="shared" si="24"/>
        <v>-20</v>
      </c>
      <c r="H29" s="32">
        <v>-3</v>
      </c>
      <c r="I29" s="32">
        <v>-4</v>
      </c>
      <c r="J29" s="32">
        <v>-2</v>
      </c>
      <c r="K29" s="32">
        <v>-1</v>
      </c>
      <c r="L29" s="48">
        <f t="shared" si="25"/>
        <v>-10</v>
      </c>
      <c r="M29" s="32">
        <v>-3</v>
      </c>
      <c r="N29" s="32">
        <v>-2</v>
      </c>
      <c r="O29" s="32">
        <v>-1</v>
      </c>
      <c r="P29" s="32">
        <v>-6</v>
      </c>
      <c r="Q29" s="48">
        <f t="shared" si="26"/>
        <v>-12</v>
      </c>
      <c r="R29" s="32">
        <v>0</v>
      </c>
      <c r="S29" s="32">
        <v>-2</v>
      </c>
      <c r="T29" s="32"/>
      <c r="U29" s="32"/>
      <c r="V29" s="48">
        <f t="shared" si="27"/>
        <v>-2</v>
      </c>
    </row>
    <row r="30" spans="2:22" x14ac:dyDescent="0.25">
      <c r="B30" s="1" t="s">
        <v>142</v>
      </c>
      <c r="C30" s="1">
        <f t="shared" ref="C30" si="43">SUM(C28:C29)</f>
        <v>390</v>
      </c>
      <c r="D30" s="1">
        <f t="shared" ref="D30" si="44">SUM(D28:D29)</f>
        <v>408</v>
      </c>
      <c r="E30" s="1">
        <f t="shared" ref="E30" si="45">SUM(E28:E29)</f>
        <v>483</v>
      </c>
      <c r="F30" s="1">
        <f t="shared" ref="F30" si="46">SUM(F28:F29)</f>
        <v>698</v>
      </c>
      <c r="G30" s="46">
        <f t="shared" si="24"/>
        <v>1979</v>
      </c>
      <c r="H30" s="1">
        <f t="shared" ref="H30" si="47">SUM(H28:H29)</f>
        <v>482</v>
      </c>
      <c r="I30" s="1">
        <f t="shared" ref="I30" si="48">SUM(I28:I29)</f>
        <v>559</v>
      </c>
      <c r="J30" s="1">
        <f t="shared" ref="J30" si="49">SUM(J28:J29)</f>
        <v>463</v>
      </c>
      <c r="K30" s="1">
        <f t="shared" ref="K30" si="50">SUM(K28:K29)</f>
        <v>509</v>
      </c>
      <c r="L30" s="46">
        <f t="shared" si="25"/>
        <v>2013</v>
      </c>
      <c r="M30" s="1">
        <f t="shared" ref="M30" si="51">SUM(M28:M29)</f>
        <v>421</v>
      </c>
      <c r="N30" s="1">
        <f t="shared" ref="N30" si="52">SUM(N28:N29)</f>
        <v>514</v>
      </c>
      <c r="O30" s="1">
        <f t="shared" ref="O30" si="53">SUM(O28:O29)</f>
        <v>589</v>
      </c>
      <c r="P30" s="1">
        <f t="shared" ref="P30" si="54">SUM(P28:P29)</f>
        <v>798</v>
      </c>
      <c r="Q30" s="46">
        <f t="shared" si="26"/>
        <v>2322</v>
      </c>
      <c r="R30" s="1">
        <f>SUM(R28:R29)</f>
        <v>535</v>
      </c>
      <c r="S30" s="1">
        <f t="shared" ref="S30" si="55">SUM(S28:S29)</f>
        <v>640</v>
      </c>
      <c r="T30" s="1">
        <f t="shared" ref="T30" si="56">SUM(T28:T29)</f>
        <v>0</v>
      </c>
      <c r="U30" s="1">
        <f t="shared" ref="U30" si="57">SUM(U28:U29)</f>
        <v>0</v>
      </c>
      <c r="V30" s="46">
        <f t="shared" si="27"/>
        <v>1175</v>
      </c>
    </row>
    <row r="31" spans="2:22" x14ac:dyDescent="0.25">
      <c r="B31" s="32" t="s">
        <v>143</v>
      </c>
      <c r="C31" s="32">
        <v>0</v>
      </c>
      <c r="D31" s="32">
        <v>0</v>
      </c>
      <c r="E31" s="32">
        <v>0</v>
      </c>
      <c r="F31" s="32">
        <v>0</v>
      </c>
      <c r="G31" s="48">
        <f t="shared" si="24"/>
        <v>0</v>
      </c>
      <c r="H31" s="32">
        <v>0</v>
      </c>
      <c r="I31" s="32">
        <v>0</v>
      </c>
      <c r="J31" s="32">
        <v>0</v>
      </c>
      <c r="K31" s="32">
        <v>0</v>
      </c>
      <c r="L31" s="48">
        <f t="shared" si="25"/>
        <v>0</v>
      </c>
      <c r="M31" s="32">
        <v>0</v>
      </c>
      <c r="N31" s="32">
        <v>0</v>
      </c>
      <c r="O31" s="32">
        <v>0</v>
      </c>
      <c r="P31" s="32">
        <v>0</v>
      </c>
      <c r="Q31" s="48">
        <f t="shared" si="26"/>
        <v>0</v>
      </c>
      <c r="R31" s="32">
        <v>404</v>
      </c>
      <c r="S31" s="32">
        <v>34</v>
      </c>
      <c r="T31" s="32"/>
      <c r="U31" s="32"/>
      <c r="V31" s="48">
        <f t="shared" si="27"/>
        <v>438</v>
      </c>
    </row>
    <row r="32" spans="2:22" x14ac:dyDescent="0.25">
      <c r="B32" s="2" t="s">
        <v>47</v>
      </c>
      <c r="C32" s="2">
        <f t="shared" ref="C32" si="58">SUM(C30:C31)</f>
        <v>390</v>
      </c>
      <c r="D32" s="2">
        <f t="shared" ref="D32" si="59">SUM(D30:D31)</f>
        <v>408</v>
      </c>
      <c r="E32" s="2">
        <f t="shared" ref="E32" si="60">SUM(E30:E31)</f>
        <v>483</v>
      </c>
      <c r="F32" s="2">
        <f t="shared" ref="F32" si="61">SUM(F30:F31)</f>
        <v>698</v>
      </c>
      <c r="G32" s="46">
        <f t="shared" si="24"/>
        <v>1979</v>
      </c>
      <c r="H32" s="2">
        <f t="shared" ref="H32" si="62">SUM(H30:H31)</f>
        <v>482</v>
      </c>
      <c r="I32" s="2">
        <f t="shared" ref="I32" si="63">SUM(I30:I31)</f>
        <v>559</v>
      </c>
      <c r="J32" s="2">
        <f t="shared" ref="J32" si="64">SUM(J30:J31)</f>
        <v>463</v>
      </c>
      <c r="K32" s="2">
        <f t="shared" ref="K32" si="65">SUM(K30:K31)</f>
        <v>509</v>
      </c>
      <c r="L32" s="46">
        <f t="shared" si="25"/>
        <v>2013</v>
      </c>
      <c r="M32" s="2">
        <f t="shared" ref="M32" si="66">SUM(M30:M31)</f>
        <v>421</v>
      </c>
      <c r="N32" s="2">
        <f t="shared" ref="N32" si="67">SUM(N30:N31)</f>
        <v>514</v>
      </c>
      <c r="O32" s="2">
        <f t="shared" ref="O32" si="68">SUM(O30:O31)</f>
        <v>589</v>
      </c>
      <c r="P32" s="2">
        <f t="shared" ref="P32" si="69">SUM(P30:P31)</f>
        <v>798</v>
      </c>
      <c r="Q32" s="46">
        <f t="shared" si="26"/>
        <v>2322</v>
      </c>
      <c r="R32" s="2">
        <f>SUM(R30:R31)</f>
        <v>939</v>
      </c>
      <c r="S32" s="2">
        <f t="shared" ref="S32" si="70">SUM(S30:S31)</f>
        <v>674</v>
      </c>
      <c r="T32" s="2">
        <f t="shared" ref="T32" si="71">SUM(T30:T31)</f>
        <v>0</v>
      </c>
      <c r="U32" s="2">
        <f t="shared" ref="U32" si="72">SUM(U30:U31)</f>
        <v>0</v>
      </c>
      <c r="V32" s="46">
        <f t="shared" si="27"/>
        <v>1613</v>
      </c>
    </row>
    <row r="33" spans="2:22" x14ac:dyDescent="0.25">
      <c r="B33" s="32" t="s">
        <v>48</v>
      </c>
      <c r="C33" s="32">
        <v>0</v>
      </c>
      <c r="D33" s="32">
        <v>0</v>
      </c>
      <c r="E33" s="32">
        <v>0</v>
      </c>
      <c r="F33" s="32">
        <v>0</v>
      </c>
      <c r="G33" s="48">
        <f t="shared" si="24"/>
        <v>0</v>
      </c>
      <c r="H33" s="32">
        <v>0</v>
      </c>
      <c r="I33" s="32">
        <v>0</v>
      </c>
      <c r="J33" s="32">
        <v>0</v>
      </c>
      <c r="K33" s="32">
        <v>0</v>
      </c>
      <c r="L33" s="48">
        <f t="shared" si="25"/>
        <v>0</v>
      </c>
      <c r="M33" s="32">
        <v>0</v>
      </c>
      <c r="N33" s="32">
        <v>0</v>
      </c>
      <c r="O33" s="32">
        <v>0</v>
      </c>
      <c r="P33" s="32">
        <v>0</v>
      </c>
      <c r="Q33" s="48">
        <f t="shared" si="26"/>
        <v>0</v>
      </c>
      <c r="R33" s="32">
        <v>0</v>
      </c>
      <c r="S33" s="32">
        <v>0</v>
      </c>
      <c r="T33" s="32"/>
      <c r="U33" s="32"/>
      <c r="V33" s="48">
        <f t="shared" si="27"/>
        <v>0</v>
      </c>
    </row>
    <row r="34" spans="2:22" ht="20" thickBot="1" x14ac:dyDescent="0.3">
      <c r="B34" s="44" t="s">
        <v>49</v>
      </c>
      <c r="C34" s="44">
        <f t="shared" ref="C34" si="73">SUM(C32:C33)</f>
        <v>390</v>
      </c>
      <c r="D34" s="44">
        <f t="shared" ref="D34" si="74">SUM(D32:D33)</f>
        <v>408</v>
      </c>
      <c r="E34" s="44">
        <f t="shared" ref="E34" si="75">SUM(E32:E33)</f>
        <v>483</v>
      </c>
      <c r="F34" s="44">
        <f t="shared" ref="F34" si="76">SUM(F32:F33)</f>
        <v>698</v>
      </c>
      <c r="G34" s="49">
        <f t="shared" si="24"/>
        <v>1979</v>
      </c>
      <c r="H34" s="44">
        <f t="shared" ref="H34" si="77">SUM(H32:H33)</f>
        <v>482</v>
      </c>
      <c r="I34" s="44">
        <f t="shared" ref="I34" si="78">SUM(I32:I33)</f>
        <v>559</v>
      </c>
      <c r="J34" s="44">
        <f t="shared" ref="J34" si="79">SUM(J32:J33)</f>
        <v>463</v>
      </c>
      <c r="K34" s="44">
        <f t="shared" ref="K34" si="80">SUM(K32:K33)</f>
        <v>509</v>
      </c>
      <c r="L34" s="49">
        <f t="shared" si="25"/>
        <v>2013</v>
      </c>
      <c r="M34" s="44">
        <f t="shared" ref="M34" si="81">SUM(M32:M33)</f>
        <v>421</v>
      </c>
      <c r="N34" s="44">
        <f t="shared" ref="N34" si="82">SUM(N32:N33)</f>
        <v>514</v>
      </c>
      <c r="O34" s="44">
        <f t="shared" ref="O34" si="83">SUM(O32:O33)</f>
        <v>589</v>
      </c>
      <c r="P34" s="44">
        <f t="shared" ref="P34" si="84">SUM(P32:P33)</f>
        <v>798</v>
      </c>
      <c r="Q34" s="49">
        <f t="shared" si="26"/>
        <v>2322</v>
      </c>
      <c r="R34" s="44">
        <f>SUM(R32:R33)</f>
        <v>939</v>
      </c>
      <c r="S34" s="44">
        <f t="shared" ref="S34" si="85">SUM(S32:S33)</f>
        <v>674</v>
      </c>
      <c r="T34" s="44">
        <f t="shared" ref="T34" si="86">SUM(T32:T33)</f>
        <v>0</v>
      </c>
      <c r="U34" s="44">
        <f t="shared" ref="U34" si="87">SUM(U32:U33)</f>
        <v>0</v>
      </c>
      <c r="V34" s="49">
        <f t="shared" si="27"/>
        <v>1613</v>
      </c>
    </row>
    <row r="35" spans="2:22" x14ac:dyDescent="0.25">
      <c r="B35" s="1" t="s">
        <v>144</v>
      </c>
      <c r="G35" s="46"/>
      <c r="L35" s="46"/>
      <c r="Q35" s="46"/>
      <c r="V35" s="46"/>
    </row>
    <row r="36" spans="2:22" x14ac:dyDescent="0.25">
      <c r="B36" s="1" t="s">
        <v>37</v>
      </c>
      <c r="C36" s="1">
        <v>1099</v>
      </c>
      <c r="D36" s="1">
        <v>1421</v>
      </c>
      <c r="E36" s="1">
        <v>1471</v>
      </c>
      <c r="F36" s="1">
        <v>1733</v>
      </c>
      <c r="G36" s="46">
        <f>SUM(C36:F36)</f>
        <v>5724</v>
      </c>
      <c r="H36" s="1">
        <v>1259</v>
      </c>
      <c r="I36" s="1">
        <v>1595</v>
      </c>
      <c r="J36" s="1">
        <v>1553</v>
      </c>
      <c r="K36" s="1">
        <v>1728</v>
      </c>
      <c r="L36" s="46">
        <f>SUM(H36:K36)</f>
        <v>6135</v>
      </c>
      <c r="M36" s="1">
        <v>1270</v>
      </c>
      <c r="N36" s="1">
        <v>1532</v>
      </c>
      <c r="O36" s="1">
        <v>1681</v>
      </c>
      <c r="P36" s="1">
        <v>1771</v>
      </c>
      <c r="Q36" s="46">
        <f>SUM(M36:P36)</f>
        <v>6254</v>
      </c>
      <c r="R36" s="1">
        <v>1132</v>
      </c>
      <c r="S36" s="1">
        <v>1346</v>
      </c>
      <c r="T36" s="1"/>
      <c r="U36" s="1"/>
      <c r="V36" s="46">
        <f>SUM(R36:U36)</f>
        <v>2478</v>
      </c>
    </row>
    <row r="37" spans="2:22" x14ac:dyDescent="0.25">
      <c r="B37" s="22" t="s">
        <v>131</v>
      </c>
      <c r="C37" s="22"/>
      <c r="D37" s="22"/>
      <c r="E37" s="22"/>
      <c r="F37" s="22"/>
      <c r="G37" s="47"/>
      <c r="H37" s="22">
        <f t="shared" ref="H37" si="88">(H36-C36)/C36</f>
        <v>0.14558689717925385</v>
      </c>
      <c r="I37" s="22">
        <f t="shared" ref="I37" si="89">(I36-D36)/D36</f>
        <v>0.12244897959183673</v>
      </c>
      <c r="J37" s="22">
        <f t="shared" ref="J37" si="90">(J36-E36)/E36</f>
        <v>5.5744391570360298E-2</v>
      </c>
      <c r="K37" s="22">
        <f t="shared" ref="K37" si="91">(K36-F36)/F36</f>
        <v>-2.8851702250432777E-3</v>
      </c>
      <c r="L37" s="47">
        <f>(L36-G36)/G36</f>
        <v>7.1802935010482183E-2</v>
      </c>
      <c r="M37" s="22">
        <f t="shared" ref="M37" si="92">(M36-H36)/H36</f>
        <v>8.737092930897538E-3</v>
      </c>
      <c r="N37" s="22">
        <f t="shared" ref="N37" si="93">(N36-I36)/I36</f>
        <v>-3.9498432601880878E-2</v>
      </c>
      <c r="O37" s="22">
        <f t="shared" ref="O37" si="94">(O36-J36)/J36</f>
        <v>8.24211204121056E-2</v>
      </c>
      <c r="P37" s="22">
        <f t="shared" ref="P37" si="95">(P36-K36)/K36</f>
        <v>2.4884259259259259E-2</v>
      </c>
      <c r="Q37" s="47">
        <f>(Q36-L36)/L36</f>
        <v>1.9396903015484922E-2</v>
      </c>
      <c r="R37" s="22">
        <f>(R36-M36)/M36</f>
        <v>-0.10866141732283464</v>
      </c>
      <c r="S37" s="22">
        <f t="shared" ref="S37" si="96">(S36-N36)/N36</f>
        <v>-0.12140992167101827</v>
      </c>
      <c r="T37" s="22">
        <f t="shared" ref="T37" si="97">(T36-O36)/O36</f>
        <v>-1</v>
      </c>
      <c r="U37" s="22">
        <f t="shared" ref="U37" si="98">(U36-P36)/P36</f>
        <v>-1</v>
      </c>
      <c r="V37" s="47">
        <f>(V36-Q36)/Q36</f>
        <v>-0.60377358490566035</v>
      </c>
    </row>
    <row r="38" spans="2:22" x14ac:dyDescent="0.25">
      <c r="B38" s="22" t="s">
        <v>156</v>
      </c>
      <c r="C38" s="22"/>
      <c r="D38" s="22"/>
      <c r="E38" s="22"/>
      <c r="F38" s="22"/>
      <c r="G38" s="47"/>
      <c r="H38" s="22"/>
      <c r="I38" s="22"/>
      <c r="J38" s="22"/>
      <c r="K38" s="22"/>
      <c r="L38" s="47"/>
      <c r="M38" s="22"/>
      <c r="N38" s="22"/>
      <c r="O38" s="22"/>
      <c r="P38" s="22"/>
      <c r="Q38" s="47"/>
      <c r="R38" s="22"/>
      <c r="S38" s="22">
        <v>-0.03</v>
      </c>
      <c r="T38" s="22"/>
      <c r="U38" s="22"/>
      <c r="V38" s="47"/>
    </row>
    <row r="39" spans="2:22" x14ac:dyDescent="0.25">
      <c r="B39" s="32" t="s">
        <v>136</v>
      </c>
      <c r="C39" s="32">
        <v>-749</v>
      </c>
      <c r="D39" s="32">
        <v>-961</v>
      </c>
      <c r="E39" s="32">
        <v>-946</v>
      </c>
      <c r="F39" s="32">
        <v>-1158</v>
      </c>
      <c r="G39" s="48">
        <f>SUM(C39:F39)</f>
        <v>-3814</v>
      </c>
      <c r="H39" s="32">
        <v>-866</v>
      </c>
      <c r="I39" s="32">
        <v>-1152</v>
      </c>
      <c r="J39" s="32">
        <v>-1091</v>
      </c>
      <c r="K39" s="32">
        <v>-1184</v>
      </c>
      <c r="L39" s="48">
        <f>SUM(H39:K39)</f>
        <v>-4293</v>
      </c>
      <c r="M39" s="32">
        <v>-825</v>
      </c>
      <c r="N39" s="32">
        <v>-978</v>
      </c>
      <c r="O39" s="32">
        <v>-1122</v>
      </c>
      <c r="P39" s="32">
        <v>-1095</v>
      </c>
      <c r="Q39" s="48">
        <f>SUM(M39:P39)</f>
        <v>-4020</v>
      </c>
      <c r="R39" s="32">
        <v>-731</v>
      </c>
      <c r="S39" s="32">
        <v>-877</v>
      </c>
      <c r="T39" s="32"/>
      <c r="U39" s="32"/>
      <c r="V39" s="48">
        <f>SUM(R39:U39)</f>
        <v>-1608</v>
      </c>
    </row>
    <row r="40" spans="2:22" x14ac:dyDescent="0.25">
      <c r="B40" s="1" t="s">
        <v>137</v>
      </c>
      <c r="C40" s="1">
        <f>C36+C39</f>
        <v>350</v>
      </c>
      <c r="D40" s="1">
        <f>D36+D39</f>
        <v>460</v>
      </c>
      <c r="E40" s="1">
        <f>E36+E39</f>
        <v>525</v>
      </c>
      <c r="F40" s="1">
        <f>F36+F39</f>
        <v>575</v>
      </c>
      <c r="G40" s="46">
        <f>SUM(C40:F40)</f>
        <v>1910</v>
      </c>
      <c r="H40" s="1">
        <f>H36+H39</f>
        <v>393</v>
      </c>
      <c r="I40" s="1">
        <f>I36+I39</f>
        <v>443</v>
      </c>
      <c r="J40" s="1">
        <f>J36+J39</f>
        <v>462</v>
      </c>
      <c r="K40" s="1">
        <f>K36+K39</f>
        <v>544</v>
      </c>
      <c r="L40" s="46">
        <f>SUM(H40:K40)</f>
        <v>1842</v>
      </c>
      <c r="M40" s="1">
        <f>M36+M39</f>
        <v>445</v>
      </c>
      <c r="N40" s="1">
        <f>N36+N39</f>
        <v>554</v>
      </c>
      <c r="O40" s="1">
        <f>O36+O39</f>
        <v>559</v>
      </c>
      <c r="P40" s="1">
        <f>P36+P39</f>
        <v>676</v>
      </c>
      <c r="Q40" s="46">
        <f>SUM(M40:P40)</f>
        <v>2234</v>
      </c>
      <c r="R40" s="1">
        <f>R36+R39</f>
        <v>401</v>
      </c>
      <c r="S40" s="1">
        <f>S36+S39</f>
        <v>469</v>
      </c>
      <c r="T40" s="1">
        <f>T36+T39</f>
        <v>0</v>
      </c>
      <c r="U40" s="1">
        <f>U36+U39</f>
        <v>0</v>
      </c>
      <c r="V40" s="46">
        <f>SUM(R40:U40)</f>
        <v>870</v>
      </c>
    </row>
    <row r="41" spans="2:22" x14ac:dyDescent="0.25">
      <c r="B41" s="22" t="s">
        <v>138</v>
      </c>
      <c r="C41" s="22">
        <v>0.32</v>
      </c>
      <c r="D41" s="22">
        <v>0.32</v>
      </c>
      <c r="E41" s="22">
        <v>0.36</v>
      </c>
      <c r="F41" s="22">
        <v>0.33</v>
      </c>
      <c r="G41" s="47">
        <f>G40/G36</f>
        <v>0.33368273934311671</v>
      </c>
      <c r="H41" s="22">
        <v>0.31</v>
      </c>
      <c r="I41" s="22">
        <v>0.28000000000000003</v>
      </c>
      <c r="J41" s="22">
        <v>0.3</v>
      </c>
      <c r="K41" s="22">
        <v>0.31</v>
      </c>
      <c r="L41" s="47">
        <f>L40/L36</f>
        <v>0.30024449877750609</v>
      </c>
      <c r="M41" s="22">
        <v>0.35</v>
      </c>
      <c r="N41" s="22">
        <v>0.36</v>
      </c>
      <c r="O41" s="22">
        <v>0.33</v>
      </c>
      <c r="P41" s="22">
        <v>0.38</v>
      </c>
      <c r="Q41" s="47">
        <f>Q40/Q36</f>
        <v>0.35721138471378316</v>
      </c>
      <c r="R41" s="22">
        <v>0.35</v>
      </c>
      <c r="S41" s="22">
        <v>0.35</v>
      </c>
      <c r="T41" s="22"/>
      <c r="U41" s="22"/>
      <c r="V41" s="47">
        <f>V40/V36</f>
        <v>0.35108958837772397</v>
      </c>
    </row>
    <row r="42" spans="2:22" x14ac:dyDescent="0.25">
      <c r="B42" s="32" t="s">
        <v>139</v>
      </c>
      <c r="C42" s="32">
        <v>0</v>
      </c>
      <c r="D42" s="32">
        <v>0</v>
      </c>
      <c r="E42" s="32">
        <v>0</v>
      </c>
      <c r="F42" s="32">
        <v>0</v>
      </c>
      <c r="G42" s="48">
        <f t="shared" ref="G42:G49" si="99">SUM(C42:F42)</f>
        <v>0</v>
      </c>
      <c r="H42" s="32">
        <v>0</v>
      </c>
      <c r="I42" s="32">
        <v>0</v>
      </c>
      <c r="J42" s="32">
        <v>0</v>
      </c>
      <c r="K42" s="32">
        <v>0</v>
      </c>
      <c r="L42" s="48">
        <f t="shared" ref="L42:L49" si="100">SUM(H42:K42)</f>
        <v>0</v>
      </c>
      <c r="M42" s="32">
        <v>0</v>
      </c>
      <c r="N42" s="32">
        <v>0</v>
      </c>
      <c r="O42" s="32">
        <v>0</v>
      </c>
      <c r="P42" s="32">
        <v>0</v>
      </c>
      <c r="Q42" s="48">
        <f t="shared" ref="Q42:Q49" si="101">SUM(M42:P42)</f>
        <v>0</v>
      </c>
      <c r="R42" s="32">
        <v>0</v>
      </c>
      <c r="S42" s="32">
        <v>0</v>
      </c>
      <c r="T42" s="32"/>
      <c r="U42" s="32"/>
      <c r="V42" s="48">
        <f t="shared" ref="V42:V49" si="102">SUM(R42:U42)</f>
        <v>0</v>
      </c>
    </row>
    <row r="43" spans="2:22" x14ac:dyDescent="0.25">
      <c r="B43" s="1" t="s">
        <v>140</v>
      </c>
      <c r="C43" s="1">
        <f t="shared" ref="C43" si="103">C40+C42</f>
        <v>350</v>
      </c>
      <c r="D43" s="1">
        <f t="shared" ref="D43" si="104">D40+D42</f>
        <v>460</v>
      </c>
      <c r="E43" s="1">
        <f t="shared" ref="E43" si="105">E40+E42</f>
        <v>525</v>
      </c>
      <c r="F43" s="1">
        <f t="shared" ref="F43" si="106">F40+F42</f>
        <v>575</v>
      </c>
      <c r="G43" s="46">
        <f t="shared" si="99"/>
        <v>1910</v>
      </c>
      <c r="H43" s="1">
        <f t="shared" ref="H43" si="107">H40+H42</f>
        <v>393</v>
      </c>
      <c r="I43" s="1">
        <f t="shared" ref="I43" si="108">I40+I42</f>
        <v>443</v>
      </c>
      <c r="J43" s="1">
        <f t="shared" ref="J43" si="109">J40+J42</f>
        <v>462</v>
      </c>
      <c r="K43" s="1">
        <f t="shared" ref="K43" si="110">K40+K42</f>
        <v>544</v>
      </c>
      <c r="L43" s="46">
        <f t="shared" si="100"/>
        <v>1842</v>
      </c>
      <c r="M43" s="1">
        <f t="shared" ref="M43" si="111">M40+M42</f>
        <v>445</v>
      </c>
      <c r="N43" s="1">
        <f t="shared" ref="N43" si="112">N40+N42</f>
        <v>554</v>
      </c>
      <c r="O43" s="1">
        <f t="shared" ref="O43" si="113">O40+O42</f>
        <v>559</v>
      </c>
      <c r="P43" s="1">
        <f t="shared" ref="P43" si="114">P40+P42</f>
        <v>676</v>
      </c>
      <c r="Q43" s="46">
        <f t="shared" si="101"/>
        <v>2234</v>
      </c>
      <c r="R43" s="1">
        <f>R40+R42</f>
        <v>401</v>
      </c>
      <c r="S43" s="1">
        <f t="shared" ref="S43" si="115">S40+S42</f>
        <v>469</v>
      </c>
      <c r="T43" s="1">
        <f t="shared" ref="T43" si="116">T40+T42</f>
        <v>0</v>
      </c>
      <c r="U43" s="1">
        <f t="shared" ref="U43" si="117">U40+U42</f>
        <v>0</v>
      </c>
      <c r="V43" s="46">
        <f t="shared" si="102"/>
        <v>870</v>
      </c>
    </row>
    <row r="44" spans="2:22" x14ac:dyDescent="0.25">
      <c r="B44" s="32" t="s">
        <v>141</v>
      </c>
      <c r="C44" s="32">
        <v>0</v>
      </c>
      <c r="D44" s="32">
        <v>-9</v>
      </c>
      <c r="E44" s="32">
        <v>-9</v>
      </c>
      <c r="F44" s="32">
        <v>0</v>
      </c>
      <c r="G44" s="48">
        <f t="shared" si="99"/>
        <v>-18</v>
      </c>
      <c r="H44" s="32">
        <v>-2</v>
      </c>
      <c r="I44" s="32">
        <v>-2</v>
      </c>
      <c r="J44" s="32">
        <v>-2</v>
      </c>
      <c r="K44" s="32">
        <v>0</v>
      </c>
      <c r="L44" s="48">
        <f t="shared" si="100"/>
        <v>-6</v>
      </c>
      <c r="M44" s="32">
        <v>-7</v>
      </c>
      <c r="N44" s="32">
        <v>-2</v>
      </c>
      <c r="O44" s="32">
        <v>0</v>
      </c>
      <c r="P44" s="32">
        <v>0</v>
      </c>
      <c r="Q44" s="48">
        <f t="shared" si="101"/>
        <v>-9</v>
      </c>
      <c r="R44" s="32">
        <v>0</v>
      </c>
      <c r="S44" s="32">
        <v>-1</v>
      </c>
      <c r="T44" s="32"/>
      <c r="U44" s="32"/>
      <c r="V44" s="48">
        <f t="shared" si="102"/>
        <v>-1</v>
      </c>
    </row>
    <row r="45" spans="2:22" x14ac:dyDescent="0.25">
      <c r="B45" s="1" t="s">
        <v>142</v>
      </c>
      <c r="C45" s="1">
        <f t="shared" ref="C45" si="118">SUM(C43:C44)</f>
        <v>350</v>
      </c>
      <c r="D45" s="1">
        <f t="shared" ref="D45" si="119">SUM(D43:D44)</f>
        <v>451</v>
      </c>
      <c r="E45" s="1">
        <f t="shared" ref="E45" si="120">SUM(E43:E44)</f>
        <v>516</v>
      </c>
      <c r="F45" s="1">
        <f t="shared" ref="F45" si="121">SUM(F43:F44)</f>
        <v>575</v>
      </c>
      <c r="G45" s="46">
        <f t="shared" si="99"/>
        <v>1892</v>
      </c>
      <c r="H45" s="1">
        <f t="shared" ref="H45" si="122">SUM(H43:H44)</f>
        <v>391</v>
      </c>
      <c r="I45" s="1">
        <f t="shared" ref="I45" si="123">SUM(I43:I44)</f>
        <v>441</v>
      </c>
      <c r="J45" s="1">
        <f t="shared" ref="J45" si="124">SUM(J43:J44)</f>
        <v>460</v>
      </c>
      <c r="K45" s="1">
        <f t="shared" ref="K45" si="125">SUM(K43:K44)</f>
        <v>544</v>
      </c>
      <c r="L45" s="46">
        <f t="shared" si="100"/>
        <v>1836</v>
      </c>
      <c r="M45" s="1">
        <f t="shared" ref="M45" si="126">SUM(M43:M44)</f>
        <v>438</v>
      </c>
      <c r="N45" s="1">
        <f t="shared" ref="N45" si="127">SUM(N43:N44)</f>
        <v>552</v>
      </c>
      <c r="O45" s="1">
        <f t="shared" ref="O45" si="128">SUM(O43:O44)</f>
        <v>559</v>
      </c>
      <c r="P45" s="1">
        <f t="shared" ref="P45" si="129">SUM(P43:P44)</f>
        <v>676</v>
      </c>
      <c r="Q45" s="46">
        <f t="shared" si="101"/>
        <v>2225</v>
      </c>
      <c r="R45" s="1">
        <f>SUM(R43:R44)</f>
        <v>401</v>
      </c>
      <c r="S45" s="1">
        <f t="shared" ref="S45" si="130">SUM(S43:S44)</f>
        <v>468</v>
      </c>
      <c r="T45" s="1">
        <f t="shared" ref="T45" si="131">SUM(T43:T44)</f>
        <v>0</v>
      </c>
      <c r="U45" s="1">
        <f t="shared" ref="U45" si="132">SUM(U43:U44)</f>
        <v>0</v>
      </c>
      <c r="V45" s="46">
        <f t="shared" si="102"/>
        <v>869</v>
      </c>
    </row>
    <row r="46" spans="2:22" x14ac:dyDescent="0.25">
      <c r="B46" s="32" t="s">
        <v>143</v>
      </c>
      <c r="C46" s="32">
        <v>0</v>
      </c>
      <c r="D46" s="32">
        <v>0</v>
      </c>
      <c r="E46" s="32">
        <v>0</v>
      </c>
      <c r="F46" s="32">
        <v>0</v>
      </c>
      <c r="G46" s="48">
        <f t="shared" si="99"/>
        <v>0</v>
      </c>
      <c r="H46" s="32">
        <v>0</v>
      </c>
      <c r="I46" s="32">
        <v>0</v>
      </c>
      <c r="J46" s="32">
        <v>0</v>
      </c>
      <c r="K46" s="32">
        <v>0</v>
      </c>
      <c r="L46" s="48">
        <f t="shared" si="100"/>
        <v>0</v>
      </c>
      <c r="M46" s="32">
        <v>0</v>
      </c>
      <c r="N46" s="32">
        <v>0</v>
      </c>
      <c r="O46" s="32">
        <v>0</v>
      </c>
      <c r="P46" s="32">
        <v>0</v>
      </c>
      <c r="Q46" s="48">
        <f t="shared" si="101"/>
        <v>0</v>
      </c>
      <c r="R46" s="32"/>
      <c r="S46" s="32">
        <v>0</v>
      </c>
      <c r="T46" s="32"/>
      <c r="U46" s="32"/>
      <c r="V46" s="48">
        <f t="shared" si="102"/>
        <v>0</v>
      </c>
    </row>
    <row r="47" spans="2:22" x14ac:dyDescent="0.25">
      <c r="B47" s="2" t="s">
        <v>47</v>
      </c>
      <c r="C47" s="2">
        <f t="shared" ref="C47" si="133">SUM(C45:C46)</f>
        <v>350</v>
      </c>
      <c r="D47" s="2">
        <f t="shared" ref="D47" si="134">SUM(D45:D46)</f>
        <v>451</v>
      </c>
      <c r="E47" s="2">
        <f t="shared" ref="E47" si="135">SUM(E45:E46)</f>
        <v>516</v>
      </c>
      <c r="F47" s="2">
        <f t="shared" ref="F47" si="136">SUM(F45:F46)</f>
        <v>575</v>
      </c>
      <c r="G47" s="46">
        <f t="shared" si="99"/>
        <v>1892</v>
      </c>
      <c r="H47" s="2">
        <f t="shared" ref="H47" si="137">SUM(H45:H46)</f>
        <v>391</v>
      </c>
      <c r="I47" s="2">
        <f t="shared" ref="I47" si="138">SUM(I45:I46)</f>
        <v>441</v>
      </c>
      <c r="J47" s="2">
        <f t="shared" ref="J47" si="139">SUM(J45:J46)</f>
        <v>460</v>
      </c>
      <c r="K47" s="2">
        <f t="shared" ref="K47" si="140">SUM(K45:K46)</f>
        <v>544</v>
      </c>
      <c r="L47" s="46">
        <f t="shared" si="100"/>
        <v>1836</v>
      </c>
      <c r="M47" s="2">
        <f t="shared" ref="M47" si="141">SUM(M45:M46)</f>
        <v>438</v>
      </c>
      <c r="N47" s="2">
        <f t="shared" ref="N47" si="142">SUM(N45:N46)</f>
        <v>552</v>
      </c>
      <c r="O47" s="2">
        <f t="shared" ref="O47" si="143">SUM(O45:O46)</f>
        <v>559</v>
      </c>
      <c r="P47" s="2">
        <f t="shared" ref="P47" si="144">SUM(P45:P46)</f>
        <v>676</v>
      </c>
      <c r="Q47" s="46">
        <f t="shared" si="101"/>
        <v>2225</v>
      </c>
      <c r="R47" s="2">
        <f>SUM(R45:R46)</f>
        <v>401</v>
      </c>
      <c r="S47" s="2">
        <f t="shared" ref="S47" si="145">SUM(S45:S46)</f>
        <v>468</v>
      </c>
      <c r="T47" s="2">
        <f t="shared" ref="T47" si="146">SUM(T45:T46)</f>
        <v>0</v>
      </c>
      <c r="U47" s="2">
        <f t="shared" ref="U47" si="147">SUM(U45:U46)</f>
        <v>0</v>
      </c>
      <c r="V47" s="46">
        <f t="shared" si="102"/>
        <v>869</v>
      </c>
    </row>
    <row r="48" spans="2:22" x14ac:dyDescent="0.25">
      <c r="B48" s="32" t="s">
        <v>48</v>
      </c>
      <c r="C48" s="32">
        <v>0</v>
      </c>
      <c r="D48" s="32">
        <v>0</v>
      </c>
      <c r="E48" s="32">
        <v>0</v>
      </c>
      <c r="F48" s="32">
        <v>0</v>
      </c>
      <c r="G48" s="48">
        <f t="shared" si="99"/>
        <v>0</v>
      </c>
      <c r="H48" s="32">
        <v>0</v>
      </c>
      <c r="I48" s="32">
        <v>0</v>
      </c>
      <c r="J48" s="32">
        <v>0</v>
      </c>
      <c r="K48" s="32">
        <v>0</v>
      </c>
      <c r="L48" s="48">
        <f t="shared" si="100"/>
        <v>0</v>
      </c>
      <c r="M48" s="32">
        <v>0</v>
      </c>
      <c r="N48" s="32">
        <v>0</v>
      </c>
      <c r="O48" s="32">
        <v>0</v>
      </c>
      <c r="P48" s="32">
        <v>0</v>
      </c>
      <c r="Q48" s="48">
        <f t="shared" si="101"/>
        <v>0</v>
      </c>
      <c r="R48" s="32">
        <v>0</v>
      </c>
      <c r="S48" s="32">
        <v>0</v>
      </c>
      <c r="T48" s="32"/>
      <c r="U48" s="32"/>
      <c r="V48" s="48">
        <f t="shared" si="102"/>
        <v>0</v>
      </c>
    </row>
    <row r="49" spans="2:22" ht="20" thickBot="1" x14ac:dyDescent="0.3">
      <c r="B49" s="44" t="s">
        <v>49</v>
      </c>
      <c r="C49" s="44">
        <f t="shared" ref="C49" si="148">SUM(C47:C48)</f>
        <v>350</v>
      </c>
      <c r="D49" s="44">
        <f t="shared" ref="D49" si="149">SUM(D47:D48)</f>
        <v>451</v>
      </c>
      <c r="E49" s="44">
        <f t="shared" ref="E49" si="150">SUM(E47:E48)</f>
        <v>516</v>
      </c>
      <c r="F49" s="44">
        <f t="shared" ref="F49" si="151">SUM(F47:F48)</f>
        <v>575</v>
      </c>
      <c r="G49" s="49">
        <f t="shared" si="99"/>
        <v>1892</v>
      </c>
      <c r="H49" s="44">
        <f t="shared" ref="H49" si="152">SUM(H47:H48)</f>
        <v>391</v>
      </c>
      <c r="I49" s="44">
        <f t="shared" ref="I49" si="153">SUM(I47:I48)</f>
        <v>441</v>
      </c>
      <c r="J49" s="44">
        <f t="shared" ref="J49" si="154">SUM(J47:J48)</f>
        <v>460</v>
      </c>
      <c r="K49" s="44">
        <f t="shared" ref="K49" si="155">SUM(K47:K48)</f>
        <v>544</v>
      </c>
      <c r="L49" s="49">
        <f t="shared" si="100"/>
        <v>1836</v>
      </c>
      <c r="M49" s="44">
        <f t="shared" ref="M49" si="156">SUM(M47:M48)</f>
        <v>438</v>
      </c>
      <c r="N49" s="44">
        <f t="shared" ref="N49" si="157">SUM(N47:N48)</f>
        <v>552</v>
      </c>
      <c r="O49" s="44">
        <f t="shared" ref="O49" si="158">SUM(O47:O48)</f>
        <v>559</v>
      </c>
      <c r="P49" s="44">
        <f t="shared" ref="P49" si="159">SUM(P47:P48)</f>
        <v>676</v>
      </c>
      <c r="Q49" s="49">
        <f t="shared" si="101"/>
        <v>2225</v>
      </c>
      <c r="R49" s="44">
        <f>SUM(R47:R48)</f>
        <v>401</v>
      </c>
      <c r="S49" s="44">
        <f t="shared" ref="S49" si="160">SUM(S47:S48)</f>
        <v>468</v>
      </c>
      <c r="T49" s="44">
        <f t="shared" ref="T49" si="161">SUM(T47:T48)</f>
        <v>0</v>
      </c>
      <c r="U49" s="44">
        <f t="shared" ref="U49" si="162">SUM(U47:U48)</f>
        <v>0</v>
      </c>
      <c r="V49" s="49">
        <f t="shared" si="102"/>
        <v>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4855-5298-FA4D-800C-681C1CEBBDF0}">
  <dimension ref="B7:AA29"/>
  <sheetViews>
    <sheetView showGridLine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U30" sqref="U30"/>
    </sheetView>
  </sheetViews>
  <sheetFormatPr baseColWidth="10" defaultRowHeight="19" x14ac:dyDescent="0.25"/>
  <cols>
    <col min="1" max="1" width="10.83203125" style="2"/>
    <col min="2" max="2" width="15" style="2" customWidth="1"/>
    <col min="3" max="16384" width="10.83203125" style="2"/>
  </cols>
  <sheetData>
    <row r="7" spans="2:27" x14ac:dyDescent="0.25">
      <c r="C7" s="2" t="s">
        <v>106</v>
      </c>
      <c r="D7" s="2" t="s">
        <v>105</v>
      </c>
      <c r="E7" s="2" t="s">
        <v>104</v>
      </c>
      <c r="F7" s="2" t="s">
        <v>103</v>
      </c>
      <c r="G7" s="50"/>
      <c r="H7" s="2" t="s">
        <v>106</v>
      </c>
      <c r="I7" s="2" t="s">
        <v>105</v>
      </c>
      <c r="J7" s="2" t="s">
        <v>104</v>
      </c>
      <c r="K7" s="2" t="s">
        <v>103</v>
      </c>
      <c r="L7" s="50"/>
      <c r="M7" s="2" t="s">
        <v>106</v>
      </c>
      <c r="N7" s="2" t="s">
        <v>105</v>
      </c>
      <c r="O7" s="2" t="s">
        <v>104</v>
      </c>
      <c r="P7" s="2" t="s">
        <v>103</v>
      </c>
      <c r="Q7" s="50"/>
      <c r="R7" s="2" t="s">
        <v>106</v>
      </c>
      <c r="S7" s="2" t="s">
        <v>105</v>
      </c>
      <c r="T7" s="2" t="s">
        <v>104</v>
      </c>
      <c r="U7" s="2" t="s">
        <v>103</v>
      </c>
      <c r="V7" s="50"/>
      <c r="W7" s="2" t="s">
        <v>106</v>
      </c>
      <c r="X7" s="2" t="s">
        <v>105</v>
      </c>
      <c r="Y7" s="2" t="s">
        <v>104</v>
      </c>
      <c r="Z7" s="2" t="s">
        <v>103</v>
      </c>
    </row>
    <row r="8" spans="2:27" x14ac:dyDescent="0.25">
      <c r="B8" s="2" t="s">
        <v>9</v>
      </c>
      <c r="C8" s="7" t="s">
        <v>33</v>
      </c>
      <c r="D8" s="7" t="s">
        <v>32</v>
      </c>
      <c r="E8" s="7" t="s">
        <v>31</v>
      </c>
      <c r="F8" s="7" t="s">
        <v>30</v>
      </c>
      <c r="G8" s="45" t="s">
        <v>145</v>
      </c>
      <c r="H8" s="7" t="s">
        <v>29</v>
      </c>
      <c r="I8" s="7" t="s">
        <v>28</v>
      </c>
      <c r="J8" s="7" t="s">
        <v>27</v>
      </c>
      <c r="K8" s="7" t="s">
        <v>26</v>
      </c>
      <c r="L8" s="45" t="s">
        <v>146</v>
      </c>
      <c r="M8" s="7" t="s">
        <v>25</v>
      </c>
      <c r="N8" s="7" t="s">
        <v>24</v>
      </c>
      <c r="O8" s="7" t="s">
        <v>23</v>
      </c>
      <c r="P8" s="7" t="s">
        <v>13</v>
      </c>
      <c r="Q8" s="45" t="s">
        <v>147</v>
      </c>
      <c r="R8" s="7" t="s">
        <v>14</v>
      </c>
      <c r="S8" s="7" t="s">
        <v>15</v>
      </c>
      <c r="T8" s="7" t="s">
        <v>16</v>
      </c>
      <c r="U8" s="7" t="s">
        <v>17</v>
      </c>
      <c r="V8" s="45" t="s">
        <v>124</v>
      </c>
      <c r="W8" s="2" t="s">
        <v>152</v>
      </c>
      <c r="X8" s="2" t="s">
        <v>153</v>
      </c>
      <c r="Y8" s="2" t="s">
        <v>154</v>
      </c>
      <c r="Z8" s="2" t="s">
        <v>155</v>
      </c>
    </row>
    <row r="9" spans="2:27" x14ac:dyDescent="0.25">
      <c r="B9" s="1" t="s">
        <v>129</v>
      </c>
      <c r="G9" s="50"/>
      <c r="L9" s="50"/>
      <c r="Q9" s="50"/>
      <c r="V9" s="50"/>
    </row>
    <row r="10" spans="2:27" x14ac:dyDescent="0.25">
      <c r="B10" s="2" t="s">
        <v>130</v>
      </c>
      <c r="C10" s="13">
        <v>340</v>
      </c>
      <c r="D10" s="13">
        <v>572</v>
      </c>
      <c r="E10" s="13">
        <v>610</v>
      </c>
      <c r="F10" s="13">
        <v>801</v>
      </c>
      <c r="G10" s="59">
        <f>SUM(C10:F10)</f>
        <v>2323</v>
      </c>
      <c r="H10" s="13">
        <v>305</v>
      </c>
      <c r="I10" s="13">
        <v>622</v>
      </c>
      <c r="J10" s="13">
        <v>707</v>
      </c>
      <c r="K10" s="13">
        <v>711</v>
      </c>
      <c r="L10" s="59">
        <f>SUM(H10:K10)</f>
        <v>2345</v>
      </c>
      <c r="M10" s="13">
        <v>475</v>
      </c>
      <c r="N10" s="13">
        <v>498</v>
      </c>
      <c r="O10" s="13">
        <v>566</v>
      </c>
      <c r="P10" s="13">
        <v>642</v>
      </c>
      <c r="Q10" s="59">
        <f>SUM(M10:P10)</f>
        <v>2181</v>
      </c>
      <c r="R10" s="13">
        <v>400</v>
      </c>
      <c r="S10" s="13">
        <v>367</v>
      </c>
      <c r="T10" s="13"/>
      <c r="U10" s="13"/>
      <c r="V10" s="59">
        <f>SUM(R10:U10)</f>
        <v>767</v>
      </c>
      <c r="W10" s="13"/>
      <c r="X10" s="13"/>
      <c r="Y10" s="13"/>
      <c r="Z10" s="13"/>
    </row>
    <row r="11" spans="2:27" x14ac:dyDescent="0.25">
      <c r="B11" s="10" t="s">
        <v>131</v>
      </c>
      <c r="G11" s="46"/>
      <c r="H11" s="22">
        <f t="shared" ref="H11:V11" si="0">(H10-C10)/C10</f>
        <v>-0.10294117647058823</v>
      </c>
      <c r="I11" s="22">
        <f t="shared" si="0"/>
        <v>8.7412587412587409E-2</v>
      </c>
      <c r="J11" s="22">
        <f t="shared" si="0"/>
        <v>0.15901639344262294</v>
      </c>
      <c r="K11" s="22">
        <f t="shared" si="0"/>
        <v>-0.11235955056179775</v>
      </c>
      <c r="L11" s="47">
        <f t="shared" si="0"/>
        <v>9.4705122686181663E-3</v>
      </c>
      <c r="M11" s="22">
        <f t="shared" si="0"/>
        <v>0.55737704918032782</v>
      </c>
      <c r="N11" s="22">
        <f t="shared" si="0"/>
        <v>-0.19935691318327975</v>
      </c>
      <c r="O11" s="22">
        <f t="shared" si="0"/>
        <v>-0.19943422913719944</v>
      </c>
      <c r="P11" s="22">
        <f t="shared" si="0"/>
        <v>-9.7046413502109699E-2</v>
      </c>
      <c r="Q11" s="47">
        <f t="shared" si="0"/>
        <v>-6.9936034115138587E-2</v>
      </c>
      <c r="R11" s="22">
        <f t="shared" si="0"/>
        <v>-0.15789473684210525</v>
      </c>
      <c r="S11" s="22">
        <f t="shared" si="0"/>
        <v>-0.26305220883534136</v>
      </c>
      <c r="T11" s="22">
        <f t="shared" si="0"/>
        <v>-1</v>
      </c>
      <c r="U11" s="22">
        <f t="shared" si="0"/>
        <v>-1</v>
      </c>
      <c r="V11" s="47">
        <f t="shared" si="0"/>
        <v>-0.64832645575424119</v>
      </c>
    </row>
    <row r="12" spans="2:27" x14ac:dyDescent="0.25">
      <c r="B12" s="2" t="s">
        <v>132</v>
      </c>
      <c r="C12" s="13">
        <v>632</v>
      </c>
      <c r="D12" s="13">
        <v>732</v>
      </c>
      <c r="E12" s="13">
        <v>936</v>
      </c>
      <c r="F12" s="13">
        <v>1203</v>
      </c>
      <c r="G12" s="59">
        <f>SUM(C12:F12)</f>
        <v>3503</v>
      </c>
      <c r="H12" s="13">
        <v>855</v>
      </c>
      <c r="I12" s="13">
        <v>1051</v>
      </c>
      <c r="J12" s="13">
        <v>905</v>
      </c>
      <c r="K12" s="13">
        <v>1072</v>
      </c>
      <c r="L12" s="59">
        <f>SUM(H12:K12)</f>
        <v>3883</v>
      </c>
      <c r="M12" s="13">
        <v>623</v>
      </c>
      <c r="N12" s="13">
        <v>880</v>
      </c>
      <c r="O12" s="13">
        <v>925</v>
      </c>
      <c r="P12" s="13">
        <v>1265</v>
      </c>
      <c r="Q12" s="59">
        <f>SUM(M12:P12)</f>
        <v>3693</v>
      </c>
      <c r="R12" s="13">
        <v>711</v>
      </c>
      <c r="S12" s="13">
        <v>944</v>
      </c>
      <c r="T12" s="13"/>
      <c r="U12" s="13"/>
      <c r="V12" s="59">
        <f>SUM(R12:U12)</f>
        <v>1655</v>
      </c>
      <c r="W12" s="13"/>
      <c r="X12" s="13"/>
      <c r="Y12" s="13"/>
      <c r="Z12" s="13"/>
      <c r="AA12" s="13"/>
    </row>
    <row r="13" spans="2:27" x14ac:dyDescent="0.25">
      <c r="B13" s="10" t="s">
        <v>131</v>
      </c>
      <c r="G13" s="46"/>
      <c r="H13" s="22">
        <f t="shared" ref="H13" si="1">(H12-C12)/C12</f>
        <v>0.35284810126582278</v>
      </c>
      <c r="I13" s="22">
        <f t="shared" ref="I13" si="2">(I12-D12)/D12</f>
        <v>0.43579234972677594</v>
      </c>
      <c r="J13" s="22">
        <f t="shared" ref="J13" si="3">(J12-E12)/E12</f>
        <v>-3.311965811965812E-2</v>
      </c>
      <c r="K13" s="22">
        <f t="shared" ref="K13" si="4">(K12-F12)/F12</f>
        <v>-0.10889443059019119</v>
      </c>
      <c r="L13" s="47">
        <f>(L12-G12)/G12</f>
        <v>0.10847844704538967</v>
      </c>
      <c r="M13" s="22">
        <f t="shared" ref="M13" si="5">(M12-H12)/H12</f>
        <v>-0.27134502923976606</v>
      </c>
      <c r="N13" s="22">
        <f t="shared" ref="N13" si="6">(N12-I12)/I12</f>
        <v>-0.16270218839200762</v>
      </c>
      <c r="O13" s="22">
        <f t="shared" ref="O13" si="7">(O12-J12)/J12</f>
        <v>2.2099447513812154E-2</v>
      </c>
      <c r="P13" s="22">
        <f>(P12-K12)/K12</f>
        <v>0.18003731343283583</v>
      </c>
      <c r="Q13" s="47">
        <f>(Q12-L12)/L12</f>
        <v>-4.8931238732938448E-2</v>
      </c>
      <c r="R13" s="22">
        <f>(R12-M12)/M12</f>
        <v>0.14125200642054575</v>
      </c>
      <c r="S13" s="22">
        <f>(S12-N12)/N12</f>
        <v>7.2727272727272724E-2</v>
      </c>
      <c r="T13" s="22">
        <f>(T12-O12)/O12</f>
        <v>-1</v>
      </c>
      <c r="U13" s="22">
        <f t="shared" ref="U13" si="8">(U12-P12)/P12</f>
        <v>-1</v>
      </c>
      <c r="V13" s="47">
        <f>(V12-Q12)/Q12</f>
        <v>-0.55185486054698074</v>
      </c>
    </row>
    <row r="14" spans="2:27" x14ac:dyDescent="0.25">
      <c r="B14" s="2" t="s">
        <v>133</v>
      </c>
      <c r="C14" s="13">
        <v>734</v>
      </c>
      <c r="D14" s="13">
        <v>1019</v>
      </c>
      <c r="E14" s="13">
        <v>1082</v>
      </c>
      <c r="F14" s="13">
        <v>1320</v>
      </c>
      <c r="G14" s="59">
        <f>SUM(C14:F14)</f>
        <v>4155</v>
      </c>
      <c r="H14" s="13">
        <v>834</v>
      </c>
      <c r="I14" s="13">
        <v>1162</v>
      </c>
      <c r="J14" s="13">
        <v>1131</v>
      </c>
      <c r="K14" s="13">
        <v>1277</v>
      </c>
      <c r="L14" s="59">
        <f>SUM(H14:K14)</f>
        <v>4404</v>
      </c>
      <c r="M14" s="13">
        <v>817</v>
      </c>
      <c r="N14" s="13">
        <v>1079</v>
      </c>
      <c r="O14" s="13">
        <v>1182</v>
      </c>
      <c r="P14" s="13">
        <v>1279</v>
      </c>
      <c r="Q14" s="59">
        <f>SUM(M14:P14)</f>
        <v>4357</v>
      </c>
      <c r="R14" s="13">
        <v>694</v>
      </c>
      <c r="S14" s="13">
        <v>893</v>
      </c>
      <c r="T14" s="13"/>
      <c r="U14" s="13"/>
      <c r="V14" s="59">
        <f>SUM(R14:U14)</f>
        <v>1587</v>
      </c>
      <c r="W14" s="13"/>
      <c r="X14" s="13"/>
      <c r="Y14" s="13"/>
      <c r="Z14" s="13"/>
      <c r="AA14" s="13"/>
    </row>
    <row r="15" spans="2:27" x14ac:dyDescent="0.25">
      <c r="B15" s="54" t="s">
        <v>131</v>
      </c>
      <c r="C15" s="32"/>
      <c r="D15" s="32"/>
      <c r="E15" s="32"/>
      <c r="F15" s="32"/>
      <c r="G15" s="52"/>
      <c r="H15" s="43">
        <f t="shared" ref="H15" si="9">(H14-C14)/C14</f>
        <v>0.13623978201634879</v>
      </c>
      <c r="I15" s="43">
        <f t="shared" ref="I15" si="10">(I14-D14)/D14</f>
        <v>0.14033366045142295</v>
      </c>
      <c r="J15" s="43">
        <f t="shared" ref="J15" si="11">(J14-E14)/E14</f>
        <v>4.5286506469500921E-2</v>
      </c>
      <c r="K15" s="43">
        <f t="shared" ref="K15" si="12">(K14-F14)/F14</f>
        <v>-3.2575757575757577E-2</v>
      </c>
      <c r="L15" s="58">
        <f>(L14-G14)/G14</f>
        <v>5.9927797833935016E-2</v>
      </c>
      <c r="M15" s="43">
        <f t="shared" ref="M15" si="13">(M14-H14)/H14</f>
        <v>-2.0383693045563551E-2</v>
      </c>
      <c r="N15" s="43">
        <f t="shared" ref="N15" si="14">(N14-I14)/I14</f>
        <v>-7.1428571428571425E-2</v>
      </c>
      <c r="O15" s="43">
        <f t="shared" ref="O15" si="15">(O14-J14)/J14</f>
        <v>4.5092838196286469E-2</v>
      </c>
      <c r="P15" s="43">
        <f>(P14-K14)/K14</f>
        <v>1.5661707126076742E-3</v>
      </c>
      <c r="Q15" s="58">
        <f>(Q14-L14)/L14</f>
        <v>-1.067211625794732E-2</v>
      </c>
      <c r="R15" s="43">
        <f>(R14-M14)/M14</f>
        <v>-0.15055079559363524</v>
      </c>
      <c r="S15" s="43">
        <f>(S14-N14)/N14</f>
        <v>-0.17238183503243745</v>
      </c>
      <c r="T15" s="43">
        <f>(T14-O14)/O14</f>
        <v>-1</v>
      </c>
      <c r="U15" s="43">
        <f t="shared" ref="U15" si="16">(U14-P14)/P14</f>
        <v>-1</v>
      </c>
      <c r="V15" s="58">
        <f>(V14-Q14)/Q14</f>
        <v>-0.63575854946063803</v>
      </c>
      <c r="W15" s="32"/>
      <c r="X15" s="32"/>
      <c r="Y15" s="32"/>
      <c r="Z15" s="32"/>
    </row>
    <row r="16" spans="2:27" x14ac:dyDescent="0.25">
      <c r="B16" s="1" t="s">
        <v>134</v>
      </c>
      <c r="C16" s="11">
        <f t="shared" ref="C16:O16" si="17">C10+C12+C14</f>
        <v>1706</v>
      </c>
      <c r="D16" s="11">
        <f t="shared" si="17"/>
        <v>2323</v>
      </c>
      <c r="E16" s="11">
        <f t="shared" si="17"/>
        <v>2628</v>
      </c>
      <c r="F16" s="11">
        <f t="shared" si="17"/>
        <v>3324</v>
      </c>
      <c r="G16" s="59">
        <f>SUM(C16:F16)</f>
        <v>9981</v>
      </c>
      <c r="H16" s="11">
        <f t="shared" si="17"/>
        <v>1994</v>
      </c>
      <c r="I16" s="11">
        <f t="shared" si="17"/>
        <v>2835</v>
      </c>
      <c r="J16" s="11">
        <f t="shared" si="17"/>
        <v>2743</v>
      </c>
      <c r="K16" s="11">
        <f>K10+K12+K14</f>
        <v>3060</v>
      </c>
      <c r="L16" s="59">
        <f>SUM(H16:K16)</f>
        <v>10632</v>
      </c>
      <c r="M16" s="11">
        <f t="shared" si="17"/>
        <v>1915</v>
      </c>
      <c r="N16" s="11">
        <f t="shared" si="17"/>
        <v>2457</v>
      </c>
      <c r="O16" s="11">
        <f t="shared" si="17"/>
        <v>2673</v>
      </c>
      <c r="P16" s="11">
        <f>P10+P12+P14</f>
        <v>3186</v>
      </c>
      <c r="Q16" s="59">
        <f>SUM(M16:P16)</f>
        <v>10231</v>
      </c>
      <c r="R16" s="11">
        <f>R10+R12+R14</f>
        <v>1805</v>
      </c>
      <c r="S16" s="11">
        <f t="shared" ref="S16:U16" si="18">S10+S12+S14</f>
        <v>2204</v>
      </c>
      <c r="T16" s="11">
        <f t="shared" si="18"/>
        <v>0</v>
      </c>
      <c r="U16" s="11">
        <f t="shared" si="18"/>
        <v>0</v>
      </c>
      <c r="V16" s="59">
        <f>SUM(R16:U16)</f>
        <v>4009</v>
      </c>
      <c r="W16" s="13"/>
      <c r="X16" s="13"/>
      <c r="Y16" s="13"/>
      <c r="Z16" s="13"/>
      <c r="AA16" s="13"/>
    </row>
    <row r="17" spans="2:27" x14ac:dyDescent="0.25">
      <c r="B17" s="10" t="s">
        <v>131</v>
      </c>
      <c r="C17" s="22"/>
      <c r="D17" s="22"/>
      <c r="E17" s="22"/>
      <c r="F17" s="22"/>
      <c r="G17" s="51"/>
      <c r="H17" s="22">
        <f t="shared" ref="H17:K17" si="19">(H16-C16)/C16</f>
        <v>0.16881594372801875</v>
      </c>
      <c r="I17" s="22">
        <f t="shared" si="19"/>
        <v>0.22040464916056823</v>
      </c>
      <c r="J17" s="22">
        <f t="shared" si="19"/>
        <v>4.3759512937595127E-2</v>
      </c>
      <c r="K17" s="22">
        <f t="shared" si="19"/>
        <v>-7.9422382671480149E-2</v>
      </c>
      <c r="L17" s="51">
        <f t="shared" ref="L17:V17" si="20">(L16-G16)/G16</f>
        <v>6.5223925458370899E-2</v>
      </c>
      <c r="M17" s="22">
        <f t="shared" si="20"/>
        <v>-3.9618856569709128E-2</v>
      </c>
      <c r="N17" s="22">
        <f t="shared" si="20"/>
        <v>-0.13333333333333333</v>
      </c>
      <c r="O17" s="22">
        <f t="shared" si="20"/>
        <v>-2.5519504192489974E-2</v>
      </c>
      <c r="P17" s="22">
        <f t="shared" si="20"/>
        <v>4.1176470588235294E-2</v>
      </c>
      <c r="Q17" s="51">
        <f t="shared" si="20"/>
        <v>-3.77163280662152E-2</v>
      </c>
      <c r="R17" s="22">
        <f t="shared" si="20"/>
        <v>-5.7441253263707574E-2</v>
      </c>
      <c r="S17" s="22">
        <f t="shared" si="20"/>
        <v>-0.10297110297110297</v>
      </c>
      <c r="T17" s="22">
        <f t="shared" si="20"/>
        <v>-1</v>
      </c>
      <c r="U17" s="22">
        <f t="shared" si="20"/>
        <v>-1</v>
      </c>
      <c r="V17" s="51">
        <f t="shared" si="20"/>
        <v>-0.60815169582640993</v>
      </c>
      <c r="W17" s="22"/>
      <c r="X17" s="22"/>
      <c r="Y17" s="22"/>
      <c r="Z17" s="22"/>
    </row>
    <row r="18" spans="2:27" ht="20" thickBot="1" x14ac:dyDescent="0.3">
      <c r="B18" s="55" t="s">
        <v>156</v>
      </c>
      <c r="C18" s="56">
        <v>-0.01</v>
      </c>
      <c r="D18" s="56">
        <v>-0.13</v>
      </c>
      <c r="E18" s="56">
        <v>0.12</v>
      </c>
      <c r="F18" s="56">
        <v>0.12</v>
      </c>
      <c r="G18" s="57"/>
      <c r="H18" s="56">
        <v>0.09</v>
      </c>
      <c r="I18" s="56">
        <v>0.15</v>
      </c>
      <c r="J18" s="56">
        <v>0.04</v>
      </c>
      <c r="K18" s="56">
        <v>-0.08</v>
      </c>
      <c r="L18" s="57"/>
      <c r="M18" s="56">
        <v>-0.03</v>
      </c>
      <c r="N18" s="56">
        <v>-0.1</v>
      </c>
      <c r="O18" s="56">
        <v>-0.04</v>
      </c>
      <c r="P18" s="56">
        <v>7.0000000000000007E-2</v>
      </c>
      <c r="Q18" s="57"/>
      <c r="R18" s="56">
        <v>0.01</v>
      </c>
      <c r="S18" s="56">
        <v>-0.04</v>
      </c>
      <c r="T18" s="56"/>
      <c r="U18" s="56"/>
      <c r="V18" s="57"/>
      <c r="W18" s="56"/>
      <c r="X18" s="56"/>
      <c r="Y18" s="56"/>
      <c r="Z18" s="56"/>
    </row>
    <row r="19" spans="2:27" x14ac:dyDescent="0.25">
      <c r="G19" s="50"/>
      <c r="L19" s="50"/>
      <c r="Q19" s="50"/>
      <c r="V19" s="50"/>
    </row>
    <row r="20" spans="2:27" x14ac:dyDescent="0.25">
      <c r="B20" s="1" t="s">
        <v>135</v>
      </c>
      <c r="G20" s="50"/>
      <c r="H20" s="22"/>
      <c r="I20" s="22"/>
      <c r="J20" s="22"/>
      <c r="K20" s="22"/>
      <c r="L20" s="51"/>
      <c r="M20" s="22"/>
      <c r="N20" s="22"/>
      <c r="O20" s="22"/>
      <c r="P20" s="22"/>
      <c r="Q20" s="51"/>
      <c r="R20" s="22"/>
      <c r="S20" s="22"/>
      <c r="T20" s="22"/>
      <c r="U20" s="22"/>
      <c r="V20" s="50"/>
    </row>
    <row r="21" spans="2:27" x14ac:dyDescent="0.25">
      <c r="B21" s="2" t="s">
        <v>130</v>
      </c>
      <c r="C21" s="13">
        <v>697</v>
      </c>
      <c r="D21" s="13">
        <v>756</v>
      </c>
      <c r="E21" s="13">
        <v>732</v>
      </c>
      <c r="F21" s="13">
        <v>731</v>
      </c>
      <c r="G21" s="59">
        <f>SUM(C21:F21)</f>
        <v>2916</v>
      </c>
      <c r="H21" s="13">
        <v>766</v>
      </c>
      <c r="I21" s="13">
        <v>782</v>
      </c>
      <c r="J21" s="13">
        <v>727</v>
      </c>
      <c r="K21" s="13">
        <v>815</v>
      </c>
      <c r="L21" s="59">
        <f>SUM(H21:K21)</f>
        <v>3090</v>
      </c>
      <c r="M21" s="13">
        <v>766</v>
      </c>
      <c r="N21" s="13">
        <v>714</v>
      </c>
      <c r="O21" s="13">
        <v>792</v>
      </c>
      <c r="P21" s="13">
        <v>729</v>
      </c>
      <c r="Q21" s="59">
        <f>SUM(M21:P21)</f>
        <v>3001</v>
      </c>
      <c r="R21" s="13">
        <v>671</v>
      </c>
      <c r="S21" s="13">
        <v>664</v>
      </c>
      <c r="T21" s="13"/>
      <c r="U21" s="13"/>
      <c r="V21" s="59">
        <f>SUM(R21:U21)</f>
        <v>1335</v>
      </c>
      <c r="W21" s="13"/>
      <c r="X21" s="13"/>
      <c r="Y21" s="13"/>
      <c r="Z21" s="13"/>
      <c r="AA21" s="13"/>
    </row>
    <row r="22" spans="2:27" x14ac:dyDescent="0.25">
      <c r="B22" s="2" t="s">
        <v>131</v>
      </c>
      <c r="G22" s="47"/>
      <c r="H22" s="22">
        <f t="shared" ref="H22" si="21">(H21-C21)/C21</f>
        <v>9.8995695839311337E-2</v>
      </c>
      <c r="I22" s="22">
        <f t="shared" ref="I22" si="22">(I21-D21)/D21</f>
        <v>3.439153439153439E-2</v>
      </c>
      <c r="J22" s="22">
        <f t="shared" ref="J22" si="23">(J21-E21)/E21</f>
        <v>-6.8306010928961746E-3</v>
      </c>
      <c r="K22" s="22">
        <f t="shared" ref="K22" si="24">(K21-F21)/F21</f>
        <v>0.11491108071135431</v>
      </c>
      <c r="L22" s="47">
        <f>(L21-G21)/G21</f>
        <v>5.9670781893004114E-2</v>
      </c>
      <c r="M22" s="22">
        <f t="shared" ref="M22" si="25">(M21-H21)/H21</f>
        <v>0</v>
      </c>
      <c r="N22" s="22">
        <f t="shared" ref="N22" si="26">(N21-I21)/I21</f>
        <v>-8.6956521739130432E-2</v>
      </c>
      <c r="O22" s="22">
        <f t="shared" ref="O22" si="27">(O21-J21)/J21</f>
        <v>8.940852819807428E-2</v>
      </c>
      <c r="P22" s="22">
        <f>(P21-K21)/K21</f>
        <v>-0.10552147239263804</v>
      </c>
      <c r="Q22" s="47">
        <f>(Q21-L21)/L21</f>
        <v>-2.8802588996763755E-2</v>
      </c>
      <c r="R22" s="22">
        <f>(R21-M21)/M21</f>
        <v>-0.12402088772845953</v>
      </c>
      <c r="S22" s="22">
        <f>(S21-N21)/N21</f>
        <v>-7.0028011204481794E-2</v>
      </c>
      <c r="T22" s="22">
        <f>(T21-O21)/O21</f>
        <v>-1</v>
      </c>
      <c r="U22" s="22">
        <f t="shared" ref="U22" si="28">(U21-P21)/P21</f>
        <v>-1</v>
      </c>
      <c r="V22" s="47">
        <f>(V21-Q21)/Q21</f>
        <v>-0.55514828390536486</v>
      </c>
    </row>
    <row r="23" spans="2:27" x14ac:dyDescent="0.25">
      <c r="B23" s="2" t="s">
        <v>132</v>
      </c>
      <c r="C23" s="13">
        <v>559</v>
      </c>
      <c r="D23" s="13">
        <v>600</v>
      </c>
      <c r="E23" s="13">
        <v>588</v>
      </c>
      <c r="F23" s="13">
        <v>657</v>
      </c>
      <c r="G23" s="59">
        <f>SUM(C23:F23)</f>
        <v>2404</v>
      </c>
      <c r="H23" s="13">
        <v>542</v>
      </c>
      <c r="I23" s="13">
        <v>681</v>
      </c>
      <c r="J23" s="13">
        <v>645</v>
      </c>
      <c r="K23" s="13">
        <v>697</v>
      </c>
      <c r="L23" s="59">
        <f>SUM(H23:K23)</f>
        <v>2565</v>
      </c>
      <c r="M23" s="13">
        <v>691</v>
      </c>
      <c r="N23" s="13">
        <v>717</v>
      </c>
      <c r="O23" s="13">
        <v>729</v>
      </c>
      <c r="P23" s="13">
        <v>749</v>
      </c>
      <c r="Q23" s="59">
        <f>SUM(M23:P23)</f>
        <v>2886</v>
      </c>
      <c r="R23" s="13">
        <v>733</v>
      </c>
      <c r="S23" s="13">
        <v>749</v>
      </c>
      <c r="T23" s="13"/>
      <c r="U23" s="13"/>
      <c r="V23" s="59">
        <f>SUM(R23:U23)</f>
        <v>1482</v>
      </c>
      <c r="W23" s="13"/>
      <c r="X23" s="13"/>
      <c r="Y23" s="13"/>
      <c r="Z23" s="13"/>
      <c r="AA23" s="13"/>
    </row>
    <row r="24" spans="2:27" x14ac:dyDescent="0.25">
      <c r="B24" s="2" t="s">
        <v>131</v>
      </c>
      <c r="G24" s="47"/>
      <c r="H24" s="22">
        <f t="shared" ref="H24" si="29">(H23-C23)/C23</f>
        <v>-3.041144901610018E-2</v>
      </c>
      <c r="I24" s="22">
        <f t="shared" ref="I24" si="30">(I23-D23)/D23</f>
        <v>0.13500000000000001</v>
      </c>
      <c r="J24" s="22">
        <f t="shared" ref="J24" si="31">(J23-E23)/E23</f>
        <v>9.6938775510204078E-2</v>
      </c>
      <c r="K24" s="22">
        <f t="shared" ref="K24" si="32">(K23-F23)/F23</f>
        <v>6.0882800608828003E-2</v>
      </c>
      <c r="L24" s="47">
        <f>(L23-G23)/G23</f>
        <v>6.6971713810316136E-2</v>
      </c>
      <c r="M24" s="22">
        <f t="shared" ref="M24" si="33">(M23-H23)/H23</f>
        <v>0.27490774907749077</v>
      </c>
      <c r="N24" s="22">
        <f t="shared" ref="N24" si="34">(N23-I23)/I23</f>
        <v>5.2863436123348019E-2</v>
      </c>
      <c r="O24" s="22">
        <f t="shared" ref="O24" si="35">(O23-J23)/J23</f>
        <v>0.13023255813953488</v>
      </c>
      <c r="P24" s="22">
        <f>(P23-K23)/K23</f>
        <v>7.4605451936872305E-2</v>
      </c>
      <c r="Q24" s="47">
        <f>(Q23-L23)/L23</f>
        <v>0.12514619883040937</v>
      </c>
      <c r="R24" s="22">
        <f>(R23-M23)/M23</f>
        <v>6.0781476121562955E-2</v>
      </c>
      <c r="S24" s="22">
        <f>(S23-N23)/N23</f>
        <v>4.4630404463040445E-2</v>
      </c>
      <c r="T24" s="22">
        <f>(T23-O23)/O23</f>
        <v>-1</v>
      </c>
      <c r="U24" s="22">
        <f t="shared" ref="U24" si="36">(U23-P23)/P23</f>
        <v>-1</v>
      </c>
      <c r="V24" s="47">
        <f>(V23-Q23)/Q23</f>
        <v>-0.48648648648648651</v>
      </c>
    </row>
    <row r="25" spans="2:27" x14ac:dyDescent="0.25">
      <c r="B25" s="2" t="s">
        <v>133</v>
      </c>
      <c r="C25" s="13">
        <v>365</v>
      </c>
      <c r="D25" s="13">
        <v>403</v>
      </c>
      <c r="E25" s="13">
        <v>389</v>
      </c>
      <c r="F25" s="13">
        <v>412</v>
      </c>
      <c r="G25" s="59">
        <f>SUM(C25:F25)</f>
        <v>1569</v>
      </c>
      <c r="H25" s="13">
        <v>425</v>
      </c>
      <c r="I25" s="13">
        <v>433</v>
      </c>
      <c r="J25" s="13">
        <v>422</v>
      </c>
      <c r="K25" s="13">
        <v>450</v>
      </c>
      <c r="L25" s="59">
        <f>SUM(H25:K25)</f>
        <v>1730</v>
      </c>
      <c r="M25" s="13">
        <v>453</v>
      </c>
      <c r="N25" s="13">
        <v>452</v>
      </c>
      <c r="O25" s="13">
        <v>499</v>
      </c>
      <c r="P25" s="13">
        <v>491</v>
      </c>
      <c r="Q25" s="59">
        <f>SUM(M25:P25)</f>
        <v>1895</v>
      </c>
      <c r="R25" s="13">
        <v>438</v>
      </c>
      <c r="S25" s="13">
        <v>452</v>
      </c>
      <c r="T25" s="13"/>
      <c r="U25" s="13"/>
      <c r="V25" s="59">
        <f>SUM(R25:U25)</f>
        <v>890</v>
      </c>
      <c r="W25" s="13"/>
      <c r="X25" s="13"/>
      <c r="Y25" s="13"/>
      <c r="Z25" s="13"/>
      <c r="AA25" s="13"/>
    </row>
    <row r="26" spans="2:27" x14ac:dyDescent="0.25">
      <c r="B26" s="32" t="s">
        <v>131</v>
      </c>
      <c r="C26" s="32"/>
      <c r="D26" s="32"/>
      <c r="E26" s="32"/>
      <c r="F26" s="32"/>
      <c r="G26" s="58"/>
      <c r="H26" s="43">
        <f t="shared" ref="H26" si="37">(H25-C25)/C25</f>
        <v>0.16438356164383561</v>
      </c>
      <c r="I26" s="43">
        <f t="shared" ref="I26" si="38">(I25-D25)/D25</f>
        <v>7.4441687344913146E-2</v>
      </c>
      <c r="J26" s="43">
        <f>(J25-E25)/E25</f>
        <v>8.4832904884318772E-2</v>
      </c>
      <c r="K26" s="43">
        <f t="shared" ref="K26" si="39">(K25-F25)/F25</f>
        <v>9.2233009708737865E-2</v>
      </c>
      <c r="L26" s="58">
        <f>(L25-G25)/G25</f>
        <v>0.10261312938177183</v>
      </c>
      <c r="M26" s="43">
        <f t="shared" ref="M26" si="40">(M25-H25)/H25</f>
        <v>6.5882352941176475E-2</v>
      </c>
      <c r="N26" s="43">
        <f t="shared" ref="N26" si="41">(N25-I25)/I25</f>
        <v>4.3879907621247112E-2</v>
      </c>
      <c r="O26" s="43">
        <f t="shared" ref="O26" si="42">(O25-J25)/J25</f>
        <v>0.18246445497630331</v>
      </c>
      <c r="P26" s="43">
        <f>(P25-K25)/K25</f>
        <v>9.1111111111111115E-2</v>
      </c>
      <c r="Q26" s="58">
        <f>(Q25-L25)/L25</f>
        <v>9.5375722543352595E-2</v>
      </c>
      <c r="R26" s="43">
        <f>(R25-M25)/M25</f>
        <v>-3.3112582781456956E-2</v>
      </c>
      <c r="S26" s="43">
        <f>(S25-N25)/N25</f>
        <v>0</v>
      </c>
      <c r="T26" s="43">
        <f>(T25-O25)/O25</f>
        <v>-1</v>
      </c>
      <c r="U26" s="43">
        <f t="shared" ref="U26" si="43">(U25-P25)/P25</f>
        <v>-1</v>
      </c>
      <c r="V26" s="58">
        <f>(V25-Q25)/Q25</f>
        <v>-0.53034300791556732</v>
      </c>
      <c r="W26" s="32"/>
      <c r="X26" s="32"/>
      <c r="Y26" s="32"/>
      <c r="Z26" s="32"/>
    </row>
    <row r="27" spans="2:27" x14ac:dyDescent="0.25">
      <c r="B27" s="1" t="s">
        <v>134</v>
      </c>
      <c r="C27" s="11">
        <f t="shared" ref="C27:P27" si="44">C21+C23+C25</f>
        <v>1621</v>
      </c>
      <c r="D27" s="11">
        <f t="shared" si="44"/>
        <v>1759</v>
      </c>
      <c r="E27" s="11">
        <f t="shared" si="44"/>
        <v>1709</v>
      </c>
      <c r="F27" s="11">
        <f t="shared" si="44"/>
        <v>1800</v>
      </c>
      <c r="G27" s="59">
        <f>SUM(C27:F27)</f>
        <v>6889</v>
      </c>
      <c r="H27" s="11">
        <f t="shared" si="44"/>
        <v>1733</v>
      </c>
      <c r="I27" s="11">
        <f t="shared" si="44"/>
        <v>1896</v>
      </c>
      <c r="J27" s="11">
        <f t="shared" si="44"/>
        <v>1794</v>
      </c>
      <c r="K27" s="11">
        <f t="shared" si="44"/>
        <v>1962</v>
      </c>
      <c r="L27" s="59">
        <f>SUM(H27:K27)</f>
        <v>7385</v>
      </c>
      <c r="M27" s="11">
        <f t="shared" si="44"/>
        <v>1910</v>
      </c>
      <c r="N27" s="11">
        <f t="shared" si="44"/>
        <v>1883</v>
      </c>
      <c r="O27" s="11">
        <f t="shared" si="44"/>
        <v>2020</v>
      </c>
      <c r="P27" s="11">
        <f t="shared" si="44"/>
        <v>1969</v>
      </c>
      <c r="Q27" s="59">
        <f>SUM(M27:P27)</f>
        <v>7782</v>
      </c>
      <c r="R27" s="11">
        <f>R21+R23+R25</f>
        <v>1842</v>
      </c>
      <c r="S27" s="11">
        <f t="shared" ref="S27:U27" si="45">S21+S23+S25</f>
        <v>1865</v>
      </c>
      <c r="T27" s="11">
        <f t="shared" si="45"/>
        <v>0</v>
      </c>
      <c r="U27" s="11">
        <f t="shared" si="45"/>
        <v>0</v>
      </c>
      <c r="V27" s="59">
        <f>SUM(R27:U27)</f>
        <v>3707</v>
      </c>
      <c r="W27" s="13"/>
      <c r="X27" s="13"/>
      <c r="Y27" s="13"/>
      <c r="Z27" s="13"/>
      <c r="AA27" s="13"/>
    </row>
    <row r="28" spans="2:27" x14ac:dyDescent="0.25">
      <c r="B28" s="10" t="s">
        <v>131</v>
      </c>
      <c r="C28" s="22"/>
      <c r="D28" s="22"/>
      <c r="E28" s="22"/>
      <c r="F28" s="22"/>
      <c r="G28" s="51"/>
      <c r="H28" s="22">
        <f t="shared" ref="H28:K28" si="46">(H27-C27)/C27</f>
        <v>6.9093152375077113E-2</v>
      </c>
      <c r="I28" s="22">
        <f t="shared" si="46"/>
        <v>7.78851620238772E-2</v>
      </c>
      <c r="J28" s="22">
        <f t="shared" si="46"/>
        <v>4.9736688121708603E-2</v>
      </c>
      <c r="K28" s="22">
        <f t="shared" si="46"/>
        <v>0.09</v>
      </c>
      <c r="L28" s="51">
        <f>(L27-G27)/G27</f>
        <v>7.1998838728407608E-2</v>
      </c>
      <c r="M28" s="22">
        <f t="shared" ref="M28:O28" si="47">(M27-H27)/H27</f>
        <v>0.10213502596653203</v>
      </c>
      <c r="N28" s="22">
        <f t="shared" si="47"/>
        <v>-6.8565400843881861E-3</v>
      </c>
      <c r="O28" s="22">
        <f t="shared" si="47"/>
        <v>0.12597547380156077</v>
      </c>
      <c r="P28" s="22">
        <f>(P27-K27)/K27</f>
        <v>3.5677879714576962E-3</v>
      </c>
      <c r="Q28" s="51">
        <f>(Q27-L27)/L27</f>
        <v>5.3757616790792148E-2</v>
      </c>
      <c r="R28" s="22">
        <f>(R27-M27)/M27</f>
        <v>-3.5602094240837698E-2</v>
      </c>
      <c r="S28" s="22">
        <f>(S27-N27)/N27</f>
        <v>-9.5592140201805637E-3</v>
      </c>
      <c r="T28" s="22">
        <f t="shared" ref="T28:U28" si="48">(T27-O27)/O27</f>
        <v>-1</v>
      </c>
      <c r="U28" s="22">
        <f t="shared" si="48"/>
        <v>-1</v>
      </c>
      <c r="V28" s="51">
        <f>(V27-Q27)/Q27</f>
        <v>-0.52364430737599588</v>
      </c>
      <c r="W28" s="22"/>
      <c r="X28" s="22"/>
      <c r="Y28" s="22"/>
      <c r="Z28" s="22"/>
    </row>
    <row r="29" spans="2:27" ht="20" thickBot="1" x14ac:dyDescent="0.3">
      <c r="B29" s="55" t="s">
        <v>156</v>
      </c>
      <c r="C29" s="56">
        <v>0.06</v>
      </c>
      <c r="D29" s="56">
        <v>7.0000000000000007E-2</v>
      </c>
      <c r="E29" s="56">
        <v>0.03</v>
      </c>
      <c r="F29" s="56">
        <v>7.0000000000000007E-2</v>
      </c>
      <c r="G29" s="57"/>
      <c r="H29" s="56">
        <v>7.0000000000000007E-2</v>
      </c>
      <c r="I29" s="56">
        <v>0.04</v>
      </c>
      <c r="J29" s="56">
        <v>0.05</v>
      </c>
      <c r="K29" s="56">
        <v>0.09</v>
      </c>
      <c r="L29" s="57"/>
      <c r="M29" s="56">
        <v>0.05</v>
      </c>
      <c r="N29" s="56">
        <v>0.04</v>
      </c>
      <c r="O29" s="56">
        <v>0.1</v>
      </c>
      <c r="P29" s="56">
        <v>0.04</v>
      </c>
      <c r="Q29" s="57"/>
      <c r="R29" s="56">
        <v>0.04</v>
      </c>
      <c r="S29" s="56">
        <v>7.0000000000000007E-2</v>
      </c>
      <c r="T29" s="56"/>
      <c r="U29" s="56"/>
      <c r="V29" s="57"/>
      <c r="W29" s="56"/>
      <c r="X29" s="56"/>
      <c r="Y29" s="56"/>
      <c r="Z29" s="5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F15" sqref="F15"/>
    </sheetView>
  </sheetViews>
  <sheetFormatPr baseColWidth="10" defaultRowHeight="16" x14ac:dyDescent="0.2"/>
  <cols>
    <col min="3" max="3" width="29.5" bestFit="1" customWidth="1"/>
    <col min="4" max="6" width="22.1640625" bestFit="1" customWidth="1"/>
  </cols>
  <sheetData>
    <row r="4" spans="3:6" ht="62" x14ac:dyDescent="0.7">
      <c r="C4" s="35"/>
      <c r="D4" s="35" t="s">
        <v>124</v>
      </c>
      <c r="E4" s="35" t="s">
        <v>125</v>
      </c>
      <c r="F4" s="35" t="s">
        <v>126</v>
      </c>
    </row>
    <row r="5" spans="3:6" ht="62" x14ac:dyDescent="0.7">
      <c r="C5" s="35" t="s">
        <v>3</v>
      </c>
      <c r="D5" s="42">
        <f>Modell!$B$9/Modell!AF12</f>
        <v>15.548474076631569</v>
      </c>
      <c r="E5" s="42">
        <f>Modell!$B$9/Modell!AG12</f>
        <v>12.326811054767948</v>
      </c>
      <c r="F5" s="42">
        <f>Modell!$B$9/Modell!AH12</f>
        <v>10.620663734918329</v>
      </c>
    </row>
    <row r="6" spans="3:6" ht="62" x14ac:dyDescent="0.7">
      <c r="C6" s="35" t="s">
        <v>4</v>
      </c>
      <c r="D6" s="42">
        <f>Modell!$B$4/Modell!AF18</f>
        <v>16.740969617359152</v>
      </c>
      <c r="E6" s="42">
        <f>Modell!$B$4/Modell!AG18</f>
        <v>13.272220047428842</v>
      </c>
      <c r="F6" s="42">
        <f>Modell!$B$4/Modell!AH18</f>
        <v>11.435219174959363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GD24"/>
  <sheetViews>
    <sheetView showGridLines="0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N28" sqref="N28"/>
    </sheetView>
  </sheetViews>
  <sheetFormatPr baseColWidth="10" defaultRowHeight="19" x14ac:dyDescent="0.25"/>
  <cols>
    <col min="1" max="1" width="10.83203125" style="2"/>
    <col min="2" max="2" width="21.33203125" style="4" customWidth="1"/>
    <col min="3" max="3" width="32.33203125" style="2" customWidth="1"/>
    <col min="4" max="25" width="10.83203125" style="2"/>
    <col min="26" max="26" width="14.83203125" style="2" bestFit="1" customWidth="1"/>
    <col min="27" max="27" width="13.6640625" style="2" bestFit="1" customWidth="1"/>
    <col min="28" max="16384" width="10.83203125" style="2"/>
  </cols>
  <sheetData>
    <row r="3" spans="1:186" x14ac:dyDescent="0.25">
      <c r="A3" s="1" t="s">
        <v>7</v>
      </c>
      <c r="D3" s="7" t="s">
        <v>58</v>
      </c>
      <c r="E3" s="7" t="s">
        <v>57</v>
      </c>
      <c r="F3" s="7" t="s">
        <v>56</v>
      </c>
      <c r="G3" s="7" t="s">
        <v>54</v>
      </c>
      <c r="H3" s="7" t="s">
        <v>55</v>
      </c>
      <c r="I3" s="7" t="s">
        <v>53</v>
      </c>
      <c r="J3" s="7" t="s">
        <v>52</v>
      </c>
      <c r="K3" s="7" t="s">
        <v>35</v>
      </c>
      <c r="L3" s="7" t="s">
        <v>36</v>
      </c>
      <c r="M3" s="16" t="s">
        <v>34</v>
      </c>
      <c r="N3" s="7" t="s">
        <v>113</v>
      </c>
      <c r="O3" s="7" t="s">
        <v>114</v>
      </c>
      <c r="P3" s="7" t="s">
        <v>115</v>
      </c>
      <c r="Q3" s="7" t="s">
        <v>116</v>
      </c>
      <c r="R3" s="7" t="s">
        <v>117</v>
      </c>
      <c r="S3" s="7" t="s">
        <v>118</v>
      </c>
      <c r="T3" s="7" t="s">
        <v>119</v>
      </c>
      <c r="U3" s="7" t="s">
        <v>120</v>
      </c>
      <c r="V3" s="7" t="s">
        <v>121</v>
      </c>
      <c r="W3" s="7" t="s">
        <v>122</v>
      </c>
      <c r="X3" s="7" t="s">
        <v>123</v>
      </c>
    </row>
    <row r="4" spans="1:186" x14ac:dyDescent="0.25">
      <c r="A4" s="1" t="s">
        <v>127</v>
      </c>
      <c r="C4" s="1" t="s">
        <v>37</v>
      </c>
      <c r="D4" s="11">
        <v>11221</v>
      </c>
      <c r="E4" s="11">
        <v>10704</v>
      </c>
      <c r="F4" s="11">
        <v>11573</v>
      </c>
      <c r="G4" s="11">
        <v>13555</v>
      </c>
      <c r="H4" s="11">
        <v>14601</v>
      </c>
      <c r="I4" s="11">
        <v>13763</v>
      </c>
      <c r="J4" s="11">
        <v>14548</v>
      </c>
      <c r="K4" s="11">
        <v>16869</v>
      </c>
      <c r="L4" s="11">
        <v>18119</v>
      </c>
      <c r="M4" s="12">
        <v>18016</v>
      </c>
      <c r="N4" s="11">
        <f>M4</f>
        <v>18016</v>
      </c>
      <c r="O4" s="11">
        <f t="shared" ref="O4:X4" si="0">N4</f>
        <v>18016</v>
      </c>
      <c r="P4" s="11">
        <f t="shared" si="0"/>
        <v>18016</v>
      </c>
      <c r="Q4" s="11">
        <f t="shared" si="0"/>
        <v>18016</v>
      </c>
      <c r="R4" s="11">
        <f t="shared" si="0"/>
        <v>18016</v>
      </c>
      <c r="S4" s="11">
        <f t="shared" si="0"/>
        <v>18016</v>
      </c>
      <c r="T4" s="11">
        <f t="shared" si="0"/>
        <v>18016</v>
      </c>
      <c r="U4" s="11">
        <f t="shared" si="0"/>
        <v>18016</v>
      </c>
      <c r="V4" s="11">
        <f t="shared" si="0"/>
        <v>18016</v>
      </c>
      <c r="W4" s="11">
        <f t="shared" si="0"/>
        <v>18016</v>
      </c>
      <c r="X4" s="11">
        <f t="shared" si="0"/>
        <v>18016</v>
      </c>
    </row>
    <row r="5" spans="1:186" x14ac:dyDescent="0.25">
      <c r="A5" s="41">
        <f>AA23</f>
        <v>39.359572494066747</v>
      </c>
      <c r="C5" s="2" t="s">
        <v>38</v>
      </c>
      <c r="D5" s="13">
        <v>-6608</v>
      </c>
      <c r="E5" s="13">
        <v>-6277</v>
      </c>
      <c r="F5" s="13">
        <v>-6517</v>
      </c>
      <c r="G5" s="13">
        <v>-7875</v>
      </c>
      <c r="H5" s="13">
        <v>-8464</v>
      </c>
      <c r="I5" s="13">
        <v>-8153</v>
      </c>
      <c r="J5" s="13">
        <v>-9111</v>
      </c>
      <c r="K5" s="13">
        <v>-10520</v>
      </c>
      <c r="L5" s="13">
        <v>-11342</v>
      </c>
      <c r="M5" s="14">
        <v>-11270</v>
      </c>
      <c r="N5" s="13">
        <f>N4*-0.64</f>
        <v>-11530.24</v>
      </c>
      <c r="O5" s="13">
        <f t="shared" ref="O5:X5" si="1">O4*-0.64</f>
        <v>-11530.24</v>
      </c>
      <c r="P5" s="13">
        <f t="shared" si="1"/>
        <v>-11530.24</v>
      </c>
      <c r="Q5" s="13">
        <f t="shared" si="1"/>
        <v>-11530.24</v>
      </c>
      <c r="R5" s="13">
        <f t="shared" si="1"/>
        <v>-11530.24</v>
      </c>
      <c r="S5" s="13">
        <f t="shared" si="1"/>
        <v>-11530.24</v>
      </c>
      <c r="T5" s="13">
        <f t="shared" si="1"/>
        <v>-11530.24</v>
      </c>
      <c r="U5" s="13">
        <f t="shared" si="1"/>
        <v>-11530.24</v>
      </c>
      <c r="V5" s="13">
        <f t="shared" si="1"/>
        <v>-11530.24</v>
      </c>
      <c r="W5" s="13">
        <f t="shared" si="1"/>
        <v>-11530.24</v>
      </c>
      <c r="X5" s="13">
        <f t="shared" si="1"/>
        <v>-11530.24</v>
      </c>
    </row>
    <row r="6" spans="1:186" x14ac:dyDescent="0.25">
      <c r="A6" s="29">
        <f>AA24</f>
        <v>-0.38500667978020708</v>
      </c>
      <c r="C6" s="2" t="s">
        <v>39</v>
      </c>
      <c r="D6" s="13">
        <f t="shared" ref="D6:M6" si="2">SUM(D4:D5)</f>
        <v>4613</v>
      </c>
      <c r="E6" s="13">
        <f t="shared" si="2"/>
        <v>4427</v>
      </c>
      <c r="F6" s="13">
        <f t="shared" si="2"/>
        <v>5056</v>
      </c>
      <c r="G6" s="13">
        <f t="shared" si="2"/>
        <v>5680</v>
      </c>
      <c r="H6" s="13">
        <f t="shared" si="2"/>
        <v>6137</v>
      </c>
      <c r="I6" s="13">
        <f t="shared" si="2"/>
        <v>5610</v>
      </c>
      <c r="J6" s="13">
        <f t="shared" si="2"/>
        <v>5437</v>
      </c>
      <c r="K6" s="13">
        <f t="shared" si="2"/>
        <v>6349</v>
      </c>
      <c r="L6" s="13">
        <f t="shared" si="2"/>
        <v>6777</v>
      </c>
      <c r="M6" s="14">
        <f t="shared" si="2"/>
        <v>6746</v>
      </c>
      <c r="N6" s="13">
        <f t="shared" ref="N6:X6" si="3">SUM(N4:N5)</f>
        <v>6485.76</v>
      </c>
      <c r="O6" s="13">
        <f t="shared" si="3"/>
        <v>6485.76</v>
      </c>
      <c r="P6" s="13">
        <f t="shared" si="3"/>
        <v>6485.76</v>
      </c>
      <c r="Q6" s="13">
        <f t="shared" si="3"/>
        <v>6485.76</v>
      </c>
      <c r="R6" s="13">
        <f t="shared" si="3"/>
        <v>6485.76</v>
      </c>
      <c r="S6" s="13">
        <f t="shared" si="3"/>
        <v>6485.76</v>
      </c>
      <c r="T6" s="13">
        <f t="shared" si="3"/>
        <v>6485.76</v>
      </c>
      <c r="U6" s="13">
        <f t="shared" si="3"/>
        <v>6485.76</v>
      </c>
      <c r="V6" s="13">
        <f t="shared" si="3"/>
        <v>6485.76</v>
      </c>
      <c r="W6" s="13">
        <f t="shared" si="3"/>
        <v>6485.76</v>
      </c>
      <c r="X6" s="13">
        <f t="shared" si="3"/>
        <v>6485.76</v>
      </c>
    </row>
    <row r="7" spans="1:186" x14ac:dyDescent="0.25">
      <c r="C7" s="2" t="s">
        <v>40</v>
      </c>
      <c r="D7" s="13">
        <v>-1336</v>
      </c>
      <c r="E7" s="13">
        <v>-1165</v>
      </c>
      <c r="F7" s="13">
        <v>-1208</v>
      </c>
      <c r="G7" s="13">
        <v>-1296</v>
      </c>
      <c r="H7" s="13">
        <v>-1444</v>
      </c>
      <c r="I7" s="13">
        <v>-1143</v>
      </c>
      <c r="J7" s="13">
        <v>-1355</v>
      </c>
      <c r="K7" s="13">
        <v>-1603</v>
      </c>
      <c r="L7" s="13">
        <v>-1641</v>
      </c>
      <c r="M7" s="14">
        <v>-1650</v>
      </c>
      <c r="N7" s="13">
        <f>M7*0.85</f>
        <v>-1402.5</v>
      </c>
      <c r="O7" s="13">
        <f>N7</f>
        <v>-1402.5</v>
      </c>
      <c r="P7" s="13">
        <f t="shared" ref="P7:X7" si="4">O7</f>
        <v>-1402.5</v>
      </c>
      <c r="Q7" s="13">
        <f t="shared" si="4"/>
        <v>-1402.5</v>
      </c>
      <c r="R7" s="13">
        <f t="shared" si="4"/>
        <v>-1402.5</v>
      </c>
      <c r="S7" s="13">
        <f t="shared" si="4"/>
        <v>-1402.5</v>
      </c>
      <c r="T7" s="13">
        <f t="shared" si="4"/>
        <v>-1402.5</v>
      </c>
      <c r="U7" s="13">
        <f t="shared" si="4"/>
        <v>-1402.5</v>
      </c>
      <c r="V7" s="13">
        <f t="shared" si="4"/>
        <v>-1402.5</v>
      </c>
      <c r="W7" s="13">
        <f t="shared" si="4"/>
        <v>-1402.5</v>
      </c>
      <c r="X7" s="13">
        <f t="shared" si="4"/>
        <v>-1402.5</v>
      </c>
    </row>
    <row r="8" spans="1:186" x14ac:dyDescent="0.25">
      <c r="C8" s="2" t="s">
        <v>41</v>
      </c>
      <c r="D8" s="13">
        <v>-1026</v>
      </c>
      <c r="E8" s="13">
        <v>-928</v>
      </c>
      <c r="F8" s="13">
        <v>-949</v>
      </c>
      <c r="G8" s="13">
        <v>-1039</v>
      </c>
      <c r="H8" s="13">
        <v>-1093</v>
      </c>
      <c r="I8" s="13">
        <v>-1086</v>
      </c>
      <c r="J8" s="13">
        <v>-1173</v>
      </c>
      <c r="K8" s="13">
        <v>-1398</v>
      </c>
      <c r="L8" s="13">
        <v>-1370</v>
      </c>
      <c r="M8" s="14">
        <v>-1412</v>
      </c>
      <c r="N8" s="13">
        <f>M8*0.8</f>
        <v>-1129.6000000000001</v>
      </c>
      <c r="O8" s="13">
        <f t="shared" ref="O8:X11" si="5">N8</f>
        <v>-1129.6000000000001</v>
      </c>
      <c r="P8" s="13">
        <f t="shared" si="5"/>
        <v>-1129.6000000000001</v>
      </c>
      <c r="Q8" s="13">
        <f t="shared" si="5"/>
        <v>-1129.6000000000001</v>
      </c>
      <c r="R8" s="13">
        <f t="shared" si="5"/>
        <v>-1129.6000000000001</v>
      </c>
      <c r="S8" s="13">
        <f t="shared" si="5"/>
        <v>-1129.6000000000001</v>
      </c>
      <c r="T8" s="13">
        <f t="shared" si="5"/>
        <v>-1129.6000000000001</v>
      </c>
      <c r="U8" s="13">
        <f t="shared" si="5"/>
        <v>-1129.6000000000001</v>
      </c>
      <c r="V8" s="13">
        <f t="shared" si="5"/>
        <v>-1129.6000000000001</v>
      </c>
      <c r="W8" s="13">
        <f t="shared" si="5"/>
        <v>-1129.6000000000001</v>
      </c>
      <c r="X8" s="13">
        <f t="shared" si="5"/>
        <v>-1129.6000000000001</v>
      </c>
    </row>
    <row r="9" spans="1:186" x14ac:dyDescent="0.25">
      <c r="C9" s="2" t="s">
        <v>42</v>
      </c>
      <c r="D9" s="13">
        <v>-1065</v>
      </c>
      <c r="E9" s="13">
        <v>-1018</v>
      </c>
      <c r="F9" s="13">
        <v>-1095</v>
      </c>
      <c r="G9" s="13">
        <v>-1592</v>
      </c>
      <c r="H9" s="13">
        <v>-1657</v>
      </c>
      <c r="I9" s="13">
        <v>-1486</v>
      </c>
      <c r="J9" s="13">
        <v>-1372</v>
      </c>
      <c r="K9" s="13">
        <v>-1418</v>
      </c>
      <c r="L9" s="13">
        <v>-1404</v>
      </c>
      <c r="M9" s="14">
        <v>-2676</v>
      </c>
      <c r="N9" s="13">
        <f>M9*0.85</f>
        <v>-2274.6</v>
      </c>
      <c r="O9" s="13">
        <f t="shared" si="5"/>
        <v>-2274.6</v>
      </c>
      <c r="P9" s="13">
        <f t="shared" si="5"/>
        <v>-2274.6</v>
      </c>
      <c r="Q9" s="13">
        <f t="shared" si="5"/>
        <v>-2274.6</v>
      </c>
      <c r="R9" s="13">
        <f t="shared" si="5"/>
        <v>-2274.6</v>
      </c>
      <c r="S9" s="13">
        <f t="shared" si="5"/>
        <v>-2274.6</v>
      </c>
      <c r="T9" s="13">
        <f t="shared" si="5"/>
        <v>-2274.6</v>
      </c>
      <c r="U9" s="13">
        <f t="shared" si="5"/>
        <v>-2274.6</v>
      </c>
      <c r="V9" s="13">
        <f t="shared" si="5"/>
        <v>-2274.6</v>
      </c>
      <c r="W9" s="13">
        <f t="shared" si="5"/>
        <v>-2274.6</v>
      </c>
      <c r="X9" s="13">
        <f t="shared" si="5"/>
        <v>-2274.6</v>
      </c>
    </row>
    <row r="10" spans="1:186" x14ac:dyDescent="0.25">
      <c r="C10" s="2" t="s">
        <v>43</v>
      </c>
      <c r="D10" s="2">
        <v>-598</v>
      </c>
      <c r="E10" s="13">
        <v>-518</v>
      </c>
      <c r="F10" s="13">
        <v>0</v>
      </c>
      <c r="G10" s="13">
        <v>23</v>
      </c>
      <c r="H10" s="13">
        <v>11</v>
      </c>
      <c r="I10" s="13">
        <v>-85</v>
      </c>
      <c r="J10" s="13">
        <v>-48</v>
      </c>
      <c r="K10" s="13">
        <v>-65</v>
      </c>
      <c r="L10" s="13">
        <v>-102</v>
      </c>
      <c r="M10" s="14">
        <v>-108</v>
      </c>
      <c r="N10" s="13">
        <f t="shared" ref="N10:N11" si="6">M10*0.8</f>
        <v>-86.4</v>
      </c>
      <c r="O10" s="13">
        <f t="shared" si="5"/>
        <v>-86.4</v>
      </c>
      <c r="P10" s="13">
        <f t="shared" si="5"/>
        <v>-86.4</v>
      </c>
      <c r="Q10" s="13">
        <f t="shared" si="5"/>
        <v>-86.4</v>
      </c>
      <c r="R10" s="13">
        <f t="shared" si="5"/>
        <v>-86.4</v>
      </c>
      <c r="S10" s="13">
        <f t="shared" si="5"/>
        <v>-86.4</v>
      </c>
      <c r="T10" s="13">
        <f t="shared" si="5"/>
        <v>-86.4</v>
      </c>
      <c r="U10" s="13">
        <f t="shared" si="5"/>
        <v>-86.4</v>
      </c>
      <c r="V10" s="13">
        <f t="shared" si="5"/>
        <v>-86.4</v>
      </c>
      <c r="W10" s="13">
        <f t="shared" si="5"/>
        <v>-86.4</v>
      </c>
      <c r="X10" s="13">
        <f t="shared" si="5"/>
        <v>-86.4</v>
      </c>
    </row>
    <row r="11" spans="1:186" x14ac:dyDescent="0.25">
      <c r="C11" s="2" t="s">
        <v>44</v>
      </c>
      <c r="D11" s="13">
        <v>-165</v>
      </c>
      <c r="E11" s="13">
        <v>-201</v>
      </c>
      <c r="F11" s="13">
        <v>42</v>
      </c>
      <c r="G11" s="13">
        <v>-80</v>
      </c>
      <c r="H11" s="13">
        <v>-298</v>
      </c>
      <c r="I11" s="13">
        <v>97</v>
      </c>
      <c r="J11" s="13">
        <v>155</v>
      </c>
      <c r="K11" s="13">
        <v>-434</v>
      </c>
      <c r="L11" s="13">
        <v>-221</v>
      </c>
      <c r="M11" s="14">
        <v>-9</v>
      </c>
      <c r="N11" s="13">
        <f t="shared" si="6"/>
        <v>-7.2</v>
      </c>
      <c r="O11" s="13">
        <f t="shared" si="5"/>
        <v>-7.2</v>
      </c>
      <c r="P11" s="13">
        <f t="shared" si="5"/>
        <v>-7.2</v>
      </c>
      <c r="Q11" s="13">
        <f t="shared" si="5"/>
        <v>-7.2</v>
      </c>
      <c r="R11" s="13">
        <f t="shared" si="5"/>
        <v>-7.2</v>
      </c>
      <c r="S11" s="13">
        <f t="shared" si="5"/>
        <v>-7.2</v>
      </c>
      <c r="T11" s="13">
        <f t="shared" si="5"/>
        <v>-7.2</v>
      </c>
      <c r="U11" s="13">
        <f t="shared" si="5"/>
        <v>-7.2</v>
      </c>
      <c r="V11" s="13">
        <f t="shared" si="5"/>
        <v>-7.2</v>
      </c>
      <c r="W11" s="13">
        <f t="shared" si="5"/>
        <v>-7.2</v>
      </c>
      <c r="X11" s="13">
        <f t="shared" si="5"/>
        <v>-7.2</v>
      </c>
    </row>
    <row r="12" spans="1:186" x14ac:dyDescent="0.25">
      <c r="C12" s="1" t="s">
        <v>45</v>
      </c>
      <c r="D12" s="11">
        <f t="shared" ref="D12:M12" si="7">SUM(D6:D11)</f>
        <v>423</v>
      </c>
      <c r="E12" s="11">
        <f t="shared" si="7"/>
        <v>597</v>
      </c>
      <c r="F12" s="11">
        <f t="shared" si="7"/>
        <v>1846</v>
      </c>
      <c r="G12" s="11">
        <f t="shared" si="7"/>
        <v>1696</v>
      </c>
      <c r="H12" s="11">
        <f t="shared" si="7"/>
        <v>1656</v>
      </c>
      <c r="I12" s="11">
        <f t="shared" si="7"/>
        <v>1907</v>
      </c>
      <c r="J12" s="11">
        <f t="shared" si="7"/>
        <v>1644</v>
      </c>
      <c r="K12" s="11">
        <f t="shared" si="7"/>
        <v>1431</v>
      </c>
      <c r="L12" s="11">
        <f t="shared" si="7"/>
        <v>2039</v>
      </c>
      <c r="M12" s="12">
        <f t="shared" si="7"/>
        <v>891</v>
      </c>
      <c r="N12" s="11">
        <f t="shared" ref="N12:X12" si="8">SUM(N6:N11)</f>
        <v>1585.4599999999998</v>
      </c>
      <c r="O12" s="11">
        <f t="shared" si="8"/>
        <v>1585.4599999999998</v>
      </c>
      <c r="P12" s="11">
        <f t="shared" si="8"/>
        <v>1585.4599999999998</v>
      </c>
      <c r="Q12" s="11">
        <f t="shared" si="8"/>
        <v>1585.4599999999998</v>
      </c>
      <c r="R12" s="11">
        <f t="shared" si="8"/>
        <v>1585.4599999999998</v>
      </c>
      <c r="S12" s="11">
        <f t="shared" si="8"/>
        <v>1585.4599999999998</v>
      </c>
      <c r="T12" s="11">
        <f t="shared" si="8"/>
        <v>1585.4599999999998</v>
      </c>
      <c r="U12" s="11">
        <f t="shared" si="8"/>
        <v>1585.4599999999998</v>
      </c>
      <c r="V12" s="11">
        <f t="shared" si="8"/>
        <v>1585.4599999999998</v>
      </c>
      <c r="W12" s="11">
        <f t="shared" si="8"/>
        <v>1585.4599999999998</v>
      </c>
      <c r="X12" s="11">
        <f t="shared" si="8"/>
        <v>1585.4599999999998</v>
      </c>
    </row>
    <row r="13" spans="1:186" x14ac:dyDescent="0.25">
      <c r="C13" s="2" t="s">
        <v>46</v>
      </c>
      <c r="D13" s="13">
        <f>11+37-285+3</f>
        <v>-234</v>
      </c>
      <c r="E13" s="13">
        <f>-17+31-271-1</f>
        <v>-258</v>
      </c>
      <c r="F13" s="13">
        <f>-7+67-225+1</f>
        <v>-164</v>
      </c>
      <c r="G13" s="13">
        <f>3+66-186+2</f>
        <v>-115</v>
      </c>
      <c r="H13" s="13">
        <f>-4+63-215-51+4</f>
        <v>-203</v>
      </c>
      <c r="I13" s="13">
        <f>-7+30-253-41-5</f>
        <v>-276</v>
      </c>
      <c r="J13" s="13">
        <f>5+42-159-41+12</f>
        <v>-141</v>
      </c>
      <c r="K13" s="13">
        <f>1+79-272-38-3</f>
        <v>-233</v>
      </c>
      <c r="L13" s="13">
        <v>-371</v>
      </c>
      <c r="M13" s="14">
        <v>-400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</row>
    <row r="14" spans="1:186" x14ac:dyDescent="0.25">
      <c r="C14" s="2" t="s">
        <v>47</v>
      </c>
      <c r="D14" s="13">
        <f t="shared" ref="D14:M14" si="9">SUM(D12:D13)</f>
        <v>189</v>
      </c>
      <c r="E14" s="13">
        <f t="shared" si="9"/>
        <v>339</v>
      </c>
      <c r="F14" s="13">
        <f t="shared" si="9"/>
        <v>1682</v>
      </c>
      <c r="G14" s="13">
        <f t="shared" si="9"/>
        <v>1581</v>
      </c>
      <c r="H14" s="13">
        <f t="shared" si="9"/>
        <v>1453</v>
      </c>
      <c r="I14" s="13">
        <f t="shared" si="9"/>
        <v>1631</v>
      </c>
      <c r="J14" s="13">
        <f t="shared" si="9"/>
        <v>1503</v>
      </c>
      <c r="K14" s="13">
        <f t="shared" si="9"/>
        <v>1198</v>
      </c>
      <c r="L14" s="13">
        <f t="shared" si="9"/>
        <v>1668</v>
      </c>
      <c r="M14" s="14">
        <f t="shared" si="9"/>
        <v>491</v>
      </c>
      <c r="N14" s="13">
        <f t="shared" ref="N14:X14" si="10">SUM(N12:N13)</f>
        <v>1585.4599999999998</v>
      </c>
      <c r="O14" s="13">
        <f t="shared" si="10"/>
        <v>1585.4599999999998</v>
      </c>
      <c r="P14" s="13">
        <f t="shared" si="10"/>
        <v>1585.4599999999998</v>
      </c>
      <c r="Q14" s="13">
        <f t="shared" si="10"/>
        <v>1585.4599999999998</v>
      </c>
      <c r="R14" s="13">
        <f t="shared" si="10"/>
        <v>1585.4599999999998</v>
      </c>
      <c r="S14" s="13">
        <f t="shared" si="10"/>
        <v>1585.4599999999998</v>
      </c>
      <c r="T14" s="13">
        <f t="shared" si="10"/>
        <v>1585.4599999999998</v>
      </c>
      <c r="U14" s="13">
        <f t="shared" si="10"/>
        <v>1585.4599999999998</v>
      </c>
      <c r="V14" s="13">
        <f t="shared" si="10"/>
        <v>1585.4599999999998</v>
      </c>
      <c r="W14" s="13">
        <f t="shared" si="10"/>
        <v>1585.4599999999998</v>
      </c>
      <c r="X14" s="13">
        <f t="shared" si="10"/>
        <v>1585.4599999999998</v>
      </c>
    </row>
    <row r="15" spans="1:186" x14ac:dyDescent="0.25">
      <c r="C15" s="2" t="s">
        <v>48</v>
      </c>
      <c r="D15" s="13">
        <v>-44</v>
      </c>
      <c r="E15" s="13">
        <v>-214</v>
      </c>
      <c r="F15" s="13">
        <v>-333</v>
      </c>
      <c r="G15" s="13">
        <v>-382</v>
      </c>
      <c r="H15" s="13">
        <v>-370</v>
      </c>
      <c r="I15" s="13">
        <v>-377</v>
      </c>
      <c r="J15" s="13">
        <v>-345</v>
      </c>
      <c r="K15" s="13">
        <v>-254</v>
      </c>
      <c r="L15" s="13">
        <v>-365</v>
      </c>
      <c r="M15" s="14">
        <v>-250</v>
      </c>
      <c r="N15" s="13">
        <f>N14*-0.2</f>
        <v>-317.09199999999998</v>
      </c>
      <c r="O15" s="13">
        <f t="shared" ref="O15:W15" si="11">O14*-0.2</f>
        <v>-317.09199999999998</v>
      </c>
      <c r="P15" s="13">
        <f t="shared" si="11"/>
        <v>-317.09199999999998</v>
      </c>
      <c r="Q15" s="13">
        <f t="shared" si="11"/>
        <v>-317.09199999999998</v>
      </c>
      <c r="R15" s="13">
        <f t="shared" si="11"/>
        <v>-317.09199999999998</v>
      </c>
      <c r="S15" s="13">
        <f t="shared" si="11"/>
        <v>-317.09199999999998</v>
      </c>
      <c r="T15" s="13">
        <f t="shared" si="11"/>
        <v>-317.09199999999998</v>
      </c>
      <c r="U15" s="13">
        <f t="shared" si="11"/>
        <v>-317.09199999999998</v>
      </c>
      <c r="V15" s="13">
        <f t="shared" si="11"/>
        <v>-317.09199999999998</v>
      </c>
      <c r="W15" s="13">
        <f t="shared" si="11"/>
        <v>-317.09199999999998</v>
      </c>
      <c r="X15" s="13">
        <f>X14*-0.2</f>
        <v>-317.09199999999998</v>
      </c>
    </row>
    <row r="16" spans="1:186" x14ac:dyDescent="0.25">
      <c r="C16" s="1" t="s">
        <v>49</v>
      </c>
      <c r="D16" s="11">
        <f t="shared" ref="D16:M16" si="12">SUM(D14:D15)</f>
        <v>145</v>
      </c>
      <c r="E16" s="11">
        <f t="shared" si="12"/>
        <v>125</v>
      </c>
      <c r="F16" s="11">
        <f t="shared" si="12"/>
        <v>1349</v>
      </c>
      <c r="G16" s="11">
        <f t="shared" si="12"/>
        <v>1199</v>
      </c>
      <c r="H16" s="11">
        <f t="shared" si="12"/>
        <v>1083</v>
      </c>
      <c r="I16" s="11">
        <f t="shared" si="12"/>
        <v>1254</v>
      </c>
      <c r="J16" s="11">
        <f t="shared" si="12"/>
        <v>1158</v>
      </c>
      <c r="K16" s="11">
        <f t="shared" si="12"/>
        <v>944</v>
      </c>
      <c r="L16" s="11">
        <f t="shared" si="12"/>
        <v>1303</v>
      </c>
      <c r="M16" s="12">
        <f t="shared" si="12"/>
        <v>241</v>
      </c>
      <c r="N16" s="11">
        <f t="shared" ref="N16:X16" si="13">SUM(N14:N15)</f>
        <v>1268.3679999999999</v>
      </c>
      <c r="O16" s="11">
        <f t="shared" si="13"/>
        <v>1268.3679999999999</v>
      </c>
      <c r="P16" s="11">
        <f t="shared" si="13"/>
        <v>1268.3679999999999</v>
      </c>
      <c r="Q16" s="11">
        <f t="shared" si="13"/>
        <v>1268.3679999999999</v>
      </c>
      <c r="R16" s="11">
        <f t="shared" si="13"/>
        <v>1268.3679999999999</v>
      </c>
      <c r="S16" s="11">
        <f t="shared" si="13"/>
        <v>1268.3679999999999</v>
      </c>
      <c r="T16" s="11">
        <f t="shared" si="13"/>
        <v>1268.3679999999999</v>
      </c>
      <c r="U16" s="11">
        <f t="shared" si="13"/>
        <v>1268.3679999999999</v>
      </c>
      <c r="V16" s="11">
        <f t="shared" si="13"/>
        <v>1268.3679999999999</v>
      </c>
      <c r="W16" s="11">
        <f t="shared" si="13"/>
        <v>1268.3679999999999</v>
      </c>
      <c r="X16" s="11">
        <f t="shared" si="13"/>
        <v>1268.3679999999999</v>
      </c>
      <c r="Y16" s="11">
        <f>X16*(1+$AA$20)</f>
        <v>1255.6843199999998</v>
      </c>
      <c r="Z16" s="11">
        <f t="shared" ref="Z16:CK16" si="14">Y16*(1+$AA$20)</f>
        <v>1243.1274767999998</v>
      </c>
      <c r="AA16" s="11">
        <f t="shared" si="14"/>
        <v>1230.6962020319997</v>
      </c>
      <c r="AB16" s="11">
        <f t="shared" si="14"/>
        <v>1218.3892400116797</v>
      </c>
      <c r="AC16" s="11">
        <f t="shared" si="14"/>
        <v>1206.205347611563</v>
      </c>
      <c r="AD16" s="11">
        <f t="shared" si="14"/>
        <v>1194.1432941354474</v>
      </c>
      <c r="AE16" s="11">
        <f t="shared" si="14"/>
        <v>1182.201861194093</v>
      </c>
      <c r="AF16" s="11">
        <f t="shared" si="14"/>
        <v>1170.3798425821522</v>
      </c>
      <c r="AG16" s="11">
        <f t="shared" si="14"/>
        <v>1158.6760441563306</v>
      </c>
      <c r="AH16" s="11">
        <f t="shared" si="14"/>
        <v>1147.0892837147674</v>
      </c>
      <c r="AI16" s="11">
        <f t="shared" si="14"/>
        <v>1135.6183908776197</v>
      </c>
      <c r="AJ16" s="11">
        <f t="shared" si="14"/>
        <v>1124.2622069688434</v>
      </c>
      <c r="AK16" s="11">
        <f t="shared" si="14"/>
        <v>1113.019584899155</v>
      </c>
      <c r="AL16" s="11">
        <f t="shared" si="14"/>
        <v>1101.8893890501633</v>
      </c>
      <c r="AM16" s="11">
        <f t="shared" si="14"/>
        <v>1090.8704951596617</v>
      </c>
      <c r="AN16" s="11">
        <f t="shared" si="14"/>
        <v>1079.9617902080652</v>
      </c>
      <c r="AO16" s="11">
        <f t="shared" si="14"/>
        <v>1069.1621723059845</v>
      </c>
      <c r="AP16" s="11">
        <f t="shared" si="14"/>
        <v>1058.4705505829247</v>
      </c>
      <c r="AQ16" s="11">
        <f t="shared" si="14"/>
        <v>1047.8858450770954</v>
      </c>
      <c r="AR16" s="11">
        <f t="shared" si="14"/>
        <v>1037.4069866263244</v>
      </c>
      <c r="AS16" s="11">
        <f t="shared" si="14"/>
        <v>1027.0329167600612</v>
      </c>
      <c r="AT16" s="11">
        <f t="shared" si="14"/>
        <v>1016.7625875924606</v>
      </c>
      <c r="AU16" s="11">
        <f t="shared" si="14"/>
        <v>1006.594961716536</v>
      </c>
      <c r="AV16" s="11">
        <f t="shared" si="14"/>
        <v>996.52901209937056</v>
      </c>
      <c r="AW16" s="11">
        <f t="shared" si="14"/>
        <v>986.56372197837686</v>
      </c>
      <c r="AX16" s="11">
        <f t="shared" si="14"/>
        <v>976.69808475859304</v>
      </c>
      <c r="AY16" s="11">
        <f t="shared" si="14"/>
        <v>966.93110391100709</v>
      </c>
      <c r="AZ16" s="11">
        <f t="shared" si="14"/>
        <v>957.261792871897</v>
      </c>
      <c r="BA16" s="11">
        <f t="shared" si="14"/>
        <v>947.68917494317805</v>
      </c>
      <c r="BB16" s="11">
        <f t="shared" si="14"/>
        <v>938.2122831937462</v>
      </c>
      <c r="BC16" s="11">
        <f t="shared" si="14"/>
        <v>928.83016036180868</v>
      </c>
      <c r="BD16" s="11">
        <f t="shared" si="14"/>
        <v>919.54185875819053</v>
      </c>
      <c r="BE16" s="11">
        <f t="shared" si="14"/>
        <v>910.34644017060862</v>
      </c>
      <c r="BF16" s="11">
        <f t="shared" si="14"/>
        <v>901.24297576890251</v>
      </c>
      <c r="BG16" s="11">
        <f t="shared" si="14"/>
        <v>892.23054601121351</v>
      </c>
      <c r="BH16" s="11">
        <f t="shared" si="14"/>
        <v>883.30824055110133</v>
      </c>
      <c r="BI16" s="11">
        <f t="shared" si="14"/>
        <v>874.47515814559029</v>
      </c>
      <c r="BJ16" s="11">
        <f t="shared" si="14"/>
        <v>865.73040656413434</v>
      </c>
      <c r="BK16" s="11">
        <f t="shared" si="14"/>
        <v>857.07310249849297</v>
      </c>
      <c r="BL16" s="11">
        <f t="shared" si="14"/>
        <v>848.50237147350799</v>
      </c>
      <c r="BM16" s="11">
        <f t="shared" si="14"/>
        <v>840.01734775877287</v>
      </c>
      <c r="BN16" s="11">
        <f t="shared" si="14"/>
        <v>831.61717428118516</v>
      </c>
      <c r="BO16" s="11">
        <f t="shared" si="14"/>
        <v>823.30100253837327</v>
      </c>
      <c r="BP16" s="11">
        <f t="shared" si="14"/>
        <v>815.06799251298958</v>
      </c>
      <c r="BQ16" s="11">
        <f t="shared" si="14"/>
        <v>806.91731258785967</v>
      </c>
      <c r="BR16" s="11">
        <f t="shared" si="14"/>
        <v>798.84813946198108</v>
      </c>
      <c r="BS16" s="11">
        <f t="shared" si="14"/>
        <v>790.85965806736124</v>
      </c>
      <c r="BT16" s="11">
        <f t="shared" si="14"/>
        <v>782.95106148668765</v>
      </c>
      <c r="BU16" s="11">
        <f t="shared" si="14"/>
        <v>775.12155087182077</v>
      </c>
      <c r="BV16" s="11">
        <f t="shared" si="14"/>
        <v>767.37033536310253</v>
      </c>
      <c r="BW16" s="11">
        <f t="shared" si="14"/>
        <v>759.6966320094715</v>
      </c>
      <c r="BX16" s="11">
        <f t="shared" si="14"/>
        <v>752.09966568937682</v>
      </c>
      <c r="BY16" s="11">
        <f t="shared" si="14"/>
        <v>744.57866903248305</v>
      </c>
      <c r="BZ16" s="11">
        <f t="shared" si="14"/>
        <v>737.13288234215827</v>
      </c>
      <c r="CA16" s="11">
        <f t="shared" si="14"/>
        <v>729.76155351873672</v>
      </c>
      <c r="CB16" s="11">
        <f t="shared" si="14"/>
        <v>722.46393798354939</v>
      </c>
      <c r="CC16" s="11">
        <f t="shared" si="14"/>
        <v>715.23929860371391</v>
      </c>
      <c r="CD16" s="11">
        <f t="shared" si="14"/>
        <v>708.08690561767673</v>
      </c>
      <c r="CE16" s="11">
        <f t="shared" si="14"/>
        <v>701.00603656149997</v>
      </c>
      <c r="CF16" s="11">
        <f t="shared" si="14"/>
        <v>693.99597619588496</v>
      </c>
      <c r="CG16" s="11">
        <f t="shared" si="14"/>
        <v>687.05601643392606</v>
      </c>
      <c r="CH16" s="11">
        <f t="shared" si="14"/>
        <v>680.18545626958678</v>
      </c>
      <c r="CI16" s="11">
        <f t="shared" si="14"/>
        <v>673.38360170689089</v>
      </c>
      <c r="CJ16" s="11">
        <f t="shared" si="14"/>
        <v>666.64976568982195</v>
      </c>
      <c r="CK16" s="11">
        <f t="shared" si="14"/>
        <v>659.98326803292377</v>
      </c>
      <c r="CL16" s="11">
        <f t="shared" ref="CL16:EW16" si="15">CK16*(1+$AA$20)</f>
        <v>653.38343535259457</v>
      </c>
      <c r="CM16" s="11">
        <f t="shared" si="15"/>
        <v>646.84960099906857</v>
      </c>
      <c r="CN16" s="11">
        <f t="shared" si="15"/>
        <v>640.38110498907793</v>
      </c>
      <c r="CO16" s="11">
        <f t="shared" si="15"/>
        <v>633.97729393918712</v>
      </c>
      <c r="CP16" s="11">
        <f t="shared" si="15"/>
        <v>627.63752099979524</v>
      </c>
      <c r="CQ16" s="11">
        <f t="shared" si="15"/>
        <v>621.36114578979732</v>
      </c>
      <c r="CR16" s="11">
        <f t="shared" si="15"/>
        <v>615.14753433189935</v>
      </c>
      <c r="CS16" s="11">
        <f t="shared" si="15"/>
        <v>608.99605898858033</v>
      </c>
      <c r="CT16" s="11">
        <f t="shared" si="15"/>
        <v>602.90609839869455</v>
      </c>
      <c r="CU16" s="11">
        <f t="shared" si="15"/>
        <v>596.87703741470762</v>
      </c>
      <c r="CV16" s="11">
        <f t="shared" si="15"/>
        <v>590.90826704056053</v>
      </c>
      <c r="CW16" s="11">
        <f t="shared" si="15"/>
        <v>584.99918437015492</v>
      </c>
      <c r="CX16" s="11">
        <f t="shared" si="15"/>
        <v>579.14919252645336</v>
      </c>
      <c r="CY16" s="11">
        <f t="shared" si="15"/>
        <v>573.35770060118887</v>
      </c>
      <c r="CZ16" s="11">
        <f t="shared" si="15"/>
        <v>567.62412359517702</v>
      </c>
      <c r="DA16" s="11">
        <f t="shared" si="15"/>
        <v>561.94788235922522</v>
      </c>
      <c r="DB16" s="11">
        <f t="shared" si="15"/>
        <v>556.32840353563302</v>
      </c>
      <c r="DC16" s="11">
        <f t="shared" si="15"/>
        <v>550.76511950027668</v>
      </c>
      <c r="DD16" s="11">
        <f t="shared" si="15"/>
        <v>545.25746830527396</v>
      </c>
      <c r="DE16" s="11">
        <f t="shared" si="15"/>
        <v>539.80489362222124</v>
      </c>
      <c r="DF16" s="11">
        <f t="shared" si="15"/>
        <v>534.40684468599898</v>
      </c>
      <c r="DG16" s="11">
        <f t="shared" si="15"/>
        <v>529.062776239139</v>
      </c>
      <c r="DH16" s="11">
        <f t="shared" si="15"/>
        <v>523.77214847674759</v>
      </c>
      <c r="DI16" s="11">
        <f t="shared" si="15"/>
        <v>518.53442699198013</v>
      </c>
      <c r="DJ16" s="11">
        <f t="shared" si="15"/>
        <v>513.3490827220603</v>
      </c>
      <c r="DK16" s="11">
        <f t="shared" si="15"/>
        <v>508.21559189483969</v>
      </c>
      <c r="DL16" s="11">
        <f t="shared" si="15"/>
        <v>503.1334359758913</v>
      </c>
      <c r="DM16" s="11">
        <f t="shared" si="15"/>
        <v>498.10210161613236</v>
      </c>
      <c r="DN16" s="11">
        <f t="shared" si="15"/>
        <v>493.12108059997104</v>
      </c>
      <c r="DO16" s="11">
        <f t="shared" si="15"/>
        <v>488.1898697939713</v>
      </c>
      <c r="DP16" s="11">
        <f t="shared" si="15"/>
        <v>483.30797109603157</v>
      </c>
      <c r="DQ16" s="11">
        <f t="shared" si="15"/>
        <v>478.47489138507126</v>
      </c>
      <c r="DR16" s="11">
        <f t="shared" si="15"/>
        <v>473.69014247122055</v>
      </c>
      <c r="DS16" s="11">
        <f t="shared" si="15"/>
        <v>468.95324104650837</v>
      </c>
      <c r="DT16" s="11">
        <f t="shared" si="15"/>
        <v>464.2637086360433</v>
      </c>
      <c r="DU16" s="11">
        <f t="shared" si="15"/>
        <v>459.62107154968288</v>
      </c>
      <c r="DV16" s="11">
        <f t="shared" si="15"/>
        <v>455.02486083418603</v>
      </c>
      <c r="DW16" s="11">
        <f t="shared" si="15"/>
        <v>450.47461222584417</v>
      </c>
      <c r="DX16" s="11">
        <f t="shared" si="15"/>
        <v>445.96986610358573</v>
      </c>
      <c r="DY16" s="11">
        <f t="shared" si="15"/>
        <v>441.51016744254986</v>
      </c>
      <c r="DZ16" s="11">
        <f t="shared" si="15"/>
        <v>437.09506576812436</v>
      </c>
      <c r="EA16" s="11">
        <f t="shared" si="15"/>
        <v>432.72411511044311</v>
      </c>
      <c r="EB16" s="11">
        <f t="shared" si="15"/>
        <v>428.39687395933868</v>
      </c>
      <c r="EC16" s="11">
        <f t="shared" si="15"/>
        <v>424.1129052197453</v>
      </c>
      <c r="ED16" s="11">
        <f t="shared" si="15"/>
        <v>419.87177616754786</v>
      </c>
      <c r="EE16" s="11">
        <f t="shared" si="15"/>
        <v>415.67305840587238</v>
      </c>
      <c r="EF16" s="11">
        <f t="shared" si="15"/>
        <v>411.51632782181366</v>
      </c>
      <c r="EG16" s="11">
        <f t="shared" si="15"/>
        <v>407.40116454359554</v>
      </c>
      <c r="EH16" s="11">
        <f t="shared" si="15"/>
        <v>403.32715289815957</v>
      </c>
      <c r="EI16" s="11">
        <f t="shared" si="15"/>
        <v>399.293881369178</v>
      </c>
      <c r="EJ16" s="11">
        <f t="shared" si="15"/>
        <v>395.30094255548619</v>
      </c>
      <c r="EK16" s="11">
        <f t="shared" si="15"/>
        <v>391.34793312993133</v>
      </c>
      <c r="EL16" s="11">
        <f t="shared" si="15"/>
        <v>387.43445379863203</v>
      </c>
      <c r="EM16" s="11">
        <f t="shared" si="15"/>
        <v>383.56010926064573</v>
      </c>
      <c r="EN16" s="11">
        <f t="shared" si="15"/>
        <v>379.72450816803928</v>
      </c>
      <c r="EO16" s="11">
        <f t="shared" si="15"/>
        <v>375.92726308635889</v>
      </c>
      <c r="EP16" s="11">
        <f t="shared" si="15"/>
        <v>372.16799045549527</v>
      </c>
      <c r="EQ16" s="11">
        <f t="shared" si="15"/>
        <v>368.44631055094032</v>
      </c>
      <c r="ER16" s="11">
        <f t="shared" si="15"/>
        <v>364.76184744543093</v>
      </c>
      <c r="ES16" s="11">
        <f t="shared" si="15"/>
        <v>361.11422897097663</v>
      </c>
      <c r="ET16" s="11">
        <f t="shared" si="15"/>
        <v>357.50308668126684</v>
      </c>
      <c r="EU16" s="11">
        <f t="shared" si="15"/>
        <v>353.92805581445418</v>
      </c>
      <c r="EV16" s="11">
        <f t="shared" si="15"/>
        <v>350.38877525630966</v>
      </c>
      <c r="EW16" s="11">
        <f t="shared" si="15"/>
        <v>346.88488750374654</v>
      </c>
      <c r="EX16" s="11">
        <f t="shared" ref="EX16:GD16" si="16">EW16*(1+$AA$20)</f>
        <v>343.41603862870909</v>
      </c>
      <c r="EY16" s="11">
        <f t="shared" si="16"/>
        <v>339.981878242422</v>
      </c>
      <c r="EZ16" s="11">
        <f t="shared" si="16"/>
        <v>336.58205945999777</v>
      </c>
      <c r="FA16" s="11">
        <f t="shared" si="16"/>
        <v>333.21623886539777</v>
      </c>
      <c r="FB16" s="11">
        <f t="shared" si="16"/>
        <v>329.88407647674381</v>
      </c>
      <c r="FC16" s="11">
        <f t="shared" si="16"/>
        <v>326.5852357119764</v>
      </c>
      <c r="FD16" s="11">
        <f t="shared" si="16"/>
        <v>323.31938335485665</v>
      </c>
      <c r="FE16" s="11">
        <f t="shared" si="16"/>
        <v>320.08618952130809</v>
      </c>
      <c r="FF16" s="11">
        <f t="shared" si="16"/>
        <v>316.88532762609498</v>
      </c>
      <c r="FG16" s="11">
        <f t="shared" si="16"/>
        <v>313.71647434983402</v>
      </c>
      <c r="FH16" s="11">
        <f t="shared" si="16"/>
        <v>310.5793096063357</v>
      </c>
      <c r="FI16" s="11">
        <f t="shared" si="16"/>
        <v>307.47351651027236</v>
      </c>
      <c r="FJ16" s="11">
        <f t="shared" si="16"/>
        <v>304.39878134516965</v>
      </c>
      <c r="FK16" s="11">
        <f t="shared" si="16"/>
        <v>301.35479353171797</v>
      </c>
      <c r="FL16" s="11">
        <f t="shared" si="16"/>
        <v>298.34124559640077</v>
      </c>
      <c r="FM16" s="11">
        <f t="shared" si="16"/>
        <v>295.35783314043675</v>
      </c>
      <c r="FN16" s="11">
        <f t="shared" si="16"/>
        <v>292.40425480903241</v>
      </c>
      <c r="FO16" s="11">
        <f t="shared" si="16"/>
        <v>289.4802122609421</v>
      </c>
      <c r="FP16" s="11">
        <f t="shared" si="16"/>
        <v>286.58541013833269</v>
      </c>
      <c r="FQ16" s="11">
        <f t="shared" si="16"/>
        <v>283.71955603694937</v>
      </c>
      <c r="FR16" s="11">
        <f t="shared" si="16"/>
        <v>280.88236047657989</v>
      </c>
      <c r="FS16" s="11">
        <f t="shared" si="16"/>
        <v>278.0735368718141</v>
      </c>
      <c r="FT16" s="11">
        <f t="shared" si="16"/>
        <v>275.29280150309597</v>
      </c>
      <c r="FU16" s="11">
        <f t="shared" si="16"/>
        <v>272.53987348806498</v>
      </c>
      <c r="FV16" s="11">
        <f t="shared" si="16"/>
        <v>269.81447475318436</v>
      </c>
      <c r="FW16" s="11">
        <f t="shared" si="16"/>
        <v>267.11633000565251</v>
      </c>
      <c r="FX16" s="11">
        <f t="shared" si="16"/>
        <v>264.44516670559597</v>
      </c>
      <c r="FY16" s="11">
        <f t="shared" si="16"/>
        <v>261.80071503853998</v>
      </c>
      <c r="FZ16" s="11">
        <f t="shared" si="16"/>
        <v>259.1827078881546</v>
      </c>
      <c r="GA16" s="11">
        <f t="shared" si="16"/>
        <v>256.59088080927307</v>
      </c>
      <c r="GB16" s="11">
        <f t="shared" si="16"/>
        <v>254.02497200118034</v>
      </c>
      <c r="GC16" s="11">
        <f t="shared" si="16"/>
        <v>251.48472228116853</v>
      </c>
      <c r="GD16" s="11">
        <f t="shared" si="16"/>
        <v>248.96987505835685</v>
      </c>
    </row>
    <row r="17" spans="2:27" x14ac:dyDescent="0.25">
      <c r="C17" s="2" t="s">
        <v>50</v>
      </c>
      <c r="D17" s="27">
        <v>382.08300000000003</v>
      </c>
      <c r="E17" s="27">
        <v>382.08300000000003</v>
      </c>
      <c r="F17" s="27">
        <v>382.08300000000003</v>
      </c>
      <c r="G17" s="27">
        <v>382.08300000000003</v>
      </c>
      <c r="H17" s="27">
        <v>382.08300000000003</v>
      </c>
      <c r="I17" s="27">
        <v>382.08300000000003</v>
      </c>
      <c r="J17" s="27">
        <v>382.08300000000003</v>
      </c>
      <c r="K17" s="27">
        <v>382.08300000000003</v>
      </c>
      <c r="L17" s="27">
        <v>382.08300000000003</v>
      </c>
      <c r="M17" s="5">
        <v>382.08300000000003</v>
      </c>
      <c r="N17" s="27">
        <v>382.08300000000003</v>
      </c>
      <c r="O17" s="27">
        <v>382.08300000000003</v>
      </c>
      <c r="P17" s="27">
        <v>382.08300000000003</v>
      </c>
      <c r="Q17" s="27">
        <v>382.08300000000003</v>
      </c>
      <c r="R17" s="27">
        <v>382.08300000000003</v>
      </c>
      <c r="S17" s="27">
        <v>382.08300000000003</v>
      </c>
      <c r="T17" s="27">
        <v>382.08300000000003</v>
      </c>
      <c r="U17" s="27">
        <v>382.08300000000003</v>
      </c>
      <c r="V17" s="27">
        <v>382.08300000000003</v>
      </c>
      <c r="W17" s="27">
        <v>382.08300000000003</v>
      </c>
      <c r="X17" s="27">
        <v>382.08300000000003</v>
      </c>
    </row>
    <row r="18" spans="2:27" x14ac:dyDescent="0.25">
      <c r="C18" s="2" t="s">
        <v>51</v>
      </c>
      <c r="D18" s="28">
        <f t="shared" ref="D18:K18" si="17">D16/D17</f>
        <v>0.3794986953096578</v>
      </c>
      <c r="E18" s="28">
        <f t="shared" si="17"/>
        <v>0.32715404768073952</v>
      </c>
      <c r="F18" s="28">
        <f t="shared" si="17"/>
        <v>3.5306464825705408</v>
      </c>
      <c r="G18" s="28">
        <f t="shared" si="17"/>
        <v>3.1380616253536533</v>
      </c>
      <c r="H18" s="28">
        <f t="shared" si="17"/>
        <v>2.8344626691059269</v>
      </c>
      <c r="I18" s="28">
        <f t="shared" si="17"/>
        <v>3.2820094063331786</v>
      </c>
      <c r="J18" s="28">
        <f t="shared" si="17"/>
        <v>3.0307550977143709</v>
      </c>
      <c r="K18" s="28">
        <f t="shared" si="17"/>
        <v>2.4706673680849449</v>
      </c>
      <c r="L18" s="28">
        <f>L16/L17</f>
        <v>3.4102537930240286</v>
      </c>
      <c r="M18" s="20">
        <f>M16/M17</f>
        <v>0.63075300392846578</v>
      </c>
      <c r="N18" s="28">
        <f t="shared" ref="N18:X18" si="18">N16/N17</f>
        <v>3.3196138011897935</v>
      </c>
      <c r="O18" s="28">
        <f t="shared" si="18"/>
        <v>3.3196138011897935</v>
      </c>
      <c r="P18" s="28">
        <f t="shared" si="18"/>
        <v>3.3196138011897935</v>
      </c>
      <c r="Q18" s="28">
        <f t="shared" si="18"/>
        <v>3.3196138011897935</v>
      </c>
      <c r="R18" s="28">
        <f t="shared" si="18"/>
        <v>3.3196138011897935</v>
      </c>
      <c r="S18" s="28">
        <f t="shared" si="18"/>
        <v>3.3196138011897935</v>
      </c>
      <c r="T18" s="28">
        <f t="shared" si="18"/>
        <v>3.3196138011897935</v>
      </c>
      <c r="U18" s="28">
        <f t="shared" si="18"/>
        <v>3.3196138011897935</v>
      </c>
      <c r="V18" s="28">
        <f t="shared" si="18"/>
        <v>3.3196138011897935</v>
      </c>
      <c r="W18" s="28">
        <f t="shared" si="18"/>
        <v>3.3196138011897935</v>
      </c>
      <c r="X18" s="28">
        <f t="shared" si="18"/>
        <v>3.3196138011897935</v>
      </c>
    </row>
    <row r="19" spans="2:27" x14ac:dyDescent="0.25">
      <c r="D19" s="13"/>
      <c r="E19" s="13"/>
      <c r="F19" s="13"/>
      <c r="G19" s="13"/>
      <c r="H19" s="13"/>
      <c r="I19" s="13"/>
      <c r="J19" s="13"/>
      <c r="K19" s="13"/>
      <c r="L19" s="13"/>
      <c r="M19" s="14"/>
      <c r="Z19" s="2" t="s">
        <v>107</v>
      </c>
      <c r="AA19" s="31">
        <v>0.08</v>
      </c>
    </row>
    <row r="20" spans="2:27" x14ac:dyDescent="0.25">
      <c r="C20" s="1" t="s">
        <v>5</v>
      </c>
      <c r="D20" s="13"/>
      <c r="E20" s="29">
        <f t="shared" ref="E20:L20" si="19">(E4-D4)/D4</f>
        <v>-4.6074324926477138E-2</v>
      </c>
      <c r="F20" s="29">
        <f t="shared" si="19"/>
        <v>8.1184603886397602E-2</v>
      </c>
      <c r="G20" s="29">
        <f t="shared" si="19"/>
        <v>0.1712606929923097</v>
      </c>
      <c r="H20" s="29">
        <f t="shared" si="19"/>
        <v>7.7167097012172628E-2</v>
      </c>
      <c r="I20" s="29">
        <f t="shared" si="19"/>
        <v>-5.7393329224025749E-2</v>
      </c>
      <c r="J20" s="29">
        <f t="shared" si="19"/>
        <v>5.7036983215868635E-2</v>
      </c>
      <c r="K20" s="29">
        <f t="shared" si="19"/>
        <v>0.15954083035468794</v>
      </c>
      <c r="L20" s="29">
        <f t="shared" si="19"/>
        <v>7.4100420890390664E-2</v>
      </c>
      <c r="M20" s="30">
        <f>(M4-L4)/L4</f>
        <v>-5.6846404326949609E-3</v>
      </c>
      <c r="N20" s="29">
        <f t="shared" ref="N20:X20" si="20">(N4-M4)/M4</f>
        <v>0</v>
      </c>
      <c r="O20" s="29">
        <f t="shared" si="20"/>
        <v>0</v>
      </c>
      <c r="P20" s="29">
        <f t="shared" si="20"/>
        <v>0</v>
      </c>
      <c r="Q20" s="29">
        <f t="shared" si="20"/>
        <v>0</v>
      </c>
      <c r="R20" s="29">
        <f t="shared" si="20"/>
        <v>0</v>
      </c>
      <c r="S20" s="29">
        <f t="shared" si="20"/>
        <v>0</v>
      </c>
      <c r="T20" s="29">
        <f t="shared" si="20"/>
        <v>0</v>
      </c>
      <c r="U20" s="29">
        <f t="shared" si="20"/>
        <v>0</v>
      </c>
      <c r="V20" s="29">
        <f t="shared" si="20"/>
        <v>0</v>
      </c>
      <c r="W20" s="29">
        <f t="shared" si="20"/>
        <v>0</v>
      </c>
      <c r="X20" s="29">
        <f t="shared" si="20"/>
        <v>0</v>
      </c>
      <c r="Z20" s="2" t="s">
        <v>108</v>
      </c>
      <c r="AA20" s="31">
        <v>-0.01</v>
      </c>
    </row>
    <row r="21" spans="2:27" x14ac:dyDescent="0.25">
      <c r="C21" s="2" t="s">
        <v>8</v>
      </c>
      <c r="D21" s="18">
        <f t="shared" ref="D21:L21" si="21">D6/D4</f>
        <v>0.41110417966313162</v>
      </c>
      <c r="E21" s="18">
        <f t="shared" si="21"/>
        <v>0.41358370702541108</v>
      </c>
      <c r="F21" s="18">
        <f t="shared" si="21"/>
        <v>0.43687894236585156</v>
      </c>
      <c r="G21" s="18">
        <f t="shared" si="21"/>
        <v>0.41903356694946514</v>
      </c>
      <c r="H21" s="18">
        <f t="shared" si="21"/>
        <v>0.42031367714540102</v>
      </c>
      <c r="I21" s="18">
        <f t="shared" si="21"/>
        <v>0.40761461890576184</v>
      </c>
      <c r="J21" s="18">
        <f t="shared" si="21"/>
        <v>0.37372834753918066</v>
      </c>
      <c r="K21" s="18">
        <f t="shared" si="21"/>
        <v>0.37637085778647222</v>
      </c>
      <c r="L21" s="18">
        <f t="shared" si="21"/>
        <v>0.37402726419780341</v>
      </c>
      <c r="M21" s="19">
        <f>M6/M4</f>
        <v>0.37444493783303728</v>
      </c>
      <c r="N21" s="18">
        <f t="shared" ref="N21:X21" si="22">N6/N4</f>
        <v>0.36</v>
      </c>
      <c r="O21" s="18">
        <f t="shared" si="22"/>
        <v>0.36</v>
      </c>
      <c r="P21" s="18">
        <f t="shared" si="22"/>
        <v>0.36</v>
      </c>
      <c r="Q21" s="18">
        <f t="shared" si="22"/>
        <v>0.36</v>
      </c>
      <c r="R21" s="18">
        <f t="shared" si="22"/>
        <v>0.36</v>
      </c>
      <c r="S21" s="18">
        <f t="shared" si="22"/>
        <v>0.36</v>
      </c>
      <c r="T21" s="18">
        <f t="shared" si="22"/>
        <v>0.36</v>
      </c>
      <c r="U21" s="18">
        <f t="shared" si="22"/>
        <v>0.36</v>
      </c>
      <c r="V21" s="18">
        <f t="shared" si="22"/>
        <v>0.36</v>
      </c>
      <c r="W21" s="18">
        <f t="shared" si="22"/>
        <v>0.36</v>
      </c>
      <c r="X21" s="18">
        <f t="shared" si="22"/>
        <v>0.36</v>
      </c>
      <c r="Z21" s="32" t="s">
        <v>109</v>
      </c>
      <c r="AA21" s="33">
        <f>NPV(AA19,N16:GD16)</f>
        <v>15038.623537250507</v>
      </c>
    </row>
    <row r="22" spans="2:27" x14ac:dyDescent="0.25">
      <c r="C22" s="2" t="s">
        <v>6</v>
      </c>
      <c r="D22" s="18">
        <f t="shared" ref="D22:L22" si="23">D12/D4</f>
        <v>3.7697174939844931E-2</v>
      </c>
      <c r="E22" s="18">
        <f t="shared" si="23"/>
        <v>5.5773542600896862E-2</v>
      </c>
      <c r="F22" s="18">
        <f t="shared" si="23"/>
        <v>0.15950920245398773</v>
      </c>
      <c r="G22" s="18">
        <f t="shared" si="23"/>
        <v>0.1251198819623755</v>
      </c>
      <c r="H22" s="18">
        <f t="shared" si="23"/>
        <v>0.11341688925416067</v>
      </c>
      <c r="I22" s="18">
        <f t="shared" si="23"/>
        <v>0.138559906997021</v>
      </c>
      <c r="J22" s="18">
        <f t="shared" si="23"/>
        <v>0.11300522408578499</v>
      </c>
      <c r="K22" s="18">
        <f t="shared" si="23"/>
        <v>8.4830161835319218E-2</v>
      </c>
      <c r="L22" s="18">
        <f t="shared" si="23"/>
        <v>0.11253380429383521</v>
      </c>
      <c r="M22" s="19">
        <f>M12/M4</f>
        <v>4.9456039076376551E-2</v>
      </c>
      <c r="N22" s="18">
        <f t="shared" ref="N22:X22" si="24">N12/N4</f>
        <v>8.8002886323268192E-2</v>
      </c>
      <c r="O22" s="18">
        <f t="shared" si="24"/>
        <v>8.8002886323268192E-2</v>
      </c>
      <c r="P22" s="18">
        <f t="shared" si="24"/>
        <v>8.8002886323268192E-2</v>
      </c>
      <c r="Q22" s="18">
        <f t="shared" si="24"/>
        <v>8.8002886323268192E-2</v>
      </c>
      <c r="R22" s="18">
        <f t="shared" si="24"/>
        <v>8.8002886323268192E-2</v>
      </c>
      <c r="S22" s="18">
        <f t="shared" si="24"/>
        <v>8.8002886323268192E-2</v>
      </c>
      <c r="T22" s="18">
        <f t="shared" si="24"/>
        <v>8.8002886323268192E-2</v>
      </c>
      <c r="U22" s="18">
        <f t="shared" si="24"/>
        <v>8.8002886323268192E-2</v>
      </c>
      <c r="V22" s="18">
        <f t="shared" si="24"/>
        <v>8.8002886323268192E-2</v>
      </c>
      <c r="W22" s="18">
        <f t="shared" si="24"/>
        <v>8.8002886323268192E-2</v>
      </c>
      <c r="X22" s="18">
        <f t="shared" si="24"/>
        <v>8.8002886323268192E-2</v>
      </c>
      <c r="Z22" s="2" t="s">
        <v>2</v>
      </c>
      <c r="AA22" s="8">
        <v>382.08300000000003</v>
      </c>
    </row>
    <row r="23" spans="2:27" x14ac:dyDescent="0.25">
      <c r="D23" s="18">
        <v>0.04</v>
      </c>
      <c r="E23" s="18">
        <v>0.05</v>
      </c>
      <c r="F23" s="18">
        <v>0.17</v>
      </c>
      <c r="G23" s="18">
        <v>0.15</v>
      </c>
      <c r="H23" s="18">
        <v>0.12</v>
      </c>
      <c r="I23" s="18">
        <v>0.12</v>
      </c>
      <c r="J23" s="18">
        <v>0.12</v>
      </c>
      <c r="K23" s="18">
        <v>0.1</v>
      </c>
      <c r="L23" s="18">
        <v>0.12</v>
      </c>
      <c r="M23" s="19">
        <v>0.06</v>
      </c>
      <c r="N23" s="18"/>
      <c r="Z23" s="2" t="s">
        <v>110</v>
      </c>
      <c r="AA23" s="34">
        <f>AA21/AA22</f>
        <v>39.359572494066747</v>
      </c>
    </row>
    <row r="24" spans="2:27" s="32" customFormat="1" x14ac:dyDescent="0.25">
      <c r="B24" s="36"/>
      <c r="D24" s="37"/>
      <c r="E24" s="37"/>
      <c r="F24" s="37"/>
      <c r="G24" s="37"/>
      <c r="H24" s="37"/>
      <c r="I24" s="37"/>
      <c r="J24" s="37"/>
      <c r="K24" s="37"/>
      <c r="L24" s="37"/>
      <c r="M24" s="38"/>
      <c r="N24" s="37"/>
      <c r="Z24" s="39" t="s">
        <v>111</v>
      </c>
      <c r="AA24" s="40">
        <f>(AA23-Modell!B4)/Modell!B4</f>
        <v>-0.38500667978020708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Product type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2026-01-16T16:39:57Z</dcterms:modified>
</cp:coreProperties>
</file>