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0C0BF192-5DFF-5A4E-A711-278358444E86}" xr6:coauthVersionLast="47" xr6:coauthVersionMax="47" xr10:uidLastSave="{00000000-0000-0000-0000-000000000000}"/>
  <bookViews>
    <workbookView xWindow="25160" yWindow="500" windowWidth="26040" windowHeight="26740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" l="1"/>
  <c r="Q17" i="1"/>
  <c r="P18" i="1"/>
  <c r="P17" i="1"/>
  <c r="R16" i="1"/>
  <c r="P16" i="1"/>
  <c r="R17" i="1" l="1"/>
  <c r="Q18" i="1" s="1"/>
  <c r="B8" i="2"/>
  <c r="B13" i="2" s="1"/>
  <c r="B7" i="2"/>
  <c r="AH8" i="2"/>
  <c r="AH9" i="2"/>
  <c r="AH7" i="2"/>
  <c r="AH4" i="2"/>
  <c r="U82" i="2"/>
  <c r="U81" i="2"/>
  <c r="U78" i="2"/>
  <c r="X13" i="4"/>
  <c r="U95" i="2"/>
  <c r="U83" i="2"/>
  <c r="U79" i="2"/>
  <c r="U101" i="2" s="1"/>
  <c r="U68" i="2"/>
  <c r="U55" i="2"/>
  <c r="U49" i="2"/>
  <c r="U26" i="2"/>
  <c r="U34" i="2"/>
  <c r="U30" i="2"/>
  <c r="U28" i="2"/>
  <c r="U25" i="2"/>
  <c r="U18" i="2"/>
  <c r="U6" i="2"/>
  <c r="U20" i="2" s="1"/>
  <c r="R18" i="1" l="1"/>
  <c r="Q19" i="1" s="1"/>
  <c r="R19" i="1" s="1"/>
  <c r="U99" i="2"/>
  <c r="U69" i="2"/>
  <c r="U10" i="2"/>
  <c r="AI7" i="2"/>
  <c r="AJ7" i="2" s="1"/>
  <c r="AK7" i="2" s="1"/>
  <c r="AL7" i="2" s="1"/>
  <c r="AM7" i="2" s="1"/>
  <c r="AN7" i="2" s="1"/>
  <c r="AO7" i="2" s="1"/>
  <c r="AP7" i="2" s="1"/>
  <c r="AQ7" i="2" s="1"/>
  <c r="AH5" i="2"/>
  <c r="AF34" i="2"/>
  <c r="AE34" i="2"/>
  <c r="AD34" i="2"/>
  <c r="AC34" i="2"/>
  <c r="AB34" i="2"/>
  <c r="AA34" i="2"/>
  <c r="AG34" i="2"/>
  <c r="AI8" i="2"/>
  <c r="AJ8" i="2" s="1"/>
  <c r="AK8" i="2" s="1"/>
  <c r="AL8" i="2" s="1"/>
  <c r="AM8" i="2" s="1"/>
  <c r="AN8" i="2" s="1"/>
  <c r="AO8" i="2" s="1"/>
  <c r="AP8" i="2" s="1"/>
  <c r="AQ8" i="2" s="1"/>
  <c r="AI9" i="2"/>
  <c r="AJ9" i="2" s="1"/>
  <c r="AK9" i="2" s="1"/>
  <c r="AL9" i="2" s="1"/>
  <c r="AM9" i="2" s="1"/>
  <c r="AN9" i="2" s="1"/>
  <c r="AO9" i="2" s="1"/>
  <c r="AP9" i="2" s="1"/>
  <c r="AQ9" i="2" s="1"/>
  <c r="AI4" i="2"/>
  <c r="AJ4" i="2" s="1"/>
  <c r="AK4" i="2" s="1"/>
  <c r="AL4" i="2" s="1"/>
  <c r="AM4" i="2" s="1"/>
  <c r="AA31" i="2"/>
  <c r="AB31" i="2"/>
  <c r="AA29" i="2"/>
  <c r="AB29" i="2"/>
  <c r="Z95" i="2"/>
  <c r="AA95" i="2"/>
  <c r="Z83" i="2"/>
  <c r="AA83" i="2"/>
  <c r="Z79" i="2"/>
  <c r="AA79" i="2"/>
  <c r="AA26" i="2"/>
  <c r="Z26" i="2"/>
  <c r="AB26" i="2"/>
  <c r="AB55" i="2"/>
  <c r="AB49" i="2"/>
  <c r="AC55" i="2"/>
  <c r="AC49" i="2"/>
  <c r="AC26" i="2"/>
  <c r="AC31" i="2"/>
  <c r="AC29" i="2"/>
  <c r="AC68" i="2"/>
  <c r="AB68" i="2"/>
  <c r="AB69" i="2" s="1"/>
  <c r="AA68" i="2"/>
  <c r="Z68" i="2"/>
  <c r="AD68" i="2"/>
  <c r="AD69" i="2"/>
  <c r="AA55" i="2"/>
  <c r="Z55" i="2"/>
  <c r="AA49" i="2"/>
  <c r="Z49" i="2"/>
  <c r="AB79" i="2"/>
  <c r="AB101" i="2" s="1"/>
  <c r="AC79" i="2"/>
  <c r="AC101" i="2" s="1"/>
  <c r="AB83" i="2"/>
  <c r="AC83" i="2"/>
  <c r="AB95" i="2"/>
  <c r="AC95" i="2"/>
  <c r="AD31" i="2"/>
  <c r="AE31" i="2"/>
  <c r="AF31" i="2"/>
  <c r="AD29" i="2"/>
  <c r="AE29" i="2"/>
  <c r="AF29" i="2"/>
  <c r="AG31" i="2"/>
  <c r="AG29" i="2"/>
  <c r="AG26" i="2"/>
  <c r="D30" i="2"/>
  <c r="E30" i="2"/>
  <c r="F30" i="2"/>
  <c r="G30" i="2"/>
  <c r="H30" i="2"/>
  <c r="H31" i="2" s="1"/>
  <c r="I30" i="2"/>
  <c r="J30" i="2"/>
  <c r="K30" i="2"/>
  <c r="L30" i="2"/>
  <c r="M30" i="2"/>
  <c r="M31" i="2" s="1"/>
  <c r="N30" i="2"/>
  <c r="N31" i="2" s="1"/>
  <c r="O30" i="2"/>
  <c r="O31" i="2" s="1"/>
  <c r="P30" i="2"/>
  <c r="P31" i="2" s="1"/>
  <c r="Q30" i="2"/>
  <c r="R30" i="2"/>
  <c r="R31" i="2" s="1"/>
  <c r="S30" i="2"/>
  <c r="T30" i="2"/>
  <c r="AF95" i="2"/>
  <c r="AE95" i="2"/>
  <c r="AD95" i="2"/>
  <c r="AF83" i="2"/>
  <c r="AE83" i="2"/>
  <c r="AD83" i="2"/>
  <c r="AF79" i="2"/>
  <c r="AF101" i="2" s="1"/>
  <c r="AE79" i="2"/>
  <c r="AE101" i="2" s="1"/>
  <c r="AD79" i="2"/>
  <c r="AD101" i="2" s="1"/>
  <c r="AG95" i="2"/>
  <c r="AG83" i="2"/>
  <c r="AG79" i="2"/>
  <c r="AG101" i="2" s="1"/>
  <c r="T25" i="2"/>
  <c r="F13" i="6"/>
  <c r="G13" i="6" s="1"/>
  <c r="F12" i="6"/>
  <c r="AD55" i="2"/>
  <c r="AD49" i="2"/>
  <c r="AE68" i="2"/>
  <c r="AE55" i="2"/>
  <c r="AE49" i="2"/>
  <c r="AF68" i="2"/>
  <c r="AF55" i="2"/>
  <c r="AF49" i="2"/>
  <c r="AG68" i="2"/>
  <c r="AG55" i="2"/>
  <c r="AG49" i="2"/>
  <c r="T6" i="2"/>
  <c r="T10" i="2" s="1"/>
  <c r="T12" i="2" s="1"/>
  <c r="T14" i="2" s="1"/>
  <c r="T16" i="2" s="1"/>
  <c r="T95" i="2"/>
  <c r="T83" i="2"/>
  <c r="T79" i="2"/>
  <c r="T101" i="2" s="1"/>
  <c r="T68" i="2"/>
  <c r="T55" i="2"/>
  <c r="T49" i="2"/>
  <c r="T34" i="2"/>
  <c r="T28" i="2"/>
  <c r="S28" i="2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Z39" i="4"/>
  <c r="Y39" i="4"/>
  <c r="X39" i="4"/>
  <c r="W39" i="4"/>
  <c r="U39" i="4"/>
  <c r="T39" i="4"/>
  <c r="S39" i="4"/>
  <c r="R39" i="4"/>
  <c r="P39" i="4"/>
  <c r="O39" i="4"/>
  <c r="N39" i="4"/>
  <c r="M39" i="4"/>
  <c r="K39" i="4"/>
  <c r="J39" i="4"/>
  <c r="I39" i="4"/>
  <c r="H39" i="4"/>
  <c r="F39" i="4"/>
  <c r="E39" i="4"/>
  <c r="D39" i="4"/>
  <c r="C39" i="4"/>
  <c r="AA27" i="4"/>
  <c r="Z26" i="4"/>
  <c r="Y26" i="4"/>
  <c r="X26" i="4"/>
  <c r="W26" i="4"/>
  <c r="U26" i="4"/>
  <c r="T26" i="4"/>
  <c r="S26" i="4"/>
  <c r="R26" i="4"/>
  <c r="P26" i="4"/>
  <c r="O26" i="4"/>
  <c r="N26" i="4"/>
  <c r="M26" i="4"/>
  <c r="K26" i="4"/>
  <c r="J26" i="4"/>
  <c r="I26" i="4"/>
  <c r="H26" i="4"/>
  <c r="F26" i="4"/>
  <c r="E26" i="4"/>
  <c r="D26" i="4"/>
  <c r="C26" i="4"/>
  <c r="Z13" i="4"/>
  <c r="Y13" i="4"/>
  <c r="W13" i="4"/>
  <c r="C13" i="4"/>
  <c r="D13" i="4"/>
  <c r="E13" i="4"/>
  <c r="F13" i="4"/>
  <c r="H13" i="4"/>
  <c r="I13" i="4"/>
  <c r="J13" i="4"/>
  <c r="K13" i="4"/>
  <c r="M13" i="4"/>
  <c r="N13" i="4"/>
  <c r="O13" i="4"/>
  <c r="P13" i="4"/>
  <c r="R13" i="4"/>
  <c r="S13" i="4"/>
  <c r="T13" i="4"/>
  <c r="U13" i="4"/>
  <c r="T18" i="2"/>
  <c r="T21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T26" i="2"/>
  <c r="S78" i="2"/>
  <c r="D10" i="6"/>
  <c r="F9" i="6"/>
  <c r="G9" i="6" s="1"/>
  <c r="F8" i="6"/>
  <c r="G8" i="6" s="1"/>
  <c r="F7" i="6"/>
  <c r="F6" i="6"/>
  <c r="G6" i="6" s="1"/>
  <c r="AA53" i="4"/>
  <c r="AA51" i="4"/>
  <c r="AA49" i="4"/>
  <c r="Z47" i="4"/>
  <c r="Y47" i="4"/>
  <c r="X47" i="4"/>
  <c r="W47" i="4"/>
  <c r="AA46" i="4"/>
  <c r="AA45" i="4"/>
  <c r="AA40" i="4"/>
  <c r="AA38" i="4"/>
  <c r="AA36" i="4"/>
  <c r="Z34" i="4"/>
  <c r="Y34" i="4"/>
  <c r="X34" i="4"/>
  <c r="W34" i="4"/>
  <c r="AA33" i="4"/>
  <c r="AA32" i="4"/>
  <c r="AA25" i="4"/>
  <c r="AA23" i="4"/>
  <c r="Z21" i="4"/>
  <c r="Y21" i="4"/>
  <c r="X21" i="4"/>
  <c r="W21" i="4"/>
  <c r="AA20" i="4"/>
  <c r="AA19" i="4"/>
  <c r="AA14" i="4"/>
  <c r="AA12" i="4"/>
  <c r="AA10" i="4"/>
  <c r="Z8" i="4"/>
  <c r="Y8" i="4"/>
  <c r="X8" i="4"/>
  <c r="W8" i="4"/>
  <c r="AA7" i="4"/>
  <c r="AA6" i="4"/>
  <c r="S34" i="2"/>
  <c r="A5" i="5"/>
  <c r="H34" i="2"/>
  <c r="I34" i="2"/>
  <c r="J34" i="2"/>
  <c r="K34" i="2"/>
  <c r="L34" i="2"/>
  <c r="M34" i="2"/>
  <c r="N34" i="2"/>
  <c r="O34" i="2"/>
  <c r="P34" i="2"/>
  <c r="Q34" i="2"/>
  <c r="R34" i="2"/>
  <c r="L8" i="5"/>
  <c r="L9" i="5"/>
  <c r="L7" i="5"/>
  <c r="M7" i="5" s="1"/>
  <c r="N7" i="5" s="1"/>
  <c r="O7" i="5" s="1"/>
  <c r="P7" i="5" s="1"/>
  <c r="Q7" i="5" s="1"/>
  <c r="R7" i="5" s="1"/>
  <c r="S7" i="5" s="1"/>
  <c r="T7" i="5" s="1"/>
  <c r="U7" i="5" s="1"/>
  <c r="M6" i="5"/>
  <c r="N6" i="5"/>
  <c r="O6" i="5"/>
  <c r="P6" i="5"/>
  <c r="Q6" i="5"/>
  <c r="R6" i="5"/>
  <c r="S6" i="5"/>
  <c r="T6" i="5"/>
  <c r="U6" i="5"/>
  <c r="M8" i="5"/>
  <c r="N8" i="5"/>
  <c r="O8" i="5"/>
  <c r="P8" i="5"/>
  <c r="Q8" i="5" s="1"/>
  <c r="R8" i="5" s="1"/>
  <c r="S8" i="5" s="1"/>
  <c r="T8" i="5" s="1"/>
  <c r="U8" i="5" s="1"/>
  <c r="M9" i="5"/>
  <c r="N9" i="5"/>
  <c r="O9" i="5"/>
  <c r="P9" i="5" s="1"/>
  <c r="Q9" i="5" s="1"/>
  <c r="R9" i="5" s="1"/>
  <c r="S9" i="5" s="1"/>
  <c r="T9" i="5" s="1"/>
  <c r="U9" i="5" s="1"/>
  <c r="M4" i="5"/>
  <c r="N4" i="5" s="1"/>
  <c r="O4" i="5" s="1"/>
  <c r="P4" i="5" s="1"/>
  <c r="Q4" i="5" s="1"/>
  <c r="R4" i="5" s="1"/>
  <c r="S4" i="5" s="1"/>
  <c r="T4" i="5" s="1"/>
  <c r="U4" i="5" s="1"/>
  <c r="L4" i="5"/>
  <c r="H6" i="5"/>
  <c r="AD4" i="2"/>
  <c r="AD26" i="2" s="1"/>
  <c r="G18" i="5"/>
  <c r="F18" i="5"/>
  <c r="E18" i="5"/>
  <c r="K11" i="5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K9" i="5"/>
  <c r="F9" i="5"/>
  <c r="D9" i="5"/>
  <c r="D10" i="5" s="1"/>
  <c r="K8" i="5"/>
  <c r="K7" i="5"/>
  <c r="G6" i="5"/>
  <c r="G10" i="5" s="1"/>
  <c r="F6" i="5"/>
  <c r="F19" i="5" s="1"/>
  <c r="E6" i="5"/>
  <c r="E19" i="5" s="1"/>
  <c r="D6" i="5"/>
  <c r="D19" i="5" s="1"/>
  <c r="K5" i="5"/>
  <c r="L5" i="5" s="1"/>
  <c r="M5" i="5" s="1"/>
  <c r="N5" i="5" s="1"/>
  <c r="O5" i="5" s="1"/>
  <c r="P5" i="5" s="1"/>
  <c r="Q5" i="5" s="1"/>
  <c r="R5" i="5" s="1"/>
  <c r="S5" i="5" s="1"/>
  <c r="T5" i="5" s="1"/>
  <c r="U5" i="5" s="1"/>
  <c r="J18" i="5"/>
  <c r="I18" i="5"/>
  <c r="H18" i="5"/>
  <c r="Q31" i="2" l="1"/>
  <c r="I31" i="2"/>
  <c r="T20" i="2"/>
  <c r="T69" i="2"/>
  <c r="T31" i="2"/>
  <c r="L31" i="2"/>
  <c r="Z99" i="2"/>
  <c r="S31" i="2"/>
  <c r="K31" i="2"/>
  <c r="U31" i="2"/>
  <c r="AF69" i="2"/>
  <c r="J31" i="2"/>
  <c r="AC69" i="2"/>
  <c r="G12" i="6"/>
  <c r="U21" i="2"/>
  <c r="U12" i="2"/>
  <c r="AN4" i="2"/>
  <c r="AO4" i="2" s="1"/>
  <c r="AP4" i="2" s="1"/>
  <c r="AQ4" i="2" s="1"/>
  <c r="AQ5" i="2" s="1"/>
  <c r="AM5" i="2"/>
  <c r="AI5" i="2"/>
  <c r="AL5" i="2"/>
  <c r="AK5" i="2"/>
  <c r="AJ5" i="2"/>
  <c r="Z101" i="2"/>
  <c r="AA99" i="2"/>
  <c r="AA101" i="2"/>
  <c r="Z69" i="2"/>
  <c r="AA69" i="2"/>
  <c r="AB99" i="2"/>
  <c r="AC99" i="2"/>
  <c r="AE69" i="2"/>
  <c r="AG69" i="2"/>
  <c r="AD99" i="2"/>
  <c r="AE99" i="2"/>
  <c r="AF99" i="2"/>
  <c r="AG99" i="2"/>
  <c r="T99" i="2"/>
  <c r="T72" i="2"/>
  <c r="F10" i="6"/>
  <c r="F15" i="6" s="1"/>
  <c r="G7" i="6"/>
  <c r="G10" i="6" s="1"/>
  <c r="G15" i="6" s="1"/>
  <c r="AA8" i="4"/>
  <c r="AA21" i="4"/>
  <c r="AA34" i="4"/>
  <c r="AA47" i="4"/>
  <c r="D20" i="5"/>
  <c r="D12" i="5"/>
  <c r="D14" i="5" s="1"/>
  <c r="G12" i="5"/>
  <c r="G14" i="5" s="1"/>
  <c r="G20" i="5"/>
  <c r="I6" i="5"/>
  <c r="J6" i="5"/>
  <c r="E10" i="5"/>
  <c r="K4" i="5"/>
  <c r="F10" i="5"/>
  <c r="G19" i="5"/>
  <c r="Q81" i="2"/>
  <c r="Q83" i="2" s="1"/>
  <c r="Q78" i="2"/>
  <c r="Q79" i="2" s="1"/>
  <c r="Q101" i="2" s="1"/>
  <c r="Q95" i="2"/>
  <c r="R95" i="2"/>
  <c r="S95" i="2"/>
  <c r="R83" i="2"/>
  <c r="S83" i="2"/>
  <c r="R79" i="2"/>
  <c r="R101" i="2" s="1"/>
  <c r="S79" i="2"/>
  <c r="S101" i="2" s="1"/>
  <c r="Q28" i="2"/>
  <c r="U29" i="2" s="1"/>
  <c r="R28" i="2"/>
  <c r="V53" i="4"/>
  <c r="V51" i="4"/>
  <c r="V49" i="4"/>
  <c r="V46" i="4"/>
  <c r="V45" i="4"/>
  <c r="V40" i="4"/>
  <c r="V38" i="4"/>
  <c r="V36" i="4"/>
  <c r="V33" i="4"/>
  <c r="V32" i="4"/>
  <c r="V27" i="4"/>
  <c r="V25" i="4"/>
  <c r="V26" i="4" s="1"/>
  <c r="V23" i="4"/>
  <c r="V20" i="4"/>
  <c r="V19" i="4"/>
  <c r="Q53" i="4"/>
  <c r="Q51" i="4"/>
  <c r="Q49" i="4"/>
  <c r="Q46" i="4"/>
  <c r="Q45" i="4"/>
  <c r="Q40" i="4"/>
  <c r="Q38" i="4"/>
  <c r="Q36" i="4"/>
  <c r="Q33" i="4"/>
  <c r="Q32" i="4"/>
  <c r="Q27" i="4"/>
  <c r="Q25" i="4"/>
  <c r="Q23" i="4"/>
  <c r="Q20" i="4"/>
  <c r="Q19" i="4"/>
  <c r="L53" i="4"/>
  <c r="L51" i="4"/>
  <c r="L49" i="4"/>
  <c r="L47" i="4"/>
  <c r="L46" i="4"/>
  <c r="L45" i="4"/>
  <c r="L40" i="4"/>
  <c r="L38" i="4"/>
  <c r="L36" i="4"/>
  <c r="L34" i="4"/>
  <c r="L33" i="4"/>
  <c r="L32" i="4"/>
  <c r="L27" i="4"/>
  <c r="L25" i="4"/>
  <c r="L26" i="4" s="1"/>
  <c r="L23" i="4"/>
  <c r="L20" i="4"/>
  <c r="L19" i="4"/>
  <c r="G53" i="4"/>
  <c r="G51" i="4"/>
  <c r="G49" i="4"/>
  <c r="G47" i="4"/>
  <c r="G46" i="4"/>
  <c r="G45" i="4"/>
  <c r="G40" i="4"/>
  <c r="G38" i="4"/>
  <c r="G39" i="4" s="1"/>
  <c r="G36" i="4"/>
  <c r="G34" i="4"/>
  <c r="G33" i="4"/>
  <c r="G32" i="4"/>
  <c r="G27" i="4"/>
  <c r="G25" i="4"/>
  <c r="G23" i="4"/>
  <c r="G20" i="4"/>
  <c r="G19" i="4"/>
  <c r="V14" i="4"/>
  <c r="V12" i="4"/>
  <c r="V10" i="4"/>
  <c r="V7" i="4"/>
  <c r="V6" i="4"/>
  <c r="Q14" i="4"/>
  <c r="Q12" i="4"/>
  <c r="Q10" i="4"/>
  <c r="Q7" i="4"/>
  <c r="Q6" i="4"/>
  <c r="L14" i="4"/>
  <c r="L12" i="4"/>
  <c r="L10" i="4"/>
  <c r="L7" i="4"/>
  <c r="L6" i="4"/>
  <c r="G14" i="4"/>
  <c r="G12" i="4"/>
  <c r="G13" i="4" s="1"/>
  <c r="G10" i="4"/>
  <c r="G7" i="4"/>
  <c r="G6" i="4"/>
  <c r="AA18" i="2"/>
  <c r="AB18" i="2"/>
  <c r="AC18" i="2"/>
  <c r="Z9" i="2"/>
  <c r="Z6" i="2"/>
  <c r="AA6" i="2"/>
  <c r="AA10" i="2" s="1"/>
  <c r="AA12" i="2" s="1"/>
  <c r="AB9" i="2"/>
  <c r="AB6" i="2"/>
  <c r="AC6" i="2"/>
  <c r="AC10" i="2" s="1"/>
  <c r="AC12" i="2" s="1"/>
  <c r="E78" i="2"/>
  <c r="E79" i="2" s="1"/>
  <c r="E101" i="2" s="1"/>
  <c r="P28" i="2"/>
  <c r="T29" i="2" s="1"/>
  <c r="F78" i="2"/>
  <c r="F79" i="2" s="1"/>
  <c r="F101" i="2" s="1"/>
  <c r="G81" i="2"/>
  <c r="G83" i="2" s="1"/>
  <c r="G78" i="2"/>
  <c r="G79" i="2" s="1"/>
  <c r="D78" i="2"/>
  <c r="D79" i="2" s="1"/>
  <c r="D101" i="2" s="1"/>
  <c r="H78" i="2"/>
  <c r="H79" i="2" s="1"/>
  <c r="H101" i="2" s="1"/>
  <c r="I81" i="2"/>
  <c r="I83" i="2" s="1"/>
  <c r="I78" i="2"/>
  <c r="I79" i="2" s="1"/>
  <c r="M78" i="2"/>
  <c r="M79" i="2" s="1"/>
  <c r="M101" i="2" s="1"/>
  <c r="J95" i="2"/>
  <c r="J78" i="2"/>
  <c r="J79" i="2" s="1"/>
  <c r="J101" i="2" s="1"/>
  <c r="N78" i="2"/>
  <c r="N79" i="2" s="1"/>
  <c r="N101" i="2" s="1"/>
  <c r="K78" i="2"/>
  <c r="K79" i="2" s="1"/>
  <c r="K101" i="2" s="1"/>
  <c r="O78" i="2"/>
  <c r="O79" i="2" s="1"/>
  <c r="O101" i="2" s="1"/>
  <c r="D95" i="2"/>
  <c r="E95" i="2"/>
  <c r="F95" i="2"/>
  <c r="G95" i="2"/>
  <c r="H95" i="2"/>
  <c r="I95" i="2"/>
  <c r="K95" i="2"/>
  <c r="L95" i="2"/>
  <c r="M95" i="2"/>
  <c r="N95" i="2"/>
  <c r="O95" i="2"/>
  <c r="D83" i="2"/>
  <c r="E83" i="2"/>
  <c r="F83" i="2"/>
  <c r="H83" i="2"/>
  <c r="J83" i="2"/>
  <c r="K83" i="2"/>
  <c r="L83" i="2"/>
  <c r="M83" i="2"/>
  <c r="N83" i="2"/>
  <c r="O83" i="2"/>
  <c r="L78" i="2"/>
  <c r="L79" i="2" s="1"/>
  <c r="L101" i="2" s="1"/>
  <c r="P95" i="2"/>
  <c r="P81" i="2"/>
  <c r="P83" i="2" s="1"/>
  <c r="P78" i="2"/>
  <c r="P79" i="2" s="1"/>
  <c r="M48" i="4"/>
  <c r="K48" i="4"/>
  <c r="J48" i="4"/>
  <c r="I48" i="4"/>
  <c r="H48" i="4"/>
  <c r="N35" i="4"/>
  <c r="M35" i="4"/>
  <c r="K35" i="4"/>
  <c r="J35" i="4"/>
  <c r="I35" i="4"/>
  <c r="H35" i="4"/>
  <c r="U47" i="4"/>
  <c r="Z48" i="4" s="1"/>
  <c r="T47" i="4"/>
  <c r="Y48" i="4" s="1"/>
  <c r="S47" i="4"/>
  <c r="R47" i="4"/>
  <c r="R48" i="4" s="1"/>
  <c r="U34" i="4"/>
  <c r="Z35" i="4" s="1"/>
  <c r="T34" i="4"/>
  <c r="S34" i="4"/>
  <c r="R34" i="4"/>
  <c r="R35" i="4" s="1"/>
  <c r="U21" i="4"/>
  <c r="Z22" i="4" s="1"/>
  <c r="T21" i="4"/>
  <c r="T22" i="4" s="1"/>
  <c r="S21" i="4"/>
  <c r="X22" i="4" s="1"/>
  <c r="R21" i="4"/>
  <c r="W22" i="4" s="1"/>
  <c r="U8" i="4"/>
  <c r="Z9" i="4" s="1"/>
  <c r="T8" i="4"/>
  <c r="Y9" i="4" s="1"/>
  <c r="S8" i="4"/>
  <c r="X9" i="4" s="1"/>
  <c r="R8" i="4"/>
  <c r="W9" i="4" s="1"/>
  <c r="P6" i="2"/>
  <c r="P10" i="2" s="1"/>
  <c r="Q6" i="2"/>
  <c r="Q10" i="2" s="1"/>
  <c r="R6" i="2"/>
  <c r="R10" i="2" s="1"/>
  <c r="S6" i="2"/>
  <c r="S10" i="2" s="1"/>
  <c r="D6" i="2"/>
  <c r="D10" i="2" s="1"/>
  <c r="D12" i="2" s="1"/>
  <c r="D14" i="2" s="1"/>
  <c r="D16" i="2" s="1"/>
  <c r="E6" i="2"/>
  <c r="E10" i="2" s="1"/>
  <c r="E12" i="2" s="1"/>
  <c r="E14" i="2" s="1"/>
  <c r="E16" i="2" s="1"/>
  <c r="F6" i="2"/>
  <c r="F10" i="2" s="1"/>
  <c r="F12" i="2" s="1"/>
  <c r="F14" i="2" s="1"/>
  <c r="F16" i="2" s="1"/>
  <c r="G6" i="2"/>
  <c r="G10" i="2" s="1"/>
  <c r="G12" i="2" s="1"/>
  <c r="G14" i="2" s="1"/>
  <c r="G16" i="2" s="1"/>
  <c r="H6" i="2"/>
  <c r="H20" i="2" s="1"/>
  <c r="I6" i="2"/>
  <c r="I10" i="2" s="1"/>
  <c r="J6" i="2"/>
  <c r="J10" i="2" s="1"/>
  <c r="K6" i="2"/>
  <c r="K10" i="2" s="1"/>
  <c r="L6" i="2"/>
  <c r="L10" i="2" s="1"/>
  <c r="L12" i="2" s="1"/>
  <c r="L14" i="2" s="1"/>
  <c r="L16" i="2" s="1"/>
  <c r="M6" i="2"/>
  <c r="M10" i="2" s="1"/>
  <c r="M12" i="2" s="1"/>
  <c r="M14" i="2" s="1"/>
  <c r="M16" i="2" s="1"/>
  <c r="N6" i="2"/>
  <c r="N10" i="2" s="1"/>
  <c r="N12" i="2" s="1"/>
  <c r="N72" i="2" s="1"/>
  <c r="O6" i="2"/>
  <c r="O20" i="2" s="1"/>
  <c r="P68" i="2"/>
  <c r="Q68" i="2"/>
  <c r="R68" i="2"/>
  <c r="S68" i="2"/>
  <c r="P55" i="2"/>
  <c r="Q55" i="2"/>
  <c r="R55" i="2"/>
  <c r="S55" i="2"/>
  <c r="P49" i="2"/>
  <c r="Q49" i="2"/>
  <c r="R49" i="2"/>
  <c r="S49" i="2"/>
  <c r="D68" i="2"/>
  <c r="E68" i="2"/>
  <c r="F68" i="2"/>
  <c r="G68" i="2"/>
  <c r="H68" i="2"/>
  <c r="I68" i="2"/>
  <c r="J68" i="2"/>
  <c r="K68" i="2"/>
  <c r="L68" i="2"/>
  <c r="M68" i="2"/>
  <c r="N68" i="2"/>
  <c r="D55" i="2"/>
  <c r="E55" i="2"/>
  <c r="F55" i="2"/>
  <c r="G55" i="2"/>
  <c r="H55" i="2"/>
  <c r="I55" i="2"/>
  <c r="J55" i="2"/>
  <c r="K55" i="2"/>
  <c r="L55" i="2"/>
  <c r="M55" i="2"/>
  <c r="N55" i="2"/>
  <c r="D49" i="2"/>
  <c r="E49" i="2"/>
  <c r="F49" i="2"/>
  <c r="G49" i="2"/>
  <c r="H49" i="2"/>
  <c r="I49" i="2"/>
  <c r="J49" i="2"/>
  <c r="K49" i="2"/>
  <c r="L49" i="2"/>
  <c r="M49" i="2"/>
  <c r="N49" i="2"/>
  <c r="P18" i="2"/>
  <c r="Q18" i="2"/>
  <c r="R18" i="2"/>
  <c r="S18" i="2"/>
  <c r="AF13" i="2"/>
  <c r="AF11" i="2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F7" i="2"/>
  <c r="AF8" i="2"/>
  <c r="AF9" i="2"/>
  <c r="AF4" i="2"/>
  <c r="AF26" i="2" s="1"/>
  <c r="AF5" i="2"/>
  <c r="AE13" i="2"/>
  <c r="AE11" i="2"/>
  <c r="AE7" i="2"/>
  <c r="AE8" i="2"/>
  <c r="AE9" i="2"/>
  <c r="AE5" i="2"/>
  <c r="AE4" i="2"/>
  <c r="AD13" i="2"/>
  <c r="AD11" i="2"/>
  <c r="AD5" i="2"/>
  <c r="AD6" i="2" s="1"/>
  <c r="AD20" i="2" s="1"/>
  <c r="AD7" i="2"/>
  <c r="AD8" i="2"/>
  <c r="AD9" i="2"/>
  <c r="D28" i="2"/>
  <c r="E28" i="2"/>
  <c r="F28" i="2"/>
  <c r="G28" i="2"/>
  <c r="H28" i="2"/>
  <c r="I28" i="2"/>
  <c r="J28" i="2"/>
  <c r="K28" i="2"/>
  <c r="L28" i="2"/>
  <c r="M28" i="2"/>
  <c r="N28" i="2"/>
  <c r="C21" i="4"/>
  <c r="C8" i="4"/>
  <c r="D21" i="4"/>
  <c r="D8" i="4"/>
  <c r="E21" i="4"/>
  <c r="E8" i="4"/>
  <c r="F21" i="4"/>
  <c r="F8" i="4"/>
  <c r="H21" i="4"/>
  <c r="H22" i="4" s="1"/>
  <c r="M21" i="4"/>
  <c r="H8" i="4"/>
  <c r="M8" i="4"/>
  <c r="N47" i="4"/>
  <c r="I21" i="4"/>
  <c r="N21" i="4"/>
  <c r="I8" i="4"/>
  <c r="O28" i="2"/>
  <c r="N8" i="4"/>
  <c r="O47" i="4"/>
  <c r="O48" i="4" s="1"/>
  <c r="O34" i="4"/>
  <c r="O35" i="4" s="1"/>
  <c r="J21" i="4"/>
  <c r="J22" i="4" s="1"/>
  <c r="J8" i="4"/>
  <c r="J9" i="4" s="1"/>
  <c r="O8" i="4"/>
  <c r="AE18" i="2" l="1"/>
  <c r="AE26" i="2"/>
  <c r="AA14" i="2"/>
  <c r="AA16" i="2" s="1"/>
  <c r="AA72" i="2"/>
  <c r="AC14" i="2"/>
  <c r="AC16" i="2" s="1"/>
  <c r="AC72" i="2"/>
  <c r="AN5" i="2"/>
  <c r="AP5" i="2"/>
  <c r="AO5" i="2"/>
  <c r="U14" i="2"/>
  <c r="U16" i="2" s="1"/>
  <c r="U72" i="2"/>
  <c r="G101" i="2"/>
  <c r="P101" i="2"/>
  <c r="I101" i="2"/>
  <c r="H9" i="4"/>
  <c r="Q26" i="4"/>
  <c r="N22" i="4"/>
  <c r="Q13" i="4"/>
  <c r="V39" i="4"/>
  <c r="L39" i="4"/>
  <c r="Q39" i="4"/>
  <c r="M9" i="4"/>
  <c r="T35" i="4"/>
  <c r="G26" i="4"/>
  <c r="W48" i="4"/>
  <c r="G8" i="4"/>
  <c r="G11" i="4" s="1"/>
  <c r="G21" i="4"/>
  <c r="L13" i="4"/>
  <c r="Y22" i="4"/>
  <c r="V13" i="4"/>
  <c r="G50" i="4"/>
  <c r="L48" i="4"/>
  <c r="G37" i="4"/>
  <c r="L35" i="4"/>
  <c r="G24" i="4"/>
  <c r="L37" i="4"/>
  <c r="S35" i="4"/>
  <c r="X35" i="4"/>
  <c r="L50" i="4"/>
  <c r="N48" i="4"/>
  <c r="W35" i="4"/>
  <c r="S22" i="4"/>
  <c r="S48" i="4"/>
  <c r="Y35" i="4"/>
  <c r="M22" i="4"/>
  <c r="T48" i="4"/>
  <c r="X48" i="4"/>
  <c r="P99" i="2"/>
  <c r="J99" i="2"/>
  <c r="D99" i="2"/>
  <c r="N99" i="2"/>
  <c r="G99" i="2"/>
  <c r="Q99" i="2"/>
  <c r="E99" i="2"/>
  <c r="O99" i="2"/>
  <c r="H99" i="2"/>
  <c r="S99" i="2"/>
  <c r="F99" i="2"/>
  <c r="M99" i="2"/>
  <c r="I99" i="2"/>
  <c r="L99" i="2"/>
  <c r="K99" i="2"/>
  <c r="R99" i="2"/>
  <c r="AA24" i="4"/>
  <c r="AA37" i="4"/>
  <c r="AA11" i="4"/>
  <c r="AA50" i="4"/>
  <c r="O10" i="2"/>
  <c r="Q29" i="2"/>
  <c r="Z10" i="2"/>
  <c r="Z12" i="2" s="1"/>
  <c r="D20" i="2"/>
  <c r="S69" i="2"/>
  <c r="AA20" i="2"/>
  <c r="S29" i="2"/>
  <c r="Z20" i="2"/>
  <c r="AB10" i="2"/>
  <c r="AB12" i="2" s="1"/>
  <c r="E20" i="2"/>
  <c r="R69" i="2"/>
  <c r="V47" i="4"/>
  <c r="AA48" i="4" s="1"/>
  <c r="V21" i="4"/>
  <c r="AA22" i="4" s="1"/>
  <c r="R29" i="2"/>
  <c r="V8" i="4"/>
  <c r="E20" i="5"/>
  <c r="E12" i="5"/>
  <c r="E14" i="5" s="1"/>
  <c r="J19" i="5"/>
  <c r="J10" i="5"/>
  <c r="G16" i="5"/>
  <c r="H19" i="5"/>
  <c r="H10" i="5"/>
  <c r="I19" i="5"/>
  <c r="I10" i="5"/>
  <c r="F20" i="5"/>
  <c r="F12" i="5"/>
  <c r="F14" i="5" s="1"/>
  <c r="D16" i="5"/>
  <c r="K18" i="5"/>
  <c r="K6" i="5"/>
  <c r="Q69" i="2"/>
  <c r="V34" i="4"/>
  <c r="AA22" i="2"/>
  <c r="AD18" i="2"/>
  <c r="AC20" i="2"/>
  <c r="AB20" i="2"/>
  <c r="AC22" i="2"/>
  <c r="AC21" i="2"/>
  <c r="M20" i="2"/>
  <c r="AA21" i="2"/>
  <c r="K20" i="2"/>
  <c r="J20" i="2"/>
  <c r="N20" i="2"/>
  <c r="G72" i="2"/>
  <c r="G69" i="2"/>
  <c r="J69" i="2"/>
  <c r="I20" i="2"/>
  <c r="F72" i="2"/>
  <c r="K69" i="2"/>
  <c r="N69" i="2"/>
  <c r="F69" i="2"/>
  <c r="G20" i="2"/>
  <c r="M72" i="2"/>
  <c r="E72" i="2"/>
  <c r="M69" i="2"/>
  <c r="E69" i="2"/>
  <c r="F20" i="2"/>
  <c r="L72" i="2"/>
  <c r="D72" i="2"/>
  <c r="I22" i="4"/>
  <c r="N9" i="4"/>
  <c r="O9" i="4"/>
  <c r="R22" i="4"/>
  <c r="O22" i="4"/>
  <c r="R9" i="4"/>
  <c r="I9" i="4"/>
  <c r="S9" i="4"/>
  <c r="T9" i="4"/>
  <c r="L29" i="2"/>
  <c r="K29" i="2"/>
  <c r="Q12" i="2"/>
  <c r="Q21" i="2"/>
  <c r="S12" i="2"/>
  <c r="S21" i="2"/>
  <c r="P12" i="2"/>
  <c r="P21" i="2"/>
  <c r="AD10" i="2"/>
  <c r="R12" i="2"/>
  <c r="R21" i="2"/>
  <c r="L20" i="2"/>
  <c r="AE6" i="2"/>
  <c r="D69" i="2"/>
  <c r="AF6" i="2"/>
  <c r="J29" i="2"/>
  <c r="S20" i="2"/>
  <c r="I29" i="2"/>
  <c r="L69" i="2"/>
  <c r="R20" i="2"/>
  <c r="Q20" i="2"/>
  <c r="O29" i="2"/>
  <c r="P20" i="2"/>
  <c r="P29" i="2"/>
  <c r="H29" i="2"/>
  <c r="H10" i="2"/>
  <c r="H12" i="2" s="1"/>
  <c r="N29" i="2"/>
  <c r="M29" i="2"/>
  <c r="H69" i="2"/>
  <c r="P69" i="2"/>
  <c r="J12" i="2"/>
  <c r="I12" i="2"/>
  <c r="I69" i="2"/>
  <c r="AF18" i="2"/>
  <c r="N14" i="2"/>
  <c r="N16" i="2" s="1"/>
  <c r="AB14" i="2" l="1"/>
  <c r="AB16" i="2" s="1"/>
  <c r="AB72" i="2"/>
  <c r="Z14" i="2"/>
  <c r="Z16" i="2" s="1"/>
  <c r="Z72" i="2"/>
  <c r="V50" i="4"/>
  <c r="AA35" i="4"/>
  <c r="AA9" i="4"/>
  <c r="Z22" i="2"/>
  <c r="V11" i="4"/>
  <c r="Z21" i="2"/>
  <c r="AB21" i="2"/>
  <c r="AB22" i="2"/>
  <c r="V24" i="4"/>
  <c r="H12" i="5"/>
  <c r="H14" i="5" s="1"/>
  <c r="H20" i="5"/>
  <c r="L6" i="5"/>
  <c r="L18" i="5"/>
  <c r="J20" i="5"/>
  <c r="J12" i="5"/>
  <c r="J14" i="5" s="1"/>
  <c r="I20" i="5"/>
  <c r="I12" i="5"/>
  <c r="I14" i="5" s="1"/>
  <c r="E16" i="5"/>
  <c r="F16" i="5"/>
  <c r="K10" i="5"/>
  <c r="K19" i="5"/>
  <c r="V37" i="4"/>
  <c r="AD12" i="2"/>
  <c r="AD21" i="2"/>
  <c r="S14" i="2"/>
  <c r="S16" i="2" s="1"/>
  <c r="S72" i="2"/>
  <c r="I14" i="2"/>
  <c r="I16" i="2" s="1"/>
  <c r="I72" i="2"/>
  <c r="H14" i="2"/>
  <c r="H16" i="2" s="1"/>
  <c r="H72" i="2"/>
  <c r="R14" i="2"/>
  <c r="R16" i="2" s="1"/>
  <c r="R72" i="2"/>
  <c r="Q14" i="2"/>
  <c r="Q16" i="2" s="1"/>
  <c r="Q72" i="2"/>
  <c r="J14" i="2"/>
  <c r="J16" i="2" s="1"/>
  <c r="J72" i="2"/>
  <c r="P14" i="2"/>
  <c r="P16" i="2" s="1"/>
  <c r="P72" i="2"/>
  <c r="AG18" i="2"/>
  <c r="AG6" i="2"/>
  <c r="AF20" i="2"/>
  <c r="AF10" i="2"/>
  <c r="AF21" i="2" s="1"/>
  <c r="AE10" i="2"/>
  <c r="AE12" i="2" s="1"/>
  <c r="AE20" i="2"/>
  <c r="AH6" i="2"/>
  <c r="P47" i="4"/>
  <c r="P34" i="4"/>
  <c r="Q34" i="4" s="1"/>
  <c r="K21" i="4"/>
  <c r="P21" i="4"/>
  <c r="Q21" i="4" s="1"/>
  <c r="K8" i="4"/>
  <c r="P8" i="4"/>
  <c r="Q8" i="4" s="1"/>
  <c r="V9" i="4" s="1"/>
  <c r="AE14" i="2" l="1"/>
  <c r="AE72" i="2"/>
  <c r="AD14" i="2"/>
  <c r="AD72" i="2"/>
  <c r="Q24" i="4"/>
  <c r="V22" i="4"/>
  <c r="Q11" i="4"/>
  <c r="K9" i="4"/>
  <c r="L8" i="4"/>
  <c r="K22" i="4"/>
  <c r="L21" i="4"/>
  <c r="Q35" i="4"/>
  <c r="Q37" i="4"/>
  <c r="P48" i="4"/>
  <c r="U48" i="4"/>
  <c r="Q47" i="4"/>
  <c r="V35" i="4"/>
  <c r="AE21" i="2"/>
  <c r="K12" i="5"/>
  <c r="K20" i="5"/>
  <c r="J16" i="5"/>
  <c r="L19" i="5"/>
  <c r="L10" i="5"/>
  <c r="M18" i="5"/>
  <c r="I16" i="5"/>
  <c r="H16" i="5"/>
  <c r="AE16" i="2"/>
  <c r="AE22" i="2"/>
  <c r="AD16" i="2"/>
  <c r="AD22" i="2"/>
  <c r="P35" i="4"/>
  <c r="U35" i="4"/>
  <c r="P22" i="4"/>
  <c r="U22" i="4"/>
  <c r="P9" i="4"/>
  <c r="U9" i="4"/>
  <c r="AF12" i="2"/>
  <c r="AG20" i="2"/>
  <c r="AG10" i="2"/>
  <c r="AG21" i="2" s="1"/>
  <c r="AH20" i="2"/>
  <c r="AH10" i="2"/>
  <c r="AI6" i="2"/>
  <c r="AH18" i="2"/>
  <c r="O68" i="2"/>
  <c r="O55" i="2"/>
  <c r="O49" i="2"/>
  <c r="H18" i="2"/>
  <c r="I18" i="2"/>
  <c r="J18" i="2"/>
  <c r="K18" i="2"/>
  <c r="L18" i="2"/>
  <c r="M18" i="2"/>
  <c r="N18" i="2"/>
  <c r="O18" i="2"/>
  <c r="D21" i="2"/>
  <c r="E21" i="2"/>
  <c r="F21" i="2"/>
  <c r="G21" i="2"/>
  <c r="H21" i="2"/>
  <c r="I21" i="2"/>
  <c r="J21" i="2"/>
  <c r="L21" i="2"/>
  <c r="M21" i="2"/>
  <c r="N21" i="2"/>
  <c r="K12" i="2"/>
  <c r="O21" i="2"/>
  <c r="A3" i="6" l="1"/>
  <c r="AF14" i="2"/>
  <c r="AF72" i="2"/>
  <c r="L9" i="4"/>
  <c r="L11" i="4"/>
  <c r="Q48" i="4"/>
  <c r="Q50" i="4"/>
  <c r="V48" i="4"/>
  <c r="Q9" i="4"/>
  <c r="L22" i="4"/>
  <c r="L24" i="4"/>
  <c r="Q22" i="4"/>
  <c r="L20" i="5"/>
  <c r="L12" i="5"/>
  <c r="N18" i="5"/>
  <c r="M19" i="5"/>
  <c r="M10" i="5"/>
  <c r="K14" i="5"/>
  <c r="K13" i="5"/>
  <c r="AF16" i="2"/>
  <c r="AF22" i="2"/>
  <c r="K14" i="2"/>
  <c r="K16" i="2" s="1"/>
  <c r="K72" i="2"/>
  <c r="AG12" i="2"/>
  <c r="AI20" i="2"/>
  <c r="AI10" i="2"/>
  <c r="AJ6" i="2"/>
  <c r="AI18" i="2"/>
  <c r="AH21" i="2"/>
  <c r="AH12" i="2"/>
  <c r="AH13" i="2" s="1"/>
  <c r="AH14" i="2" s="1"/>
  <c r="AH16" i="2" s="1"/>
  <c r="F7" i="3" s="1"/>
  <c r="O69" i="2"/>
  <c r="K21" i="2"/>
  <c r="O12" i="2"/>
  <c r="B6" i="2"/>
  <c r="B9" i="2" s="1"/>
  <c r="AG14" i="2" l="1"/>
  <c r="AG22" i="2" s="1"/>
  <c r="AG72" i="2"/>
  <c r="K16" i="5"/>
  <c r="M20" i="5"/>
  <c r="M12" i="5"/>
  <c r="O18" i="5"/>
  <c r="N19" i="5"/>
  <c r="N10" i="5"/>
  <c r="L13" i="5"/>
  <c r="L14" i="5" s="1"/>
  <c r="O14" i="2"/>
  <c r="O16" i="2" s="1"/>
  <c r="O72" i="2"/>
  <c r="AG16" i="2"/>
  <c r="AJ20" i="2"/>
  <c r="AJ10" i="2"/>
  <c r="H6" i="3" s="1"/>
  <c r="AI12" i="2"/>
  <c r="AI13" i="2" s="1"/>
  <c r="AI14" i="2" s="1"/>
  <c r="AI16" i="2" s="1"/>
  <c r="G7" i="3" s="1"/>
  <c r="AI21" i="2"/>
  <c r="AK6" i="2"/>
  <c r="AJ18" i="2"/>
  <c r="F6" i="3"/>
  <c r="G6" i="3"/>
  <c r="L16" i="5" l="1"/>
  <c r="P18" i="5"/>
  <c r="M13" i="5"/>
  <c r="M14" i="5" s="1"/>
  <c r="M16" i="5" s="1"/>
  <c r="O10" i="5"/>
  <c r="O19" i="5"/>
  <c r="N20" i="5"/>
  <c r="N12" i="5"/>
  <c r="AK20" i="2"/>
  <c r="AK10" i="2"/>
  <c r="AL6" i="2"/>
  <c r="AK18" i="2"/>
  <c r="AJ21" i="2"/>
  <c r="AJ12" i="2"/>
  <c r="AJ13" i="2" s="1"/>
  <c r="AJ14" i="2" s="1"/>
  <c r="AJ16" i="2" s="1"/>
  <c r="H7" i="3" s="1"/>
  <c r="O12" i="5" l="1"/>
  <c r="O20" i="5"/>
  <c r="Q18" i="5"/>
  <c r="P19" i="5"/>
  <c r="P10" i="5"/>
  <c r="N13" i="5"/>
  <c r="N14" i="5" s="1"/>
  <c r="N16" i="5" s="1"/>
  <c r="AL10" i="2"/>
  <c r="AL20" i="2"/>
  <c r="AK12" i="2"/>
  <c r="AK13" i="2" s="1"/>
  <c r="AK14" i="2" s="1"/>
  <c r="AK16" i="2" s="1"/>
  <c r="AK21" i="2"/>
  <c r="AM6" i="2"/>
  <c r="AL18" i="2"/>
  <c r="P12" i="5" l="1"/>
  <c r="P20" i="5"/>
  <c r="Q19" i="5"/>
  <c r="Q10" i="5"/>
  <c r="R18" i="5"/>
  <c r="O13" i="5"/>
  <c r="O14" i="5" s="1"/>
  <c r="AM10" i="2"/>
  <c r="AM20" i="2"/>
  <c r="AL12" i="2"/>
  <c r="AL13" i="2" s="1"/>
  <c r="AL14" i="2" s="1"/>
  <c r="AL16" i="2" s="1"/>
  <c r="AL21" i="2"/>
  <c r="AN6" i="2"/>
  <c r="AM18" i="2"/>
  <c r="O16" i="5" l="1"/>
  <c r="S18" i="5"/>
  <c r="R19" i="5"/>
  <c r="R10" i="5"/>
  <c r="Q20" i="5"/>
  <c r="Q12" i="5"/>
  <c r="P13" i="5"/>
  <c r="P14" i="5" s="1"/>
  <c r="P16" i="5" s="1"/>
  <c r="AN10" i="2"/>
  <c r="AN20" i="2"/>
  <c r="AM12" i="2"/>
  <c r="AM13" i="2" s="1"/>
  <c r="AM14" i="2" s="1"/>
  <c r="AM16" i="2" s="1"/>
  <c r="AM21" i="2"/>
  <c r="AO6" i="2"/>
  <c r="AN18" i="2"/>
  <c r="Q13" i="5" l="1"/>
  <c r="Q14" i="5"/>
  <c r="Q16" i="5" s="1"/>
  <c r="R20" i="5"/>
  <c r="R12" i="5"/>
  <c r="S10" i="5"/>
  <c r="S19" i="5"/>
  <c r="T18" i="5"/>
  <c r="AO20" i="2"/>
  <c r="AO10" i="2"/>
  <c r="AN12" i="2"/>
  <c r="AN13" i="2" s="1"/>
  <c r="AN14" i="2" s="1"/>
  <c r="AN16" i="2" s="1"/>
  <c r="AN21" i="2"/>
  <c r="AP6" i="2"/>
  <c r="AO18" i="2"/>
  <c r="U18" i="5" l="1"/>
  <c r="T19" i="5"/>
  <c r="T10" i="5"/>
  <c r="S20" i="5"/>
  <c r="S12" i="5"/>
  <c r="R13" i="5"/>
  <c r="R14" i="5" s="1"/>
  <c r="AP10" i="2"/>
  <c r="AP20" i="2"/>
  <c r="AO12" i="2"/>
  <c r="AO13" i="2" s="1"/>
  <c r="AO14" i="2" s="1"/>
  <c r="AO16" i="2" s="1"/>
  <c r="AO21" i="2"/>
  <c r="AQ6" i="2"/>
  <c r="AP18" i="2"/>
  <c r="R16" i="5" l="1"/>
  <c r="S13" i="5"/>
  <c r="S14" i="5" s="1"/>
  <c r="S16" i="5" s="1"/>
  <c r="T20" i="5"/>
  <c r="T12" i="5"/>
  <c r="U19" i="5"/>
  <c r="U10" i="5"/>
  <c r="AQ10" i="2"/>
  <c r="AQ20" i="2"/>
  <c r="AP12" i="2"/>
  <c r="AP13" i="2" s="1"/>
  <c r="AP14" i="2" s="1"/>
  <c r="AP16" i="2" s="1"/>
  <c r="AP21" i="2"/>
  <c r="AQ18" i="2"/>
  <c r="U20" i="5" l="1"/>
  <c r="U12" i="5"/>
  <c r="T13" i="5"/>
  <c r="T14" i="5" s="1"/>
  <c r="T16" i="5" s="1"/>
  <c r="AQ12" i="2"/>
  <c r="AQ13" i="2" s="1"/>
  <c r="AQ14" i="2" s="1"/>
  <c r="AQ21" i="2"/>
  <c r="U13" i="5" l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AQ16" i="2"/>
  <c r="AR14" i="2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X18" i="5" l="1"/>
  <c r="X20" i="5" s="1"/>
  <c r="X21" i="5" s="1"/>
  <c r="A6" i="5" s="1"/>
  <c r="U16" i="5"/>
  <c r="AT18" i="2"/>
  <c r="AT21" i="2" s="1"/>
  <c r="AT22" i="2" s="1"/>
</calcChain>
</file>

<file path=xl/sharedStrings.xml><?xml version="1.0" encoding="utf-8"?>
<sst xmlns="http://schemas.openxmlformats.org/spreadsheetml/2006/main" count="285" uniqueCount="175">
  <si>
    <t>Kapitalstruktur</t>
  </si>
  <si>
    <t>Price</t>
  </si>
  <si>
    <t>S/O</t>
  </si>
  <si>
    <t>MC NOKm</t>
  </si>
  <si>
    <t>Cash NOKm</t>
  </si>
  <si>
    <t>Debt NOKm</t>
  </si>
  <si>
    <t>EV NOKm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</si>
  <si>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</si>
  <si>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</si>
  <si>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</si>
  <si>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</si>
  <si>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</si>
  <si>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</si>
  <si>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</si>
  <si>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</si>
  <si>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</si>
  <si>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</si>
  <si>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</si>
  <si>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</si>
  <si>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NOK million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</si>
  <si>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</si>
  <si>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</si>
  <si>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</si>
  <si>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</si>
  <si>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</si>
  <si>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</si>
  <si>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</si>
  <si>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</si>
  <si>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</si>
  <si>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</si>
  <si>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</si>
  <si>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</si>
  <si>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</si>
  <si>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</si>
  <si>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</si>
  <si>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Balanse NOKm</t>
  </si>
  <si>
    <t>Cash flow NOKm</t>
  </si>
  <si>
    <t>NOKm</t>
  </si>
  <si>
    <t>Norway</t>
  </si>
  <si>
    <t>Sweden</t>
  </si>
  <si>
    <t>Denmark</t>
  </si>
  <si>
    <t>Revenue</t>
  </si>
  <si>
    <t>COGS</t>
  </si>
  <si>
    <t>Personel expenses</t>
  </si>
  <si>
    <t>Other opex</t>
  </si>
  <si>
    <t>D/A</t>
  </si>
  <si>
    <t>Net financials</t>
  </si>
  <si>
    <t>PTP</t>
  </si>
  <si>
    <t>tax</t>
  </si>
  <si>
    <t>Net income</t>
  </si>
  <si>
    <t>Shares</t>
  </si>
  <si>
    <t>EPS</t>
  </si>
  <si>
    <t>Operating profit (EBIT)</t>
  </si>
  <si>
    <t>EBIT margin</t>
  </si>
  <si>
    <t>Intangible assets</t>
  </si>
  <si>
    <t>Right-of-use assets</t>
  </si>
  <si>
    <t>PP&amp;E</t>
  </si>
  <si>
    <t>other non-current receivables</t>
  </si>
  <si>
    <t>Derivate financial instruemtns</t>
  </si>
  <si>
    <t>Deferred tax assets</t>
  </si>
  <si>
    <t>Inventories</t>
  </si>
  <si>
    <t>Accounts receivables</t>
  </si>
  <si>
    <t>other current receivables</t>
  </si>
  <si>
    <t>Prepaid expenses and accured income</t>
  </si>
  <si>
    <t>Derivate fiancial instruments</t>
  </si>
  <si>
    <t>Cash</t>
  </si>
  <si>
    <t>Total assets</t>
  </si>
  <si>
    <t>Share capital</t>
  </si>
  <si>
    <t>Sahre premium</t>
  </si>
  <si>
    <t>treasury shares</t>
  </si>
  <si>
    <t>other reserves</t>
  </si>
  <si>
    <t>Retained earnings</t>
  </si>
  <si>
    <t>Total equity</t>
  </si>
  <si>
    <t>Deferred tax liabilities</t>
  </si>
  <si>
    <t>Borrowings</t>
  </si>
  <si>
    <t>Lease liabilties</t>
  </si>
  <si>
    <t>Derivate financial instruments</t>
  </si>
  <si>
    <t>Contract liabilitiy</t>
  </si>
  <si>
    <t>Trade and other payables</t>
  </si>
  <si>
    <t>Current tax liabilities</t>
  </si>
  <si>
    <t>Public fees and chaarges payable</t>
  </si>
  <si>
    <t>other current liabilites</t>
  </si>
  <si>
    <t>Total debt</t>
  </si>
  <si>
    <t>Total E/D</t>
  </si>
  <si>
    <t>CFFO</t>
  </si>
  <si>
    <t>CFFI</t>
  </si>
  <si>
    <t>CFFF</t>
  </si>
  <si>
    <t>Q125</t>
  </si>
  <si>
    <t>Q225</t>
  </si>
  <si>
    <t>Q325</t>
  </si>
  <si>
    <t>Q425</t>
  </si>
  <si>
    <t>Membership revenue</t>
  </si>
  <si>
    <t>Other rev</t>
  </si>
  <si>
    <t>EBITDA</t>
  </si>
  <si>
    <t>Total revenue</t>
  </si>
  <si>
    <t>margin %</t>
  </si>
  <si>
    <t>Operating profit</t>
  </si>
  <si>
    <t>Clubs</t>
  </si>
  <si>
    <t>members ('000)</t>
  </si>
  <si>
    <t>ARPM (NOK/month)</t>
  </si>
  <si>
    <t>Finland</t>
  </si>
  <si>
    <t>EV/EBIT</t>
  </si>
  <si>
    <t>P/E</t>
  </si>
  <si>
    <t>Members ('000)</t>
  </si>
  <si>
    <t>Discount</t>
  </si>
  <si>
    <t>TV</t>
  </si>
  <si>
    <t>NPV</t>
  </si>
  <si>
    <t>NPV/Share</t>
  </si>
  <si>
    <t>Opp-/nedside</t>
  </si>
  <si>
    <t>FY 2018</t>
  </si>
  <si>
    <t>FY 2019</t>
  </si>
  <si>
    <t>FY 2020</t>
  </si>
  <si>
    <t>FY 2021</t>
  </si>
  <si>
    <t>y/y</t>
  </si>
  <si>
    <t>Gross margin</t>
  </si>
  <si>
    <t>Gross profit</t>
  </si>
  <si>
    <t>ROE</t>
  </si>
  <si>
    <t>Growth %</t>
  </si>
  <si>
    <t>Model PTP</t>
  </si>
  <si>
    <t>Reported PTP</t>
  </si>
  <si>
    <t>Taxes paid</t>
  </si>
  <si>
    <t>Gains/loss from sale of equipment</t>
  </si>
  <si>
    <t>D/A/I</t>
  </si>
  <si>
    <t>WC</t>
  </si>
  <si>
    <t>Capex</t>
  </si>
  <si>
    <t>Proceeds from loans to related parties</t>
  </si>
  <si>
    <t>Repayment of loans</t>
  </si>
  <si>
    <t>Proceeds from loans</t>
  </si>
  <si>
    <t>Installments on lease liabilities</t>
  </si>
  <si>
    <t>Interest paid</t>
  </si>
  <si>
    <t xml:space="preserve">Interest received </t>
  </si>
  <si>
    <t>Interest on lease liabilities</t>
  </si>
  <si>
    <t>Buybacks</t>
  </si>
  <si>
    <t>Proceeds from sale of own shares</t>
  </si>
  <si>
    <t>CIC</t>
  </si>
  <si>
    <t>FCF</t>
  </si>
  <si>
    <t>Net financial items</t>
  </si>
  <si>
    <t>Nedside</t>
  </si>
  <si>
    <t>Other financial items</t>
  </si>
  <si>
    <t>Nullvekst og konstante marginer</t>
  </si>
  <si>
    <t>Q126</t>
  </si>
  <si>
    <t>Q226</t>
  </si>
  <si>
    <t>Q326</t>
  </si>
  <si>
    <t>Q426</t>
  </si>
  <si>
    <t>Value</t>
  </si>
  <si>
    <t>NOK/Share</t>
  </si>
  <si>
    <t>Norge</t>
  </si>
  <si>
    <t>Sverige</t>
  </si>
  <si>
    <t>Danmark</t>
  </si>
  <si>
    <t>Enterprise value</t>
  </si>
  <si>
    <t>Debt</t>
  </si>
  <si>
    <t>Equity value</t>
  </si>
  <si>
    <t>FX</t>
  </si>
  <si>
    <t>EBITDA LTM</t>
  </si>
  <si>
    <t>EBITDA margin</t>
  </si>
  <si>
    <t>Gearing</t>
  </si>
  <si>
    <t>Operating profit %</t>
  </si>
  <si>
    <t>EBIT</t>
  </si>
  <si>
    <t>Dividends</t>
  </si>
  <si>
    <t>EBIT 26E</t>
  </si>
  <si>
    <t>Press releases:</t>
  </si>
  <si>
    <t>Revenue Contant currency</t>
  </si>
  <si>
    <t>14.08.26: Sats starter nytt tilbakekjøpsprogram på 100 mill / 3,5mill akskjer</t>
  </si>
  <si>
    <t>Tilbakekjøpsprogram</t>
  </si>
  <si>
    <t>Dato kjøp</t>
  </si>
  <si>
    <t>Antall aksjer</t>
  </si>
  <si>
    <t>Akummelert antall aksjer</t>
  </si>
  <si>
    <t xml:space="preserve">Kjøp </t>
  </si>
  <si>
    <t xml:space="preserve">Akkumelert kjøp </t>
  </si>
  <si>
    <t>12.05.26: Sats starter tilbakekjøpsprogram på 200 mill/7 mill aksjer</t>
  </si>
  <si>
    <t>26.05.26: Sats kjøper tilbake 1 189 857 aksjer</t>
  </si>
  <si>
    <t>12.06.26: Sats kjøper tilbake 1 101 253 aksjer</t>
  </si>
  <si>
    <t xml:space="preserve">12.06.26: Sats kjøper tilbake 1 217 425 aksjer </t>
  </si>
  <si>
    <t>29.06.26: Sats kjøper tilbake 1 200 054</t>
  </si>
  <si>
    <t>24.06.26: Alfred berg flagger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</si>
</sst>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#,##0.0"/>
    <numFmt numFmtId="165" formatCode="0.0"/>
    <numFmt numFmtId="166" formatCode="0.0\ %"/>
    <numFmt numFmtId="167" formatCode="#,##0.000"/>
  </numFmts>
  <fonts count="10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0" fontId="2" fillId="0" borderId="0" xfId="0" applyFont="1" applyAlignment="1">
      <alignment horizontal="right"/>
    </xf>
    <xf numFmtId="0" fontId="4" fillId="0" borderId="0" xfId="0" applyFont="1"/>
    <xf numFmtId="166" fontId="2" fillId="0" borderId="0" xfId="0" applyNumberFormat="1" applyFont="1"/>
    <xf numFmtId="166" fontId="2" fillId="0" borderId="1" xfId="0" applyNumberFormat="1" applyFont="1" applyBorder="1"/>
    <xf numFmtId="3" fontId="2" fillId="0" borderId="1" xfId="0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  <xf numFmtId="3" fontId="2" fillId="0" borderId="0" xfId="0" applyNumberFormat="1" applyFont="1"/>
    <xf numFmtId="0" fontId="2" fillId="0" borderId="2" xfId="0" applyFont="1" applyBorder="1"/>
    <xf numFmtId="0" fontId="1" fillId="0" borderId="2" xfId="0" applyFont="1" applyBorder="1"/>
    <xf numFmtId="0" fontId="2" fillId="0" borderId="3" xfId="0" applyFont="1" applyBorder="1"/>
    <xf numFmtId="166" fontId="4" fillId="0" borderId="0" xfId="0" applyNumberFormat="1" applyFont="1"/>
    <xf numFmtId="0" fontId="6" fillId="0" borderId="4" xfId="0" applyFont="1" applyBorder="1"/>
    <xf numFmtId="166" fontId="1" fillId="0" borderId="0" xfId="0" applyNumberFormat="1" applyFont="1"/>
    <xf numFmtId="166" fontId="1" fillId="0" borderId="1" xfId="0" applyNumberFormat="1" applyFont="1" applyBorder="1"/>
    <xf numFmtId="9" fontId="2" fillId="0" borderId="0" xfId="0" applyNumberFormat="1" applyFont="1"/>
    <xf numFmtId="9" fontId="1" fillId="0" borderId="0" xfId="0" applyNumberFormat="1" applyFont="1"/>
    <xf numFmtId="165" fontId="5" fillId="0" borderId="4" xfId="0" applyNumberFormat="1" applyFont="1" applyBorder="1"/>
    <xf numFmtId="8" fontId="2" fillId="0" borderId="2" xfId="0" applyNumberFormat="1" applyFont="1" applyBorder="1"/>
    <xf numFmtId="165" fontId="1" fillId="0" borderId="0" xfId="0" applyNumberFormat="1" applyFont="1"/>
    <xf numFmtId="3" fontId="4" fillId="0" borderId="0" xfId="0" applyNumberFormat="1" applyFont="1"/>
    <xf numFmtId="10" fontId="4" fillId="0" borderId="0" xfId="0" applyNumberFormat="1" applyFont="1"/>
    <xf numFmtId="0" fontId="1" fillId="0" borderId="6" xfId="0" applyFont="1" applyBorder="1"/>
    <xf numFmtId="0" fontId="2" fillId="0" borderId="6" xfId="0" applyFont="1" applyBorder="1"/>
    <xf numFmtId="10" fontId="3" fillId="0" borderId="6" xfId="0" applyNumberFormat="1" applyFont="1" applyBorder="1"/>
    <xf numFmtId="166" fontId="1" fillId="0" borderId="6" xfId="0" applyNumberFormat="1" applyFont="1" applyBorder="1"/>
    <xf numFmtId="0" fontId="1" fillId="0" borderId="7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right"/>
    </xf>
    <xf numFmtId="0" fontId="8" fillId="0" borderId="0" xfId="0" applyFont="1"/>
    <xf numFmtId="0" fontId="9" fillId="0" borderId="4" xfId="0" applyFont="1" applyBorder="1"/>
    <xf numFmtId="0" fontId="8" fillId="0" borderId="4" xfId="0" applyFont="1" applyBorder="1"/>
    <xf numFmtId="3" fontId="8" fillId="0" borderId="4" xfId="0" applyNumberFormat="1" applyFont="1" applyBorder="1"/>
    <xf numFmtId="1" fontId="8" fillId="0" borderId="4" xfId="0" applyNumberFormat="1" applyFont="1" applyBorder="1"/>
    <xf numFmtId="3" fontId="9" fillId="0" borderId="4" xfId="0" applyNumberFormat="1" applyFont="1" applyBorder="1"/>
    <xf numFmtId="1" fontId="9" fillId="0" borderId="4" xfId="0" applyNumberFormat="1" applyFont="1" applyBorder="1"/>
    <xf numFmtId="0" fontId="8" fillId="2" borderId="4" xfId="0" applyFont="1" applyFill="1" applyBorder="1"/>
    <xf numFmtId="166" fontId="4" fillId="0" borderId="1" xfId="0" applyNumberFormat="1" applyFont="1" applyBorder="1"/>
    <xf numFmtId="166" fontId="3" fillId="0" borderId="0" xfId="0" applyNumberFormat="1" applyFont="1"/>
    <xf numFmtId="3" fontId="1" fillId="0" borderId="6" xfId="0" applyNumberFormat="1" applyFont="1" applyBorder="1"/>
    <xf numFmtId="10" fontId="2" fillId="0" borderId="1" xfId="0" applyNumberFormat="1" applyFont="1" applyBorder="1"/>
    <xf numFmtId="3" fontId="8" fillId="2" borderId="4" xfId="0" applyNumberFormat="1" applyFont="1" applyFill="1" applyBorder="1"/>
    <xf numFmtId="0" fontId="2" fillId="0" borderId="1" xfId="0" applyFont="1" applyBorder="1" applyAlignment="1">
      <alignment horizontal="right"/>
    </xf>
    <xf numFmtId="3" fontId="8" fillId="0" borderId="0" xfId="0" applyNumberFormat="1" applyFont="1"/>
    <xf numFmtId="167" fontId="2" fillId="0" borderId="0" xfId="0" applyNumberFormat="1" applyFont="1"/>
    <xf numFmtId="9" fontId="4" fillId="0" borderId="0" xfId="0" applyNumberFormat="1" applyFont="1"/>
    <xf numFmtId="9" fontId="1" fillId="0" borderId="6" xfId="0" applyNumberFormat="1" applyFont="1" applyBorder="1"/>
    <xf numFmtId="166" fontId="3" fillId="0" borderId="8" xfId="0" applyNumberFormat="1" applyFont="1" applyBorder="1"/>
    <xf numFmtId="166" fontId="3" fillId="0" borderId="1" xfId="0" applyNumberFormat="1" applyFont="1" applyBorder="1"/>
    <xf numFmtId="166" fontId="3" fillId="0" borderId="6" xfId="0" applyNumberFormat="1" applyFont="1" applyBorder="1"/>
    <xf numFmtId="4" fontId="2" fillId="0" borderId="0" xfId="0" applyNumberFormat="1" applyFont="1"/>
    <xf numFmtId="0" fontId="2" fillId="0" borderId="0" xfId="0" applyFont="1" applyBorder="1"/>
    <xf numFmtId="8" fontId="2" fillId="0" borderId="0" xfId="0" applyNumberFormat="1" applyFont="1" applyBorder="1"/>
    <xf numFmtId="14" fontId="2" fillId="0" borderId="0" xfId="0" applyNumberFormat="1" applyFont="1" applyAlignment="1">
      <alignment horizontal="left"/>
    </xf>
    <xf numFmtId="14" fontId="2" fillId="3" borderId="0" xfId="0" applyNumberFormat="1" applyFont="1" applyFill="1" applyAlignment="1">
      <alignment horizontal="left"/>
    </xf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101600</xdr:colOff>
      <xdr:row>15</xdr:row>
      <xdr:rowOff>188375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8A6D4DCF-DBA0-3F3A-31BB-4B72E90E5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29100" cy="3807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EBED07-8471-0743-A415-0DB1BC321E4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2cac91e-2b1d-46df-b83f-94dc486dd7d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R29"/>
  <sheetViews>
    <sheetView showGridLines="0" tabSelected="1" workbookViewId="0">
      <selection activeCell="I17" sqref="I17"/>
    </sheetView>
  </sheetViews>
  <sheetFormatPr baseColWidth="10" defaultRowHeight="19" x14ac:dyDescent="0.25"/>
  <cols>
    <col min="1" max="13" width="10.83203125" style="2"/>
    <col min="14" max="14" width="22.5" style="65" customWidth="1"/>
    <col min="15" max="15" width="15.6640625" style="19" customWidth="1"/>
    <col min="16" max="16" width="27.6640625" style="19" customWidth="1"/>
    <col min="17" max="17" width="13" style="19" customWidth="1"/>
    <col min="18" max="18" width="17.83203125" style="19" customWidth="1"/>
    <col min="19" max="16384" width="10.83203125" style="2"/>
  </cols>
  <sheetData>
    <row r="1" spans="14:18" x14ac:dyDescent="0.25">
      <c r="N1" s="2"/>
      <c r="O1" s="2"/>
      <c r="P1" s="2"/>
      <c r="Q1" s="2"/>
      <c r="R1" s="2"/>
    </row>
    <row r="2" spans="14:18" x14ac:dyDescent="0.25">
      <c r="N2" s="2"/>
      <c r="O2" s="2"/>
      <c r="P2" s="2"/>
      <c r="Q2" s="2"/>
      <c r="R2" s="2"/>
    </row>
    <row r="3" spans="14:18" x14ac:dyDescent="0.25">
      <c r="N3" s="2"/>
      <c r="O3" s="2"/>
      <c r="P3" s="2"/>
      <c r="Q3" s="2"/>
      <c r="R3" s="2"/>
    </row>
    <row r="4" spans="14:18" x14ac:dyDescent="0.25">
      <c r="N4" s="2"/>
      <c r="O4" s="2"/>
      <c r="P4" s="2"/>
      <c r="Q4" s="2"/>
      <c r="R4" s="2"/>
    </row>
    <row r="5" spans="14:18" x14ac:dyDescent="0.25">
      <c r="N5" s="2"/>
      <c r="O5" s="2"/>
      <c r="P5" s="2"/>
      <c r="Q5" s="2"/>
      <c r="R5" s="2"/>
    </row>
    <row r="6" spans="14:18" x14ac:dyDescent="0.25">
      <c r="N6" s="2"/>
      <c r="O6" s="2"/>
      <c r="P6" s="2"/>
      <c r="Q6" s="2"/>
      <c r="R6" s="2"/>
    </row>
    <row r="7" spans="14:18" x14ac:dyDescent="0.25">
      <c r="N7" s="2"/>
      <c r="O7" s="2"/>
      <c r="P7" s="2"/>
      <c r="Q7" s="2"/>
      <c r="R7" s="2"/>
    </row>
    <row r="8" spans="14:18" x14ac:dyDescent="0.25">
      <c r="N8" s="1" t="s">
        <v>163</v>
      </c>
      <c r="O8" s="2"/>
      <c r="P8" s="2"/>
      <c r="Q8" s="2"/>
      <c r="R8" s="2"/>
    </row>
    <row r="9" spans="14:18" x14ac:dyDescent="0.25">
      <c r="N9" s="1" t="s">
        <v>164</v>
      </c>
      <c r="O9" s="1" t="s">
        <v>165</v>
      </c>
      <c r="P9" s="1" t="s">
        <v>166</v>
      </c>
      <c r="Q9" s="1" t="s">
        <v>167</v>
      </c>
      <c r="R9" s="1" t="s">
        <v>168</v>
      </c>
    </row>
    <row r="15" spans="14:18" x14ac:dyDescent="0.25">
      <c r="N15" s="66"/>
      <c r="O15" s="67"/>
      <c r="P15" s="67"/>
      <c r="Q15" s="67"/>
      <c r="R15" s="67"/>
    </row>
    <row r="16" spans="14:18" x14ac:dyDescent="0.25">
      <c r="N16" s="65">
        <v>46168</v>
      </c>
      <c r="O16" s="19">
        <v>1189859</v>
      </c>
      <c r="P16" s="19">
        <f>O16</f>
        <v>1189859</v>
      </c>
      <c r="Q16" s="19">
        <v>52395060</v>
      </c>
      <c r="R16" s="19">
        <f>Q16</f>
        <v>52395060</v>
      </c>
    </row>
    <row r="17" spans="1:18" x14ac:dyDescent="0.25">
      <c r="N17" s="65">
        <v>46185</v>
      </c>
      <c r="O17" s="19">
        <v>1101253</v>
      </c>
      <c r="P17" s="19">
        <f>SUM(O16:O17)</f>
        <v>2291112</v>
      </c>
      <c r="Q17" s="19">
        <f>99999986-Q16</f>
        <v>47604926</v>
      </c>
      <c r="R17" s="19">
        <f>SUM(Q16:Q17)</f>
        <v>99999986</v>
      </c>
    </row>
    <row r="18" spans="1:18" x14ac:dyDescent="0.25">
      <c r="N18" s="65">
        <v>46185</v>
      </c>
      <c r="O18" s="19">
        <v>1217425</v>
      </c>
      <c r="P18" s="19">
        <f>SUM(O16:O18)</f>
        <v>3508537</v>
      </c>
      <c r="Q18" s="19">
        <f>149999967-R17</f>
        <v>49999981</v>
      </c>
      <c r="R18" s="19">
        <f>SUM(Q16:Q18)</f>
        <v>149999967</v>
      </c>
    </row>
    <row r="19" spans="1:18" x14ac:dyDescent="0.25">
      <c r="N19" s="65">
        <v>46202</v>
      </c>
      <c r="O19" s="19">
        <v>1200054</v>
      </c>
      <c r="P19" s="19">
        <f>SUM(O16:O19)</f>
        <v>4708591</v>
      </c>
      <c r="Q19" s="19">
        <f>199999953-R18</f>
        <v>49999986</v>
      </c>
      <c r="R19" s="19">
        <f>SUM(Q16:Q19)</f>
        <v>199999953</v>
      </c>
    </row>
    <row r="20" spans="1:18" x14ac:dyDescent="0.25">
      <c r="N20" s="66"/>
      <c r="O20" s="67"/>
      <c r="P20" s="67"/>
      <c r="Q20" s="67"/>
      <c r="R20" s="67"/>
    </row>
    <row r="22" spans="1:18" x14ac:dyDescent="0.25">
      <c r="A22" s="1" t="s">
        <v>160</v>
      </c>
    </row>
    <row r="23" spans="1:18" x14ac:dyDescent="0.25">
      <c r="A23" s="2" t="s">
        <v>162</v>
      </c>
    </row>
    <row r="24" spans="1:18" x14ac:dyDescent="0.25">
      <c r="A24" s="2" t="s">
        <v>173</v>
      </c>
    </row>
    <row r="25" spans="1:18" x14ac:dyDescent="0.25">
      <c r="A25" s="2" t="s">
        <v>174</v>
      </c>
    </row>
    <row r="26" spans="1:18" x14ac:dyDescent="0.25">
      <c r="A26" s="2" t="s">
        <v>172</v>
      </c>
    </row>
    <row r="27" spans="1:18" x14ac:dyDescent="0.25">
      <c r="A27" s="2" t="s">
        <v>171</v>
      </c>
    </row>
    <row r="28" spans="1:18" x14ac:dyDescent="0.25">
      <c r="A28" s="2" t="s">
        <v>170</v>
      </c>
    </row>
    <row r="29" spans="1:18" x14ac:dyDescent="0.25">
      <c r="A29" s="2" t="s">
        <v>169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3:DU104"/>
  <sheetViews>
    <sheetView showGridLines="0" zoomScaleNormal="100" workbookViewId="0">
      <pane xSplit="3" ySplit="3" topLeftCell="AC4" activePane="bottomRight" state="frozen"/>
      <selection pane="topRight" activeCell="D1" sqref="D1"/>
      <selection pane="bottomLeft" activeCell="A4" sqref="A4"/>
      <selection pane="bottomRight" activeCell="Y91" sqref="Y91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7.5" style="2" bestFit="1" customWidth="1"/>
    <col min="4" max="23" width="10.83203125" style="2"/>
    <col min="24" max="24" width="12.6640625" style="2" bestFit="1" customWidth="1"/>
    <col min="25" max="33" width="10.83203125" style="2"/>
    <col min="34" max="34" width="10.83203125" style="4"/>
    <col min="35" max="44" width="10.83203125" style="2"/>
    <col min="45" max="45" width="14.83203125" style="2" bestFit="1" customWidth="1"/>
    <col min="46" max="46" width="13.33203125" style="2" bestFit="1" customWidth="1"/>
    <col min="47" max="16384" width="10.83203125" style="2"/>
  </cols>
  <sheetData>
    <row r="3" spans="1:125" x14ac:dyDescent="0.25">
      <c r="A3" s="1" t="s">
        <v>0</v>
      </c>
      <c r="C3" s="2" t="s">
        <v>19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  <c r="K3" s="12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87</v>
      </c>
      <c r="Q3" s="12" t="s">
        <v>88</v>
      </c>
      <c r="R3" s="12" t="s">
        <v>89</v>
      </c>
      <c r="S3" s="12" t="s">
        <v>90</v>
      </c>
      <c r="T3" s="12" t="s">
        <v>140</v>
      </c>
      <c r="U3" s="12" t="s">
        <v>141</v>
      </c>
      <c r="V3" s="12" t="s">
        <v>142</v>
      </c>
      <c r="W3" s="12" t="s">
        <v>143</v>
      </c>
      <c r="X3" s="12"/>
      <c r="Z3" s="12" t="s">
        <v>109</v>
      </c>
      <c r="AA3" s="12" t="s">
        <v>110</v>
      </c>
      <c r="AB3" s="12" t="s">
        <v>111</v>
      </c>
      <c r="AC3" s="12" t="s">
        <v>112</v>
      </c>
      <c r="AD3" s="12" t="s">
        <v>20</v>
      </c>
      <c r="AE3" s="12" t="s">
        <v>21</v>
      </c>
      <c r="AF3" s="12" t="s">
        <v>22</v>
      </c>
      <c r="AG3" s="12" t="s">
        <v>23</v>
      </c>
      <c r="AH3" s="54" t="s">
        <v>24</v>
      </c>
      <c r="AI3" s="12" t="s">
        <v>25</v>
      </c>
      <c r="AJ3" s="12" t="s">
        <v>26</v>
      </c>
      <c r="AK3" s="12" t="s">
        <v>27</v>
      </c>
      <c r="AL3" s="12" t="s">
        <v>28</v>
      </c>
      <c r="AM3" s="12" t="s">
        <v>29</v>
      </c>
      <c r="AN3" s="12" t="s">
        <v>30</v>
      </c>
      <c r="AO3" s="12" t="s">
        <v>31</v>
      </c>
      <c r="AP3" s="12" t="s">
        <v>32</v>
      </c>
      <c r="AQ3" s="12" t="s">
        <v>33</v>
      </c>
    </row>
    <row r="4" spans="1:125" x14ac:dyDescent="0.25">
      <c r="A4" s="2" t="s">
        <v>1</v>
      </c>
      <c r="B4" s="4">
        <v>44.4</v>
      </c>
      <c r="C4" s="1" t="s">
        <v>41</v>
      </c>
      <c r="D4" s="18">
        <v>1011</v>
      </c>
      <c r="E4" s="18">
        <v>1022</v>
      </c>
      <c r="F4" s="18">
        <v>967</v>
      </c>
      <c r="G4" s="18">
        <v>1082</v>
      </c>
      <c r="H4" s="18">
        <v>1201</v>
      </c>
      <c r="I4" s="18">
        <v>1200</v>
      </c>
      <c r="J4" s="18">
        <v>1106</v>
      </c>
      <c r="K4" s="18">
        <v>1227</v>
      </c>
      <c r="L4" s="18">
        <v>1294</v>
      </c>
      <c r="M4" s="18">
        <v>1266</v>
      </c>
      <c r="N4" s="18">
        <v>1194</v>
      </c>
      <c r="O4" s="18">
        <v>1311</v>
      </c>
      <c r="P4" s="18">
        <v>1395</v>
      </c>
      <c r="Q4" s="18">
        <v>1393</v>
      </c>
      <c r="R4" s="18">
        <v>1293</v>
      </c>
      <c r="S4" s="18">
        <v>1428</v>
      </c>
      <c r="T4" s="18">
        <v>1483</v>
      </c>
      <c r="U4" s="18">
        <v>1442</v>
      </c>
      <c r="V4" s="19"/>
      <c r="W4" s="19"/>
      <c r="X4" s="19"/>
      <c r="Y4" s="19"/>
      <c r="Z4" s="18">
        <v>3259</v>
      </c>
      <c r="AA4" s="18">
        <v>3987</v>
      </c>
      <c r="AB4" s="18">
        <v>3534</v>
      </c>
      <c r="AC4" s="18">
        <v>3247</v>
      </c>
      <c r="AD4" s="18">
        <f>SUM(D4:G4)</f>
        <v>4082</v>
      </c>
      <c r="AE4" s="18">
        <f>SUM(H4:K4)</f>
        <v>4734</v>
      </c>
      <c r="AF4" s="18">
        <f>SUM(L4:O4)</f>
        <v>5065</v>
      </c>
      <c r="AG4" s="18">
        <v>5509</v>
      </c>
      <c r="AH4" s="17">
        <f>AG4*1.06</f>
        <v>5839.54</v>
      </c>
      <c r="AI4" s="18">
        <f t="shared" ref="AI4:AQ4" si="0">AH4*1.05</f>
        <v>6131.5169999999998</v>
      </c>
      <c r="AJ4" s="18">
        <f t="shared" si="0"/>
        <v>6438.09285</v>
      </c>
      <c r="AK4" s="18">
        <f t="shared" si="0"/>
        <v>6759.9974925000006</v>
      </c>
      <c r="AL4" s="18">
        <f t="shared" si="0"/>
        <v>7097.9973671250009</v>
      </c>
      <c r="AM4" s="18">
        <f t="shared" si="0"/>
        <v>7452.8972354812513</v>
      </c>
      <c r="AN4" s="18">
        <f t="shared" si="0"/>
        <v>7825.5420972553138</v>
      </c>
      <c r="AO4" s="18">
        <f t="shared" si="0"/>
        <v>8216.8192021180803</v>
      </c>
      <c r="AP4" s="18">
        <f t="shared" si="0"/>
        <v>8627.660162223985</v>
      </c>
      <c r="AQ4" s="18">
        <f t="shared" si="0"/>
        <v>9059.0431703351842</v>
      </c>
    </row>
    <row r="5" spans="1:125" x14ac:dyDescent="0.25">
      <c r="A5" s="2" t="s">
        <v>2</v>
      </c>
      <c r="B5" s="8">
        <v>204.69458800000001</v>
      </c>
      <c r="C5" s="2" t="s">
        <v>42</v>
      </c>
      <c r="D5" s="19">
        <v>-38</v>
      </c>
      <c r="E5" s="19">
        <v>-29</v>
      </c>
      <c r="F5" s="19">
        <v>-33</v>
      </c>
      <c r="G5" s="19">
        <v>-47</v>
      </c>
      <c r="H5" s="19">
        <v>-36</v>
      </c>
      <c r="I5" s="19">
        <v>-35</v>
      </c>
      <c r="J5" s="19">
        <v>-31</v>
      </c>
      <c r="K5" s="19">
        <v>-35</v>
      </c>
      <c r="L5" s="19">
        <v>-40</v>
      </c>
      <c r="M5" s="19">
        <v>-30</v>
      </c>
      <c r="N5" s="19">
        <v>-33</v>
      </c>
      <c r="O5" s="19">
        <v>-40</v>
      </c>
      <c r="P5" s="19">
        <v>-38</v>
      </c>
      <c r="Q5" s="19">
        <v>-36</v>
      </c>
      <c r="R5" s="19">
        <v>-35</v>
      </c>
      <c r="S5" s="19">
        <v>-37</v>
      </c>
      <c r="T5" s="19">
        <v>-38</v>
      </c>
      <c r="U5" s="19">
        <v>-37</v>
      </c>
      <c r="V5" s="19"/>
      <c r="W5" s="19"/>
      <c r="X5" s="19"/>
      <c r="Y5" s="19"/>
      <c r="Z5" s="19">
        <v>-80</v>
      </c>
      <c r="AA5" s="19">
        <v>-115</v>
      </c>
      <c r="AB5" s="19">
        <v>-122</v>
      </c>
      <c r="AC5" s="19">
        <v>-106</v>
      </c>
      <c r="AD5" s="19">
        <f>SUM(D5:G5)</f>
        <v>-147</v>
      </c>
      <c r="AE5" s="19">
        <f>SUM(H5:K5)</f>
        <v>-137</v>
      </c>
      <c r="AF5" s="19">
        <f>SUM(L5:O5)</f>
        <v>-143</v>
      </c>
      <c r="AG5" s="19">
        <v>-146</v>
      </c>
      <c r="AH5" s="16">
        <f>AH4*-0.026</f>
        <v>-151.82803999999999</v>
      </c>
      <c r="AI5" s="19">
        <f t="shared" ref="AI5:AQ5" si="1">AI4*-0.026</f>
        <v>-159.41944199999998</v>
      </c>
      <c r="AJ5" s="19">
        <f t="shared" si="1"/>
        <v>-167.39041409999999</v>
      </c>
      <c r="AK5" s="19">
        <f t="shared" si="1"/>
        <v>-175.759934805</v>
      </c>
      <c r="AL5" s="19">
        <f t="shared" si="1"/>
        <v>-184.54793154525001</v>
      </c>
      <c r="AM5" s="19">
        <f t="shared" si="1"/>
        <v>-193.77532812251252</v>
      </c>
      <c r="AN5" s="19">
        <f t="shared" si="1"/>
        <v>-203.46409452863816</v>
      </c>
      <c r="AO5" s="19">
        <f t="shared" si="1"/>
        <v>-213.63729925507008</v>
      </c>
      <c r="AP5" s="19">
        <f t="shared" si="1"/>
        <v>-224.31916421782361</v>
      </c>
      <c r="AQ5" s="19">
        <f t="shared" si="1"/>
        <v>-235.53512242871477</v>
      </c>
    </row>
    <row r="6" spans="1:125" x14ac:dyDescent="0.25">
      <c r="A6" s="2" t="s">
        <v>3</v>
      </c>
      <c r="B6" s="5">
        <f>B4*B5</f>
        <v>9088.4397072000011</v>
      </c>
      <c r="C6" s="2" t="s">
        <v>115</v>
      </c>
      <c r="D6" s="19">
        <f t="shared" ref="D6:N6" si="2">D4+D5</f>
        <v>973</v>
      </c>
      <c r="E6" s="19">
        <f t="shared" si="2"/>
        <v>993</v>
      </c>
      <c r="F6" s="19">
        <f t="shared" si="2"/>
        <v>934</v>
      </c>
      <c r="G6" s="19">
        <f t="shared" si="2"/>
        <v>1035</v>
      </c>
      <c r="H6" s="19">
        <f t="shared" si="2"/>
        <v>1165</v>
      </c>
      <c r="I6" s="19">
        <f t="shared" si="2"/>
        <v>1165</v>
      </c>
      <c r="J6" s="19">
        <f t="shared" si="2"/>
        <v>1075</v>
      </c>
      <c r="K6" s="19">
        <f t="shared" si="2"/>
        <v>1192</v>
      </c>
      <c r="L6" s="19">
        <f t="shared" si="2"/>
        <v>1254</v>
      </c>
      <c r="M6" s="19">
        <f t="shared" si="2"/>
        <v>1236</v>
      </c>
      <c r="N6" s="19">
        <f t="shared" si="2"/>
        <v>1161</v>
      </c>
      <c r="O6" s="19">
        <f>O4+O5</f>
        <v>1271</v>
      </c>
      <c r="P6" s="19">
        <f t="shared" ref="P6:S6" si="3">P4+P5</f>
        <v>1357</v>
      </c>
      <c r="Q6" s="19">
        <f t="shared" si="3"/>
        <v>1357</v>
      </c>
      <c r="R6" s="19">
        <f t="shared" si="3"/>
        <v>1258</v>
      </c>
      <c r="S6" s="19">
        <f t="shared" si="3"/>
        <v>1391</v>
      </c>
      <c r="T6" s="19">
        <f>T4+T5</f>
        <v>1445</v>
      </c>
      <c r="U6" s="19">
        <f>U4+U5</f>
        <v>1405</v>
      </c>
      <c r="V6" s="19"/>
      <c r="W6" s="19"/>
      <c r="X6" s="19"/>
      <c r="Y6" s="19"/>
      <c r="Z6" s="19">
        <f t="shared" ref="Z6:AE6" si="4">Z4+Z5</f>
        <v>3179</v>
      </c>
      <c r="AA6" s="19">
        <f t="shared" si="4"/>
        <v>3872</v>
      </c>
      <c r="AB6" s="19">
        <f t="shared" si="4"/>
        <v>3412</v>
      </c>
      <c r="AC6" s="19">
        <f t="shared" si="4"/>
        <v>3141</v>
      </c>
      <c r="AD6" s="19">
        <f>AD4+AD5</f>
        <v>3935</v>
      </c>
      <c r="AE6" s="19">
        <f t="shared" si="4"/>
        <v>4597</v>
      </c>
      <c r="AF6" s="19">
        <f>AF4+AF5</f>
        <v>4922</v>
      </c>
      <c r="AG6" s="19">
        <f t="shared" ref="AG6:AQ6" si="5">AG4+AG5</f>
        <v>5363</v>
      </c>
      <c r="AH6" s="16">
        <f t="shared" si="5"/>
        <v>5687.7119599999996</v>
      </c>
      <c r="AI6" s="19">
        <f t="shared" si="5"/>
        <v>5972.0975579999995</v>
      </c>
      <c r="AJ6" s="19">
        <f t="shared" si="5"/>
        <v>6270.7024358999997</v>
      </c>
      <c r="AK6" s="19">
        <f t="shared" si="5"/>
        <v>6584.2375576950008</v>
      </c>
      <c r="AL6" s="19">
        <f t="shared" si="5"/>
        <v>6913.4494355797506</v>
      </c>
      <c r="AM6" s="19">
        <f t="shared" si="5"/>
        <v>7259.121907358739</v>
      </c>
      <c r="AN6" s="19">
        <f t="shared" si="5"/>
        <v>7622.0780027266755</v>
      </c>
      <c r="AO6" s="19">
        <f t="shared" si="5"/>
        <v>8003.1819028630098</v>
      </c>
      <c r="AP6" s="19">
        <f t="shared" si="5"/>
        <v>8403.3409980061606</v>
      </c>
      <c r="AQ6" s="19">
        <f t="shared" si="5"/>
        <v>8823.5080479064691</v>
      </c>
    </row>
    <row r="7" spans="1:125" x14ac:dyDescent="0.25">
      <c r="A7" s="2" t="s">
        <v>4</v>
      </c>
      <c r="B7" s="5">
        <f>U48</f>
        <v>326</v>
      </c>
      <c r="C7" s="2" t="s">
        <v>43</v>
      </c>
      <c r="D7" s="19">
        <v>-403</v>
      </c>
      <c r="E7" s="19">
        <v>-382</v>
      </c>
      <c r="F7" s="19">
        <v>-357</v>
      </c>
      <c r="G7" s="19">
        <v>-446</v>
      </c>
      <c r="H7" s="19">
        <v>-436</v>
      </c>
      <c r="I7" s="19">
        <v>-398</v>
      </c>
      <c r="J7" s="19">
        <v>-367</v>
      </c>
      <c r="K7" s="19">
        <v>-476</v>
      </c>
      <c r="L7" s="19">
        <v>-486</v>
      </c>
      <c r="M7" s="19">
        <v>-446</v>
      </c>
      <c r="N7" s="19">
        <v>-418</v>
      </c>
      <c r="O7" s="19">
        <v>-511</v>
      </c>
      <c r="P7" s="19">
        <v>-538</v>
      </c>
      <c r="Q7" s="19">
        <v>-491</v>
      </c>
      <c r="R7" s="19">
        <v>-461</v>
      </c>
      <c r="S7" s="19">
        <v>-565</v>
      </c>
      <c r="T7" s="19">
        <v>-587</v>
      </c>
      <c r="U7" s="19">
        <v>-498</v>
      </c>
      <c r="V7" s="19"/>
      <c r="W7" s="19"/>
      <c r="X7" s="19"/>
      <c r="Y7" s="19"/>
      <c r="Z7" s="19">
        <v>-1224</v>
      </c>
      <c r="AA7" s="19">
        <v>-1463</v>
      </c>
      <c r="AB7" s="19">
        <v>-1352</v>
      </c>
      <c r="AC7" s="19">
        <v>-1399</v>
      </c>
      <c r="AD7" s="19">
        <f>SUM(D7:G7)</f>
        <v>-1588</v>
      </c>
      <c r="AE7" s="19">
        <f>SUM(H7:K7)</f>
        <v>-1677</v>
      </c>
      <c r="AF7" s="19">
        <f>SUM(L7:O7)</f>
        <v>-1861</v>
      </c>
      <c r="AG7" s="19">
        <v>-2055</v>
      </c>
      <c r="AH7" s="16">
        <f>AG7*1.03</f>
        <v>-2116.65</v>
      </c>
      <c r="AI7" s="19">
        <f>AH7*1.035</f>
        <v>-2190.7327500000001</v>
      </c>
      <c r="AJ7" s="19">
        <f t="shared" ref="AJ7:AQ7" si="6">AI7*1.035</f>
        <v>-2267.4083962499999</v>
      </c>
      <c r="AK7" s="19">
        <f t="shared" si="6"/>
        <v>-2346.7676901187497</v>
      </c>
      <c r="AL7" s="19">
        <f t="shared" si="6"/>
        <v>-2428.9045592729058</v>
      </c>
      <c r="AM7" s="19">
        <f t="shared" si="6"/>
        <v>-2513.9162188474575</v>
      </c>
      <c r="AN7" s="19">
        <f t="shared" si="6"/>
        <v>-2601.9032865071181</v>
      </c>
      <c r="AO7" s="19">
        <f t="shared" si="6"/>
        <v>-2692.9699015348669</v>
      </c>
      <c r="AP7" s="19">
        <f t="shared" si="6"/>
        <v>-2787.2238480885871</v>
      </c>
      <c r="AQ7" s="19">
        <f t="shared" si="6"/>
        <v>-2884.7766827716873</v>
      </c>
    </row>
    <row r="8" spans="1:125" x14ac:dyDescent="0.25">
      <c r="A8" s="2" t="s">
        <v>5</v>
      </c>
      <c r="B8" s="5">
        <f>U57+U60</f>
        <v>1403</v>
      </c>
      <c r="C8" s="2" t="s">
        <v>44</v>
      </c>
      <c r="D8" s="19">
        <v>-283</v>
      </c>
      <c r="E8" s="19">
        <v>-268</v>
      </c>
      <c r="F8" s="19">
        <v>-297</v>
      </c>
      <c r="G8" s="19">
        <v>-359</v>
      </c>
      <c r="H8" s="19">
        <v>-305</v>
      </c>
      <c r="I8" s="19">
        <v>-276</v>
      </c>
      <c r="J8" s="19">
        <v>-263</v>
      </c>
      <c r="K8" s="19">
        <v>-291</v>
      </c>
      <c r="L8" s="19">
        <v>-293</v>
      </c>
      <c r="M8" s="19">
        <v>-269</v>
      </c>
      <c r="N8" s="19">
        <v>-272</v>
      </c>
      <c r="O8" s="19">
        <v>-286</v>
      </c>
      <c r="P8" s="19">
        <v>-326</v>
      </c>
      <c r="Q8" s="19">
        <v>-287</v>
      </c>
      <c r="R8" s="19">
        <v>-295</v>
      </c>
      <c r="S8" s="19">
        <v>-291</v>
      </c>
      <c r="T8" s="19">
        <v>-331</v>
      </c>
      <c r="U8" s="19">
        <v>-292</v>
      </c>
      <c r="V8" s="19"/>
      <c r="W8" s="19"/>
      <c r="X8" s="19"/>
      <c r="Y8" s="19"/>
      <c r="Z8" s="19">
        <v>-688</v>
      </c>
      <c r="AA8" s="19">
        <v>-925</v>
      </c>
      <c r="AB8" s="19">
        <v>-925</v>
      </c>
      <c r="AC8" s="19">
        <v>-925</v>
      </c>
      <c r="AD8" s="19">
        <f>SUM(D8:G8)</f>
        <v>-1207</v>
      </c>
      <c r="AE8" s="19">
        <f>SUM(H8:K8)</f>
        <v>-1135</v>
      </c>
      <c r="AF8" s="19">
        <f>SUM(L8:O8)</f>
        <v>-1120</v>
      </c>
      <c r="AG8" s="19">
        <v>-1199</v>
      </c>
      <c r="AH8" s="16">
        <f t="shared" ref="AH8:AH9" si="7">AG8*1.03</f>
        <v>-1234.97</v>
      </c>
      <c r="AI8" s="19">
        <f>AH8*1.03</f>
        <v>-1272.0191</v>
      </c>
      <c r="AJ8" s="19">
        <f t="shared" ref="AJ8:AQ8" si="8">AI8*1.03</f>
        <v>-1310.1796730000001</v>
      </c>
      <c r="AK8" s="19">
        <f t="shared" si="8"/>
        <v>-1349.4850631900001</v>
      </c>
      <c r="AL8" s="19">
        <f t="shared" si="8"/>
        <v>-1389.9696150857001</v>
      </c>
      <c r="AM8" s="19">
        <f t="shared" si="8"/>
        <v>-1431.6687035382711</v>
      </c>
      <c r="AN8" s="19">
        <f t="shared" si="8"/>
        <v>-1474.6187646444193</v>
      </c>
      <c r="AO8" s="19">
        <f t="shared" si="8"/>
        <v>-1518.8573275837521</v>
      </c>
      <c r="AP8" s="19">
        <f t="shared" si="8"/>
        <v>-1564.4230474112646</v>
      </c>
      <c r="AQ8" s="19">
        <f t="shared" si="8"/>
        <v>-1611.3557388336026</v>
      </c>
    </row>
    <row r="9" spans="1:125" x14ac:dyDescent="0.25">
      <c r="A9" s="3" t="s">
        <v>6</v>
      </c>
      <c r="B9" s="6">
        <f>B6-B7+B8</f>
        <v>10165.439707200001</v>
      </c>
      <c r="C9" s="2" t="s">
        <v>45</v>
      </c>
      <c r="D9" s="19">
        <v>-274</v>
      </c>
      <c r="E9" s="19">
        <v>-275</v>
      </c>
      <c r="F9" s="19">
        <v>-276</v>
      </c>
      <c r="G9" s="19">
        <v>-296</v>
      </c>
      <c r="H9" s="19">
        <v>-298</v>
      </c>
      <c r="I9" s="19">
        <v>-289</v>
      </c>
      <c r="J9" s="19">
        <v>-289</v>
      </c>
      <c r="K9" s="19">
        <v>-302</v>
      </c>
      <c r="L9" s="19">
        <v>-303</v>
      </c>
      <c r="M9" s="19">
        <v>-305</v>
      </c>
      <c r="N9" s="19">
        <v>-296</v>
      </c>
      <c r="O9" s="19">
        <v>-294</v>
      </c>
      <c r="P9" s="19">
        <v>-300</v>
      </c>
      <c r="Q9" s="19">
        <v>-306</v>
      </c>
      <c r="R9" s="19">
        <v>-304</v>
      </c>
      <c r="S9" s="19">
        <v>-307</v>
      </c>
      <c r="T9" s="19">
        <v>-306</v>
      </c>
      <c r="U9" s="19">
        <v>-297</v>
      </c>
      <c r="V9" s="19"/>
      <c r="W9" s="19"/>
      <c r="X9" s="19"/>
      <c r="Y9" s="19"/>
      <c r="Z9" s="19">
        <f>-739-265</f>
        <v>-1004</v>
      </c>
      <c r="AA9" s="19">
        <v>-972</v>
      </c>
      <c r="AB9" s="19">
        <f>-1045-70</f>
        <v>-1115</v>
      </c>
      <c r="AC9" s="19">
        <v>-1042</v>
      </c>
      <c r="AD9" s="19">
        <f>SUM(D9:G9)</f>
        <v>-1121</v>
      </c>
      <c r="AE9" s="19">
        <f>SUM(H9:K9)</f>
        <v>-1178</v>
      </c>
      <c r="AF9" s="19">
        <f>SUM(L9:O9)</f>
        <v>-1198</v>
      </c>
      <c r="AG9" s="19">
        <v>-1217</v>
      </c>
      <c r="AH9" s="16">
        <f t="shared" si="7"/>
        <v>-1253.51</v>
      </c>
      <c r="AI9" s="19">
        <f t="shared" ref="AI9:AQ9" si="9">AH9*1.04</f>
        <v>-1303.6504</v>
      </c>
      <c r="AJ9" s="19">
        <f t="shared" si="9"/>
        <v>-1355.7964160000001</v>
      </c>
      <c r="AK9" s="19">
        <f t="shared" si="9"/>
        <v>-1410.0282726400003</v>
      </c>
      <c r="AL9" s="19">
        <f t="shared" si="9"/>
        <v>-1466.4294035456003</v>
      </c>
      <c r="AM9" s="19">
        <f t="shared" si="9"/>
        <v>-1525.0865796874243</v>
      </c>
      <c r="AN9" s="19">
        <f t="shared" si="9"/>
        <v>-1586.0900428749214</v>
      </c>
      <c r="AO9" s="19">
        <f t="shared" si="9"/>
        <v>-1649.5336445899184</v>
      </c>
      <c r="AP9" s="19">
        <f t="shared" si="9"/>
        <v>-1715.514990373515</v>
      </c>
      <c r="AQ9" s="19">
        <f t="shared" si="9"/>
        <v>-1784.1355899884556</v>
      </c>
    </row>
    <row r="10" spans="1:125" x14ac:dyDescent="0.25">
      <c r="C10" s="1" t="s">
        <v>52</v>
      </c>
      <c r="D10" s="18">
        <f t="shared" ref="D10:N10" si="10">SUM(D6:D9)</f>
        <v>13</v>
      </c>
      <c r="E10" s="18">
        <f t="shared" si="10"/>
        <v>68</v>
      </c>
      <c r="F10" s="18">
        <f t="shared" si="10"/>
        <v>4</v>
      </c>
      <c r="G10" s="18">
        <f t="shared" si="10"/>
        <v>-66</v>
      </c>
      <c r="H10" s="18">
        <f t="shared" si="10"/>
        <v>126</v>
      </c>
      <c r="I10" s="18">
        <f t="shared" si="10"/>
        <v>202</v>
      </c>
      <c r="J10" s="18">
        <f t="shared" si="10"/>
        <v>156</v>
      </c>
      <c r="K10" s="18">
        <f t="shared" si="10"/>
        <v>123</v>
      </c>
      <c r="L10" s="18">
        <f t="shared" si="10"/>
        <v>172</v>
      </c>
      <c r="M10" s="18">
        <f t="shared" si="10"/>
        <v>216</v>
      </c>
      <c r="N10" s="18">
        <f t="shared" si="10"/>
        <v>175</v>
      </c>
      <c r="O10" s="18">
        <f>SUM(O6:O9)</f>
        <v>180</v>
      </c>
      <c r="P10" s="18">
        <f t="shared" ref="P10:U10" si="11">SUM(P6:P9)</f>
        <v>193</v>
      </c>
      <c r="Q10" s="18">
        <f t="shared" si="11"/>
        <v>273</v>
      </c>
      <c r="R10" s="18">
        <f t="shared" si="11"/>
        <v>198</v>
      </c>
      <c r="S10" s="18">
        <f t="shared" si="11"/>
        <v>228</v>
      </c>
      <c r="T10" s="18">
        <f t="shared" si="11"/>
        <v>221</v>
      </c>
      <c r="U10" s="18">
        <f t="shared" si="11"/>
        <v>318</v>
      </c>
      <c r="V10" s="19"/>
      <c r="W10" s="19"/>
      <c r="X10" s="19"/>
      <c r="Y10" s="19"/>
      <c r="Z10" s="18">
        <f t="shared" ref="Z10:AE10" si="12">SUM(Z6:Z9)</f>
        <v>263</v>
      </c>
      <c r="AA10" s="18">
        <f t="shared" si="12"/>
        <v>512</v>
      </c>
      <c r="AB10" s="18">
        <f t="shared" si="12"/>
        <v>20</v>
      </c>
      <c r="AC10" s="18">
        <f t="shared" si="12"/>
        <v>-225</v>
      </c>
      <c r="AD10" s="18">
        <f t="shared" si="12"/>
        <v>19</v>
      </c>
      <c r="AE10" s="18">
        <f t="shared" si="12"/>
        <v>607</v>
      </c>
      <c r="AF10" s="18">
        <f>SUM(AF6:AF9)</f>
        <v>743</v>
      </c>
      <c r="AG10" s="18">
        <f t="shared" ref="AG10:AQ10" si="13">SUM(AG6:AG9)</f>
        <v>892</v>
      </c>
      <c r="AH10" s="17">
        <f t="shared" si="13"/>
        <v>1082.5819599999998</v>
      </c>
      <c r="AI10" s="18">
        <f t="shared" si="13"/>
        <v>1205.6953079999994</v>
      </c>
      <c r="AJ10" s="18">
        <f t="shared" si="13"/>
        <v>1337.3179506499996</v>
      </c>
      <c r="AK10" s="18">
        <f t="shared" si="13"/>
        <v>1477.9565317462509</v>
      </c>
      <c r="AL10" s="18">
        <f t="shared" si="13"/>
        <v>1628.1458576755451</v>
      </c>
      <c r="AM10" s="18">
        <f t="shared" si="13"/>
        <v>1788.4504052855862</v>
      </c>
      <c r="AN10" s="18">
        <f t="shared" si="13"/>
        <v>1959.465908700216</v>
      </c>
      <c r="AO10" s="18">
        <f t="shared" si="13"/>
        <v>2141.8210291544724</v>
      </c>
      <c r="AP10" s="18">
        <f t="shared" si="13"/>
        <v>2336.1791121327938</v>
      </c>
      <c r="AQ10" s="18">
        <f t="shared" si="13"/>
        <v>2543.2400363127226</v>
      </c>
    </row>
    <row r="11" spans="1:125" x14ac:dyDescent="0.25">
      <c r="C11" s="2" t="s">
        <v>46</v>
      </c>
      <c r="D11" s="19">
        <v>-67</v>
      </c>
      <c r="E11" s="19">
        <v>-46</v>
      </c>
      <c r="F11" s="19">
        <v>-59</v>
      </c>
      <c r="G11" s="19">
        <v>-109</v>
      </c>
      <c r="H11" s="19">
        <v>-42</v>
      </c>
      <c r="I11" s="19">
        <v>-78</v>
      </c>
      <c r="J11" s="19">
        <v>-107</v>
      </c>
      <c r="K11" s="19">
        <v>-67</v>
      </c>
      <c r="L11" s="19">
        <v>-72</v>
      </c>
      <c r="M11" s="19">
        <v>-82</v>
      </c>
      <c r="N11" s="19">
        <v>-79</v>
      </c>
      <c r="O11" s="19">
        <v>-77</v>
      </c>
      <c r="P11" s="19">
        <v>-70</v>
      </c>
      <c r="Q11" s="19">
        <v>-68</v>
      </c>
      <c r="R11" s="19">
        <v>-70</v>
      </c>
      <c r="S11" s="19">
        <v>-69</v>
      </c>
      <c r="T11" s="19">
        <v>-84</v>
      </c>
      <c r="U11" s="19">
        <v>-69</v>
      </c>
      <c r="V11" s="56"/>
      <c r="W11" s="56"/>
      <c r="X11" s="56"/>
      <c r="Y11" s="56"/>
      <c r="Z11" s="19">
        <v>-240</v>
      </c>
      <c r="AA11" s="19">
        <v>-265</v>
      </c>
      <c r="AB11" s="19">
        <v>-267</v>
      </c>
      <c r="AC11" s="19">
        <v>-298</v>
      </c>
      <c r="AD11" s="19">
        <f>SUM(D11:G11)</f>
        <v>-281</v>
      </c>
      <c r="AE11" s="19">
        <f>SUM(H11:K11)</f>
        <v>-294</v>
      </c>
      <c r="AF11" s="19">
        <f>SUM(L11:O11)</f>
        <v>-310</v>
      </c>
      <c r="AG11" s="19">
        <v>-277</v>
      </c>
      <c r="AH11" s="16">
        <f t="shared" ref="AH11:AQ11" si="14">AG11*1.01</f>
        <v>-279.77</v>
      </c>
      <c r="AI11" s="19">
        <f t="shared" si="14"/>
        <v>-282.5677</v>
      </c>
      <c r="AJ11" s="19">
        <f t="shared" si="14"/>
        <v>-285.39337699999999</v>
      </c>
      <c r="AK11" s="19">
        <f t="shared" si="14"/>
        <v>-288.24731077000001</v>
      </c>
      <c r="AL11" s="19">
        <f t="shared" si="14"/>
        <v>-291.12978387769999</v>
      </c>
      <c r="AM11" s="19">
        <f t="shared" si="14"/>
        <v>-294.04108171647698</v>
      </c>
      <c r="AN11" s="19">
        <f t="shared" si="14"/>
        <v>-296.98149253364176</v>
      </c>
      <c r="AO11" s="19">
        <f t="shared" si="14"/>
        <v>-299.95130745897819</v>
      </c>
      <c r="AP11" s="19">
        <f t="shared" si="14"/>
        <v>-302.95082053356799</v>
      </c>
      <c r="AQ11" s="19">
        <f t="shared" si="14"/>
        <v>-305.98032873890367</v>
      </c>
    </row>
    <row r="12" spans="1:125" x14ac:dyDescent="0.25">
      <c r="C12" s="2" t="s">
        <v>47</v>
      </c>
      <c r="D12" s="19">
        <f t="shared" ref="D12:U12" si="15">SUM(D10:D11)</f>
        <v>-54</v>
      </c>
      <c r="E12" s="19">
        <f t="shared" si="15"/>
        <v>22</v>
      </c>
      <c r="F12" s="19">
        <f t="shared" si="15"/>
        <v>-55</v>
      </c>
      <c r="G12" s="19">
        <f t="shared" si="15"/>
        <v>-175</v>
      </c>
      <c r="H12" s="19">
        <f t="shared" si="15"/>
        <v>84</v>
      </c>
      <c r="I12" s="19">
        <f t="shared" si="15"/>
        <v>124</v>
      </c>
      <c r="J12" s="19">
        <f t="shared" si="15"/>
        <v>49</v>
      </c>
      <c r="K12" s="19">
        <f t="shared" si="15"/>
        <v>56</v>
      </c>
      <c r="L12" s="19">
        <f t="shared" si="15"/>
        <v>100</v>
      </c>
      <c r="M12" s="19">
        <f t="shared" si="15"/>
        <v>134</v>
      </c>
      <c r="N12" s="19">
        <f t="shared" si="15"/>
        <v>96</v>
      </c>
      <c r="O12" s="19">
        <f t="shared" si="15"/>
        <v>103</v>
      </c>
      <c r="P12" s="19">
        <f t="shared" si="15"/>
        <v>123</v>
      </c>
      <c r="Q12" s="19">
        <f t="shared" si="15"/>
        <v>205</v>
      </c>
      <c r="R12" s="19">
        <f t="shared" si="15"/>
        <v>128</v>
      </c>
      <c r="S12" s="19">
        <f t="shared" si="15"/>
        <v>159</v>
      </c>
      <c r="T12" s="19">
        <f t="shared" si="15"/>
        <v>137</v>
      </c>
      <c r="U12" s="19">
        <f t="shared" si="15"/>
        <v>249</v>
      </c>
      <c r="V12" s="19"/>
      <c r="W12" s="19"/>
      <c r="X12" s="19"/>
      <c r="Y12" s="19"/>
      <c r="Z12" s="19">
        <f t="shared" ref="Z12:AE12" si="16">SUM(Z10:Z11)</f>
        <v>23</v>
      </c>
      <c r="AA12" s="19">
        <f t="shared" si="16"/>
        <v>247</v>
      </c>
      <c r="AB12" s="19">
        <f t="shared" si="16"/>
        <v>-247</v>
      </c>
      <c r="AC12" s="19">
        <f t="shared" si="16"/>
        <v>-523</v>
      </c>
      <c r="AD12" s="19">
        <f t="shared" si="16"/>
        <v>-262</v>
      </c>
      <c r="AE12" s="19">
        <f t="shared" si="16"/>
        <v>313</v>
      </c>
      <c r="AF12" s="19">
        <f t="shared" ref="AF12" si="17">SUM(AF10:AF11)</f>
        <v>433</v>
      </c>
      <c r="AG12" s="19">
        <f t="shared" ref="AG12" si="18">SUM(AG10:AG11)</f>
        <v>615</v>
      </c>
      <c r="AH12" s="16">
        <f t="shared" ref="AH12" si="19">SUM(AH10:AH11)</f>
        <v>802.81195999999977</v>
      </c>
      <c r="AI12" s="19">
        <f t="shared" ref="AI12" si="20">SUM(AI10:AI11)</f>
        <v>923.12760799999933</v>
      </c>
      <c r="AJ12" s="19">
        <f t="shared" ref="AJ12" si="21">SUM(AJ10:AJ11)</f>
        <v>1051.9245736499997</v>
      </c>
      <c r="AK12" s="19">
        <f t="shared" ref="AK12" si="22">SUM(AK10:AK11)</f>
        <v>1189.7092209762509</v>
      </c>
      <c r="AL12" s="19">
        <f t="shared" ref="AL12" si="23">SUM(AL10:AL11)</f>
        <v>1337.0160737978451</v>
      </c>
      <c r="AM12" s="19">
        <f t="shared" ref="AM12" si="24">SUM(AM10:AM11)</f>
        <v>1494.4093235691091</v>
      </c>
      <c r="AN12" s="19">
        <f t="shared" ref="AN12" si="25">SUM(AN10:AN11)</f>
        <v>1662.4844161665742</v>
      </c>
      <c r="AO12" s="19">
        <f t="shared" ref="AO12" si="26">SUM(AO10:AO11)</f>
        <v>1841.8697216954943</v>
      </c>
      <c r="AP12" s="19">
        <f t="shared" ref="AP12" si="27">SUM(AP10:AP11)</f>
        <v>2033.2282915992257</v>
      </c>
      <c r="AQ12" s="19">
        <f t="shared" ref="AQ12" si="28">SUM(AQ10:AQ11)</f>
        <v>2237.259707573819</v>
      </c>
    </row>
    <row r="13" spans="1:125" x14ac:dyDescent="0.25">
      <c r="A13" s="2" t="s">
        <v>155</v>
      </c>
      <c r="B13" s="8">
        <f>(B8-B7)/U25</f>
        <v>1.1384778012684988</v>
      </c>
      <c r="C13" s="2" t="s">
        <v>48</v>
      </c>
      <c r="D13" s="19">
        <v>-2</v>
      </c>
      <c r="E13" s="19">
        <v>-10</v>
      </c>
      <c r="F13" s="19">
        <v>2</v>
      </c>
      <c r="G13" s="19">
        <v>25</v>
      </c>
      <c r="H13" s="19">
        <v>-21</v>
      </c>
      <c r="I13" s="19">
        <v>-30</v>
      </c>
      <c r="J13" s="19">
        <v>-18</v>
      </c>
      <c r="K13" s="19">
        <v>-21</v>
      </c>
      <c r="L13" s="19">
        <v>-23</v>
      </c>
      <c r="M13" s="19">
        <v>-32</v>
      </c>
      <c r="N13" s="19">
        <v>-25</v>
      </c>
      <c r="O13" s="19">
        <v>-28</v>
      </c>
      <c r="P13" s="19">
        <v>-29</v>
      </c>
      <c r="Q13" s="19">
        <v>-44</v>
      </c>
      <c r="R13" s="19">
        <v>-30</v>
      </c>
      <c r="S13" s="19">
        <v>-38</v>
      </c>
      <c r="T13" s="19">
        <v>-30</v>
      </c>
      <c r="U13" s="19">
        <v>-53</v>
      </c>
      <c r="V13" s="19"/>
      <c r="W13" s="19"/>
      <c r="X13" s="19"/>
      <c r="Y13" s="19"/>
      <c r="Z13" s="19">
        <v>-28</v>
      </c>
      <c r="AA13" s="19">
        <v>-60</v>
      </c>
      <c r="AB13" s="19">
        <v>-69</v>
      </c>
      <c r="AC13" s="19">
        <v>70</v>
      </c>
      <c r="AD13" s="19">
        <f>SUM(D13:G13)</f>
        <v>15</v>
      </c>
      <c r="AE13" s="19">
        <f>SUM(H13:K13)</f>
        <v>-90</v>
      </c>
      <c r="AF13" s="19">
        <f>SUM(L13:O13)</f>
        <v>-108</v>
      </c>
      <c r="AG13" s="19">
        <v>-141</v>
      </c>
      <c r="AH13" s="16">
        <f t="shared" ref="AH13:AQ13" si="29">AH12*-0.22</f>
        <v>-176.61863119999995</v>
      </c>
      <c r="AI13" s="19">
        <f t="shared" si="29"/>
        <v>-203.08807375999984</v>
      </c>
      <c r="AJ13" s="19">
        <f t="shared" si="29"/>
        <v>-231.42340620299993</v>
      </c>
      <c r="AK13" s="19">
        <f t="shared" si="29"/>
        <v>-261.73602861477519</v>
      </c>
      <c r="AL13" s="19">
        <f t="shared" si="29"/>
        <v>-294.14353623552591</v>
      </c>
      <c r="AM13" s="19">
        <f t="shared" si="29"/>
        <v>-328.77005118520401</v>
      </c>
      <c r="AN13" s="19">
        <f t="shared" si="29"/>
        <v>-365.7465715566463</v>
      </c>
      <c r="AO13" s="19">
        <f t="shared" si="29"/>
        <v>-405.21133877300872</v>
      </c>
      <c r="AP13" s="19">
        <f t="shared" si="29"/>
        <v>-447.31022415182969</v>
      </c>
      <c r="AQ13" s="19">
        <f t="shared" si="29"/>
        <v>-492.19713566624017</v>
      </c>
    </row>
    <row r="14" spans="1:125" x14ac:dyDescent="0.25">
      <c r="C14" s="1" t="s">
        <v>49</v>
      </c>
      <c r="D14" s="18">
        <f t="shared" ref="D14:U14" si="30">SUM(D12:D13)</f>
        <v>-56</v>
      </c>
      <c r="E14" s="18">
        <f t="shared" si="30"/>
        <v>12</v>
      </c>
      <c r="F14" s="18">
        <f t="shared" si="30"/>
        <v>-53</v>
      </c>
      <c r="G14" s="18">
        <f t="shared" si="30"/>
        <v>-150</v>
      </c>
      <c r="H14" s="18">
        <f t="shared" si="30"/>
        <v>63</v>
      </c>
      <c r="I14" s="18">
        <f t="shared" si="30"/>
        <v>94</v>
      </c>
      <c r="J14" s="18">
        <f t="shared" si="30"/>
        <v>31</v>
      </c>
      <c r="K14" s="18">
        <f t="shared" si="30"/>
        <v>35</v>
      </c>
      <c r="L14" s="18">
        <f t="shared" si="30"/>
        <v>77</v>
      </c>
      <c r="M14" s="18">
        <f t="shared" si="30"/>
        <v>102</v>
      </c>
      <c r="N14" s="18">
        <f t="shared" si="30"/>
        <v>71</v>
      </c>
      <c r="O14" s="18">
        <f t="shared" si="30"/>
        <v>75</v>
      </c>
      <c r="P14" s="18">
        <f t="shared" si="30"/>
        <v>94</v>
      </c>
      <c r="Q14" s="18">
        <f t="shared" si="30"/>
        <v>161</v>
      </c>
      <c r="R14" s="18">
        <f t="shared" si="30"/>
        <v>98</v>
      </c>
      <c r="S14" s="18">
        <f t="shared" si="30"/>
        <v>121</v>
      </c>
      <c r="T14" s="18">
        <f t="shared" si="30"/>
        <v>107</v>
      </c>
      <c r="U14" s="18">
        <f t="shared" si="30"/>
        <v>196</v>
      </c>
      <c r="V14" s="19"/>
      <c r="W14" s="19"/>
      <c r="X14" s="19"/>
      <c r="Y14" s="19"/>
      <c r="Z14" s="18">
        <f>SUM(Z12:Z13)</f>
        <v>-5</v>
      </c>
      <c r="AA14" s="18">
        <f>SUM(AA12:AA13)</f>
        <v>187</v>
      </c>
      <c r="AB14" s="18">
        <f>SUM(AB12:AB13)</f>
        <v>-316</v>
      </c>
      <c r="AC14" s="18">
        <f>SUM(AC12:AC13)</f>
        <v>-453</v>
      </c>
      <c r="AD14" s="18">
        <f>SUM(AD12:AD13)</f>
        <v>-247</v>
      </c>
      <c r="AE14" s="18">
        <f t="shared" ref="AE14:AF14" si="31">SUM(AE12:AE13)</f>
        <v>223</v>
      </c>
      <c r="AF14" s="18">
        <f t="shared" si="31"/>
        <v>325</v>
      </c>
      <c r="AG14" s="18">
        <f t="shared" ref="AG14" si="32">SUM(AG12:AG13)</f>
        <v>474</v>
      </c>
      <c r="AH14" s="17">
        <f t="shared" ref="AH14" si="33">SUM(AH12:AH13)</f>
        <v>626.19332879999979</v>
      </c>
      <c r="AI14" s="18">
        <f t="shared" ref="AI14" si="34">SUM(AI12:AI13)</f>
        <v>720.03953423999951</v>
      </c>
      <c r="AJ14" s="18">
        <f t="shared" ref="AJ14" si="35">SUM(AJ12:AJ13)</f>
        <v>820.50116744699983</v>
      </c>
      <c r="AK14" s="18">
        <f t="shared" ref="AK14" si="36">SUM(AK12:AK13)</f>
        <v>927.97319236147564</v>
      </c>
      <c r="AL14" s="18">
        <f t="shared" ref="AL14" si="37">SUM(AL12:AL13)</f>
        <v>1042.8725375623192</v>
      </c>
      <c r="AM14" s="18">
        <f t="shared" ref="AM14" si="38">SUM(AM12:AM13)</f>
        <v>1165.6392723839051</v>
      </c>
      <c r="AN14" s="18">
        <f t="shared" ref="AN14" si="39">SUM(AN12:AN13)</f>
        <v>1296.7378446099278</v>
      </c>
      <c r="AO14" s="18">
        <f t="shared" ref="AO14" si="40">SUM(AO12:AO13)</f>
        <v>1436.6583829224855</v>
      </c>
      <c r="AP14" s="18">
        <f t="shared" ref="AP14" si="41">SUM(AP12:AP13)</f>
        <v>1585.918067447396</v>
      </c>
      <c r="AQ14" s="18">
        <f t="shared" ref="AQ14" si="42">SUM(AQ12:AQ13)</f>
        <v>1745.0625719075788</v>
      </c>
      <c r="AR14" s="18">
        <f>AQ14*(1+$AT$17)</f>
        <v>1727.611946188503</v>
      </c>
      <c r="AS14" s="18">
        <f t="shared" ref="AS14:DD14" si="43">AR14*(1+$AT$17)</f>
        <v>1710.3358267266181</v>
      </c>
      <c r="AT14" s="18">
        <f t="shared" si="43"/>
        <v>1693.2324684593518</v>
      </c>
      <c r="AU14" s="18">
        <f t="shared" si="43"/>
        <v>1676.3001437747582</v>
      </c>
      <c r="AV14" s="18">
        <f t="shared" si="43"/>
        <v>1659.5371423370107</v>
      </c>
      <c r="AW14" s="18">
        <f t="shared" si="43"/>
        <v>1642.9417709136405</v>
      </c>
      <c r="AX14" s="18">
        <f t="shared" si="43"/>
        <v>1626.5123532045041</v>
      </c>
      <c r="AY14" s="18">
        <f t="shared" si="43"/>
        <v>1610.2472296724591</v>
      </c>
      <c r="AZ14" s="18">
        <f t="shared" si="43"/>
        <v>1594.1447573757346</v>
      </c>
      <c r="BA14" s="18">
        <f t="shared" si="43"/>
        <v>1578.2033098019772</v>
      </c>
      <c r="BB14" s="18">
        <f t="shared" si="43"/>
        <v>1562.4212767039573</v>
      </c>
      <c r="BC14" s="18">
        <f t="shared" si="43"/>
        <v>1546.7970639369178</v>
      </c>
      <c r="BD14" s="18">
        <f t="shared" si="43"/>
        <v>1531.3290932975485</v>
      </c>
      <c r="BE14" s="18">
        <f t="shared" si="43"/>
        <v>1516.0158023645731</v>
      </c>
      <c r="BF14" s="18">
        <f t="shared" si="43"/>
        <v>1500.8556443409275</v>
      </c>
      <c r="BG14" s="18">
        <f t="shared" si="43"/>
        <v>1485.8470878975181</v>
      </c>
      <c r="BH14" s="18">
        <f t="shared" si="43"/>
        <v>1470.988617018543</v>
      </c>
      <c r="BI14" s="18">
        <f t="shared" si="43"/>
        <v>1456.2787308483576</v>
      </c>
      <c r="BJ14" s="18">
        <f t="shared" si="43"/>
        <v>1441.7159435398739</v>
      </c>
      <c r="BK14" s="18">
        <f t="shared" si="43"/>
        <v>1427.2987841044751</v>
      </c>
      <c r="BL14" s="18">
        <f t="shared" si="43"/>
        <v>1413.0257962634303</v>
      </c>
      <c r="BM14" s="18">
        <f t="shared" si="43"/>
        <v>1398.895538300796</v>
      </c>
      <c r="BN14" s="18">
        <f t="shared" si="43"/>
        <v>1384.906582917788</v>
      </c>
      <c r="BO14" s="18">
        <f t="shared" si="43"/>
        <v>1371.0575170886102</v>
      </c>
      <c r="BP14" s="18">
        <f t="shared" si="43"/>
        <v>1357.3469419177241</v>
      </c>
      <c r="BQ14" s="18">
        <f t="shared" si="43"/>
        <v>1343.7734724985469</v>
      </c>
      <c r="BR14" s="18">
        <f t="shared" si="43"/>
        <v>1330.3357377735615</v>
      </c>
      <c r="BS14" s="18">
        <f t="shared" si="43"/>
        <v>1317.0323803958258</v>
      </c>
      <c r="BT14" s="18">
        <f t="shared" si="43"/>
        <v>1303.8620565918675</v>
      </c>
      <c r="BU14" s="18">
        <f t="shared" si="43"/>
        <v>1290.8234360259487</v>
      </c>
      <c r="BV14" s="18">
        <f t="shared" si="43"/>
        <v>1277.9152016656892</v>
      </c>
      <c r="BW14" s="18">
        <f t="shared" si="43"/>
        <v>1265.1360496490322</v>
      </c>
      <c r="BX14" s="18">
        <f t="shared" si="43"/>
        <v>1252.4846891525419</v>
      </c>
      <c r="BY14" s="18">
        <f t="shared" si="43"/>
        <v>1239.9598422610165</v>
      </c>
      <c r="BZ14" s="18">
        <f t="shared" si="43"/>
        <v>1227.5602438384064</v>
      </c>
      <c r="CA14" s="18">
        <f t="shared" si="43"/>
        <v>1215.2846414000223</v>
      </c>
      <c r="CB14" s="18">
        <f t="shared" si="43"/>
        <v>1203.1317949860222</v>
      </c>
      <c r="CC14" s="18">
        <f t="shared" si="43"/>
        <v>1191.1004770361619</v>
      </c>
      <c r="CD14" s="18">
        <f t="shared" si="43"/>
        <v>1179.1894722658003</v>
      </c>
      <c r="CE14" s="18">
        <f t="shared" si="43"/>
        <v>1167.3975775431422</v>
      </c>
      <c r="CF14" s="18">
        <f t="shared" si="43"/>
        <v>1155.7236017677108</v>
      </c>
      <c r="CG14" s="18">
        <f t="shared" si="43"/>
        <v>1144.1663657500337</v>
      </c>
      <c r="CH14" s="18">
        <f t="shared" si="43"/>
        <v>1132.7247020925333</v>
      </c>
      <c r="CI14" s="18">
        <f t="shared" si="43"/>
        <v>1121.397455071608</v>
      </c>
      <c r="CJ14" s="18">
        <f t="shared" si="43"/>
        <v>1110.1834805208919</v>
      </c>
      <c r="CK14" s="18">
        <f t="shared" si="43"/>
        <v>1099.081645715683</v>
      </c>
      <c r="CL14" s="18">
        <f t="shared" si="43"/>
        <v>1088.0908292585261</v>
      </c>
      <c r="CM14" s="18">
        <f t="shared" si="43"/>
        <v>1077.2099209659409</v>
      </c>
      <c r="CN14" s="18">
        <f t="shared" si="43"/>
        <v>1066.4378217562814</v>
      </c>
      <c r="CO14" s="18">
        <f t="shared" si="43"/>
        <v>1055.7734435387185</v>
      </c>
      <c r="CP14" s="18">
        <f t="shared" si="43"/>
        <v>1045.2157091033314</v>
      </c>
      <c r="CQ14" s="18">
        <f t="shared" si="43"/>
        <v>1034.7635520122981</v>
      </c>
      <c r="CR14" s="18">
        <f t="shared" si="43"/>
        <v>1024.415916492175</v>
      </c>
      <c r="CS14" s="18">
        <f t="shared" si="43"/>
        <v>1014.1717573272533</v>
      </c>
      <c r="CT14" s="18">
        <f t="shared" si="43"/>
        <v>1004.0300397539808</v>
      </c>
      <c r="CU14" s="18">
        <f t="shared" si="43"/>
        <v>993.98973935644096</v>
      </c>
      <c r="CV14" s="18">
        <f t="shared" si="43"/>
        <v>984.0498419628766</v>
      </c>
      <c r="CW14" s="18">
        <f t="shared" si="43"/>
        <v>974.20934354324777</v>
      </c>
      <c r="CX14" s="18">
        <f t="shared" si="43"/>
        <v>964.46725010781529</v>
      </c>
      <c r="CY14" s="18">
        <f t="shared" si="43"/>
        <v>954.82257760673713</v>
      </c>
      <c r="CZ14" s="18">
        <f t="shared" si="43"/>
        <v>945.27435183066973</v>
      </c>
      <c r="DA14" s="18">
        <f t="shared" si="43"/>
        <v>935.82160831236297</v>
      </c>
      <c r="DB14" s="18">
        <f t="shared" si="43"/>
        <v>926.46339222923928</v>
      </c>
      <c r="DC14" s="18">
        <f t="shared" si="43"/>
        <v>917.19875830694684</v>
      </c>
      <c r="DD14" s="18">
        <f t="shared" si="43"/>
        <v>908.02677072387735</v>
      </c>
      <c r="DE14" s="18">
        <f t="shared" ref="DE14:DU14" si="44">DD14*(1+$AT$17)</f>
        <v>898.94650301663853</v>
      </c>
      <c r="DF14" s="18">
        <f t="shared" si="44"/>
        <v>889.95703798647219</v>
      </c>
      <c r="DG14" s="18">
        <f t="shared" si="44"/>
        <v>881.05746760660747</v>
      </c>
      <c r="DH14" s="18">
        <f t="shared" si="44"/>
        <v>872.24689293054143</v>
      </c>
      <c r="DI14" s="18">
        <f t="shared" si="44"/>
        <v>863.52442400123596</v>
      </c>
      <c r="DJ14" s="18">
        <f t="shared" si="44"/>
        <v>854.88917976122355</v>
      </c>
      <c r="DK14" s="18">
        <f t="shared" si="44"/>
        <v>846.34028796361133</v>
      </c>
      <c r="DL14" s="18">
        <f t="shared" si="44"/>
        <v>837.87688508397525</v>
      </c>
      <c r="DM14" s="18">
        <f t="shared" si="44"/>
        <v>829.49811623313553</v>
      </c>
      <c r="DN14" s="18">
        <f t="shared" si="44"/>
        <v>821.20313507080414</v>
      </c>
      <c r="DO14" s="18">
        <f t="shared" si="44"/>
        <v>812.99110372009613</v>
      </c>
      <c r="DP14" s="18">
        <f t="shared" si="44"/>
        <v>804.86119268289519</v>
      </c>
      <c r="DQ14" s="18">
        <f t="shared" si="44"/>
        <v>796.81258075606627</v>
      </c>
      <c r="DR14" s="18">
        <f t="shared" si="44"/>
        <v>788.84445494850559</v>
      </c>
      <c r="DS14" s="18">
        <f t="shared" si="44"/>
        <v>780.95601039902056</v>
      </c>
      <c r="DT14" s="18">
        <f t="shared" si="44"/>
        <v>773.14645029503038</v>
      </c>
      <c r="DU14" s="18">
        <f t="shared" si="44"/>
        <v>765.41498579208007</v>
      </c>
    </row>
    <row r="15" spans="1:125" x14ac:dyDescent="0.25">
      <c r="C15" s="2" t="s">
        <v>50</v>
      </c>
      <c r="D15" s="9">
        <v>204.69458800000001</v>
      </c>
      <c r="E15" s="9">
        <v>204.69458800000001</v>
      </c>
      <c r="F15" s="9">
        <v>204.69458800000001</v>
      </c>
      <c r="G15" s="9">
        <v>204.69458800000001</v>
      </c>
      <c r="H15" s="9">
        <v>204.69458800000001</v>
      </c>
      <c r="I15" s="9">
        <v>204.69458800000001</v>
      </c>
      <c r="J15" s="9">
        <v>204.69458800000001</v>
      </c>
      <c r="K15" s="9">
        <v>204.69458800000001</v>
      </c>
      <c r="L15" s="9">
        <v>204.69458800000001</v>
      </c>
      <c r="M15" s="9">
        <v>204.69458800000001</v>
      </c>
      <c r="N15" s="9">
        <v>204.460474</v>
      </c>
      <c r="O15" s="9">
        <v>205.49300600000001</v>
      </c>
      <c r="P15" s="9">
        <v>204.43394599999999</v>
      </c>
      <c r="Q15" s="9">
        <v>202.31016600000001</v>
      </c>
      <c r="R15" s="9">
        <v>202.083935</v>
      </c>
      <c r="S15" s="9">
        <v>201.05593400000001</v>
      </c>
      <c r="T15" s="9">
        <v>199.17283399999999</v>
      </c>
      <c r="U15" s="9">
        <v>195.42421899999999</v>
      </c>
      <c r="V15" s="19"/>
      <c r="W15" s="19"/>
      <c r="Z15" s="9">
        <v>170</v>
      </c>
      <c r="AA15" s="9">
        <v>170</v>
      </c>
      <c r="AB15" s="9">
        <v>204.69458800000001</v>
      </c>
      <c r="AC15" s="9">
        <v>204.69458800000001</v>
      </c>
      <c r="AD15" s="9">
        <v>204.69458800000001</v>
      </c>
      <c r="AE15" s="9">
        <v>204.69458800000001</v>
      </c>
      <c r="AF15" s="9">
        <v>204.69458800000001</v>
      </c>
      <c r="AG15" s="9">
        <v>204.69458800000001</v>
      </c>
      <c r="AH15" s="8">
        <v>204.69458800000001</v>
      </c>
      <c r="AI15" s="9">
        <v>204.69458800000001</v>
      </c>
      <c r="AJ15" s="9">
        <v>204.69458800000001</v>
      </c>
      <c r="AK15" s="9">
        <v>204.69458800000001</v>
      </c>
      <c r="AL15" s="9">
        <v>204.69458800000001</v>
      </c>
      <c r="AM15" s="9">
        <v>204.69458800000001</v>
      </c>
      <c r="AN15" s="9">
        <v>204.69458800000001</v>
      </c>
      <c r="AO15" s="9">
        <v>204.69458800000001</v>
      </c>
      <c r="AP15" s="9">
        <v>204.69458800000001</v>
      </c>
      <c r="AQ15" s="9">
        <v>204.69458800000001</v>
      </c>
    </row>
    <row r="16" spans="1:125" x14ac:dyDescent="0.25">
      <c r="C16" s="2" t="s">
        <v>51</v>
      </c>
      <c r="D16" s="10">
        <f t="shared" ref="D16:O16" si="45">D14/D15</f>
        <v>-0.27357831268113447</v>
      </c>
      <c r="E16" s="10">
        <f t="shared" si="45"/>
        <v>5.8623924145957386E-2</v>
      </c>
      <c r="F16" s="10">
        <f t="shared" si="45"/>
        <v>-0.25892233164464512</v>
      </c>
      <c r="G16" s="10">
        <f t="shared" si="45"/>
        <v>-0.73279905182446736</v>
      </c>
      <c r="H16" s="10">
        <f t="shared" si="45"/>
        <v>0.30777560176627627</v>
      </c>
      <c r="I16" s="10">
        <f t="shared" si="45"/>
        <v>0.45922073914333289</v>
      </c>
      <c r="J16" s="10">
        <f t="shared" si="45"/>
        <v>0.15144513737705659</v>
      </c>
      <c r="K16" s="10">
        <f t="shared" si="45"/>
        <v>0.17098644542570904</v>
      </c>
      <c r="L16" s="10">
        <f t="shared" si="45"/>
        <v>0.37617017993655988</v>
      </c>
      <c r="M16" s="10">
        <f t="shared" si="45"/>
        <v>0.49830335524063779</v>
      </c>
      <c r="N16" s="10">
        <f t="shared" si="45"/>
        <v>0.3472553819864469</v>
      </c>
      <c r="O16" s="10">
        <f t="shared" si="45"/>
        <v>0.36497592526336392</v>
      </c>
      <c r="P16" s="10">
        <f t="shared" ref="P16:S16" si="46">P14/P15</f>
        <v>0.45980622024485113</v>
      </c>
      <c r="Q16" s="10">
        <f t="shared" si="46"/>
        <v>0.79580775985325425</v>
      </c>
      <c r="R16" s="10">
        <f t="shared" si="46"/>
        <v>0.48494700976601629</v>
      </c>
      <c r="S16" s="10">
        <f t="shared" si="46"/>
        <v>0.60182257540332029</v>
      </c>
      <c r="T16" s="10">
        <f>T14/T15</f>
        <v>0.53722185827812241</v>
      </c>
      <c r="U16" s="10">
        <f>U14/U15</f>
        <v>1.0029463134249497</v>
      </c>
      <c r="V16" s="19"/>
      <c r="W16" s="62"/>
      <c r="Z16" s="10">
        <f>Z14/Z15</f>
        <v>-2.9411764705882353E-2</v>
      </c>
      <c r="AA16" s="10">
        <f>AA14/AA15</f>
        <v>1.1000000000000001</v>
      </c>
      <c r="AB16" s="10">
        <f>AB14/AB15</f>
        <v>-1.5437633358435445</v>
      </c>
      <c r="AC16" s="10">
        <f>AC14/AC15</f>
        <v>-2.2130531365098913</v>
      </c>
      <c r="AD16" s="10">
        <f>AD14/AD15</f>
        <v>-1.2066757720042895</v>
      </c>
      <c r="AE16" s="10">
        <f t="shared" ref="AE16:AF16" si="47">AE14/AE15</f>
        <v>1.0894279237123747</v>
      </c>
      <c r="AF16" s="10">
        <f t="shared" si="47"/>
        <v>1.5877312789530127</v>
      </c>
      <c r="AG16" s="10">
        <f t="shared" ref="AG16" si="48">AG14/AG15</f>
        <v>2.3156450037653169</v>
      </c>
      <c r="AH16" s="7">
        <f t="shared" ref="AH16" si="49">AH14/AH15</f>
        <v>3.0591591840229784</v>
      </c>
      <c r="AI16" s="10">
        <f t="shared" ref="AI16" si="50">AI14/AI15</f>
        <v>3.5176285864480183</v>
      </c>
      <c r="AJ16" s="10">
        <f t="shared" ref="AJ16" si="51">AJ14/AJ15</f>
        <v>4.0084165168401995</v>
      </c>
      <c r="AK16" s="10">
        <f t="shared" ref="AK16" si="52">AK14/AK15</f>
        <v>4.5334525032067559</v>
      </c>
      <c r="AL16" s="10">
        <f t="shared" ref="AL16" si="53">AL14/AL15</f>
        <v>5.0947733779962912</v>
      </c>
      <c r="AM16" s="10">
        <f t="shared" ref="AM16" si="54">AM14/AM15</f>
        <v>5.6945290238152513</v>
      </c>
      <c r="AN16" s="10">
        <f t="shared" ref="AN16" si="55">AN14/AN15</f>
        <v>6.3349884199670576</v>
      </c>
      <c r="AO16" s="10">
        <f t="shared" ref="AO16" si="56">AO14/AO15</f>
        <v>7.0185460053417996</v>
      </c>
      <c r="AP16" s="10">
        <f t="shared" ref="AP16" si="57">AP14/AP15</f>
        <v>7.7477283739782896</v>
      </c>
      <c r="AQ16" s="10">
        <f t="shared" ref="AQ16" si="58">AQ14/AQ15</f>
        <v>8.5252013204549346</v>
      </c>
      <c r="AS16" s="2" t="s">
        <v>104</v>
      </c>
      <c r="AT16" s="27">
        <v>0.08</v>
      </c>
    </row>
    <row r="17" spans="2:46" x14ac:dyDescent="0.25">
      <c r="AS17" s="2" t="s">
        <v>105</v>
      </c>
      <c r="AT17" s="27">
        <v>-0.01</v>
      </c>
    </row>
    <row r="18" spans="2:46" x14ac:dyDescent="0.25">
      <c r="C18" s="1" t="s">
        <v>34</v>
      </c>
      <c r="D18" s="14"/>
      <c r="E18" s="14"/>
      <c r="F18" s="14"/>
      <c r="G18" s="14"/>
      <c r="H18" s="25">
        <f t="shared" ref="H18:U18" si="59">(H4-D4)/D4</f>
        <v>0.18793273986152326</v>
      </c>
      <c r="I18" s="25">
        <f t="shared" si="59"/>
        <v>0.17416829745596868</v>
      </c>
      <c r="J18" s="25">
        <f t="shared" si="59"/>
        <v>0.1437435367114788</v>
      </c>
      <c r="K18" s="25">
        <f t="shared" si="59"/>
        <v>0.13401109057301294</v>
      </c>
      <c r="L18" s="25">
        <f t="shared" si="59"/>
        <v>7.743547044129892E-2</v>
      </c>
      <c r="M18" s="25">
        <f t="shared" si="59"/>
        <v>5.5E-2</v>
      </c>
      <c r="N18" s="25">
        <f t="shared" si="59"/>
        <v>7.956600361663653E-2</v>
      </c>
      <c r="O18" s="25">
        <f t="shared" si="59"/>
        <v>6.8459657701711488E-2</v>
      </c>
      <c r="P18" s="25">
        <f t="shared" si="59"/>
        <v>7.8052550231839254E-2</v>
      </c>
      <c r="Q18" s="25">
        <f t="shared" si="59"/>
        <v>0.10031595576619273</v>
      </c>
      <c r="R18" s="25">
        <f t="shared" si="59"/>
        <v>8.2914572864321606E-2</v>
      </c>
      <c r="S18" s="25">
        <f t="shared" si="59"/>
        <v>8.924485125858124E-2</v>
      </c>
      <c r="T18" s="25">
        <f t="shared" si="59"/>
        <v>6.308243727598567E-2</v>
      </c>
      <c r="U18" s="25">
        <f t="shared" si="59"/>
        <v>3.5175879396984924E-2</v>
      </c>
      <c r="Z18" s="25"/>
      <c r="AA18" s="25">
        <f t="shared" ref="AA18:AD18" si="60">(AA4-Z4)/Z4</f>
        <v>0.22338140533906106</v>
      </c>
      <c r="AB18" s="25">
        <f t="shared" si="60"/>
        <v>-0.11361926260346125</v>
      </c>
      <c r="AC18" s="25">
        <f t="shared" si="60"/>
        <v>-8.12110922467459E-2</v>
      </c>
      <c r="AD18" s="25">
        <f t="shared" si="60"/>
        <v>0.25716045580535879</v>
      </c>
      <c r="AE18" s="25">
        <f t="shared" ref="AE18:AQ18" si="61">(AE4-AD4)/AD4</f>
        <v>0.15972562469377757</v>
      </c>
      <c r="AF18" s="25">
        <f t="shared" si="61"/>
        <v>6.9919729615547099E-2</v>
      </c>
      <c r="AG18" s="25">
        <f t="shared" si="61"/>
        <v>8.7660414610069098E-2</v>
      </c>
      <c r="AH18" s="26">
        <f t="shared" si="61"/>
        <v>5.9999999999999991E-2</v>
      </c>
      <c r="AI18" s="25">
        <f t="shared" si="61"/>
        <v>4.9999999999999975E-2</v>
      </c>
      <c r="AJ18" s="25">
        <f t="shared" si="61"/>
        <v>5.0000000000000031E-2</v>
      </c>
      <c r="AK18" s="25">
        <f t="shared" si="61"/>
        <v>5.0000000000000093E-2</v>
      </c>
      <c r="AL18" s="25">
        <f t="shared" si="61"/>
        <v>5.0000000000000037E-2</v>
      </c>
      <c r="AM18" s="25">
        <f t="shared" si="61"/>
        <v>5.0000000000000051E-2</v>
      </c>
      <c r="AN18" s="25">
        <f t="shared" si="61"/>
        <v>4.9999999999999996E-2</v>
      </c>
      <c r="AO18" s="25">
        <f t="shared" si="61"/>
        <v>5.00000000000001E-2</v>
      </c>
      <c r="AP18" s="25">
        <f t="shared" si="61"/>
        <v>5.0000000000000086E-2</v>
      </c>
      <c r="AQ18" s="25">
        <f t="shared" si="61"/>
        <v>4.9999999999999989E-2</v>
      </c>
      <c r="AS18" s="20" t="s">
        <v>106</v>
      </c>
      <c r="AT18" s="30">
        <f>NPV(AT16,AG14:DU14)</f>
        <v>15247.751431242626</v>
      </c>
    </row>
    <row r="19" spans="2:46" x14ac:dyDescent="0.25">
      <c r="C19" s="1" t="s">
        <v>161</v>
      </c>
      <c r="D19" s="14"/>
      <c r="E19" s="14"/>
      <c r="F19" s="14"/>
      <c r="G19" s="1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>
        <v>7.0000000000000007E-2</v>
      </c>
      <c r="Z19" s="25"/>
      <c r="AA19" s="25"/>
      <c r="AB19" s="25"/>
      <c r="AC19" s="25"/>
      <c r="AD19" s="25"/>
      <c r="AE19" s="25"/>
      <c r="AF19" s="25"/>
      <c r="AG19" s="25"/>
      <c r="AH19" s="26"/>
      <c r="AI19" s="25"/>
      <c r="AJ19" s="25"/>
      <c r="AK19" s="25"/>
      <c r="AL19" s="25"/>
      <c r="AM19" s="25"/>
      <c r="AN19" s="25"/>
      <c r="AO19" s="25"/>
      <c r="AP19" s="25"/>
      <c r="AQ19" s="25"/>
      <c r="AS19" s="63"/>
      <c r="AT19" s="64"/>
    </row>
    <row r="20" spans="2:46" x14ac:dyDescent="0.25">
      <c r="C20" s="2" t="s">
        <v>114</v>
      </c>
      <c r="D20" s="14">
        <f t="shared" ref="D20:N20" si="62">D6/D4</f>
        <v>0.96241345202769535</v>
      </c>
      <c r="E20" s="14">
        <f t="shared" si="62"/>
        <v>0.97162426614481412</v>
      </c>
      <c r="F20" s="14">
        <f t="shared" si="62"/>
        <v>0.96587383660806614</v>
      </c>
      <c r="G20" s="14">
        <f t="shared" si="62"/>
        <v>0.95656192236598891</v>
      </c>
      <c r="H20" s="14">
        <f t="shared" si="62"/>
        <v>0.97002497918401331</v>
      </c>
      <c r="I20" s="14">
        <f t="shared" si="62"/>
        <v>0.97083333333333333</v>
      </c>
      <c r="J20" s="14">
        <f t="shared" si="62"/>
        <v>0.97197106690777579</v>
      </c>
      <c r="K20" s="14">
        <f t="shared" si="62"/>
        <v>0.97147514262428691</v>
      </c>
      <c r="L20" s="14">
        <f t="shared" si="62"/>
        <v>0.96908809891808345</v>
      </c>
      <c r="M20" s="14">
        <f t="shared" si="62"/>
        <v>0.976303317535545</v>
      </c>
      <c r="N20" s="14">
        <f t="shared" si="62"/>
        <v>0.97236180904522618</v>
      </c>
      <c r="O20" s="14">
        <f>O6/O4</f>
        <v>0.96948893974065598</v>
      </c>
      <c r="P20" s="14">
        <f t="shared" ref="P20:S20" si="63">P6/P4</f>
        <v>0.97275985663082443</v>
      </c>
      <c r="Q20" s="14">
        <f t="shared" si="63"/>
        <v>0.97415649676956206</v>
      </c>
      <c r="R20" s="14">
        <f t="shared" si="63"/>
        <v>0.97293116782675948</v>
      </c>
      <c r="S20" s="14">
        <f t="shared" si="63"/>
        <v>0.97408963585434172</v>
      </c>
      <c r="T20" s="14">
        <f t="shared" ref="T20:U20" si="64">T6/T4</f>
        <v>0.97437626432906266</v>
      </c>
      <c r="U20" s="14">
        <f t="shared" si="64"/>
        <v>0.97434119278779474</v>
      </c>
      <c r="Z20" s="14">
        <f t="shared" ref="Z20:AD20" si="65">Z6/Z4</f>
        <v>0.97545259281988339</v>
      </c>
      <c r="AA20" s="14">
        <f t="shared" si="65"/>
        <v>0.97115625783797344</v>
      </c>
      <c r="AB20" s="14">
        <f t="shared" si="65"/>
        <v>0.96547821165817771</v>
      </c>
      <c r="AC20" s="14">
        <f t="shared" si="65"/>
        <v>0.96735448105943944</v>
      </c>
      <c r="AD20" s="14">
        <f t="shared" si="65"/>
        <v>0.96398824105830472</v>
      </c>
      <c r="AE20" s="14">
        <f t="shared" ref="AE20" si="66">AE6/AE4</f>
        <v>0.97106041402619347</v>
      </c>
      <c r="AF20" s="14">
        <f>AF6/AF4</f>
        <v>0.97176702862783815</v>
      </c>
      <c r="AG20" s="14">
        <f t="shared" ref="AG20:AQ20" si="67">AG6/AG4</f>
        <v>0.97349791250680706</v>
      </c>
      <c r="AH20" s="15">
        <f t="shared" si="67"/>
        <v>0.97399999999999998</v>
      </c>
      <c r="AI20" s="14">
        <f t="shared" si="67"/>
        <v>0.97399999999999998</v>
      </c>
      <c r="AJ20" s="14">
        <f t="shared" si="67"/>
        <v>0.97399999999999998</v>
      </c>
      <c r="AK20" s="14">
        <f t="shared" si="67"/>
        <v>0.97399999999999998</v>
      </c>
      <c r="AL20" s="14">
        <f t="shared" si="67"/>
        <v>0.97399999999999998</v>
      </c>
      <c r="AM20" s="14">
        <f t="shared" si="67"/>
        <v>0.97400000000000009</v>
      </c>
      <c r="AN20" s="14">
        <f t="shared" si="67"/>
        <v>0.97399999999999998</v>
      </c>
      <c r="AO20" s="14">
        <f t="shared" si="67"/>
        <v>0.97399999999999998</v>
      </c>
      <c r="AP20" s="14">
        <f t="shared" si="67"/>
        <v>0.97399999999999987</v>
      </c>
      <c r="AQ20" s="14">
        <f t="shared" si="67"/>
        <v>0.97399999999999998</v>
      </c>
      <c r="AS20" s="2" t="s">
        <v>2</v>
      </c>
      <c r="AT20" s="9">
        <v>204.69458800000001</v>
      </c>
    </row>
    <row r="21" spans="2:46" x14ac:dyDescent="0.25">
      <c r="C21" s="11" t="s">
        <v>53</v>
      </c>
      <c r="D21" s="14">
        <f t="shared" ref="D21:S21" si="68">D10/D4</f>
        <v>1.2858555885262116E-2</v>
      </c>
      <c r="E21" s="14">
        <f t="shared" si="68"/>
        <v>6.6536203522504889E-2</v>
      </c>
      <c r="F21" s="14">
        <f t="shared" si="68"/>
        <v>4.1365046535677356E-3</v>
      </c>
      <c r="G21" s="14">
        <f t="shared" si="68"/>
        <v>-6.0998151571164512E-2</v>
      </c>
      <c r="H21" s="14">
        <f t="shared" si="68"/>
        <v>0.10491257285595337</v>
      </c>
      <c r="I21" s="14">
        <f t="shared" si="68"/>
        <v>0.16833333333333333</v>
      </c>
      <c r="J21" s="14">
        <f t="shared" si="68"/>
        <v>0.1410488245931284</v>
      </c>
      <c r="K21" s="14">
        <f t="shared" si="68"/>
        <v>0.10024449877750612</v>
      </c>
      <c r="L21" s="14">
        <f t="shared" si="68"/>
        <v>0.13292117465224113</v>
      </c>
      <c r="M21" s="14">
        <f t="shared" si="68"/>
        <v>0.17061611374407584</v>
      </c>
      <c r="N21" s="14">
        <f t="shared" si="68"/>
        <v>0.14656616415410384</v>
      </c>
      <c r="O21" s="14">
        <f t="shared" si="68"/>
        <v>0.13729977116704806</v>
      </c>
      <c r="P21" s="14">
        <f t="shared" si="68"/>
        <v>0.13835125448028673</v>
      </c>
      <c r="Q21" s="14">
        <f t="shared" si="68"/>
        <v>0.19597989949748743</v>
      </c>
      <c r="R21" s="14">
        <f t="shared" si="68"/>
        <v>0.1531322505800464</v>
      </c>
      <c r="S21" s="14">
        <f t="shared" si="68"/>
        <v>0.15966386554621848</v>
      </c>
      <c r="T21" s="14">
        <f t="shared" ref="T21:U21" si="69">T10/T4</f>
        <v>0.1490222521915037</v>
      </c>
      <c r="U21" s="14">
        <f t="shared" si="69"/>
        <v>0.22052704576976423</v>
      </c>
      <c r="Z21" s="14">
        <f t="shared" ref="Z21:AD21" si="70">Z10/Z4</f>
        <v>8.0699601104633326E-2</v>
      </c>
      <c r="AA21" s="14">
        <f t="shared" si="70"/>
        <v>0.12841735640832705</v>
      </c>
      <c r="AB21" s="14">
        <f t="shared" si="70"/>
        <v>5.6593095642331632E-3</v>
      </c>
      <c r="AC21" s="14">
        <f t="shared" si="70"/>
        <v>-6.9294733600246378E-2</v>
      </c>
      <c r="AD21" s="14">
        <f t="shared" si="70"/>
        <v>4.6545810877021065E-3</v>
      </c>
      <c r="AE21" s="14">
        <f t="shared" ref="AE21:AQ21" si="71">AE10/AE4</f>
        <v>0.12822137727080693</v>
      </c>
      <c r="AF21" s="14">
        <f t="shared" si="71"/>
        <v>0.14669299111549852</v>
      </c>
      <c r="AG21" s="14">
        <f t="shared" si="71"/>
        <v>0.16191686331457614</v>
      </c>
      <c r="AH21" s="15">
        <f t="shared" si="71"/>
        <v>0.18538822578490768</v>
      </c>
      <c r="AI21" s="14">
        <f t="shared" si="71"/>
        <v>0.19663898966601567</v>
      </c>
      <c r="AJ21" s="14">
        <f t="shared" si="71"/>
        <v>0.20771958121883868</v>
      </c>
      <c r="AK21" s="14">
        <f t="shared" si="71"/>
        <v>0.21863270413724206</v>
      </c>
      <c r="AL21" s="14">
        <f t="shared" si="71"/>
        <v>0.2293810174143549</v>
      </c>
      <c r="AM21" s="14">
        <f t="shared" si="71"/>
        <v>0.23996713610530571</v>
      </c>
      <c r="AN21" s="14">
        <f t="shared" si="71"/>
        <v>0.25039363207661586</v>
      </c>
      <c r="AO21" s="14">
        <f t="shared" si="71"/>
        <v>0.26066303474249103</v>
      </c>
      <c r="AP21" s="14">
        <f t="shared" si="71"/>
        <v>0.27077783178824094</v>
      </c>
      <c r="AQ21" s="14">
        <f t="shared" si="71"/>
        <v>0.28074046988106172</v>
      </c>
      <c r="AS21" s="1" t="s">
        <v>107</v>
      </c>
      <c r="AT21" s="31">
        <f>AT18/AT20</f>
        <v>74.490251941798405</v>
      </c>
    </row>
    <row r="22" spans="2:46" x14ac:dyDescent="0.25">
      <c r="C22" s="11" t="s">
        <v>116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Z22" s="11">
        <f>Z14/761</f>
        <v>-6.5703022339027592E-3</v>
      </c>
      <c r="AA22" s="11">
        <f>AA14/1223</f>
        <v>0.15290269828291086</v>
      </c>
      <c r="AB22" s="11">
        <f>AB14/885</f>
        <v>-0.35706214689265536</v>
      </c>
      <c r="AC22" s="11">
        <f>AC14/483</f>
        <v>-0.93788819875776397</v>
      </c>
      <c r="AD22" s="14">
        <f>AD14/G55</f>
        <v>-0.28720930232558139</v>
      </c>
      <c r="AE22" s="14">
        <f>AE14/K55</f>
        <v>0.21884200196270853</v>
      </c>
      <c r="AF22" s="14">
        <f>AF14/O55</f>
        <v>0.24181547619047619</v>
      </c>
      <c r="AG22" s="14">
        <f>AG14/AG55</f>
        <v>0.32577319587628867</v>
      </c>
      <c r="AH22" s="15"/>
      <c r="AI22" s="14"/>
      <c r="AJ22" s="14"/>
      <c r="AK22" s="14"/>
      <c r="AL22" s="14"/>
      <c r="AM22" s="14"/>
      <c r="AN22" s="14"/>
      <c r="AO22" s="14"/>
      <c r="AP22" s="14"/>
      <c r="AQ22" s="14"/>
      <c r="AS22" s="1" t="s">
        <v>108</v>
      </c>
      <c r="AT22" s="28">
        <f>(AT21-B4)/B4</f>
        <v>0.67770837706753173</v>
      </c>
    </row>
    <row r="23" spans="2:46" x14ac:dyDescent="0.25">
      <c r="C23" s="11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Z23" s="11"/>
      <c r="AA23" s="11"/>
      <c r="AB23" s="11"/>
      <c r="AC23" s="11"/>
      <c r="AD23" s="14"/>
      <c r="AE23" s="14"/>
      <c r="AF23" s="14"/>
      <c r="AG23" s="14"/>
      <c r="AH23" s="15"/>
      <c r="AI23" s="14"/>
      <c r="AJ23" s="14"/>
      <c r="AK23" s="14"/>
      <c r="AL23" s="14"/>
      <c r="AM23" s="14"/>
      <c r="AN23" s="14"/>
      <c r="AO23" s="14"/>
      <c r="AP23" s="14"/>
      <c r="AQ23" s="14"/>
      <c r="AS23" s="1"/>
      <c r="AT23" s="28"/>
    </row>
    <row r="24" spans="2:46" x14ac:dyDescent="0.25">
      <c r="C24" s="2" t="s">
        <v>93</v>
      </c>
      <c r="D24" s="2">
        <v>30</v>
      </c>
      <c r="E24" s="2">
        <v>83</v>
      </c>
      <c r="F24" s="2">
        <v>20</v>
      </c>
      <c r="G24" s="2">
        <v>12</v>
      </c>
      <c r="H24" s="2">
        <v>137</v>
      </c>
      <c r="I24" s="2">
        <v>194</v>
      </c>
      <c r="J24" s="2">
        <v>155</v>
      </c>
      <c r="K24" s="2">
        <v>128</v>
      </c>
      <c r="L24" s="2">
        <v>174</v>
      </c>
      <c r="M24" s="2">
        <v>219</v>
      </c>
      <c r="N24" s="2">
        <v>170</v>
      </c>
      <c r="O24" s="2">
        <v>175</v>
      </c>
      <c r="P24" s="2">
        <v>186</v>
      </c>
      <c r="Q24" s="2">
        <v>269</v>
      </c>
      <c r="R24" s="2">
        <v>192</v>
      </c>
      <c r="S24" s="2">
        <v>224</v>
      </c>
      <c r="T24" s="2">
        <v>217</v>
      </c>
      <c r="U24" s="2">
        <v>313</v>
      </c>
      <c r="Z24" s="2">
        <v>573</v>
      </c>
      <c r="AA24" s="2">
        <v>617</v>
      </c>
      <c r="AB24" s="2">
        <v>146</v>
      </c>
      <c r="AC24" s="2">
        <v>-170</v>
      </c>
      <c r="AD24" s="2">
        <v>99</v>
      </c>
      <c r="AE24" s="2">
        <v>614</v>
      </c>
      <c r="AF24" s="2">
        <v>738</v>
      </c>
      <c r="AG24" s="2">
        <v>871</v>
      </c>
      <c r="AS24" s="1"/>
      <c r="AT24" s="1"/>
    </row>
    <row r="25" spans="2:46" x14ac:dyDescent="0.25">
      <c r="C25" s="2" t="s">
        <v>153</v>
      </c>
      <c r="G25" s="2">
        <f>SUM(D24:G24)</f>
        <v>145</v>
      </c>
      <c r="H25" s="2">
        <f t="shared" ref="H25:S25" si="72">SUM(E24:H24)</f>
        <v>252</v>
      </c>
      <c r="I25" s="2">
        <f t="shared" si="72"/>
        <v>363</v>
      </c>
      <c r="J25" s="2">
        <f t="shared" si="72"/>
        <v>498</v>
      </c>
      <c r="K25" s="2">
        <f t="shared" si="72"/>
        <v>614</v>
      </c>
      <c r="L25" s="2">
        <f t="shared" si="72"/>
        <v>651</v>
      </c>
      <c r="M25" s="2">
        <f t="shared" si="72"/>
        <v>676</v>
      </c>
      <c r="N25" s="2">
        <f t="shared" si="72"/>
        <v>691</v>
      </c>
      <c r="O25" s="2">
        <f t="shared" si="72"/>
        <v>738</v>
      </c>
      <c r="P25" s="2">
        <f t="shared" si="72"/>
        <v>750</v>
      </c>
      <c r="Q25" s="2">
        <f t="shared" si="72"/>
        <v>800</v>
      </c>
      <c r="R25" s="2">
        <f t="shared" si="72"/>
        <v>822</v>
      </c>
      <c r="S25" s="2">
        <f t="shared" si="72"/>
        <v>871</v>
      </c>
      <c r="T25" s="2">
        <f>SUM(Q24:T24)</f>
        <v>902</v>
      </c>
      <c r="U25" s="2">
        <f>SUM(R24:U24)</f>
        <v>946</v>
      </c>
      <c r="AS25" s="1"/>
      <c r="AT25" s="1"/>
    </row>
    <row r="26" spans="2:46" s="23" customFormat="1" x14ac:dyDescent="0.25">
      <c r="B26" s="49"/>
      <c r="C26" s="23" t="s">
        <v>154</v>
      </c>
      <c r="D26" s="23">
        <f t="shared" ref="D26:S26" si="73">D24/D4</f>
        <v>2.967359050445104E-2</v>
      </c>
      <c r="E26" s="23">
        <f t="shared" si="73"/>
        <v>8.1213307240704496E-2</v>
      </c>
      <c r="F26" s="23">
        <f t="shared" si="73"/>
        <v>2.0682523267838676E-2</v>
      </c>
      <c r="G26" s="23">
        <f t="shared" si="73"/>
        <v>1.1090573012939002E-2</v>
      </c>
      <c r="H26" s="23">
        <f t="shared" si="73"/>
        <v>0.11407160699417153</v>
      </c>
      <c r="I26" s="23">
        <f t="shared" si="73"/>
        <v>0.16166666666666665</v>
      </c>
      <c r="J26" s="23">
        <f t="shared" si="73"/>
        <v>0.14014466546112117</v>
      </c>
      <c r="K26" s="23">
        <f t="shared" si="73"/>
        <v>0.10431947840260798</v>
      </c>
      <c r="L26" s="23">
        <f t="shared" si="73"/>
        <v>0.13446676970633695</v>
      </c>
      <c r="M26" s="23">
        <f t="shared" si="73"/>
        <v>0.17298578199052134</v>
      </c>
      <c r="N26" s="23">
        <f t="shared" si="73"/>
        <v>0.14237855946398659</v>
      </c>
      <c r="O26" s="23">
        <f t="shared" si="73"/>
        <v>0.13348588863463004</v>
      </c>
      <c r="P26" s="23">
        <f t="shared" si="73"/>
        <v>0.13333333333333333</v>
      </c>
      <c r="Q26" s="23">
        <f t="shared" si="73"/>
        <v>0.19310839913854988</v>
      </c>
      <c r="R26" s="23">
        <f t="shared" si="73"/>
        <v>0.14849187935034802</v>
      </c>
      <c r="S26" s="23">
        <f t="shared" si="73"/>
        <v>0.15686274509803921</v>
      </c>
      <c r="T26" s="23">
        <f>T24/T4</f>
        <v>0.14632501685772084</v>
      </c>
      <c r="U26" s="23">
        <f>U24/U4</f>
        <v>0.21705963938973646</v>
      </c>
      <c r="Z26" s="23">
        <f t="shared" ref="Z26:AF26" si="74">Z24/Z4</f>
        <v>0.17582080392758515</v>
      </c>
      <c r="AA26" s="23">
        <f t="shared" si="74"/>
        <v>0.15475294707800352</v>
      </c>
      <c r="AB26" s="23">
        <f t="shared" si="74"/>
        <v>4.1312959818902095E-2</v>
      </c>
      <c r="AC26" s="23">
        <f t="shared" si="74"/>
        <v>-5.2356020942408377E-2</v>
      </c>
      <c r="AD26" s="23">
        <f t="shared" si="74"/>
        <v>2.425281724644782E-2</v>
      </c>
      <c r="AE26" s="23">
        <f t="shared" si="74"/>
        <v>0.12970004224757076</v>
      </c>
      <c r="AF26" s="23">
        <f t="shared" si="74"/>
        <v>0.14570582428430404</v>
      </c>
      <c r="AG26" s="23">
        <f>AG24/AG4</f>
        <v>0.1581049192230895</v>
      </c>
      <c r="AH26" s="49"/>
      <c r="AS26" s="50"/>
      <c r="AT26" s="50"/>
    </row>
    <row r="28" spans="2:46" x14ac:dyDescent="0.25">
      <c r="C28" s="2" t="s">
        <v>103</v>
      </c>
      <c r="D28" s="2">
        <f>Segementer!C16+Segementer!C29+Segementer!C42+Segementer!C55</f>
        <v>685</v>
      </c>
      <c r="E28" s="2">
        <f>Segementer!D16+Segementer!D29+Segementer!D42+Segementer!D55</f>
        <v>671</v>
      </c>
      <c r="F28" s="2">
        <f>Segementer!E16+Segementer!E29+Segementer!E42+Segementer!E55</f>
        <v>708</v>
      </c>
      <c r="G28" s="2">
        <f>Segementer!F16+Segementer!F29+Segementer!F42+Segementer!F55</f>
        <v>721</v>
      </c>
      <c r="H28" s="2">
        <f>Segementer!H16+Segementer!H29+Segementer!H42+Segementer!H55</f>
        <v>735</v>
      </c>
      <c r="I28" s="2">
        <f>Segementer!I16+Segementer!I29+Segementer!I42+Segementer!I55</f>
        <v>715</v>
      </c>
      <c r="J28" s="2">
        <f>Segementer!J16+Segementer!J29+Segementer!J42+Segementer!J55</f>
        <v>731</v>
      </c>
      <c r="K28" s="2">
        <f>Segementer!K16+Segementer!K29+Segementer!K42+Segementer!K55</f>
        <v>731</v>
      </c>
      <c r="L28" s="2">
        <f>Segementer!M16+Segementer!M29+Segementer!M42+Segementer!M55</f>
        <v>735</v>
      </c>
      <c r="M28" s="2">
        <f>Segementer!N16+Segementer!N29+Segementer!N42+Segementer!N55</f>
        <v>719</v>
      </c>
      <c r="N28" s="2">
        <f>Segementer!O16+Segementer!O29+Segementer!O42+Segementer!O55</f>
        <v>728</v>
      </c>
      <c r="O28" s="2">
        <f>Segementer!P16+Segementer!P29+Segementer!P42+Segementer!P55</f>
        <v>733</v>
      </c>
      <c r="P28" s="2">
        <f>Segementer!R16+Segementer!R29+Segementer!R42+Segementer!R55</f>
        <v>757</v>
      </c>
      <c r="Q28" s="2">
        <f>Segementer!S16+Segementer!S29+Segementer!S42+Segementer!S55</f>
        <v>740</v>
      </c>
      <c r="R28" s="2">
        <f>Segementer!T16+Segementer!T29+Segementer!T42+Segementer!T55</f>
        <v>756</v>
      </c>
      <c r="S28" s="2">
        <f>Segementer!U16+Segementer!U29+Segementer!U42+Segementer!U55</f>
        <v>755</v>
      </c>
      <c r="T28" s="2">
        <f>Segementer!W16+Segementer!W29+Segementer!W42+Segementer!W55</f>
        <v>769</v>
      </c>
      <c r="U28" s="2">
        <f>Segementer!X16+Segementer!X29+Segementer!X42+Segementer!X55</f>
        <v>744</v>
      </c>
      <c r="Z28" s="2">
        <v>569</v>
      </c>
      <c r="AA28" s="2">
        <v>687</v>
      </c>
      <c r="AB28" s="2">
        <v>628</v>
      </c>
      <c r="AC28" s="2">
        <v>669</v>
      </c>
      <c r="AD28" s="2">
        <v>721</v>
      </c>
      <c r="AE28" s="2">
        <v>731</v>
      </c>
      <c r="AF28" s="2">
        <v>733</v>
      </c>
      <c r="AG28" s="2">
        <v>755</v>
      </c>
    </row>
    <row r="29" spans="2:46" s="11" customFormat="1" x14ac:dyDescent="0.25">
      <c r="B29" s="52"/>
      <c r="C29" s="11" t="s">
        <v>113</v>
      </c>
      <c r="H29" s="11">
        <f t="shared" ref="H29:N29" si="75">(H28-D28)/D28</f>
        <v>7.2992700729927001E-2</v>
      </c>
      <c r="I29" s="11">
        <f t="shared" si="75"/>
        <v>6.5573770491803282E-2</v>
      </c>
      <c r="J29" s="11">
        <f t="shared" si="75"/>
        <v>3.2485875706214688E-2</v>
      </c>
      <c r="K29" s="11">
        <f t="shared" si="75"/>
        <v>1.3869625520110958E-2</v>
      </c>
      <c r="L29" s="11">
        <f t="shared" si="75"/>
        <v>0</v>
      </c>
      <c r="M29" s="11">
        <f t="shared" si="75"/>
        <v>5.5944055944055944E-3</v>
      </c>
      <c r="N29" s="11">
        <f t="shared" si="75"/>
        <v>-4.1039671682626538E-3</v>
      </c>
      <c r="O29" s="11">
        <f>(O28-K28)/K28</f>
        <v>2.7359781121751026E-3</v>
      </c>
      <c r="P29" s="11">
        <f t="shared" ref="P29:U29" si="76">(P28-L28)/L28</f>
        <v>2.9931972789115645E-2</v>
      </c>
      <c r="Q29" s="11">
        <f t="shared" si="76"/>
        <v>2.9207232267037551E-2</v>
      </c>
      <c r="R29" s="11">
        <f t="shared" si="76"/>
        <v>3.8461538461538464E-2</v>
      </c>
      <c r="S29" s="11">
        <f t="shared" si="76"/>
        <v>3.0013642564802184E-2</v>
      </c>
      <c r="T29" s="11">
        <f t="shared" si="76"/>
        <v>1.5852047556142668E-2</v>
      </c>
      <c r="U29" s="11">
        <f t="shared" si="76"/>
        <v>5.4054054054054057E-3</v>
      </c>
      <c r="AA29" s="11">
        <f t="shared" ref="AA29" si="77">(AA28-Z28)/Z28</f>
        <v>0.20738137082601055</v>
      </c>
      <c r="AB29" s="11">
        <f t="shared" ref="AB29" si="78">(AB28-AA28)/AA28</f>
        <v>-8.5880640465793301E-2</v>
      </c>
      <c r="AC29" s="11">
        <f t="shared" ref="AC29:AF29" si="79">(AC28-AB28)/AB28</f>
        <v>6.5286624203821655E-2</v>
      </c>
      <c r="AD29" s="11">
        <f t="shared" si="79"/>
        <v>7.7727952167414044E-2</v>
      </c>
      <c r="AE29" s="11">
        <f t="shared" si="79"/>
        <v>1.3869625520110958E-2</v>
      </c>
      <c r="AF29" s="11">
        <f t="shared" si="79"/>
        <v>2.7359781121751026E-3</v>
      </c>
      <c r="AG29" s="11">
        <f>(AG28-AF28)/AF28</f>
        <v>3.0013642564802184E-2</v>
      </c>
      <c r="AH29" s="52"/>
    </row>
    <row r="30" spans="2:46" x14ac:dyDescent="0.25">
      <c r="C30" s="2" t="s">
        <v>97</v>
      </c>
      <c r="D30" s="2">
        <f>Segementer!C15+Segementer!C28+Segementer!C41+Segementer!C54</f>
        <v>267</v>
      </c>
      <c r="E30" s="2">
        <f>Segementer!D15+Segementer!D28+Segementer!D41+Segementer!D54</f>
        <v>267</v>
      </c>
      <c r="F30" s="2">
        <f>Segementer!E15+Segementer!E28+Segementer!E41+Segementer!E54</f>
        <v>276</v>
      </c>
      <c r="G30" s="2">
        <f>Segementer!F15+Segementer!F28+Segementer!F41+Segementer!F54</f>
        <v>275</v>
      </c>
      <c r="H30" s="2">
        <f>Segementer!H15+Segementer!H28+Segementer!H41+Segementer!H54</f>
        <v>274</v>
      </c>
      <c r="I30" s="2">
        <f>Segementer!I15+Segementer!I28+Segementer!I41+Segementer!I54</f>
        <v>273</v>
      </c>
      <c r="J30" s="2">
        <f>Segementer!J15+Segementer!J28+Segementer!J41+Segementer!J54</f>
        <v>275</v>
      </c>
      <c r="K30" s="2">
        <f>Segementer!K15+Segementer!K28+Segementer!K41+Segementer!K54</f>
        <v>276</v>
      </c>
      <c r="L30" s="2">
        <f>Segementer!M15+Segementer!M28+Segementer!M41+Segementer!M54</f>
        <v>276</v>
      </c>
      <c r="M30" s="2">
        <f>Segementer!N15+Segementer!N28+Segementer!N41+Segementer!N54</f>
        <v>274</v>
      </c>
      <c r="N30" s="2">
        <f>Segementer!O15+Segementer!O28+Segementer!O41+Segementer!O54</f>
        <v>273</v>
      </c>
      <c r="O30" s="2">
        <f>Segementer!P15+Segementer!P28+Segementer!P41+Segementer!P54</f>
        <v>272</v>
      </c>
      <c r="P30" s="2">
        <f>Segementer!R15+Segementer!R28+Segementer!R41+Segementer!R54</f>
        <v>273</v>
      </c>
      <c r="Q30" s="2">
        <f>Segementer!S15+Segementer!S28+Segementer!S41+Segementer!S54</f>
        <v>273</v>
      </c>
      <c r="R30" s="2">
        <f>Segementer!T15+Segementer!T28+Segementer!T41+Segementer!T54</f>
        <v>274</v>
      </c>
      <c r="S30" s="2">
        <f>Segementer!U15+Segementer!U28+Segementer!U41+Segementer!U54</f>
        <v>273</v>
      </c>
      <c r="T30" s="2">
        <f>Segementer!W15+Segementer!W28+Segementer!W41+Segementer!W54</f>
        <v>272</v>
      </c>
      <c r="U30" s="2">
        <f>Segementer!X15+Segementer!X28+Segementer!X41+Segementer!X54</f>
        <v>270</v>
      </c>
      <c r="Z30" s="2">
        <v>203</v>
      </c>
      <c r="AA30" s="2">
        <v>248</v>
      </c>
      <c r="AB30" s="2">
        <v>253</v>
      </c>
      <c r="AC30" s="2">
        <v>262</v>
      </c>
      <c r="AD30" s="2">
        <v>275</v>
      </c>
      <c r="AE30" s="2">
        <v>276</v>
      </c>
      <c r="AF30" s="2">
        <v>272</v>
      </c>
      <c r="AG30" s="2">
        <v>273</v>
      </c>
    </row>
    <row r="31" spans="2:46" s="11" customFormat="1" x14ac:dyDescent="0.25">
      <c r="B31" s="52"/>
      <c r="C31" s="11" t="s">
        <v>113</v>
      </c>
      <c r="H31" s="11">
        <f t="shared" ref="H31:S31" si="80">(H30-D30)/D30</f>
        <v>2.6217228464419477E-2</v>
      </c>
      <c r="I31" s="11">
        <f t="shared" si="80"/>
        <v>2.247191011235955E-2</v>
      </c>
      <c r="J31" s="11">
        <f t="shared" si="80"/>
        <v>-3.6231884057971015E-3</v>
      </c>
      <c r="K31" s="11">
        <f t="shared" si="80"/>
        <v>3.6363636363636364E-3</v>
      </c>
      <c r="L31" s="11">
        <f t="shared" si="80"/>
        <v>7.2992700729927005E-3</v>
      </c>
      <c r="M31" s="11">
        <f t="shared" si="80"/>
        <v>3.663003663003663E-3</v>
      </c>
      <c r="N31" s="11">
        <f t="shared" si="80"/>
        <v>-7.2727272727272727E-3</v>
      </c>
      <c r="O31" s="11">
        <f t="shared" si="80"/>
        <v>-1.4492753623188406E-2</v>
      </c>
      <c r="P31" s="11">
        <f t="shared" si="80"/>
        <v>-1.0869565217391304E-2</v>
      </c>
      <c r="Q31" s="11">
        <f t="shared" si="80"/>
        <v>-3.6496350364963502E-3</v>
      </c>
      <c r="R31" s="11">
        <f t="shared" si="80"/>
        <v>3.663003663003663E-3</v>
      </c>
      <c r="S31" s="11">
        <f t="shared" si="80"/>
        <v>3.6764705882352941E-3</v>
      </c>
      <c r="T31" s="11">
        <f>(T30-P30)/P30</f>
        <v>-3.663003663003663E-3</v>
      </c>
      <c r="U31" s="11">
        <f>(U30-Q30)/Q30</f>
        <v>-1.098901098901099E-2</v>
      </c>
      <c r="AA31" s="11">
        <f t="shared" ref="AA31" si="81">(AA30-Z30)/Z30</f>
        <v>0.22167487684729065</v>
      </c>
      <c r="AB31" s="11">
        <f t="shared" ref="AB31" si="82">(AB30-AA30)/AA30</f>
        <v>2.0161290322580645E-2</v>
      </c>
      <c r="AC31" s="11">
        <f t="shared" ref="AC31:AF31" si="83">(AC30-AB30)/AB30</f>
        <v>3.5573122529644272E-2</v>
      </c>
      <c r="AD31" s="11">
        <f t="shared" si="83"/>
        <v>4.9618320610687022E-2</v>
      </c>
      <c r="AE31" s="11">
        <f t="shared" si="83"/>
        <v>3.6363636363636364E-3</v>
      </c>
      <c r="AF31" s="11">
        <f t="shared" si="83"/>
        <v>-1.4492753623188406E-2</v>
      </c>
      <c r="AG31" s="11">
        <f>(AG30-AF30)/AF30</f>
        <v>3.6764705882352941E-3</v>
      </c>
      <c r="AH31" s="52"/>
    </row>
    <row r="32" spans="2:46" x14ac:dyDescent="0.25"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34" x14ac:dyDescent="0.25">
      <c r="C33" s="2" t="s">
        <v>99</v>
      </c>
      <c r="D33" s="2">
        <v>498</v>
      </c>
      <c r="E33" s="2">
        <v>502</v>
      </c>
      <c r="F33" s="2">
        <v>468</v>
      </c>
      <c r="G33" s="2">
        <v>505</v>
      </c>
      <c r="H33" s="2">
        <v>550</v>
      </c>
      <c r="I33" s="2">
        <v>552</v>
      </c>
      <c r="J33" s="2">
        <v>510</v>
      </c>
      <c r="K33" s="2">
        <v>559</v>
      </c>
      <c r="L33" s="2">
        <v>588</v>
      </c>
      <c r="M33" s="2">
        <v>580</v>
      </c>
      <c r="N33" s="2">
        <v>550</v>
      </c>
      <c r="O33" s="2">
        <v>598</v>
      </c>
      <c r="P33" s="2">
        <v>624</v>
      </c>
      <c r="Q33" s="2">
        <v>621</v>
      </c>
      <c r="R33" s="2">
        <v>576</v>
      </c>
      <c r="S33" s="2">
        <v>630</v>
      </c>
      <c r="T33" s="2">
        <v>649</v>
      </c>
      <c r="U33" s="2">
        <v>635</v>
      </c>
      <c r="Z33" s="2">
        <v>504</v>
      </c>
      <c r="AA33" s="2">
        <v>523</v>
      </c>
      <c r="AB33" s="2">
        <v>416</v>
      </c>
      <c r="AC33" s="2">
        <v>391</v>
      </c>
      <c r="AD33" s="2">
        <v>515</v>
      </c>
      <c r="AE33" s="2">
        <v>543</v>
      </c>
      <c r="AF33" s="2">
        <v>573</v>
      </c>
      <c r="AG33" s="2">
        <v>608</v>
      </c>
    </row>
    <row r="34" spans="1:34" s="11" customFormat="1" x14ac:dyDescent="0.25">
      <c r="B34" s="52"/>
      <c r="C34" s="11" t="s">
        <v>113</v>
      </c>
      <c r="H34" s="11">
        <f t="shared" ref="H34:Q34" si="84">(H33-D33)/D33</f>
        <v>0.10441767068273092</v>
      </c>
      <c r="I34" s="11">
        <f t="shared" si="84"/>
        <v>9.9601593625498003E-2</v>
      </c>
      <c r="J34" s="11">
        <f t="shared" si="84"/>
        <v>8.9743589743589744E-2</v>
      </c>
      <c r="K34" s="11">
        <f t="shared" si="84"/>
        <v>0.10693069306930693</v>
      </c>
      <c r="L34" s="11">
        <f t="shared" si="84"/>
        <v>6.9090909090909092E-2</v>
      </c>
      <c r="M34" s="11">
        <f t="shared" si="84"/>
        <v>5.0724637681159424E-2</v>
      </c>
      <c r="N34" s="11">
        <f t="shared" si="84"/>
        <v>7.8431372549019607E-2</v>
      </c>
      <c r="O34" s="11">
        <f t="shared" si="84"/>
        <v>6.9767441860465115E-2</v>
      </c>
      <c r="P34" s="11">
        <f t="shared" si="84"/>
        <v>6.1224489795918366E-2</v>
      </c>
      <c r="Q34" s="11">
        <f t="shared" si="84"/>
        <v>7.0689655172413796E-2</v>
      </c>
      <c r="R34" s="11">
        <f>(R33-N33)/N33</f>
        <v>4.7272727272727272E-2</v>
      </c>
      <c r="S34" s="11">
        <f>(S33-O33)/O33</f>
        <v>5.3511705685618728E-2</v>
      </c>
      <c r="T34" s="11">
        <f>(T33-P33)/P33</f>
        <v>4.0064102564102567E-2</v>
      </c>
      <c r="U34" s="11">
        <f>(U33-Q33)/Q33</f>
        <v>2.2544283413848631E-2</v>
      </c>
      <c r="AA34" s="11">
        <f t="shared" ref="AA34:AF34" si="85">(AA33-Z33)/Z33</f>
        <v>3.7698412698412696E-2</v>
      </c>
      <c r="AB34" s="11">
        <f t="shared" si="85"/>
        <v>-0.2045889101338432</v>
      </c>
      <c r="AC34" s="11">
        <f t="shared" si="85"/>
        <v>-6.0096153846153848E-2</v>
      </c>
      <c r="AD34" s="11">
        <f t="shared" si="85"/>
        <v>0.31713554987212278</v>
      </c>
      <c r="AE34" s="11">
        <f t="shared" si="85"/>
        <v>5.4368932038834951E-2</v>
      </c>
      <c r="AF34" s="11">
        <f t="shared" si="85"/>
        <v>5.5248618784530384E-2</v>
      </c>
      <c r="AG34" s="11">
        <f>(AG33-AF33)/AF33</f>
        <v>6.1082024432809773E-2</v>
      </c>
      <c r="AH34" s="52"/>
    </row>
    <row r="36" spans="1:34" x14ac:dyDescent="0.25">
      <c r="C36" s="3" t="s">
        <v>35</v>
      </c>
    </row>
    <row r="37" spans="1:34" s="19" customFormat="1" x14ac:dyDescent="0.25">
      <c r="A37" s="2"/>
      <c r="B37" s="4"/>
      <c r="C37" s="2" t="s">
        <v>54</v>
      </c>
      <c r="D37" s="19">
        <v>2588</v>
      </c>
      <c r="E37" s="19">
        <v>2576</v>
      </c>
      <c r="F37" s="19">
        <v>2615</v>
      </c>
      <c r="G37" s="19">
        <v>2588</v>
      </c>
      <c r="H37" s="19">
        <v>2628</v>
      </c>
      <c r="I37" s="19">
        <v>2660</v>
      </c>
      <c r="J37" s="19">
        <v>2621</v>
      </c>
      <c r="K37" s="19">
        <v>2628</v>
      </c>
      <c r="L37" s="19">
        <v>2654</v>
      </c>
      <c r="M37" s="19">
        <v>2635</v>
      </c>
      <c r="N37" s="19">
        <v>2664</v>
      </c>
      <c r="O37" s="19">
        <v>2661</v>
      </c>
      <c r="P37" s="19">
        <v>2644</v>
      </c>
      <c r="Q37" s="19">
        <v>2665</v>
      </c>
      <c r="R37" s="19">
        <v>2655</v>
      </c>
      <c r="S37" s="19">
        <v>2667</v>
      </c>
      <c r="T37" s="19">
        <v>2607</v>
      </c>
      <c r="U37" s="19">
        <v>2605</v>
      </c>
      <c r="Z37" s="19">
        <v>2372</v>
      </c>
      <c r="AA37" s="19">
        <v>2464</v>
      </c>
      <c r="AB37" s="19">
        <v>2578</v>
      </c>
      <c r="AC37" s="19">
        <v>2569</v>
      </c>
      <c r="AD37" s="19">
        <v>2588</v>
      </c>
      <c r="AE37" s="19">
        <v>2628</v>
      </c>
      <c r="AF37" s="19">
        <v>2661</v>
      </c>
      <c r="AG37" s="19">
        <v>2667</v>
      </c>
      <c r="AH37" s="16"/>
    </row>
    <row r="38" spans="1:34" s="19" customFormat="1" x14ac:dyDescent="0.25">
      <c r="A38" s="2"/>
      <c r="B38" s="4"/>
      <c r="C38" s="2" t="s">
        <v>55</v>
      </c>
      <c r="D38" s="19">
        <v>4161</v>
      </c>
      <c r="E38" s="19">
        <v>4165</v>
      </c>
      <c r="F38" s="19">
        <v>4179</v>
      </c>
      <c r="G38" s="19">
        <v>4161</v>
      </c>
      <c r="H38" s="19">
        <v>4570</v>
      </c>
      <c r="I38" s="19">
        <v>4452</v>
      </c>
      <c r="J38" s="19">
        <v>4423</v>
      </c>
      <c r="K38" s="19">
        <v>4570</v>
      </c>
      <c r="L38" s="19">
        <v>4680</v>
      </c>
      <c r="M38" s="19">
        <v>4575</v>
      </c>
      <c r="N38" s="19">
        <v>4679</v>
      </c>
      <c r="O38" s="19">
        <v>4657</v>
      </c>
      <c r="P38" s="19">
        <v>4675</v>
      </c>
      <c r="Q38" s="19">
        <v>4765</v>
      </c>
      <c r="R38" s="19">
        <v>4688</v>
      </c>
      <c r="S38" s="19">
        <v>4769</v>
      </c>
      <c r="T38" s="19">
        <v>4515</v>
      </c>
      <c r="U38" s="19">
        <v>4569</v>
      </c>
      <c r="Z38" s="19">
        <v>3229</v>
      </c>
      <c r="AA38" s="19">
        <v>3912</v>
      </c>
      <c r="AB38" s="19">
        <v>4568</v>
      </c>
      <c r="AC38" s="19">
        <v>4077</v>
      </c>
      <c r="AD38" s="19">
        <v>4161</v>
      </c>
      <c r="AE38" s="19">
        <v>4570</v>
      </c>
      <c r="AF38" s="19">
        <v>4657</v>
      </c>
      <c r="AG38" s="19">
        <v>4769</v>
      </c>
      <c r="AH38" s="16"/>
    </row>
    <row r="39" spans="1:34" s="19" customFormat="1" x14ac:dyDescent="0.25">
      <c r="A39" s="2"/>
      <c r="B39" s="4"/>
      <c r="C39" s="2" t="s">
        <v>56</v>
      </c>
      <c r="D39" s="19">
        <v>723</v>
      </c>
      <c r="E39" s="19">
        <v>684</v>
      </c>
      <c r="F39" s="19">
        <v>719</v>
      </c>
      <c r="G39" s="19">
        <v>723</v>
      </c>
      <c r="H39" s="19">
        <v>705</v>
      </c>
      <c r="I39" s="19">
        <v>702</v>
      </c>
      <c r="J39" s="19">
        <v>674</v>
      </c>
      <c r="K39" s="19">
        <v>705</v>
      </c>
      <c r="L39" s="19">
        <v>685</v>
      </c>
      <c r="M39" s="19">
        <v>649</v>
      </c>
      <c r="N39" s="19">
        <v>682</v>
      </c>
      <c r="O39" s="19">
        <v>792</v>
      </c>
      <c r="P39" s="19">
        <v>800</v>
      </c>
      <c r="Q39" s="19">
        <v>835</v>
      </c>
      <c r="R39" s="19">
        <v>859</v>
      </c>
      <c r="S39" s="19">
        <v>916</v>
      </c>
      <c r="T39" s="19">
        <v>863</v>
      </c>
      <c r="U39" s="19">
        <v>875</v>
      </c>
      <c r="V39" s="18"/>
      <c r="W39" s="18"/>
      <c r="X39" s="18"/>
      <c r="Y39" s="18"/>
      <c r="Z39" s="19">
        <v>599</v>
      </c>
      <c r="AA39" s="19">
        <v>739</v>
      </c>
      <c r="AB39" s="19">
        <v>758</v>
      </c>
      <c r="AC39" s="19">
        <v>692</v>
      </c>
      <c r="AD39" s="19">
        <v>723</v>
      </c>
      <c r="AE39" s="19">
        <v>705</v>
      </c>
      <c r="AF39" s="19">
        <v>792</v>
      </c>
      <c r="AG39" s="19">
        <v>916</v>
      </c>
      <c r="AH39" s="16"/>
    </row>
    <row r="40" spans="1:34" s="19" customFormat="1" x14ac:dyDescent="0.25">
      <c r="A40" s="2"/>
      <c r="B40" s="4"/>
      <c r="C40" s="2" t="s">
        <v>57</v>
      </c>
      <c r="D40" s="19">
        <v>50</v>
      </c>
      <c r="E40" s="19">
        <v>35</v>
      </c>
      <c r="F40" s="19">
        <v>39</v>
      </c>
      <c r="G40" s="19">
        <v>50</v>
      </c>
      <c r="H40" s="19">
        <v>63</v>
      </c>
      <c r="I40" s="19">
        <v>62</v>
      </c>
      <c r="J40" s="19">
        <v>64</v>
      </c>
      <c r="K40" s="19">
        <v>63</v>
      </c>
      <c r="L40" s="19">
        <v>65</v>
      </c>
      <c r="M40" s="19">
        <v>63</v>
      </c>
      <c r="N40" s="19">
        <v>58</v>
      </c>
      <c r="O40" s="19">
        <v>56</v>
      </c>
      <c r="P40" s="19">
        <v>53</v>
      </c>
      <c r="Q40" s="19">
        <v>69</v>
      </c>
      <c r="R40" s="19">
        <v>69</v>
      </c>
      <c r="S40" s="19">
        <v>72</v>
      </c>
      <c r="T40" s="19">
        <v>70</v>
      </c>
      <c r="U40" s="19">
        <v>80</v>
      </c>
      <c r="Z40" s="19">
        <v>131</v>
      </c>
      <c r="AA40" s="19">
        <v>41</v>
      </c>
      <c r="AB40" s="19">
        <v>38</v>
      </c>
      <c r="AC40" s="19">
        <v>34</v>
      </c>
      <c r="AD40" s="19">
        <v>50</v>
      </c>
      <c r="AE40" s="19">
        <v>63</v>
      </c>
      <c r="AF40" s="19">
        <v>56</v>
      </c>
      <c r="AG40" s="19">
        <v>72</v>
      </c>
      <c r="AH40" s="16"/>
    </row>
    <row r="41" spans="1:34" s="19" customFormat="1" x14ac:dyDescent="0.25">
      <c r="A41" s="2"/>
      <c r="B41" s="4"/>
      <c r="C41" s="2" t="s">
        <v>58</v>
      </c>
      <c r="D41" s="19">
        <v>47</v>
      </c>
      <c r="E41" s="19">
        <v>46</v>
      </c>
      <c r="F41" s="19">
        <v>54</v>
      </c>
      <c r="G41" s="19">
        <v>47</v>
      </c>
      <c r="H41" s="19">
        <v>36</v>
      </c>
      <c r="I41" s="19">
        <v>66</v>
      </c>
      <c r="J41" s="19">
        <v>64</v>
      </c>
      <c r="K41" s="19">
        <v>36</v>
      </c>
      <c r="L41" s="19">
        <v>42</v>
      </c>
      <c r="M41" s="19">
        <v>40</v>
      </c>
      <c r="N41" s="19">
        <v>30</v>
      </c>
      <c r="O41" s="19">
        <v>33</v>
      </c>
      <c r="P41" s="19">
        <v>30</v>
      </c>
      <c r="Q41" s="19">
        <v>22</v>
      </c>
      <c r="R41" s="19">
        <v>20</v>
      </c>
      <c r="S41" s="19">
        <v>0</v>
      </c>
      <c r="T41" s="19">
        <v>0</v>
      </c>
      <c r="U41" s="19">
        <v>0</v>
      </c>
      <c r="Z41" s="19">
        <v>3</v>
      </c>
      <c r="AA41" s="19">
        <v>5</v>
      </c>
      <c r="AB41" s="19">
        <v>0</v>
      </c>
      <c r="AC41" s="19">
        <v>1</v>
      </c>
      <c r="AD41" s="19">
        <v>47</v>
      </c>
      <c r="AE41" s="19">
        <v>36</v>
      </c>
      <c r="AF41" s="19">
        <v>33</v>
      </c>
      <c r="AG41" s="19">
        <v>0</v>
      </c>
      <c r="AH41" s="16"/>
    </row>
    <row r="42" spans="1:34" s="19" customFormat="1" x14ac:dyDescent="0.25">
      <c r="A42" s="2"/>
      <c r="B42" s="4"/>
      <c r="C42" s="2" t="s">
        <v>59</v>
      </c>
      <c r="D42" s="19">
        <v>239</v>
      </c>
      <c r="E42" s="19">
        <v>213</v>
      </c>
      <c r="F42" s="19">
        <v>222</v>
      </c>
      <c r="G42" s="19">
        <v>239</v>
      </c>
      <c r="H42" s="19">
        <v>178</v>
      </c>
      <c r="I42" s="19">
        <v>245</v>
      </c>
      <c r="J42" s="19">
        <v>243</v>
      </c>
      <c r="K42" s="19">
        <v>178</v>
      </c>
      <c r="L42" s="19">
        <v>121</v>
      </c>
      <c r="M42" s="19">
        <v>177</v>
      </c>
      <c r="N42" s="19">
        <v>181</v>
      </c>
      <c r="O42" s="19">
        <v>185</v>
      </c>
      <c r="P42" s="19">
        <v>135</v>
      </c>
      <c r="Q42" s="19">
        <v>136</v>
      </c>
      <c r="R42" s="19">
        <v>136</v>
      </c>
      <c r="S42" s="19">
        <v>141</v>
      </c>
      <c r="T42" s="19">
        <v>134</v>
      </c>
      <c r="U42" s="19">
        <v>134</v>
      </c>
      <c r="Z42" s="19">
        <v>149</v>
      </c>
      <c r="AA42" s="19">
        <v>192</v>
      </c>
      <c r="AB42" s="19">
        <v>166</v>
      </c>
      <c r="AC42" s="19">
        <v>213</v>
      </c>
      <c r="AD42" s="19">
        <v>239</v>
      </c>
      <c r="AE42" s="19">
        <v>178</v>
      </c>
      <c r="AF42" s="19">
        <v>185</v>
      </c>
      <c r="AG42" s="19">
        <v>141</v>
      </c>
      <c r="AH42" s="16"/>
    </row>
    <row r="43" spans="1:34" s="19" customFormat="1" x14ac:dyDescent="0.25">
      <c r="A43" s="2"/>
      <c r="B43" s="4"/>
      <c r="C43" s="2" t="s">
        <v>60</v>
      </c>
      <c r="D43" s="19">
        <v>57</v>
      </c>
      <c r="E43" s="19">
        <v>65</v>
      </c>
      <c r="F43" s="19">
        <v>69</v>
      </c>
      <c r="G43" s="19">
        <v>57</v>
      </c>
      <c r="H43" s="19">
        <v>55</v>
      </c>
      <c r="I43" s="19">
        <v>57</v>
      </c>
      <c r="J43" s="19">
        <v>57</v>
      </c>
      <c r="K43" s="19">
        <v>55</v>
      </c>
      <c r="L43" s="19">
        <v>56</v>
      </c>
      <c r="M43" s="19">
        <v>53</v>
      </c>
      <c r="N43" s="19">
        <v>55</v>
      </c>
      <c r="O43" s="19">
        <v>54</v>
      </c>
      <c r="P43" s="19">
        <v>54</v>
      </c>
      <c r="Q43" s="19">
        <v>59</v>
      </c>
      <c r="R43" s="19">
        <v>59</v>
      </c>
      <c r="S43" s="19">
        <v>61</v>
      </c>
      <c r="T43" s="19">
        <v>66</v>
      </c>
      <c r="U43" s="19">
        <v>63</v>
      </c>
      <c r="Z43" s="19">
        <v>28</v>
      </c>
      <c r="AA43" s="19">
        <v>41</v>
      </c>
      <c r="AB43" s="19">
        <v>48</v>
      </c>
      <c r="AC43" s="19">
        <v>57</v>
      </c>
      <c r="AD43" s="19">
        <v>57</v>
      </c>
      <c r="AE43" s="19">
        <v>55</v>
      </c>
      <c r="AF43" s="19">
        <v>54</v>
      </c>
      <c r="AG43" s="19">
        <v>61</v>
      </c>
      <c r="AH43" s="16"/>
    </row>
    <row r="44" spans="1:34" s="19" customFormat="1" x14ac:dyDescent="0.25">
      <c r="A44" s="2"/>
      <c r="B44" s="4"/>
      <c r="C44" s="2" t="s">
        <v>61</v>
      </c>
      <c r="D44" s="19">
        <v>126</v>
      </c>
      <c r="E44" s="19">
        <v>92</v>
      </c>
      <c r="F44" s="19">
        <v>119</v>
      </c>
      <c r="G44" s="19">
        <v>126</v>
      </c>
      <c r="H44" s="19">
        <v>136</v>
      </c>
      <c r="I44" s="19">
        <v>105</v>
      </c>
      <c r="J44" s="19">
        <v>118</v>
      </c>
      <c r="K44" s="19">
        <v>136</v>
      </c>
      <c r="L44" s="19">
        <v>134</v>
      </c>
      <c r="M44" s="19">
        <v>117</v>
      </c>
      <c r="N44" s="19">
        <v>136</v>
      </c>
      <c r="O44" s="19">
        <v>159</v>
      </c>
      <c r="P44" s="19">
        <v>142</v>
      </c>
      <c r="Q44" s="19">
        <v>135</v>
      </c>
      <c r="R44" s="19">
        <v>136</v>
      </c>
      <c r="S44" s="19">
        <v>161</v>
      </c>
      <c r="T44" s="19">
        <v>127</v>
      </c>
      <c r="U44" s="19">
        <v>110</v>
      </c>
      <c r="Z44" s="19">
        <v>119</v>
      </c>
      <c r="AA44" s="19">
        <v>136</v>
      </c>
      <c r="AB44" s="19">
        <v>120</v>
      </c>
      <c r="AC44" s="19">
        <v>117</v>
      </c>
      <c r="AD44" s="19">
        <v>126</v>
      </c>
      <c r="AE44" s="19">
        <v>136</v>
      </c>
      <c r="AF44" s="19">
        <v>159</v>
      </c>
      <c r="AG44" s="19">
        <v>161</v>
      </c>
      <c r="AH44" s="16"/>
    </row>
    <row r="45" spans="1:34" s="19" customFormat="1" x14ac:dyDescent="0.25">
      <c r="A45" s="2"/>
      <c r="B45" s="4"/>
      <c r="C45" s="2" t="s">
        <v>62</v>
      </c>
      <c r="D45" s="19">
        <v>54</v>
      </c>
      <c r="E45" s="19">
        <v>72</v>
      </c>
      <c r="F45" s="19">
        <v>68</v>
      </c>
      <c r="G45" s="19">
        <v>54</v>
      </c>
      <c r="H45" s="19">
        <v>86</v>
      </c>
      <c r="I45" s="19">
        <v>53</v>
      </c>
      <c r="J45" s="19">
        <v>69</v>
      </c>
      <c r="K45" s="19">
        <v>86</v>
      </c>
      <c r="L45" s="19">
        <v>105</v>
      </c>
      <c r="M45" s="19">
        <v>80</v>
      </c>
      <c r="N45" s="19">
        <v>101</v>
      </c>
      <c r="O45" s="19">
        <v>131</v>
      </c>
      <c r="P45" s="19">
        <v>122</v>
      </c>
      <c r="Q45" s="19">
        <v>108</v>
      </c>
      <c r="R45" s="19">
        <v>88</v>
      </c>
      <c r="S45" s="19">
        <v>108</v>
      </c>
      <c r="T45" s="19">
        <v>208</v>
      </c>
      <c r="U45" s="19">
        <v>175</v>
      </c>
      <c r="Z45" s="19">
        <v>119</v>
      </c>
      <c r="AA45" s="19">
        <v>70</v>
      </c>
      <c r="AB45" s="19">
        <v>85</v>
      </c>
      <c r="AC45" s="19">
        <v>59</v>
      </c>
      <c r="AD45" s="19">
        <v>54</v>
      </c>
      <c r="AE45" s="19">
        <v>86</v>
      </c>
      <c r="AF45" s="19">
        <v>131</v>
      </c>
      <c r="AG45" s="19">
        <v>108</v>
      </c>
      <c r="AH45" s="16"/>
    </row>
    <row r="46" spans="1:34" s="19" customFormat="1" x14ac:dyDescent="0.25">
      <c r="A46" s="2"/>
      <c r="B46" s="4"/>
      <c r="C46" s="2" t="s">
        <v>63</v>
      </c>
      <c r="D46" s="19">
        <v>287</v>
      </c>
      <c r="E46" s="19">
        <v>231</v>
      </c>
      <c r="F46" s="19">
        <v>223</v>
      </c>
      <c r="G46" s="19">
        <v>287</v>
      </c>
      <c r="H46" s="19">
        <v>237</v>
      </c>
      <c r="I46" s="19">
        <v>274</v>
      </c>
      <c r="J46" s="19">
        <v>234</v>
      </c>
      <c r="K46" s="19">
        <v>237</v>
      </c>
      <c r="L46" s="19">
        <v>213</v>
      </c>
      <c r="M46" s="19">
        <v>166</v>
      </c>
      <c r="N46" s="19">
        <v>171</v>
      </c>
      <c r="O46" s="19">
        <v>237</v>
      </c>
      <c r="P46" s="19">
        <v>228</v>
      </c>
      <c r="Q46" s="19">
        <v>249</v>
      </c>
      <c r="R46" s="19">
        <v>224</v>
      </c>
      <c r="S46" s="19">
        <v>214</v>
      </c>
      <c r="T46" s="19">
        <v>81</v>
      </c>
      <c r="U46" s="19">
        <v>112</v>
      </c>
      <c r="Z46" s="19">
        <v>174</v>
      </c>
      <c r="AA46" s="19">
        <v>222</v>
      </c>
      <c r="AB46" s="19">
        <v>274</v>
      </c>
      <c r="AC46" s="19">
        <v>237</v>
      </c>
      <c r="AD46" s="19">
        <v>287</v>
      </c>
      <c r="AE46" s="19">
        <v>237</v>
      </c>
      <c r="AF46" s="19">
        <v>237</v>
      </c>
      <c r="AG46" s="19">
        <v>214</v>
      </c>
      <c r="AH46" s="16"/>
    </row>
    <row r="47" spans="1:34" s="19" customFormat="1" x14ac:dyDescent="0.25">
      <c r="A47" s="2"/>
      <c r="B47" s="4"/>
      <c r="C47" s="2" t="s">
        <v>64</v>
      </c>
      <c r="D47" s="19">
        <v>0</v>
      </c>
      <c r="E47" s="19">
        <v>0</v>
      </c>
      <c r="F47" s="19">
        <v>0</v>
      </c>
      <c r="G47" s="19">
        <v>0</v>
      </c>
      <c r="H47" s="19">
        <v>6</v>
      </c>
      <c r="I47" s="19">
        <v>0</v>
      </c>
      <c r="J47" s="19">
        <v>0</v>
      </c>
      <c r="K47" s="19">
        <v>6</v>
      </c>
      <c r="L47" s="19">
        <v>5</v>
      </c>
      <c r="M47" s="19">
        <v>3</v>
      </c>
      <c r="N47" s="19">
        <v>2</v>
      </c>
      <c r="O47" s="19">
        <v>0</v>
      </c>
      <c r="P47" s="19">
        <v>0</v>
      </c>
      <c r="Q47" s="19">
        <v>0</v>
      </c>
      <c r="R47" s="19">
        <v>1</v>
      </c>
      <c r="S47" s="2">
        <v>16</v>
      </c>
      <c r="T47" s="19">
        <v>22</v>
      </c>
      <c r="U47" s="19">
        <v>16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6</v>
      </c>
      <c r="AF47" s="19">
        <v>0</v>
      </c>
      <c r="AG47" s="2">
        <v>16</v>
      </c>
      <c r="AH47" s="16"/>
    </row>
    <row r="48" spans="1:34" s="19" customFormat="1" x14ac:dyDescent="0.25">
      <c r="A48" s="2"/>
      <c r="B48" s="4"/>
      <c r="C48" s="2" t="s">
        <v>65</v>
      </c>
      <c r="D48" s="19">
        <v>345</v>
      </c>
      <c r="E48" s="19">
        <v>245</v>
      </c>
      <c r="F48" s="19">
        <v>123</v>
      </c>
      <c r="G48" s="19">
        <v>345</v>
      </c>
      <c r="H48" s="19">
        <v>282</v>
      </c>
      <c r="I48" s="19">
        <v>334</v>
      </c>
      <c r="J48" s="19">
        <v>442</v>
      </c>
      <c r="K48" s="19">
        <v>282</v>
      </c>
      <c r="L48" s="19">
        <v>310</v>
      </c>
      <c r="M48" s="19">
        <v>347</v>
      </c>
      <c r="N48" s="19">
        <v>319</v>
      </c>
      <c r="O48" s="19">
        <v>371</v>
      </c>
      <c r="P48" s="19">
        <v>383</v>
      </c>
      <c r="Q48" s="19">
        <v>405</v>
      </c>
      <c r="R48" s="19">
        <v>363</v>
      </c>
      <c r="S48" s="19">
        <v>512</v>
      </c>
      <c r="T48" s="19">
        <v>400</v>
      </c>
      <c r="U48" s="19">
        <v>326</v>
      </c>
      <c r="Z48" s="19">
        <v>357</v>
      </c>
      <c r="AA48" s="19">
        <v>165</v>
      </c>
      <c r="AB48" s="19">
        <v>456</v>
      </c>
      <c r="AC48" s="19">
        <v>281</v>
      </c>
      <c r="AD48" s="19">
        <v>345</v>
      </c>
      <c r="AE48" s="19">
        <v>282</v>
      </c>
      <c r="AF48" s="19">
        <v>371</v>
      </c>
      <c r="AG48" s="19">
        <v>512</v>
      </c>
      <c r="AH48" s="16"/>
    </row>
    <row r="49" spans="1:34" s="19" customFormat="1" x14ac:dyDescent="0.25">
      <c r="A49" s="2"/>
      <c r="B49" s="4"/>
      <c r="C49" s="1" t="s">
        <v>66</v>
      </c>
      <c r="D49" s="18">
        <f t="shared" ref="D49:N49" si="86">SUM(D37:D48)</f>
        <v>8677</v>
      </c>
      <c r="E49" s="18">
        <f>SUM(E37:E48)</f>
        <v>8424</v>
      </c>
      <c r="F49" s="18">
        <f>SUM(F37:F48)</f>
        <v>8430</v>
      </c>
      <c r="G49" s="18">
        <f>SUM(G37:G48)</f>
        <v>8677</v>
      </c>
      <c r="H49" s="18">
        <f t="shared" si="86"/>
        <v>8982</v>
      </c>
      <c r="I49" s="18">
        <f t="shared" si="86"/>
        <v>9010</v>
      </c>
      <c r="J49" s="18">
        <f t="shared" si="86"/>
        <v>9009</v>
      </c>
      <c r="K49" s="18">
        <f t="shared" si="86"/>
        <v>8982</v>
      </c>
      <c r="L49" s="18">
        <f t="shared" si="86"/>
        <v>9070</v>
      </c>
      <c r="M49" s="18">
        <f t="shared" si="86"/>
        <v>8905</v>
      </c>
      <c r="N49" s="18">
        <f t="shared" si="86"/>
        <v>9078</v>
      </c>
      <c r="O49" s="18">
        <f>SUM(O37:O48)</f>
        <v>9336</v>
      </c>
      <c r="P49" s="18">
        <f t="shared" ref="P49:R49" si="87">SUM(P37:P48)</f>
        <v>9266</v>
      </c>
      <c r="Q49" s="18">
        <f t="shared" si="87"/>
        <v>9448</v>
      </c>
      <c r="R49" s="18">
        <f t="shared" si="87"/>
        <v>9298</v>
      </c>
      <c r="S49" s="18">
        <f>SUM(S37:S48)</f>
        <v>9637</v>
      </c>
      <c r="T49" s="18">
        <f>SUM(T37:T48)</f>
        <v>9093</v>
      </c>
      <c r="U49" s="18">
        <f>SUM(U37:U48)</f>
        <v>9065</v>
      </c>
      <c r="Z49" s="18">
        <f t="shared" ref="Z49:AA49" si="88">SUM(Z37:Z48)</f>
        <v>7280</v>
      </c>
      <c r="AA49" s="18">
        <f t="shared" si="88"/>
        <v>7987</v>
      </c>
      <c r="AB49" s="18">
        <f>SUM(AB37:AB48)</f>
        <v>9091</v>
      </c>
      <c r="AC49" s="18">
        <f>SUM(AC37:AC48)</f>
        <v>8337</v>
      </c>
      <c r="AD49" s="18">
        <f>SUM(AD37:AD48)</f>
        <v>8677</v>
      </c>
      <c r="AE49" s="18">
        <f t="shared" ref="AE49" si="89">SUM(AE37:AE48)</f>
        <v>8982</v>
      </c>
      <c r="AF49" s="18">
        <f>SUM(AF37:AF48)</f>
        <v>9336</v>
      </c>
      <c r="AG49" s="18">
        <f>SUM(AG37:AG48)</f>
        <v>9637</v>
      </c>
      <c r="AH49" s="16"/>
    </row>
    <row r="50" spans="1:34" s="19" customFormat="1" x14ac:dyDescent="0.25">
      <c r="A50" s="2"/>
      <c r="B50" s="4"/>
      <c r="C50" s="2" t="s">
        <v>67</v>
      </c>
      <c r="D50" s="19">
        <v>431</v>
      </c>
      <c r="E50" s="19">
        <v>431</v>
      </c>
      <c r="F50" s="19">
        <v>431</v>
      </c>
      <c r="G50" s="19">
        <v>431</v>
      </c>
      <c r="H50" s="19">
        <v>435</v>
      </c>
      <c r="I50" s="19">
        <v>435</v>
      </c>
      <c r="J50" s="19">
        <v>435</v>
      </c>
      <c r="K50" s="19">
        <v>435</v>
      </c>
      <c r="L50" s="19">
        <v>435</v>
      </c>
      <c r="M50" s="19">
        <v>435</v>
      </c>
      <c r="N50" s="19">
        <v>435</v>
      </c>
      <c r="O50" s="19">
        <v>435</v>
      </c>
      <c r="P50" s="19">
        <v>435</v>
      </c>
      <c r="Q50" s="19">
        <v>435</v>
      </c>
      <c r="R50" s="19">
        <v>433</v>
      </c>
      <c r="S50" s="19">
        <v>433</v>
      </c>
      <c r="T50" s="19">
        <v>433</v>
      </c>
      <c r="U50" s="19">
        <v>424</v>
      </c>
      <c r="Z50" s="19">
        <v>225</v>
      </c>
      <c r="AA50" s="19">
        <v>361</v>
      </c>
      <c r="AB50" s="19">
        <v>365</v>
      </c>
      <c r="AC50" s="19">
        <v>366</v>
      </c>
      <c r="AD50" s="19">
        <v>431</v>
      </c>
      <c r="AE50" s="19">
        <v>435</v>
      </c>
      <c r="AF50" s="19">
        <v>435</v>
      </c>
      <c r="AG50" s="19">
        <v>433</v>
      </c>
      <c r="AH50" s="16"/>
    </row>
    <row r="51" spans="1:34" s="19" customFormat="1" x14ac:dyDescent="0.25">
      <c r="A51" s="2"/>
      <c r="B51" s="4"/>
      <c r="C51" s="2" t="s">
        <v>68</v>
      </c>
      <c r="D51" s="19">
        <v>3045</v>
      </c>
      <c r="E51" s="19">
        <v>3056</v>
      </c>
      <c r="F51" s="19">
        <v>3056</v>
      </c>
      <c r="G51" s="19">
        <v>3056</v>
      </c>
      <c r="H51" s="19">
        <v>3050</v>
      </c>
      <c r="I51" s="19">
        <v>3050</v>
      </c>
      <c r="J51" s="19">
        <v>3050</v>
      </c>
      <c r="K51" s="19">
        <v>3050</v>
      </c>
      <c r="L51" s="19">
        <v>3050</v>
      </c>
      <c r="M51" s="19">
        <v>3050</v>
      </c>
      <c r="N51" s="19">
        <v>3050</v>
      </c>
      <c r="O51" s="19">
        <v>3050</v>
      </c>
      <c r="P51" s="19">
        <v>3050</v>
      </c>
      <c r="Q51" s="19">
        <v>3050</v>
      </c>
      <c r="R51" s="19">
        <v>2923</v>
      </c>
      <c r="S51" s="19">
        <v>2923</v>
      </c>
      <c r="T51" s="19">
        <v>2791</v>
      </c>
      <c r="U51" s="19">
        <v>2791</v>
      </c>
      <c r="Z51" s="19">
        <v>2270</v>
      </c>
      <c r="AA51" s="19">
        <v>3990</v>
      </c>
      <c r="AB51" s="19">
        <v>2513</v>
      </c>
      <c r="AC51" s="19">
        <v>2521</v>
      </c>
      <c r="AD51" s="19">
        <v>3056</v>
      </c>
      <c r="AE51" s="19">
        <v>3050</v>
      </c>
      <c r="AF51" s="19">
        <v>3050</v>
      </c>
      <c r="AG51" s="19">
        <v>2923</v>
      </c>
      <c r="AH51" s="16"/>
    </row>
    <row r="52" spans="1:34" s="19" customFormat="1" x14ac:dyDescent="0.25">
      <c r="A52" s="2"/>
      <c r="B52" s="4"/>
      <c r="C52" s="2" t="s">
        <v>69</v>
      </c>
      <c r="D52" s="19">
        <v>-14</v>
      </c>
      <c r="E52" s="19">
        <v>-17</v>
      </c>
      <c r="F52" s="19">
        <v>-17</v>
      </c>
      <c r="G52" s="19">
        <v>-14</v>
      </c>
      <c r="H52" s="19">
        <v>-24</v>
      </c>
      <c r="I52" s="19">
        <v>-28</v>
      </c>
      <c r="J52" s="19">
        <v>-24</v>
      </c>
      <c r="K52" s="19">
        <v>-24</v>
      </c>
      <c r="L52" s="19">
        <v>-20</v>
      </c>
      <c r="M52" s="19">
        <v>-19</v>
      </c>
      <c r="N52" s="19">
        <v>-19</v>
      </c>
      <c r="O52" s="19">
        <v>-19</v>
      </c>
      <c r="P52" s="19">
        <v>-106</v>
      </c>
      <c r="Q52" s="19">
        <v>-106</v>
      </c>
      <c r="R52" s="19">
        <v>-5</v>
      </c>
      <c r="S52" s="19">
        <v>-10</v>
      </c>
      <c r="T52" s="19">
        <v>-16</v>
      </c>
      <c r="U52" s="19">
        <v>-14</v>
      </c>
      <c r="Z52" s="19">
        <v>0</v>
      </c>
      <c r="AA52" s="19">
        <v>0</v>
      </c>
      <c r="AB52" s="19">
        <v>-19</v>
      </c>
      <c r="AC52" s="19">
        <v>-17</v>
      </c>
      <c r="AD52" s="19">
        <v>-14</v>
      </c>
      <c r="AE52" s="19">
        <v>-24</v>
      </c>
      <c r="AF52" s="19">
        <v>-19</v>
      </c>
      <c r="AG52" s="19">
        <v>-10</v>
      </c>
      <c r="AH52" s="16"/>
    </row>
    <row r="53" spans="1:34" s="19" customFormat="1" x14ac:dyDescent="0.25">
      <c r="A53" s="2"/>
      <c r="B53" s="4"/>
      <c r="C53" s="2" t="s">
        <v>70</v>
      </c>
      <c r="D53" s="19">
        <v>65</v>
      </c>
      <c r="E53" s="19">
        <v>47</v>
      </c>
      <c r="F53" s="19">
        <v>42</v>
      </c>
      <c r="G53" s="19">
        <v>65</v>
      </c>
      <c r="H53" s="19">
        <v>-1</v>
      </c>
      <c r="I53" s="19">
        <v>30</v>
      </c>
      <c r="J53" s="19">
        <v>37</v>
      </c>
      <c r="K53" s="19">
        <v>-1</v>
      </c>
      <c r="L53" s="19">
        <v>-2</v>
      </c>
      <c r="M53" s="19">
        <v>6</v>
      </c>
      <c r="N53" s="19">
        <v>-14</v>
      </c>
      <c r="O53" s="19">
        <v>-7</v>
      </c>
      <c r="P53" s="19">
        <v>-14</v>
      </c>
      <c r="Q53" s="19">
        <v>-19</v>
      </c>
      <c r="R53" s="19">
        <v>-14</v>
      </c>
      <c r="S53" s="19">
        <v>-28</v>
      </c>
      <c r="T53" s="19">
        <v>14</v>
      </c>
      <c r="U53" s="19">
        <v>9</v>
      </c>
      <c r="Z53" s="19">
        <v>5</v>
      </c>
      <c r="AA53" s="19">
        <v>15</v>
      </c>
      <c r="AB53" s="19">
        <v>-4</v>
      </c>
      <c r="AC53" s="19">
        <v>34</v>
      </c>
      <c r="AD53" s="19">
        <v>65</v>
      </c>
      <c r="AE53" s="19">
        <v>-1</v>
      </c>
      <c r="AF53" s="19">
        <v>-7</v>
      </c>
      <c r="AG53" s="19">
        <v>-28</v>
      </c>
      <c r="AH53" s="16"/>
    </row>
    <row r="54" spans="1:34" s="19" customFormat="1" x14ac:dyDescent="0.25">
      <c r="A54" s="2"/>
      <c r="B54" s="4"/>
      <c r="C54" s="2" t="s">
        <v>71</v>
      </c>
      <c r="D54" s="19">
        <v>-2668</v>
      </c>
      <c r="E54" s="19">
        <v>-2476</v>
      </c>
      <c r="F54" s="19">
        <v>-2528</v>
      </c>
      <c r="G54" s="19">
        <v>-2678</v>
      </c>
      <c r="H54" s="19">
        <v>-2441</v>
      </c>
      <c r="I54" s="19">
        <v>-2511</v>
      </c>
      <c r="J54" s="19">
        <v>-2476</v>
      </c>
      <c r="K54" s="19">
        <v>-2441</v>
      </c>
      <c r="L54" s="19">
        <v>-2364</v>
      </c>
      <c r="M54" s="19">
        <v>-2261</v>
      </c>
      <c r="N54" s="19">
        <v>-2190</v>
      </c>
      <c r="O54" s="19">
        <v>-2115</v>
      </c>
      <c r="P54" s="19">
        <v>-2021</v>
      </c>
      <c r="Q54" s="19">
        <v>-1860</v>
      </c>
      <c r="R54" s="19">
        <v>-1910</v>
      </c>
      <c r="S54" s="19">
        <v>-1863</v>
      </c>
      <c r="T54" s="19">
        <v>-1876</v>
      </c>
      <c r="U54" s="19">
        <v>-1830</v>
      </c>
      <c r="Z54" s="19">
        <v>-1735</v>
      </c>
      <c r="AA54" s="19">
        <v>-3143</v>
      </c>
      <c r="AB54" s="19">
        <v>-1969</v>
      </c>
      <c r="AC54" s="19">
        <v>-2421</v>
      </c>
      <c r="AD54" s="19">
        <v>-2678</v>
      </c>
      <c r="AE54" s="19">
        <v>-2441</v>
      </c>
      <c r="AF54" s="19">
        <v>-2115</v>
      </c>
      <c r="AG54" s="19">
        <v>-1863</v>
      </c>
      <c r="AH54" s="16"/>
    </row>
    <row r="55" spans="1:34" s="19" customFormat="1" x14ac:dyDescent="0.25">
      <c r="A55" s="2"/>
      <c r="B55" s="4"/>
      <c r="C55" s="13" t="s">
        <v>72</v>
      </c>
      <c r="D55" s="32">
        <f t="shared" ref="D55:N55" si="90">SUM(D50:D54)</f>
        <v>859</v>
      </c>
      <c r="E55" s="32">
        <f t="shared" si="90"/>
        <v>1041</v>
      </c>
      <c r="F55" s="32">
        <f t="shared" si="90"/>
        <v>984</v>
      </c>
      <c r="G55" s="32">
        <f t="shared" si="90"/>
        <v>860</v>
      </c>
      <c r="H55" s="32">
        <f t="shared" si="90"/>
        <v>1019</v>
      </c>
      <c r="I55" s="32">
        <f t="shared" si="90"/>
        <v>976</v>
      </c>
      <c r="J55" s="32">
        <f t="shared" si="90"/>
        <v>1022</v>
      </c>
      <c r="K55" s="32">
        <f t="shared" si="90"/>
        <v>1019</v>
      </c>
      <c r="L55" s="32">
        <f t="shared" si="90"/>
        <v>1099</v>
      </c>
      <c r="M55" s="32">
        <f t="shared" si="90"/>
        <v>1211</v>
      </c>
      <c r="N55" s="32">
        <f t="shared" si="90"/>
        <v>1262</v>
      </c>
      <c r="O55" s="32">
        <f>SUM(O50:O54)</f>
        <v>1344</v>
      </c>
      <c r="P55" s="32">
        <f t="shared" ref="P55:U55" si="91">SUM(P50:P54)</f>
        <v>1344</v>
      </c>
      <c r="Q55" s="32">
        <f t="shared" si="91"/>
        <v>1500</v>
      </c>
      <c r="R55" s="32">
        <f t="shared" si="91"/>
        <v>1427</v>
      </c>
      <c r="S55" s="32">
        <f t="shared" si="91"/>
        <v>1455</v>
      </c>
      <c r="T55" s="32">
        <f t="shared" si="91"/>
        <v>1346</v>
      </c>
      <c r="U55" s="32">
        <f t="shared" si="91"/>
        <v>1380</v>
      </c>
      <c r="Z55" s="32">
        <f t="shared" ref="Z55:AA55" si="92">SUM(Z50:Z54)</f>
        <v>765</v>
      </c>
      <c r="AA55" s="32">
        <f t="shared" si="92"/>
        <v>1223</v>
      </c>
      <c r="AB55" s="32">
        <f>SUM(AB50:AB54)</f>
        <v>886</v>
      </c>
      <c r="AC55" s="32">
        <f>SUM(AC50:AC54)</f>
        <v>483</v>
      </c>
      <c r="AD55" s="32">
        <f t="shared" ref="AD55" si="93">SUM(AD50:AD54)</f>
        <v>860</v>
      </c>
      <c r="AE55" s="32">
        <f t="shared" ref="AE55" si="94">SUM(AE50:AE54)</f>
        <v>1019</v>
      </c>
      <c r="AF55" s="32">
        <f>SUM(AF50:AF54)</f>
        <v>1344</v>
      </c>
      <c r="AG55" s="32">
        <f t="shared" ref="AG55" si="95">SUM(AG50:AG54)</f>
        <v>1455</v>
      </c>
      <c r="AH55" s="16"/>
    </row>
    <row r="56" spans="1:34" s="19" customFormat="1" x14ac:dyDescent="0.25">
      <c r="A56" s="2"/>
      <c r="B56" s="4"/>
      <c r="C56" s="2" t="s">
        <v>73</v>
      </c>
      <c r="D56" s="19">
        <v>71</v>
      </c>
      <c r="E56" s="19">
        <v>88</v>
      </c>
      <c r="F56" s="19">
        <v>91</v>
      </c>
      <c r="G56" s="19">
        <v>71</v>
      </c>
      <c r="H56" s="19">
        <v>78</v>
      </c>
      <c r="I56" s="19">
        <v>115</v>
      </c>
      <c r="J56" s="19">
        <v>131</v>
      </c>
      <c r="K56" s="19">
        <v>78</v>
      </c>
      <c r="L56" s="19">
        <v>43</v>
      </c>
      <c r="M56" s="19">
        <v>130</v>
      </c>
      <c r="N56" s="19">
        <v>154</v>
      </c>
      <c r="O56" s="19">
        <v>103</v>
      </c>
      <c r="P56" s="19">
        <v>79</v>
      </c>
      <c r="Q56" s="19">
        <v>117</v>
      </c>
      <c r="R56" s="19">
        <v>145</v>
      </c>
      <c r="S56" s="19">
        <v>55</v>
      </c>
      <c r="T56" s="19">
        <v>93</v>
      </c>
      <c r="U56" s="19">
        <v>137</v>
      </c>
      <c r="Z56" s="19">
        <v>83</v>
      </c>
      <c r="AA56" s="19">
        <v>77</v>
      </c>
      <c r="AB56" s="19">
        <v>90</v>
      </c>
      <c r="AC56" s="19">
        <v>72</v>
      </c>
      <c r="AD56" s="19">
        <v>71</v>
      </c>
      <c r="AE56" s="19">
        <v>78</v>
      </c>
      <c r="AF56" s="19">
        <v>103</v>
      </c>
      <c r="AG56" s="19">
        <v>55</v>
      </c>
      <c r="AH56" s="16"/>
    </row>
    <row r="57" spans="1:34" s="19" customFormat="1" x14ac:dyDescent="0.25">
      <c r="A57" s="2"/>
      <c r="B57" s="4"/>
      <c r="C57" s="2" t="s">
        <v>74</v>
      </c>
      <c r="D57" s="19">
        <v>1970</v>
      </c>
      <c r="E57" s="19">
        <v>1780</v>
      </c>
      <c r="F57" s="19">
        <v>1787</v>
      </c>
      <c r="G57" s="19">
        <v>1970</v>
      </c>
      <c r="H57" s="19">
        <v>1721</v>
      </c>
      <c r="I57" s="19">
        <v>2009</v>
      </c>
      <c r="J57" s="19">
        <v>1997</v>
      </c>
      <c r="K57" s="19">
        <v>1721</v>
      </c>
      <c r="L57" s="19">
        <v>1652</v>
      </c>
      <c r="M57" s="19">
        <v>1526</v>
      </c>
      <c r="N57" s="19">
        <v>1547</v>
      </c>
      <c r="O57" s="19">
        <v>1440</v>
      </c>
      <c r="P57" s="19">
        <v>1427</v>
      </c>
      <c r="Q57" s="19">
        <v>1458</v>
      </c>
      <c r="R57" s="19">
        <v>1450</v>
      </c>
      <c r="S57" s="19">
        <v>1480</v>
      </c>
      <c r="T57" s="19">
        <v>1394</v>
      </c>
      <c r="U57" s="19">
        <v>1394</v>
      </c>
      <c r="Z57" s="19">
        <v>1787</v>
      </c>
      <c r="AA57" s="19">
        <v>1293</v>
      </c>
      <c r="AB57" s="19">
        <v>1938</v>
      </c>
      <c r="AC57" s="19">
        <v>2090</v>
      </c>
      <c r="AD57" s="19">
        <v>1970</v>
      </c>
      <c r="AE57" s="19">
        <v>1721</v>
      </c>
      <c r="AF57" s="19">
        <v>1440</v>
      </c>
      <c r="AG57" s="19">
        <v>1480</v>
      </c>
      <c r="AH57" s="16"/>
    </row>
    <row r="58" spans="1:34" s="19" customFormat="1" x14ac:dyDescent="0.25">
      <c r="A58" s="2"/>
      <c r="B58" s="4"/>
      <c r="C58" s="2" t="s">
        <v>75</v>
      </c>
      <c r="D58" s="19">
        <v>3666</v>
      </c>
      <c r="E58" s="19">
        <v>3685</v>
      </c>
      <c r="F58" s="19">
        <v>3690</v>
      </c>
      <c r="G58" s="19">
        <v>3666</v>
      </c>
      <c r="H58" s="19">
        <v>4009</v>
      </c>
      <c r="I58" s="19">
        <v>3894</v>
      </c>
      <c r="J58" s="19">
        <v>3878</v>
      </c>
      <c r="K58" s="19">
        <v>4009</v>
      </c>
      <c r="L58" s="19">
        <v>4105</v>
      </c>
      <c r="M58" s="19">
        <v>4013</v>
      </c>
      <c r="N58" s="19">
        <v>4110</v>
      </c>
      <c r="O58" s="19">
        <v>4090</v>
      </c>
      <c r="P58" s="19">
        <v>4100</v>
      </c>
      <c r="Q58" s="19">
        <v>4191</v>
      </c>
      <c r="R58" s="19">
        <v>4117</v>
      </c>
      <c r="S58" s="19">
        <v>4189</v>
      </c>
      <c r="T58" s="19">
        <v>3944</v>
      </c>
      <c r="U58" s="19">
        <v>3998</v>
      </c>
      <c r="Z58" s="19">
        <v>2949</v>
      </c>
      <c r="AA58" s="19">
        <v>3521</v>
      </c>
      <c r="AB58" s="19">
        <v>4167</v>
      </c>
      <c r="AC58" s="19">
        <v>3632</v>
      </c>
      <c r="AD58" s="19">
        <v>3666</v>
      </c>
      <c r="AE58" s="19">
        <v>4009</v>
      </c>
      <c r="AF58" s="19">
        <v>4090</v>
      </c>
      <c r="AG58" s="19">
        <v>4189</v>
      </c>
      <c r="AH58" s="16"/>
    </row>
    <row r="59" spans="1:34" s="19" customFormat="1" x14ac:dyDescent="0.25">
      <c r="A59" s="2"/>
      <c r="B59" s="4"/>
      <c r="C59" s="2" t="s">
        <v>76</v>
      </c>
      <c r="D59" s="19">
        <v>19</v>
      </c>
      <c r="E59" s="19">
        <v>0</v>
      </c>
      <c r="F59" s="19">
        <v>0</v>
      </c>
      <c r="G59" s="19">
        <v>0</v>
      </c>
      <c r="H59" s="19">
        <v>17</v>
      </c>
      <c r="I59" s="19">
        <v>22</v>
      </c>
      <c r="J59" s="19">
        <v>0</v>
      </c>
      <c r="K59" s="19">
        <v>0</v>
      </c>
      <c r="L59" s="19">
        <v>0</v>
      </c>
      <c r="M59" s="19">
        <v>14</v>
      </c>
      <c r="N59" s="19">
        <v>4</v>
      </c>
      <c r="O59" s="19">
        <v>4</v>
      </c>
      <c r="P59" s="19">
        <v>6</v>
      </c>
      <c r="Q59" s="19">
        <v>5</v>
      </c>
      <c r="R59" s="19">
        <v>1</v>
      </c>
      <c r="S59" s="19">
        <v>1</v>
      </c>
      <c r="T59" s="19">
        <v>3</v>
      </c>
      <c r="U59" s="19">
        <v>1</v>
      </c>
      <c r="Z59" s="19">
        <v>0</v>
      </c>
      <c r="AA59" s="19">
        <v>0</v>
      </c>
      <c r="AB59" s="19">
        <v>36</v>
      </c>
      <c r="AC59" s="19">
        <v>1</v>
      </c>
      <c r="AD59" s="19">
        <v>0</v>
      </c>
      <c r="AE59" s="19">
        <v>0</v>
      </c>
      <c r="AF59" s="19">
        <v>4</v>
      </c>
      <c r="AG59" s="19">
        <v>1</v>
      </c>
      <c r="AH59" s="16"/>
    </row>
    <row r="60" spans="1:34" s="19" customFormat="1" x14ac:dyDescent="0.25">
      <c r="A60" s="2"/>
      <c r="B60" s="4"/>
      <c r="C60" s="2" t="s">
        <v>74</v>
      </c>
      <c r="D60" s="19">
        <v>869</v>
      </c>
      <c r="E60" s="19">
        <v>0</v>
      </c>
      <c r="F60" s="19">
        <v>0</v>
      </c>
      <c r="G60" s="19">
        <v>0</v>
      </c>
      <c r="H60" s="19">
        <v>929</v>
      </c>
      <c r="I60" s="19">
        <v>932</v>
      </c>
      <c r="J60" s="19">
        <v>24</v>
      </c>
      <c r="K60" s="19">
        <v>17</v>
      </c>
      <c r="L60" s="19">
        <v>16</v>
      </c>
      <c r="M60" s="19">
        <v>940</v>
      </c>
      <c r="N60" s="19">
        <v>14</v>
      </c>
      <c r="O60" s="19">
        <v>12</v>
      </c>
      <c r="P60" s="19">
        <v>10</v>
      </c>
      <c r="Q60" s="19">
        <v>10</v>
      </c>
      <c r="R60" s="19">
        <v>10</v>
      </c>
      <c r="S60" s="19">
        <v>9</v>
      </c>
      <c r="T60" s="19">
        <v>9</v>
      </c>
      <c r="U60" s="19">
        <v>9</v>
      </c>
      <c r="Z60" s="19">
        <v>60</v>
      </c>
      <c r="AA60" s="19">
        <v>8</v>
      </c>
      <c r="AB60" s="19">
        <v>0</v>
      </c>
      <c r="AC60" s="19">
        <v>4</v>
      </c>
      <c r="AD60" s="19">
        <v>0</v>
      </c>
      <c r="AE60" s="19">
        <v>17</v>
      </c>
      <c r="AF60" s="19">
        <v>12</v>
      </c>
      <c r="AG60" s="19">
        <v>9</v>
      </c>
      <c r="AH60" s="16"/>
    </row>
    <row r="61" spans="1:34" s="19" customFormat="1" x14ac:dyDescent="0.25">
      <c r="A61" s="2"/>
      <c r="B61" s="4"/>
      <c r="C61" s="2" t="s">
        <v>75</v>
      </c>
      <c r="D61" s="19">
        <v>584</v>
      </c>
      <c r="E61" s="19">
        <v>11</v>
      </c>
      <c r="F61" s="19">
        <v>14</v>
      </c>
      <c r="G61" s="19">
        <v>19</v>
      </c>
      <c r="H61" s="19">
        <v>548</v>
      </c>
      <c r="I61" s="19">
        <v>486</v>
      </c>
      <c r="J61" s="19">
        <v>910</v>
      </c>
      <c r="K61" s="19">
        <v>929</v>
      </c>
      <c r="L61" s="19">
        <v>947</v>
      </c>
      <c r="M61" s="19">
        <v>506</v>
      </c>
      <c r="N61" s="19">
        <v>957</v>
      </c>
      <c r="O61" s="19">
        <v>959</v>
      </c>
      <c r="P61" s="19">
        <v>963</v>
      </c>
      <c r="Q61" s="19">
        <v>975</v>
      </c>
      <c r="R61" s="19">
        <v>970</v>
      </c>
      <c r="S61" s="19">
        <v>987</v>
      </c>
      <c r="T61" s="19">
        <v>967</v>
      </c>
      <c r="U61" s="19">
        <v>970</v>
      </c>
      <c r="Z61" s="19">
        <v>611</v>
      </c>
      <c r="AA61" s="19">
        <v>767</v>
      </c>
      <c r="AB61" s="19">
        <v>795</v>
      </c>
      <c r="AC61" s="19">
        <v>820</v>
      </c>
      <c r="AD61" s="19">
        <v>19</v>
      </c>
      <c r="AE61" s="19">
        <v>929</v>
      </c>
      <c r="AF61" s="19">
        <v>959</v>
      </c>
      <c r="AG61" s="19">
        <v>987</v>
      </c>
      <c r="AH61" s="16"/>
    </row>
    <row r="62" spans="1:34" s="19" customFormat="1" x14ac:dyDescent="0.25">
      <c r="A62" s="2"/>
      <c r="B62" s="4"/>
      <c r="C62" s="2" t="s">
        <v>76</v>
      </c>
      <c r="D62" s="19">
        <v>116</v>
      </c>
      <c r="E62" s="19">
        <v>853</v>
      </c>
      <c r="F62" s="19">
        <v>860</v>
      </c>
      <c r="G62" s="19">
        <v>869</v>
      </c>
      <c r="H62" s="19">
        <v>130</v>
      </c>
      <c r="I62" s="19">
        <v>94</v>
      </c>
      <c r="J62" s="19">
        <v>509</v>
      </c>
      <c r="K62" s="19">
        <v>0</v>
      </c>
      <c r="L62" s="19">
        <v>0</v>
      </c>
      <c r="M62" s="19">
        <v>80</v>
      </c>
      <c r="N62" s="19">
        <v>531</v>
      </c>
      <c r="O62" s="19">
        <v>6</v>
      </c>
      <c r="P62" s="19">
        <v>6</v>
      </c>
      <c r="Q62" s="19">
        <v>2</v>
      </c>
      <c r="R62" s="19">
        <v>0</v>
      </c>
      <c r="S62" s="19">
        <v>3</v>
      </c>
      <c r="T62" s="19">
        <v>0</v>
      </c>
      <c r="U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869</v>
      </c>
      <c r="AE62" s="19">
        <v>0</v>
      </c>
      <c r="AF62" s="19">
        <v>6</v>
      </c>
      <c r="AG62" s="19">
        <v>3</v>
      </c>
      <c r="AH62" s="16"/>
    </row>
    <row r="63" spans="1:34" s="19" customFormat="1" x14ac:dyDescent="0.25">
      <c r="A63" s="2"/>
      <c r="B63" s="4"/>
      <c r="C63" s="2" t="s">
        <v>77</v>
      </c>
      <c r="D63" s="19">
        <v>6</v>
      </c>
      <c r="E63" s="19">
        <v>439</v>
      </c>
      <c r="F63" s="19">
        <v>471</v>
      </c>
      <c r="G63" s="19">
        <v>584</v>
      </c>
      <c r="H63" s="19">
        <v>2</v>
      </c>
      <c r="I63" s="19">
        <v>6</v>
      </c>
      <c r="J63" s="19">
        <v>116</v>
      </c>
      <c r="K63" s="19">
        <v>548</v>
      </c>
      <c r="L63" s="19">
        <v>564</v>
      </c>
      <c r="M63" s="19">
        <v>0</v>
      </c>
      <c r="N63" s="19">
        <v>68</v>
      </c>
      <c r="O63" s="19">
        <v>653</v>
      </c>
      <c r="P63" s="19">
        <v>644</v>
      </c>
      <c r="Q63" s="19">
        <v>627</v>
      </c>
      <c r="R63" s="19">
        <v>622</v>
      </c>
      <c r="S63" s="19">
        <v>724</v>
      </c>
      <c r="T63" s="19">
        <v>698</v>
      </c>
      <c r="U63" s="19">
        <v>667</v>
      </c>
      <c r="Z63" s="19">
        <v>431</v>
      </c>
      <c r="AA63" s="19">
        <v>491</v>
      </c>
      <c r="AB63" s="19">
        <v>441</v>
      </c>
      <c r="AC63" s="19">
        <v>487</v>
      </c>
      <c r="AD63" s="19">
        <v>584</v>
      </c>
      <c r="AE63" s="19">
        <v>548</v>
      </c>
      <c r="AF63" s="19">
        <v>653</v>
      </c>
      <c r="AG63" s="19">
        <v>724</v>
      </c>
      <c r="AH63" s="16"/>
    </row>
    <row r="64" spans="1:34" s="19" customFormat="1" x14ac:dyDescent="0.25">
      <c r="A64" s="2"/>
      <c r="B64" s="4"/>
      <c r="C64" s="2" t="s">
        <v>78</v>
      </c>
      <c r="D64" s="19">
        <v>91</v>
      </c>
      <c r="E64" s="19">
        <v>132</v>
      </c>
      <c r="F64" s="19">
        <v>130</v>
      </c>
      <c r="G64" s="19">
        <v>116</v>
      </c>
      <c r="H64" s="19">
        <v>115</v>
      </c>
      <c r="I64" s="19">
        <v>90</v>
      </c>
      <c r="J64" s="19">
        <v>0</v>
      </c>
      <c r="K64" s="19">
        <v>130</v>
      </c>
      <c r="L64" s="19">
        <v>125</v>
      </c>
      <c r="M64" s="19">
        <v>111</v>
      </c>
      <c r="N64" s="19">
        <v>0</v>
      </c>
      <c r="O64" s="19">
        <v>178</v>
      </c>
      <c r="P64" s="19">
        <v>121</v>
      </c>
      <c r="Q64" s="19">
        <v>138</v>
      </c>
      <c r="R64" s="19">
        <v>133</v>
      </c>
      <c r="S64" s="19">
        <v>100</v>
      </c>
      <c r="T64" s="19">
        <v>82</v>
      </c>
      <c r="U64" s="19">
        <v>89</v>
      </c>
      <c r="Z64" s="19">
        <v>107</v>
      </c>
      <c r="AA64" s="19">
        <v>122</v>
      </c>
      <c r="AB64" s="19">
        <v>119</v>
      </c>
      <c r="AC64" s="19">
        <v>138</v>
      </c>
      <c r="AD64" s="19">
        <v>116</v>
      </c>
      <c r="AE64" s="19">
        <v>130</v>
      </c>
      <c r="AF64" s="19">
        <v>178</v>
      </c>
      <c r="AG64" s="19">
        <v>100</v>
      </c>
      <c r="AH64" s="16"/>
    </row>
    <row r="65" spans="1:34" s="19" customFormat="1" x14ac:dyDescent="0.25">
      <c r="A65" s="2"/>
      <c r="B65" s="4"/>
      <c r="C65" s="2" t="s">
        <v>79</v>
      </c>
      <c r="D65" s="19">
        <v>423</v>
      </c>
      <c r="E65" s="19">
        <v>0</v>
      </c>
      <c r="F65" s="19">
        <v>0</v>
      </c>
      <c r="G65" s="19">
        <v>6</v>
      </c>
      <c r="H65" s="19">
        <v>415</v>
      </c>
      <c r="I65" s="19">
        <v>384</v>
      </c>
      <c r="J65" s="19">
        <v>78</v>
      </c>
      <c r="K65" s="19">
        <v>2</v>
      </c>
      <c r="L65" s="19">
        <v>0</v>
      </c>
      <c r="M65" s="19">
        <v>375</v>
      </c>
      <c r="N65" s="19">
        <v>87</v>
      </c>
      <c r="O65" s="19">
        <v>74</v>
      </c>
      <c r="P65" s="19">
        <v>72</v>
      </c>
      <c r="Q65" s="19">
        <v>0</v>
      </c>
      <c r="R65" s="19">
        <v>0</v>
      </c>
      <c r="S65" s="19">
        <v>125</v>
      </c>
      <c r="T65" s="19">
        <v>87</v>
      </c>
      <c r="U65" s="19">
        <v>0</v>
      </c>
      <c r="Z65" s="19">
        <v>46</v>
      </c>
      <c r="AA65" s="19">
        <v>39</v>
      </c>
      <c r="AB65" s="19">
        <v>40</v>
      </c>
      <c r="AC65" s="19">
        <v>4</v>
      </c>
      <c r="AD65" s="19">
        <v>6</v>
      </c>
      <c r="AE65" s="19">
        <v>2</v>
      </c>
      <c r="AF65" s="19">
        <v>74</v>
      </c>
      <c r="AG65" s="19">
        <v>125</v>
      </c>
      <c r="AH65" s="16"/>
    </row>
    <row r="66" spans="1:34" s="19" customFormat="1" x14ac:dyDescent="0.25">
      <c r="A66" s="2"/>
      <c r="B66" s="4"/>
      <c r="C66" s="2" t="s">
        <v>80</v>
      </c>
      <c r="D66" s="19">
        <v>0</v>
      </c>
      <c r="E66" s="19">
        <v>101</v>
      </c>
      <c r="F66" s="19">
        <v>73</v>
      </c>
      <c r="G66" s="19">
        <v>91</v>
      </c>
      <c r="H66" s="19">
        <v>0</v>
      </c>
      <c r="I66" s="19">
        <v>0</v>
      </c>
      <c r="J66" s="19">
        <v>342</v>
      </c>
      <c r="K66" s="19">
        <v>115</v>
      </c>
      <c r="L66" s="19">
        <v>100</v>
      </c>
      <c r="M66" s="19">
        <v>0</v>
      </c>
      <c r="N66" s="19">
        <v>343</v>
      </c>
      <c r="O66" s="19">
        <v>112</v>
      </c>
      <c r="P66" s="19">
        <v>100</v>
      </c>
      <c r="Q66" s="19">
        <v>118</v>
      </c>
      <c r="R66" s="19">
        <v>94</v>
      </c>
      <c r="S66" s="19">
        <v>134</v>
      </c>
      <c r="T66" s="19">
        <v>97</v>
      </c>
      <c r="U66" s="19">
        <v>106</v>
      </c>
      <c r="Z66" s="19">
        <v>98</v>
      </c>
      <c r="AA66" s="19">
        <v>127</v>
      </c>
      <c r="AB66" s="19">
        <v>145</v>
      </c>
      <c r="AC66" s="19">
        <v>225</v>
      </c>
      <c r="AD66" s="19">
        <v>91</v>
      </c>
      <c r="AE66" s="19">
        <v>115</v>
      </c>
      <c r="AF66" s="19">
        <v>112</v>
      </c>
      <c r="AG66" s="19">
        <v>134</v>
      </c>
      <c r="AH66" s="16"/>
    </row>
    <row r="67" spans="1:34" s="19" customFormat="1" x14ac:dyDescent="0.25">
      <c r="A67" s="2"/>
      <c r="B67" s="4"/>
      <c r="C67" s="2" t="s">
        <v>81</v>
      </c>
      <c r="D67" s="19">
        <v>0</v>
      </c>
      <c r="E67" s="19">
        <v>294</v>
      </c>
      <c r="F67" s="19">
        <v>331</v>
      </c>
      <c r="G67" s="19">
        <v>423</v>
      </c>
      <c r="H67" s="19">
        <v>0</v>
      </c>
      <c r="I67" s="19">
        <v>0</v>
      </c>
      <c r="J67" s="19">
        <v>0</v>
      </c>
      <c r="K67" s="19">
        <v>415</v>
      </c>
      <c r="L67" s="19">
        <v>419</v>
      </c>
      <c r="M67" s="19">
        <v>0</v>
      </c>
      <c r="O67" s="19">
        <v>360</v>
      </c>
      <c r="P67" s="19">
        <v>396</v>
      </c>
      <c r="Q67" s="19">
        <v>308</v>
      </c>
      <c r="R67" s="19">
        <v>322</v>
      </c>
      <c r="S67" s="19">
        <v>377</v>
      </c>
      <c r="T67" s="19">
        <v>376</v>
      </c>
      <c r="U67" s="19">
        <v>313</v>
      </c>
      <c r="Z67" s="19">
        <v>346</v>
      </c>
      <c r="AA67" s="19">
        <v>322</v>
      </c>
      <c r="AB67" s="19">
        <v>424</v>
      </c>
      <c r="AC67" s="19">
        <v>369</v>
      </c>
      <c r="AD67" s="19">
        <v>423</v>
      </c>
      <c r="AE67" s="19">
        <v>415</v>
      </c>
      <c r="AF67" s="19">
        <v>360</v>
      </c>
      <c r="AG67" s="19">
        <v>377</v>
      </c>
      <c r="AH67" s="16"/>
    </row>
    <row r="68" spans="1:34" s="19" customFormat="1" x14ac:dyDescent="0.25">
      <c r="A68" s="2"/>
      <c r="B68" s="4"/>
      <c r="C68" s="13" t="s">
        <v>82</v>
      </c>
      <c r="D68" s="32">
        <f t="shared" ref="D68:N68" si="96">SUM(D56:D67)</f>
        <v>7815</v>
      </c>
      <c r="E68" s="32">
        <f t="shared" si="96"/>
        <v>7383</v>
      </c>
      <c r="F68" s="32">
        <f t="shared" si="96"/>
        <v>7447</v>
      </c>
      <c r="G68" s="32">
        <f t="shared" si="96"/>
        <v>7815</v>
      </c>
      <c r="H68" s="32">
        <f t="shared" si="96"/>
        <v>7964</v>
      </c>
      <c r="I68" s="32">
        <f t="shared" si="96"/>
        <v>8032</v>
      </c>
      <c r="J68" s="32">
        <f t="shared" si="96"/>
        <v>7985</v>
      </c>
      <c r="K68" s="32">
        <f t="shared" si="96"/>
        <v>7964</v>
      </c>
      <c r="L68" s="32">
        <f t="shared" si="96"/>
        <v>7971</v>
      </c>
      <c r="M68" s="32">
        <f t="shared" si="96"/>
        <v>7695</v>
      </c>
      <c r="N68" s="32">
        <f t="shared" si="96"/>
        <v>7815</v>
      </c>
      <c r="O68" s="32">
        <f>SUM(O56:O67)</f>
        <v>7991</v>
      </c>
      <c r="P68" s="32">
        <f t="shared" ref="P68:S68" si="97">SUM(P56:P67)</f>
        <v>7924</v>
      </c>
      <c r="Q68" s="32">
        <f t="shared" si="97"/>
        <v>7949</v>
      </c>
      <c r="R68" s="32">
        <f t="shared" si="97"/>
        <v>7864</v>
      </c>
      <c r="S68" s="32">
        <f t="shared" si="97"/>
        <v>8184</v>
      </c>
      <c r="T68" s="32">
        <f t="shared" ref="T68:U68" si="98">SUM(T56:T67)</f>
        <v>7750</v>
      </c>
      <c r="U68" s="32">
        <f t="shared" si="98"/>
        <v>7684</v>
      </c>
      <c r="Z68" s="32">
        <f t="shared" ref="Z68:AC68" si="99">SUM(Z56:Z67)</f>
        <v>6518</v>
      </c>
      <c r="AA68" s="32">
        <f t="shared" si="99"/>
        <v>6767</v>
      </c>
      <c r="AB68" s="32">
        <f t="shared" si="99"/>
        <v>8195</v>
      </c>
      <c r="AC68" s="32">
        <f t="shared" si="99"/>
        <v>7842</v>
      </c>
      <c r="AD68" s="32">
        <f t="shared" ref="AD68" si="100">SUM(AD56:AD67)</f>
        <v>7815</v>
      </c>
      <c r="AE68" s="32">
        <f t="shared" ref="AE68" si="101">SUM(AE56:AE67)</f>
        <v>7964</v>
      </c>
      <c r="AF68" s="32">
        <f>SUM(AF56:AF67)</f>
        <v>7991</v>
      </c>
      <c r="AG68" s="32">
        <f t="shared" ref="AG68" si="102">SUM(AG56:AG67)</f>
        <v>8184</v>
      </c>
      <c r="AH68" s="16"/>
    </row>
    <row r="69" spans="1:34" s="19" customFormat="1" x14ac:dyDescent="0.25">
      <c r="A69" s="2"/>
      <c r="B69" s="4"/>
      <c r="C69" s="1" t="s">
        <v>83</v>
      </c>
      <c r="D69" s="18">
        <f t="shared" ref="D69:N69" si="103">D55+D68</f>
        <v>8674</v>
      </c>
      <c r="E69" s="18">
        <f t="shared" si="103"/>
        <v>8424</v>
      </c>
      <c r="F69" s="18">
        <f t="shared" si="103"/>
        <v>8431</v>
      </c>
      <c r="G69" s="18">
        <f t="shared" si="103"/>
        <v>8675</v>
      </c>
      <c r="H69" s="18">
        <f t="shared" si="103"/>
        <v>8983</v>
      </c>
      <c r="I69" s="18">
        <f t="shared" si="103"/>
        <v>9008</v>
      </c>
      <c r="J69" s="18">
        <f t="shared" si="103"/>
        <v>9007</v>
      </c>
      <c r="K69" s="18">
        <f t="shared" si="103"/>
        <v>8983</v>
      </c>
      <c r="L69" s="18">
        <f t="shared" si="103"/>
        <v>9070</v>
      </c>
      <c r="M69" s="18">
        <f t="shared" si="103"/>
        <v>8906</v>
      </c>
      <c r="N69" s="18">
        <f t="shared" si="103"/>
        <v>9077</v>
      </c>
      <c r="O69" s="18">
        <f>O55+O68</f>
        <v>9335</v>
      </c>
      <c r="P69" s="18">
        <f t="shared" ref="P69:S69" si="104">P55+P68</f>
        <v>9268</v>
      </c>
      <c r="Q69" s="18">
        <f t="shared" si="104"/>
        <v>9449</v>
      </c>
      <c r="R69" s="18">
        <f t="shared" si="104"/>
        <v>9291</v>
      </c>
      <c r="S69" s="18">
        <f t="shared" si="104"/>
        <v>9639</v>
      </c>
      <c r="T69" s="18">
        <f t="shared" ref="T69:U69" si="105">T55+T68</f>
        <v>9096</v>
      </c>
      <c r="U69" s="18">
        <f t="shared" si="105"/>
        <v>9064</v>
      </c>
      <c r="Z69" s="18">
        <f t="shared" ref="Z69:AC69" si="106">Z55+Z68</f>
        <v>7283</v>
      </c>
      <c r="AA69" s="18">
        <f t="shared" si="106"/>
        <v>7990</v>
      </c>
      <c r="AB69" s="18">
        <f t="shared" si="106"/>
        <v>9081</v>
      </c>
      <c r="AC69" s="18">
        <f t="shared" si="106"/>
        <v>8325</v>
      </c>
      <c r="AD69" s="18">
        <f t="shared" ref="AD69" si="107">AD55+AD68</f>
        <v>8675</v>
      </c>
      <c r="AE69" s="18">
        <f t="shared" ref="AE69" si="108">AE55+AE68</f>
        <v>8983</v>
      </c>
      <c r="AF69" s="18">
        <f>AF55+AF68</f>
        <v>9335</v>
      </c>
      <c r="AG69" s="18">
        <f t="shared" ref="AG69" si="109">AG55+AG68</f>
        <v>9639</v>
      </c>
      <c r="AH69" s="16"/>
    </row>
    <row r="70" spans="1:34" s="19" customFormat="1" x14ac:dyDescent="0.25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P70" s="2"/>
      <c r="Q70" s="2"/>
      <c r="R70" s="2"/>
      <c r="S70" s="2"/>
      <c r="AH70" s="16"/>
    </row>
    <row r="71" spans="1:34" s="19" customFormat="1" x14ac:dyDescent="0.25">
      <c r="A71" s="2"/>
      <c r="B71" s="4"/>
      <c r="C71" s="3" t="s">
        <v>36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P71" s="2"/>
      <c r="Q71" s="2"/>
      <c r="R71" s="2"/>
      <c r="S71" s="2"/>
      <c r="AH71" s="16"/>
    </row>
    <row r="72" spans="1:34" s="19" customFormat="1" x14ac:dyDescent="0.25">
      <c r="A72" s="2"/>
      <c r="B72" s="4"/>
      <c r="C72" s="2" t="s">
        <v>118</v>
      </c>
      <c r="D72" s="19">
        <f t="shared" ref="D72:U72" si="110">D12</f>
        <v>-54</v>
      </c>
      <c r="E72" s="19">
        <f t="shared" si="110"/>
        <v>22</v>
      </c>
      <c r="F72" s="19">
        <f t="shared" si="110"/>
        <v>-55</v>
      </c>
      <c r="G72" s="19">
        <f t="shared" si="110"/>
        <v>-175</v>
      </c>
      <c r="H72" s="19">
        <f t="shared" si="110"/>
        <v>84</v>
      </c>
      <c r="I72" s="19">
        <f t="shared" si="110"/>
        <v>124</v>
      </c>
      <c r="J72" s="19">
        <f t="shared" si="110"/>
        <v>49</v>
      </c>
      <c r="K72" s="19">
        <f t="shared" si="110"/>
        <v>56</v>
      </c>
      <c r="L72" s="19">
        <f t="shared" si="110"/>
        <v>100</v>
      </c>
      <c r="M72" s="19">
        <f t="shared" si="110"/>
        <v>134</v>
      </c>
      <c r="N72" s="19">
        <f t="shared" si="110"/>
        <v>96</v>
      </c>
      <c r="O72" s="19">
        <f t="shared" si="110"/>
        <v>103</v>
      </c>
      <c r="P72" s="19">
        <f t="shared" si="110"/>
        <v>123</v>
      </c>
      <c r="Q72" s="19">
        <f t="shared" si="110"/>
        <v>205</v>
      </c>
      <c r="R72" s="19">
        <f t="shared" si="110"/>
        <v>128</v>
      </c>
      <c r="S72" s="19">
        <f t="shared" si="110"/>
        <v>159</v>
      </c>
      <c r="T72" s="19">
        <f t="shared" si="110"/>
        <v>137</v>
      </c>
      <c r="U72" s="19">
        <f t="shared" si="110"/>
        <v>249</v>
      </c>
      <c r="Z72" s="19">
        <f t="shared" ref="Z72:AC72" si="111">Z12</f>
        <v>23</v>
      </c>
      <c r="AA72" s="19">
        <f t="shared" si="111"/>
        <v>247</v>
      </c>
      <c r="AB72" s="19">
        <f t="shared" si="111"/>
        <v>-247</v>
      </c>
      <c r="AC72" s="19">
        <f t="shared" si="111"/>
        <v>-523</v>
      </c>
      <c r="AD72" s="19">
        <f t="shared" ref="AD72:AF72" si="112">AD12</f>
        <v>-262</v>
      </c>
      <c r="AE72" s="19">
        <f t="shared" si="112"/>
        <v>313</v>
      </c>
      <c r="AF72" s="19">
        <f t="shared" si="112"/>
        <v>433</v>
      </c>
      <c r="AG72" s="19">
        <f>AG12</f>
        <v>615</v>
      </c>
      <c r="AH72" s="16"/>
    </row>
    <row r="73" spans="1:34" s="19" customFormat="1" x14ac:dyDescent="0.25">
      <c r="A73" s="2"/>
      <c r="B73" s="4"/>
      <c r="C73" s="2" t="s">
        <v>119</v>
      </c>
      <c r="D73" s="2">
        <v>-54</v>
      </c>
      <c r="E73" s="2">
        <v>21</v>
      </c>
      <c r="F73" s="2">
        <v>-54</v>
      </c>
      <c r="G73" s="2">
        <v>-175</v>
      </c>
      <c r="H73" s="2">
        <v>84</v>
      </c>
      <c r="I73" s="2">
        <v>123</v>
      </c>
      <c r="J73" s="2">
        <v>49</v>
      </c>
      <c r="K73" s="2">
        <v>57</v>
      </c>
      <c r="L73" s="2">
        <v>100</v>
      </c>
      <c r="M73" s="2">
        <v>134</v>
      </c>
      <c r="N73" s="2">
        <v>96</v>
      </c>
      <c r="O73" s="19">
        <v>103</v>
      </c>
      <c r="P73" s="2">
        <v>123</v>
      </c>
      <c r="Q73" s="2">
        <v>206</v>
      </c>
      <c r="R73" s="2">
        <v>128</v>
      </c>
      <c r="S73" s="2">
        <v>159</v>
      </c>
      <c r="T73" s="19">
        <v>136</v>
      </c>
      <c r="U73" s="19">
        <v>249</v>
      </c>
      <c r="Z73" s="19">
        <v>24</v>
      </c>
      <c r="AA73" s="19">
        <v>247</v>
      </c>
      <c r="AB73" s="19">
        <v>-255</v>
      </c>
      <c r="AC73" s="19">
        <v>-522</v>
      </c>
      <c r="AD73" s="19">
        <v>-261</v>
      </c>
      <c r="AE73" s="19">
        <v>313</v>
      </c>
      <c r="AF73" s="19">
        <v>434</v>
      </c>
      <c r="AG73" s="19">
        <v>616</v>
      </c>
      <c r="AH73" s="16"/>
    </row>
    <row r="74" spans="1:34" s="19" customFormat="1" x14ac:dyDescent="0.25">
      <c r="A74" s="2"/>
      <c r="B74" s="4"/>
      <c r="C74" s="2" t="s">
        <v>120</v>
      </c>
      <c r="D74" s="2">
        <v>-22</v>
      </c>
      <c r="E74" s="2">
        <v>-4</v>
      </c>
      <c r="F74" s="2">
        <v>-5</v>
      </c>
      <c r="G74" s="2">
        <v>8</v>
      </c>
      <c r="H74" s="2">
        <v>-4</v>
      </c>
      <c r="I74" s="2">
        <v>-6</v>
      </c>
      <c r="J74" s="2">
        <v>-11</v>
      </c>
      <c r="K74" s="2">
        <v>18</v>
      </c>
      <c r="L74" s="2">
        <v>-8</v>
      </c>
      <c r="M74" s="2">
        <v>-6</v>
      </c>
      <c r="N74" s="2">
        <v>-6</v>
      </c>
      <c r="O74" s="19">
        <v>-4</v>
      </c>
      <c r="P74" s="2">
        <v>-5</v>
      </c>
      <c r="Q74" s="2">
        <v>-79</v>
      </c>
      <c r="R74" s="2">
        <v>-7</v>
      </c>
      <c r="S74" s="2">
        <v>2</v>
      </c>
      <c r="T74" s="19">
        <v>-42</v>
      </c>
      <c r="U74" s="19">
        <v>-95</v>
      </c>
      <c r="Z74" s="19">
        <v>-21</v>
      </c>
      <c r="AA74" s="19">
        <v>-60</v>
      </c>
      <c r="AB74" s="19">
        <v>-22</v>
      </c>
      <c r="AC74" s="19">
        <v>-32</v>
      </c>
      <c r="AD74" s="19">
        <v>-23</v>
      </c>
      <c r="AE74" s="19">
        <v>-4</v>
      </c>
      <c r="AF74" s="19">
        <v>-24</v>
      </c>
      <c r="AG74" s="19">
        <v>-90</v>
      </c>
      <c r="AH74" s="16"/>
    </row>
    <row r="75" spans="1:34" s="19" customFormat="1" x14ac:dyDescent="0.25">
      <c r="A75" s="2"/>
      <c r="B75" s="4"/>
      <c r="C75" s="2" t="s">
        <v>121</v>
      </c>
      <c r="D75" s="2">
        <v>0</v>
      </c>
      <c r="E75" s="2">
        <v>0</v>
      </c>
      <c r="F75" s="2">
        <v>0</v>
      </c>
      <c r="G75" s="2">
        <v>9</v>
      </c>
      <c r="H75" s="2">
        <v>0</v>
      </c>
      <c r="I75" s="2">
        <v>0</v>
      </c>
      <c r="J75" s="2">
        <v>-1</v>
      </c>
      <c r="K75" s="2">
        <v>1</v>
      </c>
      <c r="L75" s="2">
        <v>0</v>
      </c>
      <c r="M75" s="2">
        <v>0</v>
      </c>
      <c r="N75" s="2">
        <v>0</v>
      </c>
      <c r="O75" s="19">
        <v>-1</v>
      </c>
      <c r="P75" s="2">
        <v>-1</v>
      </c>
      <c r="Q75" s="2">
        <v>-1</v>
      </c>
      <c r="R75" s="2">
        <v>0</v>
      </c>
      <c r="S75" s="2">
        <v>-1</v>
      </c>
      <c r="T75" s="19">
        <v>0</v>
      </c>
      <c r="U75" s="19">
        <v>0</v>
      </c>
      <c r="Z75" s="19">
        <v>-1</v>
      </c>
      <c r="AA75" s="19">
        <v>0</v>
      </c>
      <c r="AB75" s="19">
        <v>-1</v>
      </c>
      <c r="AC75" s="19">
        <v>3</v>
      </c>
      <c r="AD75" s="19">
        <v>9</v>
      </c>
      <c r="AE75" s="19">
        <v>-1</v>
      </c>
      <c r="AF75" s="19">
        <v>-1</v>
      </c>
      <c r="AG75" s="19">
        <v>-2</v>
      </c>
      <c r="AH75" s="16"/>
    </row>
    <row r="76" spans="1:34" s="19" customFormat="1" x14ac:dyDescent="0.25">
      <c r="A76" s="2"/>
      <c r="B76" s="4"/>
      <c r="C76" s="2" t="s">
        <v>122</v>
      </c>
      <c r="D76" s="2">
        <v>274</v>
      </c>
      <c r="E76" s="2">
        <v>275</v>
      </c>
      <c r="F76" s="2">
        <v>276</v>
      </c>
      <c r="G76" s="2">
        <v>296</v>
      </c>
      <c r="H76" s="2">
        <v>298</v>
      </c>
      <c r="I76" s="2">
        <v>289</v>
      </c>
      <c r="J76" s="2">
        <v>289</v>
      </c>
      <c r="K76" s="2">
        <v>302</v>
      </c>
      <c r="L76" s="2">
        <v>303</v>
      </c>
      <c r="M76" s="2">
        <v>305</v>
      </c>
      <c r="N76" s="2">
        <v>296</v>
      </c>
      <c r="O76" s="19">
        <v>294</v>
      </c>
      <c r="P76" s="2">
        <v>300</v>
      </c>
      <c r="Q76" s="2">
        <v>306</v>
      </c>
      <c r="R76" s="2">
        <v>304</v>
      </c>
      <c r="S76" s="2">
        <v>307</v>
      </c>
      <c r="T76" s="19">
        <v>306</v>
      </c>
      <c r="U76" s="19">
        <v>297</v>
      </c>
      <c r="Z76" s="19">
        <v>1004</v>
      </c>
      <c r="AA76" s="19">
        <v>972</v>
      </c>
      <c r="AB76" s="19">
        <v>1123</v>
      </c>
      <c r="AC76" s="19">
        <v>1042</v>
      </c>
      <c r="AD76" s="19">
        <v>1120</v>
      </c>
      <c r="AE76" s="19">
        <v>1178</v>
      </c>
      <c r="AF76" s="19">
        <v>1198</v>
      </c>
      <c r="AG76" s="19">
        <v>1217</v>
      </c>
      <c r="AH76" s="16"/>
    </row>
    <row r="77" spans="1:34" s="19" customFormat="1" x14ac:dyDescent="0.25">
      <c r="A77" s="2"/>
      <c r="B77" s="4"/>
      <c r="C77" s="2" t="s">
        <v>136</v>
      </c>
      <c r="D77" s="2">
        <v>67</v>
      </c>
      <c r="E77" s="2">
        <v>46</v>
      </c>
      <c r="F77" s="2">
        <v>59</v>
      </c>
      <c r="G77" s="2">
        <v>109</v>
      </c>
      <c r="H77" s="2">
        <v>42</v>
      </c>
      <c r="I77" s="2">
        <v>78</v>
      </c>
      <c r="J77" s="2">
        <v>107</v>
      </c>
      <c r="K77" s="2">
        <v>67</v>
      </c>
      <c r="L77" s="2">
        <v>72</v>
      </c>
      <c r="M77" s="2">
        <v>82</v>
      </c>
      <c r="N77" s="2">
        <v>79</v>
      </c>
      <c r="O77" s="19">
        <v>77</v>
      </c>
      <c r="P77" s="2">
        <v>70</v>
      </c>
      <c r="Q77" s="2">
        <v>68</v>
      </c>
      <c r="R77" s="2">
        <v>70</v>
      </c>
      <c r="S77" s="2">
        <v>69</v>
      </c>
      <c r="T77" s="19">
        <v>84</v>
      </c>
      <c r="U77" s="19">
        <v>69</v>
      </c>
      <c r="Z77" s="19">
        <v>240</v>
      </c>
      <c r="AA77" s="19">
        <v>265</v>
      </c>
      <c r="AB77" s="19">
        <v>267</v>
      </c>
      <c r="AC77" s="19">
        <v>298</v>
      </c>
      <c r="AD77" s="19">
        <v>281</v>
      </c>
      <c r="AE77" s="19">
        <v>293</v>
      </c>
      <c r="AF77" s="19">
        <v>310</v>
      </c>
      <c r="AG77" s="19">
        <v>276</v>
      </c>
      <c r="AH77" s="16"/>
    </row>
    <row r="78" spans="1:34" s="19" customFormat="1" x14ac:dyDescent="0.25">
      <c r="A78" s="2"/>
      <c r="B78" s="4"/>
      <c r="C78" s="2" t="s">
        <v>123</v>
      </c>
      <c r="D78" s="19">
        <f>-4+11+7-116</f>
        <v>-102</v>
      </c>
      <c r="E78" s="19">
        <f>-3+15-13-112</f>
        <v>-113</v>
      </c>
      <c r="F78" s="19">
        <f>-4-26-1+59</f>
        <v>28</v>
      </c>
      <c r="G78" s="19">
        <f>12-7-14+154</f>
        <v>145</v>
      </c>
      <c r="H78" s="19">
        <f>-2+0-13-7</f>
        <v>-22</v>
      </c>
      <c r="I78" s="19">
        <f>2+21-9-119</f>
        <v>-105</v>
      </c>
      <c r="J78" s="19">
        <f>-13+23-2</f>
        <v>8</v>
      </c>
      <c r="K78" s="19">
        <f>3-18+13+101</f>
        <v>99</v>
      </c>
      <c r="L78" s="19">
        <f>-1+2-4+11</f>
        <v>8</v>
      </c>
      <c r="M78" s="19">
        <f>2+17-45-8</f>
        <v>-34</v>
      </c>
      <c r="N78" s="19">
        <f>-2-20-12-65</f>
        <v>-99</v>
      </c>
      <c r="O78" s="19">
        <f>2-23+110+72</f>
        <v>161</v>
      </c>
      <c r="P78" s="2">
        <f>-1+17-58+30</f>
        <v>-12</v>
      </c>
      <c r="Q78" s="2">
        <f>-5+7+18-89</f>
        <v>-69</v>
      </c>
      <c r="R78" s="2">
        <v>25</v>
      </c>
      <c r="S78" s="2">
        <f>-2-24-33+180</f>
        <v>121</v>
      </c>
      <c r="T78" s="19">
        <v>-8</v>
      </c>
      <c r="U78" s="18">
        <f>3+17+7-80</f>
        <v>-53</v>
      </c>
      <c r="V78" s="18"/>
      <c r="W78" s="18"/>
      <c r="X78" s="18"/>
      <c r="Z78" s="19">
        <v>-73</v>
      </c>
      <c r="AA78" s="19">
        <v>-79</v>
      </c>
      <c r="AB78" s="19">
        <v>1</v>
      </c>
      <c r="AC78" s="19">
        <v>131</v>
      </c>
      <c r="AD78" s="19">
        <v>-44</v>
      </c>
      <c r="AE78" s="19">
        <v>-21</v>
      </c>
      <c r="AF78" s="19">
        <v>36</v>
      </c>
      <c r="AG78" s="19">
        <v>65</v>
      </c>
      <c r="AH78" s="16"/>
    </row>
    <row r="79" spans="1:34" s="19" customFormat="1" x14ac:dyDescent="0.25">
      <c r="A79" s="2"/>
      <c r="B79" s="4"/>
      <c r="C79" s="1" t="s">
        <v>84</v>
      </c>
      <c r="D79" s="1">
        <f t="shared" ref="D79:O79" si="113">SUM(D73:D78)</f>
        <v>163</v>
      </c>
      <c r="E79" s="1">
        <f t="shared" si="113"/>
        <v>225</v>
      </c>
      <c r="F79" s="1">
        <f t="shared" si="113"/>
        <v>304</v>
      </c>
      <c r="G79" s="1">
        <f t="shared" si="113"/>
        <v>392</v>
      </c>
      <c r="H79" s="1">
        <f t="shared" si="113"/>
        <v>398</v>
      </c>
      <c r="I79" s="1">
        <f t="shared" si="113"/>
        <v>379</v>
      </c>
      <c r="J79" s="1">
        <f t="shared" si="113"/>
        <v>441</v>
      </c>
      <c r="K79" s="1">
        <f t="shared" si="113"/>
        <v>544</v>
      </c>
      <c r="L79" s="1">
        <f t="shared" si="113"/>
        <v>475</v>
      </c>
      <c r="M79" s="1">
        <f t="shared" si="113"/>
        <v>481</v>
      </c>
      <c r="N79" s="1">
        <f t="shared" si="113"/>
        <v>366</v>
      </c>
      <c r="O79" s="1">
        <f t="shared" si="113"/>
        <v>630</v>
      </c>
      <c r="P79" s="1">
        <f>SUM(P73:P78)</f>
        <v>475</v>
      </c>
      <c r="Q79" s="1">
        <f t="shared" ref="Q79:U79" si="114">SUM(Q73:Q78)</f>
        <v>431</v>
      </c>
      <c r="R79" s="1">
        <f t="shared" si="114"/>
        <v>520</v>
      </c>
      <c r="S79" s="1">
        <f t="shared" si="114"/>
        <v>657</v>
      </c>
      <c r="T79" s="18">
        <f t="shared" si="114"/>
        <v>476</v>
      </c>
      <c r="U79" s="18">
        <f t="shared" si="114"/>
        <v>467</v>
      </c>
      <c r="Z79" s="18">
        <f t="shared" ref="Z79:AC79" si="115">SUM(Z73:Z78)</f>
        <v>1173</v>
      </c>
      <c r="AA79" s="18">
        <f t="shared" si="115"/>
        <v>1345</v>
      </c>
      <c r="AB79" s="18">
        <f t="shared" si="115"/>
        <v>1113</v>
      </c>
      <c r="AC79" s="18">
        <f t="shared" si="115"/>
        <v>920</v>
      </c>
      <c r="AD79" s="18">
        <f t="shared" ref="AD79:AF79" si="116">SUM(AD73:AD78)</f>
        <v>1082</v>
      </c>
      <c r="AE79" s="18">
        <f t="shared" si="116"/>
        <v>1758</v>
      </c>
      <c r="AF79" s="18">
        <f t="shared" si="116"/>
        <v>1953</v>
      </c>
      <c r="AG79" s="18">
        <f t="shared" ref="AG79" si="117">SUM(AG73:AG78)</f>
        <v>2082</v>
      </c>
      <c r="AH79" s="16"/>
    </row>
    <row r="80" spans="1:34" s="19" customFormat="1" x14ac:dyDescent="0.25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AH80" s="16"/>
    </row>
    <row r="81" spans="1:34" s="19" customFormat="1" x14ac:dyDescent="0.25">
      <c r="A81" s="2"/>
      <c r="B81" s="4"/>
      <c r="C81" s="2" t="s">
        <v>124</v>
      </c>
      <c r="D81" s="2">
        <v>-46</v>
      </c>
      <c r="E81" s="2">
        <v>-60</v>
      </c>
      <c r="F81" s="2">
        <v>-73</v>
      </c>
      <c r="G81" s="2">
        <f>-76-10</f>
        <v>-86</v>
      </c>
      <c r="H81" s="2">
        <v>-24</v>
      </c>
      <c r="I81" s="2">
        <f>-28-6</f>
        <v>-34</v>
      </c>
      <c r="J81" s="2">
        <v>-34</v>
      </c>
      <c r="K81" s="2">
        <v>-80</v>
      </c>
      <c r="L81" s="2">
        <v>-33</v>
      </c>
      <c r="M81" s="2">
        <v>-34</v>
      </c>
      <c r="N81" s="2">
        <v>-57</v>
      </c>
      <c r="O81" s="2">
        <v>-162</v>
      </c>
      <c r="P81" s="2">
        <f>-60+1</f>
        <v>-59</v>
      </c>
      <c r="Q81" s="2">
        <f>-72-15+1</f>
        <v>-86</v>
      </c>
      <c r="R81" s="2">
        <v>-79</v>
      </c>
      <c r="S81" s="2">
        <v>-97</v>
      </c>
      <c r="T81" s="19">
        <v>-32</v>
      </c>
      <c r="U81" s="19">
        <f>-3-59</f>
        <v>-62</v>
      </c>
      <c r="Z81" s="19">
        <v>-198</v>
      </c>
      <c r="AA81" s="19">
        <v>-265</v>
      </c>
      <c r="AB81" s="19">
        <v>-230</v>
      </c>
      <c r="AC81" s="19">
        <v>-232</v>
      </c>
      <c r="AD81" s="19">
        <v>-256</v>
      </c>
      <c r="AE81" s="19">
        <v>-167</v>
      </c>
      <c r="AF81" s="19">
        <v>-287</v>
      </c>
      <c r="AG81" s="19">
        <v>-309</v>
      </c>
      <c r="AH81" s="16"/>
    </row>
    <row r="82" spans="1:34" s="19" customFormat="1" x14ac:dyDescent="0.25">
      <c r="A82" s="2"/>
      <c r="B82" s="4"/>
      <c r="C82" s="2" t="s">
        <v>125</v>
      </c>
      <c r="D82" s="2">
        <v>0</v>
      </c>
      <c r="E82" s="2">
        <v>0</v>
      </c>
      <c r="F82" s="2">
        <v>-49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2</v>
      </c>
      <c r="N82" s="2">
        <v>0</v>
      </c>
      <c r="O82" s="2">
        <v>2</v>
      </c>
      <c r="P82" s="2">
        <v>2</v>
      </c>
      <c r="Q82" s="2">
        <v>1</v>
      </c>
      <c r="R82" s="2">
        <v>0</v>
      </c>
      <c r="S82" s="2">
        <v>1</v>
      </c>
      <c r="T82" s="19">
        <v>0</v>
      </c>
      <c r="U82" s="18">
        <f>-9+0</f>
        <v>-9</v>
      </c>
      <c r="V82" s="18"/>
      <c r="W82" s="18"/>
      <c r="X82" s="18"/>
      <c r="Z82" s="19">
        <v>-18</v>
      </c>
      <c r="AA82" s="19">
        <v>-56</v>
      </c>
      <c r="AB82" s="19">
        <v>-101</v>
      </c>
      <c r="AC82" s="19">
        <v>-9</v>
      </c>
      <c r="AD82" s="19">
        <v>-47</v>
      </c>
      <c r="AE82" s="19">
        <v>-5</v>
      </c>
      <c r="AF82" s="19">
        <v>3</v>
      </c>
      <c r="AG82" s="19">
        <v>-12</v>
      </c>
      <c r="AH82" s="16"/>
    </row>
    <row r="83" spans="1:34" s="19" customFormat="1" x14ac:dyDescent="0.25">
      <c r="A83" s="2"/>
      <c r="B83" s="4"/>
      <c r="C83" s="1" t="s">
        <v>85</v>
      </c>
      <c r="D83" s="1">
        <f t="shared" ref="D83:O83" si="118">SUM(D81:D82)</f>
        <v>-46</v>
      </c>
      <c r="E83" s="1">
        <f t="shared" si="118"/>
        <v>-60</v>
      </c>
      <c r="F83" s="1">
        <f t="shared" si="118"/>
        <v>-122</v>
      </c>
      <c r="G83" s="1">
        <f t="shared" si="118"/>
        <v>-86</v>
      </c>
      <c r="H83" s="1">
        <f t="shared" si="118"/>
        <v>-24</v>
      </c>
      <c r="I83" s="1">
        <f t="shared" si="118"/>
        <v>-34</v>
      </c>
      <c r="J83" s="1">
        <f t="shared" si="118"/>
        <v>-34</v>
      </c>
      <c r="K83" s="1">
        <f t="shared" si="118"/>
        <v>-80</v>
      </c>
      <c r="L83" s="1">
        <f t="shared" si="118"/>
        <v>-33</v>
      </c>
      <c r="M83" s="1">
        <f t="shared" si="118"/>
        <v>-32</v>
      </c>
      <c r="N83" s="1">
        <f t="shared" si="118"/>
        <v>-57</v>
      </c>
      <c r="O83" s="1">
        <f t="shared" si="118"/>
        <v>-160</v>
      </c>
      <c r="P83" s="1">
        <f>SUM(P81:P82)</f>
        <v>-57</v>
      </c>
      <c r="Q83" s="1">
        <f t="shared" ref="Q83:U83" si="119">SUM(Q81:Q82)</f>
        <v>-85</v>
      </c>
      <c r="R83" s="1">
        <f t="shared" si="119"/>
        <v>-79</v>
      </c>
      <c r="S83" s="1">
        <f t="shared" si="119"/>
        <v>-96</v>
      </c>
      <c r="T83" s="18">
        <f t="shared" si="119"/>
        <v>-32</v>
      </c>
      <c r="U83" s="18">
        <f t="shared" si="119"/>
        <v>-71</v>
      </c>
      <c r="Z83" s="18">
        <f t="shared" ref="Z83:AC83" si="120">SUM(Z81:Z82)</f>
        <v>-216</v>
      </c>
      <c r="AA83" s="18">
        <f t="shared" si="120"/>
        <v>-321</v>
      </c>
      <c r="AB83" s="18">
        <f t="shared" si="120"/>
        <v>-331</v>
      </c>
      <c r="AC83" s="18">
        <f t="shared" si="120"/>
        <v>-241</v>
      </c>
      <c r="AD83" s="18">
        <f t="shared" ref="AD83:AF83" si="121">SUM(AD81:AD82)</f>
        <v>-303</v>
      </c>
      <c r="AE83" s="18">
        <f t="shared" si="121"/>
        <v>-172</v>
      </c>
      <c r="AF83" s="18">
        <f t="shared" si="121"/>
        <v>-284</v>
      </c>
      <c r="AG83" s="18">
        <f t="shared" ref="AG83" si="122">SUM(AG81:AG82)</f>
        <v>-321</v>
      </c>
      <c r="AH83" s="16"/>
    </row>
    <row r="84" spans="1:34" s="19" customFormat="1" x14ac:dyDescent="0.25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AH84" s="16"/>
    </row>
    <row r="85" spans="1:34" s="19" customFormat="1" x14ac:dyDescent="0.25">
      <c r="A85" s="2"/>
      <c r="B85" s="4"/>
      <c r="C85" s="2" t="s">
        <v>126</v>
      </c>
      <c r="D85" s="2">
        <v>-309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-288</v>
      </c>
      <c r="L85" s="2">
        <v>-100</v>
      </c>
      <c r="M85" s="2">
        <v>-102</v>
      </c>
      <c r="N85" s="2">
        <v>-130</v>
      </c>
      <c r="O85" s="2">
        <v>-103</v>
      </c>
      <c r="P85" s="2">
        <v>0</v>
      </c>
      <c r="Q85" s="2">
        <v>0</v>
      </c>
      <c r="R85" s="2">
        <v>0</v>
      </c>
      <c r="S85" s="2">
        <v>-85</v>
      </c>
      <c r="T85" s="19">
        <v>0</v>
      </c>
      <c r="U85" s="19">
        <v>0</v>
      </c>
      <c r="Z85" s="19">
        <v>-60</v>
      </c>
      <c r="AA85" s="19">
        <v>-1894</v>
      </c>
      <c r="AB85" s="19">
        <v>-2</v>
      </c>
      <c r="AC85" s="19">
        <v>-2</v>
      </c>
      <c r="AD85" s="19">
        <v>-309</v>
      </c>
      <c r="AE85" s="19">
        <v>-288</v>
      </c>
      <c r="AF85" s="19">
        <v>-435</v>
      </c>
      <c r="AG85" s="19">
        <v>-85</v>
      </c>
      <c r="AH85" s="16"/>
    </row>
    <row r="86" spans="1:34" s="19" customFormat="1" x14ac:dyDescent="0.25">
      <c r="A86" s="2"/>
      <c r="B86" s="4"/>
      <c r="C86" s="2" t="s">
        <v>127</v>
      </c>
      <c r="D86" s="2">
        <v>0</v>
      </c>
      <c r="E86" s="2">
        <v>0</v>
      </c>
      <c r="F86" s="2">
        <v>0</v>
      </c>
      <c r="G86" s="2">
        <v>200</v>
      </c>
      <c r="H86" s="2">
        <v>0</v>
      </c>
      <c r="I86" s="2">
        <v>-241</v>
      </c>
      <c r="J86" s="2">
        <v>0</v>
      </c>
      <c r="K86" s="2">
        <v>0</v>
      </c>
      <c r="L86" s="2">
        <v>0</v>
      </c>
      <c r="M86" s="2">
        <v>-241</v>
      </c>
      <c r="N86" s="2">
        <v>113</v>
      </c>
      <c r="O86" s="2">
        <v>0</v>
      </c>
      <c r="P86" s="2">
        <v>0</v>
      </c>
      <c r="Q86" s="2">
        <v>0</v>
      </c>
      <c r="R86" s="2">
        <v>0</v>
      </c>
      <c r="S86" s="2">
        <v>85</v>
      </c>
      <c r="T86" s="19">
        <v>0</v>
      </c>
      <c r="U86" s="19">
        <v>0</v>
      </c>
      <c r="Z86" s="19">
        <v>150</v>
      </c>
      <c r="AA86" s="19">
        <v>1492</v>
      </c>
      <c r="AB86" s="19">
        <v>575</v>
      </c>
      <c r="AC86" s="19">
        <v>200</v>
      </c>
      <c r="AD86" s="19">
        <v>600</v>
      </c>
      <c r="AE86" s="19">
        <v>100</v>
      </c>
      <c r="AF86" s="19">
        <v>113</v>
      </c>
      <c r="AG86" s="19">
        <v>85</v>
      </c>
      <c r="AH86" s="16"/>
    </row>
    <row r="87" spans="1:34" s="19" customFormat="1" x14ac:dyDescent="0.25">
      <c r="A87" s="2"/>
      <c r="B87" s="4"/>
      <c r="C87" s="2" t="s">
        <v>128</v>
      </c>
      <c r="D87" s="2">
        <v>-210</v>
      </c>
      <c r="E87" s="2">
        <v>-212</v>
      </c>
      <c r="F87" s="2">
        <v>-213</v>
      </c>
      <c r="G87" s="2">
        <v>-217</v>
      </c>
      <c r="H87" s="2">
        <v>-234</v>
      </c>
      <c r="I87" s="2">
        <v>-32</v>
      </c>
      <c r="J87" s="2">
        <v>-234</v>
      </c>
      <c r="K87" s="2">
        <v>-238</v>
      </c>
      <c r="L87" s="2">
        <v>-240</v>
      </c>
      <c r="M87" s="2">
        <v>-14</v>
      </c>
      <c r="N87" s="2">
        <v>-242</v>
      </c>
      <c r="O87" s="2">
        <v>-240</v>
      </c>
      <c r="P87" s="2">
        <v>-247</v>
      </c>
      <c r="Q87" s="2">
        <v>-248</v>
      </c>
      <c r="R87" s="2">
        <v>-248</v>
      </c>
      <c r="S87" s="2">
        <v>-249</v>
      </c>
      <c r="T87" s="19">
        <v>-248</v>
      </c>
      <c r="U87" s="19">
        <v>-243</v>
      </c>
      <c r="Z87" s="19">
        <v>-565</v>
      </c>
      <c r="AA87" s="19">
        <v>-750</v>
      </c>
      <c r="AB87" s="19">
        <v>-803</v>
      </c>
      <c r="AC87" s="19">
        <v>-800</v>
      </c>
      <c r="AD87" s="19">
        <v>-852</v>
      </c>
      <c r="AE87" s="19">
        <v>-947</v>
      </c>
      <c r="AF87" s="19">
        <v>-962</v>
      </c>
      <c r="AG87" s="19">
        <v>-992</v>
      </c>
      <c r="AH87" s="16"/>
    </row>
    <row r="88" spans="1:34" s="19" customFormat="1" x14ac:dyDescent="0.25">
      <c r="A88" s="2"/>
      <c r="B88" s="4"/>
      <c r="C88" s="2" t="s">
        <v>129</v>
      </c>
      <c r="D88" s="2">
        <v>-36</v>
      </c>
      <c r="E88" s="2">
        <v>-26</v>
      </c>
      <c r="F88" s="2">
        <v>-24</v>
      </c>
      <c r="G88" s="2">
        <v>-34</v>
      </c>
      <c r="H88" s="2">
        <v>-30</v>
      </c>
      <c r="I88" s="2">
        <v>-55</v>
      </c>
      <c r="J88" s="2">
        <v>-34</v>
      </c>
      <c r="K88" s="2">
        <v>-28</v>
      </c>
      <c r="L88" s="2">
        <v>-19</v>
      </c>
      <c r="M88" s="2">
        <v>-61</v>
      </c>
      <c r="N88" s="2">
        <v>-11</v>
      </c>
      <c r="O88" s="2">
        <v>-16</v>
      </c>
      <c r="P88" s="2">
        <v>-12</v>
      </c>
      <c r="Q88" s="2">
        <v>-11</v>
      </c>
      <c r="R88" s="2">
        <v>-10</v>
      </c>
      <c r="S88" s="2">
        <v>-9</v>
      </c>
      <c r="T88" s="19">
        <v>-9</v>
      </c>
      <c r="U88" s="19">
        <v>-8</v>
      </c>
      <c r="Z88" s="19">
        <v>-77</v>
      </c>
      <c r="AA88" s="19">
        <v>-67</v>
      </c>
      <c r="AB88" s="19">
        <v>-78</v>
      </c>
      <c r="AC88" s="19">
        <v>-109</v>
      </c>
      <c r="AD88" s="19">
        <v>-120</v>
      </c>
      <c r="AE88" s="19">
        <v>-123</v>
      </c>
      <c r="AF88" s="19">
        <v>-64</v>
      </c>
      <c r="AG88" s="19">
        <v>-42</v>
      </c>
      <c r="AH88" s="16"/>
    </row>
    <row r="89" spans="1:34" s="19" customFormat="1" x14ac:dyDescent="0.25">
      <c r="A89" s="2"/>
      <c r="B89" s="4"/>
      <c r="C89" s="2" t="s">
        <v>130</v>
      </c>
      <c r="D89" s="2">
        <v>-47</v>
      </c>
      <c r="E89" s="2">
        <v>-47</v>
      </c>
      <c r="F89" s="2">
        <v>-48</v>
      </c>
      <c r="G89" s="2">
        <v>-47</v>
      </c>
      <c r="H89" s="2">
        <v>-53</v>
      </c>
      <c r="I89" s="2">
        <v>8</v>
      </c>
      <c r="J89" s="2">
        <v>-57</v>
      </c>
      <c r="K89" s="2">
        <v>-59</v>
      </c>
      <c r="L89" s="2">
        <v>3</v>
      </c>
      <c r="M89" s="2">
        <v>0</v>
      </c>
      <c r="N89" s="2">
        <v>-62</v>
      </c>
      <c r="O89" s="2">
        <v>-62</v>
      </c>
      <c r="P89" s="2">
        <v>3</v>
      </c>
      <c r="Q89" s="2">
        <v>3</v>
      </c>
      <c r="R89" s="2">
        <v>3</v>
      </c>
      <c r="S89" s="2">
        <v>4</v>
      </c>
      <c r="T89" s="19">
        <v>4</v>
      </c>
      <c r="U89" s="19">
        <v>3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8</v>
      </c>
      <c r="AF89" s="19">
        <v>14</v>
      </c>
      <c r="AG89" s="19">
        <v>14</v>
      </c>
      <c r="AH89" s="16"/>
    </row>
    <row r="90" spans="1:34" s="19" customFormat="1" x14ac:dyDescent="0.25">
      <c r="A90" s="2"/>
      <c r="B90" s="4"/>
      <c r="C90" s="2" t="s">
        <v>131</v>
      </c>
      <c r="D90" s="2">
        <v>601</v>
      </c>
      <c r="E90" s="2">
        <v>0</v>
      </c>
      <c r="F90" s="2">
        <v>0</v>
      </c>
      <c r="G90" s="2">
        <v>0</v>
      </c>
      <c r="H90" s="2">
        <v>0</v>
      </c>
      <c r="I90" s="2">
        <v>-20</v>
      </c>
      <c r="J90" s="2">
        <v>0</v>
      </c>
      <c r="K90" s="2">
        <v>0</v>
      </c>
      <c r="L90" s="2">
        <v>-61</v>
      </c>
      <c r="M90" s="2">
        <v>0</v>
      </c>
      <c r="N90" s="2">
        <v>0</v>
      </c>
      <c r="O90" s="2">
        <v>0</v>
      </c>
      <c r="P90" s="2">
        <v>-62</v>
      </c>
      <c r="Q90" s="2">
        <v>-63</v>
      </c>
      <c r="R90" s="2">
        <v>-63</v>
      </c>
      <c r="S90" s="2">
        <v>-62</v>
      </c>
      <c r="T90" s="19">
        <v>-62</v>
      </c>
      <c r="U90" s="19">
        <v>-60</v>
      </c>
      <c r="Z90" s="19">
        <v>-170</v>
      </c>
      <c r="AA90" s="19">
        <v>-187</v>
      </c>
      <c r="AB90" s="19">
        <v>-196</v>
      </c>
      <c r="AC90" s="19">
        <v>-187</v>
      </c>
      <c r="AD90" s="19">
        <v>-189</v>
      </c>
      <c r="AE90" s="19">
        <v>-224</v>
      </c>
      <c r="AF90" s="19">
        <v>-246</v>
      </c>
      <c r="AG90" s="19">
        <v>-251</v>
      </c>
      <c r="AH90" s="16"/>
    </row>
    <row r="91" spans="1:34" s="19" customFormat="1" x14ac:dyDescent="0.25">
      <c r="A91" s="2"/>
      <c r="B91" s="4"/>
      <c r="C91" s="2" t="s">
        <v>158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19">
        <v>-132</v>
      </c>
      <c r="U91" s="19">
        <v>0</v>
      </c>
      <c r="Z91" s="19">
        <v>0</v>
      </c>
      <c r="AA91" s="19">
        <v>-1032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-127</v>
      </c>
      <c r="AH91" s="16"/>
    </row>
    <row r="92" spans="1:34" s="19" customFormat="1" x14ac:dyDescent="0.25">
      <c r="A92" s="2"/>
      <c r="B92" s="4"/>
      <c r="C92" s="2" t="s">
        <v>132</v>
      </c>
      <c r="D92" s="2">
        <v>0</v>
      </c>
      <c r="E92" s="2">
        <v>0</v>
      </c>
      <c r="F92" s="2">
        <v>0</v>
      </c>
      <c r="G92" s="2">
        <v>3</v>
      </c>
      <c r="H92" s="2">
        <v>0</v>
      </c>
      <c r="I92" s="2">
        <v>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-100</v>
      </c>
      <c r="Q92" s="2">
        <v>-37</v>
      </c>
      <c r="R92" s="2">
        <v>-127</v>
      </c>
      <c r="S92" s="2">
        <v>0</v>
      </c>
      <c r="T92" s="19">
        <v>-125</v>
      </c>
      <c r="U92" s="19">
        <v>-193</v>
      </c>
      <c r="Z92" s="19">
        <v>0</v>
      </c>
      <c r="AA92" s="19">
        <v>-34</v>
      </c>
      <c r="AB92" s="19">
        <v>-20</v>
      </c>
      <c r="AC92" s="19">
        <v>0</v>
      </c>
      <c r="AD92" s="19">
        <v>0</v>
      </c>
      <c r="AE92" s="19">
        <v>-21</v>
      </c>
      <c r="AF92" s="19">
        <v>0</v>
      </c>
      <c r="AG92" s="19">
        <v>-267</v>
      </c>
      <c r="AH92" s="16"/>
    </row>
    <row r="93" spans="1:34" s="19" customFormat="1" x14ac:dyDescent="0.25">
      <c r="A93" s="2"/>
      <c r="B93" s="4"/>
      <c r="C93" s="2" t="s">
        <v>133</v>
      </c>
      <c r="D93" s="2">
        <v>-13</v>
      </c>
      <c r="E93" s="2">
        <v>0</v>
      </c>
      <c r="F93" s="2">
        <v>0</v>
      </c>
      <c r="G93" s="2">
        <v>0</v>
      </c>
      <c r="H93" s="2">
        <v>0</v>
      </c>
      <c r="I93" s="2">
        <v>2</v>
      </c>
      <c r="J93" s="2">
        <v>0</v>
      </c>
      <c r="K93" s="2">
        <v>0</v>
      </c>
      <c r="L93" s="2">
        <v>4</v>
      </c>
      <c r="M93" s="2">
        <v>1</v>
      </c>
      <c r="N93" s="2">
        <v>0</v>
      </c>
      <c r="O93" s="2">
        <v>0</v>
      </c>
      <c r="P93" s="2">
        <v>12</v>
      </c>
      <c r="Q93" s="2">
        <v>36</v>
      </c>
      <c r="R93" s="2">
        <v>-40</v>
      </c>
      <c r="S93" s="2">
        <v>-90</v>
      </c>
      <c r="T93" s="19">
        <v>0</v>
      </c>
      <c r="U93" s="19">
        <v>30</v>
      </c>
      <c r="Z93" s="19">
        <v>0</v>
      </c>
      <c r="AA93" s="19">
        <v>1356</v>
      </c>
      <c r="AB93" s="19">
        <v>26</v>
      </c>
      <c r="AC93" s="19">
        <v>9</v>
      </c>
      <c r="AD93" s="19">
        <v>601</v>
      </c>
      <c r="AE93" s="19">
        <v>6</v>
      </c>
      <c r="AF93" s="19">
        <v>5</v>
      </c>
      <c r="AG93" s="19">
        <v>49</v>
      </c>
      <c r="AH93" s="16"/>
    </row>
    <row r="94" spans="1:34" s="19" customFormat="1" x14ac:dyDescent="0.25">
      <c r="A94" s="2"/>
      <c r="B94" s="4"/>
      <c r="C94" s="2" t="s">
        <v>138</v>
      </c>
      <c r="D94" s="2">
        <v>1</v>
      </c>
      <c r="E94" s="2">
        <v>1</v>
      </c>
      <c r="F94" s="2">
        <v>-2</v>
      </c>
      <c r="G94" s="2">
        <v>-1</v>
      </c>
      <c r="H94" s="2">
        <v>0</v>
      </c>
      <c r="I94" s="2">
        <v>0</v>
      </c>
      <c r="J94" s="2">
        <v>0</v>
      </c>
      <c r="K94" s="2">
        <v>2</v>
      </c>
      <c r="L94" s="2">
        <v>1</v>
      </c>
      <c r="M94" s="2">
        <v>1</v>
      </c>
      <c r="N94" s="2">
        <v>-2</v>
      </c>
      <c r="O94" s="2">
        <v>2</v>
      </c>
      <c r="P94" s="2">
        <v>2</v>
      </c>
      <c r="Q94" s="2">
        <v>-2</v>
      </c>
      <c r="R94" s="2">
        <v>1</v>
      </c>
      <c r="S94" s="2">
        <v>0</v>
      </c>
      <c r="T94" s="19">
        <v>8</v>
      </c>
      <c r="U94" s="19">
        <v>0</v>
      </c>
      <c r="Z94" s="19">
        <v>-127</v>
      </c>
      <c r="AA94" s="19">
        <v>-109</v>
      </c>
      <c r="AB94" s="19">
        <v>-3</v>
      </c>
      <c r="AC94" s="19">
        <v>10</v>
      </c>
      <c r="AD94" s="19">
        <v>-13</v>
      </c>
      <c r="AE94" s="19">
        <v>0</v>
      </c>
      <c r="AF94" s="19">
        <v>-5</v>
      </c>
      <c r="AG94" s="19">
        <v>2</v>
      </c>
      <c r="AH94" s="16"/>
    </row>
    <row r="95" spans="1:34" s="19" customFormat="1" x14ac:dyDescent="0.25">
      <c r="A95" s="2"/>
      <c r="B95" s="4"/>
      <c r="C95" s="1" t="s">
        <v>86</v>
      </c>
      <c r="D95" s="1">
        <f t="shared" ref="D95:O95" si="123">SUM(D85:D94)</f>
        <v>-13</v>
      </c>
      <c r="E95" s="1">
        <f t="shared" si="123"/>
        <v>-284</v>
      </c>
      <c r="F95" s="1">
        <f t="shared" si="123"/>
        <v>-287</v>
      </c>
      <c r="G95" s="1">
        <f t="shared" si="123"/>
        <v>-96</v>
      </c>
      <c r="H95" s="1">
        <f t="shared" si="123"/>
        <v>-317</v>
      </c>
      <c r="I95" s="1">
        <f t="shared" si="123"/>
        <v>-332</v>
      </c>
      <c r="J95" s="1">
        <f t="shared" si="123"/>
        <v>-325</v>
      </c>
      <c r="K95" s="1">
        <f t="shared" si="123"/>
        <v>-611</v>
      </c>
      <c r="L95" s="1">
        <f t="shared" si="123"/>
        <v>-412</v>
      </c>
      <c r="M95" s="1">
        <f t="shared" si="123"/>
        <v>-416</v>
      </c>
      <c r="N95" s="1">
        <f t="shared" si="123"/>
        <v>-334</v>
      </c>
      <c r="O95" s="1">
        <f t="shared" si="123"/>
        <v>-419</v>
      </c>
      <c r="P95" s="1">
        <f>SUM(P85:P94)</f>
        <v>-404</v>
      </c>
      <c r="Q95" s="1">
        <f t="shared" ref="Q95:U95" si="124">SUM(Q85:Q94)</f>
        <v>-322</v>
      </c>
      <c r="R95" s="1">
        <f t="shared" si="124"/>
        <v>-484</v>
      </c>
      <c r="S95" s="1">
        <f t="shared" si="124"/>
        <v>-406</v>
      </c>
      <c r="T95" s="18">
        <f t="shared" si="124"/>
        <v>-564</v>
      </c>
      <c r="U95" s="18">
        <f t="shared" si="124"/>
        <v>-471</v>
      </c>
      <c r="Z95" s="18">
        <f t="shared" ref="Z95:AC95" si="125">SUM(Z85:Z94)</f>
        <v>-849</v>
      </c>
      <c r="AA95" s="18">
        <f t="shared" si="125"/>
        <v>-1225</v>
      </c>
      <c r="AB95" s="18">
        <f t="shared" si="125"/>
        <v>-501</v>
      </c>
      <c r="AC95" s="18">
        <f t="shared" si="125"/>
        <v>-879</v>
      </c>
      <c r="AD95" s="18">
        <f t="shared" ref="AD95:AF95" si="126">SUM(AD85:AD94)</f>
        <v>-282</v>
      </c>
      <c r="AE95" s="18">
        <f t="shared" si="126"/>
        <v>-1489</v>
      </c>
      <c r="AF95" s="18">
        <f t="shared" si="126"/>
        <v>-1580</v>
      </c>
      <c r="AG95" s="18">
        <f t="shared" ref="AG95" si="127">SUM(AG85:AG94)</f>
        <v>-1614</v>
      </c>
      <c r="AH95" s="16"/>
    </row>
    <row r="96" spans="1:34" s="19" customFormat="1" x14ac:dyDescent="0.25">
      <c r="A96" s="2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AH96" s="16"/>
    </row>
    <row r="97" spans="1:34" s="19" customFormat="1" x14ac:dyDescent="0.25">
      <c r="A97" s="2"/>
      <c r="B97" s="4"/>
      <c r="C97" s="2" t="s">
        <v>152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>
        <v>-5</v>
      </c>
      <c r="T97" s="19">
        <v>8</v>
      </c>
      <c r="U97" s="19">
        <v>2</v>
      </c>
      <c r="Z97" s="19">
        <v>1</v>
      </c>
      <c r="AA97" s="19">
        <v>8</v>
      </c>
      <c r="AB97" s="19">
        <v>7</v>
      </c>
      <c r="AC97" s="19">
        <v>22</v>
      </c>
      <c r="AD97" s="19">
        <v>-24</v>
      </c>
      <c r="AE97" s="19">
        <v>-63</v>
      </c>
      <c r="AF97" s="19">
        <v>-2</v>
      </c>
      <c r="AG97" s="19">
        <v>-7</v>
      </c>
      <c r="AH97" s="16"/>
    </row>
    <row r="98" spans="1:34" s="19" customFormat="1" x14ac:dyDescent="0.25">
      <c r="A98" s="2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AH98" s="16"/>
    </row>
    <row r="99" spans="1:34" s="19" customFormat="1" x14ac:dyDescent="0.25">
      <c r="A99" s="2"/>
      <c r="B99" s="4"/>
      <c r="C99" s="2" t="s">
        <v>134</v>
      </c>
      <c r="D99" s="2">
        <f t="shared" ref="D99:R99" si="128">D79+D83+D95+D97</f>
        <v>104</v>
      </c>
      <c r="E99" s="2">
        <f t="shared" si="128"/>
        <v>-119</v>
      </c>
      <c r="F99" s="2">
        <f t="shared" si="128"/>
        <v>-105</v>
      </c>
      <c r="G99" s="2">
        <f t="shared" si="128"/>
        <v>210</v>
      </c>
      <c r="H99" s="2">
        <f t="shared" si="128"/>
        <v>57</v>
      </c>
      <c r="I99" s="2">
        <f t="shared" si="128"/>
        <v>13</v>
      </c>
      <c r="J99" s="2">
        <f t="shared" si="128"/>
        <v>82</v>
      </c>
      <c r="K99" s="2">
        <f t="shared" si="128"/>
        <v>-147</v>
      </c>
      <c r="L99" s="2">
        <f t="shared" si="128"/>
        <v>30</v>
      </c>
      <c r="M99" s="2">
        <f t="shared" si="128"/>
        <v>33</v>
      </c>
      <c r="N99" s="2">
        <f t="shared" si="128"/>
        <v>-25</v>
      </c>
      <c r="O99" s="2">
        <f t="shared" si="128"/>
        <v>51</v>
      </c>
      <c r="P99" s="2">
        <f t="shared" si="128"/>
        <v>14</v>
      </c>
      <c r="Q99" s="2">
        <f t="shared" si="128"/>
        <v>24</v>
      </c>
      <c r="R99" s="2">
        <f t="shared" si="128"/>
        <v>-43</v>
      </c>
      <c r="S99" s="2">
        <f>S79+S83+S95+S97</f>
        <v>150</v>
      </c>
      <c r="T99" s="19">
        <f>T79+T83+T95+T97</f>
        <v>-112</v>
      </c>
      <c r="U99" s="19">
        <f>U79+U83+U95+U97</f>
        <v>-73</v>
      </c>
      <c r="Z99" s="19">
        <f t="shared" ref="Z99:AA99" si="129">Z79+Z83+Z95+Z97</f>
        <v>109</v>
      </c>
      <c r="AA99" s="19">
        <f t="shared" si="129"/>
        <v>-193</v>
      </c>
      <c r="AB99" s="19">
        <f t="shared" ref="AB99:AC99" si="130">AB79+AB83+AB95+AB97</f>
        <v>288</v>
      </c>
      <c r="AC99" s="19">
        <f t="shared" si="130"/>
        <v>-178</v>
      </c>
      <c r="AD99" s="19">
        <f t="shared" ref="AD99:AF99" si="131">AD79+AD83+AD95+AD97</f>
        <v>473</v>
      </c>
      <c r="AE99" s="19">
        <f t="shared" si="131"/>
        <v>34</v>
      </c>
      <c r="AF99" s="19">
        <f t="shared" si="131"/>
        <v>87</v>
      </c>
      <c r="AG99" s="19">
        <f>AG79+AG83+AG95+AG97</f>
        <v>140</v>
      </c>
      <c r="AH99" s="16"/>
    </row>
    <row r="100" spans="1:34" s="19" customFormat="1" x14ac:dyDescent="0.25">
      <c r="A100" s="2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AH100" s="16"/>
    </row>
    <row r="101" spans="1:34" s="19" customFormat="1" x14ac:dyDescent="0.25">
      <c r="A101" s="2"/>
      <c r="B101" s="4"/>
      <c r="C101" s="2" t="s">
        <v>135</v>
      </c>
      <c r="D101" s="19">
        <f t="shared" ref="D101:S101" si="132">D79+D81+D87+D90</f>
        <v>508</v>
      </c>
      <c r="E101" s="19">
        <f t="shared" si="132"/>
        <v>-47</v>
      </c>
      <c r="F101" s="19">
        <f t="shared" si="132"/>
        <v>18</v>
      </c>
      <c r="G101" s="19">
        <f t="shared" si="132"/>
        <v>89</v>
      </c>
      <c r="H101" s="19">
        <f t="shared" si="132"/>
        <v>140</v>
      </c>
      <c r="I101" s="19">
        <f t="shared" si="132"/>
        <v>293</v>
      </c>
      <c r="J101" s="19">
        <f t="shared" si="132"/>
        <v>173</v>
      </c>
      <c r="K101" s="19">
        <f t="shared" si="132"/>
        <v>226</v>
      </c>
      <c r="L101" s="19">
        <f t="shared" si="132"/>
        <v>141</v>
      </c>
      <c r="M101" s="19">
        <f t="shared" si="132"/>
        <v>433</v>
      </c>
      <c r="N101" s="19">
        <f t="shared" si="132"/>
        <v>67</v>
      </c>
      <c r="O101" s="19">
        <f t="shared" si="132"/>
        <v>228</v>
      </c>
      <c r="P101" s="19">
        <f t="shared" si="132"/>
        <v>107</v>
      </c>
      <c r="Q101" s="19">
        <f t="shared" si="132"/>
        <v>34</v>
      </c>
      <c r="R101" s="19">
        <f t="shared" si="132"/>
        <v>130</v>
      </c>
      <c r="S101" s="19">
        <f t="shared" si="132"/>
        <v>249</v>
      </c>
      <c r="T101" s="19">
        <f>T79+T81+T87+T90</f>
        <v>134</v>
      </c>
      <c r="U101" s="19">
        <f>U79+U81+U87+U90</f>
        <v>102</v>
      </c>
      <c r="Z101" s="19">
        <f t="shared" ref="Z101:AA101" si="133">Z79+Z81+Z87+Z90</f>
        <v>240</v>
      </c>
      <c r="AA101" s="19">
        <f t="shared" si="133"/>
        <v>143</v>
      </c>
      <c r="AB101" s="19">
        <f t="shared" ref="AB101:AC101" si="134">AB79+AB81+AB87+AB90</f>
        <v>-116</v>
      </c>
      <c r="AC101" s="19">
        <f t="shared" si="134"/>
        <v>-299</v>
      </c>
      <c r="AD101" s="19">
        <f t="shared" ref="AD101:AF101" si="135">AD79+AD81+AD87+AD90</f>
        <v>-215</v>
      </c>
      <c r="AE101" s="19">
        <f t="shared" si="135"/>
        <v>420</v>
      </c>
      <c r="AF101" s="19">
        <f t="shared" si="135"/>
        <v>458</v>
      </c>
      <c r="AG101" s="19">
        <f>AG79+AG81+AG87+AG90</f>
        <v>530</v>
      </c>
      <c r="AH101" s="16"/>
    </row>
    <row r="104" spans="1:34" x14ac:dyDescent="0.25">
      <c r="U104" s="19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AA56"/>
  <sheetViews>
    <sheetView showGridLines="0" zoomScale="90" zoomScaleNormal="90" workbookViewId="0">
      <pane xSplit="2" ySplit="4" topLeftCell="N5" activePane="bottomRight" state="frozen"/>
      <selection pane="topRight" activeCell="C1" sqref="C1"/>
      <selection pane="bottomLeft" activeCell="A5" sqref="A5"/>
      <selection pane="bottomRight" activeCell="AD36" sqref="AD36"/>
    </sheetView>
  </sheetViews>
  <sheetFormatPr baseColWidth="10" defaultRowHeight="19" x14ac:dyDescent="0.25"/>
  <cols>
    <col min="1" max="1" width="6.33203125" style="2" customWidth="1"/>
    <col min="2" max="2" width="22.6640625" style="2" customWidth="1"/>
    <col min="3" max="16" width="10.83203125" style="2"/>
    <col min="17" max="17" width="12" style="2" customWidth="1"/>
    <col min="18" max="22" width="10.83203125" style="2"/>
    <col min="23" max="27" width="12" style="2" bestFit="1" customWidth="1"/>
    <col min="28" max="16384" width="10.83203125" style="2"/>
  </cols>
  <sheetData>
    <row r="3" spans="2:27" x14ac:dyDescent="0.25">
      <c r="G3" s="1"/>
    </row>
    <row r="4" spans="2:27" x14ac:dyDescent="0.25">
      <c r="B4" s="1" t="s">
        <v>37</v>
      </c>
      <c r="C4" s="12" t="s">
        <v>7</v>
      </c>
      <c r="D4" s="12" t="s">
        <v>8</v>
      </c>
      <c r="E4" s="12" t="s">
        <v>9</v>
      </c>
      <c r="F4" s="12" t="s">
        <v>10</v>
      </c>
      <c r="G4" s="40">
        <v>2022</v>
      </c>
      <c r="H4" s="12" t="s">
        <v>11</v>
      </c>
      <c r="I4" s="12" t="s">
        <v>12</v>
      </c>
      <c r="J4" s="12" t="s">
        <v>13</v>
      </c>
      <c r="K4" s="12" t="s">
        <v>14</v>
      </c>
      <c r="L4" s="40">
        <v>2023</v>
      </c>
      <c r="M4" s="12" t="s">
        <v>15</v>
      </c>
      <c r="N4" s="12" t="s">
        <v>16</v>
      </c>
      <c r="O4" s="12" t="s">
        <v>17</v>
      </c>
      <c r="P4" s="12" t="s">
        <v>18</v>
      </c>
      <c r="Q4" s="34">
        <v>2024</v>
      </c>
      <c r="R4" s="12" t="s">
        <v>87</v>
      </c>
      <c r="S4" s="12" t="s">
        <v>88</v>
      </c>
      <c r="T4" s="12" t="s">
        <v>89</v>
      </c>
      <c r="U4" s="12" t="s">
        <v>90</v>
      </c>
      <c r="V4" s="40">
        <v>2025</v>
      </c>
      <c r="W4" s="12" t="s">
        <v>140</v>
      </c>
      <c r="X4" s="12" t="s">
        <v>141</v>
      </c>
      <c r="Y4" s="12" t="s">
        <v>142</v>
      </c>
      <c r="Z4" s="12" t="s">
        <v>143</v>
      </c>
      <c r="AA4" s="40">
        <v>2026</v>
      </c>
    </row>
    <row r="5" spans="2:27" x14ac:dyDescent="0.25">
      <c r="B5" s="1" t="s">
        <v>38</v>
      </c>
      <c r="G5" s="35"/>
      <c r="L5" s="35"/>
      <c r="Q5" s="35"/>
      <c r="V5" s="35"/>
      <c r="AA5" s="35"/>
    </row>
    <row r="6" spans="2:27" s="19" customFormat="1" x14ac:dyDescent="0.25">
      <c r="B6" s="19" t="s">
        <v>91</v>
      </c>
      <c r="C6" s="19">
        <v>372</v>
      </c>
      <c r="D6" s="19">
        <v>379</v>
      </c>
      <c r="E6" s="19">
        <v>384</v>
      </c>
      <c r="F6" s="19">
        <v>407</v>
      </c>
      <c r="G6" s="51">
        <f>SUM(C6:F6)</f>
        <v>1542</v>
      </c>
      <c r="H6" s="19">
        <v>445</v>
      </c>
      <c r="I6" s="19">
        <v>443</v>
      </c>
      <c r="J6" s="19">
        <v>429</v>
      </c>
      <c r="K6" s="19">
        <v>446</v>
      </c>
      <c r="L6" s="51">
        <f>SUM(H6:K6)</f>
        <v>1763</v>
      </c>
      <c r="M6" s="19">
        <v>472</v>
      </c>
      <c r="N6" s="19">
        <v>473</v>
      </c>
      <c r="O6" s="19">
        <v>459</v>
      </c>
      <c r="P6" s="19">
        <v>484</v>
      </c>
      <c r="Q6" s="51">
        <f>SUM(M6:P6)</f>
        <v>1888</v>
      </c>
      <c r="R6" s="19">
        <v>552</v>
      </c>
      <c r="S6" s="19">
        <v>524</v>
      </c>
      <c r="T6" s="19">
        <v>501</v>
      </c>
      <c r="U6" s="19">
        <v>525</v>
      </c>
      <c r="V6" s="51">
        <f>SUM(R6:U6)</f>
        <v>2102</v>
      </c>
      <c r="W6" s="19">
        <v>567</v>
      </c>
      <c r="X6" s="19">
        <v>569</v>
      </c>
      <c r="AA6" s="51">
        <f>SUM(W6:Z6)</f>
        <v>1136</v>
      </c>
    </row>
    <row r="7" spans="2:27" s="19" customFormat="1" x14ac:dyDescent="0.25">
      <c r="B7" s="19" t="s">
        <v>92</v>
      </c>
      <c r="C7" s="19">
        <v>110</v>
      </c>
      <c r="D7" s="19">
        <v>102</v>
      </c>
      <c r="E7" s="19">
        <v>80</v>
      </c>
      <c r="F7" s="19">
        <v>105</v>
      </c>
      <c r="G7" s="51">
        <f>SUM(C7:F7)</f>
        <v>397</v>
      </c>
      <c r="H7" s="19">
        <v>111</v>
      </c>
      <c r="I7" s="19">
        <v>96</v>
      </c>
      <c r="J7" s="19">
        <v>85</v>
      </c>
      <c r="K7" s="19">
        <v>96</v>
      </c>
      <c r="L7" s="51">
        <f>SUM(H7:K7)</f>
        <v>388</v>
      </c>
      <c r="M7" s="19">
        <v>103</v>
      </c>
      <c r="N7" s="19">
        <v>100</v>
      </c>
      <c r="O7" s="19">
        <v>74</v>
      </c>
      <c r="P7" s="19">
        <v>100</v>
      </c>
      <c r="Q7" s="51">
        <f>SUM(M7:P7)</f>
        <v>377</v>
      </c>
      <c r="R7" s="19">
        <v>111</v>
      </c>
      <c r="S7" s="19">
        <v>102</v>
      </c>
      <c r="T7" s="19">
        <v>81</v>
      </c>
      <c r="U7" s="19">
        <v>106</v>
      </c>
      <c r="V7" s="51">
        <f>SUM(R7:U7)</f>
        <v>400</v>
      </c>
      <c r="W7" s="19">
        <v>114</v>
      </c>
      <c r="X7" s="19">
        <v>108</v>
      </c>
      <c r="AA7" s="51">
        <f>SUM(W7:Z7)</f>
        <v>222</v>
      </c>
    </row>
    <row r="8" spans="2:27" s="19" customFormat="1" x14ac:dyDescent="0.25">
      <c r="B8" s="18" t="s">
        <v>94</v>
      </c>
      <c r="C8" s="18">
        <f t="shared" ref="C8:U8" si="0">SUM(C6:C7)</f>
        <v>482</v>
      </c>
      <c r="D8" s="18">
        <f t="shared" si="0"/>
        <v>481</v>
      </c>
      <c r="E8" s="18">
        <f t="shared" si="0"/>
        <v>464</v>
      </c>
      <c r="F8" s="18">
        <f t="shared" si="0"/>
        <v>512</v>
      </c>
      <c r="G8" s="51">
        <f>SUM(C8:F8)</f>
        <v>1939</v>
      </c>
      <c r="H8" s="18">
        <f t="shared" si="0"/>
        <v>556</v>
      </c>
      <c r="I8" s="18">
        <f t="shared" si="0"/>
        <v>539</v>
      </c>
      <c r="J8" s="18">
        <f t="shared" si="0"/>
        <v>514</v>
      </c>
      <c r="K8" s="18">
        <f t="shared" si="0"/>
        <v>542</v>
      </c>
      <c r="L8" s="51">
        <f>SUM(H8:K8)</f>
        <v>2151</v>
      </c>
      <c r="M8" s="18">
        <f t="shared" si="0"/>
        <v>575</v>
      </c>
      <c r="N8" s="18">
        <f t="shared" si="0"/>
        <v>573</v>
      </c>
      <c r="O8" s="18">
        <f t="shared" si="0"/>
        <v>533</v>
      </c>
      <c r="P8" s="18">
        <f t="shared" si="0"/>
        <v>584</v>
      </c>
      <c r="Q8" s="51">
        <f>SUM(M8:P8)</f>
        <v>2265</v>
      </c>
      <c r="R8" s="18">
        <f t="shared" si="0"/>
        <v>663</v>
      </c>
      <c r="S8" s="18">
        <f t="shared" si="0"/>
        <v>626</v>
      </c>
      <c r="T8" s="18">
        <f t="shared" si="0"/>
        <v>582</v>
      </c>
      <c r="U8" s="18">
        <f t="shared" si="0"/>
        <v>631</v>
      </c>
      <c r="V8" s="51">
        <f>SUM(R8:U8)</f>
        <v>2502</v>
      </c>
      <c r="W8" s="18">
        <f t="shared" ref="W8:Z8" si="1">SUM(W6:W7)</f>
        <v>681</v>
      </c>
      <c r="X8" s="18">
        <f t="shared" si="1"/>
        <v>677</v>
      </c>
      <c r="Y8" s="18">
        <f t="shared" si="1"/>
        <v>0</v>
      </c>
      <c r="Z8" s="18">
        <f t="shared" si="1"/>
        <v>0</v>
      </c>
      <c r="AA8" s="51">
        <f>SUM(W8:Z8)</f>
        <v>1358</v>
      </c>
    </row>
    <row r="9" spans="2:27" x14ac:dyDescent="0.25">
      <c r="B9" s="13" t="s">
        <v>117</v>
      </c>
      <c r="C9" s="33"/>
      <c r="D9" s="33"/>
      <c r="E9" s="33"/>
      <c r="F9" s="33"/>
      <c r="G9" s="36"/>
      <c r="H9" s="33">
        <f>(H8-C8)/C8</f>
        <v>0.15352697095435686</v>
      </c>
      <c r="I9" s="33">
        <f t="shared" ref="I9" si="2">(I8-D8)/D8</f>
        <v>0.12058212058212059</v>
      </c>
      <c r="J9" s="33">
        <f t="shared" ref="J9" si="3">(J8-E8)/E8</f>
        <v>0.10775862068965517</v>
      </c>
      <c r="K9" s="33">
        <f t="shared" ref="K9" si="4">(K8-F8)/F8</f>
        <v>5.859375E-2</v>
      </c>
      <c r="L9" s="36">
        <f>(L8-G8)/G8</f>
        <v>0.10933470861268695</v>
      </c>
      <c r="M9" s="33">
        <f>(M8-H8)/H8</f>
        <v>3.41726618705036E-2</v>
      </c>
      <c r="N9" s="33">
        <f t="shared" ref="N9" si="5">(N8-I8)/I8</f>
        <v>6.3079777365491654E-2</v>
      </c>
      <c r="O9" s="33">
        <f t="shared" ref="O9" si="6">(O8-J8)/J8</f>
        <v>3.6964980544747082E-2</v>
      </c>
      <c r="P9" s="33">
        <f t="shared" ref="P9" si="7">(P8-K8)/K8</f>
        <v>7.7490774907749083E-2</v>
      </c>
      <c r="Q9" s="36">
        <f>(Q8-L8)/L8</f>
        <v>5.2998605299860529E-2</v>
      </c>
      <c r="R9" s="33">
        <f>(R8-M8)/M8</f>
        <v>0.15304347826086956</v>
      </c>
      <c r="S9" s="33">
        <f t="shared" ref="S9:U9" si="8">(S8-N8)/N8</f>
        <v>9.2495636998254804E-2</v>
      </c>
      <c r="T9" s="33">
        <f t="shared" si="8"/>
        <v>9.193245778611632E-2</v>
      </c>
      <c r="U9" s="33">
        <f t="shared" si="8"/>
        <v>8.0479452054794523E-2</v>
      </c>
      <c r="V9" s="36">
        <f>(V8-Q8)/Q8</f>
        <v>0.10463576158940398</v>
      </c>
      <c r="W9" s="33">
        <f>(W8-R8)/R8</f>
        <v>2.7149321266968326E-2</v>
      </c>
      <c r="X9" s="33">
        <f t="shared" ref="X9" si="9">(X8-S8)/S8</f>
        <v>8.1469648562300323E-2</v>
      </c>
      <c r="Y9" s="33">
        <f t="shared" ref="Y9" si="10">(Y8-T8)/T8</f>
        <v>-1</v>
      </c>
      <c r="Z9" s="33">
        <f t="shared" ref="Z9" si="11">(Z8-U8)/U8</f>
        <v>-1</v>
      </c>
      <c r="AA9" s="36">
        <f>(AA8-V8)/V8</f>
        <v>-0.45723421262989611</v>
      </c>
    </row>
    <row r="10" spans="2:27" s="19" customFormat="1" x14ac:dyDescent="0.25">
      <c r="B10" s="19" t="s">
        <v>93</v>
      </c>
      <c r="C10" s="19">
        <v>82</v>
      </c>
      <c r="D10" s="19">
        <v>114</v>
      </c>
      <c r="E10" s="19">
        <v>72</v>
      </c>
      <c r="F10" s="19">
        <v>70</v>
      </c>
      <c r="G10" s="51">
        <f>SUM(C10:F10)</f>
        <v>338</v>
      </c>
      <c r="H10" s="19">
        <v>124</v>
      </c>
      <c r="I10" s="19">
        <v>160</v>
      </c>
      <c r="J10" s="19">
        <v>146</v>
      </c>
      <c r="K10" s="19">
        <v>129</v>
      </c>
      <c r="L10" s="51">
        <f>SUM(H10:K10)</f>
        <v>559</v>
      </c>
      <c r="M10" s="19">
        <v>156</v>
      </c>
      <c r="N10" s="19">
        <v>185</v>
      </c>
      <c r="O10" s="19">
        <v>161</v>
      </c>
      <c r="P10" s="19">
        <v>165</v>
      </c>
      <c r="Q10" s="51">
        <f>SUM(M10:P10)</f>
        <v>667</v>
      </c>
      <c r="R10" s="19">
        <v>180</v>
      </c>
      <c r="S10" s="19">
        <v>222</v>
      </c>
      <c r="T10" s="19">
        <v>172</v>
      </c>
      <c r="U10" s="19">
        <v>184</v>
      </c>
      <c r="V10" s="51">
        <f>SUM(R10:U10)</f>
        <v>758</v>
      </c>
      <c r="W10" s="19">
        <v>198</v>
      </c>
      <c r="X10" s="19">
        <v>248</v>
      </c>
      <c r="AA10" s="51">
        <f>SUM(W10:Z10)</f>
        <v>446</v>
      </c>
    </row>
    <row r="11" spans="2:27" s="27" customFormat="1" x14ac:dyDescent="0.25">
      <c r="B11" s="57" t="s">
        <v>95</v>
      </c>
      <c r="C11" s="27">
        <v>0.17</v>
      </c>
      <c r="D11" s="27">
        <v>0.24</v>
      </c>
      <c r="E11" s="27">
        <v>0.15</v>
      </c>
      <c r="F11" s="27">
        <v>0.14000000000000001</v>
      </c>
      <c r="G11" s="58">
        <f>G10/G8</f>
        <v>0.17431665807117069</v>
      </c>
      <c r="H11" s="27">
        <v>0.22</v>
      </c>
      <c r="I11" s="27">
        <v>0.3</v>
      </c>
      <c r="J11" s="27">
        <v>0.28000000000000003</v>
      </c>
      <c r="K11" s="27">
        <v>0.24</v>
      </c>
      <c r="L11" s="58">
        <f>L10/L8</f>
        <v>0.25987912598791257</v>
      </c>
      <c r="M11" s="27">
        <v>0.27</v>
      </c>
      <c r="N11" s="27">
        <v>0.32</v>
      </c>
      <c r="O11" s="27">
        <v>0.3</v>
      </c>
      <c r="P11" s="27">
        <v>0.28000000000000003</v>
      </c>
      <c r="Q11" s="58">
        <f>Q10/Q8</f>
        <v>0.29448123620309052</v>
      </c>
      <c r="R11" s="27">
        <v>0.28999999999999998</v>
      </c>
      <c r="S11" s="27">
        <v>0.35</v>
      </c>
      <c r="T11" s="27">
        <v>0.3</v>
      </c>
      <c r="U11" s="27">
        <v>0.28999999999999998</v>
      </c>
      <c r="V11" s="58">
        <f>V10/V8</f>
        <v>0.30295763389288571</v>
      </c>
      <c r="W11" s="27">
        <v>0.28999999999999998</v>
      </c>
      <c r="X11" s="27">
        <v>0.37</v>
      </c>
      <c r="AA11" s="58">
        <f>AA10/AA8</f>
        <v>0.32842415316642121</v>
      </c>
    </row>
    <row r="12" spans="2:27" x14ac:dyDescent="0.25">
      <c r="B12" s="2" t="s">
        <v>96</v>
      </c>
      <c r="C12" s="2">
        <v>40</v>
      </c>
      <c r="D12" s="2">
        <v>74</v>
      </c>
      <c r="E12" s="2">
        <v>31</v>
      </c>
      <c r="F12" s="2">
        <v>-9</v>
      </c>
      <c r="G12" s="34">
        <f>SUM(C12:F12)</f>
        <v>136</v>
      </c>
      <c r="H12" s="2">
        <v>89</v>
      </c>
      <c r="I12" s="2">
        <v>140</v>
      </c>
      <c r="J12" s="2">
        <v>117</v>
      </c>
      <c r="K12" s="2">
        <v>91</v>
      </c>
      <c r="L12" s="34">
        <f>SUM(H12:K12)</f>
        <v>437</v>
      </c>
      <c r="M12" s="2">
        <v>119</v>
      </c>
      <c r="N12" s="2">
        <v>157</v>
      </c>
      <c r="O12" s="2">
        <v>131</v>
      </c>
      <c r="P12" s="2">
        <v>131</v>
      </c>
      <c r="Q12" s="34">
        <f>SUM(M12:P12)</f>
        <v>538</v>
      </c>
      <c r="R12" s="2">
        <v>145</v>
      </c>
      <c r="S12" s="2">
        <v>189</v>
      </c>
      <c r="T12" s="2">
        <v>137</v>
      </c>
      <c r="U12" s="2">
        <v>148</v>
      </c>
      <c r="V12" s="34">
        <f>SUM(R12:U12)</f>
        <v>619</v>
      </c>
      <c r="W12" s="2">
        <v>160</v>
      </c>
      <c r="X12" s="2">
        <v>213</v>
      </c>
      <c r="AA12" s="34">
        <f>SUM(W12:Z12)</f>
        <v>373</v>
      </c>
    </row>
    <row r="13" spans="2:27" s="23" customFormat="1" x14ac:dyDescent="0.25">
      <c r="B13" s="23" t="s">
        <v>156</v>
      </c>
      <c r="C13" s="59">
        <f t="shared" ref="C13:U13" si="12">C12/C6</f>
        <v>0.10752688172043011</v>
      </c>
      <c r="D13" s="50">
        <f t="shared" si="12"/>
        <v>0.19525065963060687</v>
      </c>
      <c r="E13" s="50">
        <f t="shared" si="12"/>
        <v>8.0729166666666671E-2</v>
      </c>
      <c r="F13" s="60">
        <f t="shared" si="12"/>
        <v>-2.2113022113022112E-2</v>
      </c>
      <c r="G13" s="61">
        <f t="shared" si="12"/>
        <v>8.8197146562905324E-2</v>
      </c>
      <c r="H13" s="59">
        <f t="shared" si="12"/>
        <v>0.2</v>
      </c>
      <c r="I13" s="50">
        <f t="shared" si="12"/>
        <v>0.3160270880361174</v>
      </c>
      <c r="J13" s="50">
        <f t="shared" si="12"/>
        <v>0.27272727272727271</v>
      </c>
      <c r="K13" s="60">
        <f t="shared" si="12"/>
        <v>0.20403587443946189</v>
      </c>
      <c r="L13" s="61">
        <f t="shared" si="12"/>
        <v>0.24787294384571754</v>
      </c>
      <c r="M13" s="59">
        <f t="shared" si="12"/>
        <v>0.2521186440677966</v>
      </c>
      <c r="N13" s="50">
        <f t="shared" si="12"/>
        <v>0.33192389006342493</v>
      </c>
      <c r="O13" s="50">
        <f t="shared" si="12"/>
        <v>0.28540305010893247</v>
      </c>
      <c r="P13" s="60">
        <f t="shared" si="12"/>
        <v>0.27066115702479338</v>
      </c>
      <c r="Q13" s="61">
        <f t="shared" si="12"/>
        <v>0.28495762711864409</v>
      </c>
      <c r="R13" s="59">
        <f t="shared" si="12"/>
        <v>0.26268115942028986</v>
      </c>
      <c r="S13" s="50">
        <f t="shared" si="12"/>
        <v>0.36068702290076338</v>
      </c>
      <c r="T13" s="50">
        <f t="shared" si="12"/>
        <v>0.27345309381237526</v>
      </c>
      <c r="U13" s="60">
        <f t="shared" si="12"/>
        <v>0.28190476190476188</v>
      </c>
      <c r="V13" s="61">
        <f>V12/V6</f>
        <v>0.2944814462416746</v>
      </c>
      <c r="W13" s="59">
        <f t="shared" ref="W13" si="13">W12/W6</f>
        <v>0.2821869488536155</v>
      </c>
      <c r="X13" s="50">
        <f>X12/X6</f>
        <v>0.37434094903339193</v>
      </c>
      <c r="Y13" s="50" t="e">
        <f t="shared" ref="Y13" si="14">Y12/Y6</f>
        <v>#DIV/0!</v>
      </c>
      <c r="Z13" s="60" t="e">
        <f t="shared" ref="Z13" si="15">Z12/Z6</f>
        <v>#DIV/0!</v>
      </c>
      <c r="AA13" s="61"/>
    </row>
    <row r="14" spans="2:27" x14ac:dyDescent="0.25">
      <c r="B14" s="21" t="s">
        <v>49</v>
      </c>
      <c r="C14" s="21">
        <v>12</v>
      </c>
      <c r="D14" s="21">
        <v>38</v>
      </c>
      <c r="E14" s="21">
        <v>5</v>
      </c>
      <c r="F14" s="21">
        <v>-29</v>
      </c>
      <c r="G14" s="38">
        <f>SUM(C14:F14)</f>
        <v>26</v>
      </c>
      <c r="H14" s="21">
        <v>50</v>
      </c>
      <c r="I14" s="21">
        <v>91</v>
      </c>
      <c r="J14" s="21">
        <v>74</v>
      </c>
      <c r="K14" s="21">
        <v>85</v>
      </c>
      <c r="L14" s="38">
        <f>SUM(H14:K14)</f>
        <v>300</v>
      </c>
      <c r="M14" s="21">
        <v>76</v>
      </c>
      <c r="N14" s="21">
        <v>108</v>
      </c>
      <c r="O14" s="21">
        <v>84</v>
      </c>
      <c r="P14" s="21">
        <v>108</v>
      </c>
      <c r="Q14" s="38">
        <f>SUM(M14:P14)</f>
        <v>376</v>
      </c>
      <c r="R14" s="21">
        <v>97</v>
      </c>
      <c r="S14" s="21">
        <v>131</v>
      </c>
      <c r="T14" s="21">
        <v>92</v>
      </c>
      <c r="U14" s="21">
        <v>93</v>
      </c>
      <c r="V14" s="38">
        <f>SUM(R14:U14)</f>
        <v>413</v>
      </c>
      <c r="W14" s="21">
        <v>130</v>
      </c>
      <c r="X14" s="21">
        <v>157</v>
      </c>
      <c r="Y14" s="21"/>
      <c r="Z14" s="21"/>
      <c r="AA14" s="38">
        <f>SUM(W14:Z14)</f>
        <v>287</v>
      </c>
    </row>
    <row r="15" spans="2:27" x14ac:dyDescent="0.25">
      <c r="B15" s="2" t="s">
        <v>97</v>
      </c>
      <c r="C15" s="2">
        <v>115</v>
      </c>
      <c r="D15" s="2">
        <v>115</v>
      </c>
      <c r="E15" s="2">
        <v>122</v>
      </c>
      <c r="F15" s="2">
        <v>122</v>
      </c>
      <c r="G15" s="35"/>
      <c r="H15" s="2">
        <v>121</v>
      </c>
      <c r="I15" s="2">
        <v>118</v>
      </c>
      <c r="J15" s="2">
        <v>119</v>
      </c>
      <c r="K15" s="2">
        <v>119</v>
      </c>
      <c r="L15" s="35"/>
      <c r="M15" s="2">
        <v>118</v>
      </c>
      <c r="N15" s="2">
        <v>117</v>
      </c>
      <c r="O15" s="2">
        <v>117</v>
      </c>
      <c r="P15" s="2">
        <v>117</v>
      </c>
      <c r="Q15" s="35"/>
      <c r="R15" s="2">
        <v>118</v>
      </c>
      <c r="S15" s="2">
        <v>119</v>
      </c>
      <c r="T15" s="2">
        <v>119</v>
      </c>
      <c r="U15" s="2">
        <v>120</v>
      </c>
      <c r="V15" s="35"/>
      <c r="W15" s="2">
        <v>119</v>
      </c>
      <c r="X15" s="2">
        <v>118</v>
      </c>
      <c r="AA15" s="35"/>
    </row>
    <row r="16" spans="2:27" x14ac:dyDescent="0.25">
      <c r="B16" s="2" t="s">
        <v>98</v>
      </c>
      <c r="C16" s="2">
        <v>310</v>
      </c>
      <c r="D16" s="2">
        <v>302</v>
      </c>
      <c r="E16" s="2">
        <v>322</v>
      </c>
      <c r="F16" s="2">
        <v>325</v>
      </c>
      <c r="G16" s="35"/>
      <c r="H16" s="2">
        <v>330</v>
      </c>
      <c r="I16" s="2">
        <v>319</v>
      </c>
      <c r="J16" s="2">
        <v>326</v>
      </c>
      <c r="K16" s="2">
        <v>326</v>
      </c>
      <c r="L16" s="35"/>
      <c r="M16" s="2">
        <v>331</v>
      </c>
      <c r="N16" s="2">
        <v>324</v>
      </c>
      <c r="O16" s="2">
        <v>329</v>
      </c>
      <c r="P16" s="2">
        <v>332</v>
      </c>
      <c r="Q16" s="35"/>
      <c r="R16" s="2">
        <v>346</v>
      </c>
      <c r="S16" s="2">
        <v>339</v>
      </c>
      <c r="T16" s="2">
        <v>347</v>
      </c>
      <c r="U16" s="2">
        <v>345</v>
      </c>
      <c r="V16" s="35"/>
      <c r="W16" s="2">
        <v>351</v>
      </c>
      <c r="X16" s="2">
        <v>341</v>
      </c>
      <c r="AA16" s="35"/>
    </row>
    <row r="17" spans="2:27" ht="20" thickBot="1" x14ac:dyDescent="0.3">
      <c r="B17" s="22" t="s">
        <v>99</v>
      </c>
      <c r="C17" s="22">
        <v>525</v>
      </c>
      <c r="D17" s="22">
        <v>524</v>
      </c>
      <c r="E17" s="22">
        <v>496</v>
      </c>
      <c r="F17" s="22">
        <v>528</v>
      </c>
      <c r="G17" s="39"/>
      <c r="H17" s="22">
        <v>566</v>
      </c>
      <c r="I17" s="22">
        <v>554</v>
      </c>
      <c r="J17" s="22">
        <v>531</v>
      </c>
      <c r="K17" s="22">
        <v>555</v>
      </c>
      <c r="L17" s="39"/>
      <c r="M17" s="22">
        <v>583</v>
      </c>
      <c r="N17" s="22">
        <v>583</v>
      </c>
      <c r="O17" s="22">
        <v>544</v>
      </c>
      <c r="P17" s="22">
        <v>589</v>
      </c>
      <c r="Q17" s="39"/>
      <c r="R17" s="22">
        <v>622</v>
      </c>
      <c r="S17" s="22">
        <v>609</v>
      </c>
      <c r="T17" s="22">
        <v>566</v>
      </c>
      <c r="U17" s="22">
        <v>607</v>
      </c>
      <c r="V17" s="39"/>
      <c r="W17" s="22">
        <v>653</v>
      </c>
      <c r="X17" s="22">
        <v>652</v>
      </c>
      <c r="Y17" s="22"/>
      <c r="Z17" s="22"/>
      <c r="AA17" s="39"/>
    </row>
    <row r="18" spans="2:27" x14ac:dyDescent="0.25">
      <c r="B18" s="1" t="s">
        <v>39</v>
      </c>
      <c r="G18" s="35"/>
      <c r="L18" s="35"/>
      <c r="Q18" s="35"/>
      <c r="V18" s="35"/>
      <c r="AA18" s="35"/>
    </row>
    <row r="19" spans="2:27" s="19" customFormat="1" x14ac:dyDescent="0.25">
      <c r="B19" s="19" t="s">
        <v>91</v>
      </c>
      <c r="C19" s="19">
        <v>269</v>
      </c>
      <c r="D19" s="19">
        <v>272</v>
      </c>
      <c r="E19" s="19">
        <v>264</v>
      </c>
      <c r="F19" s="19">
        <v>282</v>
      </c>
      <c r="G19" s="51">
        <f>SUM(C19:F19)</f>
        <v>1087</v>
      </c>
      <c r="H19" s="19">
        <v>315</v>
      </c>
      <c r="I19" s="19">
        <v>326</v>
      </c>
      <c r="J19" s="19">
        <v>303</v>
      </c>
      <c r="K19" s="19">
        <v>337</v>
      </c>
      <c r="L19" s="51">
        <f>SUM(H19:K19)</f>
        <v>1281</v>
      </c>
      <c r="M19" s="19">
        <v>348</v>
      </c>
      <c r="N19" s="19">
        <v>346</v>
      </c>
      <c r="O19" s="19">
        <v>344</v>
      </c>
      <c r="P19" s="19">
        <v>359</v>
      </c>
      <c r="Q19" s="51">
        <f>SUM(M19:P19)</f>
        <v>1397</v>
      </c>
      <c r="R19" s="19">
        <v>377</v>
      </c>
      <c r="S19" s="19">
        <v>390</v>
      </c>
      <c r="T19" s="19">
        <v>374</v>
      </c>
      <c r="U19" s="19">
        <v>399</v>
      </c>
      <c r="V19" s="51">
        <f>SUM(R19:U19)</f>
        <v>1540</v>
      </c>
      <c r="W19" s="19">
        <v>410</v>
      </c>
      <c r="X19" s="19">
        <v>394</v>
      </c>
      <c r="AA19" s="51">
        <f>SUM(W19:Z19)</f>
        <v>804</v>
      </c>
    </row>
    <row r="20" spans="2:27" s="19" customFormat="1" x14ac:dyDescent="0.25">
      <c r="B20" s="19" t="s">
        <v>92</v>
      </c>
      <c r="C20" s="19">
        <v>78</v>
      </c>
      <c r="D20" s="19">
        <v>78</v>
      </c>
      <c r="E20" s="19">
        <v>55</v>
      </c>
      <c r="F20" s="19">
        <v>78</v>
      </c>
      <c r="G20" s="51">
        <f>SUM(C20:F20)</f>
        <v>289</v>
      </c>
      <c r="H20" s="19">
        <v>85</v>
      </c>
      <c r="I20" s="19">
        <v>83</v>
      </c>
      <c r="J20" s="19">
        <v>63</v>
      </c>
      <c r="K20" s="19">
        <v>85</v>
      </c>
      <c r="L20" s="51">
        <f>SUM(H20:K20)</f>
        <v>316</v>
      </c>
      <c r="M20" s="19">
        <v>85</v>
      </c>
      <c r="N20" s="19">
        <v>80</v>
      </c>
      <c r="O20" s="19">
        <v>60</v>
      </c>
      <c r="P20" s="19">
        <v>86</v>
      </c>
      <c r="Q20" s="51">
        <f>SUM(M20:P20)</f>
        <v>311</v>
      </c>
      <c r="R20" s="19">
        <v>92</v>
      </c>
      <c r="S20" s="19">
        <v>93</v>
      </c>
      <c r="T20" s="19">
        <v>70</v>
      </c>
      <c r="U20" s="19">
        <v>101</v>
      </c>
      <c r="V20" s="51">
        <f>SUM(R20:U20)</f>
        <v>356</v>
      </c>
      <c r="W20" s="19">
        <v>98</v>
      </c>
      <c r="X20" s="19">
        <v>96</v>
      </c>
      <c r="AA20" s="51">
        <f>SUM(W20:Z20)</f>
        <v>194</v>
      </c>
    </row>
    <row r="21" spans="2:27" s="19" customFormat="1" x14ac:dyDescent="0.25">
      <c r="B21" s="18" t="s">
        <v>94</v>
      </c>
      <c r="C21" s="18">
        <f t="shared" ref="C21:N21" si="16">SUM(C19:C20)</f>
        <v>347</v>
      </c>
      <c r="D21" s="18">
        <f t="shared" si="16"/>
        <v>350</v>
      </c>
      <c r="E21" s="18">
        <f t="shared" si="16"/>
        <v>319</v>
      </c>
      <c r="F21" s="18">
        <f t="shared" si="16"/>
        <v>360</v>
      </c>
      <c r="G21" s="51">
        <f>SUM(C21:F21)</f>
        <v>1376</v>
      </c>
      <c r="H21" s="18">
        <f t="shared" si="16"/>
        <v>400</v>
      </c>
      <c r="I21" s="18">
        <f t="shared" si="16"/>
        <v>409</v>
      </c>
      <c r="J21" s="18">
        <f t="shared" si="16"/>
        <v>366</v>
      </c>
      <c r="K21" s="18">
        <f t="shared" si="16"/>
        <v>422</v>
      </c>
      <c r="L21" s="51">
        <f>SUM(H21:K21)</f>
        <v>1597</v>
      </c>
      <c r="M21" s="18">
        <f t="shared" si="16"/>
        <v>433</v>
      </c>
      <c r="N21" s="18">
        <f t="shared" si="16"/>
        <v>426</v>
      </c>
      <c r="O21" s="18">
        <v>404</v>
      </c>
      <c r="P21" s="18">
        <f>SUM(P19:P20)</f>
        <v>445</v>
      </c>
      <c r="Q21" s="51">
        <f>SUM(M21:P21)</f>
        <v>1708</v>
      </c>
      <c r="R21" s="18">
        <f t="shared" ref="R21:U21" si="17">SUM(R19:R20)</f>
        <v>469</v>
      </c>
      <c r="S21" s="18">
        <f t="shared" si="17"/>
        <v>483</v>
      </c>
      <c r="T21" s="18">
        <f t="shared" si="17"/>
        <v>444</v>
      </c>
      <c r="U21" s="18">
        <f t="shared" si="17"/>
        <v>500</v>
      </c>
      <c r="V21" s="51">
        <f>SUM(R21:U21)</f>
        <v>1896</v>
      </c>
      <c r="W21" s="18">
        <f t="shared" ref="W21:Z21" si="18">SUM(W19:W20)</f>
        <v>508</v>
      </c>
      <c r="X21" s="18">
        <f t="shared" si="18"/>
        <v>490</v>
      </c>
      <c r="Y21" s="18">
        <f t="shared" si="18"/>
        <v>0</v>
      </c>
      <c r="Z21" s="18">
        <f t="shared" si="18"/>
        <v>0</v>
      </c>
      <c r="AA21" s="51">
        <f>SUM(W21:Z21)</f>
        <v>998</v>
      </c>
    </row>
    <row r="22" spans="2:27" x14ac:dyDescent="0.25">
      <c r="B22" s="13" t="s">
        <v>117</v>
      </c>
      <c r="C22" s="33"/>
      <c r="D22" s="33"/>
      <c r="E22" s="33"/>
      <c r="F22" s="33"/>
      <c r="G22" s="36"/>
      <c r="H22" s="33">
        <f>(H21-C21)/C21</f>
        <v>0.15273775216138327</v>
      </c>
      <c r="I22" s="33">
        <f t="shared" ref="I22" si="19">(I21-D21)/D21</f>
        <v>0.16857142857142857</v>
      </c>
      <c r="J22" s="33">
        <f t="shared" ref="J22" si="20">(J21-E21)/E21</f>
        <v>0.14733542319749215</v>
      </c>
      <c r="K22" s="33">
        <f t="shared" ref="K22" si="21">(K21-F21)/F21</f>
        <v>0.17222222222222222</v>
      </c>
      <c r="L22" s="36">
        <f>(L21-G21)/G21</f>
        <v>0.16061046511627908</v>
      </c>
      <c r="M22" s="33">
        <f>(M21-H21)/H21</f>
        <v>8.2500000000000004E-2</v>
      </c>
      <c r="N22" s="33">
        <f t="shared" ref="N22" si="22">(N21-I21)/I21</f>
        <v>4.1564792176039117E-2</v>
      </c>
      <c r="O22" s="33">
        <f t="shared" ref="O22" si="23">(O21-J21)/J21</f>
        <v>0.10382513661202186</v>
      </c>
      <c r="P22" s="33">
        <f t="shared" ref="P22" si="24">(P21-K21)/K21</f>
        <v>5.4502369668246446E-2</v>
      </c>
      <c r="Q22" s="36">
        <f>(Q21-L21)/L21</f>
        <v>6.9505322479649342E-2</v>
      </c>
      <c r="R22" s="33">
        <f>(R21-M21)/M21</f>
        <v>8.3140877598152418E-2</v>
      </c>
      <c r="S22" s="33">
        <f t="shared" ref="S22" si="25">(S21-N21)/N21</f>
        <v>0.13380281690140844</v>
      </c>
      <c r="T22" s="33">
        <f t="shared" ref="T22" si="26">(T21-O21)/O21</f>
        <v>9.9009900990099015E-2</v>
      </c>
      <c r="U22" s="33">
        <f t="shared" ref="U22" si="27">(U21-P21)/P21</f>
        <v>0.12359550561797752</v>
      </c>
      <c r="V22" s="36">
        <f>(V21-Q21)/Q21</f>
        <v>0.11007025761124122</v>
      </c>
      <c r="W22" s="33">
        <f>(W21-R21)/R21</f>
        <v>8.3155650319829424E-2</v>
      </c>
      <c r="X22" s="33">
        <f t="shared" ref="X22" si="28">(X21-S21)/S21</f>
        <v>1.4492753623188406E-2</v>
      </c>
      <c r="Y22" s="33">
        <f t="shared" ref="Y22" si="29">(Y21-T21)/T21</f>
        <v>-1</v>
      </c>
      <c r="Z22" s="33">
        <f t="shared" ref="Z22" si="30">(Z21-U21)/U21</f>
        <v>-1</v>
      </c>
      <c r="AA22" s="36">
        <f>(AA21-V21)/V21</f>
        <v>-0.47362869198312235</v>
      </c>
    </row>
    <row r="23" spans="2:27" x14ac:dyDescent="0.25">
      <c r="B23" s="2" t="s">
        <v>93</v>
      </c>
      <c r="C23" s="2">
        <v>51</v>
      </c>
      <c r="D23" s="2">
        <v>58</v>
      </c>
      <c r="E23" s="2">
        <v>46</v>
      </c>
      <c r="F23" s="2">
        <v>37</v>
      </c>
      <c r="G23" s="34">
        <f>SUM(C23:F23)</f>
        <v>192</v>
      </c>
      <c r="H23" s="2">
        <v>81</v>
      </c>
      <c r="I23" s="2">
        <v>83</v>
      </c>
      <c r="J23" s="2">
        <v>83</v>
      </c>
      <c r="K23" s="2">
        <v>83</v>
      </c>
      <c r="L23" s="34">
        <f>SUM(H23:K23)</f>
        <v>330</v>
      </c>
      <c r="M23" s="2">
        <v>72</v>
      </c>
      <c r="N23" s="2">
        <v>81</v>
      </c>
      <c r="O23" s="2">
        <v>75</v>
      </c>
      <c r="P23" s="2">
        <v>74</v>
      </c>
      <c r="Q23" s="34">
        <f>SUM(M23:P23)</f>
        <v>302</v>
      </c>
      <c r="R23" s="2">
        <v>74</v>
      </c>
      <c r="S23" s="2">
        <v>99</v>
      </c>
      <c r="T23" s="2">
        <v>89</v>
      </c>
      <c r="U23" s="2">
        <v>92</v>
      </c>
      <c r="V23" s="34">
        <f>SUM(R23:U23)</f>
        <v>354</v>
      </c>
      <c r="W23" s="2">
        <v>82</v>
      </c>
      <c r="X23" s="2">
        <v>120</v>
      </c>
      <c r="AA23" s="34">
        <f>SUM(W23:Z23)</f>
        <v>202</v>
      </c>
    </row>
    <row r="24" spans="2:27" s="27" customFormat="1" x14ac:dyDescent="0.25">
      <c r="B24" s="57" t="s">
        <v>95</v>
      </c>
      <c r="C24" s="57">
        <v>0.15</v>
      </c>
      <c r="D24" s="57">
        <v>0.16</v>
      </c>
      <c r="E24" s="57">
        <v>0.14000000000000001</v>
      </c>
      <c r="F24" s="57">
        <v>0.1</v>
      </c>
      <c r="G24" s="58">
        <f>G23/G21</f>
        <v>0.13953488372093023</v>
      </c>
      <c r="H24" s="57">
        <v>0.2</v>
      </c>
      <c r="I24" s="57">
        <v>0.2</v>
      </c>
      <c r="J24" s="57">
        <v>0.23</v>
      </c>
      <c r="K24" s="57">
        <v>0.2</v>
      </c>
      <c r="L24" s="58">
        <f>L23/L21</f>
        <v>0.20663744520976832</v>
      </c>
      <c r="M24" s="57">
        <v>0.17</v>
      </c>
      <c r="N24" s="57">
        <v>0.19</v>
      </c>
      <c r="O24" s="57">
        <v>0.19</v>
      </c>
      <c r="P24" s="57">
        <v>0.17</v>
      </c>
      <c r="Q24" s="58">
        <f>Q23/Q21</f>
        <v>0.17681498829039813</v>
      </c>
      <c r="R24" s="27">
        <v>0.16</v>
      </c>
      <c r="S24" s="27">
        <v>0.2</v>
      </c>
      <c r="T24" s="27">
        <v>0.2</v>
      </c>
      <c r="U24" s="27">
        <v>0.18</v>
      </c>
      <c r="V24" s="58">
        <f>V23/V21</f>
        <v>0.18670886075949367</v>
      </c>
      <c r="W24" s="27">
        <v>0.16</v>
      </c>
      <c r="X24" s="27">
        <v>0.25</v>
      </c>
      <c r="AA24" s="58">
        <f>AA23/AA21</f>
        <v>0.20240480961923848</v>
      </c>
    </row>
    <row r="25" spans="2:27" x14ac:dyDescent="0.25">
      <c r="B25" s="2" t="s">
        <v>96</v>
      </c>
      <c r="C25" s="2">
        <v>9</v>
      </c>
      <c r="D25" s="2">
        <v>18</v>
      </c>
      <c r="E25" s="2">
        <v>6</v>
      </c>
      <c r="F25" s="2">
        <v>-22</v>
      </c>
      <c r="G25" s="34">
        <f>SUM(C25:F25)</f>
        <v>11</v>
      </c>
      <c r="H25" s="2">
        <v>45</v>
      </c>
      <c r="I25" s="2">
        <v>56</v>
      </c>
      <c r="J25" s="2">
        <v>49</v>
      </c>
      <c r="K25" s="2">
        <v>44</v>
      </c>
      <c r="L25" s="34">
        <f>SUM(H25:K25)</f>
        <v>194</v>
      </c>
      <c r="M25" s="2">
        <v>39</v>
      </c>
      <c r="N25" s="2">
        <v>51</v>
      </c>
      <c r="O25" s="2">
        <v>43</v>
      </c>
      <c r="P25" s="2">
        <v>38</v>
      </c>
      <c r="Q25" s="34">
        <f>SUM(M25:P25)</f>
        <v>171</v>
      </c>
      <c r="R25" s="2">
        <v>42</v>
      </c>
      <c r="S25" s="2">
        <v>68</v>
      </c>
      <c r="T25" s="2">
        <v>56</v>
      </c>
      <c r="U25" s="2">
        <v>56</v>
      </c>
      <c r="V25" s="34">
        <f>SUM(R25:U25)</f>
        <v>222</v>
      </c>
      <c r="W25" s="2">
        <v>44</v>
      </c>
      <c r="X25" s="2">
        <v>86</v>
      </c>
      <c r="AA25" s="34">
        <f>SUM(W25:Z25)</f>
        <v>130</v>
      </c>
    </row>
    <row r="26" spans="2:27" s="14" customFormat="1" x14ac:dyDescent="0.25">
      <c r="B26" s="23" t="s">
        <v>156</v>
      </c>
      <c r="C26" s="59">
        <f t="shared" ref="C26" si="31">C25/C19</f>
        <v>3.3457249070631967E-2</v>
      </c>
      <c r="D26" s="50">
        <f t="shared" ref="D26" si="32">D25/D19</f>
        <v>6.6176470588235295E-2</v>
      </c>
      <c r="E26" s="50">
        <f t="shared" ref="E26" si="33">E25/E19</f>
        <v>2.2727272727272728E-2</v>
      </c>
      <c r="F26" s="60">
        <f t="shared" ref="F26" si="34">F25/F19</f>
        <v>-7.8014184397163122E-2</v>
      </c>
      <c r="G26" s="61">
        <f t="shared" ref="G26" si="35">G25/G19</f>
        <v>1.0119595216191352E-2</v>
      </c>
      <c r="H26" s="59">
        <f t="shared" ref="H26" si="36">H25/H19</f>
        <v>0.14285714285714285</v>
      </c>
      <c r="I26" s="50">
        <f t="shared" ref="I26" si="37">I25/I19</f>
        <v>0.17177914110429449</v>
      </c>
      <c r="J26" s="50">
        <f t="shared" ref="J26" si="38">J25/J19</f>
        <v>0.1617161716171617</v>
      </c>
      <c r="K26" s="60">
        <f t="shared" ref="K26" si="39">K25/K19</f>
        <v>0.13056379821958458</v>
      </c>
      <c r="L26" s="61">
        <f t="shared" ref="L26" si="40">L25/L19</f>
        <v>0.15144418423106948</v>
      </c>
      <c r="M26" s="59">
        <f t="shared" ref="M26" si="41">M25/M19</f>
        <v>0.11206896551724138</v>
      </c>
      <c r="N26" s="50">
        <f t="shared" ref="N26" si="42">N25/N19</f>
        <v>0.14739884393063585</v>
      </c>
      <c r="O26" s="50">
        <f t="shared" ref="O26" si="43">O25/O19</f>
        <v>0.125</v>
      </c>
      <c r="P26" s="60">
        <f t="shared" ref="P26" si="44">P25/P19</f>
        <v>0.10584958217270195</v>
      </c>
      <c r="Q26" s="61">
        <f t="shared" ref="Q26" si="45">Q25/Q19</f>
        <v>0.1224051539012169</v>
      </c>
      <c r="R26" s="59">
        <f t="shared" ref="R26" si="46">R25/R19</f>
        <v>0.11140583554376658</v>
      </c>
      <c r="S26" s="50">
        <f t="shared" ref="S26" si="47">S25/S19</f>
        <v>0.17435897435897435</v>
      </c>
      <c r="T26" s="50">
        <f t="shared" ref="T26" si="48">T25/T19</f>
        <v>0.1497326203208556</v>
      </c>
      <c r="U26" s="60">
        <f t="shared" ref="U26" si="49">U25/U19</f>
        <v>0.14035087719298245</v>
      </c>
      <c r="V26" s="61">
        <f>V25/V19</f>
        <v>0.14415584415584415</v>
      </c>
      <c r="W26" s="59">
        <f t="shared" ref="W26" si="50">W25/W19</f>
        <v>0.10731707317073171</v>
      </c>
      <c r="X26" s="50">
        <f t="shared" ref="X26" si="51">X25/X19</f>
        <v>0.21827411167512689</v>
      </c>
      <c r="Y26" s="50" t="e">
        <f t="shared" ref="Y26" si="52">Y25/Y19</f>
        <v>#DIV/0!</v>
      </c>
      <c r="Z26" s="60" t="e">
        <f t="shared" ref="Z26" si="53">Z25/Z19</f>
        <v>#DIV/0!</v>
      </c>
      <c r="AA26" s="37"/>
    </row>
    <row r="27" spans="2:27" x14ac:dyDescent="0.25">
      <c r="B27" s="21" t="s">
        <v>49</v>
      </c>
      <c r="C27" s="21">
        <v>-2</v>
      </c>
      <c r="D27" s="21">
        <v>-1</v>
      </c>
      <c r="E27" s="21">
        <v>-6</v>
      </c>
      <c r="F27" s="21">
        <v>-32</v>
      </c>
      <c r="G27" s="38">
        <f>SUM(C27:F27)</f>
        <v>-41</v>
      </c>
      <c r="H27" s="21">
        <v>24</v>
      </c>
      <c r="I27" s="21">
        <v>25</v>
      </c>
      <c r="J27" s="21">
        <v>23</v>
      </c>
      <c r="K27" s="21">
        <v>23</v>
      </c>
      <c r="L27" s="38">
        <f>SUM(H27:K27)</f>
        <v>95</v>
      </c>
      <c r="M27" s="21">
        <v>13</v>
      </c>
      <c r="N27" s="21">
        <v>20</v>
      </c>
      <c r="O27" s="21">
        <v>20</v>
      </c>
      <c r="P27" s="21">
        <v>4</v>
      </c>
      <c r="Q27" s="38">
        <f>SUM(M27:P27)</f>
        <v>57</v>
      </c>
      <c r="R27" s="21">
        <v>18</v>
      </c>
      <c r="S27" s="21">
        <v>34</v>
      </c>
      <c r="T27" s="21">
        <v>21</v>
      </c>
      <c r="U27" s="21">
        <v>32</v>
      </c>
      <c r="V27" s="38">
        <f>SUM(R27:U27)</f>
        <v>105</v>
      </c>
      <c r="W27" s="21">
        <v>-9</v>
      </c>
      <c r="X27" s="21">
        <v>45</v>
      </c>
      <c r="Y27" s="21"/>
      <c r="Z27" s="21"/>
      <c r="AA27" s="38">
        <f>SUM(W27:Z27)</f>
        <v>36</v>
      </c>
    </row>
    <row r="28" spans="2:27" x14ac:dyDescent="0.25">
      <c r="B28" s="2" t="s">
        <v>97</v>
      </c>
      <c r="C28" s="2">
        <v>90</v>
      </c>
      <c r="D28" s="2">
        <v>92</v>
      </c>
      <c r="E28" s="2">
        <v>94</v>
      </c>
      <c r="F28" s="2">
        <v>92</v>
      </c>
      <c r="G28" s="35"/>
      <c r="H28" s="2">
        <v>92</v>
      </c>
      <c r="I28" s="2">
        <v>94</v>
      </c>
      <c r="J28" s="2">
        <v>95</v>
      </c>
      <c r="K28" s="2">
        <v>95</v>
      </c>
      <c r="L28" s="35"/>
      <c r="M28" s="2">
        <v>96</v>
      </c>
      <c r="N28" s="2">
        <v>96</v>
      </c>
      <c r="O28" s="2">
        <v>96</v>
      </c>
      <c r="P28" s="2">
        <v>95</v>
      </c>
      <c r="Q28" s="35"/>
      <c r="R28" s="2">
        <v>95</v>
      </c>
      <c r="S28" s="2">
        <v>95</v>
      </c>
      <c r="T28" s="2">
        <v>95</v>
      </c>
      <c r="U28" s="2">
        <v>93</v>
      </c>
      <c r="V28" s="35"/>
      <c r="W28" s="2">
        <v>93</v>
      </c>
      <c r="X28" s="2">
        <v>92</v>
      </c>
      <c r="AA28" s="35"/>
    </row>
    <row r="29" spans="2:27" x14ac:dyDescent="0.25">
      <c r="B29" s="2" t="s">
        <v>98</v>
      </c>
      <c r="C29" s="2">
        <v>231</v>
      </c>
      <c r="D29" s="2">
        <v>228</v>
      </c>
      <c r="E29" s="2">
        <v>238</v>
      </c>
      <c r="F29" s="2">
        <v>244</v>
      </c>
      <c r="G29" s="35"/>
      <c r="H29" s="2">
        <v>249</v>
      </c>
      <c r="I29" s="2">
        <v>245</v>
      </c>
      <c r="J29" s="2">
        <v>250</v>
      </c>
      <c r="K29" s="2">
        <v>249</v>
      </c>
      <c r="L29" s="35"/>
      <c r="M29" s="2">
        <v>248</v>
      </c>
      <c r="N29" s="2">
        <v>244</v>
      </c>
      <c r="O29" s="2">
        <v>246</v>
      </c>
      <c r="P29" s="2">
        <v>248</v>
      </c>
      <c r="Q29" s="35"/>
      <c r="R29" s="2">
        <v>254</v>
      </c>
      <c r="S29" s="2">
        <v>250</v>
      </c>
      <c r="T29" s="2">
        <v>256</v>
      </c>
      <c r="U29" s="2">
        <v>256</v>
      </c>
      <c r="V29" s="35"/>
      <c r="W29" s="2">
        <v>262</v>
      </c>
      <c r="X29" s="2">
        <v>254</v>
      </c>
      <c r="AA29" s="35"/>
    </row>
    <row r="30" spans="2:27" ht="20" thickBot="1" x14ac:dyDescent="0.3">
      <c r="B30" s="22" t="s">
        <v>99</v>
      </c>
      <c r="C30" s="22">
        <v>503</v>
      </c>
      <c r="D30" s="22">
        <v>508</v>
      </c>
      <c r="E30" s="22">
        <v>457</v>
      </c>
      <c r="F30" s="22">
        <v>499</v>
      </c>
      <c r="G30" s="39"/>
      <c r="H30" s="22">
        <v>541</v>
      </c>
      <c r="I30" s="22">
        <v>552</v>
      </c>
      <c r="J30" s="22">
        <v>492</v>
      </c>
      <c r="K30" s="22">
        <v>564</v>
      </c>
      <c r="L30" s="39"/>
      <c r="M30" s="22">
        <v>581</v>
      </c>
      <c r="N30" s="22">
        <v>578</v>
      </c>
      <c r="O30" s="22">
        <v>550</v>
      </c>
      <c r="P30" s="22">
        <v>600</v>
      </c>
      <c r="Q30" s="39"/>
      <c r="R30" s="22">
        <v>623</v>
      </c>
      <c r="S30" s="22">
        <v>641</v>
      </c>
      <c r="T30" s="22">
        <v>585</v>
      </c>
      <c r="U30" s="22">
        <v>651</v>
      </c>
      <c r="V30" s="39"/>
      <c r="W30" s="22">
        <v>654</v>
      </c>
      <c r="X30" s="22">
        <v>634</v>
      </c>
      <c r="Y30" s="22"/>
      <c r="Z30" s="22"/>
      <c r="AA30" s="39"/>
    </row>
    <row r="31" spans="2:27" x14ac:dyDescent="0.25">
      <c r="B31" s="1" t="s">
        <v>100</v>
      </c>
      <c r="G31" s="35"/>
      <c r="L31" s="35"/>
      <c r="Q31" s="35"/>
      <c r="V31" s="35"/>
      <c r="AA31" s="35"/>
    </row>
    <row r="32" spans="2:27" x14ac:dyDescent="0.25">
      <c r="B32" s="2" t="s">
        <v>91</v>
      </c>
      <c r="C32" s="2">
        <v>53</v>
      </c>
      <c r="D32" s="2">
        <v>73</v>
      </c>
      <c r="E32" s="2">
        <v>72</v>
      </c>
      <c r="F32" s="2">
        <v>83</v>
      </c>
      <c r="G32" s="34">
        <f>SUM(C32:F32)</f>
        <v>281</v>
      </c>
      <c r="H32" s="2">
        <v>94</v>
      </c>
      <c r="I32" s="2">
        <v>100</v>
      </c>
      <c r="J32" s="2">
        <v>93</v>
      </c>
      <c r="K32" s="2">
        <v>102</v>
      </c>
      <c r="L32" s="34">
        <f>SUM(H32:K32)</f>
        <v>389</v>
      </c>
      <c r="M32" s="2">
        <v>105</v>
      </c>
      <c r="N32" s="2">
        <v>106</v>
      </c>
      <c r="O32" s="2">
        <v>101</v>
      </c>
      <c r="P32" s="2">
        <v>110</v>
      </c>
      <c r="Q32" s="34">
        <f>SUM(M32:P32)</f>
        <v>422</v>
      </c>
      <c r="R32" s="2">
        <v>109</v>
      </c>
      <c r="S32" s="2">
        <v>108</v>
      </c>
      <c r="T32" s="2">
        <v>103</v>
      </c>
      <c r="U32" s="2">
        <v>113</v>
      </c>
      <c r="V32" s="34">
        <f>SUM(R32:U32)</f>
        <v>433</v>
      </c>
      <c r="W32" s="2">
        <v>113</v>
      </c>
      <c r="X32" s="2">
        <v>107</v>
      </c>
      <c r="AA32" s="34">
        <f>SUM(W32:Z32)</f>
        <v>220</v>
      </c>
    </row>
    <row r="33" spans="2:27" x14ac:dyDescent="0.25">
      <c r="B33" s="2" t="s">
        <v>92</v>
      </c>
      <c r="C33" s="2">
        <v>31</v>
      </c>
      <c r="D33" s="2">
        <v>18</v>
      </c>
      <c r="E33" s="2">
        <v>14</v>
      </c>
      <c r="F33" s="2">
        <v>18</v>
      </c>
      <c r="G33" s="34">
        <f>SUM(C33:F33)</f>
        <v>81</v>
      </c>
      <c r="H33" s="2">
        <v>23</v>
      </c>
      <c r="I33" s="2">
        <v>19</v>
      </c>
      <c r="J33" s="2">
        <v>15</v>
      </c>
      <c r="K33" s="2">
        <v>19</v>
      </c>
      <c r="L33" s="34">
        <f>SUM(H33:K33)</f>
        <v>76</v>
      </c>
      <c r="M33" s="2">
        <v>21</v>
      </c>
      <c r="N33" s="2">
        <v>19</v>
      </c>
      <c r="O33" s="2">
        <v>17</v>
      </c>
      <c r="P33" s="2">
        <v>22</v>
      </c>
      <c r="Q33" s="34">
        <f>SUM(M33:P33)</f>
        <v>79</v>
      </c>
      <c r="R33" s="2">
        <v>24</v>
      </c>
      <c r="S33" s="2">
        <v>21</v>
      </c>
      <c r="T33" s="2">
        <v>18</v>
      </c>
      <c r="U33" s="2">
        <v>22</v>
      </c>
      <c r="V33" s="34">
        <f>SUM(R33:U33)</f>
        <v>85</v>
      </c>
      <c r="W33" s="2">
        <v>23</v>
      </c>
      <c r="X33" s="2">
        <v>22</v>
      </c>
      <c r="AA33" s="34">
        <f>SUM(W33:Z33)</f>
        <v>45</v>
      </c>
    </row>
    <row r="34" spans="2:27" x14ac:dyDescent="0.25">
      <c r="B34" s="1" t="s">
        <v>94</v>
      </c>
      <c r="C34" s="1">
        <v>83</v>
      </c>
      <c r="D34" s="1">
        <v>91</v>
      </c>
      <c r="E34" s="1">
        <v>86</v>
      </c>
      <c r="F34" s="1">
        <v>101</v>
      </c>
      <c r="G34" s="34">
        <f>SUM(C34:F34)</f>
        <v>361</v>
      </c>
      <c r="H34" s="1">
        <v>117</v>
      </c>
      <c r="I34" s="1">
        <v>119</v>
      </c>
      <c r="J34" s="1">
        <v>109</v>
      </c>
      <c r="K34" s="1">
        <v>121</v>
      </c>
      <c r="L34" s="34">
        <f>SUM(H34:K34)</f>
        <v>466</v>
      </c>
      <c r="M34" s="1">
        <v>126</v>
      </c>
      <c r="N34" s="1">
        <v>125</v>
      </c>
      <c r="O34" s="1">
        <f>SUM(O32:O33)</f>
        <v>118</v>
      </c>
      <c r="P34" s="1">
        <f>SUM(P32:P33)</f>
        <v>132</v>
      </c>
      <c r="Q34" s="34">
        <f>SUM(M34:P34)</f>
        <v>501</v>
      </c>
      <c r="R34" s="1">
        <f t="shared" ref="R34:U34" si="54">SUM(R32:R33)</f>
        <v>133</v>
      </c>
      <c r="S34" s="1">
        <f t="shared" si="54"/>
        <v>129</v>
      </c>
      <c r="T34" s="1">
        <f t="shared" si="54"/>
        <v>121</v>
      </c>
      <c r="U34" s="1">
        <f t="shared" si="54"/>
        <v>135</v>
      </c>
      <c r="V34" s="34">
        <f>SUM(R34:U34)</f>
        <v>518</v>
      </c>
      <c r="W34" s="1">
        <f t="shared" ref="W34:Z34" si="55">SUM(W32:W33)</f>
        <v>136</v>
      </c>
      <c r="X34" s="1">
        <f t="shared" si="55"/>
        <v>129</v>
      </c>
      <c r="Y34" s="1">
        <f t="shared" si="55"/>
        <v>0</v>
      </c>
      <c r="Z34" s="1">
        <f t="shared" si="55"/>
        <v>0</v>
      </c>
      <c r="AA34" s="34">
        <f>SUM(W34:Z34)</f>
        <v>265</v>
      </c>
    </row>
    <row r="35" spans="2:27" x14ac:dyDescent="0.25">
      <c r="B35" s="13" t="s">
        <v>117</v>
      </c>
      <c r="C35" s="33"/>
      <c r="D35" s="33"/>
      <c r="E35" s="33"/>
      <c r="F35" s="33"/>
      <c r="G35" s="36"/>
      <c r="H35" s="33">
        <f>(H34-C34)/C34</f>
        <v>0.40963855421686746</v>
      </c>
      <c r="I35" s="33">
        <f t="shared" ref="I35" si="56">(I34-D34)/D34</f>
        <v>0.30769230769230771</v>
      </c>
      <c r="J35" s="33">
        <f t="shared" ref="J35" si="57">(J34-E34)/E34</f>
        <v>0.26744186046511625</v>
      </c>
      <c r="K35" s="33">
        <f t="shared" ref="K35" si="58">(K34-F34)/F34</f>
        <v>0.19801980198019803</v>
      </c>
      <c r="L35" s="36">
        <f>(L34-G34)/G34</f>
        <v>0.29085872576177285</v>
      </c>
      <c r="M35" s="33">
        <f>(M34-H34)/H34</f>
        <v>7.6923076923076927E-2</v>
      </c>
      <c r="N35" s="33">
        <f t="shared" ref="N35" si="59">(N34-I34)/I34</f>
        <v>5.0420168067226892E-2</v>
      </c>
      <c r="O35" s="33">
        <f t="shared" ref="O35" si="60">(O34-J34)/J34</f>
        <v>8.2568807339449546E-2</v>
      </c>
      <c r="P35" s="33">
        <f t="shared" ref="P35" si="61">(P34-K34)/K34</f>
        <v>9.0909090909090912E-2</v>
      </c>
      <c r="Q35" s="36">
        <f>(Q34-L34)/L34</f>
        <v>7.5107296137339061E-2</v>
      </c>
      <c r="R35" s="33">
        <f>(R34-M34)/M34</f>
        <v>5.5555555555555552E-2</v>
      </c>
      <c r="S35" s="33">
        <f t="shared" ref="S35" si="62">(S34-N34)/N34</f>
        <v>3.2000000000000001E-2</v>
      </c>
      <c r="T35" s="33">
        <f t="shared" ref="T35" si="63">(T34-O34)/O34</f>
        <v>2.5423728813559324E-2</v>
      </c>
      <c r="U35" s="33">
        <f t="shared" ref="U35" si="64">(U34-P34)/P34</f>
        <v>2.2727272727272728E-2</v>
      </c>
      <c r="V35" s="36">
        <f>(V34-Q34)/Q34</f>
        <v>3.3932135728542916E-2</v>
      </c>
      <c r="W35" s="33">
        <f>(W34-R34)/R34</f>
        <v>2.2556390977443608E-2</v>
      </c>
      <c r="X35" s="33">
        <f t="shared" ref="X35" si="65">(X34-S34)/S34</f>
        <v>0</v>
      </c>
      <c r="Y35" s="33">
        <f t="shared" ref="Y35" si="66">(Y34-T34)/T34</f>
        <v>-1</v>
      </c>
      <c r="Z35" s="33">
        <f t="shared" ref="Z35" si="67">(Z34-U34)/U34</f>
        <v>-1</v>
      </c>
      <c r="AA35" s="36">
        <f>(AA34-V34)/V34</f>
        <v>-0.48841698841698844</v>
      </c>
    </row>
    <row r="36" spans="2:27" x14ac:dyDescent="0.25">
      <c r="B36" s="2" t="s">
        <v>93</v>
      </c>
      <c r="C36" s="2">
        <v>-3</v>
      </c>
      <c r="D36" s="2">
        <v>2</v>
      </c>
      <c r="E36" s="2">
        <v>-1</v>
      </c>
      <c r="F36" s="2">
        <v>4</v>
      </c>
      <c r="G36" s="34">
        <f>SUM(C36:F36)</f>
        <v>2</v>
      </c>
      <c r="H36" s="2">
        <v>15</v>
      </c>
      <c r="I36" s="2">
        <v>16</v>
      </c>
      <c r="J36" s="2">
        <v>16</v>
      </c>
      <c r="K36" s="2">
        <v>2</v>
      </c>
      <c r="L36" s="34">
        <f>SUM(H36:K36)</f>
        <v>49</v>
      </c>
      <c r="M36" s="2">
        <v>9</v>
      </c>
      <c r="N36" s="2">
        <v>15</v>
      </c>
      <c r="O36" s="2">
        <v>11</v>
      </c>
      <c r="P36" s="2">
        <v>17</v>
      </c>
      <c r="Q36" s="34">
        <f>SUM(M36:P36)</f>
        <v>52</v>
      </c>
      <c r="R36" s="2">
        <v>11</v>
      </c>
      <c r="S36" s="2">
        <v>19</v>
      </c>
      <c r="T36" s="2">
        <v>12</v>
      </c>
      <c r="U36" s="2">
        <v>16</v>
      </c>
      <c r="V36" s="34">
        <f>SUM(R36:U36)</f>
        <v>58</v>
      </c>
      <c r="W36" s="2">
        <v>11</v>
      </c>
      <c r="X36" s="2">
        <v>19</v>
      </c>
      <c r="AA36" s="34">
        <f>SUM(W36:Z36)</f>
        <v>30</v>
      </c>
    </row>
    <row r="37" spans="2:27" s="27" customFormat="1" x14ac:dyDescent="0.25">
      <c r="B37" s="57" t="s">
        <v>95</v>
      </c>
      <c r="C37" s="57">
        <v>-0.03</v>
      </c>
      <c r="D37" s="57">
        <v>0.02</v>
      </c>
      <c r="E37" s="57">
        <v>-0.02</v>
      </c>
      <c r="F37" s="57">
        <v>0.03</v>
      </c>
      <c r="G37" s="58">
        <f>G36/G34</f>
        <v>5.5401662049861496E-3</v>
      </c>
      <c r="H37" s="57">
        <v>0.13</v>
      </c>
      <c r="I37" s="57">
        <v>0.13</v>
      </c>
      <c r="J37" s="57">
        <v>0.14000000000000001</v>
      </c>
      <c r="K37" s="57">
        <v>0.02</v>
      </c>
      <c r="L37" s="58">
        <f>L36/L34</f>
        <v>0.10515021459227468</v>
      </c>
      <c r="M37" s="57">
        <v>7.0000000000000007E-2</v>
      </c>
      <c r="N37" s="57">
        <v>0.12</v>
      </c>
      <c r="O37" s="57">
        <v>0.09</v>
      </c>
      <c r="P37" s="57">
        <v>0.13</v>
      </c>
      <c r="Q37" s="58">
        <f>Q36/Q34</f>
        <v>0.10379241516966067</v>
      </c>
      <c r="R37" s="27">
        <v>0.08</v>
      </c>
      <c r="S37" s="27">
        <v>0.15</v>
      </c>
      <c r="T37" s="27">
        <v>0.1</v>
      </c>
      <c r="U37" s="27">
        <v>0.12</v>
      </c>
      <c r="V37" s="58">
        <f>V36/V34</f>
        <v>0.11196911196911197</v>
      </c>
      <c r="W37" s="27">
        <v>0.08</v>
      </c>
      <c r="X37" s="27">
        <v>0.15</v>
      </c>
      <c r="AA37" s="58">
        <f>AA36/AA34</f>
        <v>0.11320754716981132</v>
      </c>
    </row>
    <row r="38" spans="2:27" x14ac:dyDescent="0.25">
      <c r="B38" s="2" t="s">
        <v>96</v>
      </c>
      <c r="C38" s="2">
        <v>-9</v>
      </c>
      <c r="D38" s="2">
        <v>-4</v>
      </c>
      <c r="E38" s="2">
        <v>-7</v>
      </c>
      <c r="F38" s="2">
        <v>-2</v>
      </c>
      <c r="G38" s="34">
        <f>SUM(C38:F38)</f>
        <v>-22</v>
      </c>
      <c r="H38" s="2">
        <v>10</v>
      </c>
      <c r="I38" s="2">
        <v>11</v>
      </c>
      <c r="J38" s="2">
        <v>11</v>
      </c>
      <c r="K38" s="2">
        <v>-5</v>
      </c>
      <c r="L38" s="34">
        <f>SUM(H38:K38)</f>
        <v>27</v>
      </c>
      <c r="M38" s="2">
        <v>4</v>
      </c>
      <c r="N38" s="2">
        <v>11</v>
      </c>
      <c r="O38" s="2">
        <v>2</v>
      </c>
      <c r="P38" s="2">
        <v>12</v>
      </c>
      <c r="Q38" s="34">
        <f>SUM(M38:P38)</f>
        <v>29</v>
      </c>
      <c r="R38" s="2">
        <v>6</v>
      </c>
      <c r="S38" s="2">
        <v>16</v>
      </c>
      <c r="T38" s="2">
        <v>7</v>
      </c>
      <c r="U38" s="2">
        <v>11</v>
      </c>
      <c r="V38" s="34">
        <f>SUM(R38:U38)</f>
        <v>40</v>
      </c>
      <c r="W38" s="2">
        <v>5</v>
      </c>
      <c r="X38" s="2">
        <v>14</v>
      </c>
      <c r="AA38" s="34">
        <f>SUM(W38:Z38)</f>
        <v>19</v>
      </c>
    </row>
    <row r="39" spans="2:27" s="14" customFormat="1" x14ac:dyDescent="0.25">
      <c r="B39" s="23" t="s">
        <v>156</v>
      </c>
      <c r="C39" s="59">
        <f t="shared" ref="C39" si="68">C38/C32</f>
        <v>-0.16981132075471697</v>
      </c>
      <c r="D39" s="50">
        <f t="shared" ref="D39" si="69">D38/D32</f>
        <v>-5.4794520547945202E-2</v>
      </c>
      <c r="E39" s="50">
        <f t="shared" ref="E39" si="70">E38/E32</f>
        <v>-9.7222222222222224E-2</v>
      </c>
      <c r="F39" s="60">
        <f t="shared" ref="F39" si="71">F38/F32</f>
        <v>-2.4096385542168676E-2</v>
      </c>
      <c r="G39" s="61">
        <f t="shared" ref="G39" si="72">G38/G32</f>
        <v>-7.8291814946619215E-2</v>
      </c>
      <c r="H39" s="59">
        <f t="shared" ref="H39" si="73">H38/H32</f>
        <v>0.10638297872340426</v>
      </c>
      <c r="I39" s="50">
        <f t="shared" ref="I39" si="74">I38/I32</f>
        <v>0.11</v>
      </c>
      <c r="J39" s="50">
        <f t="shared" ref="J39" si="75">J38/J32</f>
        <v>0.11827956989247312</v>
      </c>
      <c r="K39" s="60">
        <f t="shared" ref="K39" si="76">K38/K32</f>
        <v>-4.9019607843137254E-2</v>
      </c>
      <c r="L39" s="61">
        <f t="shared" ref="L39" si="77">L38/L32</f>
        <v>6.9408740359897178E-2</v>
      </c>
      <c r="M39" s="59">
        <f t="shared" ref="M39" si="78">M38/M32</f>
        <v>3.8095238095238099E-2</v>
      </c>
      <c r="N39" s="50">
        <f t="shared" ref="N39" si="79">N38/N32</f>
        <v>0.10377358490566038</v>
      </c>
      <c r="O39" s="50">
        <f t="shared" ref="O39" si="80">O38/O32</f>
        <v>1.9801980198019802E-2</v>
      </c>
      <c r="P39" s="60">
        <f t="shared" ref="P39" si="81">P38/P32</f>
        <v>0.10909090909090909</v>
      </c>
      <c r="Q39" s="61">
        <f t="shared" ref="Q39" si="82">Q38/Q32</f>
        <v>6.8720379146919433E-2</v>
      </c>
      <c r="R39" s="59">
        <f t="shared" ref="R39" si="83">R38/R32</f>
        <v>5.5045871559633031E-2</v>
      </c>
      <c r="S39" s="50">
        <f t="shared" ref="S39" si="84">S38/S32</f>
        <v>0.14814814814814814</v>
      </c>
      <c r="T39" s="50">
        <f t="shared" ref="T39" si="85">T38/T32</f>
        <v>6.7961165048543687E-2</v>
      </c>
      <c r="U39" s="60">
        <f t="shared" ref="U39" si="86">U38/U32</f>
        <v>9.7345132743362831E-2</v>
      </c>
      <c r="V39" s="61">
        <f>V38/V32</f>
        <v>9.237875288683603E-2</v>
      </c>
      <c r="W39" s="59">
        <f t="shared" ref="W39" si="87">W38/W32</f>
        <v>4.4247787610619468E-2</v>
      </c>
      <c r="X39" s="50">
        <f t="shared" ref="X39" si="88">X38/X32</f>
        <v>0.13084112149532709</v>
      </c>
      <c r="Y39" s="50" t="e">
        <f t="shared" ref="Y39" si="89">Y38/Y32</f>
        <v>#DIV/0!</v>
      </c>
      <c r="Z39" s="60" t="e">
        <f t="shared" ref="Z39" si="90">Z38/Z32</f>
        <v>#DIV/0!</v>
      </c>
      <c r="AA39" s="37"/>
    </row>
    <row r="40" spans="2:27" x14ac:dyDescent="0.25">
      <c r="B40" s="21" t="s">
        <v>49</v>
      </c>
      <c r="C40" s="21">
        <v>-14</v>
      </c>
      <c r="D40" s="21">
        <v>-10</v>
      </c>
      <c r="E40" s="21">
        <v>-12</v>
      </c>
      <c r="F40" s="21">
        <v>-7</v>
      </c>
      <c r="G40" s="38">
        <f>SUM(C40:F40)</f>
        <v>-43</v>
      </c>
      <c r="H40" s="21">
        <v>4</v>
      </c>
      <c r="I40" s="21">
        <v>5</v>
      </c>
      <c r="J40" s="21">
        <v>5</v>
      </c>
      <c r="K40" s="21">
        <v>-11</v>
      </c>
      <c r="L40" s="38">
        <f>SUM(H40:K40)</f>
        <v>3</v>
      </c>
      <c r="M40" s="21">
        <v>-2</v>
      </c>
      <c r="N40" s="21">
        <v>5</v>
      </c>
      <c r="O40" s="21">
        <v>-4</v>
      </c>
      <c r="P40" s="21">
        <v>5</v>
      </c>
      <c r="Q40" s="38">
        <f>SUM(M40:P40)</f>
        <v>4</v>
      </c>
      <c r="R40" s="21">
        <v>0</v>
      </c>
      <c r="S40" s="21">
        <v>9</v>
      </c>
      <c r="T40" s="21">
        <v>1</v>
      </c>
      <c r="U40" s="21">
        <v>4</v>
      </c>
      <c r="V40" s="38">
        <f>SUM(R40:U40)</f>
        <v>14</v>
      </c>
      <c r="W40" s="21">
        <v>-1</v>
      </c>
      <c r="X40" s="21">
        <v>8</v>
      </c>
      <c r="Y40" s="21"/>
      <c r="Z40" s="21"/>
      <c r="AA40" s="38">
        <f>SUM(W40:Z40)</f>
        <v>7</v>
      </c>
    </row>
    <row r="41" spans="2:27" x14ac:dyDescent="0.25">
      <c r="B41" s="2" t="s">
        <v>97</v>
      </c>
      <c r="C41" s="2">
        <v>32</v>
      </c>
      <c r="D41" s="2">
        <v>31</v>
      </c>
      <c r="E41" s="2">
        <v>31</v>
      </c>
      <c r="F41" s="2">
        <v>32</v>
      </c>
      <c r="G41" s="35"/>
      <c r="H41" s="2">
        <v>32</v>
      </c>
      <c r="I41" s="2">
        <v>32</v>
      </c>
      <c r="J41" s="2">
        <v>32</v>
      </c>
      <c r="K41" s="2">
        <v>33</v>
      </c>
      <c r="L41" s="35"/>
      <c r="M41" s="2">
        <v>33</v>
      </c>
      <c r="N41" s="2">
        <v>32</v>
      </c>
      <c r="O41" s="2">
        <v>31</v>
      </c>
      <c r="P41" s="2">
        <v>31</v>
      </c>
      <c r="Q41" s="35"/>
      <c r="R41" s="2">
        <v>31</v>
      </c>
      <c r="S41" s="2">
        <v>31</v>
      </c>
      <c r="T41" s="2">
        <v>32</v>
      </c>
      <c r="U41" s="2">
        <v>32</v>
      </c>
      <c r="V41" s="35"/>
      <c r="W41" s="2">
        <v>32</v>
      </c>
      <c r="X41" s="2">
        <v>32</v>
      </c>
      <c r="AA41" s="35"/>
    </row>
    <row r="42" spans="2:27" x14ac:dyDescent="0.25">
      <c r="B42" s="2" t="s">
        <v>98</v>
      </c>
      <c r="C42" s="2">
        <v>64</v>
      </c>
      <c r="D42" s="2">
        <v>63</v>
      </c>
      <c r="E42" s="2">
        <v>67</v>
      </c>
      <c r="F42" s="2">
        <v>70</v>
      </c>
      <c r="G42" s="35"/>
      <c r="H42" s="2">
        <v>72</v>
      </c>
      <c r="I42" s="2">
        <v>70</v>
      </c>
      <c r="J42" s="2">
        <v>71</v>
      </c>
      <c r="K42" s="2">
        <v>71</v>
      </c>
      <c r="L42" s="35"/>
      <c r="M42" s="2">
        <v>72</v>
      </c>
      <c r="N42" s="2">
        <v>70</v>
      </c>
      <c r="O42" s="2">
        <v>70</v>
      </c>
      <c r="P42" s="2">
        <v>71</v>
      </c>
      <c r="Q42" s="35"/>
      <c r="R42" s="2">
        <v>71</v>
      </c>
      <c r="S42" s="2">
        <v>69</v>
      </c>
      <c r="T42" s="2">
        <v>71</v>
      </c>
      <c r="U42" s="2">
        <v>71</v>
      </c>
      <c r="V42" s="35"/>
      <c r="W42" s="2">
        <v>72</v>
      </c>
      <c r="X42" s="2">
        <v>70</v>
      </c>
      <c r="AA42" s="35"/>
    </row>
    <row r="43" spans="2:27" ht="20" thickBot="1" x14ac:dyDescent="0.3">
      <c r="B43" s="22" t="s">
        <v>99</v>
      </c>
      <c r="C43" s="22">
        <v>431</v>
      </c>
      <c r="D43" s="22">
        <v>474</v>
      </c>
      <c r="E43" s="22">
        <v>439</v>
      </c>
      <c r="F43" s="22">
        <v>490</v>
      </c>
      <c r="G43" s="39"/>
      <c r="H43" s="22">
        <v>553</v>
      </c>
      <c r="I43" s="22">
        <v>560</v>
      </c>
      <c r="J43" s="22">
        <v>515</v>
      </c>
      <c r="K43" s="22">
        <v>570</v>
      </c>
      <c r="L43" s="39"/>
      <c r="M43" s="22">
        <v>586</v>
      </c>
      <c r="N43" s="22">
        <v>584</v>
      </c>
      <c r="O43" s="22">
        <v>560</v>
      </c>
      <c r="P43" s="22">
        <v>623</v>
      </c>
      <c r="Q43" s="39"/>
      <c r="R43" s="22">
        <v>626</v>
      </c>
      <c r="S43" s="22">
        <v>611</v>
      </c>
      <c r="T43" s="22">
        <v>575</v>
      </c>
      <c r="U43" s="22">
        <v>634</v>
      </c>
      <c r="V43" s="39"/>
      <c r="W43" s="22">
        <v>635</v>
      </c>
      <c r="X43" s="22">
        <v>606</v>
      </c>
      <c r="Y43" s="22"/>
      <c r="Z43" s="22"/>
      <c r="AA43" s="39"/>
    </row>
    <row r="44" spans="2:27" x14ac:dyDescent="0.25">
      <c r="B44" s="1" t="s">
        <v>40</v>
      </c>
      <c r="G44" s="35"/>
      <c r="L44" s="35"/>
      <c r="Q44" s="35"/>
      <c r="V44" s="35"/>
      <c r="AA44" s="35"/>
    </row>
    <row r="45" spans="2:27" x14ac:dyDescent="0.25">
      <c r="B45" s="2" t="s">
        <v>91</v>
      </c>
      <c r="C45" s="2">
        <v>82</v>
      </c>
      <c r="D45" s="2">
        <v>82</v>
      </c>
      <c r="E45" s="2">
        <v>82</v>
      </c>
      <c r="F45" s="2">
        <v>90</v>
      </c>
      <c r="G45" s="34">
        <f>SUM(C45:F45)</f>
        <v>336</v>
      </c>
      <c r="H45" s="2">
        <v>106</v>
      </c>
      <c r="I45" s="2">
        <v>112</v>
      </c>
      <c r="J45" s="2">
        <v>98</v>
      </c>
      <c r="K45" s="2">
        <v>119</v>
      </c>
      <c r="L45" s="34">
        <f>SUM(H45:K45)</f>
        <v>435</v>
      </c>
      <c r="M45" s="2">
        <v>120</v>
      </c>
      <c r="N45" s="2">
        <v>119</v>
      </c>
      <c r="O45" s="2">
        <v>120</v>
      </c>
      <c r="P45" s="2">
        <v>128</v>
      </c>
      <c r="Q45" s="34">
        <f>SUM(M45:P45)</f>
        <v>487</v>
      </c>
      <c r="R45" s="2">
        <v>135</v>
      </c>
      <c r="S45" s="2">
        <v>133</v>
      </c>
      <c r="T45" s="2">
        <v>126</v>
      </c>
      <c r="U45" s="2">
        <v>134</v>
      </c>
      <c r="V45" s="34">
        <f>SUM(R45:U45)</f>
        <v>528</v>
      </c>
      <c r="W45" s="2">
        <v>136</v>
      </c>
      <c r="X45" s="2">
        <v>123</v>
      </c>
      <c r="AA45" s="34">
        <f>SUM(W45:Z45)</f>
        <v>259</v>
      </c>
    </row>
    <row r="46" spans="2:27" x14ac:dyDescent="0.25">
      <c r="B46" s="2" t="s">
        <v>92</v>
      </c>
      <c r="C46" s="2">
        <v>17</v>
      </c>
      <c r="D46" s="2">
        <v>17</v>
      </c>
      <c r="E46" s="2">
        <v>15</v>
      </c>
      <c r="F46" s="2">
        <v>18</v>
      </c>
      <c r="G46" s="34">
        <f>SUM(C46:F46)</f>
        <v>67</v>
      </c>
      <c r="H46" s="2">
        <v>21</v>
      </c>
      <c r="I46" s="2">
        <v>20</v>
      </c>
      <c r="J46" s="2">
        <v>18</v>
      </c>
      <c r="K46" s="2">
        <v>21</v>
      </c>
      <c r="L46" s="34">
        <f>SUM(H46:K46)</f>
        <v>80</v>
      </c>
      <c r="M46" s="2">
        <v>40</v>
      </c>
      <c r="N46" s="2">
        <v>23</v>
      </c>
      <c r="O46" s="2">
        <v>19</v>
      </c>
      <c r="P46" s="2">
        <v>21</v>
      </c>
      <c r="Q46" s="34">
        <f>SUM(M46:P46)</f>
        <v>103</v>
      </c>
      <c r="R46" s="2">
        <v>24</v>
      </c>
      <c r="S46" s="2">
        <v>23</v>
      </c>
      <c r="T46" s="2">
        <v>20</v>
      </c>
      <c r="U46" s="2">
        <v>28</v>
      </c>
      <c r="V46" s="34">
        <f>SUM(R46:U46)</f>
        <v>95</v>
      </c>
      <c r="W46" s="2">
        <v>21</v>
      </c>
      <c r="X46" s="2">
        <v>22</v>
      </c>
      <c r="AA46" s="34">
        <f>SUM(W46:Z46)</f>
        <v>43</v>
      </c>
    </row>
    <row r="47" spans="2:27" x14ac:dyDescent="0.25">
      <c r="B47" s="1" t="s">
        <v>94</v>
      </c>
      <c r="C47" s="1">
        <v>99</v>
      </c>
      <c r="D47" s="1">
        <v>99</v>
      </c>
      <c r="E47" s="1">
        <v>97</v>
      </c>
      <c r="F47" s="1">
        <v>107</v>
      </c>
      <c r="G47" s="34">
        <f>SUM(C47:F47)</f>
        <v>402</v>
      </c>
      <c r="H47" s="1">
        <v>127</v>
      </c>
      <c r="I47" s="1">
        <v>133</v>
      </c>
      <c r="J47" s="1">
        <v>117</v>
      </c>
      <c r="K47" s="1">
        <v>140</v>
      </c>
      <c r="L47" s="34">
        <f>SUM(H47:K47)</f>
        <v>517</v>
      </c>
      <c r="M47" s="1">
        <v>160</v>
      </c>
      <c r="N47" s="1">
        <f>SUM(N45:N46)</f>
        <v>142</v>
      </c>
      <c r="O47" s="1">
        <f>SUM(O45:O46)</f>
        <v>139</v>
      </c>
      <c r="P47" s="1">
        <f>SUM(P45:P46)</f>
        <v>149</v>
      </c>
      <c r="Q47" s="34">
        <f>SUM(M47:P47)</f>
        <v>590</v>
      </c>
      <c r="R47" s="1">
        <f t="shared" ref="R47:U47" si="91">SUM(R45:R46)</f>
        <v>159</v>
      </c>
      <c r="S47" s="1">
        <f t="shared" si="91"/>
        <v>156</v>
      </c>
      <c r="T47" s="1">
        <f t="shared" si="91"/>
        <v>146</v>
      </c>
      <c r="U47" s="1">
        <f t="shared" si="91"/>
        <v>162</v>
      </c>
      <c r="V47" s="34">
        <f>SUM(R47:U47)</f>
        <v>623</v>
      </c>
      <c r="W47" s="1">
        <f t="shared" ref="W47:Z47" si="92">SUM(W45:W46)</f>
        <v>157</v>
      </c>
      <c r="X47" s="1">
        <f t="shared" si="92"/>
        <v>145</v>
      </c>
      <c r="Y47" s="1">
        <f t="shared" si="92"/>
        <v>0</v>
      </c>
      <c r="Z47" s="1">
        <f t="shared" si="92"/>
        <v>0</v>
      </c>
      <c r="AA47" s="34">
        <f>SUM(W47:Z47)</f>
        <v>302</v>
      </c>
    </row>
    <row r="48" spans="2:27" x14ac:dyDescent="0.25">
      <c r="B48" s="13" t="s">
        <v>117</v>
      </c>
      <c r="C48" s="33"/>
      <c r="D48" s="33"/>
      <c r="E48" s="33"/>
      <c r="F48" s="33"/>
      <c r="G48" s="36"/>
      <c r="H48" s="33">
        <f>(H47-C47)/C47</f>
        <v>0.28282828282828282</v>
      </c>
      <c r="I48" s="33">
        <f t="shared" ref="I48" si="93">(I47-D47)/D47</f>
        <v>0.34343434343434343</v>
      </c>
      <c r="J48" s="33">
        <f t="shared" ref="J48" si="94">(J47-E47)/E47</f>
        <v>0.20618556701030927</v>
      </c>
      <c r="K48" s="33">
        <f t="shared" ref="K48" si="95">(K47-F47)/F47</f>
        <v>0.30841121495327101</v>
      </c>
      <c r="L48" s="36">
        <f>(L47-G47)/G47</f>
        <v>0.28606965174129351</v>
      </c>
      <c r="M48" s="33">
        <f>(M47-H47)/H47</f>
        <v>0.25984251968503935</v>
      </c>
      <c r="N48" s="33">
        <f t="shared" ref="N48" si="96">(N47-I47)/I47</f>
        <v>6.7669172932330823E-2</v>
      </c>
      <c r="O48" s="33">
        <f t="shared" ref="O48" si="97">(O47-J47)/J47</f>
        <v>0.18803418803418803</v>
      </c>
      <c r="P48" s="33">
        <f t="shared" ref="P48" si="98">(P47-K47)/K47</f>
        <v>6.4285714285714279E-2</v>
      </c>
      <c r="Q48" s="36">
        <f>(Q47-L47)/L47</f>
        <v>0.14119922630560927</v>
      </c>
      <c r="R48" s="33">
        <f>(R47-M47)/M47</f>
        <v>-6.2500000000000003E-3</v>
      </c>
      <c r="S48" s="33">
        <f t="shared" ref="S48" si="99">(S47-N47)/N47</f>
        <v>9.8591549295774641E-2</v>
      </c>
      <c r="T48" s="33">
        <f t="shared" ref="T48" si="100">(T47-O47)/O47</f>
        <v>5.0359712230215826E-2</v>
      </c>
      <c r="U48" s="33">
        <f t="shared" ref="U48" si="101">(U47-P47)/P47</f>
        <v>8.7248322147651006E-2</v>
      </c>
      <c r="V48" s="36">
        <f>(V47-Q47)/Q47</f>
        <v>5.5932203389830508E-2</v>
      </c>
      <c r="W48" s="33">
        <f>(W47-R47)/R47</f>
        <v>-1.2578616352201259E-2</v>
      </c>
      <c r="X48" s="33">
        <f t="shared" ref="X48" si="102">(X47-S47)/S47</f>
        <v>-7.0512820512820512E-2</v>
      </c>
      <c r="Y48" s="33">
        <f t="shared" ref="Y48" si="103">(Y47-T47)/T47</f>
        <v>-1</v>
      </c>
      <c r="Z48" s="33">
        <f t="shared" ref="Z48" si="104">(Z47-U47)/U47</f>
        <v>-1</v>
      </c>
      <c r="AA48" s="36">
        <f>(AA47-V47)/V47</f>
        <v>-0.51524879614767261</v>
      </c>
    </row>
    <row r="49" spans="2:27" x14ac:dyDescent="0.25">
      <c r="B49" s="2" t="s">
        <v>93</v>
      </c>
      <c r="C49" s="2">
        <v>-12</v>
      </c>
      <c r="D49" s="2">
        <v>-9</v>
      </c>
      <c r="E49" s="2">
        <v>-13</v>
      </c>
      <c r="F49" s="2">
        <v>-12</v>
      </c>
      <c r="G49" s="34">
        <f>SUM(C49:F49)</f>
        <v>-46</v>
      </c>
      <c r="H49" s="2">
        <v>8</v>
      </c>
      <c r="I49" s="2">
        <v>7</v>
      </c>
      <c r="J49" s="2">
        <v>-8</v>
      </c>
      <c r="K49" s="2">
        <v>8</v>
      </c>
      <c r="L49" s="34">
        <f>SUM(H49:K49)</f>
        <v>15</v>
      </c>
      <c r="M49" s="2">
        <v>24</v>
      </c>
      <c r="N49" s="2">
        <v>10</v>
      </c>
      <c r="O49" s="2">
        <v>7</v>
      </c>
      <c r="P49" s="2">
        <v>12</v>
      </c>
      <c r="Q49" s="34">
        <f>SUM(M49:P49)</f>
        <v>53</v>
      </c>
      <c r="R49" s="2">
        <v>12</v>
      </c>
      <c r="S49" s="2">
        <v>14</v>
      </c>
      <c r="T49" s="2">
        <v>9</v>
      </c>
      <c r="U49" s="2">
        <v>26</v>
      </c>
      <c r="V49" s="34">
        <f>SUM(R49:U49)</f>
        <v>61</v>
      </c>
      <c r="W49" s="2">
        <v>22</v>
      </c>
      <c r="X49" s="2">
        <v>16</v>
      </c>
      <c r="AA49" s="34">
        <f>SUM(W49:Z49)</f>
        <v>38</v>
      </c>
    </row>
    <row r="50" spans="2:27" s="27" customFormat="1" x14ac:dyDescent="0.25">
      <c r="B50" s="57" t="s">
        <v>95</v>
      </c>
      <c r="C50" s="57">
        <v>-0.13</v>
      </c>
      <c r="D50" s="57">
        <v>-0.09</v>
      </c>
      <c r="E50" s="57">
        <v>-0.14000000000000001</v>
      </c>
      <c r="F50" s="57">
        <v>-0.11</v>
      </c>
      <c r="G50" s="58">
        <f>G49/G47</f>
        <v>-0.11442786069651742</v>
      </c>
      <c r="H50" s="57">
        <v>0.06</v>
      </c>
      <c r="I50" s="57">
        <v>0.06</v>
      </c>
      <c r="J50" s="57">
        <v>-7.0000000000000007E-2</v>
      </c>
      <c r="K50" s="57">
        <v>0.06</v>
      </c>
      <c r="L50" s="58">
        <f>L49/L47</f>
        <v>2.9013539651837523E-2</v>
      </c>
      <c r="M50" s="57">
        <v>0.15</v>
      </c>
      <c r="N50" s="57">
        <v>7.0000000000000007E-2</v>
      </c>
      <c r="O50" s="57">
        <v>0.05</v>
      </c>
      <c r="P50" s="57">
        <v>0.08</v>
      </c>
      <c r="Q50" s="58">
        <f>Q49/Q47</f>
        <v>8.9830508474576271E-2</v>
      </c>
      <c r="R50" s="27">
        <v>0.08</v>
      </c>
      <c r="S50" s="27">
        <v>0.09</v>
      </c>
      <c r="T50" s="27">
        <v>0.06</v>
      </c>
      <c r="U50" s="27">
        <v>0.16</v>
      </c>
      <c r="V50" s="58">
        <f>V49/V47</f>
        <v>9.7913322632423749E-2</v>
      </c>
      <c r="W50" s="27">
        <v>0.14000000000000001</v>
      </c>
      <c r="X50" s="27">
        <v>0.11</v>
      </c>
      <c r="AA50" s="58">
        <f>AA49/AA47</f>
        <v>0.12582781456953643</v>
      </c>
    </row>
    <row r="51" spans="2:27" x14ac:dyDescent="0.25">
      <c r="B51" s="2" t="s">
        <v>96</v>
      </c>
      <c r="C51" s="2">
        <v>-23</v>
      </c>
      <c r="D51" s="2">
        <v>-19</v>
      </c>
      <c r="E51" s="2">
        <v>-24</v>
      </c>
      <c r="F51" s="2">
        <v>-24</v>
      </c>
      <c r="G51" s="34">
        <f>SUM(C51:F51)</f>
        <v>-90</v>
      </c>
      <c r="H51" s="2">
        <v>-4</v>
      </c>
      <c r="I51" s="2">
        <v>-3</v>
      </c>
      <c r="J51" s="2">
        <v>-19</v>
      </c>
      <c r="K51" s="2">
        <v>-3</v>
      </c>
      <c r="L51" s="34">
        <f>SUM(H51:K51)</f>
        <v>-29</v>
      </c>
      <c r="M51" s="2">
        <v>13</v>
      </c>
      <c r="N51" s="2">
        <v>1</v>
      </c>
      <c r="O51" s="2">
        <v>0</v>
      </c>
      <c r="P51" s="2">
        <v>3</v>
      </c>
      <c r="Q51" s="34">
        <f>SUM(M51:P51)</f>
        <v>17</v>
      </c>
      <c r="R51" s="2">
        <v>2</v>
      </c>
      <c r="S51" s="2">
        <v>3</v>
      </c>
      <c r="T51" s="2">
        <v>1</v>
      </c>
      <c r="U51" s="2">
        <v>15</v>
      </c>
      <c r="V51" s="34">
        <f>SUM(R51:U51)</f>
        <v>21</v>
      </c>
      <c r="W51" s="2">
        <v>14</v>
      </c>
      <c r="X51" s="2">
        <v>9</v>
      </c>
      <c r="AA51" s="34">
        <f>SUM(W51:Z51)</f>
        <v>23</v>
      </c>
    </row>
    <row r="52" spans="2:27" s="14" customFormat="1" x14ac:dyDescent="0.25">
      <c r="B52" s="23" t="s">
        <v>156</v>
      </c>
      <c r="C52" s="59">
        <f t="shared" ref="C52" si="105">C51/C45</f>
        <v>-0.28048780487804881</v>
      </c>
      <c r="D52" s="50">
        <f t="shared" ref="D52" si="106">D51/D45</f>
        <v>-0.23170731707317074</v>
      </c>
      <c r="E52" s="50">
        <f t="shared" ref="E52" si="107">E51/E45</f>
        <v>-0.29268292682926828</v>
      </c>
      <c r="F52" s="60">
        <f t="shared" ref="F52" si="108">F51/F45</f>
        <v>-0.26666666666666666</v>
      </c>
      <c r="G52" s="61">
        <f t="shared" ref="G52" si="109">G51/G45</f>
        <v>-0.26785714285714285</v>
      </c>
      <c r="H52" s="59">
        <f t="shared" ref="H52" si="110">H51/H45</f>
        <v>-3.7735849056603772E-2</v>
      </c>
      <c r="I52" s="50">
        <f t="shared" ref="I52" si="111">I51/I45</f>
        <v>-2.6785714285714284E-2</v>
      </c>
      <c r="J52" s="50">
        <f t="shared" ref="J52" si="112">J51/J45</f>
        <v>-0.19387755102040816</v>
      </c>
      <c r="K52" s="60">
        <f t="shared" ref="K52" si="113">K51/K45</f>
        <v>-2.5210084033613446E-2</v>
      </c>
      <c r="L52" s="61">
        <f t="shared" ref="L52" si="114">L51/L45</f>
        <v>-6.6666666666666666E-2</v>
      </c>
      <c r="M52" s="59">
        <f t="shared" ref="M52" si="115">M51/M45</f>
        <v>0.10833333333333334</v>
      </c>
      <c r="N52" s="50">
        <f t="shared" ref="N52" si="116">N51/N45</f>
        <v>8.4033613445378148E-3</v>
      </c>
      <c r="O52" s="50">
        <f t="shared" ref="O52" si="117">O51/O45</f>
        <v>0</v>
      </c>
      <c r="P52" s="60">
        <f t="shared" ref="P52" si="118">P51/P45</f>
        <v>2.34375E-2</v>
      </c>
      <c r="Q52" s="61">
        <f t="shared" ref="Q52" si="119">Q51/Q45</f>
        <v>3.4907597535934289E-2</v>
      </c>
      <c r="R52" s="59">
        <f t="shared" ref="R52" si="120">R51/R45</f>
        <v>1.4814814814814815E-2</v>
      </c>
      <c r="S52" s="50">
        <f t="shared" ref="S52" si="121">S51/S45</f>
        <v>2.2556390977443608E-2</v>
      </c>
      <c r="T52" s="50">
        <f t="shared" ref="T52" si="122">T51/T45</f>
        <v>7.9365079365079361E-3</v>
      </c>
      <c r="U52" s="60">
        <f t="shared" ref="U52" si="123">U51/U45</f>
        <v>0.11194029850746269</v>
      </c>
      <c r="V52" s="61">
        <f>V51/V45</f>
        <v>3.9772727272727272E-2</v>
      </c>
      <c r="W52" s="59">
        <f t="shared" ref="W52" si="124">W51/W45</f>
        <v>0.10294117647058823</v>
      </c>
      <c r="X52" s="50">
        <f t="shared" ref="X52" si="125">X51/X45</f>
        <v>7.3170731707317069E-2</v>
      </c>
      <c r="Y52" s="50" t="e">
        <f t="shared" ref="Y52" si="126">Y51/Y45</f>
        <v>#DIV/0!</v>
      </c>
      <c r="Z52" s="60" t="e">
        <f t="shared" ref="Z52" si="127">Z51/Z45</f>
        <v>#DIV/0!</v>
      </c>
      <c r="AA52" s="37"/>
    </row>
    <row r="53" spans="2:27" x14ac:dyDescent="0.25">
      <c r="B53" s="21" t="s">
        <v>49</v>
      </c>
      <c r="C53" s="21">
        <v>-36</v>
      </c>
      <c r="D53" s="21">
        <v>-27</v>
      </c>
      <c r="E53" s="21">
        <v>-35</v>
      </c>
      <c r="F53" s="21">
        <v>-45</v>
      </c>
      <c r="G53" s="38">
        <f>SUM(C53:F53)</f>
        <v>-143</v>
      </c>
      <c r="H53" s="21">
        <v>-19</v>
      </c>
      <c r="I53" s="21">
        <v>-19</v>
      </c>
      <c r="J53" s="21">
        <v>-38</v>
      </c>
      <c r="K53" s="21">
        <v>-21</v>
      </c>
      <c r="L53" s="38">
        <f>SUM(H53:K53)</f>
        <v>-97</v>
      </c>
      <c r="M53" s="21">
        <v>-5</v>
      </c>
      <c r="N53" s="21">
        <v>-17</v>
      </c>
      <c r="O53" s="21">
        <v>-18</v>
      </c>
      <c r="P53" s="21">
        <v>-10</v>
      </c>
      <c r="Q53" s="38">
        <f>SUM(M53:P53)</f>
        <v>-50</v>
      </c>
      <c r="R53" s="21">
        <v>-15</v>
      </c>
      <c r="S53" s="21">
        <v>-13</v>
      </c>
      <c r="T53" s="21">
        <v>-16</v>
      </c>
      <c r="U53" s="21">
        <v>-2</v>
      </c>
      <c r="V53" s="38">
        <f>SUM(R53:U53)</f>
        <v>-46</v>
      </c>
      <c r="W53" s="21">
        <v>-2</v>
      </c>
      <c r="X53" s="21">
        <v>-7</v>
      </c>
      <c r="Y53" s="21"/>
      <c r="Z53" s="21"/>
      <c r="AA53" s="38">
        <f>SUM(W53:Z53)</f>
        <v>-9</v>
      </c>
    </row>
    <row r="54" spans="2:27" x14ac:dyDescent="0.25">
      <c r="B54" s="2" t="s">
        <v>97</v>
      </c>
      <c r="C54" s="2">
        <v>30</v>
      </c>
      <c r="D54" s="2">
        <v>29</v>
      </c>
      <c r="E54" s="2">
        <v>29</v>
      </c>
      <c r="F54" s="2">
        <v>29</v>
      </c>
      <c r="G54" s="35"/>
      <c r="H54" s="2">
        <v>29</v>
      </c>
      <c r="I54" s="2">
        <v>29</v>
      </c>
      <c r="J54" s="2">
        <v>29</v>
      </c>
      <c r="K54" s="2">
        <v>29</v>
      </c>
      <c r="L54" s="35"/>
      <c r="M54" s="2">
        <v>29</v>
      </c>
      <c r="N54" s="2">
        <v>29</v>
      </c>
      <c r="O54" s="2">
        <v>29</v>
      </c>
      <c r="P54" s="2">
        <v>29</v>
      </c>
      <c r="Q54" s="35"/>
      <c r="R54" s="2">
        <v>29</v>
      </c>
      <c r="S54" s="2">
        <v>28</v>
      </c>
      <c r="T54" s="2">
        <v>28</v>
      </c>
      <c r="U54" s="2">
        <v>28</v>
      </c>
      <c r="V54" s="35"/>
      <c r="W54" s="2">
        <v>28</v>
      </c>
      <c r="X54" s="2">
        <v>28</v>
      </c>
      <c r="AA54" s="35"/>
    </row>
    <row r="55" spans="2:27" x14ac:dyDescent="0.25">
      <c r="B55" s="2" t="s">
        <v>98</v>
      </c>
      <c r="C55" s="2">
        <v>80</v>
      </c>
      <c r="D55" s="2">
        <v>78</v>
      </c>
      <c r="E55" s="2">
        <v>81</v>
      </c>
      <c r="F55" s="2">
        <v>82</v>
      </c>
      <c r="G55" s="35"/>
      <c r="H55" s="2">
        <v>84</v>
      </c>
      <c r="I55" s="2">
        <v>81</v>
      </c>
      <c r="J55" s="2">
        <v>84</v>
      </c>
      <c r="K55" s="2">
        <v>85</v>
      </c>
      <c r="L55" s="35"/>
      <c r="M55" s="2">
        <v>84</v>
      </c>
      <c r="N55" s="2">
        <v>81</v>
      </c>
      <c r="O55" s="2">
        <v>83</v>
      </c>
      <c r="P55" s="2">
        <v>82</v>
      </c>
      <c r="Q55" s="35"/>
      <c r="R55" s="2">
        <v>86</v>
      </c>
      <c r="S55" s="2">
        <v>82</v>
      </c>
      <c r="T55" s="2">
        <v>82</v>
      </c>
      <c r="U55" s="2">
        <v>83</v>
      </c>
      <c r="V55" s="35"/>
      <c r="W55" s="2">
        <v>84</v>
      </c>
      <c r="X55" s="2">
        <v>79</v>
      </c>
      <c r="AA55" s="35"/>
    </row>
    <row r="56" spans="2:27" ht="20" thickBot="1" x14ac:dyDescent="0.3">
      <c r="B56" s="22" t="s">
        <v>99</v>
      </c>
      <c r="C56" s="22">
        <v>429</v>
      </c>
      <c r="D56" s="22">
        <v>418</v>
      </c>
      <c r="E56" s="22">
        <v>410</v>
      </c>
      <c r="F56" s="22">
        <v>440</v>
      </c>
      <c r="G56" s="39"/>
      <c r="H56" s="22">
        <v>512</v>
      </c>
      <c r="I56" s="22">
        <v>537</v>
      </c>
      <c r="J56" s="22">
        <v>470</v>
      </c>
      <c r="K56" s="22">
        <v>551</v>
      </c>
      <c r="L56" s="39"/>
      <c r="M56" s="22">
        <v>631</v>
      </c>
      <c r="N56" s="22">
        <v>570</v>
      </c>
      <c r="O56" s="22">
        <v>563</v>
      </c>
      <c r="P56" s="22">
        <v>604</v>
      </c>
      <c r="Q56" s="39"/>
      <c r="R56" s="22">
        <v>632</v>
      </c>
      <c r="S56" s="22">
        <v>618</v>
      </c>
      <c r="T56" s="22">
        <v>595</v>
      </c>
      <c r="U56" s="22">
        <v>645</v>
      </c>
      <c r="V56" s="39"/>
      <c r="W56" s="22">
        <v>625</v>
      </c>
      <c r="X56" s="22">
        <v>594</v>
      </c>
      <c r="Y56" s="22"/>
      <c r="Z56" s="22"/>
      <c r="AA56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7EFB-B784-0545-988D-EB5723A957BF}">
  <dimension ref="A2:G15"/>
  <sheetViews>
    <sheetView showGridLines="0" workbookViewId="0">
      <selection activeCell="D10" sqref="D10"/>
    </sheetView>
  </sheetViews>
  <sheetFormatPr baseColWidth="10" defaultRowHeight="24" x14ac:dyDescent="0.3"/>
  <cols>
    <col min="1" max="2" width="10.83203125" style="41"/>
    <col min="3" max="3" width="22.33203125" style="41" customWidth="1"/>
    <col min="4" max="4" width="20.83203125" style="41" customWidth="1"/>
    <col min="5" max="5" width="19.33203125" style="41" customWidth="1"/>
    <col min="6" max="6" width="12" style="41" customWidth="1"/>
    <col min="7" max="7" width="17.5" style="41" customWidth="1"/>
    <col min="8" max="16384" width="10.83203125" style="41"/>
  </cols>
  <sheetData>
    <row r="2" spans="1:7" x14ac:dyDescent="0.3">
      <c r="A2" s="41" t="s">
        <v>159</v>
      </c>
    </row>
    <row r="3" spans="1:7" x14ac:dyDescent="0.3">
      <c r="A3" s="55">
        <f>Modell!AH10</f>
        <v>1082.5819599999998</v>
      </c>
    </row>
    <row r="5" spans="1:7" x14ac:dyDescent="0.3">
      <c r="C5" s="42" t="s">
        <v>37</v>
      </c>
      <c r="D5" s="42" t="s">
        <v>157</v>
      </c>
      <c r="E5" s="42" t="s">
        <v>101</v>
      </c>
      <c r="F5" s="42" t="s">
        <v>144</v>
      </c>
      <c r="G5" s="42" t="s">
        <v>145</v>
      </c>
    </row>
    <row r="6" spans="1:7" x14ac:dyDescent="0.3">
      <c r="C6" s="43" t="s">
        <v>146</v>
      </c>
      <c r="D6" s="44">
        <v>740</v>
      </c>
      <c r="E6" s="43">
        <v>13</v>
      </c>
      <c r="F6" s="44">
        <f>D6*E6</f>
        <v>9620</v>
      </c>
      <c r="G6" s="45">
        <f>F6/Modell!$B$5</f>
        <v>46.99684585700917</v>
      </c>
    </row>
    <row r="7" spans="1:7" x14ac:dyDescent="0.3">
      <c r="C7" s="43" t="s">
        <v>147</v>
      </c>
      <c r="D7" s="44">
        <v>260</v>
      </c>
      <c r="E7" s="43">
        <v>10</v>
      </c>
      <c r="F7" s="44">
        <f t="shared" ref="F7:F9" si="0">D7*E7</f>
        <v>2600</v>
      </c>
      <c r="G7" s="45">
        <f>F7/Modell!$B$5</f>
        <v>12.701850231624102</v>
      </c>
    </row>
    <row r="8" spans="1:7" x14ac:dyDescent="0.3">
      <c r="C8" s="43" t="s">
        <v>100</v>
      </c>
      <c r="D8" s="44">
        <v>38</v>
      </c>
      <c r="E8" s="43">
        <v>5</v>
      </c>
      <c r="F8" s="44">
        <f t="shared" si="0"/>
        <v>190</v>
      </c>
      <c r="G8" s="45">
        <f>F8/Modell!$B$5</f>
        <v>0.92821213231099198</v>
      </c>
    </row>
    <row r="9" spans="1:7" x14ac:dyDescent="0.3">
      <c r="C9" s="43" t="s">
        <v>148</v>
      </c>
      <c r="D9" s="44">
        <v>46</v>
      </c>
      <c r="E9" s="43">
        <v>5</v>
      </c>
      <c r="F9" s="44">
        <f t="shared" si="0"/>
        <v>230</v>
      </c>
      <c r="G9" s="45">
        <f>F9/Modell!$B$5</f>
        <v>1.1236252127975166</v>
      </c>
    </row>
    <row r="10" spans="1:7" x14ac:dyDescent="0.3">
      <c r="C10" s="42" t="s">
        <v>149</v>
      </c>
      <c r="D10" s="46">
        <f>SUM(D6:D9)</f>
        <v>1084</v>
      </c>
      <c r="E10" s="42"/>
      <c r="F10" s="46">
        <f>SUM(F6:F9)</f>
        <v>12640</v>
      </c>
      <c r="G10" s="47">
        <f>SUM(G6:G9)</f>
        <v>61.750533433741772</v>
      </c>
    </row>
    <row r="11" spans="1:7" x14ac:dyDescent="0.3">
      <c r="C11" s="48"/>
      <c r="D11" s="48"/>
      <c r="E11" s="48"/>
      <c r="F11" s="53"/>
      <c r="G11" s="48"/>
    </row>
    <row r="12" spans="1:7" x14ac:dyDescent="0.3">
      <c r="C12" s="43" t="s">
        <v>65</v>
      </c>
      <c r="D12" s="43"/>
      <c r="E12" s="43"/>
      <c r="F12" s="44">
        <f>Modell!B7</f>
        <v>326</v>
      </c>
      <c r="G12" s="45">
        <f>F12/Modell!$B$5</f>
        <v>1.5926166059651756</v>
      </c>
    </row>
    <row r="13" spans="1:7" x14ac:dyDescent="0.3">
      <c r="C13" s="43" t="s">
        <v>150</v>
      </c>
      <c r="D13" s="43"/>
      <c r="E13" s="43"/>
      <c r="F13" s="44">
        <f>Modell!B8</f>
        <v>1403</v>
      </c>
      <c r="G13" s="45">
        <f>-F13/Modell!$B$5</f>
        <v>-6.8541137980648514</v>
      </c>
    </row>
    <row r="14" spans="1:7" x14ac:dyDescent="0.3">
      <c r="C14" s="48"/>
      <c r="D14" s="48"/>
      <c r="E14" s="48"/>
      <c r="F14" s="53"/>
      <c r="G14" s="48"/>
    </row>
    <row r="15" spans="1:7" x14ac:dyDescent="0.3">
      <c r="C15" s="42" t="s">
        <v>151</v>
      </c>
      <c r="D15" s="42"/>
      <c r="E15" s="42"/>
      <c r="F15" s="46">
        <f>F10+F12-F13</f>
        <v>11563</v>
      </c>
      <c r="G15" s="47">
        <f>SUM(G10:G13)</f>
        <v>56.489036241642097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E5:H7"/>
  <sheetViews>
    <sheetView showGridLines="0" zoomScale="90" zoomScaleNormal="90" workbookViewId="0">
      <selection activeCell="G20" sqref="G20"/>
    </sheetView>
  </sheetViews>
  <sheetFormatPr baseColWidth="10" defaultRowHeight="16" x14ac:dyDescent="0.2"/>
  <cols>
    <col min="5" max="5" width="42.83203125" bestFit="1" customWidth="1"/>
    <col min="6" max="8" width="42" bestFit="1" customWidth="1"/>
    <col min="9" max="9" width="28.6640625" bestFit="1" customWidth="1"/>
  </cols>
  <sheetData>
    <row r="5" spans="5:8" ht="92" x14ac:dyDescent="1">
      <c r="E5" s="24"/>
      <c r="F5" s="24">
        <v>2026</v>
      </c>
      <c r="G5" s="24">
        <v>2027</v>
      </c>
      <c r="H5" s="24">
        <v>2028</v>
      </c>
    </row>
    <row r="6" spans="5:8" ht="92" x14ac:dyDescent="1">
      <c r="E6" s="24" t="s">
        <v>101</v>
      </c>
      <c r="F6" s="29">
        <f>Modell!$B$9/Modell!AH10</f>
        <v>9.3899954763702169</v>
      </c>
      <c r="G6" s="29">
        <f>Modell!$B$9/Modell!AI10</f>
        <v>8.431184595105023</v>
      </c>
      <c r="H6" s="29">
        <f>Modell!$B$9/Modell!AJ10</f>
        <v>7.6013633872626309</v>
      </c>
    </row>
    <row r="7" spans="5:8" ht="92" x14ac:dyDescent="1">
      <c r="E7" s="24" t="s">
        <v>102</v>
      </c>
      <c r="F7" s="29">
        <f>Modell!$B$4/Modell!AH16</f>
        <v>14.513791969992004</v>
      </c>
      <c r="G7" s="29">
        <f>Modell!$B$4/Modell!AI16</f>
        <v>12.622139861796384</v>
      </c>
      <c r="H7" s="29">
        <f>Modell!$B$4/Modell!AJ16</f>
        <v>11.076693206273918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E728-F167-BB41-A797-9B95800AF4C4}">
  <dimension ref="A3:CY38"/>
  <sheetViews>
    <sheetView showGridLines="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K30" sqref="K30"/>
    </sheetView>
  </sheetViews>
  <sheetFormatPr baseColWidth="10" defaultRowHeight="19" x14ac:dyDescent="0.25"/>
  <cols>
    <col min="1" max="1" width="10.83203125" style="2"/>
    <col min="2" max="2" width="22.5" style="4" customWidth="1"/>
    <col min="3" max="3" width="31.5" style="2" customWidth="1"/>
    <col min="4" max="22" width="10.83203125" style="2"/>
    <col min="23" max="23" width="14.83203125" style="2" bestFit="1" customWidth="1"/>
    <col min="24" max="24" width="13.33203125" style="2" bestFit="1" customWidth="1"/>
    <col min="25" max="16384" width="10.83203125" style="2"/>
  </cols>
  <sheetData>
    <row r="3" spans="1:103" x14ac:dyDescent="0.25">
      <c r="A3" s="1" t="s">
        <v>137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20</v>
      </c>
      <c r="I3" s="2" t="s">
        <v>21</v>
      </c>
      <c r="J3" s="2" t="s">
        <v>22</v>
      </c>
      <c r="K3" s="4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</row>
    <row r="4" spans="1:103" x14ac:dyDescent="0.25">
      <c r="A4" s="1" t="s">
        <v>139</v>
      </c>
      <c r="C4" s="1" t="s">
        <v>41</v>
      </c>
      <c r="D4" s="18">
        <v>3259</v>
      </c>
      <c r="E4" s="18">
        <v>3987</v>
      </c>
      <c r="F4" s="18">
        <v>3534</v>
      </c>
      <c r="G4" s="18">
        <v>3247</v>
      </c>
      <c r="H4" s="18">
        <v>4082</v>
      </c>
      <c r="I4" s="18">
        <v>4734</v>
      </c>
      <c r="J4" s="18">
        <v>5065</v>
      </c>
      <c r="K4" s="17">
        <f>J4*1.1</f>
        <v>5571.5</v>
      </c>
      <c r="L4" s="18">
        <f>K4*1</f>
        <v>5571.5</v>
      </c>
      <c r="M4" s="18">
        <f t="shared" ref="M4:U4" si="0">L4*1</f>
        <v>5571.5</v>
      </c>
      <c r="N4" s="18">
        <f t="shared" si="0"/>
        <v>5571.5</v>
      </c>
      <c r="O4" s="18">
        <f t="shared" si="0"/>
        <v>5571.5</v>
      </c>
      <c r="P4" s="18">
        <f t="shared" si="0"/>
        <v>5571.5</v>
      </c>
      <c r="Q4" s="18">
        <f t="shared" si="0"/>
        <v>5571.5</v>
      </c>
      <c r="R4" s="18">
        <f t="shared" si="0"/>
        <v>5571.5</v>
      </c>
      <c r="S4" s="18">
        <f t="shared" si="0"/>
        <v>5571.5</v>
      </c>
      <c r="T4" s="18">
        <f t="shared" si="0"/>
        <v>5571.5</v>
      </c>
      <c r="U4" s="18">
        <f t="shared" si="0"/>
        <v>5571.5</v>
      </c>
    </row>
    <row r="5" spans="1:103" x14ac:dyDescent="0.25">
      <c r="A5" s="31">
        <f>X20</f>
        <v>23.753412745736522</v>
      </c>
      <c r="C5" s="2" t="s">
        <v>42</v>
      </c>
      <c r="D5" s="19">
        <v>-80</v>
      </c>
      <c r="E5" s="19">
        <v>-115</v>
      </c>
      <c r="F5" s="19">
        <v>-122</v>
      </c>
      <c r="G5" s="19">
        <v>-106</v>
      </c>
      <c r="H5" s="19">
        <v>-147</v>
      </c>
      <c r="I5" s="19">
        <v>-137</v>
      </c>
      <c r="J5" s="19">
        <v>-143</v>
      </c>
      <c r="K5" s="16">
        <f>J5*1.03</f>
        <v>-147.29</v>
      </c>
      <c r="L5" s="19">
        <f t="shared" ref="L5:U5" si="1">K5*1.03</f>
        <v>-151.70869999999999</v>
      </c>
      <c r="M5" s="19">
        <f t="shared" si="1"/>
        <v>-156.259961</v>
      </c>
      <c r="N5" s="19">
        <f t="shared" si="1"/>
        <v>-160.94775983</v>
      </c>
      <c r="O5" s="19">
        <f t="shared" si="1"/>
        <v>-165.77619262490001</v>
      </c>
      <c r="P5" s="19">
        <f t="shared" si="1"/>
        <v>-170.749478403647</v>
      </c>
      <c r="Q5" s="19">
        <f t="shared" si="1"/>
        <v>-175.87196275575641</v>
      </c>
      <c r="R5" s="19">
        <f t="shared" si="1"/>
        <v>-181.1481216384291</v>
      </c>
      <c r="S5" s="19">
        <f t="shared" si="1"/>
        <v>-186.58256528758199</v>
      </c>
      <c r="T5" s="19">
        <f t="shared" si="1"/>
        <v>-192.18004224620944</v>
      </c>
      <c r="U5" s="19">
        <f t="shared" si="1"/>
        <v>-197.94544351359573</v>
      </c>
    </row>
    <row r="6" spans="1:103" x14ac:dyDescent="0.25">
      <c r="A6" s="28">
        <f>X21</f>
        <v>-0.46501322644737558</v>
      </c>
      <c r="C6" s="2" t="s">
        <v>115</v>
      </c>
      <c r="D6" s="19">
        <f t="shared" ref="D6:I6" si="2">D4+D5</f>
        <v>3179</v>
      </c>
      <c r="E6" s="19">
        <f t="shared" si="2"/>
        <v>3872</v>
      </c>
      <c r="F6" s="19">
        <f t="shared" si="2"/>
        <v>3412</v>
      </c>
      <c r="G6" s="19">
        <f t="shared" si="2"/>
        <v>3141</v>
      </c>
      <c r="H6" s="19">
        <f>SUM(H4:H5)</f>
        <v>3935</v>
      </c>
      <c r="I6" s="19">
        <f t="shared" si="2"/>
        <v>4597</v>
      </c>
      <c r="J6" s="19">
        <f>J4+J5</f>
        <v>4922</v>
      </c>
      <c r="K6" s="16">
        <f t="shared" ref="K6:L6" si="3">K4+K5</f>
        <v>5424.21</v>
      </c>
      <c r="L6" s="19">
        <f t="shared" si="3"/>
        <v>5419.7912999999999</v>
      </c>
      <c r="M6" s="19">
        <f t="shared" ref="M6:U6" si="4">M4+M5</f>
        <v>5415.2400390000003</v>
      </c>
      <c r="N6" s="19">
        <f t="shared" si="4"/>
        <v>5410.55224017</v>
      </c>
      <c r="O6" s="19">
        <f t="shared" si="4"/>
        <v>5405.7238073750996</v>
      </c>
      <c r="P6" s="19">
        <f t="shared" si="4"/>
        <v>5400.7505215963529</v>
      </c>
      <c r="Q6" s="19">
        <f t="shared" si="4"/>
        <v>5395.6280372442434</v>
      </c>
      <c r="R6" s="19">
        <f t="shared" si="4"/>
        <v>5390.3518783615709</v>
      </c>
      <c r="S6" s="19">
        <f t="shared" si="4"/>
        <v>5384.9174347124181</v>
      </c>
      <c r="T6" s="19">
        <f t="shared" si="4"/>
        <v>5379.3199577537907</v>
      </c>
      <c r="U6" s="19">
        <f t="shared" si="4"/>
        <v>5373.5545564864042</v>
      </c>
    </row>
    <row r="7" spans="1:103" x14ac:dyDescent="0.25">
      <c r="C7" s="2" t="s">
        <v>43</v>
      </c>
      <c r="D7" s="19">
        <v>-1224</v>
      </c>
      <c r="E7" s="19">
        <v>-1463</v>
      </c>
      <c r="F7" s="19">
        <v>-1352</v>
      </c>
      <c r="G7" s="19">
        <v>-1399</v>
      </c>
      <c r="H7" s="19">
        <v>-1588</v>
      </c>
      <c r="I7" s="19">
        <v>-1677</v>
      </c>
      <c r="J7" s="19">
        <v>-1861</v>
      </c>
      <c r="K7" s="16">
        <f>J7*1.08</f>
        <v>-2009.88</v>
      </c>
      <c r="L7" s="19">
        <f>K7*1.01</f>
        <v>-2029.9788000000001</v>
      </c>
      <c r="M7" s="19">
        <f t="shared" ref="M7:U7" si="5">L7*1</f>
        <v>-2029.9788000000001</v>
      </c>
      <c r="N7" s="19">
        <f t="shared" si="5"/>
        <v>-2029.9788000000001</v>
      </c>
      <c r="O7" s="19">
        <f t="shared" si="5"/>
        <v>-2029.9788000000001</v>
      </c>
      <c r="P7" s="19">
        <f t="shared" si="5"/>
        <v>-2029.9788000000001</v>
      </c>
      <c r="Q7" s="19">
        <f t="shared" si="5"/>
        <v>-2029.9788000000001</v>
      </c>
      <c r="R7" s="19">
        <f t="shared" si="5"/>
        <v>-2029.9788000000001</v>
      </c>
      <c r="S7" s="19">
        <f t="shared" si="5"/>
        <v>-2029.9788000000001</v>
      </c>
      <c r="T7" s="19">
        <f t="shared" si="5"/>
        <v>-2029.9788000000001</v>
      </c>
      <c r="U7" s="19">
        <f t="shared" si="5"/>
        <v>-2029.9788000000001</v>
      </c>
    </row>
    <row r="8" spans="1:103" x14ac:dyDescent="0.25">
      <c r="C8" s="2" t="s">
        <v>44</v>
      </c>
      <c r="D8" s="19">
        <v>-688</v>
      </c>
      <c r="E8" s="19">
        <v>-925</v>
      </c>
      <c r="F8" s="19">
        <v>-925</v>
      </c>
      <c r="G8" s="19">
        <v>-925</v>
      </c>
      <c r="H8" s="19">
        <v>-1207</v>
      </c>
      <c r="I8" s="19">
        <v>-1135</v>
      </c>
      <c r="J8" s="19">
        <v>-1120</v>
      </c>
      <c r="K8" s="16">
        <f t="shared" ref="K8:K9" si="6">J8*1.07</f>
        <v>-1198.4000000000001</v>
      </c>
      <c r="L8" s="19">
        <f t="shared" ref="L8:L9" si="7">K8*1.01</f>
        <v>-1210.384</v>
      </c>
      <c r="M8" s="19">
        <f t="shared" ref="M8:U9" si="8">L8*1</f>
        <v>-1210.384</v>
      </c>
      <c r="N8" s="19">
        <f t="shared" si="8"/>
        <v>-1210.384</v>
      </c>
      <c r="O8" s="19">
        <f t="shared" si="8"/>
        <v>-1210.384</v>
      </c>
      <c r="P8" s="19">
        <f t="shared" si="8"/>
        <v>-1210.384</v>
      </c>
      <c r="Q8" s="19">
        <f t="shared" si="8"/>
        <v>-1210.384</v>
      </c>
      <c r="R8" s="19">
        <f t="shared" si="8"/>
        <v>-1210.384</v>
      </c>
      <c r="S8" s="19">
        <f t="shared" si="8"/>
        <v>-1210.384</v>
      </c>
      <c r="T8" s="19">
        <f t="shared" si="8"/>
        <v>-1210.384</v>
      </c>
      <c r="U8" s="19">
        <f t="shared" si="8"/>
        <v>-1210.384</v>
      </c>
    </row>
    <row r="9" spans="1:103" x14ac:dyDescent="0.25">
      <c r="C9" s="2" t="s">
        <v>45</v>
      </c>
      <c r="D9" s="19">
        <f>-739-265</f>
        <v>-1004</v>
      </c>
      <c r="E9" s="19">
        <v>-972</v>
      </c>
      <c r="F9" s="19">
        <f>-1045-70</f>
        <v>-1115</v>
      </c>
      <c r="G9" s="19">
        <v>-1042</v>
      </c>
      <c r="H9" s="19">
        <v>-1121</v>
      </c>
      <c r="I9" s="19">
        <v>-1178</v>
      </c>
      <c r="J9" s="19">
        <v>-1198</v>
      </c>
      <c r="K9" s="16">
        <f t="shared" si="6"/>
        <v>-1281.8600000000001</v>
      </c>
      <c r="L9" s="19">
        <f t="shared" si="7"/>
        <v>-1294.6786000000002</v>
      </c>
      <c r="M9" s="19">
        <f t="shared" si="8"/>
        <v>-1294.6786000000002</v>
      </c>
      <c r="N9" s="19">
        <f t="shared" si="8"/>
        <v>-1294.6786000000002</v>
      </c>
      <c r="O9" s="19">
        <f t="shared" si="8"/>
        <v>-1294.6786000000002</v>
      </c>
      <c r="P9" s="19">
        <f t="shared" si="8"/>
        <v>-1294.6786000000002</v>
      </c>
      <c r="Q9" s="19">
        <f t="shared" si="8"/>
        <v>-1294.6786000000002</v>
      </c>
      <c r="R9" s="19">
        <f t="shared" si="8"/>
        <v>-1294.6786000000002</v>
      </c>
      <c r="S9" s="19">
        <f t="shared" si="8"/>
        <v>-1294.6786000000002</v>
      </c>
      <c r="T9" s="19">
        <f t="shared" si="8"/>
        <v>-1294.6786000000002</v>
      </c>
      <c r="U9" s="19">
        <f t="shared" si="8"/>
        <v>-1294.6786000000002</v>
      </c>
    </row>
    <row r="10" spans="1:103" x14ac:dyDescent="0.25">
      <c r="C10" s="1" t="s">
        <v>52</v>
      </c>
      <c r="D10" s="18">
        <f t="shared" ref="D10:I10" si="9">SUM(D6:D9)</f>
        <v>263</v>
      </c>
      <c r="E10" s="18">
        <f t="shared" si="9"/>
        <v>512</v>
      </c>
      <c r="F10" s="18">
        <f t="shared" si="9"/>
        <v>20</v>
      </c>
      <c r="G10" s="18">
        <f t="shared" si="9"/>
        <v>-225</v>
      </c>
      <c r="H10" s="18">
        <f t="shared" si="9"/>
        <v>19</v>
      </c>
      <c r="I10" s="18">
        <f t="shared" si="9"/>
        <v>607</v>
      </c>
      <c r="J10" s="18">
        <f>SUM(J6:J9)</f>
        <v>743</v>
      </c>
      <c r="K10" s="17">
        <f t="shared" ref="K10:U10" si="10">SUM(K6:K9)</f>
        <v>934.06999999999971</v>
      </c>
      <c r="L10" s="18">
        <f t="shared" si="10"/>
        <v>884.7498999999998</v>
      </c>
      <c r="M10" s="18">
        <f t="shared" si="10"/>
        <v>880.19863900000018</v>
      </c>
      <c r="N10" s="18">
        <f t="shared" si="10"/>
        <v>875.51084016999994</v>
      </c>
      <c r="O10" s="18">
        <f t="shared" si="10"/>
        <v>870.6824073750995</v>
      </c>
      <c r="P10" s="18">
        <f t="shared" si="10"/>
        <v>865.70912159635282</v>
      </c>
      <c r="Q10" s="18">
        <f t="shared" si="10"/>
        <v>860.58663724424332</v>
      </c>
      <c r="R10" s="18">
        <f t="shared" si="10"/>
        <v>855.31047836157086</v>
      </c>
      <c r="S10" s="18">
        <f t="shared" si="10"/>
        <v>849.876034712418</v>
      </c>
      <c r="T10" s="18">
        <f t="shared" si="10"/>
        <v>844.27855775379066</v>
      </c>
      <c r="U10" s="18">
        <f t="shared" si="10"/>
        <v>838.51315648640411</v>
      </c>
    </row>
    <row r="11" spans="1:103" x14ac:dyDescent="0.25">
      <c r="C11" s="2" t="s">
        <v>46</v>
      </c>
      <c r="D11" s="19">
        <v>-240</v>
      </c>
      <c r="E11" s="19">
        <v>-265</v>
      </c>
      <c r="F11" s="19">
        <v>-267</v>
      </c>
      <c r="G11" s="19">
        <v>-298</v>
      </c>
      <c r="H11" s="19">
        <v>-281</v>
      </c>
      <c r="I11" s="19">
        <v>-294</v>
      </c>
      <c r="J11" s="19">
        <v>-310</v>
      </c>
      <c r="K11" s="16">
        <f>J11*1.01</f>
        <v>-313.10000000000002</v>
      </c>
      <c r="L11" s="19">
        <f t="shared" ref="L11:U11" si="11">K11*1.01</f>
        <v>-316.23100000000005</v>
      </c>
      <c r="M11" s="19">
        <f t="shared" si="11"/>
        <v>-319.39331000000004</v>
      </c>
      <c r="N11" s="19">
        <f t="shared" si="11"/>
        <v>-322.58724310000002</v>
      </c>
      <c r="O11" s="19">
        <f t="shared" si="11"/>
        <v>-325.81311553100005</v>
      </c>
      <c r="P11" s="19">
        <f t="shared" si="11"/>
        <v>-329.07124668631008</v>
      </c>
      <c r="Q11" s="19">
        <f t="shared" si="11"/>
        <v>-332.36195915317319</v>
      </c>
      <c r="R11" s="19">
        <f t="shared" si="11"/>
        <v>-335.68557874470491</v>
      </c>
      <c r="S11" s="19">
        <f t="shared" si="11"/>
        <v>-339.04243453215196</v>
      </c>
      <c r="T11" s="19">
        <f t="shared" si="11"/>
        <v>-342.43285887747351</v>
      </c>
      <c r="U11" s="19">
        <f t="shared" si="11"/>
        <v>-345.85718746624826</v>
      </c>
    </row>
    <row r="12" spans="1:103" x14ac:dyDescent="0.25">
      <c r="C12" s="2" t="s">
        <v>47</v>
      </c>
      <c r="D12" s="19">
        <f t="shared" ref="D12:U12" si="12">SUM(D10:D11)</f>
        <v>23</v>
      </c>
      <c r="E12" s="19">
        <f t="shared" si="12"/>
        <v>247</v>
      </c>
      <c r="F12" s="19">
        <f t="shared" si="12"/>
        <v>-247</v>
      </c>
      <c r="G12" s="19">
        <f t="shared" si="12"/>
        <v>-523</v>
      </c>
      <c r="H12" s="19">
        <f t="shared" si="12"/>
        <v>-262</v>
      </c>
      <c r="I12" s="19">
        <f t="shared" si="12"/>
        <v>313</v>
      </c>
      <c r="J12" s="19">
        <f t="shared" si="12"/>
        <v>433</v>
      </c>
      <c r="K12" s="16">
        <f t="shared" si="12"/>
        <v>620.96999999999969</v>
      </c>
      <c r="L12" s="19">
        <f t="shared" si="12"/>
        <v>568.5188999999998</v>
      </c>
      <c r="M12" s="19">
        <f t="shared" si="12"/>
        <v>560.80532900000014</v>
      </c>
      <c r="N12" s="19">
        <f t="shared" si="12"/>
        <v>552.92359706999991</v>
      </c>
      <c r="O12" s="19">
        <f t="shared" si="12"/>
        <v>544.86929184409951</v>
      </c>
      <c r="P12" s="19">
        <f t="shared" si="12"/>
        <v>536.63787491004268</v>
      </c>
      <c r="Q12" s="19">
        <f t="shared" si="12"/>
        <v>528.22467809107013</v>
      </c>
      <c r="R12" s="19">
        <f t="shared" si="12"/>
        <v>519.62489961686595</v>
      </c>
      <c r="S12" s="19">
        <f t="shared" si="12"/>
        <v>510.83360018026605</v>
      </c>
      <c r="T12" s="19">
        <f t="shared" si="12"/>
        <v>501.84569887631716</v>
      </c>
      <c r="U12" s="19">
        <f t="shared" si="12"/>
        <v>492.65596902015585</v>
      </c>
    </row>
    <row r="13" spans="1:103" x14ac:dyDescent="0.25">
      <c r="C13" s="2" t="s">
        <v>48</v>
      </c>
      <c r="D13" s="19">
        <v>-28</v>
      </c>
      <c r="E13" s="19">
        <v>-60</v>
      </c>
      <c r="F13" s="19">
        <v>-69</v>
      </c>
      <c r="G13" s="19">
        <v>70</v>
      </c>
      <c r="H13" s="19">
        <v>15</v>
      </c>
      <c r="I13" s="19">
        <v>-90</v>
      </c>
      <c r="J13" s="19">
        <v>-108</v>
      </c>
      <c r="K13" s="16">
        <f>K12*-0.22</f>
        <v>-136.61339999999993</v>
      </c>
      <c r="L13" s="19">
        <f t="shared" ref="L13:U13" si="13">L12*-0.22</f>
        <v>-125.07415799999995</v>
      </c>
      <c r="M13" s="19">
        <f t="shared" si="13"/>
        <v>-123.37717238000003</v>
      </c>
      <c r="N13" s="19">
        <f t="shared" si="13"/>
        <v>-121.64319135539998</v>
      </c>
      <c r="O13" s="19">
        <f t="shared" si="13"/>
        <v>-119.8712442057019</v>
      </c>
      <c r="P13" s="19">
        <f t="shared" si="13"/>
        <v>-118.0603324802094</v>
      </c>
      <c r="Q13" s="19">
        <f t="shared" si="13"/>
        <v>-116.20942918003543</v>
      </c>
      <c r="R13" s="19">
        <f t="shared" si="13"/>
        <v>-114.31747791571051</v>
      </c>
      <c r="S13" s="19">
        <f t="shared" si="13"/>
        <v>-112.38339203965853</v>
      </c>
      <c r="T13" s="19">
        <f t="shared" si="13"/>
        <v>-110.40605375278977</v>
      </c>
      <c r="U13" s="19">
        <f t="shared" si="13"/>
        <v>-108.38431318443429</v>
      </c>
    </row>
    <row r="14" spans="1:103" x14ac:dyDescent="0.25">
      <c r="C14" s="1" t="s">
        <v>49</v>
      </c>
      <c r="D14" s="18">
        <f>SUM(D12:D13)</f>
        <v>-5</v>
      </c>
      <c r="E14" s="18">
        <f>SUM(E12:E13)</f>
        <v>187</v>
      </c>
      <c r="F14" s="18">
        <f>SUM(F12:F13)</f>
        <v>-316</v>
      </c>
      <c r="G14" s="18">
        <f>SUM(G12:G13)</f>
        <v>-453</v>
      </c>
      <c r="H14" s="18">
        <f>SUM(H12:H13)</f>
        <v>-247</v>
      </c>
      <c r="I14" s="18">
        <f t="shared" ref="I14:U14" si="14">SUM(I12:I13)</f>
        <v>223</v>
      </c>
      <c r="J14" s="18">
        <f t="shared" si="14"/>
        <v>325</v>
      </c>
      <c r="K14" s="17">
        <f t="shared" si="14"/>
        <v>484.35659999999973</v>
      </c>
      <c r="L14" s="18">
        <f t="shared" si="14"/>
        <v>443.44474199999985</v>
      </c>
      <c r="M14" s="18">
        <f t="shared" si="14"/>
        <v>437.4281566200001</v>
      </c>
      <c r="N14" s="18">
        <f t="shared" si="14"/>
        <v>431.28040571459996</v>
      </c>
      <c r="O14" s="18">
        <f t="shared" si="14"/>
        <v>424.99804763839762</v>
      </c>
      <c r="P14" s="18">
        <f t="shared" si="14"/>
        <v>418.57754242983327</v>
      </c>
      <c r="Q14" s="18">
        <f t="shared" si="14"/>
        <v>412.01524891103469</v>
      </c>
      <c r="R14" s="18">
        <f t="shared" si="14"/>
        <v>405.30742170115542</v>
      </c>
      <c r="S14" s="18">
        <f t="shared" si="14"/>
        <v>398.45020814060751</v>
      </c>
      <c r="T14" s="18">
        <f t="shared" si="14"/>
        <v>391.43964512352738</v>
      </c>
      <c r="U14" s="18">
        <f t="shared" si="14"/>
        <v>384.27165583572156</v>
      </c>
      <c r="V14" s="18">
        <f>U14*(1+$X$17)</f>
        <v>380.42893927736435</v>
      </c>
      <c r="W14" s="18">
        <f t="shared" ref="W14:CH14" si="15">V14*(1+$X$17)</f>
        <v>376.62464988459072</v>
      </c>
      <c r="X14" s="18">
        <f t="shared" si="15"/>
        <v>372.85840338574479</v>
      </c>
      <c r="Y14" s="18">
        <f t="shared" si="15"/>
        <v>369.12981935188736</v>
      </c>
      <c r="Z14" s="18">
        <f t="shared" si="15"/>
        <v>365.43852115836847</v>
      </c>
      <c r="AA14" s="18">
        <f t="shared" si="15"/>
        <v>361.78413594678477</v>
      </c>
      <c r="AB14" s="18">
        <f t="shared" si="15"/>
        <v>358.16629458731694</v>
      </c>
      <c r="AC14" s="18">
        <f t="shared" si="15"/>
        <v>354.58463164144376</v>
      </c>
      <c r="AD14" s="18">
        <f t="shared" si="15"/>
        <v>351.03878532502932</v>
      </c>
      <c r="AE14" s="18">
        <f t="shared" si="15"/>
        <v>347.52839747177904</v>
      </c>
      <c r="AF14" s="18">
        <f t="shared" si="15"/>
        <v>344.05311349706125</v>
      </c>
      <c r="AG14" s="18">
        <f t="shared" si="15"/>
        <v>340.61258236209062</v>
      </c>
      <c r="AH14" s="18">
        <f t="shared" si="15"/>
        <v>337.20645653846969</v>
      </c>
      <c r="AI14" s="18">
        <f t="shared" si="15"/>
        <v>333.83439197308502</v>
      </c>
      <c r="AJ14" s="18">
        <f t="shared" si="15"/>
        <v>330.49604805335417</v>
      </c>
      <c r="AK14" s="18">
        <f t="shared" si="15"/>
        <v>327.19108757282061</v>
      </c>
      <c r="AL14" s="18">
        <f t="shared" si="15"/>
        <v>323.91917669709238</v>
      </c>
      <c r="AM14" s="18">
        <f t="shared" si="15"/>
        <v>320.67998493012146</v>
      </c>
      <c r="AN14" s="18">
        <f t="shared" si="15"/>
        <v>317.47318508082026</v>
      </c>
      <c r="AO14" s="18">
        <f t="shared" si="15"/>
        <v>314.29845323001206</v>
      </c>
      <c r="AP14" s="18">
        <f t="shared" si="15"/>
        <v>311.15546869771191</v>
      </c>
      <c r="AQ14" s="18">
        <f t="shared" si="15"/>
        <v>308.0439140107348</v>
      </c>
      <c r="AR14" s="18">
        <f t="shared" si="15"/>
        <v>304.96347487062746</v>
      </c>
      <c r="AS14" s="18">
        <f t="shared" si="15"/>
        <v>301.91384012192117</v>
      </c>
      <c r="AT14" s="18">
        <f t="shared" si="15"/>
        <v>298.89470172070196</v>
      </c>
      <c r="AU14" s="18">
        <f t="shared" si="15"/>
        <v>295.90575470349495</v>
      </c>
      <c r="AV14" s="18">
        <f t="shared" si="15"/>
        <v>292.94669715646</v>
      </c>
      <c r="AW14" s="18">
        <f t="shared" si="15"/>
        <v>290.01723018489542</v>
      </c>
      <c r="AX14" s="18">
        <f t="shared" si="15"/>
        <v>287.11705788304647</v>
      </c>
      <c r="AY14" s="18">
        <f t="shared" si="15"/>
        <v>284.24588730421601</v>
      </c>
      <c r="AZ14" s="18">
        <f t="shared" si="15"/>
        <v>281.40342843117384</v>
      </c>
      <c r="BA14" s="18">
        <f t="shared" si="15"/>
        <v>278.58939414686211</v>
      </c>
      <c r="BB14" s="18">
        <f t="shared" si="15"/>
        <v>275.8035002053935</v>
      </c>
      <c r="BC14" s="18">
        <f t="shared" si="15"/>
        <v>273.04546520333957</v>
      </c>
      <c r="BD14" s="18">
        <f t="shared" si="15"/>
        <v>270.31501055130616</v>
      </c>
      <c r="BE14" s="18">
        <f t="shared" si="15"/>
        <v>267.61186044579307</v>
      </c>
      <c r="BF14" s="18">
        <f t="shared" si="15"/>
        <v>264.93574184133513</v>
      </c>
      <c r="BG14" s="18">
        <f t="shared" si="15"/>
        <v>262.2863844229218</v>
      </c>
      <c r="BH14" s="18">
        <f t="shared" si="15"/>
        <v>259.66352057869256</v>
      </c>
      <c r="BI14" s="18">
        <f t="shared" si="15"/>
        <v>257.06688537290563</v>
      </c>
      <c r="BJ14" s="18">
        <f t="shared" si="15"/>
        <v>254.49621651917658</v>
      </c>
      <c r="BK14" s="18">
        <f t="shared" si="15"/>
        <v>251.95125435398481</v>
      </c>
      <c r="BL14" s="18">
        <f t="shared" si="15"/>
        <v>249.43174181044495</v>
      </c>
      <c r="BM14" s="18">
        <f t="shared" si="15"/>
        <v>246.93742439234049</v>
      </c>
      <c r="BN14" s="18">
        <f t="shared" si="15"/>
        <v>244.46805014841709</v>
      </c>
      <c r="BO14" s="18">
        <f t="shared" si="15"/>
        <v>242.02336964693291</v>
      </c>
      <c r="BP14" s="18">
        <f t="shared" si="15"/>
        <v>239.60313595046358</v>
      </c>
      <c r="BQ14" s="18">
        <f t="shared" si="15"/>
        <v>237.20710459095895</v>
      </c>
      <c r="BR14" s="18">
        <f t="shared" si="15"/>
        <v>234.83503354504936</v>
      </c>
      <c r="BS14" s="18">
        <f t="shared" si="15"/>
        <v>232.48668320959885</v>
      </c>
      <c r="BT14" s="18">
        <f t="shared" si="15"/>
        <v>230.16181637750287</v>
      </c>
      <c r="BU14" s="18">
        <f t="shared" si="15"/>
        <v>227.86019821372784</v>
      </c>
      <c r="BV14" s="18">
        <f t="shared" si="15"/>
        <v>225.58159623159057</v>
      </c>
      <c r="BW14" s="18">
        <f t="shared" si="15"/>
        <v>223.32578026927465</v>
      </c>
      <c r="BX14" s="18">
        <f t="shared" si="15"/>
        <v>221.0925224665819</v>
      </c>
      <c r="BY14" s="18">
        <f t="shared" si="15"/>
        <v>218.88159724191607</v>
      </c>
      <c r="BZ14" s="18">
        <f t="shared" si="15"/>
        <v>216.69278126949692</v>
      </c>
      <c r="CA14" s="18">
        <f t="shared" si="15"/>
        <v>214.52585345680194</v>
      </c>
      <c r="CB14" s="18">
        <f t="shared" si="15"/>
        <v>212.38059492223391</v>
      </c>
      <c r="CC14" s="18">
        <f t="shared" si="15"/>
        <v>210.25678897301157</v>
      </c>
      <c r="CD14" s="18">
        <f t="shared" si="15"/>
        <v>208.15422108328144</v>
      </c>
      <c r="CE14" s="18">
        <f t="shared" si="15"/>
        <v>206.07267887244862</v>
      </c>
      <c r="CF14" s="18">
        <f t="shared" si="15"/>
        <v>204.01195208372414</v>
      </c>
      <c r="CG14" s="18">
        <f t="shared" si="15"/>
        <v>201.9718325628869</v>
      </c>
      <c r="CH14" s="18">
        <f t="shared" si="15"/>
        <v>199.95211423725803</v>
      </c>
      <c r="CI14" s="18">
        <f t="shared" ref="CI14:CY14" si="16">CH14*(1+$X$17)</f>
        <v>197.95259309488546</v>
      </c>
      <c r="CJ14" s="18">
        <f t="shared" si="16"/>
        <v>195.97306716393661</v>
      </c>
      <c r="CK14" s="18">
        <f t="shared" si="16"/>
        <v>194.01333649229724</v>
      </c>
      <c r="CL14" s="18">
        <f t="shared" si="16"/>
        <v>192.07320312737426</v>
      </c>
      <c r="CM14" s="18">
        <f t="shared" si="16"/>
        <v>190.1524710961005</v>
      </c>
      <c r="CN14" s="18">
        <f t="shared" si="16"/>
        <v>188.25094638513949</v>
      </c>
      <c r="CO14" s="18">
        <f t="shared" si="16"/>
        <v>186.36843692128809</v>
      </c>
      <c r="CP14" s="18">
        <f t="shared" si="16"/>
        <v>184.50475255207522</v>
      </c>
      <c r="CQ14" s="18">
        <f t="shared" si="16"/>
        <v>182.65970502655446</v>
      </c>
      <c r="CR14" s="18">
        <f t="shared" si="16"/>
        <v>180.83310797628891</v>
      </c>
      <c r="CS14" s="18">
        <f t="shared" si="16"/>
        <v>179.02477689652602</v>
      </c>
      <c r="CT14" s="18">
        <f t="shared" si="16"/>
        <v>177.23452912756076</v>
      </c>
      <c r="CU14" s="18">
        <f t="shared" si="16"/>
        <v>175.46218383628516</v>
      </c>
      <c r="CV14" s="18">
        <f t="shared" si="16"/>
        <v>173.70756199792231</v>
      </c>
      <c r="CW14" s="18">
        <f t="shared" si="16"/>
        <v>171.97048637794308</v>
      </c>
      <c r="CX14" s="18">
        <f t="shared" si="16"/>
        <v>170.25078151416363</v>
      </c>
      <c r="CY14" s="18">
        <f t="shared" si="16"/>
        <v>168.54827369902199</v>
      </c>
    </row>
    <row r="15" spans="1:103" x14ac:dyDescent="0.25">
      <c r="C15" s="2" t="s">
        <v>50</v>
      </c>
      <c r="D15" s="9">
        <v>170</v>
      </c>
      <c r="E15" s="9">
        <v>170</v>
      </c>
      <c r="F15" s="9">
        <v>204.69458800000001</v>
      </c>
      <c r="G15" s="9">
        <v>204.69458800000001</v>
      </c>
      <c r="H15" s="9">
        <v>204.69458800000001</v>
      </c>
      <c r="I15" s="9">
        <v>204.69458800000001</v>
      </c>
      <c r="J15" s="9">
        <v>204.69458800000001</v>
      </c>
      <c r="K15" s="8">
        <v>204.69458800000001</v>
      </c>
      <c r="L15" s="9">
        <v>204.69458800000001</v>
      </c>
      <c r="M15" s="9">
        <v>204.69458800000001</v>
      </c>
      <c r="N15" s="9">
        <v>204.69458800000001</v>
      </c>
      <c r="O15" s="9">
        <v>204.69458800000001</v>
      </c>
      <c r="P15" s="9">
        <v>204.69458800000001</v>
      </c>
      <c r="Q15" s="9">
        <v>204.69458800000001</v>
      </c>
      <c r="R15" s="9">
        <v>204.69458800000001</v>
      </c>
      <c r="S15" s="9">
        <v>204.69458800000001</v>
      </c>
      <c r="T15" s="9">
        <v>204.69458800000001</v>
      </c>
      <c r="U15" s="9">
        <v>204.69458800000001</v>
      </c>
    </row>
    <row r="16" spans="1:103" x14ac:dyDescent="0.25">
      <c r="C16" s="2" t="s">
        <v>51</v>
      </c>
      <c r="D16" s="10">
        <f>D14/D15</f>
        <v>-2.9411764705882353E-2</v>
      </c>
      <c r="E16" s="10">
        <f>E14/E15</f>
        <v>1.1000000000000001</v>
      </c>
      <c r="F16" s="10">
        <f>F14/F15</f>
        <v>-1.5437633358435445</v>
      </c>
      <c r="G16" s="10">
        <f>G14/G15</f>
        <v>-2.2130531365098913</v>
      </c>
      <c r="H16" s="10">
        <f>H14/H15</f>
        <v>-1.2066757720042895</v>
      </c>
      <c r="I16" s="10">
        <f t="shared" ref="I16:U16" si="17">I14/I15</f>
        <v>1.0894279237123747</v>
      </c>
      <c r="J16" s="10">
        <f t="shared" si="17"/>
        <v>1.5877312789530127</v>
      </c>
      <c r="K16" s="7">
        <f t="shared" si="17"/>
        <v>2.3662403814994839</v>
      </c>
      <c r="L16" s="10">
        <f t="shared" si="17"/>
        <v>2.1663725764943029</v>
      </c>
      <c r="M16" s="10">
        <f t="shared" si="17"/>
        <v>2.1369795894164043</v>
      </c>
      <c r="N16" s="10">
        <f t="shared" si="17"/>
        <v>2.1069458158542029</v>
      </c>
      <c r="O16" s="10">
        <f t="shared" si="17"/>
        <v>2.0762544422444504</v>
      </c>
      <c r="P16" s="10">
        <f t="shared" si="17"/>
        <v>2.0448881747173173</v>
      </c>
      <c r="Q16" s="10">
        <f t="shared" si="17"/>
        <v>2.0128292249281876</v>
      </c>
      <c r="R16" s="10">
        <f t="shared" si="17"/>
        <v>1.9800592954668415</v>
      </c>
      <c r="S16" s="10">
        <f t="shared" si="17"/>
        <v>1.9465595648313256</v>
      </c>
      <c r="T16" s="10">
        <f t="shared" si="17"/>
        <v>1.9123106719535123</v>
      </c>
      <c r="U16" s="10">
        <f t="shared" si="17"/>
        <v>1.8772927002628987</v>
      </c>
      <c r="W16" s="2" t="s">
        <v>104</v>
      </c>
      <c r="X16" s="27">
        <v>0.08</v>
      </c>
    </row>
    <row r="17" spans="3:24" x14ac:dyDescent="0.25">
      <c r="K17" s="4"/>
      <c r="W17" s="2" t="s">
        <v>105</v>
      </c>
      <c r="X17" s="27">
        <v>-0.01</v>
      </c>
    </row>
    <row r="18" spans="3:24" x14ac:dyDescent="0.25">
      <c r="C18" s="1" t="s">
        <v>34</v>
      </c>
      <c r="D18" s="25"/>
      <c r="E18" s="25">
        <f t="shared" ref="E18:U18" si="18">(E4-D4)/D4</f>
        <v>0.22338140533906106</v>
      </c>
      <c r="F18" s="25">
        <f t="shared" si="18"/>
        <v>-0.11361926260346125</v>
      </c>
      <c r="G18" s="25">
        <f t="shared" si="18"/>
        <v>-8.12110922467459E-2</v>
      </c>
      <c r="H18" s="25">
        <f t="shared" si="18"/>
        <v>0.25716045580535879</v>
      </c>
      <c r="I18" s="25">
        <f t="shared" si="18"/>
        <v>0.15972562469377757</v>
      </c>
      <c r="J18" s="25">
        <f t="shared" si="18"/>
        <v>6.9919729615547099E-2</v>
      </c>
      <c r="K18" s="26">
        <f t="shared" si="18"/>
        <v>0.1</v>
      </c>
      <c r="L18" s="25">
        <f t="shared" si="18"/>
        <v>0</v>
      </c>
      <c r="M18" s="25">
        <f t="shared" si="18"/>
        <v>0</v>
      </c>
      <c r="N18" s="25">
        <f t="shared" si="18"/>
        <v>0</v>
      </c>
      <c r="O18" s="25">
        <f t="shared" si="18"/>
        <v>0</v>
      </c>
      <c r="P18" s="25">
        <f t="shared" si="18"/>
        <v>0</v>
      </c>
      <c r="Q18" s="25">
        <f t="shared" si="18"/>
        <v>0</v>
      </c>
      <c r="R18" s="25">
        <f t="shared" si="18"/>
        <v>0</v>
      </c>
      <c r="S18" s="25">
        <f t="shared" si="18"/>
        <v>0</v>
      </c>
      <c r="T18" s="25">
        <f t="shared" si="18"/>
        <v>0</v>
      </c>
      <c r="U18" s="25">
        <f t="shared" si="18"/>
        <v>0</v>
      </c>
      <c r="W18" s="20" t="s">
        <v>106</v>
      </c>
      <c r="X18" s="30">
        <f>NPV(X16,K14:CY14)</f>
        <v>4862.1950355824865</v>
      </c>
    </row>
    <row r="19" spans="3:24" x14ac:dyDescent="0.25">
      <c r="C19" s="2" t="s">
        <v>114</v>
      </c>
      <c r="D19" s="14">
        <f t="shared" ref="D19:I19" si="19">D6/D4</f>
        <v>0.97545259281988339</v>
      </c>
      <c r="E19" s="14">
        <f t="shared" si="19"/>
        <v>0.97115625783797344</v>
      </c>
      <c r="F19" s="14">
        <f t="shared" si="19"/>
        <v>0.96547821165817771</v>
      </c>
      <c r="G19" s="14">
        <f t="shared" si="19"/>
        <v>0.96735448105943944</v>
      </c>
      <c r="H19" s="14">
        <f t="shared" si="19"/>
        <v>0.96398824105830472</v>
      </c>
      <c r="I19" s="14">
        <f t="shared" si="19"/>
        <v>0.97106041402619347</v>
      </c>
      <c r="J19" s="14">
        <f>J6/J4</f>
        <v>0.97176702862783815</v>
      </c>
      <c r="K19" s="15">
        <f t="shared" ref="K19:U19" si="20">K6/K4</f>
        <v>0.97356367226061202</v>
      </c>
      <c r="L19" s="14">
        <f t="shared" si="20"/>
        <v>0.9727705824284304</v>
      </c>
      <c r="M19" s="14">
        <f t="shared" si="20"/>
        <v>0.97195369990128333</v>
      </c>
      <c r="N19" s="14">
        <f t="shared" si="20"/>
        <v>0.97111231089832184</v>
      </c>
      <c r="O19" s="14">
        <f t="shared" si="20"/>
        <v>0.97024568022527136</v>
      </c>
      <c r="P19" s="14">
        <f t="shared" si="20"/>
        <v>0.96935305063202959</v>
      </c>
      <c r="Q19" s="14">
        <f t="shared" si="20"/>
        <v>0.96843364215099048</v>
      </c>
      <c r="R19" s="14">
        <f t="shared" si="20"/>
        <v>0.96748665141552026</v>
      </c>
      <c r="S19" s="14">
        <f t="shared" si="20"/>
        <v>0.96651125095798585</v>
      </c>
      <c r="T19" s="14">
        <f t="shared" si="20"/>
        <v>0.96550658848672544</v>
      </c>
      <c r="U19" s="14">
        <f t="shared" si="20"/>
        <v>0.96447178614132711</v>
      </c>
      <c r="W19" s="2" t="s">
        <v>2</v>
      </c>
      <c r="X19" s="9">
        <v>204.69458800000001</v>
      </c>
    </row>
    <row r="20" spans="3:24" x14ac:dyDescent="0.25">
      <c r="C20" s="11" t="s">
        <v>53</v>
      </c>
      <c r="D20" s="14">
        <f t="shared" ref="D20:U20" si="21">D10/D4</f>
        <v>8.0699601104633326E-2</v>
      </c>
      <c r="E20" s="14">
        <f t="shared" si="21"/>
        <v>0.12841735640832705</v>
      </c>
      <c r="F20" s="14">
        <f t="shared" si="21"/>
        <v>5.6593095642331632E-3</v>
      </c>
      <c r="G20" s="14">
        <f t="shared" si="21"/>
        <v>-6.9294733600246378E-2</v>
      </c>
      <c r="H20" s="14">
        <f t="shared" si="21"/>
        <v>4.6545810877021065E-3</v>
      </c>
      <c r="I20" s="14">
        <f t="shared" si="21"/>
        <v>0.12822137727080693</v>
      </c>
      <c r="J20" s="14">
        <f t="shared" si="21"/>
        <v>0.14669299111549852</v>
      </c>
      <c r="K20" s="15">
        <f t="shared" si="21"/>
        <v>0.1676514403661491</v>
      </c>
      <c r="L20" s="14">
        <f t="shared" si="21"/>
        <v>0.15879922821502285</v>
      </c>
      <c r="M20" s="14">
        <f t="shared" si="21"/>
        <v>0.15798234568787584</v>
      </c>
      <c r="N20" s="14">
        <f t="shared" si="21"/>
        <v>0.15714095668491429</v>
      </c>
      <c r="O20" s="14">
        <f t="shared" si="21"/>
        <v>0.15627432601186386</v>
      </c>
      <c r="P20" s="14">
        <f t="shared" si="21"/>
        <v>0.15538169641862207</v>
      </c>
      <c r="Q20" s="14">
        <f t="shared" si="21"/>
        <v>0.15446228793758293</v>
      </c>
      <c r="R20" s="14">
        <f t="shared" si="21"/>
        <v>0.15351529720211268</v>
      </c>
      <c r="S20" s="14">
        <f t="shared" si="21"/>
        <v>0.1525398967445783</v>
      </c>
      <c r="T20" s="14">
        <f t="shared" si="21"/>
        <v>0.15153523427331789</v>
      </c>
      <c r="U20" s="14">
        <f t="shared" si="21"/>
        <v>0.15050043192791962</v>
      </c>
      <c r="W20" s="1" t="s">
        <v>107</v>
      </c>
      <c r="X20" s="31">
        <f>X18/X19</f>
        <v>23.753412745736522</v>
      </c>
    </row>
    <row r="21" spans="3:24" x14ac:dyDescent="0.25">
      <c r="D21" s="11"/>
      <c r="E21" s="11"/>
      <c r="F21" s="11"/>
      <c r="G21" s="11"/>
      <c r="H21" s="14"/>
      <c r="I21" s="14"/>
      <c r="J21" s="14"/>
      <c r="K21" s="15"/>
      <c r="L21" s="14"/>
      <c r="M21" s="14"/>
      <c r="N21" s="14"/>
      <c r="O21" s="14"/>
      <c r="P21" s="14"/>
      <c r="Q21" s="14"/>
      <c r="R21" s="14"/>
      <c r="S21" s="14"/>
      <c r="T21" s="14"/>
      <c r="U21" s="14"/>
      <c r="W21" s="1" t="s">
        <v>108</v>
      </c>
      <c r="X21" s="28">
        <f>(X20-Modell!B4)/Modell!B4</f>
        <v>-0.46501322644737558</v>
      </c>
    </row>
    <row r="26" spans="3:24" x14ac:dyDescent="0.25">
      <c r="G26" s="18"/>
      <c r="H26" s="18"/>
      <c r="I26" s="18"/>
    </row>
    <row r="27" spans="3:24" x14ac:dyDescent="0.25">
      <c r="G27" s="19"/>
      <c r="H27" s="19"/>
      <c r="I27" s="19"/>
    </row>
    <row r="28" spans="3:24" x14ac:dyDescent="0.25">
      <c r="G28" s="19"/>
      <c r="H28" s="19"/>
      <c r="I28" s="19"/>
    </row>
    <row r="29" spans="3:24" x14ac:dyDescent="0.25">
      <c r="G29" s="19"/>
      <c r="H29" s="19"/>
      <c r="I29" s="19"/>
    </row>
    <row r="30" spans="3:24" x14ac:dyDescent="0.25">
      <c r="G30" s="19"/>
      <c r="H30" s="19"/>
      <c r="I30" s="19"/>
    </row>
    <row r="31" spans="3:24" x14ac:dyDescent="0.25">
      <c r="G31" s="19"/>
      <c r="H31" s="19"/>
      <c r="I31" s="19"/>
    </row>
    <row r="32" spans="3:24" x14ac:dyDescent="0.25">
      <c r="G32" s="18"/>
      <c r="H32" s="18"/>
      <c r="I32" s="18"/>
    </row>
    <row r="33" spans="7:9" x14ac:dyDescent="0.25">
      <c r="G33" s="19"/>
      <c r="H33" s="19"/>
      <c r="I33" s="19"/>
    </row>
    <row r="34" spans="7:9" x14ac:dyDescent="0.25">
      <c r="G34" s="19"/>
      <c r="H34" s="19"/>
      <c r="I34" s="19"/>
    </row>
    <row r="35" spans="7:9" x14ac:dyDescent="0.25">
      <c r="G35" s="19"/>
      <c r="H35" s="19"/>
      <c r="I35" s="19"/>
    </row>
    <row r="36" spans="7:9" x14ac:dyDescent="0.25">
      <c r="G36" s="18"/>
      <c r="H36" s="18"/>
      <c r="I36" s="18"/>
    </row>
    <row r="37" spans="7:9" x14ac:dyDescent="0.25">
      <c r="G37" s="9"/>
      <c r="H37" s="9"/>
      <c r="I37" s="9"/>
    </row>
    <row r="38" spans="7:9" x14ac:dyDescent="0.25">
      <c r="G38" s="10"/>
      <c r="H38" s="10"/>
      <c r="I3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2026-08-14T13:55:48Z</dcterms:modified>
</cp:coreProperties>
</file>