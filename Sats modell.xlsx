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ugusthodt/Desktop/Aksjemodellering/"/>
    </mc:Choice>
  </mc:AlternateContent>
  <xr:revisionPtr revIDLastSave="0" documentId="13_ncr:1_{D951DFDA-AA95-C84D-8409-69DF96BE9554}" xr6:coauthVersionLast="47" xr6:coauthVersionMax="47" xr10:uidLastSave="{00000000-0000-0000-0000-000000000000}"/>
  <bookViews>
    <workbookView xWindow="24540" yWindow="500" windowWidth="24880" windowHeight="26740" activeTab="1" xr2:uid="{5AE0DF26-B7DD-1242-A60E-253C73A930AF}"/>
  </bookViews>
  <sheets>
    <sheet name="Info" sheetId="1" r:id="rId1"/>
    <sheet name="Modell" sheetId="2" r:id="rId2"/>
    <sheet name="Segementer" sheetId="4" r:id="rId3"/>
    <sheet name="Nøkkeltall" sheetId="3" r:id="rId4"/>
    <sheet name="Nedsideberegning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5" l="1"/>
  <c r="A5" i="5"/>
  <c r="H27" i="2"/>
  <c r="I27" i="2"/>
  <c r="J27" i="2"/>
  <c r="K27" i="2"/>
  <c r="L27" i="2"/>
  <c r="M27" i="2"/>
  <c r="N27" i="2"/>
  <c r="O27" i="2"/>
  <c r="P27" i="2"/>
  <c r="Q27" i="2"/>
  <c r="R27" i="2"/>
  <c r="B8" i="2"/>
  <c r="B7" i="2"/>
  <c r="L8" i="5"/>
  <c r="L9" i="5"/>
  <c r="L7" i="5"/>
  <c r="M7" i="5" s="1"/>
  <c r="N7" i="5" s="1"/>
  <c r="O7" i="5" s="1"/>
  <c r="P7" i="5" s="1"/>
  <c r="Q7" i="5" s="1"/>
  <c r="R7" i="5" s="1"/>
  <c r="S7" i="5" s="1"/>
  <c r="T7" i="5" s="1"/>
  <c r="U7" i="5" s="1"/>
  <c r="M6" i="5"/>
  <c r="N6" i="5"/>
  <c r="O6" i="5"/>
  <c r="P6" i="5"/>
  <c r="Q6" i="5"/>
  <c r="R6" i="5"/>
  <c r="S6" i="5"/>
  <c r="T6" i="5"/>
  <c r="U6" i="5"/>
  <c r="M8" i="5"/>
  <c r="N8" i="5"/>
  <c r="O8" i="5"/>
  <c r="P8" i="5"/>
  <c r="Q8" i="5" s="1"/>
  <c r="R8" i="5" s="1"/>
  <c r="S8" i="5" s="1"/>
  <c r="T8" i="5" s="1"/>
  <c r="U8" i="5" s="1"/>
  <c r="M9" i="5"/>
  <c r="N9" i="5"/>
  <c r="O9" i="5"/>
  <c r="P9" i="5" s="1"/>
  <c r="Q9" i="5" s="1"/>
  <c r="R9" i="5" s="1"/>
  <c r="S9" i="5" s="1"/>
  <c r="T9" i="5" s="1"/>
  <c r="U9" i="5" s="1"/>
  <c r="M4" i="5"/>
  <c r="N4" i="5" s="1"/>
  <c r="O4" i="5" s="1"/>
  <c r="P4" i="5" s="1"/>
  <c r="Q4" i="5" s="1"/>
  <c r="R4" i="5" s="1"/>
  <c r="S4" i="5" s="1"/>
  <c r="T4" i="5" s="1"/>
  <c r="U4" i="5" s="1"/>
  <c r="L4" i="5"/>
  <c r="H6" i="5"/>
  <c r="Z4" i="2"/>
  <c r="G18" i="5"/>
  <c r="F18" i="5"/>
  <c r="E18" i="5"/>
  <c r="K11" i="5"/>
  <c r="L11" i="5" s="1"/>
  <c r="M11" i="5" s="1"/>
  <c r="N11" i="5" s="1"/>
  <c r="O11" i="5" s="1"/>
  <c r="P11" i="5" s="1"/>
  <c r="Q11" i="5" s="1"/>
  <c r="R11" i="5" s="1"/>
  <c r="S11" i="5" s="1"/>
  <c r="T11" i="5" s="1"/>
  <c r="U11" i="5" s="1"/>
  <c r="K9" i="5"/>
  <c r="F9" i="5"/>
  <c r="D9" i="5"/>
  <c r="D10" i="5" s="1"/>
  <c r="K8" i="5"/>
  <c r="K7" i="5"/>
  <c r="G6" i="5"/>
  <c r="G10" i="5" s="1"/>
  <c r="F6" i="5"/>
  <c r="F19" i="5" s="1"/>
  <c r="E6" i="5"/>
  <c r="E19" i="5" s="1"/>
  <c r="D6" i="5"/>
  <c r="D19" i="5" s="1"/>
  <c r="K5" i="5"/>
  <c r="L5" i="5" s="1"/>
  <c r="M5" i="5" s="1"/>
  <c r="N5" i="5" s="1"/>
  <c r="O5" i="5" s="1"/>
  <c r="P5" i="5" s="1"/>
  <c r="Q5" i="5" s="1"/>
  <c r="R5" i="5" s="1"/>
  <c r="S5" i="5" s="1"/>
  <c r="T5" i="5" s="1"/>
  <c r="U5" i="5" s="1"/>
  <c r="J18" i="5"/>
  <c r="I18" i="5"/>
  <c r="H18" i="5"/>
  <c r="D20" i="5" l="1"/>
  <c r="D12" i="5"/>
  <c r="D14" i="5" s="1"/>
  <c r="G12" i="5"/>
  <c r="G14" i="5" s="1"/>
  <c r="G20" i="5"/>
  <c r="I6" i="5"/>
  <c r="J6" i="5"/>
  <c r="E10" i="5"/>
  <c r="K4" i="5"/>
  <c r="F10" i="5"/>
  <c r="G19" i="5"/>
  <c r="Q74" i="2"/>
  <c r="Q76" i="2" s="1"/>
  <c r="Q71" i="2"/>
  <c r="Q72" i="2" s="1"/>
  <c r="Q87" i="2"/>
  <c r="R87" i="2"/>
  <c r="S87" i="2"/>
  <c r="R76" i="2"/>
  <c r="S76" i="2"/>
  <c r="R72" i="2"/>
  <c r="R91" i="2" s="1"/>
  <c r="S72" i="2"/>
  <c r="S91" i="2" s="1"/>
  <c r="Q23" i="2"/>
  <c r="R23" i="2"/>
  <c r="S23" i="2"/>
  <c r="V49" i="4"/>
  <c r="V48" i="4"/>
  <c r="V46" i="4"/>
  <c r="V43" i="4"/>
  <c r="V42" i="4"/>
  <c r="V37" i="4"/>
  <c r="V36" i="4"/>
  <c r="V34" i="4"/>
  <c r="V31" i="4"/>
  <c r="V30" i="4"/>
  <c r="V25" i="4"/>
  <c r="V24" i="4"/>
  <c r="V22" i="4"/>
  <c r="V19" i="4"/>
  <c r="V18" i="4"/>
  <c r="Q49" i="4"/>
  <c r="Q48" i="4"/>
  <c r="Q46" i="4"/>
  <c r="Q47" i="4" s="1"/>
  <c r="Q44" i="4"/>
  <c r="Q45" i="4" s="1"/>
  <c r="Q43" i="4"/>
  <c r="Q42" i="4"/>
  <c r="Q37" i="4"/>
  <c r="Q36" i="4"/>
  <c r="Q34" i="4"/>
  <c r="Q35" i="4" s="1"/>
  <c r="Q32" i="4"/>
  <c r="Q33" i="4" s="1"/>
  <c r="Q31" i="4"/>
  <c r="Q30" i="4"/>
  <c r="Q25" i="4"/>
  <c r="Q24" i="4"/>
  <c r="Q22" i="4"/>
  <c r="Q23" i="4" s="1"/>
  <c r="Q20" i="4"/>
  <c r="Q21" i="4" s="1"/>
  <c r="Q19" i="4"/>
  <c r="Q18" i="4"/>
  <c r="L49" i="4"/>
  <c r="L48" i="4"/>
  <c r="L46" i="4"/>
  <c r="L47" i="4" s="1"/>
  <c r="L44" i="4"/>
  <c r="L45" i="4" s="1"/>
  <c r="L43" i="4"/>
  <c r="L42" i="4"/>
  <c r="L37" i="4"/>
  <c r="L36" i="4"/>
  <c r="L34" i="4"/>
  <c r="L35" i="4" s="1"/>
  <c r="L32" i="4"/>
  <c r="L33" i="4" s="1"/>
  <c r="L31" i="4"/>
  <c r="L30" i="4"/>
  <c r="L25" i="4"/>
  <c r="L24" i="4"/>
  <c r="L22" i="4"/>
  <c r="L23" i="4" s="1"/>
  <c r="L20" i="4"/>
  <c r="L21" i="4" s="1"/>
  <c r="L19" i="4"/>
  <c r="L18" i="4"/>
  <c r="G49" i="4"/>
  <c r="G48" i="4"/>
  <c r="G46" i="4"/>
  <c r="G47" i="4" s="1"/>
  <c r="G44" i="4"/>
  <c r="G43" i="4"/>
  <c r="G42" i="4"/>
  <c r="G37" i="4"/>
  <c r="G36" i="4"/>
  <c r="G34" i="4"/>
  <c r="G35" i="4" s="1"/>
  <c r="G32" i="4"/>
  <c r="G31" i="4"/>
  <c r="G30" i="4"/>
  <c r="G25" i="4"/>
  <c r="G24" i="4"/>
  <c r="G22" i="4"/>
  <c r="G23" i="4" s="1"/>
  <c r="G20" i="4"/>
  <c r="G19" i="4"/>
  <c r="G18" i="4"/>
  <c r="V13" i="4"/>
  <c r="V12" i="4"/>
  <c r="V10" i="4"/>
  <c r="V7" i="4"/>
  <c r="V6" i="4"/>
  <c r="Q13" i="4"/>
  <c r="Q12" i="4"/>
  <c r="Q10" i="4"/>
  <c r="Q11" i="4" s="1"/>
  <c r="Q8" i="4"/>
  <c r="Q9" i="4" s="1"/>
  <c r="Q7" i="4"/>
  <c r="Q6" i="4"/>
  <c r="L9" i="4"/>
  <c r="L13" i="4"/>
  <c r="L12" i="4"/>
  <c r="L10" i="4"/>
  <c r="L11" i="4" s="1"/>
  <c r="L8" i="4"/>
  <c r="L7" i="4"/>
  <c r="L6" i="4"/>
  <c r="G11" i="4"/>
  <c r="G13" i="4"/>
  <c r="G12" i="4"/>
  <c r="G10" i="4"/>
  <c r="G8" i="4"/>
  <c r="G7" i="4"/>
  <c r="G6" i="4"/>
  <c r="W18" i="2"/>
  <c r="X18" i="2"/>
  <c r="Y18" i="2"/>
  <c r="V9" i="2"/>
  <c r="V6" i="2"/>
  <c r="W6" i="2"/>
  <c r="W10" i="2" s="1"/>
  <c r="W12" i="2" s="1"/>
  <c r="W14" i="2" s="1"/>
  <c r="W16" i="2" s="1"/>
  <c r="X9" i="2"/>
  <c r="X6" i="2"/>
  <c r="Y6" i="2"/>
  <c r="Y10" i="2" s="1"/>
  <c r="Y12" i="2" s="1"/>
  <c r="Y14" i="2" s="1"/>
  <c r="Y16" i="2" s="1"/>
  <c r="E71" i="2"/>
  <c r="E72" i="2" s="1"/>
  <c r="E91" i="2" s="1"/>
  <c r="P23" i="2"/>
  <c r="F71" i="2"/>
  <c r="F72" i="2" s="1"/>
  <c r="F91" i="2" s="1"/>
  <c r="G74" i="2"/>
  <c r="G76" i="2" s="1"/>
  <c r="G71" i="2"/>
  <c r="G72" i="2" s="1"/>
  <c r="D71" i="2"/>
  <c r="H71" i="2"/>
  <c r="H72" i="2" s="1"/>
  <c r="H91" i="2" s="1"/>
  <c r="I74" i="2"/>
  <c r="I76" i="2" s="1"/>
  <c r="I71" i="2"/>
  <c r="I72" i="2" s="1"/>
  <c r="M71" i="2"/>
  <c r="J87" i="2"/>
  <c r="J71" i="2"/>
  <c r="J72" i="2" s="1"/>
  <c r="N71" i="2"/>
  <c r="N72" i="2" s="1"/>
  <c r="K71" i="2"/>
  <c r="K72" i="2" s="1"/>
  <c r="O71" i="2"/>
  <c r="O72" i="2" s="1"/>
  <c r="D87" i="2"/>
  <c r="E87" i="2"/>
  <c r="F87" i="2"/>
  <c r="G87" i="2"/>
  <c r="H87" i="2"/>
  <c r="I87" i="2"/>
  <c r="K87" i="2"/>
  <c r="L87" i="2"/>
  <c r="M87" i="2"/>
  <c r="N87" i="2"/>
  <c r="O87" i="2"/>
  <c r="D76" i="2"/>
  <c r="E76" i="2"/>
  <c r="F76" i="2"/>
  <c r="H76" i="2"/>
  <c r="J76" i="2"/>
  <c r="K76" i="2"/>
  <c r="L76" i="2"/>
  <c r="M76" i="2"/>
  <c r="N76" i="2"/>
  <c r="O76" i="2"/>
  <c r="D72" i="2"/>
  <c r="D91" i="2" s="1"/>
  <c r="M72" i="2"/>
  <c r="L71" i="2"/>
  <c r="L72" i="2" s="1"/>
  <c r="L91" i="2" s="1"/>
  <c r="P87" i="2"/>
  <c r="P74" i="2"/>
  <c r="P76" i="2" s="1"/>
  <c r="P71" i="2"/>
  <c r="P72" i="2" s="1"/>
  <c r="U45" i="4"/>
  <c r="R45" i="4"/>
  <c r="P45" i="4"/>
  <c r="O45" i="4"/>
  <c r="N45" i="4"/>
  <c r="M45" i="4"/>
  <c r="K45" i="4"/>
  <c r="J45" i="4"/>
  <c r="I45" i="4"/>
  <c r="H45" i="4"/>
  <c r="N33" i="4"/>
  <c r="M33" i="4"/>
  <c r="K33" i="4"/>
  <c r="J33" i="4"/>
  <c r="I33" i="4"/>
  <c r="H33" i="4"/>
  <c r="U44" i="4"/>
  <c r="T44" i="4"/>
  <c r="T45" i="4" s="1"/>
  <c r="S44" i="4"/>
  <c r="S45" i="4" s="1"/>
  <c r="R44" i="4"/>
  <c r="U32" i="4"/>
  <c r="T32" i="4"/>
  <c r="T33" i="4" s="1"/>
  <c r="S32" i="4"/>
  <c r="S33" i="4" s="1"/>
  <c r="R32" i="4"/>
  <c r="R33" i="4" s="1"/>
  <c r="U20" i="4"/>
  <c r="T20" i="4"/>
  <c r="T21" i="4" s="1"/>
  <c r="S20" i="4"/>
  <c r="S21" i="4" s="1"/>
  <c r="R20" i="4"/>
  <c r="U8" i="4"/>
  <c r="T8" i="4"/>
  <c r="S8" i="4"/>
  <c r="R8" i="4"/>
  <c r="P6" i="2"/>
  <c r="P10" i="2" s="1"/>
  <c r="Q6" i="2"/>
  <c r="Q10" i="2" s="1"/>
  <c r="R6" i="2"/>
  <c r="R10" i="2" s="1"/>
  <c r="S6" i="2"/>
  <c r="S10" i="2" s="1"/>
  <c r="D6" i="2"/>
  <c r="D10" i="2" s="1"/>
  <c r="D12" i="2" s="1"/>
  <c r="D14" i="2" s="1"/>
  <c r="D16" i="2" s="1"/>
  <c r="E6" i="2"/>
  <c r="E10" i="2" s="1"/>
  <c r="E12" i="2" s="1"/>
  <c r="E14" i="2" s="1"/>
  <c r="E16" i="2" s="1"/>
  <c r="F6" i="2"/>
  <c r="F10" i="2" s="1"/>
  <c r="F12" i="2" s="1"/>
  <c r="F14" i="2" s="1"/>
  <c r="F16" i="2" s="1"/>
  <c r="G6" i="2"/>
  <c r="G10" i="2" s="1"/>
  <c r="G12" i="2" s="1"/>
  <c r="G14" i="2" s="1"/>
  <c r="G16" i="2" s="1"/>
  <c r="H6" i="2"/>
  <c r="H19" i="2" s="1"/>
  <c r="I6" i="2"/>
  <c r="I10" i="2" s="1"/>
  <c r="J6" i="2"/>
  <c r="J10" i="2" s="1"/>
  <c r="K6" i="2"/>
  <c r="K10" i="2" s="1"/>
  <c r="L6" i="2"/>
  <c r="L10" i="2" s="1"/>
  <c r="L12" i="2" s="1"/>
  <c r="L14" i="2" s="1"/>
  <c r="L16" i="2" s="1"/>
  <c r="M6" i="2"/>
  <c r="M10" i="2" s="1"/>
  <c r="M12" i="2" s="1"/>
  <c r="M14" i="2" s="1"/>
  <c r="M16" i="2" s="1"/>
  <c r="N6" i="2"/>
  <c r="N10" i="2" s="1"/>
  <c r="N12" i="2" s="1"/>
  <c r="N65" i="2" s="1"/>
  <c r="O6" i="2"/>
  <c r="O19" i="2" s="1"/>
  <c r="P61" i="2"/>
  <c r="Q61" i="2"/>
  <c r="R61" i="2"/>
  <c r="S61" i="2"/>
  <c r="P48" i="2"/>
  <c r="Q48" i="2"/>
  <c r="R48" i="2"/>
  <c r="S48" i="2"/>
  <c r="P42" i="2"/>
  <c r="Q42" i="2"/>
  <c r="R42" i="2"/>
  <c r="S42" i="2"/>
  <c r="D61" i="2"/>
  <c r="E61" i="2"/>
  <c r="F61" i="2"/>
  <c r="G61" i="2"/>
  <c r="H61" i="2"/>
  <c r="I61" i="2"/>
  <c r="J61" i="2"/>
  <c r="K61" i="2"/>
  <c r="L61" i="2"/>
  <c r="M61" i="2"/>
  <c r="N61" i="2"/>
  <c r="D48" i="2"/>
  <c r="E48" i="2"/>
  <c r="F48" i="2"/>
  <c r="G48" i="2"/>
  <c r="H48" i="2"/>
  <c r="I48" i="2"/>
  <c r="J48" i="2"/>
  <c r="K48" i="2"/>
  <c r="L48" i="2"/>
  <c r="M48" i="2"/>
  <c r="N48" i="2"/>
  <c r="D42" i="2"/>
  <c r="E42" i="2"/>
  <c r="F42" i="2"/>
  <c r="G42" i="2"/>
  <c r="H42" i="2"/>
  <c r="I42" i="2"/>
  <c r="J42" i="2"/>
  <c r="K42" i="2"/>
  <c r="L42" i="2"/>
  <c r="M42" i="2"/>
  <c r="N42" i="2"/>
  <c r="P18" i="2"/>
  <c r="Q18" i="2"/>
  <c r="R18" i="2"/>
  <c r="S18" i="2"/>
  <c r="AB13" i="2"/>
  <c r="AB11" i="2"/>
  <c r="AC11" i="2" s="1"/>
  <c r="AD11" i="2" s="1"/>
  <c r="AE11" i="2" s="1"/>
  <c r="AF11" i="2" s="1"/>
  <c r="AG11" i="2" s="1"/>
  <c r="AH11" i="2" s="1"/>
  <c r="AI11" i="2" s="1"/>
  <c r="AJ11" i="2" s="1"/>
  <c r="AK11" i="2" s="1"/>
  <c r="AL11" i="2" s="1"/>
  <c r="AM11" i="2" s="1"/>
  <c r="AB7" i="2"/>
  <c r="AB8" i="2"/>
  <c r="AB9" i="2"/>
  <c r="AC9" i="2" s="1"/>
  <c r="AB4" i="2"/>
  <c r="AC4" i="2" s="1"/>
  <c r="AB5" i="2"/>
  <c r="AC5" i="2" s="1"/>
  <c r="AD5" i="2" s="1"/>
  <c r="AE5" i="2" s="1"/>
  <c r="AF5" i="2" s="1"/>
  <c r="AG5" i="2" s="1"/>
  <c r="AH5" i="2" s="1"/>
  <c r="AI5" i="2" s="1"/>
  <c r="AJ5" i="2" s="1"/>
  <c r="AK5" i="2" s="1"/>
  <c r="AL5" i="2" s="1"/>
  <c r="AM5" i="2" s="1"/>
  <c r="AA13" i="2"/>
  <c r="AA11" i="2"/>
  <c r="AA7" i="2"/>
  <c r="AA8" i="2"/>
  <c r="AA9" i="2"/>
  <c r="AA5" i="2"/>
  <c r="AA4" i="2"/>
  <c r="AA18" i="2" s="1"/>
  <c r="Z13" i="2"/>
  <c r="Z11" i="2"/>
  <c r="Z5" i="2"/>
  <c r="Z6" i="2" s="1"/>
  <c r="Z19" i="2" s="1"/>
  <c r="Z7" i="2"/>
  <c r="Z8" i="2"/>
  <c r="Z9" i="2"/>
  <c r="D23" i="2"/>
  <c r="E23" i="2"/>
  <c r="F23" i="2"/>
  <c r="G23" i="2"/>
  <c r="H23" i="2"/>
  <c r="I23" i="2"/>
  <c r="J23" i="2"/>
  <c r="K23" i="2"/>
  <c r="L23" i="2"/>
  <c r="M23" i="2"/>
  <c r="N23" i="2"/>
  <c r="C20" i="4"/>
  <c r="C8" i="4"/>
  <c r="D20" i="4"/>
  <c r="D8" i="4"/>
  <c r="E20" i="4"/>
  <c r="E8" i="4"/>
  <c r="F20" i="4"/>
  <c r="F8" i="4"/>
  <c r="H20" i="4"/>
  <c r="H21" i="4" s="1"/>
  <c r="M20" i="4"/>
  <c r="M21" i="4" s="1"/>
  <c r="H8" i="4"/>
  <c r="H9" i="4" s="1"/>
  <c r="M8" i="4"/>
  <c r="M9" i="4" s="1"/>
  <c r="N44" i="4"/>
  <c r="I20" i="4"/>
  <c r="N20" i="4"/>
  <c r="N21" i="4" s="1"/>
  <c r="I8" i="4"/>
  <c r="O23" i="2"/>
  <c r="N8" i="4"/>
  <c r="O44" i="4"/>
  <c r="O32" i="4"/>
  <c r="O33" i="4" s="1"/>
  <c r="J20" i="4"/>
  <c r="J21" i="4" s="1"/>
  <c r="J8" i="4"/>
  <c r="J9" i="4" s="1"/>
  <c r="O8" i="4"/>
  <c r="O10" i="2" l="1"/>
  <c r="Q24" i="2"/>
  <c r="V10" i="2"/>
  <c r="V12" i="2" s="1"/>
  <c r="V14" i="2" s="1"/>
  <c r="V16" i="2" s="1"/>
  <c r="D19" i="2"/>
  <c r="G91" i="2"/>
  <c r="S62" i="2"/>
  <c r="W19" i="2"/>
  <c r="S24" i="2"/>
  <c r="I91" i="2"/>
  <c r="V19" i="2"/>
  <c r="S89" i="2"/>
  <c r="AC8" i="2"/>
  <c r="AD8" i="2" s="1"/>
  <c r="AE8" i="2" s="1"/>
  <c r="AF8" i="2" s="1"/>
  <c r="AG8" i="2" s="1"/>
  <c r="AH8" i="2" s="1"/>
  <c r="AI8" i="2" s="1"/>
  <c r="AJ8" i="2" s="1"/>
  <c r="AK8" i="2" s="1"/>
  <c r="AL8" i="2" s="1"/>
  <c r="AM8" i="2" s="1"/>
  <c r="AC7" i="2"/>
  <c r="AD7" i="2" s="1"/>
  <c r="AE7" i="2" s="1"/>
  <c r="AF7" i="2" s="1"/>
  <c r="AG7" i="2" s="1"/>
  <c r="AH7" i="2" s="1"/>
  <c r="AI7" i="2" s="1"/>
  <c r="AJ7" i="2" s="1"/>
  <c r="AK7" i="2" s="1"/>
  <c r="AL7" i="2" s="1"/>
  <c r="AM7" i="2" s="1"/>
  <c r="X10" i="2"/>
  <c r="X12" i="2" s="1"/>
  <c r="X14" i="2" s="1"/>
  <c r="X16" i="2" s="1"/>
  <c r="E19" i="2"/>
  <c r="V21" i="2"/>
  <c r="R89" i="2"/>
  <c r="R62" i="2"/>
  <c r="V44" i="4"/>
  <c r="V45" i="4" s="1"/>
  <c r="V20" i="4"/>
  <c r="V21" i="4" s="1"/>
  <c r="R24" i="2"/>
  <c r="V8" i="4"/>
  <c r="V9" i="4" s="1"/>
  <c r="E20" i="5"/>
  <c r="E12" i="5"/>
  <c r="E14" i="5" s="1"/>
  <c r="J19" i="5"/>
  <c r="J10" i="5"/>
  <c r="G16" i="5"/>
  <c r="H19" i="5"/>
  <c r="H10" i="5"/>
  <c r="I19" i="5"/>
  <c r="I10" i="5"/>
  <c r="F20" i="5"/>
  <c r="F12" i="5"/>
  <c r="F14" i="5" s="1"/>
  <c r="D16" i="5"/>
  <c r="K18" i="5"/>
  <c r="K6" i="5"/>
  <c r="Q89" i="2"/>
  <c r="Q91" i="2"/>
  <c r="Q62" i="2"/>
  <c r="V47" i="4"/>
  <c r="V32" i="4"/>
  <c r="V33" i="4" s="1"/>
  <c r="V11" i="4"/>
  <c r="AD9" i="2"/>
  <c r="AE9" i="2" s="1"/>
  <c r="AF9" i="2" s="1"/>
  <c r="AG9" i="2" s="1"/>
  <c r="AH9" i="2" s="1"/>
  <c r="AI9" i="2" s="1"/>
  <c r="AJ9" i="2" s="1"/>
  <c r="AK9" i="2" s="1"/>
  <c r="AL9" i="2" s="1"/>
  <c r="AM9" i="2" s="1"/>
  <c r="P91" i="2"/>
  <c r="P89" i="2"/>
  <c r="W21" i="2"/>
  <c r="Z18" i="2"/>
  <c r="Y19" i="2"/>
  <c r="I89" i="2"/>
  <c r="X19" i="2"/>
  <c r="Y21" i="2"/>
  <c r="Y20" i="2"/>
  <c r="K89" i="2"/>
  <c r="M19" i="2"/>
  <c r="W20" i="2"/>
  <c r="K19" i="2"/>
  <c r="J19" i="2"/>
  <c r="F89" i="2"/>
  <c r="E89" i="2"/>
  <c r="G89" i="2"/>
  <c r="D89" i="2"/>
  <c r="H89" i="2"/>
  <c r="M89" i="2"/>
  <c r="M91" i="2"/>
  <c r="J89" i="2"/>
  <c r="J91" i="2"/>
  <c r="N89" i="2"/>
  <c r="N91" i="2"/>
  <c r="K91" i="2"/>
  <c r="O89" i="2"/>
  <c r="O91" i="2"/>
  <c r="L89" i="2"/>
  <c r="N19" i="2"/>
  <c r="G65" i="2"/>
  <c r="G62" i="2"/>
  <c r="J62" i="2"/>
  <c r="I19" i="2"/>
  <c r="F65" i="2"/>
  <c r="K62" i="2"/>
  <c r="N62" i="2"/>
  <c r="F62" i="2"/>
  <c r="G19" i="2"/>
  <c r="M65" i="2"/>
  <c r="E65" i="2"/>
  <c r="M62" i="2"/>
  <c r="E62" i="2"/>
  <c r="F19" i="2"/>
  <c r="L65" i="2"/>
  <c r="D65" i="2"/>
  <c r="I21" i="4"/>
  <c r="N9" i="4"/>
  <c r="O9" i="4"/>
  <c r="R21" i="4"/>
  <c r="O21" i="4"/>
  <c r="R9" i="4"/>
  <c r="I9" i="4"/>
  <c r="S9" i="4"/>
  <c r="T9" i="4"/>
  <c r="L24" i="2"/>
  <c r="K24" i="2"/>
  <c r="Q12" i="2"/>
  <c r="Q20" i="2"/>
  <c r="S12" i="2"/>
  <c r="S20" i="2"/>
  <c r="P12" i="2"/>
  <c r="P20" i="2"/>
  <c r="Z10" i="2"/>
  <c r="R12" i="2"/>
  <c r="R20" i="2"/>
  <c r="L19" i="2"/>
  <c r="AA6" i="2"/>
  <c r="D62" i="2"/>
  <c r="AB6" i="2"/>
  <c r="J24" i="2"/>
  <c r="S19" i="2"/>
  <c r="I24" i="2"/>
  <c r="L62" i="2"/>
  <c r="R19" i="2"/>
  <c r="Q19" i="2"/>
  <c r="O24" i="2"/>
  <c r="P19" i="2"/>
  <c r="P24" i="2"/>
  <c r="H24" i="2"/>
  <c r="H10" i="2"/>
  <c r="H12" i="2" s="1"/>
  <c r="N24" i="2"/>
  <c r="M24" i="2"/>
  <c r="H62" i="2"/>
  <c r="P62" i="2"/>
  <c r="J12" i="2"/>
  <c r="I12" i="2"/>
  <c r="I62" i="2"/>
  <c r="AB18" i="2"/>
  <c r="N14" i="2"/>
  <c r="N16" i="2" s="1"/>
  <c r="V20" i="2" l="1"/>
  <c r="X20" i="2"/>
  <c r="X21" i="2"/>
  <c r="V23" i="4"/>
  <c r="H12" i="5"/>
  <c r="H14" i="5" s="1"/>
  <c r="H20" i="5"/>
  <c r="L6" i="5"/>
  <c r="L18" i="5"/>
  <c r="J20" i="5"/>
  <c r="J12" i="5"/>
  <c r="J14" i="5" s="1"/>
  <c r="I20" i="5"/>
  <c r="I12" i="5"/>
  <c r="I14" i="5" s="1"/>
  <c r="E16" i="5"/>
  <c r="F16" i="5"/>
  <c r="K10" i="5"/>
  <c r="K19" i="5"/>
  <c r="V35" i="4"/>
  <c r="Z12" i="2"/>
  <c r="Z14" i="2" s="1"/>
  <c r="Z20" i="2"/>
  <c r="S14" i="2"/>
  <c r="S16" i="2" s="1"/>
  <c r="S65" i="2"/>
  <c r="I14" i="2"/>
  <c r="I16" i="2" s="1"/>
  <c r="I65" i="2"/>
  <c r="H14" i="2"/>
  <c r="H16" i="2" s="1"/>
  <c r="H65" i="2"/>
  <c r="R14" i="2"/>
  <c r="R16" i="2" s="1"/>
  <c r="R65" i="2"/>
  <c r="Q14" i="2"/>
  <c r="Q16" i="2" s="1"/>
  <c r="Q65" i="2"/>
  <c r="J14" i="2"/>
  <c r="J16" i="2" s="1"/>
  <c r="J65" i="2"/>
  <c r="P14" i="2"/>
  <c r="P16" i="2" s="1"/>
  <c r="P65" i="2"/>
  <c r="AC18" i="2"/>
  <c r="AC6" i="2"/>
  <c r="AB19" i="2"/>
  <c r="AB10" i="2"/>
  <c r="AB20" i="2" s="1"/>
  <c r="AA10" i="2"/>
  <c r="AA12" i="2" s="1"/>
  <c r="AA14" i="2" s="1"/>
  <c r="AA19" i="2"/>
  <c r="AA20" i="2"/>
  <c r="AD4" i="2"/>
  <c r="AD6" i="2" s="1"/>
  <c r="P44" i="4"/>
  <c r="P32" i="4"/>
  <c r="K20" i="4"/>
  <c r="K21" i="4" s="1"/>
  <c r="P20" i="4"/>
  <c r="K8" i="4"/>
  <c r="K9" i="4" s="1"/>
  <c r="P8" i="4"/>
  <c r="K12" i="5" l="1"/>
  <c r="K20" i="5"/>
  <c r="J16" i="5"/>
  <c r="L19" i="5"/>
  <c r="L10" i="5"/>
  <c r="M18" i="5"/>
  <c r="I16" i="5"/>
  <c r="H16" i="5"/>
  <c r="AA16" i="2"/>
  <c r="AA21" i="2"/>
  <c r="Z16" i="2"/>
  <c r="Z21" i="2"/>
  <c r="P33" i="4"/>
  <c r="U33" i="4"/>
  <c r="P21" i="4"/>
  <c r="U21" i="4"/>
  <c r="P9" i="4"/>
  <c r="U9" i="4"/>
  <c r="AB12" i="2"/>
  <c r="AB14" i="2" s="1"/>
  <c r="AC19" i="2"/>
  <c r="AC10" i="2"/>
  <c r="AC20" i="2" s="1"/>
  <c r="AD19" i="2"/>
  <c r="AD10" i="2"/>
  <c r="AE4" i="2"/>
  <c r="AE6" i="2" s="1"/>
  <c r="AD18" i="2"/>
  <c r="O61" i="2"/>
  <c r="O48" i="2"/>
  <c r="O42" i="2"/>
  <c r="H18" i="2"/>
  <c r="I18" i="2"/>
  <c r="J18" i="2"/>
  <c r="K18" i="2"/>
  <c r="L18" i="2"/>
  <c r="M18" i="2"/>
  <c r="N18" i="2"/>
  <c r="O18" i="2"/>
  <c r="D20" i="2"/>
  <c r="E20" i="2"/>
  <c r="F20" i="2"/>
  <c r="G20" i="2"/>
  <c r="H20" i="2"/>
  <c r="I20" i="2"/>
  <c r="J20" i="2"/>
  <c r="L20" i="2"/>
  <c r="M20" i="2"/>
  <c r="N20" i="2"/>
  <c r="K12" i="2"/>
  <c r="O20" i="2"/>
  <c r="L20" i="5" l="1"/>
  <c r="L12" i="5"/>
  <c r="N18" i="5"/>
  <c r="M19" i="5"/>
  <c r="M10" i="5"/>
  <c r="K14" i="5"/>
  <c r="K13" i="5"/>
  <c r="AB16" i="2"/>
  <c r="AB21" i="2"/>
  <c r="K14" i="2"/>
  <c r="K16" i="2" s="1"/>
  <c r="K65" i="2"/>
  <c r="AC12" i="2"/>
  <c r="AC13" i="2" s="1"/>
  <c r="AC14" i="2" s="1"/>
  <c r="AE19" i="2"/>
  <c r="AE10" i="2"/>
  <c r="AF4" i="2"/>
  <c r="AF6" i="2" s="1"/>
  <c r="AE18" i="2"/>
  <c r="AD20" i="2"/>
  <c r="AD12" i="2"/>
  <c r="AD13" i="2" s="1"/>
  <c r="AD14" i="2" s="1"/>
  <c r="AD16" i="2" s="1"/>
  <c r="G7" i="3" s="1"/>
  <c r="O62" i="2"/>
  <c r="K20" i="2"/>
  <c r="O12" i="2"/>
  <c r="B6" i="2"/>
  <c r="B9" i="2" s="1"/>
  <c r="K16" i="5" l="1"/>
  <c r="M20" i="5"/>
  <c r="M12" i="5"/>
  <c r="O18" i="5"/>
  <c r="N19" i="5"/>
  <c r="N10" i="5"/>
  <c r="L13" i="5"/>
  <c r="L14" i="5" s="1"/>
  <c r="O14" i="2"/>
  <c r="O16" i="2" s="1"/>
  <c r="O65" i="2"/>
  <c r="AC16" i="2"/>
  <c r="F7" i="3" s="1"/>
  <c r="AF19" i="2"/>
  <c r="AF10" i="2"/>
  <c r="AE12" i="2"/>
  <c r="AE13" i="2" s="1"/>
  <c r="AE14" i="2" s="1"/>
  <c r="AE16" i="2" s="1"/>
  <c r="H7" i="3" s="1"/>
  <c r="AE20" i="2"/>
  <c r="AG4" i="2"/>
  <c r="AG6" i="2" s="1"/>
  <c r="AF18" i="2"/>
  <c r="F6" i="3"/>
  <c r="G6" i="3"/>
  <c r="H6" i="3"/>
  <c r="L16" i="5" l="1"/>
  <c r="P18" i="5"/>
  <c r="M13" i="5"/>
  <c r="M14" i="5" s="1"/>
  <c r="M16" i="5" s="1"/>
  <c r="O10" i="5"/>
  <c r="O19" i="5"/>
  <c r="N20" i="5"/>
  <c r="N12" i="5"/>
  <c r="AG19" i="2"/>
  <c r="AG10" i="2"/>
  <c r="AH4" i="2"/>
  <c r="AH6" i="2" s="1"/>
  <c r="AG18" i="2"/>
  <c r="AF20" i="2"/>
  <c r="AF12" i="2"/>
  <c r="AF13" i="2" s="1"/>
  <c r="AF14" i="2" s="1"/>
  <c r="AF16" i="2" s="1"/>
  <c r="O12" i="5" l="1"/>
  <c r="O20" i="5"/>
  <c r="Q18" i="5"/>
  <c r="P19" i="5"/>
  <c r="P10" i="5"/>
  <c r="N13" i="5"/>
  <c r="N14" i="5" s="1"/>
  <c r="N16" i="5" s="1"/>
  <c r="AH10" i="2"/>
  <c r="AH19" i="2"/>
  <c r="AG12" i="2"/>
  <c r="AG13" i="2" s="1"/>
  <c r="AG14" i="2" s="1"/>
  <c r="AG16" i="2" s="1"/>
  <c r="AG20" i="2"/>
  <c r="AI4" i="2"/>
  <c r="AI6" i="2" s="1"/>
  <c r="AH18" i="2"/>
  <c r="P12" i="5" l="1"/>
  <c r="P20" i="5"/>
  <c r="Q19" i="5"/>
  <c r="Q10" i="5"/>
  <c r="R18" i="5"/>
  <c r="O13" i="5"/>
  <c r="O14" i="5" s="1"/>
  <c r="AI10" i="2"/>
  <c r="AI19" i="2"/>
  <c r="AH12" i="2"/>
  <c r="AH13" i="2" s="1"/>
  <c r="AH14" i="2" s="1"/>
  <c r="AH16" i="2" s="1"/>
  <c r="AH20" i="2"/>
  <c r="AJ4" i="2"/>
  <c r="AJ6" i="2" s="1"/>
  <c r="AI18" i="2"/>
  <c r="O16" i="5" l="1"/>
  <c r="S18" i="5"/>
  <c r="R19" i="5"/>
  <c r="R10" i="5"/>
  <c r="Q20" i="5"/>
  <c r="Q12" i="5"/>
  <c r="P13" i="5"/>
  <c r="P14" i="5" s="1"/>
  <c r="P16" i="5" s="1"/>
  <c r="AJ10" i="2"/>
  <c r="AJ19" i="2"/>
  <c r="AI12" i="2"/>
  <c r="AI13" i="2" s="1"/>
  <c r="AI14" i="2" s="1"/>
  <c r="AI16" i="2" s="1"/>
  <c r="AI20" i="2"/>
  <c r="AK4" i="2"/>
  <c r="AK6" i="2" s="1"/>
  <c r="AJ18" i="2"/>
  <c r="Q13" i="5" l="1"/>
  <c r="Q14" i="5"/>
  <c r="Q16" i="5" s="1"/>
  <c r="R20" i="5"/>
  <c r="R12" i="5"/>
  <c r="S10" i="5"/>
  <c r="S19" i="5"/>
  <c r="T18" i="5"/>
  <c r="AK19" i="2"/>
  <c r="AK10" i="2"/>
  <c r="AJ12" i="2"/>
  <c r="AJ13" i="2" s="1"/>
  <c r="AJ14" i="2" s="1"/>
  <c r="AJ16" i="2" s="1"/>
  <c r="AJ20" i="2"/>
  <c r="AL4" i="2"/>
  <c r="AL6" i="2" s="1"/>
  <c r="AK18" i="2"/>
  <c r="U18" i="5" l="1"/>
  <c r="T19" i="5"/>
  <c r="T10" i="5"/>
  <c r="S20" i="5"/>
  <c r="S12" i="5"/>
  <c r="R13" i="5"/>
  <c r="R14" i="5" s="1"/>
  <c r="AL10" i="2"/>
  <c r="AL19" i="2"/>
  <c r="AK12" i="2"/>
  <c r="AK13" i="2" s="1"/>
  <c r="AK14" i="2" s="1"/>
  <c r="AK16" i="2" s="1"/>
  <c r="AK20" i="2"/>
  <c r="AM4" i="2"/>
  <c r="AM6" i="2" s="1"/>
  <c r="AL18" i="2"/>
  <c r="R16" i="5" l="1"/>
  <c r="S13" i="5"/>
  <c r="S14" i="5" s="1"/>
  <c r="S16" i="5" s="1"/>
  <c r="T20" i="5"/>
  <c r="T12" i="5"/>
  <c r="U19" i="5"/>
  <c r="U10" i="5"/>
  <c r="AM10" i="2"/>
  <c r="AM19" i="2"/>
  <c r="AL12" i="2"/>
  <c r="AL13" i="2" s="1"/>
  <c r="AL14" i="2" s="1"/>
  <c r="AL16" i="2" s="1"/>
  <c r="AL20" i="2"/>
  <c r="AM18" i="2"/>
  <c r="U20" i="5" l="1"/>
  <c r="U12" i="5"/>
  <c r="T13" i="5"/>
  <c r="T14" i="5" s="1"/>
  <c r="T16" i="5" s="1"/>
  <c r="AM12" i="2"/>
  <c r="AM13" i="2" s="1"/>
  <c r="AM14" i="2" s="1"/>
  <c r="AM20" i="2"/>
  <c r="U13" i="5" l="1"/>
  <c r="U14" i="5" s="1"/>
  <c r="V14" i="5" s="1"/>
  <c r="W14" i="5" s="1"/>
  <c r="X14" i="5" s="1"/>
  <c r="Y14" i="5" s="1"/>
  <c r="Z14" i="5" s="1"/>
  <c r="AA14" i="5" s="1"/>
  <c r="AB14" i="5" s="1"/>
  <c r="AC14" i="5" s="1"/>
  <c r="AD14" i="5" s="1"/>
  <c r="AE14" i="5" s="1"/>
  <c r="AF14" i="5" s="1"/>
  <c r="AG14" i="5" s="1"/>
  <c r="AH14" i="5" s="1"/>
  <c r="AI14" i="5" s="1"/>
  <c r="AJ14" i="5" s="1"/>
  <c r="AK14" i="5" s="1"/>
  <c r="AL14" i="5" s="1"/>
  <c r="AM14" i="5" s="1"/>
  <c r="AN14" i="5" s="1"/>
  <c r="AO14" i="5" s="1"/>
  <c r="AP14" i="5" s="1"/>
  <c r="AQ14" i="5" s="1"/>
  <c r="AR14" i="5" s="1"/>
  <c r="AS14" i="5" s="1"/>
  <c r="AT14" i="5" s="1"/>
  <c r="AU14" i="5" s="1"/>
  <c r="AV14" i="5" s="1"/>
  <c r="AW14" i="5" s="1"/>
  <c r="AX14" i="5" s="1"/>
  <c r="AY14" i="5" s="1"/>
  <c r="AZ14" i="5" s="1"/>
  <c r="BA14" i="5" s="1"/>
  <c r="BB14" i="5" s="1"/>
  <c r="BC14" i="5" s="1"/>
  <c r="BD14" i="5" s="1"/>
  <c r="BE14" i="5" s="1"/>
  <c r="BF14" i="5" s="1"/>
  <c r="BG14" i="5" s="1"/>
  <c r="BH14" i="5" s="1"/>
  <c r="BI14" i="5" s="1"/>
  <c r="BJ14" i="5" s="1"/>
  <c r="BK14" i="5" s="1"/>
  <c r="BL14" i="5" s="1"/>
  <c r="BM14" i="5" s="1"/>
  <c r="BN14" i="5" s="1"/>
  <c r="BO14" i="5" s="1"/>
  <c r="BP14" i="5" s="1"/>
  <c r="BQ14" i="5" s="1"/>
  <c r="BR14" i="5" s="1"/>
  <c r="BS14" i="5" s="1"/>
  <c r="BT14" i="5" s="1"/>
  <c r="BU14" i="5" s="1"/>
  <c r="BV14" i="5" s="1"/>
  <c r="BW14" i="5" s="1"/>
  <c r="BX14" i="5" s="1"/>
  <c r="BY14" i="5" s="1"/>
  <c r="BZ14" i="5" s="1"/>
  <c r="CA14" i="5" s="1"/>
  <c r="CB14" i="5" s="1"/>
  <c r="CC14" i="5" s="1"/>
  <c r="CD14" i="5" s="1"/>
  <c r="CE14" i="5" s="1"/>
  <c r="CF14" i="5" s="1"/>
  <c r="CG14" i="5" s="1"/>
  <c r="CH14" i="5" s="1"/>
  <c r="CI14" i="5" s="1"/>
  <c r="CJ14" i="5" s="1"/>
  <c r="CK14" i="5" s="1"/>
  <c r="CL14" i="5" s="1"/>
  <c r="CM14" i="5" s="1"/>
  <c r="CN14" i="5" s="1"/>
  <c r="CO14" i="5" s="1"/>
  <c r="CP14" i="5" s="1"/>
  <c r="CQ14" i="5" s="1"/>
  <c r="CR14" i="5" s="1"/>
  <c r="CS14" i="5" s="1"/>
  <c r="CT14" i="5" s="1"/>
  <c r="CU14" i="5" s="1"/>
  <c r="CV14" i="5" s="1"/>
  <c r="CW14" i="5" s="1"/>
  <c r="CX14" i="5" s="1"/>
  <c r="CY14" i="5" s="1"/>
  <c r="AM16" i="2"/>
  <c r="AN14" i="2"/>
  <c r="AO14" i="2" s="1"/>
  <c r="AP14" i="2" s="1"/>
  <c r="AQ14" i="2" s="1"/>
  <c r="AR14" i="2" s="1"/>
  <c r="AS14" i="2" s="1"/>
  <c r="AT14" i="2" s="1"/>
  <c r="AU14" i="2" s="1"/>
  <c r="AV14" i="2" s="1"/>
  <c r="AW14" i="2" s="1"/>
  <c r="AX14" i="2" s="1"/>
  <c r="AY14" i="2" s="1"/>
  <c r="AZ14" i="2" s="1"/>
  <c r="BA14" i="2" s="1"/>
  <c r="BB14" i="2" s="1"/>
  <c r="BC14" i="2" s="1"/>
  <c r="BD14" i="2" s="1"/>
  <c r="BE14" i="2" s="1"/>
  <c r="BF14" i="2" s="1"/>
  <c r="BG14" i="2" s="1"/>
  <c r="BH14" i="2" s="1"/>
  <c r="BI14" i="2" s="1"/>
  <c r="BJ14" i="2" s="1"/>
  <c r="BK14" i="2" s="1"/>
  <c r="BL14" i="2" s="1"/>
  <c r="BM14" i="2" s="1"/>
  <c r="BN14" i="2" s="1"/>
  <c r="BO14" i="2" s="1"/>
  <c r="BP14" i="2" s="1"/>
  <c r="BQ14" i="2" s="1"/>
  <c r="BR14" i="2" s="1"/>
  <c r="BS14" i="2" s="1"/>
  <c r="BT14" i="2" s="1"/>
  <c r="BU14" i="2" s="1"/>
  <c r="BV14" i="2" s="1"/>
  <c r="BW14" i="2" s="1"/>
  <c r="BX14" i="2" s="1"/>
  <c r="BY14" i="2" s="1"/>
  <c r="BZ14" i="2" s="1"/>
  <c r="CA14" i="2" s="1"/>
  <c r="CB14" i="2" s="1"/>
  <c r="CC14" i="2" s="1"/>
  <c r="CD14" i="2" s="1"/>
  <c r="CE14" i="2" s="1"/>
  <c r="CF14" i="2" s="1"/>
  <c r="CG14" i="2" s="1"/>
  <c r="CH14" i="2" s="1"/>
  <c r="CI14" i="2" s="1"/>
  <c r="CJ14" i="2" s="1"/>
  <c r="CK14" i="2" s="1"/>
  <c r="CL14" i="2" s="1"/>
  <c r="CM14" i="2" s="1"/>
  <c r="CN14" i="2" s="1"/>
  <c r="CO14" i="2" s="1"/>
  <c r="CP14" i="2" s="1"/>
  <c r="CQ14" i="2" s="1"/>
  <c r="CR14" i="2" s="1"/>
  <c r="CS14" i="2" s="1"/>
  <c r="CT14" i="2" s="1"/>
  <c r="CU14" i="2" s="1"/>
  <c r="CV14" i="2" s="1"/>
  <c r="CW14" i="2" s="1"/>
  <c r="CX14" i="2" s="1"/>
  <c r="CY14" i="2" s="1"/>
  <c r="CZ14" i="2" s="1"/>
  <c r="DA14" i="2" s="1"/>
  <c r="DB14" i="2" s="1"/>
  <c r="DC14" i="2" s="1"/>
  <c r="DD14" i="2" s="1"/>
  <c r="DE14" i="2" s="1"/>
  <c r="DF14" i="2" s="1"/>
  <c r="DG14" i="2" s="1"/>
  <c r="DH14" i="2" s="1"/>
  <c r="DI14" i="2" s="1"/>
  <c r="DJ14" i="2" s="1"/>
  <c r="DK14" i="2" s="1"/>
  <c r="DL14" i="2" s="1"/>
  <c r="DM14" i="2" s="1"/>
  <c r="DN14" i="2" s="1"/>
  <c r="DO14" i="2" s="1"/>
  <c r="DP14" i="2" s="1"/>
  <c r="DQ14" i="2" s="1"/>
  <c r="X18" i="5" l="1"/>
  <c r="X20" i="5" s="1"/>
  <c r="X21" i="5" s="1"/>
  <c r="U16" i="5"/>
  <c r="AP18" i="2"/>
  <c r="AP20" i="2" s="1"/>
  <c r="AP21" i="2" s="1"/>
</calcChain>
</file>

<file path=xl/sharedStrings.xml><?xml version="1.0" encoding="utf-8"?>
<sst xmlns="http://schemas.openxmlformats.org/spreadsheetml/2006/main" count="236" uniqueCount="140">
  <si>
    <t>Kapitalstruktur</t>
  </si>
  <si>
    <t>Price</t>
  </si>
  <si>
    <t>S/O</t>
  </si>
  <si>
    <t>MC NOKm</t>
  </si>
  <si>
    <t>Cash NOKm</t>
  </si>
  <si>
    <t>Debt NOKm</t>
  </si>
  <si>
    <t>EV NOKm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</si>
  <si>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</si>
  <si>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</si>
  <si>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</si>
  <si>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</si>
  <si>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</si>
  <si>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</si>
  <si>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</si>
  <si>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</si>
  <si>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</si>
  <si>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</si>
  <si>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</si>
  <si>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</si>
  <si>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NOK million</t>
  </si>
  <si>
    <t>FY 2022</t>
  </si>
  <si>
    <t>FY 2023</t>
  </si>
  <si>
    <t>FY 2024</t>
  </si>
  <si>
    <t>FY 2025</t>
  </si>
  <si>
    <t>FY 2026</t>
  </si>
  <si>
    <t>FY 2027</t>
  </si>
  <si>
    <t>FY 2028</t>
  </si>
  <si>
    <t>FY 2029</t>
  </si>
  <si>
    <t>FY 2030</t>
  </si>
  <si>
    <t>FY 2031</t>
  </si>
  <si>
    <t>FY 2032</t>
  </si>
  <si>
    <t>FY 2033</t>
  </si>
  <si>
    <t>FY 2034</t>
  </si>
  <si>
    <t>FY 2035</t>
  </si>
  <si>
    <t>Revenue y/y</t>
  </si>
  <si>
    <t>Balanse NOKm</t>
  </si>
  <si>
    <t>Cash flow NOKm</t>
  </si>
  <si>
    <t>NOKm</t>
  </si>
  <si>
    <t>Norway</t>
  </si>
  <si>
    <t>Sweden</t>
  </si>
  <si>
    <t>Denmark</t>
  </si>
  <si>
    <t>Revenue</t>
  </si>
  <si>
    <t>COGS</t>
  </si>
  <si>
    <t>Personel expenses</t>
  </si>
  <si>
    <t>Other opex</t>
  </si>
  <si>
    <t>D/A</t>
  </si>
  <si>
    <t>Net financials</t>
  </si>
  <si>
    <t>PTP</t>
  </si>
  <si>
    <t>tax</t>
  </si>
  <si>
    <t>Net income</t>
  </si>
  <si>
    <t>Shares</t>
  </si>
  <si>
    <t>EPS</t>
  </si>
  <si>
    <t>Operating profit (EBIT)</t>
  </si>
  <si>
    <t>EBIT margin</t>
  </si>
  <si>
    <t>Intangible assets</t>
  </si>
  <si>
    <t>Right-of-use assets</t>
  </si>
  <si>
    <t>PP&amp;E</t>
  </si>
  <si>
    <t>other non-current receivables</t>
  </si>
  <si>
    <t>Derivate financial instruemtns</t>
  </si>
  <si>
    <t>Deferred tax assets</t>
  </si>
  <si>
    <t>Inventories</t>
  </si>
  <si>
    <t>Accounts receivables</t>
  </si>
  <si>
    <t>other current receivables</t>
  </si>
  <si>
    <t>Prepaid expenses and accured income</t>
  </si>
  <si>
    <t>Derivate fiancial instruments</t>
  </si>
  <si>
    <t>Cash</t>
  </si>
  <si>
    <t>Total assets</t>
  </si>
  <si>
    <t>Share capital</t>
  </si>
  <si>
    <t>Sahre premium</t>
  </si>
  <si>
    <t>treasury shares</t>
  </si>
  <si>
    <t>other reserves</t>
  </si>
  <si>
    <t>Retained earnings</t>
  </si>
  <si>
    <t>Total equity</t>
  </si>
  <si>
    <t>Deferred tax liabilities</t>
  </si>
  <si>
    <t>Borrowings</t>
  </si>
  <si>
    <t>Lease liabilties</t>
  </si>
  <si>
    <t>Derivate financial instruments</t>
  </si>
  <si>
    <t>Contract liabilitiy</t>
  </si>
  <si>
    <t>Trade and other payables</t>
  </si>
  <si>
    <t>Current tax liabilities</t>
  </si>
  <si>
    <t>Public fees and chaarges payable</t>
  </si>
  <si>
    <t>other current liabilites</t>
  </si>
  <si>
    <t>Total debt</t>
  </si>
  <si>
    <t>Total E/D</t>
  </si>
  <si>
    <t>CFFO</t>
  </si>
  <si>
    <t>CFFI</t>
  </si>
  <si>
    <t>CFFF</t>
  </si>
  <si>
    <t>Q125</t>
  </si>
  <si>
    <t>Q225</t>
  </si>
  <si>
    <t>Q325</t>
  </si>
  <si>
    <t>Q425</t>
  </si>
  <si>
    <t>Membership revenue</t>
  </si>
  <si>
    <t>Other rev</t>
  </si>
  <si>
    <t>EBITDA</t>
  </si>
  <si>
    <t>Total revenue</t>
  </si>
  <si>
    <t>margin %</t>
  </si>
  <si>
    <t>Operating profit</t>
  </si>
  <si>
    <t>Clubs</t>
  </si>
  <si>
    <t>members ('000)</t>
  </si>
  <si>
    <t>ARPM (NOK/month)</t>
  </si>
  <si>
    <t>Finland</t>
  </si>
  <si>
    <t>EV/EBIT</t>
  </si>
  <si>
    <t>P/E</t>
  </si>
  <si>
    <t>Members ('000)</t>
  </si>
  <si>
    <t>Discount</t>
  </si>
  <si>
    <t>TV</t>
  </si>
  <si>
    <t>NPV</t>
  </si>
  <si>
    <t>NPV/Share</t>
  </si>
  <si>
    <t>Opp-/nedside</t>
  </si>
  <si>
    <t>FY 2018</t>
  </si>
  <si>
    <t>FY 2019</t>
  </si>
  <si>
    <t>FY 2020</t>
  </si>
  <si>
    <t>FY 2021</t>
  </si>
  <si>
    <t>y/y</t>
  </si>
  <si>
    <t>Gross margin</t>
  </si>
  <si>
    <t>Gross profit</t>
  </si>
  <si>
    <t>ROE</t>
  </si>
  <si>
    <t>Growth %</t>
  </si>
  <si>
    <t>Model PTP</t>
  </si>
  <si>
    <t>Reported PTP</t>
  </si>
  <si>
    <t>Taxes paid</t>
  </si>
  <si>
    <t>Gains/loss from sale of equipment</t>
  </si>
  <si>
    <t>D/A/I</t>
  </si>
  <si>
    <t>WC</t>
  </si>
  <si>
    <t>Capex</t>
  </si>
  <si>
    <t>Proceeds from loans to related parties</t>
  </si>
  <si>
    <t>Repayment of loans</t>
  </si>
  <si>
    <t>Proceeds from loans</t>
  </si>
  <si>
    <t>Installments on lease liabilities</t>
  </si>
  <si>
    <t>Interest paid</t>
  </si>
  <si>
    <t xml:space="preserve">Interest received </t>
  </si>
  <si>
    <t>Interest on lease liabilities</t>
  </si>
  <si>
    <t>Buybacks</t>
  </si>
  <si>
    <t>Proceeds from sale of own shares</t>
  </si>
  <si>
    <t>CIC</t>
  </si>
  <si>
    <t>FCF</t>
  </si>
  <si>
    <t>Net financial items</t>
  </si>
  <si>
    <t>Nedside</t>
  </si>
  <si>
    <t>Other financial items</t>
  </si>
  <si>
    <t>Nullvekst og konstante marginer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</si>
</sst>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&quot;kr&quot;\ #,##0.00_);[Red]\(&quot;kr&quot;\ #,##0.00\)"/>
    <numFmt numFmtId="164" formatCode="#,##0.0"/>
    <numFmt numFmtId="165" formatCode="0.0"/>
    <numFmt numFmtId="166" formatCode="0.0\ %"/>
  </numFmts>
  <fonts count="9" x14ac:knownFonts="1"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2" fillId="0" borderId="1" xfId="0" applyFont="1" applyBorder="1"/>
    <xf numFmtId="164" fontId="2" fillId="0" borderId="1" xfId="0" applyNumberFormat="1" applyFont="1" applyBorder="1"/>
    <xf numFmtId="164" fontId="3" fillId="0" borderId="1" xfId="0" applyNumberFormat="1" applyFont="1" applyBorder="1"/>
    <xf numFmtId="2" fontId="2" fillId="0" borderId="1" xfId="0" applyNumberFormat="1" applyFont="1" applyBorder="1"/>
    <xf numFmtId="165" fontId="2" fillId="0" borderId="1" xfId="0" applyNumberFormat="1" applyFont="1" applyBorder="1"/>
    <xf numFmtId="165" fontId="2" fillId="0" borderId="0" xfId="0" applyNumberFormat="1" applyFont="1"/>
    <xf numFmtId="2" fontId="2" fillId="0" borderId="0" xfId="0" applyNumberFormat="1" applyFont="1"/>
    <xf numFmtId="10" fontId="2" fillId="0" borderId="0" xfId="0" applyNumberFormat="1" applyFont="1"/>
    <xf numFmtId="0" fontId="2" fillId="0" borderId="0" xfId="0" applyFont="1" applyAlignment="1">
      <alignment horizontal="right"/>
    </xf>
    <xf numFmtId="0" fontId="5" fillId="0" borderId="0" xfId="0" applyFont="1"/>
    <xf numFmtId="0" fontId="2" fillId="0" borderId="1" xfId="0" applyFont="1" applyBorder="1" applyAlignment="1">
      <alignment horizontal="right"/>
    </xf>
    <xf numFmtId="166" fontId="2" fillId="0" borderId="0" xfId="0" applyNumberFormat="1" applyFont="1"/>
    <xf numFmtId="166" fontId="2" fillId="0" borderId="1" xfId="0" applyNumberFormat="1" applyFont="1" applyBorder="1"/>
    <xf numFmtId="3" fontId="2" fillId="0" borderId="1" xfId="0" applyNumberFormat="1" applyFont="1" applyBorder="1"/>
    <xf numFmtId="3" fontId="1" fillId="0" borderId="1" xfId="0" applyNumberFormat="1" applyFont="1" applyBorder="1"/>
    <xf numFmtId="3" fontId="5" fillId="0" borderId="1" xfId="0" applyNumberFormat="1" applyFont="1" applyBorder="1"/>
    <xf numFmtId="3" fontId="1" fillId="0" borderId="0" xfId="0" applyNumberFormat="1" applyFont="1"/>
    <xf numFmtId="3" fontId="2" fillId="0" borderId="0" xfId="0" applyNumberFormat="1" applyFont="1"/>
    <xf numFmtId="0" fontId="2" fillId="0" borderId="2" xfId="0" applyFont="1" applyBorder="1"/>
    <xf numFmtId="0" fontId="1" fillId="0" borderId="2" xfId="0" applyFont="1" applyBorder="1"/>
    <xf numFmtId="0" fontId="2" fillId="0" borderId="3" xfId="0" applyFont="1" applyBorder="1"/>
    <xf numFmtId="166" fontId="5" fillId="0" borderId="0" xfId="0" applyNumberFormat="1" applyFont="1"/>
    <xf numFmtId="0" fontId="7" fillId="0" borderId="4" xfId="0" applyFont="1" applyBorder="1"/>
    <xf numFmtId="0" fontId="4" fillId="0" borderId="0" xfId="0" applyFont="1"/>
    <xf numFmtId="166" fontId="1" fillId="0" borderId="0" xfId="0" applyNumberFormat="1" applyFont="1"/>
    <xf numFmtId="166" fontId="1" fillId="0" borderId="1" xfId="0" applyNumberFormat="1" applyFont="1" applyBorder="1"/>
    <xf numFmtId="9" fontId="2" fillId="0" borderId="0" xfId="0" applyNumberFormat="1" applyFont="1"/>
    <xf numFmtId="9" fontId="1" fillId="0" borderId="0" xfId="0" applyNumberFormat="1" applyFont="1"/>
    <xf numFmtId="165" fontId="6" fillId="0" borderId="4" xfId="0" applyNumberFormat="1" applyFont="1" applyBorder="1"/>
    <xf numFmtId="8" fontId="2" fillId="0" borderId="2" xfId="0" applyNumberFormat="1" applyFont="1" applyBorder="1"/>
    <xf numFmtId="165" fontId="1" fillId="0" borderId="0" xfId="0" applyNumberFormat="1" applyFont="1"/>
    <xf numFmtId="3" fontId="5" fillId="0" borderId="0" xfId="0" applyNumberFormat="1" applyFont="1"/>
    <xf numFmtId="10" fontId="5" fillId="0" borderId="0" xfId="0" applyNumberFormat="1" applyFont="1"/>
    <xf numFmtId="0" fontId="1" fillId="0" borderId="1" xfId="0" applyFont="1" applyBorder="1"/>
    <xf numFmtId="0" fontId="1" fillId="0" borderId="6" xfId="0" applyFont="1" applyBorder="1"/>
    <xf numFmtId="0" fontId="2" fillId="0" borderId="6" xfId="0" applyFont="1" applyBorder="1"/>
    <xf numFmtId="10" fontId="3" fillId="0" borderId="6" xfId="0" applyNumberFormat="1" applyFont="1" applyBorder="1"/>
    <xf numFmtId="166" fontId="1" fillId="0" borderId="6" xfId="0" applyNumberFormat="1" applyFont="1" applyBorder="1"/>
    <xf numFmtId="0" fontId="1" fillId="0" borderId="7" xfId="0" applyFont="1" applyBorder="1"/>
    <xf numFmtId="0" fontId="2" fillId="0" borderId="5" xfId="0" applyFont="1" applyBorder="1"/>
    <xf numFmtId="0" fontId="1" fillId="0" borderId="6" xfId="0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– 2022-tema">
  <a:themeElements>
    <a:clrScheme name="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FABC2-1253-924E-8CB2-F0C03750A097}">
  <dimension ref="A1"/>
  <sheetViews>
    <sheetView showGridLines="0" workbookViewId="0"/>
  </sheetViews>
  <sheetFormatPr baseColWidth="10" defaultRowHeight="16" x14ac:dyDescent="0.2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D41D6-FA1C-5144-915F-9569A5873643}">
  <dimension ref="A3:DQ91"/>
  <sheetViews>
    <sheetView showGridLines="0" tabSelected="1" zoomScaleNormal="100" workbookViewId="0">
      <pane xSplit="3" ySplit="3" topLeftCell="J4" activePane="bottomRight" state="frozen"/>
      <selection pane="topRight" activeCell="D1" sqref="D1"/>
      <selection pane="bottomLeft" activeCell="A4" sqref="A4"/>
      <selection pane="bottomRight" activeCell="B5" sqref="B5"/>
    </sheetView>
  </sheetViews>
  <sheetFormatPr baseColWidth="10" defaultRowHeight="19" x14ac:dyDescent="0.25"/>
  <cols>
    <col min="1" max="1" width="16.33203125" style="2" bestFit="1" customWidth="1"/>
    <col min="2" max="2" width="10.83203125" style="4"/>
    <col min="3" max="3" width="37.5" style="2" bestFit="1" customWidth="1"/>
    <col min="4" max="17" width="10.83203125" style="2"/>
    <col min="18" max="18" width="10.83203125" style="4"/>
    <col min="19" max="28" width="10.83203125" style="2"/>
    <col min="29" max="29" width="10.83203125" style="4"/>
    <col min="30" max="40" width="10.83203125" style="2"/>
    <col min="41" max="41" width="14.83203125" style="2" bestFit="1" customWidth="1"/>
    <col min="42" max="42" width="13.33203125" style="2" bestFit="1" customWidth="1"/>
    <col min="43" max="16384" width="10.83203125" style="2"/>
  </cols>
  <sheetData>
    <row r="3" spans="1:121" x14ac:dyDescent="0.25">
      <c r="A3" s="1" t="s">
        <v>0</v>
      </c>
      <c r="C3" s="2" t="s">
        <v>19</v>
      </c>
      <c r="D3" s="12" t="s">
        <v>7</v>
      </c>
      <c r="E3" s="12" t="s">
        <v>8</v>
      </c>
      <c r="F3" s="12" t="s">
        <v>9</v>
      </c>
      <c r="G3" s="12" t="s">
        <v>10</v>
      </c>
      <c r="H3" s="12" t="s">
        <v>11</v>
      </c>
      <c r="I3" s="12" t="s">
        <v>12</v>
      </c>
      <c r="J3" s="12" t="s">
        <v>13</v>
      </c>
      <c r="K3" s="12" t="s">
        <v>14</v>
      </c>
      <c r="L3" s="12" t="s">
        <v>15</v>
      </c>
      <c r="M3" s="12" t="s">
        <v>16</v>
      </c>
      <c r="N3" s="12" t="s">
        <v>17</v>
      </c>
      <c r="O3" s="12" t="s">
        <v>18</v>
      </c>
      <c r="P3" s="12" t="s">
        <v>87</v>
      </c>
      <c r="Q3" s="12" t="s">
        <v>88</v>
      </c>
      <c r="R3" s="14" t="s">
        <v>89</v>
      </c>
      <c r="S3" s="12" t="s">
        <v>90</v>
      </c>
      <c r="T3" s="12"/>
      <c r="V3" s="2" t="s">
        <v>109</v>
      </c>
      <c r="W3" s="2" t="s">
        <v>110</v>
      </c>
      <c r="X3" s="2" t="s">
        <v>111</v>
      </c>
      <c r="Y3" s="2" t="s">
        <v>112</v>
      </c>
      <c r="Z3" s="2" t="s">
        <v>20</v>
      </c>
      <c r="AA3" s="2" t="s">
        <v>21</v>
      </c>
      <c r="AB3" s="2" t="s">
        <v>22</v>
      </c>
      <c r="AC3" s="4" t="s">
        <v>23</v>
      </c>
      <c r="AD3" s="2" t="s">
        <v>24</v>
      </c>
      <c r="AE3" s="2" t="s">
        <v>25</v>
      </c>
      <c r="AF3" s="2" t="s">
        <v>26</v>
      </c>
      <c r="AG3" s="2" t="s">
        <v>27</v>
      </c>
      <c r="AH3" s="2" t="s">
        <v>28</v>
      </c>
      <c r="AI3" s="2" t="s">
        <v>29</v>
      </c>
      <c r="AJ3" s="2" t="s">
        <v>30</v>
      </c>
      <c r="AK3" s="2" t="s">
        <v>31</v>
      </c>
      <c r="AL3" s="2" t="s">
        <v>32</v>
      </c>
      <c r="AM3" s="2" t="s">
        <v>33</v>
      </c>
    </row>
    <row r="4" spans="1:121" x14ac:dyDescent="0.25">
      <c r="A4" s="2" t="s">
        <v>1</v>
      </c>
      <c r="B4" s="4">
        <v>36</v>
      </c>
      <c r="C4" s="1" t="s">
        <v>41</v>
      </c>
      <c r="D4" s="20">
        <v>1011</v>
      </c>
      <c r="E4" s="20">
        <v>1022</v>
      </c>
      <c r="F4" s="20">
        <v>967</v>
      </c>
      <c r="G4" s="20">
        <v>1082</v>
      </c>
      <c r="H4" s="20">
        <v>1201</v>
      </c>
      <c r="I4" s="20">
        <v>1200</v>
      </c>
      <c r="J4" s="20">
        <v>1106</v>
      </c>
      <c r="K4" s="20">
        <v>1227</v>
      </c>
      <c r="L4" s="20">
        <v>1294</v>
      </c>
      <c r="M4" s="20">
        <v>1266</v>
      </c>
      <c r="N4" s="20">
        <v>1194</v>
      </c>
      <c r="O4" s="20">
        <v>1311</v>
      </c>
      <c r="P4" s="20">
        <v>1395</v>
      </c>
      <c r="Q4" s="20">
        <v>1393</v>
      </c>
      <c r="R4" s="18">
        <v>1293</v>
      </c>
      <c r="S4" s="20"/>
      <c r="V4" s="20">
        <v>3259</v>
      </c>
      <c r="W4" s="20">
        <v>3987</v>
      </c>
      <c r="X4" s="20">
        <v>3534</v>
      </c>
      <c r="Y4" s="20">
        <v>3247</v>
      </c>
      <c r="Z4" s="20">
        <f>SUM(D4:G4)</f>
        <v>4082</v>
      </c>
      <c r="AA4" s="20">
        <f>SUM(H4:K4)</f>
        <v>4734</v>
      </c>
      <c r="AB4" s="20">
        <f>SUM(L4:O4)</f>
        <v>5065</v>
      </c>
      <c r="AC4" s="18">
        <f>AB4*1.1</f>
        <v>5571.5</v>
      </c>
      <c r="AD4" s="20">
        <f t="shared" ref="AD4:AM4" si="0">AC4*1.04</f>
        <v>5794.3600000000006</v>
      </c>
      <c r="AE4" s="20">
        <f t="shared" si="0"/>
        <v>6026.1344000000008</v>
      </c>
      <c r="AF4" s="20">
        <f t="shared" si="0"/>
        <v>6267.1797760000009</v>
      </c>
      <c r="AG4" s="20">
        <f t="shared" si="0"/>
        <v>6517.8669670400013</v>
      </c>
      <c r="AH4" s="20">
        <f t="shared" si="0"/>
        <v>6778.5816457216015</v>
      </c>
      <c r="AI4" s="20">
        <f t="shared" si="0"/>
        <v>7049.7249115504655</v>
      </c>
      <c r="AJ4" s="20">
        <f t="shared" si="0"/>
        <v>7331.7139080124844</v>
      </c>
      <c r="AK4" s="20">
        <f t="shared" si="0"/>
        <v>7624.9824643329839</v>
      </c>
      <c r="AL4" s="20">
        <f t="shared" si="0"/>
        <v>7929.9817629063036</v>
      </c>
      <c r="AM4" s="20">
        <f t="shared" si="0"/>
        <v>8247.1810334225556</v>
      </c>
    </row>
    <row r="5" spans="1:121" x14ac:dyDescent="0.25">
      <c r="A5" s="2" t="s">
        <v>2</v>
      </c>
      <c r="B5" s="8">
        <v>204.69458800000001</v>
      </c>
      <c r="C5" s="2" t="s">
        <v>42</v>
      </c>
      <c r="D5" s="21">
        <v>-38</v>
      </c>
      <c r="E5" s="21">
        <v>-29</v>
      </c>
      <c r="F5" s="21">
        <v>-33</v>
      </c>
      <c r="G5" s="21">
        <v>-47</v>
      </c>
      <c r="H5" s="21">
        <v>-36</v>
      </c>
      <c r="I5" s="21">
        <v>-35</v>
      </c>
      <c r="J5" s="21">
        <v>-31</v>
      </c>
      <c r="K5" s="21">
        <v>-35</v>
      </c>
      <c r="L5" s="21">
        <v>-40</v>
      </c>
      <c r="M5" s="21">
        <v>-30</v>
      </c>
      <c r="N5" s="21">
        <v>-33</v>
      </c>
      <c r="O5" s="21">
        <v>-40</v>
      </c>
      <c r="P5" s="21">
        <v>-38</v>
      </c>
      <c r="Q5" s="21">
        <v>-36</v>
      </c>
      <c r="R5" s="17">
        <v>-35</v>
      </c>
      <c r="S5" s="21"/>
      <c r="V5" s="21">
        <v>-80</v>
      </c>
      <c r="W5" s="21">
        <v>-115</v>
      </c>
      <c r="X5" s="21">
        <v>-122</v>
      </c>
      <c r="Y5" s="21">
        <v>-106</v>
      </c>
      <c r="Z5" s="21">
        <f>SUM(D5:G5)</f>
        <v>-147</v>
      </c>
      <c r="AA5" s="21">
        <f>SUM(H5:K5)</f>
        <v>-137</v>
      </c>
      <c r="AB5" s="21">
        <f>SUM(L5:O5)</f>
        <v>-143</v>
      </c>
      <c r="AC5" s="17">
        <f>AB5*1.03</f>
        <v>-147.29</v>
      </c>
      <c r="AD5" s="21">
        <f t="shared" ref="AD5:AM5" si="1">AC5*1.03</f>
        <v>-151.70869999999999</v>
      </c>
      <c r="AE5" s="21">
        <f t="shared" si="1"/>
        <v>-156.259961</v>
      </c>
      <c r="AF5" s="21">
        <f t="shared" si="1"/>
        <v>-160.94775983</v>
      </c>
      <c r="AG5" s="21">
        <f t="shared" si="1"/>
        <v>-165.77619262490001</v>
      </c>
      <c r="AH5" s="21">
        <f t="shared" si="1"/>
        <v>-170.749478403647</v>
      </c>
      <c r="AI5" s="21">
        <f t="shared" si="1"/>
        <v>-175.87196275575641</v>
      </c>
      <c r="AJ5" s="21">
        <f t="shared" si="1"/>
        <v>-181.1481216384291</v>
      </c>
      <c r="AK5" s="21">
        <f t="shared" si="1"/>
        <v>-186.58256528758199</v>
      </c>
      <c r="AL5" s="21">
        <f t="shared" si="1"/>
        <v>-192.18004224620944</v>
      </c>
      <c r="AM5" s="21">
        <f t="shared" si="1"/>
        <v>-197.94544351359573</v>
      </c>
    </row>
    <row r="6" spans="1:121" x14ac:dyDescent="0.25">
      <c r="A6" s="2" t="s">
        <v>3</v>
      </c>
      <c r="B6" s="5">
        <f>B4*B5</f>
        <v>7369.0051680000006</v>
      </c>
      <c r="C6" s="2" t="s">
        <v>115</v>
      </c>
      <c r="D6" s="21">
        <f t="shared" ref="D6:N6" si="2">D4+D5</f>
        <v>973</v>
      </c>
      <c r="E6" s="21">
        <f t="shared" si="2"/>
        <v>993</v>
      </c>
      <c r="F6" s="21">
        <f t="shared" si="2"/>
        <v>934</v>
      </c>
      <c r="G6" s="21">
        <f t="shared" si="2"/>
        <v>1035</v>
      </c>
      <c r="H6" s="21">
        <f t="shared" si="2"/>
        <v>1165</v>
      </c>
      <c r="I6" s="21">
        <f t="shared" si="2"/>
        <v>1165</v>
      </c>
      <c r="J6" s="21">
        <f t="shared" si="2"/>
        <v>1075</v>
      </c>
      <c r="K6" s="21">
        <f t="shared" si="2"/>
        <v>1192</v>
      </c>
      <c r="L6" s="21">
        <f t="shared" si="2"/>
        <v>1254</v>
      </c>
      <c r="M6" s="21">
        <f t="shared" si="2"/>
        <v>1236</v>
      </c>
      <c r="N6" s="21">
        <f t="shared" si="2"/>
        <v>1161</v>
      </c>
      <c r="O6" s="21">
        <f>O4+O5</f>
        <v>1271</v>
      </c>
      <c r="P6" s="21">
        <f t="shared" ref="P6:S6" si="3">P4+P5</f>
        <v>1357</v>
      </c>
      <c r="Q6" s="21">
        <f t="shared" si="3"/>
        <v>1357</v>
      </c>
      <c r="R6" s="17">
        <f t="shared" si="3"/>
        <v>1258</v>
      </c>
      <c r="S6" s="21">
        <f t="shared" si="3"/>
        <v>0</v>
      </c>
      <c r="T6" s="21"/>
      <c r="V6" s="21">
        <f t="shared" ref="V6:AA6" si="4">V4+V5</f>
        <v>3179</v>
      </c>
      <c r="W6" s="21">
        <f t="shared" si="4"/>
        <v>3872</v>
      </c>
      <c r="X6" s="21">
        <f t="shared" si="4"/>
        <v>3412</v>
      </c>
      <c r="Y6" s="21">
        <f t="shared" si="4"/>
        <v>3141</v>
      </c>
      <c r="Z6" s="21">
        <f>Z4+Z5</f>
        <v>3935</v>
      </c>
      <c r="AA6" s="21">
        <f t="shared" si="4"/>
        <v>4597</v>
      </c>
      <c r="AB6" s="21">
        <f>AB4+AB5</f>
        <v>4922</v>
      </c>
      <c r="AC6" s="17">
        <f t="shared" ref="AC6:AM6" si="5">AC4+AC5</f>
        <v>5424.21</v>
      </c>
      <c r="AD6" s="21">
        <f t="shared" si="5"/>
        <v>5642.6513000000004</v>
      </c>
      <c r="AE6" s="21">
        <f t="shared" si="5"/>
        <v>5869.8744390000011</v>
      </c>
      <c r="AF6" s="21">
        <f t="shared" si="5"/>
        <v>6106.2320161700009</v>
      </c>
      <c r="AG6" s="21">
        <f t="shared" si="5"/>
        <v>6352.0907744151009</v>
      </c>
      <c r="AH6" s="21">
        <f t="shared" si="5"/>
        <v>6607.8321673179544</v>
      </c>
      <c r="AI6" s="21">
        <f t="shared" si="5"/>
        <v>6873.8529487947089</v>
      </c>
      <c r="AJ6" s="21">
        <f t="shared" si="5"/>
        <v>7150.5657863740553</v>
      </c>
      <c r="AK6" s="21">
        <f t="shared" si="5"/>
        <v>7438.399899045402</v>
      </c>
      <c r="AL6" s="21">
        <f t="shared" si="5"/>
        <v>7737.8017206600944</v>
      </c>
      <c r="AM6" s="21">
        <f t="shared" si="5"/>
        <v>8049.2355899089598</v>
      </c>
    </row>
    <row r="7" spans="1:121" x14ac:dyDescent="0.25">
      <c r="A7" s="2" t="s">
        <v>4</v>
      </c>
      <c r="B7" s="5">
        <f>R41</f>
        <v>363</v>
      </c>
      <c r="C7" s="2" t="s">
        <v>43</v>
      </c>
      <c r="D7" s="21">
        <v>-403</v>
      </c>
      <c r="E7" s="21">
        <v>-382</v>
      </c>
      <c r="F7" s="21">
        <v>-357</v>
      </c>
      <c r="G7" s="21">
        <v>-446</v>
      </c>
      <c r="H7" s="21">
        <v>-436</v>
      </c>
      <c r="I7" s="21">
        <v>-398</v>
      </c>
      <c r="J7" s="21">
        <v>-367</v>
      </c>
      <c r="K7" s="21">
        <v>-476</v>
      </c>
      <c r="L7" s="21">
        <v>-486</v>
      </c>
      <c r="M7" s="21">
        <v>-446</v>
      </c>
      <c r="N7" s="21">
        <v>-418</v>
      </c>
      <c r="O7" s="21">
        <v>-511</v>
      </c>
      <c r="P7" s="21">
        <v>-538</v>
      </c>
      <c r="Q7" s="21">
        <v>-491</v>
      </c>
      <c r="R7" s="17">
        <v>-461</v>
      </c>
      <c r="S7" s="21"/>
      <c r="V7" s="21">
        <v>-1224</v>
      </c>
      <c r="W7" s="21">
        <v>-1463</v>
      </c>
      <c r="X7" s="21">
        <v>-1352</v>
      </c>
      <c r="Y7" s="21">
        <v>-1399</v>
      </c>
      <c r="Z7" s="21">
        <f>SUM(D7:G7)</f>
        <v>-1588</v>
      </c>
      <c r="AA7" s="21">
        <f>SUM(H7:K7)</f>
        <v>-1677</v>
      </c>
      <c r="AB7" s="21">
        <f>SUM(L7:O7)</f>
        <v>-1861</v>
      </c>
      <c r="AC7" s="17">
        <f>AB7*1.08</f>
        <v>-2009.88</v>
      </c>
      <c r="AD7" s="21">
        <f t="shared" ref="AD7:AL7" si="6">AC7*1.03</f>
        <v>-2070.1764000000003</v>
      </c>
      <c r="AE7" s="21">
        <f t="shared" si="6"/>
        <v>-2132.2816920000005</v>
      </c>
      <c r="AF7" s="21">
        <f t="shared" si="6"/>
        <v>-2196.2501427600005</v>
      </c>
      <c r="AG7" s="21">
        <f t="shared" si="6"/>
        <v>-2262.1376470428004</v>
      </c>
      <c r="AH7" s="21">
        <f t="shared" si="6"/>
        <v>-2330.0017764540844</v>
      </c>
      <c r="AI7" s="21">
        <f t="shared" si="6"/>
        <v>-2399.9018297477069</v>
      </c>
      <c r="AJ7" s="21">
        <f t="shared" si="6"/>
        <v>-2471.898884640138</v>
      </c>
      <c r="AK7" s="21">
        <f t="shared" si="6"/>
        <v>-2546.0558511793424</v>
      </c>
      <c r="AL7" s="21">
        <f t="shared" si="6"/>
        <v>-2622.4375267147229</v>
      </c>
      <c r="AM7" s="21">
        <f t="shared" ref="AM7" si="7">AL7*1.04</f>
        <v>-2727.3350277833119</v>
      </c>
    </row>
    <row r="8" spans="1:121" x14ac:dyDescent="0.25">
      <c r="A8" s="2" t="s">
        <v>5</v>
      </c>
      <c r="B8" s="5">
        <f>R50+R53</f>
        <v>1460</v>
      </c>
      <c r="C8" s="2" t="s">
        <v>44</v>
      </c>
      <c r="D8" s="21">
        <v>-283</v>
      </c>
      <c r="E8" s="21">
        <v>-268</v>
      </c>
      <c r="F8" s="21">
        <v>-297</v>
      </c>
      <c r="G8" s="21">
        <v>-359</v>
      </c>
      <c r="H8" s="21">
        <v>-305</v>
      </c>
      <c r="I8" s="21">
        <v>-276</v>
      </c>
      <c r="J8" s="21">
        <v>-263</v>
      </c>
      <c r="K8" s="21">
        <v>-291</v>
      </c>
      <c r="L8" s="21">
        <v>-293</v>
      </c>
      <c r="M8" s="21">
        <v>-269</v>
      </c>
      <c r="N8" s="21">
        <v>-272</v>
      </c>
      <c r="O8" s="21">
        <v>-286</v>
      </c>
      <c r="P8" s="21">
        <v>-326</v>
      </c>
      <c r="Q8" s="21">
        <v>-287</v>
      </c>
      <c r="R8" s="17">
        <v>-295</v>
      </c>
      <c r="S8" s="21"/>
      <c r="V8" s="21">
        <v>-688</v>
      </c>
      <c r="W8" s="21">
        <v>-925</v>
      </c>
      <c r="X8" s="21">
        <v>-925</v>
      </c>
      <c r="Y8" s="21">
        <v>-925</v>
      </c>
      <c r="Z8" s="21">
        <f>SUM(D8:G8)</f>
        <v>-1207</v>
      </c>
      <c r="AA8" s="21">
        <f>SUM(H8:K8)</f>
        <v>-1135</v>
      </c>
      <c r="AB8" s="21">
        <f>SUM(L8:O8)</f>
        <v>-1120</v>
      </c>
      <c r="AC8" s="17">
        <f t="shared" ref="AC8:AC9" si="8">AB8*1.07</f>
        <v>-1198.4000000000001</v>
      </c>
      <c r="AD8" s="21">
        <f t="shared" ref="AD8:AM8" si="9">AC8*1.03</f>
        <v>-1234.3520000000001</v>
      </c>
      <c r="AE8" s="21">
        <f t="shared" si="9"/>
        <v>-1271.38256</v>
      </c>
      <c r="AF8" s="21">
        <f t="shared" si="9"/>
        <v>-1309.5240368</v>
      </c>
      <c r="AG8" s="21">
        <f t="shared" si="9"/>
        <v>-1348.809757904</v>
      </c>
      <c r="AH8" s="21">
        <f t="shared" si="9"/>
        <v>-1389.2740506411201</v>
      </c>
      <c r="AI8" s="21">
        <f t="shared" si="9"/>
        <v>-1430.9522721603537</v>
      </c>
      <c r="AJ8" s="21">
        <f t="shared" si="9"/>
        <v>-1473.8808403251644</v>
      </c>
      <c r="AK8" s="21">
        <f t="shared" si="9"/>
        <v>-1518.0972655349194</v>
      </c>
      <c r="AL8" s="21">
        <f t="shared" si="9"/>
        <v>-1563.6401835009669</v>
      </c>
      <c r="AM8" s="21">
        <f t="shared" si="9"/>
        <v>-1610.5493890059961</v>
      </c>
    </row>
    <row r="9" spans="1:121" x14ac:dyDescent="0.25">
      <c r="A9" s="3" t="s">
        <v>6</v>
      </c>
      <c r="B9" s="6">
        <f>B6-B7+B8</f>
        <v>8466.0051679999997</v>
      </c>
      <c r="C9" s="2" t="s">
        <v>45</v>
      </c>
      <c r="D9" s="21">
        <v>-274</v>
      </c>
      <c r="E9" s="21">
        <v>-275</v>
      </c>
      <c r="F9" s="21">
        <v>-276</v>
      </c>
      <c r="G9" s="21">
        <v>-296</v>
      </c>
      <c r="H9" s="21">
        <v>-298</v>
      </c>
      <c r="I9" s="21">
        <v>-289</v>
      </c>
      <c r="J9" s="21">
        <v>-289</v>
      </c>
      <c r="K9" s="21">
        <v>-302</v>
      </c>
      <c r="L9" s="21">
        <v>-303</v>
      </c>
      <c r="M9" s="21">
        <v>-305</v>
      </c>
      <c r="N9" s="21">
        <v>-296</v>
      </c>
      <c r="O9" s="21">
        <v>-294</v>
      </c>
      <c r="P9" s="21">
        <v>-300</v>
      </c>
      <c r="Q9" s="21">
        <v>-306</v>
      </c>
      <c r="R9" s="17">
        <v>-304</v>
      </c>
      <c r="S9" s="21"/>
      <c r="V9" s="21">
        <f>-739-265</f>
        <v>-1004</v>
      </c>
      <c r="W9" s="21">
        <v>-972</v>
      </c>
      <c r="X9" s="21">
        <f>-1045-70</f>
        <v>-1115</v>
      </c>
      <c r="Y9" s="21">
        <v>-1042</v>
      </c>
      <c r="Z9" s="21">
        <f>SUM(D9:G9)</f>
        <v>-1121</v>
      </c>
      <c r="AA9" s="21">
        <f>SUM(H9:K9)</f>
        <v>-1178</v>
      </c>
      <c r="AB9" s="21">
        <f>SUM(L9:O9)</f>
        <v>-1198</v>
      </c>
      <c r="AC9" s="17">
        <f t="shared" si="8"/>
        <v>-1281.8600000000001</v>
      </c>
      <c r="AD9" s="21">
        <f t="shared" ref="AD9:AM9" si="10">AC9*1.02</f>
        <v>-1307.4972000000002</v>
      </c>
      <c r="AE9" s="21">
        <f t="shared" si="10"/>
        <v>-1333.6471440000003</v>
      </c>
      <c r="AF9" s="21">
        <f t="shared" si="10"/>
        <v>-1360.3200868800002</v>
      </c>
      <c r="AG9" s="21">
        <f t="shared" si="10"/>
        <v>-1387.5264886176003</v>
      </c>
      <c r="AH9" s="21">
        <f t="shared" si="10"/>
        <v>-1415.2770183899524</v>
      </c>
      <c r="AI9" s="21">
        <f t="shared" si="10"/>
        <v>-1443.5825587577515</v>
      </c>
      <c r="AJ9" s="21">
        <f t="shared" si="10"/>
        <v>-1472.4542099329065</v>
      </c>
      <c r="AK9" s="21">
        <f t="shared" si="10"/>
        <v>-1501.9032941315645</v>
      </c>
      <c r="AL9" s="21">
        <f t="shared" si="10"/>
        <v>-1531.9413600141959</v>
      </c>
      <c r="AM9" s="21">
        <f t="shared" si="10"/>
        <v>-1562.5801872144798</v>
      </c>
    </row>
    <row r="10" spans="1:121" x14ac:dyDescent="0.25">
      <c r="C10" s="1" t="s">
        <v>52</v>
      </c>
      <c r="D10" s="20">
        <f t="shared" ref="D10:N10" si="11">SUM(D6:D9)</f>
        <v>13</v>
      </c>
      <c r="E10" s="20">
        <f t="shared" si="11"/>
        <v>68</v>
      </c>
      <c r="F10" s="20">
        <f t="shared" si="11"/>
        <v>4</v>
      </c>
      <c r="G10" s="20">
        <f t="shared" si="11"/>
        <v>-66</v>
      </c>
      <c r="H10" s="20">
        <f t="shared" si="11"/>
        <v>126</v>
      </c>
      <c r="I10" s="20">
        <f t="shared" si="11"/>
        <v>202</v>
      </c>
      <c r="J10" s="20">
        <f t="shared" si="11"/>
        <v>156</v>
      </c>
      <c r="K10" s="20">
        <f t="shared" si="11"/>
        <v>123</v>
      </c>
      <c r="L10" s="20">
        <f t="shared" si="11"/>
        <v>172</v>
      </c>
      <c r="M10" s="20">
        <f t="shared" si="11"/>
        <v>216</v>
      </c>
      <c r="N10" s="20">
        <f t="shared" si="11"/>
        <v>175</v>
      </c>
      <c r="O10" s="20">
        <f>SUM(O6:O9)</f>
        <v>180</v>
      </c>
      <c r="P10" s="20">
        <f t="shared" ref="P10:S10" si="12">SUM(P6:P9)</f>
        <v>193</v>
      </c>
      <c r="Q10" s="20">
        <f t="shared" si="12"/>
        <v>273</v>
      </c>
      <c r="R10" s="18">
        <f t="shared" si="12"/>
        <v>198</v>
      </c>
      <c r="S10" s="20">
        <f t="shared" si="12"/>
        <v>0</v>
      </c>
      <c r="T10" s="21"/>
      <c r="V10" s="20">
        <f t="shared" ref="V10:AA10" si="13">SUM(V6:V9)</f>
        <v>263</v>
      </c>
      <c r="W10" s="20">
        <f t="shared" si="13"/>
        <v>512</v>
      </c>
      <c r="X10" s="20">
        <f t="shared" si="13"/>
        <v>20</v>
      </c>
      <c r="Y10" s="20">
        <f t="shared" si="13"/>
        <v>-225</v>
      </c>
      <c r="Z10" s="20">
        <f t="shared" si="13"/>
        <v>19</v>
      </c>
      <c r="AA10" s="20">
        <f t="shared" si="13"/>
        <v>607</v>
      </c>
      <c r="AB10" s="20">
        <f>SUM(AB6:AB9)</f>
        <v>743</v>
      </c>
      <c r="AC10" s="18">
        <f t="shared" ref="AC10:AM10" si="14">SUM(AC6:AC9)</f>
        <v>934.06999999999971</v>
      </c>
      <c r="AD10" s="20">
        <f t="shared" si="14"/>
        <v>1030.6257000000001</v>
      </c>
      <c r="AE10" s="20">
        <f t="shared" si="14"/>
        <v>1132.5630430000003</v>
      </c>
      <c r="AF10" s="20">
        <f t="shared" si="14"/>
        <v>1240.1377497300002</v>
      </c>
      <c r="AG10" s="20">
        <f t="shared" si="14"/>
        <v>1353.6168808507002</v>
      </c>
      <c r="AH10" s="20">
        <f t="shared" si="14"/>
        <v>1473.2793218327975</v>
      </c>
      <c r="AI10" s="20">
        <f t="shared" si="14"/>
        <v>1599.4162881288971</v>
      </c>
      <c r="AJ10" s="20">
        <f t="shared" si="14"/>
        <v>1732.3318514758466</v>
      </c>
      <c r="AK10" s="20">
        <f t="shared" si="14"/>
        <v>1872.3434881995754</v>
      </c>
      <c r="AL10" s="20">
        <f t="shared" si="14"/>
        <v>2019.7826504302091</v>
      </c>
      <c r="AM10" s="20">
        <f t="shared" si="14"/>
        <v>2148.7709859051715</v>
      </c>
    </row>
    <row r="11" spans="1:121" x14ac:dyDescent="0.25">
      <c r="C11" s="2" t="s">
        <v>46</v>
      </c>
      <c r="D11" s="21">
        <v>-67</v>
      </c>
      <c r="E11" s="21">
        <v>-46</v>
      </c>
      <c r="F11" s="21">
        <v>-59</v>
      </c>
      <c r="G11" s="21">
        <v>-109</v>
      </c>
      <c r="H11" s="21">
        <v>-42</v>
      </c>
      <c r="I11" s="21">
        <v>-78</v>
      </c>
      <c r="J11" s="21">
        <v>-107</v>
      </c>
      <c r="K11" s="21">
        <v>-67</v>
      </c>
      <c r="L11" s="21">
        <v>-72</v>
      </c>
      <c r="M11" s="21">
        <v>-82</v>
      </c>
      <c r="N11" s="21">
        <v>-79</v>
      </c>
      <c r="O11" s="21">
        <v>-77</v>
      </c>
      <c r="P11" s="21">
        <v>-70</v>
      </c>
      <c r="Q11" s="21">
        <v>-68</v>
      </c>
      <c r="R11" s="17">
        <v>-70</v>
      </c>
      <c r="S11" s="21"/>
      <c r="V11" s="21">
        <v>-240</v>
      </c>
      <c r="W11" s="21">
        <v>-265</v>
      </c>
      <c r="X11" s="21">
        <v>-267</v>
      </c>
      <c r="Y11" s="21">
        <v>-298</v>
      </c>
      <c r="Z11" s="21">
        <f>SUM(D11:G11)</f>
        <v>-281</v>
      </c>
      <c r="AA11" s="21">
        <f>SUM(H11:K11)</f>
        <v>-294</v>
      </c>
      <c r="AB11" s="21">
        <f>SUM(L11:O11)</f>
        <v>-310</v>
      </c>
      <c r="AC11" s="17">
        <f>AB11*1.01</f>
        <v>-313.10000000000002</v>
      </c>
      <c r="AD11" s="21">
        <f t="shared" ref="AD11:AM11" si="15">AC11*1.01</f>
        <v>-316.23100000000005</v>
      </c>
      <c r="AE11" s="21">
        <f t="shared" si="15"/>
        <v>-319.39331000000004</v>
      </c>
      <c r="AF11" s="21">
        <f t="shared" si="15"/>
        <v>-322.58724310000002</v>
      </c>
      <c r="AG11" s="21">
        <f t="shared" si="15"/>
        <v>-325.81311553100005</v>
      </c>
      <c r="AH11" s="21">
        <f t="shared" si="15"/>
        <v>-329.07124668631008</v>
      </c>
      <c r="AI11" s="21">
        <f t="shared" si="15"/>
        <v>-332.36195915317319</v>
      </c>
      <c r="AJ11" s="21">
        <f t="shared" si="15"/>
        <v>-335.68557874470491</v>
      </c>
      <c r="AK11" s="21">
        <f t="shared" si="15"/>
        <v>-339.04243453215196</v>
      </c>
      <c r="AL11" s="21">
        <f t="shared" si="15"/>
        <v>-342.43285887747351</v>
      </c>
      <c r="AM11" s="21">
        <f t="shared" si="15"/>
        <v>-345.85718746624826</v>
      </c>
    </row>
    <row r="12" spans="1:121" x14ac:dyDescent="0.25">
      <c r="C12" s="2" t="s">
        <v>47</v>
      </c>
      <c r="D12" s="21">
        <f t="shared" ref="D12:S12" si="16">SUM(D10:D11)</f>
        <v>-54</v>
      </c>
      <c r="E12" s="21">
        <f t="shared" si="16"/>
        <v>22</v>
      </c>
      <c r="F12" s="21">
        <f t="shared" si="16"/>
        <v>-55</v>
      </c>
      <c r="G12" s="21">
        <f t="shared" si="16"/>
        <v>-175</v>
      </c>
      <c r="H12" s="21">
        <f t="shared" si="16"/>
        <v>84</v>
      </c>
      <c r="I12" s="21">
        <f t="shared" si="16"/>
        <v>124</v>
      </c>
      <c r="J12" s="21">
        <f t="shared" si="16"/>
        <v>49</v>
      </c>
      <c r="K12" s="21">
        <f t="shared" si="16"/>
        <v>56</v>
      </c>
      <c r="L12" s="21">
        <f t="shared" si="16"/>
        <v>100</v>
      </c>
      <c r="M12" s="21">
        <f t="shared" si="16"/>
        <v>134</v>
      </c>
      <c r="N12" s="21">
        <f t="shared" si="16"/>
        <v>96</v>
      </c>
      <c r="O12" s="21">
        <f t="shared" si="16"/>
        <v>103</v>
      </c>
      <c r="P12" s="21">
        <f t="shared" si="16"/>
        <v>123</v>
      </c>
      <c r="Q12" s="21">
        <f t="shared" si="16"/>
        <v>205</v>
      </c>
      <c r="R12" s="17">
        <f t="shared" si="16"/>
        <v>128</v>
      </c>
      <c r="S12" s="21">
        <f t="shared" si="16"/>
        <v>0</v>
      </c>
      <c r="V12" s="21">
        <f t="shared" ref="V12:AA12" si="17">SUM(V10:V11)</f>
        <v>23</v>
      </c>
      <c r="W12" s="21">
        <f t="shared" si="17"/>
        <v>247</v>
      </c>
      <c r="X12" s="21">
        <f t="shared" si="17"/>
        <v>-247</v>
      </c>
      <c r="Y12" s="21">
        <f t="shared" si="17"/>
        <v>-523</v>
      </c>
      <c r="Z12" s="21">
        <f t="shared" si="17"/>
        <v>-262</v>
      </c>
      <c r="AA12" s="21">
        <f t="shared" si="17"/>
        <v>313</v>
      </c>
      <c r="AB12" s="21">
        <f t="shared" ref="AB12" si="18">SUM(AB10:AB11)</f>
        <v>433</v>
      </c>
      <c r="AC12" s="17">
        <f t="shared" ref="AC12" si="19">SUM(AC10:AC11)</f>
        <v>620.96999999999969</v>
      </c>
      <c r="AD12" s="21">
        <f t="shared" ref="AD12" si="20">SUM(AD10:AD11)</f>
        <v>714.39470000000006</v>
      </c>
      <c r="AE12" s="21">
        <f t="shared" ref="AE12" si="21">SUM(AE10:AE11)</f>
        <v>813.16973300000029</v>
      </c>
      <c r="AF12" s="21">
        <f t="shared" ref="AF12" si="22">SUM(AF10:AF11)</f>
        <v>917.5505066300002</v>
      </c>
      <c r="AG12" s="21">
        <f t="shared" ref="AG12" si="23">SUM(AG10:AG11)</f>
        <v>1027.8037653197002</v>
      </c>
      <c r="AH12" s="21">
        <f t="shared" ref="AH12" si="24">SUM(AH10:AH11)</f>
        <v>1144.2080751464873</v>
      </c>
      <c r="AI12" s="21">
        <f t="shared" ref="AI12" si="25">SUM(AI10:AI11)</f>
        <v>1267.0543289757238</v>
      </c>
      <c r="AJ12" s="21">
        <f t="shared" ref="AJ12" si="26">SUM(AJ10:AJ11)</f>
        <v>1396.6462727311418</v>
      </c>
      <c r="AK12" s="21">
        <f t="shared" ref="AK12" si="27">SUM(AK10:AK11)</f>
        <v>1533.3010536674235</v>
      </c>
      <c r="AL12" s="21">
        <f t="shared" ref="AL12" si="28">SUM(AL10:AL11)</f>
        <v>1677.3497915527355</v>
      </c>
      <c r="AM12" s="21">
        <f t="shared" ref="AM12" si="29">SUM(AM10:AM11)</f>
        <v>1802.9137984389233</v>
      </c>
    </row>
    <row r="13" spans="1:121" x14ac:dyDescent="0.25">
      <c r="C13" s="2" t="s">
        <v>48</v>
      </c>
      <c r="D13" s="21">
        <v>-2</v>
      </c>
      <c r="E13" s="21">
        <v>-10</v>
      </c>
      <c r="F13" s="21">
        <v>2</v>
      </c>
      <c r="G13" s="21">
        <v>25</v>
      </c>
      <c r="H13" s="21">
        <v>-21</v>
      </c>
      <c r="I13" s="21">
        <v>-30</v>
      </c>
      <c r="J13" s="21">
        <v>-18</v>
      </c>
      <c r="K13" s="21">
        <v>-21</v>
      </c>
      <c r="L13" s="21">
        <v>-23</v>
      </c>
      <c r="M13" s="21">
        <v>-32</v>
      </c>
      <c r="N13" s="21">
        <v>-25</v>
      </c>
      <c r="O13" s="21">
        <v>-28</v>
      </c>
      <c r="P13" s="21">
        <v>-29</v>
      </c>
      <c r="Q13" s="21">
        <v>-44</v>
      </c>
      <c r="R13" s="17">
        <v>-30</v>
      </c>
      <c r="S13" s="21"/>
      <c r="V13" s="21">
        <v>-28</v>
      </c>
      <c r="W13" s="21">
        <v>-60</v>
      </c>
      <c r="X13" s="21">
        <v>-69</v>
      </c>
      <c r="Y13" s="21">
        <v>70</v>
      </c>
      <c r="Z13" s="21">
        <f>SUM(D13:G13)</f>
        <v>15</v>
      </c>
      <c r="AA13" s="21">
        <f>SUM(H13:K13)</f>
        <v>-90</v>
      </c>
      <c r="AB13" s="21">
        <f>SUM(L13:O13)</f>
        <v>-108</v>
      </c>
      <c r="AC13" s="17">
        <f>AC12*-0.22</f>
        <v>-136.61339999999993</v>
      </c>
      <c r="AD13" s="21">
        <f t="shared" ref="AD13:AM13" si="30">AD12*-0.22</f>
        <v>-157.16683400000002</v>
      </c>
      <c r="AE13" s="21">
        <f t="shared" si="30"/>
        <v>-178.89734126000008</v>
      </c>
      <c r="AF13" s="21">
        <f t="shared" si="30"/>
        <v>-201.86111145860005</v>
      </c>
      <c r="AG13" s="21">
        <f t="shared" si="30"/>
        <v>-226.11682837033405</v>
      </c>
      <c r="AH13" s="21">
        <f t="shared" si="30"/>
        <v>-251.7257765322272</v>
      </c>
      <c r="AI13" s="21">
        <f t="shared" si="30"/>
        <v>-278.75195237465925</v>
      </c>
      <c r="AJ13" s="21">
        <f t="shared" si="30"/>
        <v>-307.26218000085123</v>
      </c>
      <c r="AK13" s="21">
        <f t="shared" si="30"/>
        <v>-337.32623180683316</v>
      </c>
      <c r="AL13" s="21">
        <f t="shared" si="30"/>
        <v>-369.01695414160179</v>
      </c>
      <c r="AM13" s="21">
        <f t="shared" si="30"/>
        <v>-396.64103565656313</v>
      </c>
    </row>
    <row r="14" spans="1:121" x14ac:dyDescent="0.25">
      <c r="C14" s="1" t="s">
        <v>49</v>
      </c>
      <c r="D14" s="20">
        <f t="shared" ref="D14:S14" si="31">SUM(D12:D13)</f>
        <v>-56</v>
      </c>
      <c r="E14" s="20">
        <f t="shared" si="31"/>
        <v>12</v>
      </c>
      <c r="F14" s="20">
        <f t="shared" si="31"/>
        <v>-53</v>
      </c>
      <c r="G14" s="20">
        <f t="shared" si="31"/>
        <v>-150</v>
      </c>
      <c r="H14" s="20">
        <f t="shared" si="31"/>
        <v>63</v>
      </c>
      <c r="I14" s="20">
        <f t="shared" si="31"/>
        <v>94</v>
      </c>
      <c r="J14" s="20">
        <f t="shared" si="31"/>
        <v>31</v>
      </c>
      <c r="K14" s="20">
        <f t="shared" si="31"/>
        <v>35</v>
      </c>
      <c r="L14" s="20">
        <f t="shared" si="31"/>
        <v>77</v>
      </c>
      <c r="M14" s="20">
        <f t="shared" si="31"/>
        <v>102</v>
      </c>
      <c r="N14" s="20">
        <f t="shared" si="31"/>
        <v>71</v>
      </c>
      <c r="O14" s="20">
        <f t="shared" si="31"/>
        <v>75</v>
      </c>
      <c r="P14" s="20">
        <f t="shared" si="31"/>
        <v>94</v>
      </c>
      <c r="Q14" s="20">
        <f t="shared" si="31"/>
        <v>161</v>
      </c>
      <c r="R14" s="18">
        <f t="shared" si="31"/>
        <v>98</v>
      </c>
      <c r="S14" s="20">
        <f t="shared" si="31"/>
        <v>0</v>
      </c>
      <c r="V14" s="20">
        <f>SUM(V12:V13)</f>
        <v>-5</v>
      </c>
      <c r="W14" s="20">
        <f>SUM(W12:W13)</f>
        <v>187</v>
      </c>
      <c r="X14" s="20">
        <f>SUM(X12:X13)</f>
        <v>-316</v>
      </c>
      <c r="Y14" s="20">
        <f>SUM(Y12:Y13)</f>
        <v>-453</v>
      </c>
      <c r="Z14" s="20">
        <f>SUM(Z12:Z13)</f>
        <v>-247</v>
      </c>
      <c r="AA14" s="20">
        <f t="shared" ref="AA14:AB14" si="32">SUM(AA12:AA13)</f>
        <v>223</v>
      </c>
      <c r="AB14" s="20">
        <f t="shared" si="32"/>
        <v>325</v>
      </c>
      <c r="AC14" s="18">
        <f t="shared" ref="AC14" si="33">SUM(AC12:AC13)</f>
        <v>484.35659999999973</v>
      </c>
      <c r="AD14" s="20">
        <f t="shared" ref="AD14" si="34">SUM(AD12:AD13)</f>
        <v>557.22786600000006</v>
      </c>
      <c r="AE14" s="20">
        <f t="shared" ref="AE14" si="35">SUM(AE12:AE13)</f>
        <v>634.27239174000022</v>
      </c>
      <c r="AF14" s="20">
        <f t="shared" ref="AF14" si="36">SUM(AF12:AF13)</f>
        <v>715.68939517140018</v>
      </c>
      <c r="AG14" s="20">
        <f t="shared" ref="AG14" si="37">SUM(AG12:AG13)</f>
        <v>801.68693694936621</v>
      </c>
      <c r="AH14" s="20">
        <f t="shared" ref="AH14" si="38">SUM(AH12:AH13)</f>
        <v>892.48229861426012</v>
      </c>
      <c r="AI14" s="20">
        <f t="shared" ref="AI14" si="39">SUM(AI12:AI13)</f>
        <v>988.30237660106457</v>
      </c>
      <c r="AJ14" s="20">
        <f t="shared" ref="AJ14" si="40">SUM(AJ12:AJ13)</f>
        <v>1089.3840927302906</v>
      </c>
      <c r="AK14" s="20">
        <f t="shared" ref="AK14" si="41">SUM(AK12:AK13)</f>
        <v>1195.9748218605903</v>
      </c>
      <c r="AL14" s="20">
        <f t="shared" ref="AL14" si="42">SUM(AL12:AL13)</f>
        <v>1308.3328374111338</v>
      </c>
      <c r="AM14" s="20">
        <f t="shared" ref="AM14" si="43">SUM(AM12:AM13)</f>
        <v>1406.2727627823601</v>
      </c>
      <c r="AN14" s="20">
        <f>AM14*(1+$AP$17)</f>
        <v>1392.2100351545366</v>
      </c>
      <c r="AO14" s="20">
        <f t="shared" ref="AO14:CZ14" si="44">AN14*(1+$AP$17)</f>
        <v>1378.2879348029912</v>
      </c>
      <c r="AP14" s="20">
        <f t="shared" si="44"/>
        <v>1364.5050554549614</v>
      </c>
      <c r="AQ14" s="20">
        <f t="shared" si="44"/>
        <v>1350.8600049004117</v>
      </c>
      <c r="AR14" s="20">
        <f t="shared" si="44"/>
        <v>1337.3514048514076</v>
      </c>
      <c r="AS14" s="20">
        <f t="shared" si="44"/>
        <v>1323.9778908028934</v>
      </c>
      <c r="AT14" s="20">
        <f t="shared" si="44"/>
        <v>1310.7381118948645</v>
      </c>
      <c r="AU14" s="20">
        <f t="shared" si="44"/>
        <v>1297.6307307759157</v>
      </c>
      <c r="AV14" s="20">
        <f t="shared" si="44"/>
        <v>1284.6544234681564</v>
      </c>
      <c r="AW14" s="20">
        <f t="shared" si="44"/>
        <v>1271.8078792334748</v>
      </c>
      <c r="AX14" s="20">
        <f t="shared" si="44"/>
        <v>1259.0898004411399</v>
      </c>
      <c r="AY14" s="20">
        <f t="shared" si="44"/>
        <v>1246.4989024367285</v>
      </c>
      <c r="AZ14" s="20">
        <f t="shared" si="44"/>
        <v>1234.0339134123612</v>
      </c>
      <c r="BA14" s="20">
        <f t="shared" si="44"/>
        <v>1221.6935742782375</v>
      </c>
      <c r="BB14" s="20">
        <f t="shared" si="44"/>
        <v>1209.4766385354551</v>
      </c>
      <c r="BC14" s="20">
        <f t="shared" si="44"/>
        <v>1197.3818721501004</v>
      </c>
      <c r="BD14" s="20">
        <f t="shared" si="44"/>
        <v>1185.4080534285995</v>
      </c>
      <c r="BE14" s="20">
        <f t="shared" si="44"/>
        <v>1173.5539728943136</v>
      </c>
      <c r="BF14" s="20">
        <f t="shared" si="44"/>
        <v>1161.8184331653704</v>
      </c>
      <c r="BG14" s="20">
        <f t="shared" si="44"/>
        <v>1150.2002488337166</v>
      </c>
      <c r="BH14" s="20">
        <f t="shared" si="44"/>
        <v>1138.6982463453794</v>
      </c>
      <c r="BI14" s="20">
        <f t="shared" si="44"/>
        <v>1127.3112638819257</v>
      </c>
      <c r="BJ14" s="20">
        <f t="shared" si="44"/>
        <v>1116.0381512431065</v>
      </c>
      <c r="BK14" s="20">
        <f t="shared" si="44"/>
        <v>1104.8777697306755</v>
      </c>
      <c r="BL14" s="20">
        <f t="shared" si="44"/>
        <v>1093.8289920333686</v>
      </c>
      <c r="BM14" s="20">
        <f t="shared" si="44"/>
        <v>1082.8907021130349</v>
      </c>
      <c r="BN14" s="20">
        <f t="shared" si="44"/>
        <v>1072.0617950919045</v>
      </c>
      <c r="BO14" s="20">
        <f t="shared" si="44"/>
        <v>1061.3411771409856</v>
      </c>
      <c r="BP14" s="20">
        <f t="shared" si="44"/>
        <v>1050.7277653695758</v>
      </c>
      <c r="BQ14" s="20">
        <f t="shared" si="44"/>
        <v>1040.2204877158799</v>
      </c>
      <c r="BR14" s="20">
        <f t="shared" si="44"/>
        <v>1029.8182828387212</v>
      </c>
      <c r="BS14" s="20">
        <f t="shared" si="44"/>
        <v>1019.520100010334</v>
      </c>
      <c r="BT14" s="20">
        <f t="shared" si="44"/>
        <v>1009.3248990102306</v>
      </c>
      <c r="BU14" s="20">
        <f t="shared" si="44"/>
        <v>999.23165002012831</v>
      </c>
      <c r="BV14" s="20">
        <f t="shared" si="44"/>
        <v>989.23933351992707</v>
      </c>
      <c r="BW14" s="20">
        <f t="shared" si="44"/>
        <v>979.34694018472783</v>
      </c>
      <c r="BX14" s="20">
        <f t="shared" si="44"/>
        <v>969.55347078288059</v>
      </c>
      <c r="BY14" s="20">
        <f t="shared" si="44"/>
        <v>959.85793607505173</v>
      </c>
      <c r="BZ14" s="20">
        <f t="shared" si="44"/>
        <v>950.25935671430125</v>
      </c>
      <c r="CA14" s="20">
        <f t="shared" si="44"/>
        <v>940.75676314715827</v>
      </c>
      <c r="CB14" s="20">
        <f t="shared" si="44"/>
        <v>931.34919551568669</v>
      </c>
      <c r="CC14" s="20">
        <f t="shared" si="44"/>
        <v>922.03570356052978</v>
      </c>
      <c r="CD14" s="20">
        <f t="shared" si="44"/>
        <v>912.81534652492451</v>
      </c>
      <c r="CE14" s="20">
        <f t="shared" si="44"/>
        <v>903.68719305967522</v>
      </c>
      <c r="CF14" s="20">
        <f t="shared" si="44"/>
        <v>894.65032112907841</v>
      </c>
      <c r="CG14" s="20">
        <f t="shared" si="44"/>
        <v>885.70381791778766</v>
      </c>
      <c r="CH14" s="20">
        <f t="shared" si="44"/>
        <v>876.84677973860983</v>
      </c>
      <c r="CI14" s="20">
        <f t="shared" si="44"/>
        <v>868.07831194122377</v>
      </c>
      <c r="CJ14" s="20">
        <f t="shared" si="44"/>
        <v>859.39752882181153</v>
      </c>
      <c r="CK14" s="20">
        <f t="shared" si="44"/>
        <v>850.80355353359346</v>
      </c>
      <c r="CL14" s="20">
        <f t="shared" si="44"/>
        <v>842.29551799825754</v>
      </c>
      <c r="CM14" s="20">
        <f t="shared" si="44"/>
        <v>833.8725628182749</v>
      </c>
      <c r="CN14" s="20">
        <f t="shared" si="44"/>
        <v>825.53383719009219</v>
      </c>
      <c r="CO14" s="20">
        <f t="shared" si="44"/>
        <v>817.27849881819122</v>
      </c>
      <c r="CP14" s="20">
        <f t="shared" si="44"/>
        <v>809.10571383000934</v>
      </c>
      <c r="CQ14" s="20">
        <f t="shared" si="44"/>
        <v>801.01465669170921</v>
      </c>
      <c r="CR14" s="20">
        <f t="shared" si="44"/>
        <v>793.00451012479209</v>
      </c>
      <c r="CS14" s="20">
        <f t="shared" si="44"/>
        <v>785.07446502354412</v>
      </c>
      <c r="CT14" s="20">
        <f t="shared" si="44"/>
        <v>777.22372037330865</v>
      </c>
      <c r="CU14" s="20">
        <f t="shared" si="44"/>
        <v>769.45148316957557</v>
      </c>
      <c r="CV14" s="20">
        <f t="shared" si="44"/>
        <v>761.75696833787981</v>
      </c>
      <c r="CW14" s="20">
        <f t="shared" si="44"/>
        <v>754.13939865450095</v>
      </c>
      <c r="CX14" s="20">
        <f t="shared" si="44"/>
        <v>746.59800466795593</v>
      </c>
      <c r="CY14" s="20">
        <f t="shared" si="44"/>
        <v>739.1320246212764</v>
      </c>
      <c r="CZ14" s="20">
        <f t="shared" si="44"/>
        <v>731.74070437506361</v>
      </c>
      <c r="DA14" s="20">
        <f t="shared" ref="DA14:DQ14" si="45">CZ14*(1+$AP$17)</f>
        <v>724.42329733131294</v>
      </c>
      <c r="DB14" s="20">
        <f t="shared" si="45"/>
        <v>717.17906435799978</v>
      </c>
      <c r="DC14" s="20">
        <f t="shared" si="45"/>
        <v>710.00727371441974</v>
      </c>
      <c r="DD14" s="20">
        <f t="shared" si="45"/>
        <v>702.90720097727558</v>
      </c>
      <c r="DE14" s="20">
        <f t="shared" si="45"/>
        <v>695.87812896750279</v>
      </c>
      <c r="DF14" s="20">
        <f t="shared" si="45"/>
        <v>688.91934767782777</v>
      </c>
      <c r="DG14" s="20">
        <f t="shared" si="45"/>
        <v>682.03015420104953</v>
      </c>
      <c r="DH14" s="20">
        <f t="shared" si="45"/>
        <v>675.20985265903903</v>
      </c>
      <c r="DI14" s="20">
        <f t="shared" si="45"/>
        <v>668.4577541324486</v>
      </c>
      <c r="DJ14" s="20">
        <f t="shared" si="45"/>
        <v>661.77317659112407</v>
      </c>
      <c r="DK14" s="20">
        <f t="shared" si="45"/>
        <v>655.15544482521284</v>
      </c>
      <c r="DL14" s="20">
        <f t="shared" si="45"/>
        <v>648.60389037696075</v>
      </c>
      <c r="DM14" s="20">
        <f t="shared" si="45"/>
        <v>642.11785147319108</v>
      </c>
      <c r="DN14" s="20">
        <f t="shared" si="45"/>
        <v>635.6966729584592</v>
      </c>
      <c r="DO14" s="20">
        <f t="shared" si="45"/>
        <v>629.33970622887466</v>
      </c>
      <c r="DP14" s="20">
        <f t="shared" si="45"/>
        <v>623.04630916658596</v>
      </c>
      <c r="DQ14" s="20">
        <f t="shared" si="45"/>
        <v>616.81584607492005</v>
      </c>
    </row>
    <row r="15" spans="1:121" x14ac:dyDescent="0.25">
      <c r="C15" s="2" t="s">
        <v>50</v>
      </c>
      <c r="D15" s="9">
        <v>204.69458800000001</v>
      </c>
      <c r="E15" s="9">
        <v>204.69458800000001</v>
      </c>
      <c r="F15" s="9">
        <v>204.69458800000001</v>
      </c>
      <c r="G15" s="9">
        <v>204.69458800000001</v>
      </c>
      <c r="H15" s="9">
        <v>204.69458800000001</v>
      </c>
      <c r="I15" s="9">
        <v>204.69458800000001</v>
      </c>
      <c r="J15" s="9">
        <v>204.69458800000001</v>
      </c>
      <c r="K15" s="9">
        <v>204.69458800000001</v>
      </c>
      <c r="L15" s="9">
        <v>204.69458800000001</v>
      </c>
      <c r="M15" s="9">
        <v>204.69458800000001</v>
      </c>
      <c r="N15" s="9">
        <v>204.69458800000001</v>
      </c>
      <c r="O15" s="9">
        <v>204.69458800000001</v>
      </c>
      <c r="P15" s="9">
        <v>204.69458800000001</v>
      </c>
      <c r="Q15" s="9">
        <v>204.69458800000001</v>
      </c>
      <c r="R15" s="8">
        <v>204.69458800000001</v>
      </c>
      <c r="S15" s="9">
        <v>204.69458800000001</v>
      </c>
      <c r="V15" s="9">
        <v>170</v>
      </c>
      <c r="W15" s="9">
        <v>170</v>
      </c>
      <c r="X15" s="9">
        <v>204.69458800000001</v>
      </c>
      <c r="Y15" s="9">
        <v>204.69458800000001</v>
      </c>
      <c r="Z15" s="9">
        <v>204.69458800000001</v>
      </c>
      <c r="AA15" s="9">
        <v>204.69458800000001</v>
      </c>
      <c r="AB15" s="9">
        <v>204.69458800000001</v>
      </c>
      <c r="AC15" s="8">
        <v>204.69458800000001</v>
      </c>
      <c r="AD15" s="9">
        <v>204.69458800000001</v>
      </c>
      <c r="AE15" s="9">
        <v>204.69458800000001</v>
      </c>
      <c r="AF15" s="9">
        <v>204.69458800000001</v>
      </c>
      <c r="AG15" s="9">
        <v>204.69458800000001</v>
      </c>
      <c r="AH15" s="9">
        <v>204.69458800000001</v>
      </c>
      <c r="AI15" s="9">
        <v>204.69458800000001</v>
      </c>
      <c r="AJ15" s="9">
        <v>204.69458800000001</v>
      </c>
      <c r="AK15" s="9">
        <v>204.69458800000001</v>
      </c>
      <c r="AL15" s="9">
        <v>204.69458800000001</v>
      </c>
      <c r="AM15" s="9">
        <v>204.69458800000001</v>
      </c>
    </row>
    <row r="16" spans="1:121" x14ac:dyDescent="0.25">
      <c r="C16" s="2" t="s">
        <v>51</v>
      </c>
      <c r="D16" s="10">
        <f t="shared" ref="D16:O16" si="46">D14/D15</f>
        <v>-0.27357831268113447</v>
      </c>
      <c r="E16" s="10">
        <f t="shared" si="46"/>
        <v>5.8623924145957386E-2</v>
      </c>
      <c r="F16" s="10">
        <f t="shared" si="46"/>
        <v>-0.25892233164464512</v>
      </c>
      <c r="G16" s="10">
        <f t="shared" si="46"/>
        <v>-0.73279905182446736</v>
      </c>
      <c r="H16" s="10">
        <f t="shared" si="46"/>
        <v>0.30777560176627627</v>
      </c>
      <c r="I16" s="10">
        <f t="shared" si="46"/>
        <v>0.45922073914333289</v>
      </c>
      <c r="J16" s="10">
        <f t="shared" si="46"/>
        <v>0.15144513737705659</v>
      </c>
      <c r="K16" s="10">
        <f t="shared" si="46"/>
        <v>0.17098644542570904</v>
      </c>
      <c r="L16" s="10">
        <f t="shared" si="46"/>
        <v>0.37617017993655988</v>
      </c>
      <c r="M16" s="10">
        <f t="shared" si="46"/>
        <v>0.49830335524063779</v>
      </c>
      <c r="N16" s="10">
        <f t="shared" si="46"/>
        <v>0.34685821786358123</v>
      </c>
      <c r="O16" s="10">
        <f t="shared" si="46"/>
        <v>0.36639952591223368</v>
      </c>
      <c r="P16" s="10">
        <f t="shared" ref="P16:S16" si="47">P14/P15</f>
        <v>0.45922073914333289</v>
      </c>
      <c r="Q16" s="10">
        <f t="shared" si="47"/>
        <v>0.78653764895826161</v>
      </c>
      <c r="R16" s="7">
        <f t="shared" si="47"/>
        <v>0.47876204719198534</v>
      </c>
      <c r="S16" s="10">
        <f t="shared" si="47"/>
        <v>0</v>
      </c>
      <c r="V16" s="10">
        <f>V14/V15</f>
        <v>-2.9411764705882353E-2</v>
      </c>
      <c r="W16" s="10">
        <f>W14/W15</f>
        <v>1.1000000000000001</v>
      </c>
      <c r="X16" s="10">
        <f>X14/X15</f>
        <v>-1.5437633358435445</v>
      </c>
      <c r="Y16" s="10">
        <f>Y14/Y15</f>
        <v>-2.2130531365098913</v>
      </c>
      <c r="Z16" s="10">
        <f>Z14/Z15</f>
        <v>-1.2066757720042895</v>
      </c>
      <c r="AA16" s="10">
        <f t="shared" ref="AA16:AB16" si="48">AA14/AA15</f>
        <v>1.0894279237123747</v>
      </c>
      <c r="AB16" s="10">
        <f t="shared" si="48"/>
        <v>1.5877312789530127</v>
      </c>
      <c r="AC16" s="7">
        <f t="shared" ref="AC16" si="49">AC14/AC15</f>
        <v>2.3662403814994839</v>
      </c>
      <c r="AD16" s="10">
        <f t="shared" ref="AD16" si="50">AD14/AD15</f>
        <v>2.7222403456998094</v>
      </c>
      <c r="AE16" s="10">
        <f t="shared" ref="AE16" si="51">AE14/AE15</f>
        <v>3.0986280484367286</v>
      </c>
      <c r="AF16" s="10">
        <f t="shared" ref="AF16" si="52">AF14/AF15</f>
        <v>3.496376734549524</v>
      </c>
      <c r="AG16" s="10">
        <f t="shared" ref="AG16" si="53">AG14/AG15</f>
        <v>3.9165028483770472</v>
      </c>
      <c r="AH16" s="10">
        <f t="shared" ref="AH16" si="54">AH14/AH15</f>
        <v>4.360067881297673</v>
      </c>
      <c r="AI16" s="10">
        <f t="shared" ref="AI16" si="55">AI14/AI15</f>
        <v>4.8281802965941854</v>
      </c>
      <c r="AJ16" s="10">
        <f t="shared" ref="AJ16" si="56">AJ14/AJ15</f>
        <v>5.3219975348360968</v>
      </c>
      <c r="AK16" s="10">
        <f t="shared" ref="AK16" si="57">AK14/AK15</f>
        <v>5.8427281031025124</v>
      </c>
      <c r="AL16" s="10">
        <f t="shared" ref="AL16" si="58">AL14/AL15</f>
        <v>6.3916337515046262</v>
      </c>
      <c r="AM16" s="10">
        <f t="shared" ref="AM16" si="59">AM14/AM15</f>
        <v>6.8701023144899169</v>
      </c>
      <c r="AO16" s="2" t="s">
        <v>104</v>
      </c>
      <c r="AP16" s="30">
        <v>0.08</v>
      </c>
    </row>
    <row r="17" spans="3:42" x14ac:dyDescent="0.25">
      <c r="AO17" s="2" t="s">
        <v>105</v>
      </c>
      <c r="AP17" s="30">
        <v>-0.01</v>
      </c>
    </row>
    <row r="18" spans="3:42" x14ac:dyDescent="0.25">
      <c r="C18" s="1" t="s">
        <v>34</v>
      </c>
      <c r="D18" s="15"/>
      <c r="E18" s="15"/>
      <c r="F18" s="15"/>
      <c r="G18" s="15"/>
      <c r="H18" s="28">
        <f t="shared" ref="H18:S18" si="60">(H4-D4)/D4</f>
        <v>0.18793273986152326</v>
      </c>
      <c r="I18" s="28">
        <f t="shared" si="60"/>
        <v>0.17416829745596868</v>
      </c>
      <c r="J18" s="28">
        <f t="shared" si="60"/>
        <v>0.1437435367114788</v>
      </c>
      <c r="K18" s="28">
        <f t="shared" si="60"/>
        <v>0.13401109057301294</v>
      </c>
      <c r="L18" s="28">
        <f t="shared" si="60"/>
        <v>7.743547044129892E-2</v>
      </c>
      <c r="M18" s="28">
        <f t="shared" si="60"/>
        <v>5.5E-2</v>
      </c>
      <c r="N18" s="28">
        <f t="shared" si="60"/>
        <v>7.956600361663653E-2</v>
      </c>
      <c r="O18" s="28">
        <f t="shared" si="60"/>
        <v>6.8459657701711488E-2</v>
      </c>
      <c r="P18" s="28">
        <f t="shared" si="60"/>
        <v>7.8052550231839254E-2</v>
      </c>
      <c r="Q18" s="28">
        <f t="shared" si="60"/>
        <v>0.10031595576619273</v>
      </c>
      <c r="R18" s="29">
        <f t="shared" si="60"/>
        <v>8.2914572864321606E-2</v>
      </c>
      <c r="S18" s="28">
        <f t="shared" si="60"/>
        <v>-1</v>
      </c>
      <c r="V18" s="28"/>
      <c r="W18" s="28">
        <f t="shared" ref="W18:Z18" si="61">(W4-V4)/V4</f>
        <v>0.22338140533906106</v>
      </c>
      <c r="X18" s="28">
        <f t="shared" si="61"/>
        <v>-0.11361926260346125</v>
      </c>
      <c r="Y18" s="28">
        <f t="shared" si="61"/>
        <v>-8.12110922467459E-2</v>
      </c>
      <c r="Z18" s="28">
        <f t="shared" si="61"/>
        <v>0.25716045580535879</v>
      </c>
      <c r="AA18" s="28">
        <f t="shared" ref="AA18:AM18" si="62">(AA4-Z4)/Z4</f>
        <v>0.15972562469377757</v>
      </c>
      <c r="AB18" s="28">
        <f t="shared" si="62"/>
        <v>6.9919729615547099E-2</v>
      </c>
      <c r="AC18" s="29">
        <f t="shared" si="62"/>
        <v>0.1</v>
      </c>
      <c r="AD18" s="28">
        <f t="shared" si="62"/>
        <v>4.0000000000000105E-2</v>
      </c>
      <c r="AE18" s="28">
        <f t="shared" si="62"/>
        <v>4.0000000000000036E-2</v>
      </c>
      <c r="AF18" s="28">
        <f t="shared" si="62"/>
        <v>0.04</v>
      </c>
      <c r="AG18" s="28">
        <f t="shared" si="62"/>
        <v>4.000000000000007E-2</v>
      </c>
      <c r="AH18" s="28">
        <f t="shared" si="62"/>
        <v>4.0000000000000015E-2</v>
      </c>
      <c r="AI18" s="28">
        <f t="shared" si="62"/>
        <v>0.04</v>
      </c>
      <c r="AJ18" s="28">
        <f t="shared" si="62"/>
        <v>4.0000000000000029E-2</v>
      </c>
      <c r="AK18" s="28">
        <f t="shared" si="62"/>
        <v>4.0000000000000022E-2</v>
      </c>
      <c r="AL18" s="28">
        <f t="shared" si="62"/>
        <v>4.0000000000000049E-2</v>
      </c>
      <c r="AM18" s="28">
        <f t="shared" si="62"/>
        <v>3.999999999999998E-2</v>
      </c>
      <c r="AO18" s="22" t="s">
        <v>106</v>
      </c>
      <c r="AP18" s="33">
        <f>NPV(AP16,AC14:DQ14)</f>
        <v>12665.551206697104</v>
      </c>
    </row>
    <row r="19" spans="3:42" x14ac:dyDescent="0.25">
      <c r="C19" s="2" t="s">
        <v>114</v>
      </c>
      <c r="D19" s="15">
        <f t="shared" ref="D19:N19" si="63">D6/D4</f>
        <v>0.96241345202769535</v>
      </c>
      <c r="E19" s="15">
        <f t="shared" si="63"/>
        <v>0.97162426614481412</v>
      </c>
      <c r="F19" s="15">
        <f t="shared" si="63"/>
        <v>0.96587383660806614</v>
      </c>
      <c r="G19" s="15">
        <f t="shared" si="63"/>
        <v>0.95656192236598891</v>
      </c>
      <c r="H19" s="15">
        <f t="shared" si="63"/>
        <v>0.97002497918401331</v>
      </c>
      <c r="I19" s="15">
        <f t="shared" si="63"/>
        <v>0.97083333333333333</v>
      </c>
      <c r="J19" s="15">
        <f t="shared" si="63"/>
        <v>0.97197106690777579</v>
      </c>
      <c r="K19" s="15">
        <f t="shared" si="63"/>
        <v>0.97147514262428691</v>
      </c>
      <c r="L19" s="15">
        <f t="shared" si="63"/>
        <v>0.96908809891808345</v>
      </c>
      <c r="M19" s="15">
        <f t="shared" si="63"/>
        <v>0.976303317535545</v>
      </c>
      <c r="N19" s="15">
        <f t="shared" si="63"/>
        <v>0.97236180904522618</v>
      </c>
      <c r="O19" s="15">
        <f>O6/O4</f>
        <v>0.96948893974065598</v>
      </c>
      <c r="P19" s="15">
        <f t="shared" ref="P19:S19" si="64">P6/P4</f>
        <v>0.97275985663082443</v>
      </c>
      <c r="Q19" s="15">
        <f t="shared" si="64"/>
        <v>0.97415649676956206</v>
      </c>
      <c r="R19" s="16">
        <f t="shared" si="64"/>
        <v>0.97293116782675948</v>
      </c>
      <c r="S19" s="15" t="e">
        <f t="shared" si="64"/>
        <v>#DIV/0!</v>
      </c>
      <c r="V19" s="15">
        <f t="shared" ref="V19:Z19" si="65">V6/V4</f>
        <v>0.97545259281988339</v>
      </c>
      <c r="W19" s="15">
        <f t="shared" si="65"/>
        <v>0.97115625783797344</v>
      </c>
      <c r="X19" s="15">
        <f t="shared" si="65"/>
        <v>0.96547821165817771</v>
      </c>
      <c r="Y19" s="15">
        <f t="shared" si="65"/>
        <v>0.96735448105943944</v>
      </c>
      <c r="Z19" s="15">
        <f t="shared" si="65"/>
        <v>0.96398824105830472</v>
      </c>
      <c r="AA19" s="15">
        <f t="shared" ref="AA19" si="66">AA6/AA4</f>
        <v>0.97106041402619347</v>
      </c>
      <c r="AB19" s="15">
        <f>AB6/AB4</f>
        <v>0.97176702862783815</v>
      </c>
      <c r="AC19" s="16">
        <f t="shared" ref="AC19:AM19" si="67">AC6/AC4</f>
        <v>0.97356367226061202</v>
      </c>
      <c r="AD19" s="15">
        <f t="shared" si="67"/>
        <v>0.97381786771964463</v>
      </c>
      <c r="AE19" s="15">
        <f t="shared" si="67"/>
        <v>0.97406961899157118</v>
      </c>
      <c r="AF19" s="15">
        <f t="shared" si="67"/>
        <v>0.97431894957819065</v>
      </c>
      <c r="AG19" s="15">
        <f t="shared" si="67"/>
        <v>0.9745658827553233</v>
      </c>
      <c r="AH19" s="15">
        <f t="shared" si="67"/>
        <v>0.97481044157498375</v>
      </c>
      <c r="AI19" s="15">
        <f t="shared" si="67"/>
        <v>0.97505264886753196</v>
      </c>
      <c r="AJ19" s="15">
        <f t="shared" si="67"/>
        <v>0.97529252724380577</v>
      </c>
      <c r="AK19" s="15">
        <f t="shared" si="67"/>
        <v>0.97553009909723065</v>
      </c>
      <c r="AL19" s="15">
        <f t="shared" si="67"/>
        <v>0.97576538660591117</v>
      </c>
      <c r="AM19" s="15">
        <f t="shared" si="67"/>
        <v>0.97599841173470048</v>
      </c>
      <c r="AO19" s="2" t="s">
        <v>2</v>
      </c>
      <c r="AP19" s="9">
        <v>204.69458800000001</v>
      </c>
    </row>
    <row r="20" spans="3:42" x14ac:dyDescent="0.25">
      <c r="C20" s="11" t="s">
        <v>53</v>
      </c>
      <c r="D20" s="15">
        <f t="shared" ref="D20:S20" si="68">D10/D4</f>
        <v>1.2858555885262116E-2</v>
      </c>
      <c r="E20" s="15">
        <f t="shared" si="68"/>
        <v>6.6536203522504889E-2</v>
      </c>
      <c r="F20" s="15">
        <f t="shared" si="68"/>
        <v>4.1365046535677356E-3</v>
      </c>
      <c r="G20" s="15">
        <f t="shared" si="68"/>
        <v>-6.0998151571164512E-2</v>
      </c>
      <c r="H20" s="15">
        <f t="shared" si="68"/>
        <v>0.10491257285595337</v>
      </c>
      <c r="I20" s="15">
        <f t="shared" si="68"/>
        <v>0.16833333333333333</v>
      </c>
      <c r="J20" s="15">
        <f t="shared" si="68"/>
        <v>0.1410488245931284</v>
      </c>
      <c r="K20" s="15">
        <f t="shared" si="68"/>
        <v>0.10024449877750612</v>
      </c>
      <c r="L20" s="15">
        <f t="shared" si="68"/>
        <v>0.13292117465224113</v>
      </c>
      <c r="M20" s="15">
        <f t="shared" si="68"/>
        <v>0.17061611374407584</v>
      </c>
      <c r="N20" s="15">
        <f t="shared" si="68"/>
        <v>0.14656616415410384</v>
      </c>
      <c r="O20" s="15">
        <f t="shared" si="68"/>
        <v>0.13729977116704806</v>
      </c>
      <c r="P20" s="15">
        <f t="shared" si="68"/>
        <v>0.13835125448028673</v>
      </c>
      <c r="Q20" s="15">
        <f t="shared" si="68"/>
        <v>0.19597989949748743</v>
      </c>
      <c r="R20" s="16">
        <f t="shared" si="68"/>
        <v>0.1531322505800464</v>
      </c>
      <c r="S20" s="15" t="e">
        <f t="shared" si="68"/>
        <v>#DIV/0!</v>
      </c>
      <c r="V20" s="15">
        <f t="shared" ref="V20:Z20" si="69">V10/V4</f>
        <v>8.0699601104633326E-2</v>
      </c>
      <c r="W20" s="15">
        <f t="shared" si="69"/>
        <v>0.12841735640832705</v>
      </c>
      <c r="X20" s="15">
        <f t="shared" si="69"/>
        <v>5.6593095642331632E-3</v>
      </c>
      <c r="Y20" s="15">
        <f t="shared" si="69"/>
        <v>-6.9294733600246378E-2</v>
      </c>
      <c r="Z20" s="15">
        <f t="shared" si="69"/>
        <v>4.6545810877021065E-3</v>
      </c>
      <c r="AA20" s="15">
        <f t="shared" ref="AA20:AM20" si="70">AA10/AA4</f>
        <v>0.12822137727080693</v>
      </c>
      <c r="AB20" s="15">
        <f t="shared" si="70"/>
        <v>0.14669299111549852</v>
      </c>
      <c r="AC20" s="16">
        <f t="shared" si="70"/>
        <v>0.1676514403661491</v>
      </c>
      <c r="AD20" s="15">
        <f t="shared" si="70"/>
        <v>0.17786704657632593</v>
      </c>
      <c r="AE20" s="15">
        <f t="shared" si="70"/>
        <v>0.18794188244457347</v>
      </c>
      <c r="AF20" s="15">
        <f t="shared" si="70"/>
        <v>0.19787811967339358</v>
      </c>
      <c r="AG20" s="15">
        <f t="shared" si="70"/>
        <v>0.20767789335004277</v>
      </c>
      <c r="AH20" s="15">
        <f t="shared" si="70"/>
        <v>0.2173433026011686</v>
      </c>
      <c r="AI20" s="15">
        <f t="shared" si="70"/>
        <v>0.22687641123533331</v>
      </c>
      <c r="AJ20" s="15">
        <f t="shared" si="70"/>
        <v>0.23627924837365283</v>
      </c>
      <c r="AK20" s="15">
        <f t="shared" si="70"/>
        <v>0.24555380906877453</v>
      </c>
      <c r="AL20" s="15">
        <f t="shared" si="70"/>
        <v>0.25470205491241477</v>
      </c>
      <c r="AM20" s="15">
        <f t="shared" si="70"/>
        <v>0.2605461159633885</v>
      </c>
      <c r="AO20" s="1" t="s">
        <v>107</v>
      </c>
      <c r="AP20" s="34">
        <f>AP18/AP19</f>
        <v>61.875359434012509</v>
      </c>
    </row>
    <row r="21" spans="3:42" x14ac:dyDescent="0.25">
      <c r="C21" s="11" t="s">
        <v>116</v>
      </c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6"/>
      <c r="S21" s="15"/>
      <c r="V21" s="11">
        <f>V14/761</f>
        <v>-6.5703022339027592E-3</v>
      </c>
      <c r="W21" s="11">
        <f>W14/1223</f>
        <v>0.15290269828291086</v>
      </c>
      <c r="X21" s="11">
        <f>X14/885</f>
        <v>-0.35706214689265536</v>
      </c>
      <c r="Y21" s="11">
        <f>Y14/483</f>
        <v>-0.93788819875776397</v>
      </c>
      <c r="Z21" s="15">
        <f>Z14/G48</f>
        <v>-0.28720930232558139</v>
      </c>
      <c r="AA21" s="15">
        <f>AA14/K48</f>
        <v>0.21884200196270853</v>
      </c>
      <c r="AB21" s="15">
        <f>AB14/O48</f>
        <v>0.24181547619047619</v>
      </c>
      <c r="AC21" s="16"/>
      <c r="AD21" s="15"/>
      <c r="AE21" s="15"/>
      <c r="AF21" s="15"/>
      <c r="AG21" s="15"/>
      <c r="AH21" s="15"/>
      <c r="AI21" s="15"/>
      <c r="AJ21" s="15"/>
      <c r="AK21" s="15"/>
      <c r="AL21" s="15"/>
      <c r="AM21" s="15"/>
      <c r="AO21" s="1" t="s">
        <v>108</v>
      </c>
      <c r="AP21" s="31">
        <f>(AP20-B4)/B4</f>
        <v>0.71875998427812526</v>
      </c>
    </row>
    <row r="23" spans="3:42" x14ac:dyDescent="0.25">
      <c r="C23" s="2" t="s">
        <v>103</v>
      </c>
      <c r="D23" s="2">
        <f>Segementer!C15+Segementer!C27+Segementer!C39+Segementer!C51</f>
        <v>685</v>
      </c>
      <c r="E23" s="2">
        <f>Segementer!D15+Segementer!D27+Segementer!D39+Segementer!D51</f>
        <v>671</v>
      </c>
      <c r="F23" s="2">
        <f>Segementer!E15+Segementer!E27+Segementer!E39+Segementer!E51</f>
        <v>708</v>
      </c>
      <c r="G23" s="2">
        <f>Segementer!F15+Segementer!F27+Segementer!F39+Segementer!F51</f>
        <v>721</v>
      </c>
      <c r="H23" s="2">
        <f>Segementer!H15+Segementer!H27+Segementer!H39+Segementer!H51</f>
        <v>735</v>
      </c>
      <c r="I23" s="2">
        <f>Segementer!I15+Segementer!I27+Segementer!I39+Segementer!I51</f>
        <v>715</v>
      </c>
      <c r="J23" s="2">
        <f>Segementer!J15+Segementer!J27+Segementer!J39+Segementer!J51</f>
        <v>731</v>
      </c>
      <c r="K23" s="2">
        <f>Segementer!K15+Segementer!K27+Segementer!K39+Segementer!K51</f>
        <v>731</v>
      </c>
      <c r="L23" s="2">
        <f>Segementer!M15+Segementer!M27+Segementer!M39+Segementer!M51</f>
        <v>735</v>
      </c>
      <c r="M23" s="2">
        <f>Segementer!N15+Segementer!N27+Segementer!N39+Segementer!N51</f>
        <v>719</v>
      </c>
      <c r="N23" s="2">
        <f>Segementer!O15+Segementer!O27+Segementer!O39+Segementer!O51</f>
        <v>728</v>
      </c>
      <c r="O23" s="2">
        <f>Segementer!P15+Segementer!P27+Segementer!P39+Segementer!P51</f>
        <v>733</v>
      </c>
      <c r="P23" s="2">
        <f>Segementer!R15+Segementer!R27+Segementer!R39+Segementer!R51</f>
        <v>757</v>
      </c>
      <c r="Q23" s="2">
        <f>Segementer!S15+Segementer!S27+Segementer!S39+Segementer!S51</f>
        <v>740</v>
      </c>
      <c r="R23" s="4">
        <f>Segementer!T15+Segementer!T27+Segementer!T39+Segementer!T51</f>
        <v>756</v>
      </c>
      <c r="S23" s="2">
        <f>Segementer!U15+Segementer!U27+Segementer!U39+Segementer!U51</f>
        <v>0</v>
      </c>
    </row>
    <row r="24" spans="3:42" x14ac:dyDescent="0.25">
      <c r="C24" s="2" t="s">
        <v>113</v>
      </c>
      <c r="E24" s="15"/>
      <c r="F24" s="15"/>
      <c r="G24" s="15"/>
      <c r="H24" s="15">
        <f t="shared" ref="H24:N24" si="71">(H23-D23)/D23</f>
        <v>7.2992700729927001E-2</v>
      </c>
      <c r="I24" s="15">
        <f t="shared" si="71"/>
        <v>6.5573770491803282E-2</v>
      </c>
      <c r="J24" s="15">
        <f t="shared" si="71"/>
        <v>3.2485875706214688E-2</v>
      </c>
      <c r="K24" s="15">
        <f t="shared" si="71"/>
        <v>1.3869625520110958E-2</v>
      </c>
      <c r="L24" s="15">
        <f t="shared" si="71"/>
        <v>0</v>
      </c>
      <c r="M24" s="15">
        <f t="shared" si="71"/>
        <v>5.5944055944055944E-3</v>
      </c>
      <c r="N24" s="15">
        <f t="shared" si="71"/>
        <v>-4.1039671682626538E-3</v>
      </c>
      <c r="O24" s="15">
        <f>(O23-K23)/K23</f>
        <v>2.7359781121751026E-3</v>
      </c>
      <c r="P24" s="15">
        <f t="shared" ref="P24:S24" si="72">(P23-L23)/L23</f>
        <v>2.9931972789115645E-2</v>
      </c>
      <c r="Q24" s="15">
        <f t="shared" si="72"/>
        <v>2.9207232267037551E-2</v>
      </c>
      <c r="R24" s="16">
        <f t="shared" si="72"/>
        <v>3.8461538461538464E-2</v>
      </c>
      <c r="S24" s="15">
        <f t="shared" si="72"/>
        <v>-1</v>
      </c>
    </row>
    <row r="25" spans="3:42" x14ac:dyDescent="0.25"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6"/>
      <c r="S25" s="15"/>
    </row>
    <row r="26" spans="3:42" x14ac:dyDescent="0.25">
      <c r="C26" s="2" t="s">
        <v>99</v>
      </c>
      <c r="N26" s="2">
        <v>550</v>
      </c>
      <c r="R26" s="4">
        <v>576</v>
      </c>
    </row>
    <row r="27" spans="3:42" x14ac:dyDescent="0.25">
      <c r="C27" s="2" t="s">
        <v>113</v>
      </c>
      <c r="E27" s="15"/>
      <c r="F27" s="15"/>
      <c r="G27" s="15"/>
      <c r="H27" s="15" t="e">
        <f t="shared" ref="H27:Q27" si="73">(H26-D26)/D26</f>
        <v>#DIV/0!</v>
      </c>
      <c r="I27" s="15" t="e">
        <f t="shared" si="73"/>
        <v>#DIV/0!</v>
      </c>
      <c r="J27" s="15" t="e">
        <f t="shared" si="73"/>
        <v>#DIV/0!</v>
      </c>
      <c r="K27" s="15" t="e">
        <f t="shared" si="73"/>
        <v>#DIV/0!</v>
      </c>
      <c r="L27" s="15" t="e">
        <f t="shared" si="73"/>
        <v>#DIV/0!</v>
      </c>
      <c r="M27" s="15" t="e">
        <f t="shared" si="73"/>
        <v>#DIV/0!</v>
      </c>
      <c r="N27" s="15" t="e">
        <f t="shared" si="73"/>
        <v>#DIV/0!</v>
      </c>
      <c r="O27" s="15" t="e">
        <f t="shared" si="73"/>
        <v>#DIV/0!</v>
      </c>
      <c r="P27" s="15" t="e">
        <f t="shared" si="73"/>
        <v>#DIV/0!</v>
      </c>
      <c r="Q27" s="15" t="e">
        <f t="shared" si="73"/>
        <v>#DIV/0!</v>
      </c>
      <c r="R27" s="16">
        <f>(R26-N26)/N26</f>
        <v>4.7272727272727272E-2</v>
      </c>
      <c r="S27" s="15"/>
    </row>
    <row r="29" spans="3:42" x14ac:dyDescent="0.25">
      <c r="C29" s="3" t="s">
        <v>35</v>
      </c>
    </row>
    <row r="30" spans="3:42" x14ac:dyDescent="0.25">
      <c r="C30" s="2" t="s">
        <v>54</v>
      </c>
      <c r="D30" s="21">
        <v>2588</v>
      </c>
      <c r="E30" s="21">
        <v>2576</v>
      </c>
      <c r="F30" s="21">
        <v>2615</v>
      </c>
      <c r="G30" s="21">
        <v>2588</v>
      </c>
      <c r="H30" s="21">
        <v>2628</v>
      </c>
      <c r="I30" s="21">
        <v>2660</v>
      </c>
      <c r="J30" s="21">
        <v>2621</v>
      </c>
      <c r="K30" s="21">
        <v>2628</v>
      </c>
      <c r="L30" s="21">
        <v>2654</v>
      </c>
      <c r="M30" s="21">
        <v>2635</v>
      </c>
      <c r="N30" s="21">
        <v>2664</v>
      </c>
      <c r="O30" s="21">
        <v>2661</v>
      </c>
      <c r="P30" s="21">
        <v>2644</v>
      </c>
      <c r="Q30" s="21">
        <v>2665</v>
      </c>
      <c r="R30" s="17">
        <v>2655</v>
      </c>
      <c r="S30" s="21"/>
    </row>
    <row r="31" spans="3:42" x14ac:dyDescent="0.25">
      <c r="C31" s="2" t="s">
        <v>55</v>
      </c>
      <c r="D31" s="21">
        <v>4161</v>
      </c>
      <c r="E31" s="21">
        <v>4165</v>
      </c>
      <c r="F31" s="21">
        <v>4179</v>
      </c>
      <c r="G31" s="21">
        <v>4161</v>
      </c>
      <c r="H31" s="21">
        <v>4570</v>
      </c>
      <c r="I31" s="21">
        <v>4452</v>
      </c>
      <c r="J31" s="21">
        <v>4423</v>
      </c>
      <c r="K31" s="21">
        <v>4570</v>
      </c>
      <c r="L31" s="21">
        <v>4680</v>
      </c>
      <c r="M31" s="21">
        <v>4575</v>
      </c>
      <c r="N31" s="21">
        <v>4679</v>
      </c>
      <c r="O31" s="21">
        <v>4657</v>
      </c>
      <c r="P31" s="21">
        <v>4675</v>
      </c>
      <c r="Q31" s="21">
        <v>4765</v>
      </c>
      <c r="R31" s="17">
        <v>4688</v>
      </c>
      <c r="S31" s="21"/>
    </row>
    <row r="32" spans="3:42" x14ac:dyDescent="0.25">
      <c r="C32" s="2" t="s">
        <v>56</v>
      </c>
      <c r="D32" s="21">
        <v>723</v>
      </c>
      <c r="E32" s="21">
        <v>684</v>
      </c>
      <c r="F32" s="21">
        <v>719</v>
      </c>
      <c r="G32" s="21">
        <v>723</v>
      </c>
      <c r="H32" s="21">
        <v>705</v>
      </c>
      <c r="I32" s="21">
        <v>702</v>
      </c>
      <c r="J32" s="21">
        <v>674</v>
      </c>
      <c r="K32" s="21">
        <v>705</v>
      </c>
      <c r="L32" s="21">
        <v>685</v>
      </c>
      <c r="M32" s="21">
        <v>649</v>
      </c>
      <c r="N32" s="21">
        <v>682</v>
      </c>
      <c r="O32" s="21">
        <v>792</v>
      </c>
      <c r="P32" s="21">
        <v>800</v>
      </c>
      <c r="Q32" s="21">
        <v>835</v>
      </c>
      <c r="R32" s="17">
        <v>859</v>
      </c>
      <c r="S32" s="21"/>
      <c r="T32" s="1"/>
      <c r="U32" s="1"/>
      <c r="V32" s="1"/>
      <c r="W32" s="1"/>
      <c r="X32" s="1"/>
      <c r="Y32" s="1"/>
    </row>
    <row r="33" spans="3:19" x14ac:dyDescent="0.25">
      <c r="C33" s="2" t="s">
        <v>57</v>
      </c>
      <c r="D33" s="21">
        <v>50</v>
      </c>
      <c r="E33" s="21">
        <v>35</v>
      </c>
      <c r="F33" s="21">
        <v>39</v>
      </c>
      <c r="G33" s="21">
        <v>50</v>
      </c>
      <c r="H33" s="21">
        <v>63</v>
      </c>
      <c r="I33" s="21">
        <v>62</v>
      </c>
      <c r="J33" s="21">
        <v>64</v>
      </c>
      <c r="K33" s="21">
        <v>63</v>
      </c>
      <c r="L33" s="21">
        <v>65</v>
      </c>
      <c r="M33" s="21">
        <v>63</v>
      </c>
      <c r="N33" s="21">
        <v>58</v>
      </c>
      <c r="O33" s="21">
        <v>56</v>
      </c>
      <c r="P33" s="21">
        <v>53</v>
      </c>
      <c r="Q33" s="21">
        <v>69</v>
      </c>
      <c r="R33" s="17">
        <v>69</v>
      </c>
      <c r="S33" s="21"/>
    </row>
    <row r="34" spans="3:19" x14ac:dyDescent="0.25">
      <c r="C34" s="2" t="s">
        <v>58</v>
      </c>
      <c r="D34" s="21">
        <v>47</v>
      </c>
      <c r="E34" s="21">
        <v>46</v>
      </c>
      <c r="F34" s="21">
        <v>54</v>
      </c>
      <c r="G34" s="21">
        <v>47</v>
      </c>
      <c r="H34" s="21">
        <v>36</v>
      </c>
      <c r="I34" s="21">
        <v>66</v>
      </c>
      <c r="J34" s="21">
        <v>64</v>
      </c>
      <c r="K34" s="21">
        <v>36</v>
      </c>
      <c r="L34" s="21">
        <v>42</v>
      </c>
      <c r="M34" s="21">
        <v>40</v>
      </c>
      <c r="N34" s="21">
        <v>30</v>
      </c>
      <c r="O34" s="21">
        <v>33</v>
      </c>
      <c r="P34" s="21">
        <v>30</v>
      </c>
      <c r="Q34" s="21">
        <v>22</v>
      </c>
      <c r="R34" s="17">
        <v>20</v>
      </c>
      <c r="S34" s="21"/>
    </row>
    <row r="35" spans="3:19" x14ac:dyDescent="0.25">
      <c r="C35" s="2" t="s">
        <v>59</v>
      </c>
      <c r="D35" s="21">
        <v>239</v>
      </c>
      <c r="E35" s="21">
        <v>213</v>
      </c>
      <c r="F35" s="21">
        <v>222</v>
      </c>
      <c r="G35" s="21">
        <v>239</v>
      </c>
      <c r="H35" s="21">
        <v>178</v>
      </c>
      <c r="I35" s="21">
        <v>245</v>
      </c>
      <c r="J35" s="21">
        <v>243</v>
      </c>
      <c r="K35" s="21">
        <v>178</v>
      </c>
      <c r="L35" s="21">
        <v>121</v>
      </c>
      <c r="M35" s="21">
        <v>177</v>
      </c>
      <c r="N35" s="21">
        <v>181</v>
      </c>
      <c r="O35" s="21">
        <v>185</v>
      </c>
      <c r="P35" s="21">
        <v>135</v>
      </c>
      <c r="Q35" s="21">
        <v>136</v>
      </c>
      <c r="R35" s="17">
        <v>136</v>
      </c>
      <c r="S35" s="21"/>
    </row>
    <row r="36" spans="3:19" x14ac:dyDescent="0.25">
      <c r="C36" s="2" t="s">
        <v>60</v>
      </c>
      <c r="D36" s="21">
        <v>57</v>
      </c>
      <c r="E36" s="21">
        <v>65</v>
      </c>
      <c r="F36" s="21">
        <v>69</v>
      </c>
      <c r="G36" s="21">
        <v>57</v>
      </c>
      <c r="H36" s="21">
        <v>55</v>
      </c>
      <c r="I36" s="21">
        <v>57</v>
      </c>
      <c r="J36" s="21">
        <v>57</v>
      </c>
      <c r="K36" s="21">
        <v>55</v>
      </c>
      <c r="L36" s="21">
        <v>56</v>
      </c>
      <c r="M36" s="21">
        <v>53</v>
      </c>
      <c r="N36" s="21">
        <v>55</v>
      </c>
      <c r="O36" s="21">
        <v>54</v>
      </c>
      <c r="P36" s="21">
        <v>54</v>
      </c>
      <c r="Q36" s="21">
        <v>59</v>
      </c>
      <c r="R36" s="17">
        <v>59</v>
      </c>
      <c r="S36" s="21"/>
    </row>
    <row r="37" spans="3:19" x14ac:dyDescent="0.25">
      <c r="C37" s="2" t="s">
        <v>61</v>
      </c>
      <c r="D37" s="21">
        <v>126</v>
      </c>
      <c r="E37" s="21">
        <v>92</v>
      </c>
      <c r="F37" s="21">
        <v>119</v>
      </c>
      <c r="G37" s="21">
        <v>126</v>
      </c>
      <c r="H37" s="21">
        <v>136</v>
      </c>
      <c r="I37" s="21">
        <v>105</v>
      </c>
      <c r="J37" s="21">
        <v>118</v>
      </c>
      <c r="K37" s="21">
        <v>136</v>
      </c>
      <c r="L37" s="21">
        <v>134</v>
      </c>
      <c r="M37" s="21">
        <v>117</v>
      </c>
      <c r="N37" s="21">
        <v>136</v>
      </c>
      <c r="O37" s="21">
        <v>159</v>
      </c>
      <c r="P37" s="21">
        <v>142</v>
      </c>
      <c r="Q37" s="21">
        <v>135</v>
      </c>
      <c r="R37" s="17">
        <v>136</v>
      </c>
      <c r="S37" s="21"/>
    </row>
    <row r="38" spans="3:19" x14ac:dyDescent="0.25">
      <c r="C38" s="2" t="s">
        <v>62</v>
      </c>
      <c r="D38" s="21">
        <v>54</v>
      </c>
      <c r="E38" s="21">
        <v>72</v>
      </c>
      <c r="F38" s="21">
        <v>68</v>
      </c>
      <c r="G38" s="21">
        <v>54</v>
      </c>
      <c r="H38" s="21">
        <v>86</v>
      </c>
      <c r="I38" s="21">
        <v>53</v>
      </c>
      <c r="J38" s="21">
        <v>69</v>
      </c>
      <c r="K38" s="21">
        <v>86</v>
      </c>
      <c r="L38" s="21">
        <v>105</v>
      </c>
      <c r="M38" s="21">
        <v>80</v>
      </c>
      <c r="N38" s="21">
        <v>101</v>
      </c>
      <c r="O38" s="21">
        <v>131</v>
      </c>
      <c r="P38" s="21">
        <v>122</v>
      </c>
      <c r="Q38" s="21">
        <v>108</v>
      </c>
      <c r="R38" s="17">
        <v>88</v>
      </c>
      <c r="S38" s="21"/>
    </row>
    <row r="39" spans="3:19" x14ac:dyDescent="0.25">
      <c r="C39" s="2" t="s">
        <v>63</v>
      </c>
      <c r="D39" s="21">
        <v>287</v>
      </c>
      <c r="E39" s="21">
        <v>231</v>
      </c>
      <c r="F39" s="21">
        <v>223</v>
      </c>
      <c r="G39" s="21">
        <v>287</v>
      </c>
      <c r="H39" s="21">
        <v>237</v>
      </c>
      <c r="I39" s="21">
        <v>274</v>
      </c>
      <c r="J39" s="21">
        <v>234</v>
      </c>
      <c r="K39" s="21">
        <v>237</v>
      </c>
      <c r="L39" s="21">
        <v>213</v>
      </c>
      <c r="M39" s="21">
        <v>166</v>
      </c>
      <c r="N39" s="21">
        <v>171</v>
      </c>
      <c r="O39" s="21">
        <v>237</v>
      </c>
      <c r="P39" s="21">
        <v>228</v>
      </c>
      <c r="Q39" s="21">
        <v>249</v>
      </c>
      <c r="R39" s="17">
        <v>224</v>
      </c>
      <c r="S39" s="21"/>
    </row>
    <row r="40" spans="3:19" x14ac:dyDescent="0.25">
      <c r="C40" s="2" t="s">
        <v>64</v>
      </c>
      <c r="D40" s="21">
        <v>0</v>
      </c>
      <c r="E40" s="21">
        <v>0</v>
      </c>
      <c r="F40" s="21">
        <v>0</v>
      </c>
      <c r="G40" s="21">
        <v>0</v>
      </c>
      <c r="H40" s="21">
        <v>6</v>
      </c>
      <c r="I40" s="21">
        <v>0</v>
      </c>
      <c r="J40" s="21">
        <v>0</v>
      </c>
      <c r="K40" s="21">
        <v>6</v>
      </c>
      <c r="L40" s="21">
        <v>5</v>
      </c>
      <c r="M40" s="21">
        <v>3</v>
      </c>
      <c r="N40" s="21">
        <v>2</v>
      </c>
      <c r="O40" s="21">
        <v>0</v>
      </c>
      <c r="P40" s="21">
        <v>0</v>
      </c>
      <c r="Q40" s="21">
        <v>0</v>
      </c>
      <c r="R40" s="17">
        <v>1</v>
      </c>
      <c r="S40" s="21"/>
    </row>
    <row r="41" spans="3:19" x14ac:dyDescent="0.25">
      <c r="C41" s="2" t="s">
        <v>65</v>
      </c>
      <c r="D41" s="21">
        <v>345</v>
      </c>
      <c r="E41" s="21">
        <v>245</v>
      </c>
      <c r="F41" s="21">
        <v>123</v>
      </c>
      <c r="G41" s="21">
        <v>345</v>
      </c>
      <c r="H41" s="21">
        <v>282</v>
      </c>
      <c r="I41" s="21">
        <v>334</v>
      </c>
      <c r="J41" s="21">
        <v>442</v>
      </c>
      <c r="K41" s="21">
        <v>282</v>
      </c>
      <c r="L41" s="21">
        <v>310</v>
      </c>
      <c r="M41" s="21">
        <v>347</v>
      </c>
      <c r="N41" s="21">
        <v>319</v>
      </c>
      <c r="O41" s="21">
        <v>371</v>
      </c>
      <c r="P41" s="21">
        <v>383</v>
      </c>
      <c r="Q41" s="21">
        <v>405</v>
      </c>
      <c r="R41" s="17">
        <v>363</v>
      </c>
      <c r="S41" s="21"/>
    </row>
    <row r="42" spans="3:19" x14ac:dyDescent="0.25">
      <c r="C42" s="1" t="s">
        <v>66</v>
      </c>
      <c r="D42" s="20">
        <f t="shared" ref="D42:N42" si="74">SUM(D30:D41)</f>
        <v>8677</v>
      </c>
      <c r="E42" s="20">
        <f>SUM(E30:E41)</f>
        <v>8424</v>
      </c>
      <c r="F42" s="20">
        <f>SUM(F30:F41)</f>
        <v>8430</v>
      </c>
      <c r="G42" s="20">
        <f>SUM(G30:G41)</f>
        <v>8677</v>
      </c>
      <c r="H42" s="20">
        <f t="shared" si="74"/>
        <v>8982</v>
      </c>
      <c r="I42" s="20">
        <f t="shared" si="74"/>
        <v>9010</v>
      </c>
      <c r="J42" s="20">
        <f t="shared" si="74"/>
        <v>9009</v>
      </c>
      <c r="K42" s="20">
        <f t="shared" si="74"/>
        <v>8982</v>
      </c>
      <c r="L42" s="20">
        <f t="shared" si="74"/>
        <v>9070</v>
      </c>
      <c r="M42" s="20">
        <f t="shared" si="74"/>
        <v>8905</v>
      </c>
      <c r="N42" s="20">
        <f t="shared" si="74"/>
        <v>9078</v>
      </c>
      <c r="O42" s="20">
        <f>SUM(O30:O41)</f>
        <v>9336</v>
      </c>
      <c r="P42" s="20">
        <f t="shared" ref="P42:S42" si="75">SUM(P30:P41)</f>
        <v>9266</v>
      </c>
      <c r="Q42" s="20">
        <f t="shared" si="75"/>
        <v>9448</v>
      </c>
      <c r="R42" s="18">
        <f t="shared" si="75"/>
        <v>9298</v>
      </c>
      <c r="S42" s="20">
        <f t="shared" si="75"/>
        <v>0</v>
      </c>
    </row>
    <row r="43" spans="3:19" x14ac:dyDescent="0.25">
      <c r="C43" s="2" t="s">
        <v>67</v>
      </c>
      <c r="D43" s="21">
        <v>431</v>
      </c>
      <c r="E43" s="21">
        <v>431</v>
      </c>
      <c r="F43" s="21">
        <v>431</v>
      </c>
      <c r="G43" s="21">
        <v>431</v>
      </c>
      <c r="H43" s="21">
        <v>435</v>
      </c>
      <c r="I43" s="21">
        <v>435</v>
      </c>
      <c r="J43" s="21">
        <v>435</v>
      </c>
      <c r="K43" s="21">
        <v>435</v>
      </c>
      <c r="L43" s="21">
        <v>435</v>
      </c>
      <c r="M43" s="21">
        <v>435</v>
      </c>
      <c r="N43" s="21">
        <v>435</v>
      </c>
      <c r="O43" s="21">
        <v>435</v>
      </c>
      <c r="P43" s="21">
        <v>435</v>
      </c>
      <c r="Q43" s="21">
        <v>435</v>
      </c>
      <c r="R43" s="17">
        <v>433</v>
      </c>
      <c r="S43" s="21"/>
    </row>
    <row r="44" spans="3:19" x14ac:dyDescent="0.25">
      <c r="C44" s="2" t="s">
        <v>68</v>
      </c>
      <c r="D44" s="21">
        <v>3045</v>
      </c>
      <c r="E44" s="21">
        <v>3056</v>
      </c>
      <c r="F44" s="21">
        <v>3056</v>
      </c>
      <c r="G44" s="21">
        <v>3056</v>
      </c>
      <c r="H44" s="21">
        <v>3050</v>
      </c>
      <c r="I44" s="21">
        <v>3050</v>
      </c>
      <c r="J44" s="21">
        <v>3050</v>
      </c>
      <c r="K44" s="21">
        <v>3050</v>
      </c>
      <c r="L44" s="21">
        <v>3050</v>
      </c>
      <c r="M44" s="21">
        <v>3050</v>
      </c>
      <c r="N44" s="21">
        <v>3050</v>
      </c>
      <c r="O44" s="21">
        <v>3050</v>
      </c>
      <c r="P44" s="21">
        <v>3050</v>
      </c>
      <c r="Q44" s="21">
        <v>3050</v>
      </c>
      <c r="R44" s="17">
        <v>2923</v>
      </c>
      <c r="S44" s="21"/>
    </row>
    <row r="45" spans="3:19" x14ac:dyDescent="0.25">
      <c r="C45" s="2" t="s">
        <v>69</v>
      </c>
      <c r="D45" s="21">
        <v>-14</v>
      </c>
      <c r="E45" s="21">
        <v>-17</v>
      </c>
      <c r="F45" s="21">
        <v>-17</v>
      </c>
      <c r="G45" s="21">
        <v>-14</v>
      </c>
      <c r="H45" s="21">
        <v>-24</v>
      </c>
      <c r="I45" s="21">
        <v>-28</v>
      </c>
      <c r="J45" s="21">
        <v>-24</v>
      </c>
      <c r="K45" s="21">
        <v>-24</v>
      </c>
      <c r="L45" s="21">
        <v>-20</v>
      </c>
      <c r="M45" s="21">
        <v>-19</v>
      </c>
      <c r="N45" s="21">
        <v>-19</v>
      </c>
      <c r="O45" s="21">
        <v>-19</v>
      </c>
      <c r="P45" s="21">
        <v>-106</v>
      </c>
      <c r="Q45" s="21">
        <v>-106</v>
      </c>
      <c r="R45" s="17">
        <v>-5</v>
      </c>
      <c r="S45" s="21"/>
    </row>
    <row r="46" spans="3:19" x14ac:dyDescent="0.25">
      <c r="C46" s="2" t="s">
        <v>70</v>
      </c>
      <c r="D46" s="21">
        <v>65</v>
      </c>
      <c r="E46" s="21">
        <v>47</v>
      </c>
      <c r="F46" s="21">
        <v>42</v>
      </c>
      <c r="G46" s="21">
        <v>65</v>
      </c>
      <c r="H46" s="21">
        <v>-1</v>
      </c>
      <c r="I46" s="21">
        <v>30</v>
      </c>
      <c r="J46" s="21">
        <v>37</v>
      </c>
      <c r="K46" s="21">
        <v>-1</v>
      </c>
      <c r="L46" s="21">
        <v>-2</v>
      </c>
      <c r="M46" s="21">
        <v>6</v>
      </c>
      <c r="N46" s="21">
        <v>-14</v>
      </c>
      <c r="O46" s="21">
        <v>-7</v>
      </c>
      <c r="P46" s="21">
        <v>-14</v>
      </c>
      <c r="Q46" s="21">
        <v>-19</v>
      </c>
      <c r="R46" s="17">
        <v>-14</v>
      </c>
      <c r="S46" s="21"/>
    </row>
    <row r="47" spans="3:19" x14ac:dyDescent="0.25">
      <c r="C47" s="2" t="s">
        <v>71</v>
      </c>
      <c r="D47" s="21">
        <v>-2668</v>
      </c>
      <c r="E47" s="21">
        <v>-2476</v>
      </c>
      <c r="F47" s="21">
        <v>-2528</v>
      </c>
      <c r="G47" s="21">
        <v>-2678</v>
      </c>
      <c r="H47" s="21">
        <v>-2441</v>
      </c>
      <c r="I47" s="21">
        <v>-2511</v>
      </c>
      <c r="J47" s="21">
        <v>-2476</v>
      </c>
      <c r="K47" s="21">
        <v>-2441</v>
      </c>
      <c r="L47" s="21">
        <v>-2364</v>
      </c>
      <c r="M47" s="21">
        <v>-2261</v>
      </c>
      <c r="N47" s="21">
        <v>-2190</v>
      </c>
      <c r="O47" s="21">
        <v>-2115</v>
      </c>
      <c r="P47" s="21">
        <v>-2021</v>
      </c>
      <c r="Q47" s="21">
        <v>-1860</v>
      </c>
      <c r="R47" s="17">
        <v>-1910</v>
      </c>
      <c r="S47" s="21"/>
    </row>
    <row r="48" spans="3:19" x14ac:dyDescent="0.25">
      <c r="C48" s="13" t="s">
        <v>72</v>
      </c>
      <c r="D48" s="35">
        <f t="shared" ref="D48:N48" si="76">SUM(D43:D47)</f>
        <v>859</v>
      </c>
      <c r="E48" s="35">
        <f t="shared" si="76"/>
        <v>1041</v>
      </c>
      <c r="F48" s="35">
        <f t="shared" si="76"/>
        <v>984</v>
      </c>
      <c r="G48" s="35">
        <f t="shared" si="76"/>
        <v>860</v>
      </c>
      <c r="H48" s="35">
        <f t="shared" si="76"/>
        <v>1019</v>
      </c>
      <c r="I48" s="35">
        <f t="shared" si="76"/>
        <v>976</v>
      </c>
      <c r="J48" s="35">
        <f t="shared" si="76"/>
        <v>1022</v>
      </c>
      <c r="K48" s="35">
        <f t="shared" si="76"/>
        <v>1019</v>
      </c>
      <c r="L48" s="35">
        <f t="shared" si="76"/>
        <v>1099</v>
      </c>
      <c r="M48" s="35">
        <f t="shared" si="76"/>
        <v>1211</v>
      </c>
      <c r="N48" s="35">
        <f t="shared" si="76"/>
        <v>1262</v>
      </c>
      <c r="O48" s="35">
        <f>SUM(O43:O47)</f>
        <v>1344</v>
      </c>
      <c r="P48" s="35">
        <f t="shared" ref="P48:S48" si="77">SUM(P43:P47)</f>
        <v>1344</v>
      </c>
      <c r="Q48" s="35">
        <f t="shared" si="77"/>
        <v>1500</v>
      </c>
      <c r="R48" s="19">
        <f t="shared" si="77"/>
        <v>1427</v>
      </c>
      <c r="S48" s="35">
        <f t="shared" si="77"/>
        <v>0</v>
      </c>
    </row>
    <row r="49" spans="3:19" x14ac:dyDescent="0.25">
      <c r="C49" s="2" t="s">
        <v>73</v>
      </c>
      <c r="D49" s="21">
        <v>71</v>
      </c>
      <c r="E49" s="21">
        <v>88</v>
      </c>
      <c r="F49" s="21">
        <v>91</v>
      </c>
      <c r="G49" s="21">
        <v>71</v>
      </c>
      <c r="H49" s="21">
        <v>78</v>
      </c>
      <c r="I49" s="21">
        <v>115</v>
      </c>
      <c r="J49" s="21">
        <v>131</v>
      </c>
      <c r="K49" s="21">
        <v>78</v>
      </c>
      <c r="L49" s="21">
        <v>43</v>
      </c>
      <c r="M49" s="21">
        <v>130</v>
      </c>
      <c r="N49" s="21">
        <v>154</v>
      </c>
      <c r="O49" s="21">
        <v>103</v>
      </c>
      <c r="P49" s="21">
        <v>79</v>
      </c>
      <c r="Q49" s="21">
        <v>117</v>
      </c>
      <c r="R49" s="17">
        <v>145</v>
      </c>
      <c r="S49" s="21"/>
    </row>
    <row r="50" spans="3:19" x14ac:dyDescent="0.25">
      <c r="C50" s="2" t="s">
        <v>74</v>
      </c>
      <c r="D50" s="21">
        <v>1970</v>
      </c>
      <c r="E50" s="21">
        <v>1780</v>
      </c>
      <c r="F50" s="21">
        <v>1787</v>
      </c>
      <c r="G50" s="21">
        <v>1970</v>
      </c>
      <c r="H50" s="21">
        <v>1721</v>
      </c>
      <c r="I50" s="21">
        <v>2009</v>
      </c>
      <c r="J50" s="21">
        <v>1997</v>
      </c>
      <c r="K50" s="21">
        <v>1721</v>
      </c>
      <c r="L50" s="21">
        <v>1652</v>
      </c>
      <c r="M50" s="21">
        <v>1526</v>
      </c>
      <c r="N50" s="21">
        <v>1547</v>
      </c>
      <c r="O50" s="21">
        <v>1440</v>
      </c>
      <c r="P50" s="21">
        <v>1427</v>
      </c>
      <c r="Q50" s="21">
        <v>1458</v>
      </c>
      <c r="R50" s="17">
        <v>1450</v>
      </c>
      <c r="S50" s="21"/>
    </row>
    <row r="51" spans="3:19" x14ac:dyDescent="0.25">
      <c r="C51" s="2" t="s">
        <v>75</v>
      </c>
      <c r="D51" s="21">
        <v>3666</v>
      </c>
      <c r="E51" s="21">
        <v>3685</v>
      </c>
      <c r="F51" s="21">
        <v>3690</v>
      </c>
      <c r="G51" s="21">
        <v>3666</v>
      </c>
      <c r="H51" s="21">
        <v>4009</v>
      </c>
      <c r="I51" s="21">
        <v>3894</v>
      </c>
      <c r="J51" s="21">
        <v>3878</v>
      </c>
      <c r="K51" s="21">
        <v>4009</v>
      </c>
      <c r="L51" s="21">
        <v>4105</v>
      </c>
      <c r="M51" s="21">
        <v>4013</v>
      </c>
      <c r="N51" s="21">
        <v>4110</v>
      </c>
      <c r="O51" s="21">
        <v>4090</v>
      </c>
      <c r="P51" s="21">
        <v>4100</v>
      </c>
      <c r="Q51" s="21">
        <v>4191</v>
      </c>
      <c r="R51" s="17">
        <v>4117</v>
      </c>
      <c r="S51" s="21"/>
    </row>
    <row r="52" spans="3:19" x14ac:dyDescent="0.25">
      <c r="C52" s="2" t="s">
        <v>76</v>
      </c>
      <c r="D52" s="21">
        <v>19</v>
      </c>
      <c r="E52" s="21">
        <v>0</v>
      </c>
      <c r="F52" s="21">
        <v>0</v>
      </c>
      <c r="G52" s="21">
        <v>0</v>
      </c>
      <c r="H52" s="21">
        <v>17</v>
      </c>
      <c r="I52" s="21">
        <v>22</v>
      </c>
      <c r="J52" s="21">
        <v>0</v>
      </c>
      <c r="K52" s="21">
        <v>0</v>
      </c>
      <c r="L52" s="21">
        <v>0</v>
      </c>
      <c r="M52" s="21">
        <v>14</v>
      </c>
      <c r="N52" s="21">
        <v>4</v>
      </c>
      <c r="O52" s="21">
        <v>4</v>
      </c>
      <c r="P52" s="21">
        <v>6</v>
      </c>
      <c r="Q52" s="21">
        <v>5</v>
      </c>
      <c r="R52" s="17">
        <v>1</v>
      </c>
      <c r="S52" s="21"/>
    </row>
    <row r="53" spans="3:19" x14ac:dyDescent="0.25">
      <c r="C53" s="2" t="s">
        <v>74</v>
      </c>
      <c r="D53" s="21">
        <v>869</v>
      </c>
      <c r="E53" s="21">
        <v>0</v>
      </c>
      <c r="F53" s="21">
        <v>0</v>
      </c>
      <c r="G53" s="21">
        <v>0</v>
      </c>
      <c r="H53" s="21">
        <v>929</v>
      </c>
      <c r="I53" s="21">
        <v>932</v>
      </c>
      <c r="J53" s="21">
        <v>24</v>
      </c>
      <c r="K53" s="21">
        <v>17</v>
      </c>
      <c r="L53" s="21">
        <v>16</v>
      </c>
      <c r="M53" s="21">
        <v>940</v>
      </c>
      <c r="N53" s="21">
        <v>14</v>
      </c>
      <c r="O53" s="21">
        <v>12</v>
      </c>
      <c r="P53" s="21">
        <v>10</v>
      </c>
      <c r="Q53" s="21">
        <v>10</v>
      </c>
      <c r="R53" s="17">
        <v>10</v>
      </c>
      <c r="S53" s="21"/>
    </row>
    <row r="54" spans="3:19" x14ac:dyDescent="0.25">
      <c r="C54" s="2" t="s">
        <v>75</v>
      </c>
      <c r="D54" s="21">
        <v>584</v>
      </c>
      <c r="E54" s="21">
        <v>11</v>
      </c>
      <c r="F54" s="21">
        <v>14</v>
      </c>
      <c r="G54" s="21">
        <v>19</v>
      </c>
      <c r="H54" s="21">
        <v>548</v>
      </c>
      <c r="I54" s="21">
        <v>486</v>
      </c>
      <c r="J54" s="21">
        <v>910</v>
      </c>
      <c r="K54" s="21">
        <v>929</v>
      </c>
      <c r="L54" s="21">
        <v>947</v>
      </c>
      <c r="M54" s="21">
        <v>506</v>
      </c>
      <c r="N54" s="21">
        <v>957</v>
      </c>
      <c r="O54" s="21">
        <v>959</v>
      </c>
      <c r="P54" s="21">
        <v>963</v>
      </c>
      <c r="Q54" s="21">
        <v>975</v>
      </c>
      <c r="R54" s="17">
        <v>970</v>
      </c>
      <c r="S54" s="21"/>
    </row>
    <row r="55" spans="3:19" x14ac:dyDescent="0.25">
      <c r="C55" s="2" t="s">
        <v>76</v>
      </c>
      <c r="D55" s="21">
        <v>116</v>
      </c>
      <c r="E55" s="21">
        <v>853</v>
      </c>
      <c r="F55" s="21">
        <v>860</v>
      </c>
      <c r="G55" s="21">
        <v>869</v>
      </c>
      <c r="H55" s="21">
        <v>130</v>
      </c>
      <c r="I55" s="21">
        <v>94</v>
      </c>
      <c r="J55" s="21">
        <v>509</v>
      </c>
      <c r="K55" s="21">
        <v>0</v>
      </c>
      <c r="L55" s="21">
        <v>0</v>
      </c>
      <c r="M55" s="21">
        <v>80</v>
      </c>
      <c r="N55" s="21">
        <v>531</v>
      </c>
      <c r="O55" s="21">
        <v>6</v>
      </c>
      <c r="P55" s="21">
        <v>6</v>
      </c>
      <c r="Q55" s="21">
        <v>2</v>
      </c>
      <c r="R55" s="17">
        <v>0</v>
      </c>
      <c r="S55" s="21"/>
    </row>
    <row r="56" spans="3:19" x14ac:dyDescent="0.25">
      <c r="C56" s="2" t="s">
        <v>77</v>
      </c>
      <c r="D56" s="21">
        <v>6</v>
      </c>
      <c r="E56" s="21">
        <v>439</v>
      </c>
      <c r="F56" s="21">
        <v>471</v>
      </c>
      <c r="G56" s="21">
        <v>584</v>
      </c>
      <c r="H56" s="21">
        <v>2</v>
      </c>
      <c r="I56" s="21">
        <v>6</v>
      </c>
      <c r="J56" s="21">
        <v>116</v>
      </c>
      <c r="K56" s="21">
        <v>548</v>
      </c>
      <c r="L56" s="21">
        <v>564</v>
      </c>
      <c r="M56" s="21">
        <v>0</v>
      </c>
      <c r="N56" s="21">
        <v>68</v>
      </c>
      <c r="O56" s="21">
        <v>653</v>
      </c>
      <c r="P56" s="21">
        <v>644</v>
      </c>
      <c r="Q56" s="21">
        <v>627</v>
      </c>
      <c r="R56" s="17">
        <v>622</v>
      </c>
      <c r="S56" s="21"/>
    </row>
    <row r="57" spans="3:19" x14ac:dyDescent="0.25">
      <c r="C57" s="2" t="s">
        <v>78</v>
      </c>
      <c r="D57" s="21">
        <v>91</v>
      </c>
      <c r="E57" s="21">
        <v>132</v>
      </c>
      <c r="F57" s="21">
        <v>130</v>
      </c>
      <c r="G57" s="21">
        <v>116</v>
      </c>
      <c r="H57" s="21">
        <v>115</v>
      </c>
      <c r="I57" s="21">
        <v>90</v>
      </c>
      <c r="J57" s="21">
        <v>0</v>
      </c>
      <c r="K57" s="21">
        <v>130</v>
      </c>
      <c r="L57" s="21">
        <v>125</v>
      </c>
      <c r="M57" s="21">
        <v>111</v>
      </c>
      <c r="N57" s="21">
        <v>0</v>
      </c>
      <c r="O57" s="21">
        <v>178</v>
      </c>
      <c r="P57" s="21">
        <v>121</v>
      </c>
      <c r="Q57" s="21">
        <v>138</v>
      </c>
      <c r="R57" s="17">
        <v>133</v>
      </c>
      <c r="S57" s="21"/>
    </row>
    <row r="58" spans="3:19" x14ac:dyDescent="0.25">
      <c r="C58" s="2" t="s">
        <v>79</v>
      </c>
      <c r="D58" s="21">
        <v>423</v>
      </c>
      <c r="E58" s="21">
        <v>0</v>
      </c>
      <c r="F58" s="21">
        <v>0</v>
      </c>
      <c r="G58" s="21">
        <v>6</v>
      </c>
      <c r="H58" s="21">
        <v>415</v>
      </c>
      <c r="I58" s="21">
        <v>384</v>
      </c>
      <c r="J58" s="21">
        <v>78</v>
      </c>
      <c r="K58" s="21">
        <v>2</v>
      </c>
      <c r="L58" s="21">
        <v>0</v>
      </c>
      <c r="M58" s="21">
        <v>375</v>
      </c>
      <c r="N58" s="21">
        <v>87</v>
      </c>
      <c r="O58" s="21">
        <v>74</v>
      </c>
      <c r="P58" s="21">
        <v>72</v>
      </c>
      <c r="Q58" s="21">
        <v>0</v>
      </c>
      <c r="R58" s="17">
        <v>0</v>
      </c>
      <c r="S58" s="21"/>
    </row>
    <row r="59" spans="3:19" x14ac:dyDescent="0.25">
      <c r="C59" s="2" t="s">
        <v>80</v>
      </c>
      <c r="D59" s="21">
        <v>0</v>
      </c>
      <c r="E59" s="21">
        <v>101</v>
      </c>
      <c r="F59" s="21">
        <v>73</v>
      </c>
      <c r="G59" s="21">
        <v>91</v>
      </c>
      <c r="H59" s="21">
        <v>0</v>
      </c>
      <c r="I59" s="21">
        <v>0</v>
      </c>
      <c r="J59" s="21">
        <v>342</v>
      </c>
      <c r="K59" s="21">
        <v>115</v>
      </c>
      <c r="L59" s="21">
        <v>100</v>
      </c>
      <c r="M59" s="21">
        <v>0</v>
      </c>
      <c r="N59" s="21">
        <v>343</v>
      </c>
      <c r="O59" s="21">
        <v>112</v>
      </c>
      <c r="P59" s="21">
        <v>100</v>
      </c>
      <c r="Q59" s="21">
        <v>118</v>
      </c>
      <c r="R59" s="17">
        <v>94</v>
      </c>
      <c r="S59" s="21"/>
    </row>
    <row r="60" spans="3:19" x14ac:dyDescent="0.25">
      <c r="C60" s="2" t="s">
        <v>81</v>
      </c>
      <c r="D60" s="21">
        <v>0</v>
      </c>
      <c r="E60" s="21">
        <v>294</v>
      </c>
      <c r="F60" s="21">
        <v>331</v>
      </c>
      <c r="G60" s="21">
        <v>423</v>
      </c>
      <c r="H60" s="21">
        <v>0</v>
      </c>
      <c r="I60" s="21">
        <v>0</v>
      </c>
      <c r="J60" s="21">
        <v>0</v>
      </c>
      <c r="K60" s="21">
        <v>415</v>
      </c>
      <c r="L60" s="21">
        <v>419</v>
      </c>
      <c r="M60" s="21">
        <v>0</v>
      </c>
      <c r="N60" s="21"/>
      <c r="O60" s="21">
        <v>360</v>
      </c>
      <c r="P60" s="21">
        <v>396</v>
      </c>
      <c r="Q60" s="21">
        <v>308</v>
      </c>
      <c r="R60" s="17">
        <v>322</v>
      </c>
      <c r="S60" s="21"/>
    </row>
    <row r="61" spans="3:19" x14ac:dyDescent="0.25">
      <c r="C61" s="13" t="s">
        <v>82</v>
      </c>
      <c r="D61" s="35">
        <f t="shared" ref="D61:N61" si="78">SUM(D49:D60)</f>
        <v>7815</v>
      </c>
      <c r="E61" s="35">
        <f t="shared" si="78"/>
        <v>7383</v>
      </c>
      <c r="F61" s="35">
        <f t="shared" si="78"/>
        <v>7447</v>
      </c>
      <c r="G61" s="35">
        <f t="shared" si="78"/>
        <v>7815</v>
      </c>
      <c r="H61" s="35">
        <f t="shared" si="78"/>
        <v>7964</v>
      </c>
      <c r="I61" s="35">
        <f t="shared" si="78"/>
        <v>8032</v>
      </c>
      <c r="J61" s="35">
        <f t="shared" si="78"/>
        <v>7985</v>
      </c>
      <c r="K61" s="35">
        <f t="shared" si="78"/>
        <v>7964</v>
      </c>
      <c r="L61" s="35">
        <f t="shared" si="78"/>
        <v>7971</v>
      </c>
      <c r="M61" s="35">
        <f t="shared" si="78"/>
        <v>7695</v>
      </c>
      <c r="N61" s="35">
        <f t="shared" si="78"/>
        <v>7815</v>
      </c>
      <c r="O61" s="35">
        <f>SUM(O49:O60)</f>
        <v>7991</v>
      </c>
      <c r="P61" s="35">
        <f t="shared" ref="P61:S61" si="79">SUM(P49:P60)</f>
        <v>7924</v>
      </c>
      <c r="Q61" s="35">
        <f t="shared" si="79"/>
        <v>7949</v>
      </c>
      <c r="R61" s="19">
        <f t="shared" si="79"/>
        <v>7864</v>
      </c>
      <c r="S61" s="35">
        <f t="shared" si="79"/>
        <v>0</v>
      </c>
    </row>
    <row r="62" spans="3:19" x14ac:dyDescent="0.25">
      <c r="C62" s="1" t="s">
        <v>83</v>
      </c>
      <c r="D62" s="20">
        <f t="shared" ref="D62:N62" si="80">D48+D61</f>
        <v>8674</v>
      </c>
      <c r="E62" s="20">
        <f t="shared" si="80"/>
        <v>8424</v>
      </c>
      <c r="F62" s="20">
        <f t="shared" si="80"/>
        <v>8431</v>
      </c>
      <c r="G62" s="20">
        <f t="shared" si="80"/>
        <v>8675</v>
      </c>
      <c r="H62" s="20">
        <f t="shared" si="80"/>
        <v>8983</v>
      </c>
      <c r="I62" s="20">
        <f t="shared" si="80"/>
        <v>9008</v>
      </c>
      <c r="J62" s="20">
        <f t="shared" si="80"/>
        <v>9007</v>
      </c>
      <c r="K62" s="20">
        <f t="shared" si="80"/>
        <v>8983</v>
      </c>
      <c r="L62" s="20">
        <f t="shared" si="80"/>
        <v>9070</v>
      </c>
      <c r="M62" s="20">
        <f t="shared" si="80"/>
        <v>8906</v>
      </c>
      <c r="N62" s="20">
        <f t="shared" si="80"/>
        <v>9077</v>
      </c>
      <c r="O62" s="20">
        <f>O48+O61</f>
        <v>9335</v>
      </c>
      <c r="P62" s="20">
        <f t="shared" ref="P62:S62" si="81">P48+P61</f>
        <v>9268</v>
      </c>
      <c r="Q62" s="20">
        <f t="shared" si="81"/>
        <v>9449</v>
      </c>
      <c r="R62" s="18">
        <f t="shared" si="81"/>
        <v>9291</v>
      </c>
      <c r="S62" s="20">
        <f t="shared" si="81"/>
        <v>0</v>
      </c>
    </row>
    <row r="63" spans="3:19" x14ac:dyDescent="0.25">
      <c r="O63" s="21"/>
    </row>
    <row r="64" spans="3:19" x14ac:dyDescent="0.25">
      <c r="C64" s="3" t="s">
        <v>36</v>
      </c>
      <c r="O64" s="21"/>
    </row>
    <row r="65" spans="3:20" x14ac:dyDescent="0.25">
      <c r="C65" s="2" t="s">
        <v>118</v>
      </c>
      <c r="D65" s="21">
        <f t="shared" ref="D65:S65" si="82">D12</f>
        <v>-54</v>
      </c>
      <c r="E65" s="21">
        <f t="shared" si="82"/>
        <v>22</v>
      </c>
      <c r="F65" s="21">
        <f t="shared" si="82"/>
        <v>-55</v>
      </c>
      <c r="G65" s="21">
        <f t="shared" si="82"/>
        <v>-175</v>
      </c>
      <c r="H65" s="21">
        <f t="shared" si="82"/>
        <v>84</v>
      </c>
      <c r="I65" s="21">
        <f t="shared" si="82"/>
        <v>124</v>
      </c>
      <c r="J65" s="21">
        <f t="shared" si="82"/>
        <v>49</v>
      </c>
      <c r="K65" s="21">
        <f t="shared" si="82"/>
        <v>56</v>
      </c>
      <c r="L65" s="21">
        <f t="shared" si="82"/>
        <v>100</v>
      </c>
      <c r="M65" s="21">
        <f t="shared" si="82"/>
        <v>134</v>
      </c>
      <c r="N65" s="21">
        <f t="shared" si="82"/>
        <v>96</v>
      </c>
      <c r="O65" s="21">
        <f t="shared" si="82"/>
        <v>103</v>
      </c>
      <c r="P65" s="21">
        <f t="shared" si="82"/>
        <v>123</v>
      </c>
      <c r="Q65" s="21">
        <f t="shared" si="82"/>
        <v>205</v>
      </c>
      <c r="R65" s="17">
        <f t="shared" si="82"/>
        <v>128</v>
      </c>
      <c r="S65" s="21">
        <f t="shared" si="82"/>
        <v>0</v>
      </c>
    </row>
    <row r="66" spans="3:20" x14ac:dyDescent="0.25">
      <c r="C66" s="2" t="s">
        <v>119</v>
      </c>
      <c r="D66" s="2">
        <v>-54</v>
      </c>
      <c r="E66" s="2">
        <v>21</v>
      </c>
      <c r="F66" s="2">
        <v>-54</v>
      </c>
      <c r="G66" s="2">
        <v>-175</v>
      </c>
      <c r="H66" s="2">
        <v>84</v>
      </c>
      <c r="I66" s="2">
        <v>123</v>
      </c>
      <c r="J66" s="2">
        <v>49</v>
      </c>
      <c r="K66" s="2">
        <v>57</v>
      </c>
      <c r="L66" s="2">
        <v>100</v>
      </c>
      <c r="M66" s="2">
        <v>134</v>
      </c>
      <c r="N66" s="2">
        <v>96</v>
      </c>
      <c r="O66" s="21">
        <v>103</v>
      </c>
      <c r="P66" s="2">
        <v>123</v>
      </c>
      <c r="Q66" s="2">
        <v>206</v>
      </c>
      <c r="R66" s="4">
        <v>128</v>
      </c>
    </row>
    <row r="67" spans="3:20" x14ac:dyDescent="0.25">
      <c r="C67" s="2" t="s">
        <v>120</v>
      </c>
      <c r="D67" s="2">
        <v>-22</v>
      </c>
      <c r="E67" s="2">
        <v>-4</v>
      </c>
      <c r="F67" s="2">
        <v>-5</v>
      </c>
      <c r="G67" s="2">
        <v>8</v>
      </c>
      <c r="H67" s="2">
        <v>-4</v>
      </c>
      <c r="I67" s="2">
        <v>-6</v>
      </c>
      <c r="J67" s="2">
        <v>-11</v>
      </c>
      <c r="K67" s="2">
        <v>18</v>
      </c>
      <c r="L67" s="2">
        <v>-8</v>
      </c>
      <c r="M67" s="2">
        <v>-6</v>
      </c>
      <c r="N67" s="2">
        <v>-6</v>
      </c>
      <c r="O67" s="21">
        <v>-4</v>
      </c>
      <c r="P67" s="2">
        <v>-5</v>
      </c>
      <c r="Q67" s="2">
        <v>-79</v>
      </c>
      <c r="R67" s="4">
        <v>-7</v>
      </c>
    </row>
    <row r="68" spans="3:20" x14ac:dyDescent="0.25">
      <c r="C68" s="2" t="s">
        <v>121</v>
      </c>
      <c r="D68" s="2">
        <v>0</v>
      </c>
      <c r="E68" s="2">
        <v>0</v>
      </c>
      <c r="F68" s="2">
        <v>0</v>
      </c>
      <c r="G68" s="2">
        <v>9</v>
      </c>
      <c r="H68" s="2">
        <v>0</v>
      </c>
      <c r="I68" s="2">
        <v>0</v>
      </c>
      <c r="J68" s="2">
        <v>-1</v>
      </c>
      <c r="K68" s="2">
        <v>1</v>
      </c>
      <c r="L68" s="2">
        <v>0</v>
      </c>
      <c r="M68" s="2">
        <v>0</v>
      </c>
      <c r="N68" s="2">
        <v>0</v>
      </c>
      <c r="O68" s="21">
        <v>-1</v>
      </c>
      <c r="P68" s="2">
        <v>-1</v>
      </c>
      <c r="Q68" s="2">
        <v>-1</v>
      </c>
      <c r="R68" s="4">
        <v>0</v>
      </c>
    </row>
    <row r="69" spans="3:20" x14ac:dyDescent="0.25">
      <c r="C69" s="2" t="s">
        <v>122</v>
      </c>
      <c r="D69" s="2">
        <v>274</v>
      </c>
      <c r="E69" s="2">
        <v>275</v>
      </c>
      <c r="F69" s="2">
        <v>276</v>
      </c>
      <c r="G69" s="2">
        <v>296</v>
      </c>
      <c r="H69" s="2">
        <v>298</v>
      </c>
      <c r="I69" s="2">
        <v>289</v>
      </c>
      <c r="J69" s="2">
        <v>289</v>
      </c>
      <c r="K69" s="2">
        <v>302</v>
      </c>
      <c r="L69" s="2">
        <v>303</v>
      </c>
      <c r="M69" s="2">
        <v>305</v>
      </c>
      <c r="N69" s="2">
        <v>296</v>
      </c>
      <c r="O69" s="21">
        <v>294</v>
      </c>
      <c r="P69" s="2">
        <v>300</v>
      </c>
      <c r="Q69" s="2">
        <v>306</v>
      </c>
      <c r="R69" s="4">
        <v>304</v>
      </c>
    </row>
    <row r="70" spans="3:20" x14ac:dyDescent="0.25">
      <c r="C70" s="2" t="s">
        <v>136</v>
      </c>
      <c r="D70" s="2">
        <v>67</v>
      </c>
      <c r="E70" s="2">
        <v>46</v>
      </c>
      <c r="F70" s="2">
        <v>59</v>
      </c>
      <c r="G70" s="2">
        <v>109</v>
      </c>
      <c r="H70" s="2">
        <v>42</v>
      </c>
      <c r="I70" s="2">
        <v>78</v>
      </c>
      <c r="J70" s="2">
        <v>107</v>
      </c>
      <c r="K70" s="2">
        <v>67</v>
      </c>
      <c r="L70" s="2">
        <v>72</v>
      </c>
      <c r="M70" s="2">
        <v>82</v>
      </c>
      <c r="N70" s="2">
        <v>79</v>
      </c>
      <c r="O70" s="21">
        <v>77</v>
      </c>
      <c r="P70" s="2">
        <v>70</v>
      </c>
      <c r="Q70" s="2">
        <v>68</v>
      </c>
      <c r="R70" s="4">
        <v>70</v>
      </c>
    </row>
    <row r="71" spans="3:20" x14ac:dyDescent="0.25">
      <c r="C71" s="2" t="s">
        <v>123</v>
      </c>
      <c r="D71" s="21">
        <f>-4+11+7-116</f>
        <v>-102</v>
      </c>
      <c r="E71" s="21">
        <f>-3+15-13-112</f>
        <v>-113</v>
      </c>
      <c r="F71" s="21">
        <f>-4-26-1+59</f>
        <v>28</v>
      </c>
      <c r="G71" s="21">
        <f>12-7-14+154</f>
        <v>145</v>
      </c>
      <c r="H71" s="21">
        <f>-2+0-13-7</f>
        <v>-22</v>
      </c>
      <c r="I71" s="21">
        <f>2+21-9-119</f>
        <v>-105</v>
      </c>
      <c r="J71" s="21">
        <f>-13+23-2</f>
        <v>8</v>
      </c>
      <c r="K71" s="21">
        <f>3-18+13+101</f>
        <v>99</v>
      </c>
      <c r="L71" s="21">
        <f>-1+2-4+11</f>
        <v>8</v>
      </c>
      <c r="M71" s="21">
        <f>2+17-45-8</f>
        <v>-34</v>
      </c>
      <c r="N71" s="21">
        <f>-2-20-12-65</f>
        <v>-99</v>
      </c>
      <c r="O71" s="21">
        <f>2-23+110+72</f>
        <v>161</v>
      </c>
      <c r="P71" s="2">
        <f>-1+17-58+30</f>
        <v>-12</v>
      </c>
      <c r="Q71" s="2">
        <f>-5+7+18-89</f>
        <v>-69</v>
      </c>
      <c r="R71" s="4">
        <v>25</v>
      </c>
      <c r="T71" s="1"/>
    </row>
    <row r="72" spans="3:20" x14ac:dyDescent="0.25">
      <c r="C72" s="1" t="s">
        <v>84</v>
      </c>
      <c r="D72" s="1">
        <f t="shared" ref="D72:O72" si="83">SUM(D66:D71)</f>
        <v>163</v>
      </c>
      <c r="E72" s="1">
        <f t="shared" si="83"/>
        <v>225</v>
      </c>
      <c r="F72" s="1">
        <f t="shared" si="83"/>
        <v>304</v>
      </c>
      <c r="G72" s="1">
        <f t="shared" si="83"/>
        <v>392</v>
      </c>
      <c r="H72" s="1">
        <f t="shared" si="83"/>
        <v>398</v>
      </c>
      <c r="I72" s="1">
        <f t="shared" si="83"/>
        <v>379</v>
      </c>
      <c r="J72" s="1">
        <f t="shared" si="83"/>
        <v>441</v>
      </c>
      <c r="K72" s="1">
        <f t="shared" si="83"/>
        <v>544</v>
      </c>
      <c r="L72" s="1">
        <f t="shared" si="83"/>
        <v>475</v>
      </c>
      <c r="M72" s="1">
        <f t="shared" si="83"/>
        <v>481</v>
      </c>
      <c r="N72" s="1">
        <f t="shared" si="83"/>
        <v>366</v>
      </c>
      <c r="O72" s="1">
        <f t="shared" si="83"/>
        <v>630</v>
      </c>
      <c r="P72" s="1">
        <f>SUM(P66:P71)</f>
        <v>475</v>
      </c>
      <c r="Q72" s="1">
        <f t="shared" ref="Q72:S72" si="84">SUM(Q66:Q71)</f>
        <v>431</v>
      </c>
      <c r="R72" s="37">
        <f t="shared" si="84"/>
        <v>520</v>
      </c>
      <c r="S72" s="1">
        <f t="shared" si="84"/>
        <v>0</v>
      </c>
    </row>
    <row r="74" spans="3:20" x14ac:dyDescent="0.25">
      <c r="C74" s="2" t="s">
        <v>124</v>
      </c>
      <c r="D74" s="2">
        <v>-46</v>
      </c>
      <c r="E74" s="2">
        <v>-60</v>
      </c>
      <c r="F74" s="2">
        <v>-73</v>
      </c>
      <c r="G74" s="2">
        <f>-76-10</f>
        <v>-86</v>
      </c>
      <c r="H74" s="2">
        <v>-24</v>
      </c>
      <c r="I74" s="2">
        <f>-28-6</f>
        <v>-34</v>
      </c>
      <c r="J74" s="2">
        <v>-34</v>
      </c>
      <c r="K74" s="2">
        <v>-80</v>
      </c>
      <c r="L74" s="2">
        <v>-33</v>
      </c>
      <c r="M74" s="2">
        <v>-34</v>
      </c>
      <c r="N74" s="2">
        <v>-57</v>
      </c>
      <c r="O74" s="2">
        <v>-162</v>
      </c>
      <c r="P74" s="2">
        <f>-60+1</f>
        <v>-59</v>
      </c>
      <c r="Q74" s="2">
        <f>-72-15+1</f>
        <v>-86</v>
      </c>
      <c r="R74" s="4">
        <v>-79</v>
      </c>
    </row>
    <row r="75" spans="3:20" x14ac:dyDescent="0.25">
      <c r="C75" s="2" t="s">
        <v>125</v>
      </c>
      <c r="D75" s="2">
        <v>0</v>
      </c>
      <c r="E75" s="2">
        <v>0</v>
      </c>
      <c r="F75" s="2">
        <v>-49</v>
      </c>
      <c r="G75" s="2">
        <v>0</v>
      </c>
      <c r="H75" s="2">
        <v>0</v>
      </c>
      <c r="I75" s="2">
        <v>0</v>
      </c>
      <c r="J75" s="2">
        <v>0</v>
      </c>
      <c r="K75" s="2">
        <v>0</v>
      </c>
      <c r="L75" s="2">
        <v>0</v>
      </c>
      <c r="M75" s="2">
        <v>2</v>
      </c>
      <c r="N75" s="2">
        <v>0</v>
      </c>
      <c r="O75" s="2">
        <v>2</v>
      </c>
      <c r="P75" s="2">
        <v>2</v>
      </c>
      <c r="Q75" s="2">
        <v>1</v>
      </c>
      <c r="R75" s="4">
        <v>0</v>
      </c>
      <c r="T75" s="1"/>
    </row>
    <row r="76" spans="3:20" x14ac:dyDescent="0.25">
      <c r="C76" s="1" t="s">
        <v>85</v>
      </c>
      <c r="D76" s="1">
        <f t="shared" ref="D76:O76" si="85">SUM(D74:D75)</f>
        <v>-46</v>
      </c>
      <c r="E76" s="1">
        <f t="shared" si="85"/>
        <v>-60</v>
      </c>
      <c r="F76" s="1">
        <f t="shared" si="85"/>
        <v>-122</v>
      </c>
      <c r="G76" s="1">
        <f t="shared" si="85"/>
        <v>-86</v>
      </c>
      <c r="H76" s="1">
        <f t="shared" si="85"/>
        <v>-24</v>
      </c>
      <c r="I76" s="1">
        <f t="shared" si="85"/>
        <v>-34</v>
      </c>
      <c r="J76" s="1">
        <f t="shared" si="85"/>
        <v>-34</v>
      </c>
      <c r="K76" s="1">
        <f t="shared" si="85"/>
        <v>-80</v>
      </c>
      <c r="L76" s="1">
        <f t="shared" si="85"/>
        <v>-33</v>
      </c>
      <c r="M76" s="1">
        <f t="shared" si="85"/>
        <v>-32</v>
      </c>
      <c r="N76" s="1">
        <f t="shared" si="85"/>
        <v>-57</v>
      </c>
      <c r="O76" s="1">
        <f t="shared" si="85"/>
        <v>-160</v>
      </c>
      <c r="P76" s="1">
        <f>SUM(P74:P75)</f>
        <v>-57</v>
      </c>
      <c r="Q76" s="1">
        <f t="shared" ref="Q76:S76" si="86">SUM(Q74:Q75)</f>
        <v>-85</v>
      </c>
      <c r="R76" s="37">
        <f t="shared" si="86"/>
        <v>-79</v>
      </c>
      <c r="S76" s="1">
        <f t="shared" si="86"/>
        <v>0</v>
      </c>
    </row>
    <row r="78" spans="3:20" x14ac:dyDescent="0.25">
      <c r="C78" s="2" t="s">
        <v>126</v>
      </c>
      <c r="D78" s="2">
        <v>-309</v>
      </c>
      <c r="E78" s="2">
        <v>0</v>
      </c>
      <c r="F78" s="2">
        <v>0</v>
      </c>
      <c r="G78" s="2">
        <v>0</v>
      </c>
      <c r="H78" s="2">
        <v>0</v>
      </c>
      <c r="I78" s="2">
        <v>0</v>
      </c>
      <c r="J78" s="2">
        <v>0</v>
      </c>
      <c r="K78" s="2">
        <v>-288</v>
      </c>
      <c r="L78" s="2">
        <v>-100</v>
      </c>
      <c r="M78" s="2">
        <v>-102</v>
      </c>
      <c r="N78" s="2">
        <v>-130</v>
      </c>
      <c r="O78" s="2">
        <v>-103</v>
      </c>
      <c r="P78" s="2">
        <v>0</v>
      </c>
      <c r="Q78" s="2">
        <v>0</v>
      </c>
      <c r="R78" s="4">
        <v>0</v>
      </c>
    </row>
    <row r="79" spans="3:20" x14ac:dyDescent="0.25">
      <c r="C79" s="2" t="s">
        <v>127</v>
      </c>
      <c r="D79" s="2">
        <v>0</v>
      </c>
      <c r="E79" s="2">
        <v>0</v>
      </c>
      <c r="F79" s="2">
        <v>0</v>
      </c>
      <c r="G79" s="2">
        <v>200</v>
      </c>
      <c r="H79" s="2">
        <v>0</v>
      </c>
      <c r="I79" s="2">
        <v>-241</v>
      </c>
      <c r="J79" s="2">
        <v>0</v>
      </c>
      <c r="K79" s="2">
        <v>0</v>
      </c>
      <c r="L79" s="2">
        <v>0</v>
      </c>
      <c r="M79" s="2">
        <v>-241</v>
      </c>
      <c r="N79" s="2">
        <v>113</v>
      </c>
      <c r="O79" s="2">
        <v>0</v>
      </c>
      <c r="P79" s="2">
        <v>0</v>
      </c>
      <c r="Q79" s="2">
        <v>0</v>
      </c>
      <c r="R79" s="4">
        <v>0</v>
      </c>
    </row>
    <row r="80" spans="3:20" x14ac:dyDescent="0.25">
      <c r="C80" s="2" t="s">
        <v>128</v>
      </c>
      <c r="D80" s="2">
        <v>-210</v>
      </c>
      <c r="E80" s="2">
        <v>-212</v>
      </c>
      <c r="F80" s="2">
        <v>-213</v>
      </c>
      <c r="G80" s="2">
        <v>-217</v>
      </c>
      <c r="H80" s="2">
        <v>-234</v>
      </c>
      <c r="I80" s="2">
        <v>-32</v>
      </c>
      <c r="J80" s="2">
        <v>-234</v>
      </c>
      <c r="K80" s="2">
        <v>-238</v>
      </c>
      <c r="L80" s="2">
        <v>-240</v>
      </c>
      <c r="M80" s="2">
        <v>-14</v>
      </c>
      <c r="N80" s="2">
        <v>-242</v>
      </c>
      <c r="O80" s="2">
        <v>-240</v>
      </c>
      <c r="P80" s="2">
        <v>-247</v>
      </c>
      <c r="Q80" s="2">
        <v>-248</v>
      </c>
      <c r="R80" s="4">
        <v>-248</v>
      </c>
    </row>
    <row r="81" spans="3:19" x14ac:dyDescent="0.25">
      <c r="C81" s="2" t="s">
        <v>129</v>
      </c>
      <c r="D81" s="2">
        <v>-36</v>
      </c>
      <c r="E81" s="2">
        <v>-26</v>
      </c>
      <c r="F81" s="2">
        <v>-24</v>
      </c>
      <c r="G81" s="2">
        <v>-34</v>
      </c>
      <c r="H81" s="2">
        <v>-30</v>
      </c>
      <c r="I81" s="2">
        <v>-55</v>
      </c>
      <c r="J81" s="2">
        <v>-34</v>
      </c>
      <c r="K81" s="2">
        <v>-28</v>
      </c>
      <c r="L81" s="2">
        <v>-19</v>
      </c>
      <c r="M81" s="2">
        <v>-61</v>
      </c>
      <c r="N81" s="2">
        <v>-11</v>
      </c>
      <c r="O81" s="2">
        <v>-16</v>
      </c>
      <c r="P81" s="2">
        <v>-12</v>
      </c>
      <c r="Q81" s="2">
        <v>-11</v>
      </c>
      <c r="R81" s="4">
        <v>-10</v>
      </c>
    </row>
    <row r="82" spans="3:19" x14ac:dyDescent="0.25">
      <c r="C82" s="2" t="s">
        <v>130</v>
      </c>
      <c r="D82" s="2">
        <v>-47</v>
      </c>
      <c r="E82" s="2">
        <v>-47</v>
      </c>
      <c r="F82" s="2">
        <v>-48</v>
      </c>
      <c r="G82" s="2">
        <v>-47</v>
      </c>
      <c r="H82" s="2">
        <v>-53</v>
      </c>
      <c r="I82" s="2">
        <v>8</v>
      </c>
      <c r="J82" s="2">
        <v>-57</v>
      </c>
      <c r="K82" s="2">
        <v>-59</v>
      </c>
      <c r="L82" s="2">
        <v>3</v>
      </c>
      <c r="M82" s="2">
        <v>0</v>
      </c>
      <c r="N82" s="2">
        <v>-62</v>
      </c>
      <c r="O82" s="2">
        <v>-62</v>
      </c>
      <c r="P82" s="2">
        <v>3</v>
      </c>
      <c r="Q82" s="2">
        <v>3</v>
      </c>
      <c r="R82" s="4">
        <v>3</v>
      </c>
    </row>
    <row r="83" spans="3:19" x14ac:dyDescent="0.25">
      <c r="C83" s="2" t="s">
        <v>131</v>
      </c>
      <c r="D83" s="2">
        <v>601</v>
      </c>
      <c r="E83" s="2">
        <v>0</v>
      </c>
      <c r="F83" s="2">
        <v>0</v>
      </c>
      <c r="G83" s="2">
        <v>0</v>
      </c>
      <c r="H83" s="2">
        <v>0</v>
      </c>
      <c r="I83" s="2">
        <v>-20</v>
      </c>
      <c r="J83" s="2">
        <v>0</v>
      </c>
      <c r="K83" s="2">
        <v>0</v>
      </c>
      <c r="L83" s="2">
        <v>-61</v>
      </c>
      <c r="M83" s="2">
        <v>0</v>
      </c>
      <c r="N83" s="2">
        <v>0</v>
      </c>
      <c r="O83" s="2">
        <v>0</v>
      </c>
      <c r="P83" s="2">
        <v>-62</v>
      </c>
      <c r="Q83" s="2">
        <v>-63</v>
      </c>
      <c r="R83" s="4">
        <v>-63</v>
      </c>
    </row>
    <row r="84" spans="3:19" x14ac:dyDescent="0.25">
      <c r="C84" s="2" t="s">
        <v>132</v>
      </c>
      <c r="D84" s="2">
        <v>0</v>
      </c>
      <c r="E84" s="2">
        <v>0</v>
      </c>
      <c r="F84" s="2">
        <v>0</v>
      </c>
      <c r="G84" s="2">
        <v>3</v>
      </c>
      <c r="H84" s="2">
        <v>0</v>
      </c>
      <c r="I84" s="2">
        <v>6</v>
      </c>
      <c r="J84" s="2">
        <v>0</v>
      </c>
      <c r="K84" s="2">
        <v>0</v>
      </c>
      <c r="L84" s="2">
        <v>0</v>
      </c>
      <c r="M84" s="2">
        <v>0</v>
      </c>
      <c r="N84" s="2">
        <v>0</v>
      </c>
      <c r="O84" s="2">
        <v>0</v>
      </c>
      <c r="P84" s="2">
        <v>-100</v>
      </c>
      <c r="Q84" s="2">
        <v>-37</v>
      </c>
      <c r="R84" s="4">
        <v>-127</v>
      </c>
    </row>
    <row r="85" spans="3:19" x14ac:dyDescent="0.25">
      <c r="C85" s="2" t="s">
        <v>133</v>
      </c>
      <c r="D85" s="2">
        <v>-13</v>
      </c>
      <c r="E85" s="2">
        <v>0</v>
      </c>
      <c r="F85" s="2">
        <v>0</v>
      </c>
      <c r="G85" s="2">
        <v>0</v>
      </c>
      <c r="H85" s="2">
        <v>0</v>
      </c>
      <c r="I85" s="2">
        <v>2</v>
      </c>
      <c r="J85" s="2">
        <v>0</v>
      </c>
      <c r="K85" s="2">
        <v>0</v>
      </c>
      <c r="L85" s="2">
        <v>4</v>
      </c>
      <c r="M85" s="2">
        <v>1</v>
      </c>
      <c r="N85" s="2">
        <v>0</v>
      </c>
      <c r="O85" s="2">
        <v>0</v>
      </c>
      <c r="P85" s="2">
        <v>12</v>
      </c>
      <c r="Q85" s="2">
        <v>36</v>
      </c>
      <c r="R85" s="4">
        <v>-40</v>
      </c>
    </row>
    <row r="86" spans="3:19" x14ac:dyDescent="0.25">
      <c r="C86" s="2" t="s">
        <v>138</v>
      </c>
      <c r="D86" s="2">
        <v>1</v>
      </c>
      <c r="E86" s="2">
        <v>1</v>
      </c>
      <c r="F86" s="2">
        <v>-2</v>
      </c>
      <c r="G86" s="2">
        <v>-1</v>
      </c>
      <c r="H86" s="2">
        <v>0</v>
      </c>
      <c r="I86" s="2">
        <v>0</v>
      </c>
      <c r="J86" s="2">
        <v>0</v>
      </c>
      <c r="K86" s="2">
        <v>2</v>
      </c>
      <c r="L86" s="2">
        <v>1</v>
      </c>
      <c r="M86" s="2">
        <v>1</v>
      </c>
      <c r="N86" s="2">
        <v>-2</v>
      </c>
      <c r="O86" s="2">
        <v>2</v>
      </c>
      <c r="P86" s="2">
        <v>2</v>
      </c>
      <c r="Q86" s="2">
        <v>-2</v>
      </c>
      <c r="R86" s="4">
        <v>1</v>
      </c>
    </row>
    <row r="87" spans="3:19" x14ac:dyDescent="0.25">
      <c r="C87" s="1" t="s">
        <v>86</v>
      </c>
      <c r="D87" s="1">
        <f t="shared" ref="D87:O87" si="87">SUM(D78:D86)</f>
        <v>-13</v>
      </c>
      <c r="E87" s="1">
        <f t="shared" si="87"/>
        <v>-284</v>
      </c>
      <c r="F87" s="1">
        <f t="shared" si="87"/>
        <v>-287</v>
      </c>
      <c r="G87" s="1">
        <f t="shared" si="87"/>
        <v>-96</v>
      </c>
      <c r="H87" s="1">
        <f t="shared" si="87"/>
        <v>-317</v>
      </c>
      <c r="I87" s="1">
        <f t="shared" si="87"/>
        <v>-332</v>
      </c>
      <c r="J87" s="1">
        <f t="shared" si="87"/>
        <v>-325</v>
      </c>
      <c r="K87" s="1">
        <f t="shared" si="87"/>
        <v>-611</v>
      </c>
      <c r="L87" s="1">
        <f t="shared" si="87"/>
        <v>-412</v>
      </c>
      <c r="M87" s="1">
        <f t="shared" si="87"/>
        <v>-416</v>
      </c>
      <c r="N87" s="1">
        <f t="shared" si="87"/>
        <v>-334</v>
      </c>
      <c r="O87" s="1">
        <f t="shared" si="87"/>
        <v>-419</v>
      </c>
      <c r="P87" s="1">
        <f>SUM(P78:P86)</f>
        <v>-404</v>
      </c>
      <c r="Q87" s="1">
        <f t="shared" ref="Q87:S87" si="88">SUM(Q78:Q86)</f>
        <v>-322</v>
      </c>
      <c r="R87" s="37">
        <f t="shared" si="88"/>
        <v>-484</v>
      </c>
      <c r="S87" s="1">
        <f t="shared" si="88"/>
        <v>0</v>
      </c>
    </row>
    <row r="89" spans="3:19" x14ac:dyDescent="0.25">
      <c r="C89" s="2" t="s">
        <v>134</v>
      </c>
      <c r="D89" s="2">
        <f t="shared" ref="D89:O89" si="89">D72+D76+D87</f>
        <v>104</v>
      </c>
      <c r="E89" s="2">
        <f t="shared" si="89"/>
        <v>-119</v>
      </c>
      <c r="F89" s="2">
        <f t="shared" si="89"/>
        <v>-105</v>
      </c>
      <c r="G89" s="2">
        <f t="shared" si="89"/>
        <v>210</v>
      </c>
      <c r="H89" s="2">
        <f t="shared" si="89"/>
        <v>57</v>
      </c>
      <c r="I89" s="2">
        <f t="shared" si="89"/>
        <v>13</v>
      </c>
      <c r="J89" s="2">
        <f t="shared" si="89"/>
        <v>82</v>
      </c>
      <c r="K89" s="2">
        <f t="shared" si="89"/>
        <v>-147</v>
      </c>
      <c r="L89" s="2">
        <f t="shared" si="89"/>
        <v>30</v>
      </c>
      <c r="M89" s="2">
        <f t="shared" si="89"/>
        <v>33</v>
      </c>
      <c r="N89" s="2">
        <f t="shared" si="89"/>
        <v>-25</v>
      </c>
      <c r="O89" s="2">
        <f t="shared" si="89"/>
        <v>51</v>
      </c>
      <c r="P89" s="2">
        <f>P72+P76+P87</f>
        <v>14</v>
      </c>
      <c r="Q89" s="2">
        <f t="shared" ref="Q89:S89" si="90">Q72+Q76+Q87</f>
        <v>24</v>
      </c>
      <c r="R89" s="4">
        <f t="shared" si="90"/>
        <v>-43</v>
      </c>
      <c r="S89" s="2">
        <f t="shared" si="90"/>
        <v>0</v>
      </c>
    </row>
    <row r="91" spans="3:19" x14ac:dyDescent="0.25">
      <c r="C91" s="2" t="s">
        <v>135</v>
      </c>
      <c r="D91" s="2">
        <f t="shared" ref="D91:O91" si="91">D72+D74</f>
        <v>117</v>
      </c>
      <c r="E91" s="2">
        <f t="shared" si="91"/>
        <v>165</v>
      </c>
      <c r="F91" s="2">
        <f t="shared" si="91"/>
        <v>231</v>
      </c>
      <c r="G91" s="2">
        <f t="shared" si="91"/>
        <v>306</v>
      </c>
      <c r="H91" s="2">
        <f t="shared" si="91"/>
        <v>374</v>
      </c>
      <c r="I91" s="2">
        <f t="shared" si="91"/>
        <v>345</v>
      </c>
      <c r="J91" s="2">
        <f t="shared" si="91"/>
        <v>407</v>
      </c>
      <c r="K91" s="2">
        <f t="shared" si="91"/>
        <v>464</v>
      </c>
      <c r="L91" s="2">
        <f t="shared" si="91"/>
        <v>442</v>
      </c>
      <c r="M91" s="2">
        <f t="shared" si="91"/>
        <v>447</v>
      </c>
      <c r="N91" s="2">
        <f t="shared" si="91"/>
        <v>309</v>
      </c>
      <c r="O91" s="2">
        <f t="shared" si="91"/>
        <v>468</v>
      </c>
      <c r="P91" s="2">
        <f>P72+P74</f>
        <v>416</v>
      </c>
      <c r="Q91" s="2">
        <f t="shared" ref="Q91:S91" si="92">Q72+Q74</f>
        <v>345</v>
      </c>
      <c r="R91" s="4">
        <f t="shared" si="92"/>
        <v>441</v>
      </c>
      <c r="S91" s="2">
        <f t="shared" si="92"/>
        <v>0</v>
      </c>
    </row>
  </sheetData>
  <phoneticPr fontId="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058E0-3BA5-6740-BE74-082DF7085DA4}">
  <dimension ref="B3:W52"/>
  <sheetViews>
    <sheetView showGridLines="0" zoomScale="90" zoomScaleNormal="90" workbookViewId="0">
      <pane xSplit="2" ySplit="4" topLeftCell="J5" activePane="bottomRight" state="frozen"/>
      <selection pane="topRight" activeCell="C1" sqref="C1"/>
      <selection pane="bottomLeft" activeCell="A5" sqref="A5"/>
      <selection pane="bottomRight" activeCell="T53" sqref="T53"/>
    </sheetView>
  </sheetViews>
  <sheetFormatPr baseColWidth="10" defaultRowHeight="19" x14ac:dyDescent="0.25"/>
  <cols>
    <col min="1" max="1" width="6.33203125" style="2" customWidth="1"/>
    <col min="2" max="2" width="22.6640625" style="2" customWidth="1"/>
    <col min="3" max="16" width="10.83203125" style="2"/>
    <col min="17" max="17" width="12" style="2" customWidth="1"/>
    <col min="18" max="16384" width="10.83203125" style="2"/>
  </cols>
  <sheetData>
    <row r="3" spans="2:23" x14ac:dyDescent="0.25">
      <c r="G3" s="1"/>
    </row>
    <row r="4" spans="2:23" x14ac:dyDescent="0.25">
      <c r="B4" s="1" t="s">
        <v>37</v>
      </c>
      <c r="C4" s="12" t="s">
        <v>7</v>
      </c>
      <c r="D4" s="12" t="s">
        <v>8</v>
      </c>
      <c r="E4" s="12" t="s">
        <v>9</v>
      </c>
      <c r="F4" s="12" t="s">
        <v>10</v>
      </c>
      <c r="G4" s="44">
        <v>2022</v>
      </c>
      <c r="H4" s="12" t="s">
        <v>11</v>
      </c>
      <c r="I4" s="12" t="s">
        <v>12</v>
      </c>
      <c r="J4" s="12" t="s">
        <v>13</v>
      </c>
      <c r="K4" s="12" t="s">
        <v>14</v>
      </c>
      <c r="L4" s="44">
        <v>2023</v>
      </c>
      <c r="M4" s="12" t="s">
        <v>15</v>
      </c>
      <c r="N4" s="12" t="s">
        <v>16</v>
      </c>
      <c r="O4" s="12" t="s">
        <v>17</v>
      </c>
      <c r="P4" s="12" t="s">
        <v>18</v>
      </c>
      <c r="Q4" s="38">
        <v>2024</v>
      </c>
      <c r="R4" s="12" t="s">
        <v>87</v>
      </c>
      <c r="S4" s="12" t="s">
        <v>88</v>
      </c>
      <c r="T4" s="12" t="s">
        <v>89</v>
      </c>
      <c r="U4" s="12" t="s">
        <v>90</v>
      </c>
      <c r="V4" s="44">
        <v>2025</v>
      </c>
      <c r="W4" s="12"/>
    </row>
    <row r="5" spans="2:23" x14ac:dyDescent="0.25">
      <c r="B5" s="1" t="s">
        <v>38</v>
      </c>
      <c r="G5" s="39"/>
      <c r="L5" s="39"/>
      <c r="Q5" s="39"/>
      <c r="V5" s="39"/>
    </row>
    <row r="6" spans="2:23" x14ac:dyDescent="0.25">
      <c r="B6" s="2" t="s">
        <v>91</v>
      </c>
      <c r="C6" s="2">
        <v>372</v>
      </c>
      <c r="D6" s="2">
        <v>379</v>
      </c>
      <c r="E6" s="2">
        <v>384</v>
      </c>
      <c r="F6" s="2">
        <v>407</v>
      </c>
      <c r="G6" s="38">
        <f>SUM(C6:F6)</f>
        <v>1542</v>
      </c>
      <c r="H6" s="2">
        <v>445</v>
      </c>
      <c r="I6" s="2">
        <v>443</v>
      </c>
      <c r="J6" s="2">
        <v>429</v>
      </c>
      <c r="K6" s="2">
        <v>446</v>
      </c>
      <c r="L6" s="38">
        <f>SUM(H6:K6)</f>
        <v>1763</v>
      </c>
      <c r="M6" s="2">
        <v>472</v>
      </c>
      <c r="N6" s="2">
        <v>473</v>
      </c>
      <c r="O6" s="2">
        <v>459</v>
      </c>
      <c r="P6" s="2">
        <v>484</v>
      </c>
      <c r="Q6" s="38">
        <f>SUM(M6:P6)</f>
        <v>1888</v>
      </c>
      <c r="R6" s="2">
        <v>552</v>
      </c>
      <c r="S6" s="2">
        <v>524</v>
      </c>
      <c r="T6" s="2">
        <v>501</v>
      </c>
      <c r="V6" s="38">
        <f>SUM(R6:U6)</f>
        <v>1577</v>
      </c>
    </row>
    <row r="7" spans="2:23" x14ac:dyDescent="0.25">
      <c r="B7" s="2" t="s">
        <v>92</v>
      </c>
      <c r="C7" s="2">
        <v>110</v>
      </c>
      <c r="D7" s="2">
        <v>102</v>
      </c>
      <c r="E7" s="2">
        <v>80</v>
      </c>
      <c r="F7" s="2">
        <v>105</v>
      </c>
      <c r="G7" s="38">
        <f>SUM(C7:F7)</f>
        <v>397</v>
      </c>
      <c r="H7" s="2">
        <v>111</v>
      </c>
      <c r="I7" s="2">
        <v>96</v>
      </c>
      <c r="J7" s="2">
        <v>85</v>
      </c>
      <c r="K7" s="2">
        <v>96</v>
      </c>
      <c r="L7" s="38">
        <f>SUM(H7:K7)</f>
        <v>388</v>
      </c>
      <c r="M7" s="2">
        <v>103</v>
      </c>
      <c r="N7" s="2">
        <v>100</v>
      </c>
      <c r="O7" s="2">
        <v>74</v>
      </c>
      <c r="P7" s="2">
        <v>100</v>
      </c>
      <c r="Q7" s="38">
        <f>SUM(M7:P7)</f>
        <v>377</v>
      </c>
      <c r="R7" s="2">
        <v>111</v>
      </c>
      <c r="S7" s="2">
        <v>102</v>
      </c>
      <c r="T7" s="2">
        <v>81</v>
      </c>
      <c r="V7" s="38">
        <f>SUM(R7:U7)</f>
        <v>294</v>
      </c>
    </row>
    <row r="8" spans="2:23" x14ac:dyDescent="0.25">
      <c r="B8" s="1" t="s">
        <v>94</v>
      </c>
      <c r="C8" s="1">
        <f t="shared" ref="C8:U8" si="0">SUM(C6:C7)</f>
        <v>482</v>
      </c>
      <c r="D8" s="1">
        <f t="shared" si="0"/>
        <v>481</v>
      </c>
      <c r="E8" s="1">
        <f t="shared" si="0"/>
        <v>464</v>
      </c>
      <c r="F8" s="1">
        <f t="shared" si="0"/>
        <v>512</v>
      </c>
      <c r="G8" s="38">
        <f>SUM(C8:F8)</f>
        <v>1939</v>
      </c>
      <c r="H8" s="1">
        <f t="shared" si="0"/>
        <v>556</v>
      </c>
      <c r="I8" s="1">
        <f t="shared" si="0"/>
        <v>539</v>
      </c>
      <c r="J8" s="1">
        <f t="shared" si="0"/>
        <v>514</v>
      </c>
      <c r="K8" s="1">
        <f t="shared" si="0"/>
        <v>542</v>
      </c>
      <c r="L8" s="38">
        <f>SUM(H8:K8)</f>
        <v>2151</v>
      </c>
      <c r="M8" s="1">
        <f t="shared" si="0"/>
        <v>575</v>
      </c>
      <c r="N8" s="1">
        <f t="shared" si="0"/>
        <v>573</v>
      </c>
      <c r="O8" s="1">
        <f t="shared" si="0"/>
        <v>533</v>
      </c>
      <c r="P8" s="1">
        <f t="shared" si="0"/>
        <v>584</v>
      </c>
      <c r="Q8" s="38">
        <f>SUM(M8:P8)</f>
        <v>2265</v>
      </c>
      <c r="R8" s="1">
        <f t="shared" si="0"/>
        <v>663</v>
      </c>
      <c r="S8" s="1">
        <f t="shared" si="0"/>
        <v>626</v>
      </c>
      <c r="T8" s="1">
        <f t="shared" si="0"/>
        <v>582</v>
      </c>
      <c r="U8" s="1">
        <f t="shared" si="0"/>
        <v>0</v>
      </c>
      <c r="V8" s="38">
        <f>SUM(R8:U8)</f>
        <v>1871</v>
      </c>
    </row>
    <row r="9" spans="2:23" x14ac:dyDescent="0.25">
      <c r="B9" s="13" t="s">
        <v>117</v>
      </c>
      <c r="C9" s="36"/>
      <c r="D9" s="36"/>
      <c r="E9" s="36"/>
      <c r="F9" s="36"/>
      <c r="G9" s="40"/>
      <c r="H9" s="36">
        <f>(H8-C8)/C8</f>
        <v>0.15352697095435686</v>
      </c>
      <c r="I9" s="36">
        <f t="shared" ref="I9" si="1">(I8-D8)/D8</f>
        <v>0.12058212058212059</v>
      </c>
      <c r="J9" s="36">
        <f t="shared" ref="J9" si="2">(J8-E8)/E8</f>
        <v>0.10775862068965517</v>
      </c>
      <c r="K9" s="36">
        <f t="shared" ref="K9" si="3">(K8-F8)/F8</f>
        <v>5.859375E-2</v>
      </c>
      <c r="L9" s="40">
        <f>(L8-G8)/G8</f>
        <v>0.10933470861268695</v>
      </c>
      <c r="M9" s="36">
        <f>(M8-H8)/H8</f>
        <v>3.41726618705036E-2</v>
      </c>
      <c r="N9" s="36">
        <f t="shared" ref="N9" si="4">(N8-I8)/I8</f>
        <v>6.3079777365491654E-2</v>
      </c>
      <c r="O9" s="36">
        <f t="shared" ref="O9" si="5">(O8-J8)/J8</f>
        <v>3.6964980544747082E-2</v>
      </c>
      <c r="P9" s="36">
        <f t="shared" ref="P9" si="6">(P8-K8)/K8</f>
        <v>7.7490774907749083E-2</v>
      </c>
      <c r="Q9" s="40">
        <f>(Q8-L8)/L8</f>
        <v>5.2998605299860529E-2</v>
      </c>
      <c r="R9" s="36">
        <f>(R8-M8)/M8</f>
        <v>0.15304347826086956</v>
      </c>
      <c r="S9" s="36">
        <f t="shared" ref="S9:U9" si="7">(S8-N8)/N8</f>
        <v>9.2495636998254804E-2</v>
      </c>
      <c r="T9" s="36">
        <f t="shared" si="7"/>
        <v>9.193245778611632E-2</v>
      </c>
      <c r="U9" s="36">
        <f t="shared" si="7"/>
        <v>-1</v>
      </c>
      <c r="V9" s="40">
        <f>(V8-Q8)/Q8</f>
        <v>-0.17395143487858719</v>
      </c>
    </row>
    <row r="10" spans="2:23" x14ac:dyDescent="0.25">
      <c r="B10" s="2" t="s">
        <v>93</v>
      </c>
      <c r="C10" s="2">
        <v>145</v>
      </c>
      <c r="D10" s="2">
        <v>178</v>
      </c>
      <c r="E10" s="2">
        <v>138</v>
      </c>
      <c r="F10" s="2">
        <v>112</v>
      </c>
      <c r="G10" s="38">
        <f>SUM(C10:F10)</f>
        <v>573</v>
      </c>
      <c r="H10" s="2">
        <v>197</v>
      </c>
      <c r="I10" s="2">
        <v>243</v>
      </c>
      <c r="J10" s="2">
        <v>222</v>
      </c>
      <c r="K10" s="2">
        <v>197</v>
      </c>
      <c r="L10" s="38">
        <f>SUM(H10:K10)</f>
        <v>859</v>
      </c>
      <c r="M10" s="2">
        <v>226</v>
      </c>
      <c r="N10" s="2">
        <v>264</v>
      </c>
      <c r="O10" s="2">
        <v>230</v>
      </c>
      <c r="P10" s="2">
        <v>235</v>
      </c>
      <c r="Q10" s="38">
        <f>SUM(M10:P10)</f>
        <v>955</v>
      </c>
      <c r="R10" s="2">
        <v>253</v>
      </c>
      <c r="S10" s="2">
        <v>297</v>
      </c>
      <c r="T10" s="2">
        <v>245</v>
      </c>
      <c r="V10" s="38">
        <f>SUM(R10:U10)</f>
        <v>795</v>
      </c>
    </row>
    <row r="11" spans="2:23" x14ac:dyDescent="0.25">
      <c r="B11" s="13" t="s">
        <v>95</v>
      </c>
      <c r="C11" s="15">
        <v>0.3</v>
      </c>
      <c r="D11" s="15">
        <v>0.37</v>
      </c>
      <c r="E11" s="15">
        <v>0.3</v>
      </c>
      <c r="F11" s="15">
        <v>0.22</v>
      </c>
      <c r="G11" s="41">
        <f>G10/G8</f>
        <v>0.29551315110881898</v>
      </c>
      <c r="H11" s="15">
        <v>0.35</v>
      </c>
      <c r="I11" s="15">
        <v>0.45</v>
      </c>
      <c r="J11" s="15">
        <v>0.43</v>
      </c>
      <c r="K11" s="15">
        <v>0.36</v>
      </c>
      <c r="L11" s="41">
        <f>L10/L8</f>
        <v>0.399349139934914</v>
      </c>
      <c r="M11" s="15">
        <v>0.39</v>
      </c>
      <c r="N11" s="15">
        <v>0.46</v>
      </c>
      <c r="O11" s="15">
        <v>0.43</v>
      </c>
      <c r="P11" s="15">
        <v>0.4</v>
      </c>
      <c r="Q11" s="41">
        <f>Q10/Q8</f>
        <v>0.4216335540838852</v>
      </c>
      <c r="R11" s="11">
        <v>0.4</v>
      </c>
      <c r="S11" s="11">
        <v>0.47</v>
      </c>
      <c r="T11" s="11">
        <v>0.42</v>
      </c>
      <c r="U11" s="11"/>
      <c r="V11" s="41">
        <f>V10/V8</f>
        <v>0.42490646712987706</v>
      </c>
    </row>
    <row r="12" spans="2:23" x14ac:dyDescent="0.25">
      <c r="B12" s="2" t="s">
        <v>96</v>
      </c>
      <c r="C12" s="2">
        <v>40</v>
      </c>
      <c r="D12" s="2">
        <v>74</v>
      </c>
      <c r="E12" s="2">
        <v>31</v>
      </c>
      <c r="F12" s="2">
        <v>-9</v>
      </c>
      <c r="G12" s="38">
        <f>SUM(C12:F12)</f>
        <v>136</v>
      </c>
      <c r="H12" s="2">
        <v>89</v>
      </c>
      <c r="I12" s="2">
        <v>140</v>
      </c>
      <c r="J12" s="2">
        <v>117</v>
      </c>
      <c r="K12" s="2">
        <v>91</v>
      </c>
      <c r="L12" s="38">
        <f>SUM(H12:K12)</f>
        <v>437</v>
      </c>
      <c r="M12" s="2">
        <v>119</v>
      </c>
      <c r="N12" s="2">
        <v>157</v>
      </c>
      <c r="O12" s="2">
        <v>131</v>
      </c>
      <c r="P12" s="2">
        <v>131</v>
      </c>
      <c r="Q12" s="38">
        <f>SUM(M12:P12)</f>
        <v>538</v>
      </c>
      <c r="R12" s="2">
        <v>145</v>
      </c>
      <c r="S12" s="2">
        <v>189</v>
      </c>
      <c r="T12" s="2">
        <v>137</v>
      </c>
      <c r="V12" s="38">
        <f>SUM(R12:U12)</f>
        <v>471</v>
      </c>
    </row>
    <row r="13" spans="2:23" x14ac:dyDescent="0.25">
      <c r="B13" s="23" t="s">
        <v>49</v>
      </c>
      <c r="C13" s="23">
        <v>12</v>
      </c>
      <c r="D13" s="23">
        <v>38</v>
      </c>
      <c r="E13" s="23">
        <v>5</v>
      </c>
      <c r="F13" s="23">
        <v>-29</v>
      </c>
      <c r="G13" s="42">
        <f>SUM(C13:F13)</f>
        <v>26</v>
      </c>
      <c r="H13" s="23">
        <v>50</v>
      </c>
      <c r="I13" s="23">
        <v>91</v>
      </c>
      <c r="J13" s="23">
        <v>74</v>
      </c>
      <c r="K13" s="23">
        <v>85</v>
      </c>
      <c r="L13" s="42">
        <f>SUM(H13:K13)</f>
        <v>300</v>
      </c>
      <c r="M13" s="23">
        <v>76</v>
      </c>
      <c r="N13" s="23">
        <v>108</v>
      </c>
      <c r="O13" s="23">
        <v>84</v>
      </c>
      <c r="P13" s="23">
        <v>108</v>
      </c>
      <c r="Q13" s="42">
        <f>SUM(M13:P13)</f>
        <v>376</v>
      </c>
      <c r="R13" s="23">
        <v>97</v>
      </c>
      <c r="S13" s="23">
        <v>131</v>
      </c>
      <c r="T13" s="23">
        <v>92</v>
      </c>
      <c r="U13" s="23"/>
      <c r="V13" s="42">
        <f>SUM(R13:U13)</f>
        <v>320</v>
      </c>
    </row>
    <row r="14" spans="2:23" x14ac:dyDescent="0.25">
      <c r="B14" s="2" t="s">
        <v>97</v>
      </c>
      <c r="C14" s="2">
        <v>115</v>
      </c>
      <c r="D14" s="2">
        <v>115</v>
      </c>
      <c r="E14" s="2">
        <v>122</v>
      </c>
      <c r="F14" s="2">
        <v>122</v>
      </c>
      <c r="G14" s="39"/>
      <c r="H14" s="2">
        <v>121</v>
      </c>
      <c r="I14" s="2">
        <v>118</v>
      </c>
      <c r="J14" s="2">
        <v>119</v>
      </c>
      <c r="K14" s="2">
        <v>119</v>
      </c>
      <c r="L14" s="39"/>
      <c r="M14" s="2">
        <v>118</v>
      </c>
      <c r="N14" s="2">
        <v>117</v>
      </c>
      <c r="O14" s="2">
        <v>117</v>
      </c>
      <c r="P14" s="2">
        <v>117</v>
      </c>
      <c r="Q14" s="39"/>
      <c r="R14" s="2">
        <v>118</v>
      </c>
      <c r="S14" s="2">
        <v>119</v>
      </c>
      <c r="T14" s="2">
        <v>119</v>
      </c>
      <c r="V14" s="39"/>
    </row>
    <row r="15" spans="2:23" x14ac:dyDescent="0.25">
      <c r="B15" s="2" t="s">
        <v>98</v>
      </c>
      <c r="C15" s="2">
        <v>310</v>
      </c>
      <c r="D15" s="2">
        <v>302</v>
      </c>
      <c r="E15" s="2">
        <v>322</v>
      </c>
      <c r="F15" s="2">
        <v>325</v>
      </c>
      <c r="G15" s="39"/>
      <c r="H15" s="2">
        <v>330</v>
      </c>
      <c r="I15" s="2">
        <v>319</v>
      </c>
      <c r="J15" s="2">
        <v>326</v>
      </c>
      <c r="K15" s="2">
        <v>326</v>
      </c>
      <c r="L15" s="39"/>
      <c r="M15" s="2">
        <v>331</v>
      </c>
      <c r="N15" s="2">
        <v>324</v>
      </c>
      <c r="O15" s="2">
        <v>329</v>
      </c>
      <c r="P15" s="2">
        <v>332</v>
      </c>
      <c r="Q15" s="39"/>
      <c r="R15" s="2">
        <v>346</v>
      </c>
      <c r="S15" s="2">
        <v>339</v>
      </c>
      <c r="T15" s="2">
        <v>347</v>
      </c>
      <c r="V15" s="39"/>
    </row>
    <row r="16" spans="2:23" ht="20" thickBot="1" x14ac:dyDescent="0.3">
      <c r="B16" s="24" t="s">
        <v>99</v>
      </c>
      <c r="C16" s="24">
        <v>525</v>
      </c>
      <c r="D16" s="24">
        <v>524</v>
      </c>
      <c r="E16" s="24">
        <v>496</v>
      </c>
      <c r="F16" s="24">
        <v>528</v>
      </c>
      <c r="G16" s="43"/>
      <c r="H16" s="24">
        <v>566</v>
      </c>
      <c r="I16" s="24">
        <v>554</v>
      </c>
      <c r="J16" s="24">
        <v>531</v>
      </c>
      <c r="K16" s="24">
        <v>555</v>
      </c>
      <c r="L16" s="43"/>
      <c r="M16" s="24">
        <v>583</v>
      </c>
      <c r="N16" s="24">
        <v>583</v>
      </c>
      <c r="O16" s="24">
        <v>544</v>
      </c>
      <c r="P16" s="24">
        <v>589</v>
      </c>
      <c r="Q16" s="43"/>
      <c r="R16" s="24">
        <v>622</v>
      </c>
      <c r="S16" s="24">
        <v>609</v>
      </c>
      <c r="T16" s="24">
        <v>566</v>
      </c>
      <c r="U16" s="24"/>
      <c r="V16" s="43"/>
    </row>
    <row r="17" spans="2:22" x14ac:dyDescent="0.25">
      <c r="B17" s="1" t="s">
        <v>39</v>
      </c>
      <c r="G17" s="39"/>
      <c r="L17" s="39"/>
      <c r="Q17" s="39"/>
      <c r="V17" s="39"/>
    </row>
    <row r="18" spans="2:22" x14ac:dyDescent="0.25">
      <c r="B18" s="2" t="s">
        <v>91</v>
      </c>
      <c r="C18" s="2">
        <v>269</v>
      </c>
      <c r="D18" s="2">
        <v>272</v>
      </c>
      <c r="E18" s="2">
        <v>264</v>
      </c>
      <c r="F18" s="2">
        <v>282</v>
      </c>
      <c r="G18" s="38">
        <f>SUM(C18:F18)</f>
        <v>1087</v>
      </c>
      <c r="H18" s="2">
        <v>315</v>
      </c>
      <c r="I18" s="2">
        <v>326</v>
      </c>
      <c r="J18" s="2">
        <v>303</v>
      </c>
      <c r="K18" s="2">
        <v>337</v>
      </c>
      <c r="L18" s="38">
        <f>SUM(H18:K18)</f>
        <v>1281</v>
      </c>
      <c r="M18" s="2">
        <v>348</v>
      </c>
      <c r="N18" s="2">
        <v>346</v>
      </c>
      <c r="O18" s="2">
        <v>344</v>
      </c>
      <c r="P18" s="2">
        <v>359</v>
      </c>
      <c r="Q18" s="38">
        <f>SUM(M18:P18)</f>
        <v>1397</v>
      </c>
      <c r="R18" s="2">
        <v>377</v>
      </c>
      <c r="S18" s="2">
        <v>390</v>
      </c>
      <c r="T18" s="2">
        <v>374</v>
      </c>
      <c r="V18" s="38">
        <f>SUM(R18:U18)</f>
        <v>1141</v>
      </c>
    </row>
    <row r="19" spans="2:22" x14ac:dyDescent="0.25">
      <c r="B19" s="2" t="s">
        <v>92</v>
      </c>
      <c r="C19" s="2">
        <v>78</v>
      </c>
      <c r="D19" s="2">
        <v>78</v>
      </c>
      <c r="E19" s="2">
        <v>55</v>
      </c>
      <c r="F19" s="2">
        <v>78</v>
      </c>
      <c r="G19" s="38">
        <f>SUM(C19:F19)</f>
        <v>289</v>
      </c>
      <c r="H19" s="2">
        <v>85</v>
      </c>
      <c r="I19" s="2">
        <v>83</v>
      </c>
      <c r="J19" s="2">
        <v>63</v>
      </c>
      <c r="K19" s="2">
        <v>85</v>
      </c>
      <c r="L19" s="38">
        <f>SUM(H19:K19)</f>
        <v>316</v>
      </c>
      <c r="M19" s="2">
        <v>85</v>
      </c>
      <c r="N19" s="2">
        <v>80</v>
      </c>
      <c r="O19" s="2">
        <v>60</v>
      </c>
      <c r="P19" s="2">
        <v>86</v>
      </c>
      <c r="Q19" s="38">
        <f>SUM(M19:P19)</f>
        <v>311</v>
      </c>
      <c r="R19" s="2">
        <v>92</v>
      </c>
      <c r="S19" s="2">
        <v>93</v>
      </c>
      <c r="T19" s="2">
        <v>70</v>
      </c>
      <c r="V19" s="38">
        <f>SUM(R19:U19)</f>
        <v>255</v>
      </c>
    </row>
    <row r="20" spans="2:22" x14ac:dyDescent="0.25">
      <c r="B20" s="1" t="s">
        <v>94</v>
      </c>
      <c r="C20" s="1">
        <f t="shared" ref="C20:N20" si="8">SUM(C18:C19)</f>
        <v>347</v>
      </c>
      <c r="D20" s="1">
        <f t="shared" si="8"/>
        <v>350</v>
      </c>
      <c r="E20" s="1">
        <f t="shared" si="8"/>
        <v>319</v>
      </c>
      <c r="F20" s="1">
        <f t="shared" si="8"/>
        <v>360</v>
      </c>
      <c r="G20" s="38">
        <f>SUM(C20:F20)</f>
        <v>1376</v>
      </c>
      <c r="H20" s="1">
        <f t="shared" si="8"/>
        <v>400</v>
      </c>
      <c r="I20" s="1">
        <f t="shared" si="8"/>
        <v>409</v>
      </c>
      <c r="J20" s="1">
        <f t="shared" si="8"/>
        <v>366</v>
      </c>
      <c r="K20" s="1">
        <f t="shared" si="8"/>
        <v>422</v>
      </c>
      <c r="L20" s="38">
        <f>SUM(H20:K20)</f>
        <v>1597</v>
      </c>
      <c r="M20" s="1">
        <f t="shared" si="8"/>
        <v>433</v>
      </c>
      <c r="N20" s="1">
        <f t="shared" si="8"/>
        <v>426</v>
      </c>
      <c r="O20" s="1">
        <v>404</v>
      </c>
      <c r="P20" s="1">
        <f>SUM(P18:P19)</f>
        <v>445</v>
      </c>
      <c r="Q20" s="38">
        <f>SUM(M20:P20)</f>
        <v>1708</v>
      </c>
      <c r="R20" s="1">
        <f t="shared" ref="R20:U20" si="9">SUM(R18:R19)</f>
        <v>469</v>
      </c>
      <c r="S20" s="1">
        <f t="shared" si="9"/>
        <v>483</v>
      </c>
      <c r="T20" s="1">
        <f t="shared" si="9"/>
        <v>444</v>
      </c>
      <c r="U20" s="1">
        <f t="shared" si="9"/>
        <v>0</v>
      </c>
      <c r="V20" s="38">
        <f>SUM(R20:U20)</f>
        <v>1396</v>
      </c>
    </row>
    <row r="21" spans="2:22" x14ac:dyDescent="0.25">
      <c r="B21" s="13" t="s">
        <v>117</v>
      </c>
      <c r="C21" s="36"/>
      <c r="D21" s="36"/>
      <c r="E21" s="36"/>
      <c r="F21" s="36"/>
      <c r="G21" s="40"/>
      <c r="H21" s="36">
        <f>(H20-C20)/C20</f>
        <v>0.15273775216138327</v>
      </c>
      <c r="I21" s="36">
        <f t="shared" ref="I21" si="10">(I20-D20)/D20</f>
        <v>0.16857142857142857</v>
      </c>
      <c r="J21" s="36">
        <f t="shared" ref="J21" si="11">(J20-E20)/E20</f>
        <v>0.14733542319749215</v>
      </c>
      <c r="K21" s="36">
        <f t="shared" ref="K21" si="12">(K20-F20)/F20</f>
        <v>0.17222222222222222</v>
      </c>
      <c r="L21" s="40">
        <f>(L20-G20)/G20</f>
        <v>0.16061046511627908</v>
      </c>
      <c r="M21" s="36">
        <f>(M20-H20)/H20</f>
        <v>8.2500000000000004E-2</v>
      </c>
      <c r="N21" s="36">
        <f t="shared" ref="N21" si="13">(N20-I20)/I20</f>
        <v>4.1564792176039117E-2</v>
      </c>
      <c r="O21" s="36">
        <f t="shared" ref="O21" si="14">(O20-J20)/J20</f>
        <v>0.10382513661202186</v>
      </c>
      <c r="P21" s="36">
        <f t="shared" ref="P21" si="15">(P20-K20)/K20</f>
        <v>5.4502369668246446E-2</v>
      </c>
      <c r="Q21" s="40">
        <f>(Q20-L20)/L20</f>
        <v>6.9505322479649342E-2</v>
      </c>
      <c r="R21" s="36">
        <f>(R20-M20)/M20</f>
        <v>8.3140877598152418E-2</v>
      </c>
      <c r="S21" s="36">
        <f t="shared" ref="S21" si="16">(S20-N20)/N20</f>
        <v>0.13380281690140844</v>
      </c>
      <c r="T21" s="36">
        <f t="shared" ref="T21" si="17">(T20-O20)/O20</f>
        <v>9.9009900990099015E-2</v>
      </c>
      <c r="U21" s="36">
        <f t="shared" ref="U21" si="18">(U20-P20)/P20</f>
        <v>-1</v>
      </c>
      <c r="V21" s="40">
        <f>(V20-Q20)/Q20</f>
        <v>-0.18266978922716628</v>
      </c>
    </row>
    <row r="22" spans="2:22" x14ac:dyDescent="0.25">
      <c r="B22" s="2" t="s">
        <v>93</v>
      </c>
      <c r="C22" s="2">
        <v>97</v>
      </c>
      <c r="D22" s="2">
        <v>107</v>
      </c>
      <c r="E22" s="2">
        <v>96</v>
      </c>
      <c r="F22" s="2">
        <v>69</v>
      </c>
      <c r="G22" s="38">
        <f>SUM(C22:F22)</f>
        <v>369</v>
      </c>
      <c r="H22" s="2">
        <v>145</v>
      </c>
      <c r="I22" s="2">
        <v>160</v>
      </c>
      <c r="J22" s="2">
        <v>149</v>
      </c>
      <c r="K22" s="2">
        <v>151</v>
      </c>
      <c r="L22" s="38">
        <f>SUM(H22:K22)</f>
        <v>605</v>
      </c>
      <c r="M22" s="2">
        <v>148</v>
      </c>
      <c r="N22" s="2">
        <v>162</v>
      </c>
      <c r="O22" s="2">
        <v>152</v>
      </c>
      <c r="P22" s="2">
        <v>150</v>
      </c>
      <c r="Q22" s="38">
        <f>SUM(M22:P22)</f>
        <v>612</v>
      </c>
      <c r="R22" s="2">
        <v>155</v>
      </c>
      <c r="S22" s="2">
        <v>184</v>
      </c>
      <c r="T22" s="2">
        <v>171</v>
      </c>
      <c r="V22" s="38">
        <f>SUM(R22:U22)</f>
        <v>510</v>
      </c>
    </row>
    <row r="23" spans="2:22" x14ac:dyDescent="0.25">
      <c r="B23" s="13" t="s">
        <v>95</v>
      </c>
      <c r="C23" s="25">
        <v>0.28000000000000003</v>
      </c>
      <c r="D23" s="25">
        <v>0.31</v>
      </c>
      <c r="E23" s="25">
        <v>0.3</v>
      </c>
      <c r="F23" s="25">
        <v>0.19</v>
      </c>
      <c r="G23" s="41">
        <f>G22/G20</f>
        <v>0.26816860465116277</v>
      </c>
      <c r="H23" s="25">
        <v>0.36</v>
      </c>
      <c r="I23" s="25">
        <v>0.39</v>
      </c>
      <c r="J23" s="25">
        <v>0.41</v>
      </c>
      <c r="K23" s="25">
        <v>0.36</v>
      </c>
      <c r="L23" s="41">
        <f>L22/L20</f>
        <v>0.37883531621790856</v>
      </c>
      <c r="M23" s="25">
        <v>0.34</v>
      </c>
      <c r="N23" s="25">
        <v>0.38</v>
      </c>
      <c r="O23" s="25">
        <v>0.38</v>
      </c>
      <c r="P23" s="25">
        <v>0.34</v>
      </c>
      <c r="Q23" s="41">
        <f>Q22/Q20</f>
        <v>0.35831381733021078</v>
      </c>
      <c r="R23" s="11">
        <v>0.33</v>
      </c>
      <c r="S23" s="11">
        <v>0.38</v>
      </c>
      <c r="T23" s="11">
        <v>0.39</v>
      </c>
      <c r="U23" s="11"/>
      <c r="V23" s="41">
        <f>V22/V20</f>
        <v>0.3653295128939828</v>
      </c>
    </row>
    <row r="24" spans="2:22" x14ac:dyDescent="0.25">
      <c r="B24" s="2" t="s">
        <v>96</v>
      </c>
      <c r="C24" s="2">
        <v>9</v>
      </c>
      <c r="D24" s="2">
        <v>18</v>
      </c>
      <c r="E24" s="2">
        <v>6</v>
      </c>
      <c r="F24" s="2">
        <v>-22</v>
      </c>
      <c r="G24" s="38">
        <f>SUM(C24:F24)</f>
        <v>11</v>
      </c>
      <c r="H24" s="2">
        <v>45</v>
      </c>
      <c r="I24" s="2">
        <v>56</v>
      </c>
      <c r="J24" s="2">
        <v>49</v>
      </c>
      <c r="K24" s="2">
        <v>44</v>
      </c>
      <c r="L24" s="38">
        <f>SUM(H24:K24)</f>
        <v>194</v>
      </c>
      <c r="M24" s="2">
        <v>39</v>
      </c>
      <c r="N24" s="2">
        <v>51</v>
      </c>
      <c r="O24" s="2">
        <v>43</v>
      </c>
      <c r="P24" s="2">
        <v>38</v>
      </c>
      <c r="Q24" s="38">
        <f>SUM(M24:P24)</f>
        <v>171</v>
      </c>
      <c r="R24" s="2">
        <v>42</v>
      </c>
      <c r="S24" s="2">
        <v>68</v>
      </c>
      <c r="T24" s="2">
        <v>56</v>
      </c>
      <c r="V24" s="38">
        <f>SUM(R24:U24)</f>
        <v>166</v>
      </c>
    </row>
    <row r="25" spans="2:22" x14ac:dyDescent="0.25">
      <c r="B25" s="23" t="s">
        <v>49</v>
      </c>
      <c r="C25" s="23">
        <v>-2</v>
      </c>
      <c r="D25" s="23">
        <v>-1</v>
      </c>
      <c r="E25" s="23">
        <v>-6</v>
      </c>
      <c r="F25" s="23">
        <v>-32</v>
      </c>
      <c r="G25" s="42">
        <f>SUM(C25:F25)</f>
        <v>-41</v>
      </c>
      <c r="H25" s="23">
        <v>24</v>
      </c>
      <c r="I25" s="23">
        <v>25</v>
      </c>
      <c r="J25" s="23">
        <v>23</v>
      </c>
      <c r="K25" s="23">
        <v>23</v>
      </c>
      <c r="L25" s="42">
        <f>SUM(H25:K25)</f>
        <v>95</v>
      </c>
      <c r="M25" s="23">
        <v>13</v>
      </c>
      <c r="N25" s="23">
        <v>20</v>
      </c>
      <c r="O25" s="23">
        <v>20</v>
      </c>
      <c r="P25" s="23">
        <v>4</v>
      </c>
      <c r="Q25" s="42">
        <f>SUM(M25:P25)</f>
        <v>57</v>
      </c>
      <c r="R25" s="23">
        <v>18</v>
      </c>
      <c r="S25" s="23">
        <v>34</v>
      </c>
      <c r="T25" s="23">
        <v>21</v>
      </c>
      <c r="U25" s="23"/>
      <c r="V25" s="42">
        <f>SUM(R25:U25)</f>
        <v>73</v>
      </c>
    </row>
    <row r="26" spans="2:22" x14ac:dyDescent="0.25">
      <c r="B26" s="2" t="s">
        <v>97</v>
      </c>
      <c r="C26" s="2">
        <v>90</v>
      </c>
      <c r="D26" s="2">
        <v>92</v>
      </c>
      <c r="E26" s="2">
        <v>94</v>
      </c>
      <c r="F26" s="2">
        <v>92</v>
      </c>
      <c r="G26" s="39"/>
      <c r="H26" s="2">
        <v>92</v>
      </c>
      <c r="I26" s="2">
        <v>94</v>
      </c>
      <c r="J26" s="2">
        <v>95</v>
      </c>
      <c r="K26" s="2">
        <v>95</v>
      </c>
      <c r="L26" s="39"/>
      <c r="M26" s="2">
        <v>96</v>
      </c>
      <c r="N26" s="2">
        <v>96</v>
      </c>
      <c r="O26" s="2">
        <v>96</v>
      </c>
      <c r="P26" s="2">
        <v>95</v>
      </c>
      <c r="Q26" s="39"/>
      <c r="R26" s="2">
        <v>95</v>
      </c>
      <c r="S26" s="2">
        <v>95</v>
      </c>
      <c r="T26" s="2">
        <v>95</v>
      </c>
      <c r="V26" s="39"/>
    </row>
    <row r="27" spans="2:22" x14ac:dyDescent="0.25">
      <c r="B27" s="2" t="s">
        <v>98</v>
      </c>
      <c r="C27" s="2">
        <v>231</v>
      </c>
      <c r="D27" s="2">
        <v>228</v>
      </c>
      <c r="E27" s="2">
        <v>238</v>
      </c>
      <c r="F27" s="2">
        <v>244</v>
      </c>
      <c r="G27" s="39"/>
      <c r="H27" s="2">
        <v>249</v>
      </c>
      <c r="I27" s="2">
        <v>245</v>
      </c>
      <c r="J27" s="2">
        <v>250</v>
      </c>
      <c r="K27" s="2">
        <v>249</v>
      </c>
      <c r="L27" s="39"/>
      <c r="M27" s="2">
        <v>248</v>
      </c>
      <c r="N27" s="2">
        <v>244</v>
      </c>
      <c r="O27" s="2">
        <v>246</v>
      </c>
      <c r="P27" s="2">
        <v>248</v>
      </c>
      <c r="Q27" s="39"/>
      <c r="R27" s="2">
        <v>254</v>
      </c>
      <c r="S27" s="2">
        <v>250</v>
      </c>
      <c r="T27" s="2">
        <v>256</v>
      </c>
      <c r="V27" s="39"/>
    </row>
    <row r="28" spans="2:22" ht="20" thickBot="1" x14ac:dyDescent="0.3">
      <c r="B28" s="24" t="s">
        <v>99</v>
      </c>
      <c r="C28" s="24">
        <v>503</v>
      </c>
      <c r="D28" s="24">
        <v>508</v>
      </c>
      <c r="E28" s="24">
        <v>457</v>
      </c>
      <c r="F28" s="24">
        <v>499</v>
      </c>
      <c r="G28" s="43"/>
      <c r="H28" s="24">
        <v>541</v>
      </c>
      <c r="I28" s="24">
        <v>552</v>
      </c>
      <c r="J28" s="24">
        <v>492</v>
      </c>
      <c r="K28" s="24">
        <v>564</v>
      </c>
      <c r="L28" s="43"/>
      <c r="M28" s="24">
        <v>581</v>
      </c>
      <c r="N28" s="24">
        <v>578</v>
      </c>
      <c r="O28" s="24">
        <v>550</v>
      </c>
      <c r="P28" s="24">
        <v>600</v>
      </c>
      <c r="Q28" s="43"/>
      <c r="R28" s="24">
        <v>623</v>
      </c>
      <c r="S28" s="24">
        <v>641</v>
      </c>
      <c r="T28" s="24">
        <v>585</v>
      </c>
      <c r="U28" s="24"/>
      <c r="V28" s="43"/>
    </row>
    <row r="29" spans="2:22" x14ac:dyDescent="0.25">
      <c r="B29" s="1" t="s">
        <v>100</v>
      </c>
      <c r="G29" s="39"/>
      <c r="L29" s="39"/>
      <c r="Q29" s="39"/>
      <c r="V29" s="39"/>
    </row>
    <row r="30" spans="2:22" x14ac:dyDescent="0.25">
      <c r="B30" s="2" t="s">
        <v>91</v>
      </c>
      <c r="C30" s="2">
        <v>53</v>
      </c>
      <c r="D30" s="2">
        <v>73</v>
      </c>
      <c r="E30" s="2">
        <v>72</v>
      </c>
      <c r="F30" s="2">
        <v>83</v>
      </c>
      <c r="G30" s="38">
        <f>SUM(C30:F30)</f>
        <v>281</v>
      </c>
      <c r="H30" s="2">
        <v>94</v>
      </c>
      <c r="I30" s="2">
        <v>100</v>
      </c>
      <c r="J30" s="2">
        <v>93</v>
      </c>
      <c r="K30" s="2">
        <v>102</v>
      </c>
      <c r="L30" s="38">
        <f>SUM(H30:K30)</f>
        <v>389</v>
      </c>
      <c r="M30" s="2">
        <v>105</v>
      </c>
      <c r="N30" s="2">
        <v>106</v>
      </c>
      <c r="O30" s="2">
        <v>101</v>
      </c>
      <c r="P30" s="2">
        <v>110</v>
      </c>
      <c r="Q30" s="38">
        <f>SUM(M30:P30)</f>
        <v>422</v>
      </c>
      <c r="R30" s="2">
        <v>109</v>
      </c>
      <c r="S30" s="2">
        <v>108</v>
      </c>
      <c r="T30" s="2">
        <v>103</v>
      </c>
      <c r="V30" s="38">
        <f>SUM(R30:U30)</f>
        <v>320</v>
      </c>
    </row>
    <row r="31" spans="2:22" x14ac:dyDescent="0.25">
      <c r="B31" s="2" t="s">
        <v>92</v>
      </c>
      <c r="C31" s="2">
        <v>31</v>
      </c>
      <c r="D31" s="2">
        <v>18</v>
      </c>
      <c r="E31" s="2">
        <v>14</v>
      </c>
      <c r="F31" s="2">
        <v>18</v>
      </c>
      <c r="G31" s="38">
        <f>SUM(C31:F31)</f>
        <v>81</v>
      </c>
      <c r="H31" s="2">
        <v>23</v>
      </c>
      <c r="I31" s="2">
        <v>19</v>
      </c>
      <c r="J31" s="2">
        <v>15</v>
      </c>
      <c r="K31" s="2">
        <v>19</v>
      </c>
      <c r="L31" s="38">
        <f>SUM(H31:K31)</f>
        <v>76</v>
      </c>
      <c r="M31" s="2">
        <v>21</v>
      </c>
      <c r="N31" s="2">
        <v>19</v>
      </c>
      <c r="O31" s="2">
        <v>17</v>
      </c>
      <c r="P31" s="2">
        <v>22</v>
      </c>
      <c r="Q31" s="38">
        <f>SUM(M31:P31)</f>
        <v>79</v>
      </c>
      <c r="R31" s="2">
        <v>24</v>
      </c>
      <c r="S31" s="2">
        <v>21</v>
      </c>
      <c r="T31" s="2">
        <v>18</v>
      </c>
      <c r="V31" s="38">
        <f>SUM(R31:U31)</f>
        <v>63</v>
      </c>
    </row>
    <row r="32" spans="2:22" x14ac:dyDescent="0.25">
      <c r="B32" s="1" t="s">
        <v>94</v>
      </c>
      <c r="C32" s="1">
        <v>83</v>
      </c>
      <c r="D32" s="1">
        <v>91</v>
      </c>
      <c r="E32" s="1">
        <v>86</v>
      </c>
      <c r="F32" s="1">
        <v>101</v>
      </c>
      <c r="G32" s="38">
        <f>SUM(C32:F32)</f>
        <v>361</v>
      </c>
      <c r="H32" s="1">
        <v>117</v>
      </c>
      <c r="I32" s="1">
        <v>119</v>
      </c>
      <c r="J32" s="1">
        <v>109</v>
      </c>
      <c r="K32" s="1">
        <v>121</v>
      </c>
      <c r="L32" s="38">
        <f>SUM(H32:K32)</f>
        <v>466</v>
      </c>
      <c r="M32" s="1">
        <v>126</v>
      </c>
      <c r="N32" s="1">
        <v>125</v>
      </c>
      <c r="O32" s="1">
        <f>SUM(O30:O31)</f>
        <v>118</v>
      </c>
      <c r="P32" s="1">
        <f>SUM(P30:P31)</f>
        <v>132</v>
      </c>
      <c r="Q32" s="38">
        <f>SUM(M32:P32)</f>
        <v>501</v>
      </c>
      <c r="R32" s="1">
        <f t="shared" ref="R32:U32" si="19">SUM(R30:R31)</f>
        <v>133</v>
      </c>
      <c r="S32" s="1">
        <f t="shared" si="19"/>
        <v>129</v>
      </c>
      <c r="T32" s="1">
        <f t="shared" si="19"/>
        <v>121</v>
      </c>
      <c r="U32" s="1">
        <f t="shared" si="19"/>
        <v>0</v>
      </c>
      <c r="V32" s="38">
        <f>SUM(R32:U32)</f>
        <v>383</v>
      </c>
    </row>
    <row r="33" spans="2:22" x14ac:dyDescent="0.25">
      <c r="B33" s="13" t="s">
        <v>117</v>
      </c>
      <c r="C33" s="36"/>
      <c r="D33" s="36"/>
      <c r="E33" s="36"/>
      <c r="F33" s="36"/>
      <c r="G33" s="40"/>
      <c r="H33" s="36">
        <f>(H32-C32)/C32</f>
        <v>0.40963855421686746</v>
      </c>
      <c r="I33" s="36">
        <f t="shared" ref="I33" si="20">(I32-D32)/D32</f>
        <v>0.30769230769230771</v>
      </c>
      <c r="J33" s="36">
        <f t="shared" ref="J33" si="21">(J32-E32)/E32</f>
        <v>0.26744186046511625</v>
      </c>
      <c r="K33" s="36">
        <f t="shared" ref="K33" si="22">(K32-F32)/F32</f>
        <v>0.19801980198019803</v>
      </c>
      <c r="L33" s="40">
        <f>(L32-G32)/G32</f>
        <v>0.29085872576177285</v>
      </c>
      <c r="M33" s="36">
        <f>(M32-H32)/H32</f>
        <v>7.6923076923076927E-2</v>
      </c>
      <c r="N33" s="36">
        <f t="shared" ref="N33" si="23">(N32-I32)/I32</f>
        <v>5.0420168067226892E-2</v>
      </c>
      <c r="O33" s="36">
        <f t="shared" ref="O33" si="24">(O32-J32)/J32</f>
        <v>8.2568807339449546E-2</v>
      </c>
      <c r="P33" s="36">
        <f t="shared" ref="P33" si="25">(P32-K32)/K32</f>
        <v>9.0909090909090912E-2</v>
      </c>
      <c r="Q33" s="40">
        <f>(Q32-L32)/L32</f>
        <v>7.5107296137339061E-2</v>
      </c>
      <c r="R33" s="36">
        <f>(R32-M32)/M32</f>
        <v>5.5555555555555552E-2</v>
      </c>
      <c r="S33" s="36">
        <f t="shared" ref="S33" si="26">(S32-N32)/N32</f>
        <v>3.2000000000000001E-2</v>
      </c>
      <c r="T33" s="36">
        <f t="shared" ref="T33" si="27">(T32-O32)/O32</f>
        <v>2.5423728813559324E-2</v>
      </c>
      <c r="U33" s="36">
        <f t="shared" ref="U33" si="28">(U32-P32)/P32</f>
        <v>-1</v>
      </c>
      <c r="V33" s="40">
        <f>(V32-Q32)/Q32</f>
        <v>-0.23552894211576847</v>
      </c>
    </row>
    <row r="34" spans="2:22" x14ac:dyDescent="0.25">
      <c r="B34" s="2" t="s">
        <v>93</v>
      </c>
      <c r="C34" s="2">
        <v>19</v>
      </c>
      <c r="D34" s="2">
        <v>24</v>
      </c>
      <c r="E34" s="2">
        <v>20</v>
      </c>
      <c r="F34" s="2">
        <v>26</v>
      </c>
      <c r="G34" s="38">
        <f>SUM(C34:F34)</f>
        <v>89</v>
      </c>
      <c r="H34" s="2">
        <v>41</v>
      </c>
      <c r="I34" s="2">
        <v>45</v>
      </c>
      <c r="J34" s="2">
        <v>43</v>
      </c>
      <c r="K34" s="2">
        <v>30</v>
      </c>
      <c r="L34" s="38">
        <f>SUM(H34:K34)</f>
        <v>159</v>
      </c>
      <c r="M34" s="2">
        <v>38</v>
      </c>
      <c r="N34" s="2">
        <v>45</v>
      </c>
      <c r="O34" s="2">
        <v>39</v>
      </c>
      <c r="P34" s="2">
        <v>44</v>
      </c>
      <c r="Q34" s="38">
        <f>SUM(M34:P34)</f>
        <v>166</v>
      </c>
      <c r="R34" s="2">
        <v>38</v>
      </c>
      <c r="S34" s="2">
        <v>47</v>
      </c>
      <c r="T34" s="2">
        <v>40</v>
      </c>
      <c r="V34" s="38">
        <f>SUM(R34:U34)</f>
        <v>125</v>
      </c>
    </row>
    <row r="35" spans="2:22" x14ac:dyDescent="0.25">
      <c r="B35" s="13" t="s">
        <v>95</v>
      </c>
      <c r="C35" s="25">
        <v>0.23</v>
      </c>
      <c r="D35" s="25">
        <v>0.26</v>
      </c>
      <c r="E35" s="25">
        <v>0.23</v>
      </c>
      <c r="F35" s="25">
        <v>0.25</v>
      </c>
      <c r="G35" s="41">
        <f>G34/G32</f>
        <v>0.24653739612188366</v>
      </c>
      <c r="H35" s="25">
        <v>0.35</v>
      </c>
      <c r="I35" s="25">
        <v>0.38</v>
      </c>
      <c r="J35" s="25">
        <v>0.4</v>
      </c>
      <c r="K35" s="25">
        <v>0.25</v>
      </c>
      <c r="L35" s="41">
        <f>L34/L32</f>
        <v>0.34120171673819744</v>
      </c>
      <c r="M35" s="25">
        <v>0.3</v>
      </c>
      <c r="N35" s="25">
        <v>0.36</v>
      </c>
      <c r="O35" s="25">
        <v>0.33</v>
      </c>
      <c r="P35" s="25">
        <v>0.33</v>
      </c>
      <c r="Q35" s="41">
        <f>Q34/Q32</f>
        <v>0.33133732534930138</v>
      </c>
      <c r="R35" s="11">
        <v>0.28999999999999998</v>
      </c>
      <c r="S35" s="11">
        <v>0.37</v>
      </c>
      <c r="T35" s="11">
        <v>0.33</v>
      </c>
      <c r="U35" s="11"/>
      <c r="V35" s="41">
        <f>V34/V32</f>
        <v>0.32637075718015668</v>
      </c>
    </row>
    <row r="36" spans="2:22" x14ac:dyDescent="0.25">
      <c r="B36" s="2" t="s">
        <v>96</v>
      </c>
      <c r="C36" s="2">
        <v>-9</v>
      </c>
      <c r="D36" s="2">
        <v>-4</v>
      </c>
      <c r="E36" s="2">
        <v>-7</v>
      </c>
      <c r="F36" s="2">
        <v>-2</v>
      </c>
      <c r="G36" s="38">
        <f>SUM(C36:F36)</f>
        <v>-22</v>
      </c>
      <c r="H36" s="2">
        <v>10</v>
      </c>
      <c r="I36" s="2">
        <v>11</v>
      </c>
      <c r="J36" s="2">
        <v>11</v>
      </c>
      <c r="K36" s="2">
        <v>-5</v>
      </c>
      <c r="L36" s="38">
        <f>SUM(H36:K36)</f>
        <v>27</v>
      </c>
      <c r="M36" s="2">
        <v>4</v>
      </c>
      <c r="N36" s="2">
        <v>11</v>
      </c>
      <c r="O36" s="2">
        <v>2</v>
      </c>
      <c r="P36" s="2">
        <v>12</v>
      </c>
      <c r="Q36" s="38">
        <f>SUM(M36:P36)</f>
        <v>29</v>
      </c>
      <c r="R36" s="2">
        <v>6</v>
      </c>
      <c r="S36" s="2">
        <v>16</v>
      </c>
      <c r="T36" s="2">
        <v>7</v>
      </c>
      <c r="V36" s="38">
        <f>SUM(R36:U36)</f>
        <v>29</v>
      </c>
    </row>
    <row r="37" spans="2:22" x14ac:dyDescent="0.25">
      <c r="B37" s="23" t="s">
        <v>49</v>
      </c>
      <c r="C37" s="23">
        <v>-14</v>
      </c>
      <c r="D37" s="23">
        <v>-10</v>
      </c>
      <c r="E37" s="23">
        <v>-12</v>
      </c>
      <c r="F37" s="23">
        <v>-7</v>
      </c>
      <c r="G37" s="42">
        <f>SUM(C37:F37)</f>
        <v>-43</v>
      </c>
      <c r="H37" s="23">
        <v>4</v>
      </c>
      <c r="I37" s="23">
        <v>5</v>
      </c>
      <c r="J37" s="23">
        <v>5</v>
      </c>
      <c r="K37" s="23">
        <v>-11</v>
      </c>
      <c r="L37" s="42">
        <f>SUM(H37:K37)</f>
        <v>3</v>
      </c>
      <c r="M37" s="23">
        <v>-2</v>
      </c>
      <c r="N37" s="23">
        <v>5</v>
      </c>
      <c r="O37" s="23">
        <v>-4</v>
      </c>
      <c r="P37" s="23">
        <v>5</v>
      </c>
      <c r="Q37" s="42">
        <f>SUM(M37:P37)</f>
        <v>4</v>
      </c>
      <c r="R37" s="23">
        <v>0</v>
      </c>
      <c r="S37" s="23">
        <v>9</v>
      </c>
      <c r="T37" s="23">
        <v>1</v>
      </c>
      <c r="U37" s="23"/>
      <c r="V37" s="42">
        <f>SUM(R37:U37)</f>
        <v>10</v>
      </c>
    </row>
    <row r="38" spans="2:22" x14ac:dyDescent="0.25">
      <c r="B38" s="2" t="s">
        <v>97</v>
      </c>
      <c r="C38" s="2">
        <v>32</v>
      </c>
      <c r="D38" s="2">
        <v>31</v>
      </c>
      <c r="E38" s="2">
        <v>31</v>
      </c>
      <c r="F38" s="2">
        <v>32</v>
      </c>
      <c r="G38" s="39"/>
      <c r="H38" s="2">
        <v>32</v>
      </c>
      <c r="I38" s="2">
        <v>32</v>
      </c>
      <c r="J38" s="2">
        <v>32</v>
      </c>
      <c r="K38" s="2">
        <v>33</v>
      </c>
      <c r="L38" s="39"/>
      <c r="M38" s="2">
        <v>33</v>
      </c>
      <c r="N38" s="2">
        <v>32</v>
      </c>
      <c r="O38" s="2">
        <v>31</v>
      </c>
      <c r="P38" s="2">
        <v>31</v>
      </c>
      <c r="Q38" s="39"/>
      <c r="R38" s="2">
        <v>31</v>
      </c>
      <c r="S38" s="2">
        <v>31</v>
      </c>
      <c r="T38" s="2">
        <v>32</v>
      </c>
      <c r="V38" s="39"/>
    </row>
    <row r="39" spans="2:22" x14ac:dyDescent="0.25">
      <c r="B39" s="2" t="s">
        <v>98</v>
      </c>
      <c r="C39" s="2">
        <v>64</v>
      </c>
      <c r="D39" s="2">
        <v>63</v>
      </c>
      <c r="E39" s="2">
        <v>67</v>
      </c>
      <c r="F39" s="2">
        <v>70</v>
      </c>
      <c r="G39" s="39"/>
      <c r="H39" s="2">
        <v>72</v>
      </c>
      <c r="I39" s="2">
        <v>70</v>
      </c>
      <c r="J39" s="2">
        <v>71</v>
      </c>
      <c r="K39" s="2">
        <v>71</v>
      </c>
      <c r="L39" s="39"/>
      <c r="M39" s="2">
        <v>72</v>
      </c>
      <c r="N39" s="2">
        <v>70</v>
      </c>
      <c r="O39" s="2">
        <v>70</v>
      </c>
      <c r="P39" s="2">
        <v>71</v>
      </c>
      <c r="Q39" s="39"/>
      <c r="R39" s="2">
        <v>71</v>
      </c>
      <c r="S39" s="2">
        <v>69</v>
      </c>
      <c r="T39" s="2">
        <v>71</v>
      </c>
      <c r="V39" s="39"/>
    </row>
    <row r="40" spans="2:22" ht="20" thickBot="1" x14ac:dyDescent="0.3">
      <c r="B40" s="24" t="s">
        <v>99</v>
      </c>
      <c r="C40" s="24">
        <v>431</v>
      </c>
      <c r="D40" s="24">
        <v>474</v>
      </c>
      <c r="E40" s="24">
        <v>439</v>
      </c>
      <c r="F40" s="24">
        <v>490</v>
      </c>
      <c r="G40" s="43"/>
      <c r="H40" s="24">
        <v>553</v>
      </c>
      <c r="I40" s="24">
        <v>560</v>
      </c>
      <c r="J40" s="24">
        <v>515</v>
      </c>
      <c r="K40" s="24">
        <v>570</v>
      </c>
      <c r="L40" s="43"/>
      <c r="M40" s="24">
        <v>586</v>
      </c>
      <c r="N40" s="24">
        <v>584</v>
      </c>
      <c r="O40" s="24">
        <v>560</v>
      </c>
      <c r="P40" s="24">
        <v>623</v>
      </c>
      <c r="Q40" s="43"/>
      <c r="R40" s="24">
        <v>626</v>
      </c>
      <c r="S40" s="24">
        <v>611</v>
      </c>
      <c r="T40" s="24">
        <v>575</v>
      </c>
      <c r="U40" s="24"/>
      <c r="V40" s="43"/>
    </row>
    <row r="41" spans="2:22" x14ac:dyDescent="0.25">
      <c r="B41" s="1" t="s">
        <v>40</v>
      </c>
      <c r="G41" s="39"/>
      <c r="L41" s="39"/>
      <c r="Q41" s="39"/>
      <c r="V41" s="39"/>
    </row>
    <row r="42" spans="2:22" x14ac:dyDescent="0.25">
      <c r="B42" s="2" t="s">
        <v>91</v>
      </c>
      <c r="C42" s="2">
        <v>82</v>
      </c>
      <c r="D42" s="2">
        <v>82</v>
      </c>
      <c r="E42" s="2">
        <v>82</v>
      </c>
      <c r="F42" s="2">
        <v>90</v>
      </c>
      <c r="G42" s="38">
        <f>SUM(C42:F42)</f>
        <v>336</v>
      </c>
      <c r="H42" s="2">
        <v>106</v>
      </c>
      <c r="I42" s="2">
        <v>112</v>
      </c>
      <c r="J42" s="2">
        <v>98</v>
      </c>
      <c r="K42" s="2">
        <v>119</v>
      </c>
      <c r="L42" s="38">
        <f>SUM(H42:K42)</f>
        <v>435</v>
      </c>
      <c r="M42" s="2">
        <v>120</v>
      </c>
      <c r="N42" s="2">
        <v>119</v>
      </c>
      <c r="O42" s="2">
        <v>120</v>
      </c>
      <c r="P42" s="2">
        <v>128</v>
      </c>
      <c r="Q42" s="38">
        <f>SUM(M42:P42)</f>
        <v>487</v>
      </c>
      <c r="R42" s="2">
        <v>135</v>
      </c>
      <c r="S42" s="2">
        <v>133</v>
      </c>
      <c r="T42" s="2">
        <v>126</v>
      </c>
      <c r="V42" s="38">
        <f>SUM(R42:U42)</f>
        <v>394</v>
      </c>
    </row>
    <row r="43" spans="2:22" x14ac:dyDescent="0.25">
      <c r="B43" s="2" t="s">
        <v>92</v>
      </c>
      <c r="C43" s="2">
        <v>17</v>
      </c>
      <c r="D43" s="2">
        <v>17</v>
      </c>
      <c r="E43" s="2">
        <v>15</v>
      </c>
      <c r="F43" s="2">
        <v>18</v>
      </c>
      <c r="G43" s="38">
        <f>SUM(C43:F43)</f>
        <v>67</v>
      </c>
      <c r="H43" s="2">
        <v>21</v>
      </c>
      <c r="I43" s="2">
        <v>20</v>
      </c>
      <c r="J43" s="2">
        <v>18</v>
      </c>
      <c r="K43" s="2">
        <v>21</v>
      </c>
      <c r="L43" s="38">
        <f>SUM(H43:K43)</f>
        <v>80</v>
      </c>
      <c r="M43" s="2">
        <v>40</v>
      </c>
      <c r="N43" s="2">
        <v>23</v>
      </c>
      <c r="O43" s="2">
        <v>19</v>
      </c>
      <c r="P43" s="2">
        <v>21</v>
      </c>
      <c r="Q43" s="38">
        <f>SUM(M43:P43)</f>
        <v>103</v>
      </c>
      <c r="R43" s="2">
        <v>24</v>
      </c>
      <c r="S43" s="2">
        <v>23</v>
      </c>
      <c r="T43" s="2">
        <v>20</v>
      </c>
      <c r="V43" s="38">
        <f>SUM(R43:U43)</f>
        <v>67</v>
      </c>
    </row>
    <row r="44" spans="2:22" x14ac:dyDescent="0.25">
      <c r="B44" s="1" t="s">
        <v>94</v>
      </c>
      <c r="C44" s="1">
        <v>99</v>
      </c>
      <c r="D44" s="1">
        <v>99</v>
      </c>
      <c r="E44" s="1">
        <v>97</v>
      </c>
      <c r="F44" s="1">
        <v>107</v>
      </c>
      <c r="G44" s="38">
        <f>SUM(C44:F44)</f>
        <v>402</v>
      </c>
      <c r="H44" s="1">
        <v>127</v>
      </c>
      <c r="I44" s="1">
        <v>133</v>
      </c>
      <c r="J44" s="1">
        <v>117</v>
      </c>
      <c r="K44" s="1">
        <v>140</v>
      </c>
      <c r="L44" s="38">
        <f>SUM(H44:K44)</f>
        <v>517</v>
      </c>
      <c r="M44" s="1">
        <v>160</v>
      </c>
      <c r="N44" s="1">
        <f>SUM(N42:N43)</f>
        <v>142</v>
      </c>
      <c r="O44" s="1">
        <f>SUM(O42:O43)</f>
        <v>139</v>
      </c>
      <c r="P44" s="1">
        <f>SUM(P42:P43)</f>
        <v>149</v>
      </c>
      <c r="Q44" s="38">
        <f>SUM(M44:P44)</f>
        <v>590</v>
      </c>
      <c r="R44" s="1">
        <f t="shared" ref="R44:U44" si="29">SUM(R42:R43)</f>
        <v>159</v>
      </c>
      <c r="S44" s="1">
        <f t="shared" si="29"/>
        <v>156</v>
      </c>
      <c r="T44" s="1">
        <f t="shared" si="29"/>
        <v>146</v>
      </c>
      <c r="U44" s="1">
        <f t="shared" si="29"/>
        <v>0</v>
      </c>
      <c r="V44" s="38">
        <f>SUM(R44:U44)</f>
        <v>461</v>
      </c>
    </row>
    <row r="45" spans="2:22" x14ac:dyDescent="0.25">
      <c r="B45" s="13" t="s">
        <v>117</v>
      </c>
      <c r="C45" s="36"/>
      <c r="D45" s="36"/>
      <c r="E45" s="36"/>
      <c r="F45" s="36"/>
      <c r="G45" s="40"/>
      <c r="H45" s="36">
        <f>(H44-C44)/C44</f>
        <v>0.28282828282828282</v>
      </c>
      <c r="I45" s="36">
        <f t="shared" ref="I45" si="30">(I44-D44)/D44</f>
        <v>0.34343434343434343</v>
      </c>
      <c r="J45" s="36">
        <f t="shared" ref="J45" si="31">(J44-E44)/E44</f>
        <v>0.20618556701030927</v>
      </c>
      <c r="K45" s="36">
        <f t="shared" ref="K45" si="32">(K44-F44)/F44</f>
        <v>0.30841121495327101</v>
      </c>
      <c r="L45" s="40">
        <f>(L44-G44)/G44</f>
        <v>0.28606965174129351</v>
      </c>
      <c r="M45" s="36">
        <f>(M44-H44)/H44</f>
        <v>0.25984251968503935</v>
      </c>
      <c r="N45" s="36">
        <f t="shared" ref="N45" si="33">(N44-I44)/I44</f>
        <v>6.7669172932330823E-2</v>
      </c>
      <c r="O45" s="36">
        <f t="shared" ref="O45" si="34">(O44-J44)/J44</f>
        <v>0.18803418803418803</v>
      </c>
      <c r="P45" s="36">
        <f t="shared" ref="P45" si="35">(P44-K44)/K44</f>
        <v>6.4285714285714279E-2</v>
      </c>
      <c r="Q45" s="40">
        <f>(Q44-L44)/L44</f>
        <v>0.14119922630560927</v>
      </c>
      <c r="R45" s="36">
        <f>(R44-M44)/M44</f>
        <v>-6.2500000000000003E-3</v>
      </c>
      <c r="S45" s="36">
        <f t="shared" ref="S45" si="36">(S44-N44)/N44</f>
        <v>9.8591549295774641E-2</v>
      </c>
      <c r="T45" s="36">
        <f t="shared" ref="T45" si="37">(T44-O44)/O44</f>
        <v>5.0359712230215826E-2</v>
      </c>
      <c r="U45" s="36">
        <f t="shared" ref="U45" si="38">(U44-P44)/P44</f>
        <v>-1</v>
      </c>
      <c r="V45" s="40">
        <f>(V44-Q44)/Q44</f>
        <v>-0.21864406779661016</v>
      </c>
    </row>
    <row r="46" spans="2:22" x14ac:dyDescent="0.25">
      <c r="B46" s="2" t="s">
        <v>93</v>
      </c>
      <c r="C46" s="2">
        <v>13</v>
      </c>
      <c r="D46" s="2">
        <v>17</v>
      </c>
      <c r="E46" s="2">
        <v>11</v>
      </c>
      <c r="F46" s="2">
        <v>12</v>
      </c>
      <c r="G46" s="38">
        <f>SUM(C46:F46)</f>
        <v>53</v>
      </c>
      <c r="H46" s="2">
        <v>35</v>
      </c>
      <c r="I46" s="2">
        <v>39</v>
      </c>
      <c r="J46" s="2">
        <v>21</v>
      </c>
      <c r="K46" s="2">
        <v>37</v>
      </c>
      <c r="L46" s="38">
        <f>SUM(H46:K46)</f>
        <v>132</v>
      </c>
      <c r="M46" s="2">
        <v>52</v>
      </c>
      <c r="N46" s="2">
        <v>40</v>
      </c>
      <c r="O46" s="2">
        <v>34</v>
      </c>
      <c r="P46" s="2">
        <v>39</v>
      </c>
      <c r="Q46" s="38">
        <f>SUM(M46:P46)</f>
        <v>165</v>
      </c>
      <c r="R46" s="2">
        <v>40</v>
      </c>
      <c r="S46" s="2">
        <v>43</v>
      </c>
      <c r="T46" s="2">
        <v>37</v>
      </c>
      <c r="V46" s="38">
        <f>SUM(R46:U46)</f>
        <v>120</v>
      </c>
    </row>
    <row r="47" spans="2:22" x14ac:dyDescent="0.25">
      <c r="B47" s="13" t="s">
        <v>95</v>
      </c>
      <c r="C47" s="25">
        <v>0.13</v>
      </c>
      <c r="D47" s="25">
        <v>0.17</v>
      </c>
      <c r="E47" s="25">
        <v>0.11</v>
      </c>
      <c r="F47" s="25">
        <v>0.11</v>
      </c>
      <c r="G47" s="41">
        <f>G46/G44</f>
        <v>0.13184079601990051</v>
      </c>
      <c r="H47" s="25">
        <v>0.28000000000000003</v>
      </c>
      <c r="I47" s="25">
        <v>0.3</v>
      </c>
      <c r="J47" s="25">
        <v>0.18</v>
      </c>
      <c r="K47" s="25">
        <v>0.26</v>
      </c>
      <c r="L47" s="41">
        <f>L46/L44</f>
        <v>0.25531914893617019</v>
      </c>
      <c r="M47" s="25">
        <v>0.33</v>
      </c>
      <c r="N47" s="25">
        <v>0.28000000000000003</v>
      </c>
      <c r="O47" s="25">
        <v>0.25</v>
      </c>
      <c r="P47" s="25">
        <v>0.26</v>
      </c>
      <c r="Q47" s="41">
        <f>Q46/Q44</f>
        <v>0.27966101694915252</v>
      </c>
      <c r="R47" s="11">
        <v>0.25</v>
      </c>
      <c r="S47" s="11">
        <v>0.28000000000000003</v>
      </c>
      <c r="T47" s="11">
        <v>0.25</v>
      </c>
      <c r="U47" s="11"/>
      <c r="V47" s="41">
        <f>V46/V44</f>
        <v>0.26030368763557482</v>
      </c>
    </row>
    <row r="48" spans="2:22" x14ac:dyDescent="0.25">
      <c r="B48" s="2" t="s">
        <v>96</v>
      </c>
      <c r="C48" s="2">
        <v>-23</v>
      </c>
      <c r="D48" s="2">
        <v>-19</v>
      </c>
      <c r="E48" s="2">
        <v>-24</v>
      </c>
      <c r="F48" s="2">
        <v>-24</v>
      </c>
      <c r="G48" s="38">
        <f>SUM(C48:F48)</f>
        <v>-90</v>
      </c>
      <c r="H48" s="2">
        <v>-4</v>
      </c>
      <c r="I48" s="2">
        <v>-3</v>
      </c>
      <c r="J48" s="2">
        <v>-19</v>
      </c>
      <c r="K48" s="2">
        <v>-3</v>
      </c>
      <c r="L48" s="38">
        <f>SUM(H48:K48)</f>
        <v>-29</v>
      </c>
      <c r="M48" s="2">
        <v>13</v>
      </c>
      <c r="N48" s="2">
        <v>1</v>
      </c>
      <c r="O48" s="2">
        <v>0</v>
      </c>
      <c r="P48" s="2">
        <v>3</v>
      </c>
      <c r="Q48" s="38">
        <f>SUM(M48:P48)</f>
        <v>17</v>
      </c>
      <c r="R48" s="2">
        <v>2</v>
      </c>
      <c r="S48" s="2">
        <v>3</v>
      </c>
      <c r="T48" s="2">
        <v>1</v>
      </c>
      <c r="V48" s="38">
        <f>SUM(R48:U48)</f>
        <v>6</v>
      </c>
    </row>
    <row r="49" spans="2:22" x14ac:dyDescent="0.25">
      <c r="B49" s="23" t="s">
        <v>49</v>
      </c>
      <c r="C49" s="23">
        <v>-36</v>
      </c>
      <c r="D49" s="23">
        <v>-27</v>
      </c>
      <c r="E49" s="23">
        <v>-35</v>
      </c>
      <c r="F49" s="23">
        <v>-45</v>
      </c>
      <c r="G49" s="42">
        <f>SUM(C49:F49)</f>
        <v>-143</v>
      </c>
      <c r="H49" s="23">
        <v>-19</v>
      </c>
      <c r="I49" s="23">
        <v>-19</v>
      </c>
      <c r="J49" s="23">
        <v>-38</v>
      </c>
      <c r="K49" s="23">
        <v>-21</v>
      </c>
      <c r="L49" s="42">
        <f>SUM(H49:K49)</f>
        <v>-97</v>
      </c>
      <c r="M49" s="23">
        <v>-5</v>
      </c>
      <c r="N49" s="23">
        <v>-17</v>
      </c>
      <c r="O49" s="23">
        <v>-18</v>
      </c>
      <c r="P49" s="23">
        <v>-10</v>
      </c>
      <c r="Q49" s="42">
        <f>SUM(M49:P49)</f>
        <v>-50</v>
      </c>
      <c r="R49" s="23">
        <v>-15</v>
      </c>
      <c r="S49" s="23">
        <v>-13</v>
      </c>
      <c r="T49" s="23">
        <v>-16</v>
      </c>
      <c r="U49" s="23"/>
      <c r="V49" s="42">
        <f>SUM(R49:U49)</f>
        <v>-44</v>
      </c>
    </row>
    <row r="50" spans="2:22" x14ac:dyDescent="0.25">
      <c r="B50" s="2" t="s">
        <v>97</v>
      </c>
      <c r="C50" s="2">
        <v>30</v>
      </c>
      <c r="D50" s="2">
        <v>29</v>
      </c>
      <c r="E50" s="2">
        <v>29</v>
      </c>
      <c r="F50" s="2">
        <v>29</v>
      </c>
      <c r="G50" s="39"/>
      <c r="H50" s="2">
        <v>29</v>
      </c>
      <c r="I50" s="2">
        <v>29</v>
      </c>
      <c r="J50" s="2">
        <v>29</v>
      </c>
      <c r="K50" s="2">
        <v>29</v>
      </c>
      <c r="L50" s="39"/>
      <c r="M50" s="2">
        <v>29</v>
      </c>
      <c r="N50" s="2">
        <v>29</v>
      </c>
      <c r="O50" s="2">
        <v>29</v>
      </c>
      <c r="P50" s="2">
        <v>29</v>
      </c>
      <c r="Q50" s="39"/>
      <c r="R50" s="2">
        <v>29</v>
      </c>
      <c r="S50" s="2">
        <v>28</v>
      </c>
      <c r="T50" s="2">
        <v>28</v>
      </c>
      <c r="V50" s="39"/>
    </row>
    <row r="51" spans="2:22" x14ac:dyDescent="0.25">
      <c r="B51" s="2" t="s">
        <v>98</v>
      </c>
      <c r="C51" s="2">
        <v>80</v>
      </c>
      <c r="D51" s="2">
        <v>78</v>
      </c>
      <c r="E51" s="2">
        <v>81</v>
      </c>
      <c r="F51" s="2">
        <v>82</v>
      </c>
      <c r="G51" s="39"/>
      <c r="H51" s="2">
        <v>84</v>
      </c>
      <c r="I51" s="2">
        <v>81</v>
      </c>
      <c r="J51" s="2">
        <v>84</v>
      </c>
      <c r="K51" s="2">
        <v>85</v>
      </c>
      <c r="L51" s="39"/>
      <c r="M51" s="2">
        <v>84</v>
      </c>
      <c r="N51" s="2">
        <v>81</v>
      </c>
      <c r="O51" s="2">
        <v>83</v>
      </c>
      <c r="P51" s="2">
        <v>82</v>
      </c>
      <c r="Q51" s="39"/>
      <c r="R51" s="2">
        <v>86</v>
      </c>
      <c r="S51" s="2">
        <v>82</v>
      </c>
      <c r="T51" s="2">
        <v>82</v>
      </c>
      <c r="V51" s="39"/>
    </row>
    <row r="52" spans="2:22" ht="20" thickBot="1" x14ac:dyDescent="0.3">
      <c r="B52" s="24" t="s">
        <v>99</v>
      </c>
      <c r="C52" s="24">
        <v>429</v>
      </c>
      <c r="D52" s="24">
        <v>418</v>
      </c>
      <c r="E52" s="24">
        <v>410</v>
      </c>
      <c r="F52" s="24">
        <v>440</v>
      </c>
      <c r="G52" s="43"/>
      <c r="H52" s="24">
        <v>512</v>
      </c>
      <c r="I52" s="24">
        <v>537</v>
      </c>
      <c r="J52" s="24">
        <v>470</v>
      </c>
      <c r="K52" s="24">
        <v>551</v>
      </c>
      <c r="L52" s="43"/>
      <c r="M52" s="24">
        <v>631</v>
      </c>
      <c r="N52" s="24">
        <v>570</v>
      </c>
      <c r="O52" s="24">
        <v>563</v>
      </c>
      <c r="P52" s="24">
        <v>604</v>
      </c>
      <c r="Q52" s="43"/>
      <c r="R52" s="24">
        <v>632</v>
      </c>
      <c r="S52" s="24">
        <v>618</v>
      </c>
      <c r="T52" s="24">
        <v>595</v>
      </c>
      <c r="U52" s="24"/>
      <c r="V52" s="4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8E745-DC06-8448-81B5-DC40131426CF}">
  <dimension ref="E5:I7"/>
  <sheetViews>
    <sheetView showGridLines="0" topLeftCell="B1" zoomScale="90" zoomScaleNormal="90" workbookViewId="0">
      <selection activeCell="G14" sqref="G14"/>
    </sheetView>
  </sheetViews>
  <sheetFormatPr baseColWidth="10" defaultRowHeight="16" x14ac:dyDescent="0.2"/>
  <cols>
    <col min="5" max="5" width="42.83203125" bestFit="1" customWidth="1"/>
    <col min="6" max="8" width="42" bestFit="1" customWidth="1"/>
  </cols>
  <sheetData>
    <row r="5" spans="5:9" ht="92" x14ac:dyDescent="1">
      <c r="E5" s="26"/>
      <c r="F5" s="26">
        <v>2025</v>
      </c>
      <c r="G5" s="26">
        <v>2026</v>
      </c>
      <c r="H5" s="26">
        <v>2027</v>
      </c>
      <c r="I5" s="27"/>
    </row>
    <row r="6" spans="5:9" ht="92" x14ac:dyDescent="1">
      <c r="E6" s="26" t="s">
        <v>101</v>
      </c>
      <c r="F6" s="32">
        <f>Modell!$B$9/Modell!AC10</f>
        <v>9.063566079630009</v>
      </c>
      <c r="G6" s="32">
        <f>Modell!$B$9/Modell!AD10</f>
        <v>8.2144324248851923</v>
      </c>
      <c r="H6" s="32">
        <f>Modell!$B$9/Modell!AE10</f>
        <v>7.4750851357243144</v>
      </c>
    </row>
    <row r="7" spans="5:9" ht="92" x14ac:dyDescent="1">
      <c r="E7" s="26" t="s">
        <v>102</v>
      </c>
      <c r="F7" s="32">
        <f>Modell!$B$4/Modell!AC16</f>
        <v>15.214007960250784</v>
      </c>
      <c r="G7" s="32">
        <f>Modell!$B$4/Modell!AD16</f>
        <v>13.224401753088205</v>
      </c>
      <c r="H7" s="32">
        <f>Modell!$B$4/Modell!AE16</f>
        <v>11.618044966114006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0E728-F167-BB41-A797-9B95800AF4C4}">
  <dimension ref="A3:CY38"/>
  <sheetViews>
    <sheetView showGridLines="0" workbookViewId="0">
      <pane xSplit="3" ySplit="3" topLeftCell="G4" activePane="bottomRight" state="frozen"/>
      <selection pane="topRight" activeCell="D1" sqref="D1"/>
      <selection pane="bottomLeft" activeCell="A4" sqref="A4"/>
      <selection pane="bottomRight" activeCell="K30" sqref="K30"/>
    </sheetView>
  </sheetViews>
  <sheetFormatPr baseColWidth="10" defaultRowHeight="19" x14ac:dyDescent="0.25"/>
  <cols>
    <col min="1" max="1" width="10.83203125" style="2"/>
    <col min="2" max="2" width="22.5" style="4" customWidth="1"/>
    <col min="3" max="3" width="31.5" style="2" customWidth="1"/>
    <col min="4" max="22" width="10.83203125" style="2"/>
    <col min="23" max="23" width="14.83203125" style="2" bestFit="1" customWidth="1"/>
    <col min="24" max="24" width="13.33203125" style="2" bestFit="1" customWidth="1"/>
    <col min="25" max="16384" width="10.83203125" style="2"/>
  </cols>
  <sheetData>
    <row r="3" spans="1:103" x14ac:dyDescent="0.25">
      <c r="A3" s="1" t="s">
        <v>137</v>
      </c>
      <c r="D3" s="2" t="s">
        <v>109</v>
      </c>
      <c r="E3" s="2" t="s">
        <v>110</v>
      </c>
      <c r="F3" s="2" t="s">
        <v>111</v>
      </c>
      <c r="G3" s="2" t="s">
        <v>112</v>
      </c>
      <c r="H3" s="2" t="s">
        <v>20</v>
      </c>
      <c r="I3" s="2" t="s">
        <v>21</v>
      </c>
      <c r="J3" s="2" t="s">
        <v>22</v>
      </c>
      <c r="K3" s="4" t="s">
        <v>23</v>
      </c>
      <c r="L3" s="2" t="s">
        <v>24</v>
      </c>
      <c r="M3" s="2" t="s">
        <v>25</v>
      </c>
      <c r="N3" s="2" t="s">
        <v>26</v>
      </c>
      <c r="O3" s="2" t="s">
        <v>27</v>
      </c>
      <c r="P3" s="2" t="s">
        <v>28</v>
      </c>
      <c r="Q3" s="2" t="s">
        <v>29</v>
      </c>
      <c r="R3" s="2" t="s">
        <v>30</v>
      </c>
      <c r="S3" s="2" t="s">
        <v>31</v>
      </c>
      <c r="T3" s="2" t="s">
        <v>32</v>
      </c>
      <c r="U3" s="2" t="s">
        <v>33</v>
      </c>
    </row>
    <row r="4" spans="1:103" x14ac:dyDescent="0.25">
      <c r="A4" s="1" t="s">
        <v>139</v>
      </c>
      <c r="C4" s="1" t="s">
        <v>41</v>
      </c>
      <c r="D4" s="20">
        <v>3259</v>
      </c>
      <c r="E4" s="20">
        <v>3987</v>
      </c>
      <c r="F4" s="20">
        <v>3534</v>
      </c>
      <c r="G4" s="20">
        <v>3247</v>
      </c>
      <c r="H4" s="20">
        <v>4082</v>
      </c>
      <c r="I4" s="20">
        <v>4734</v>
      </c>
      <c r="J4" s="20">
        <v>5065</v>
      </c>
      <c r="K4" s="18">
        <f>J4*1.1</f>
        <v>5571.5</v>
      </c>
      <c r="L4" s="20">
        <f>K4*1</f>
        <v>5571.5</v>
      </c>
      <c r="M4" s="20">
        <f t="shared" ref="M4:U4" si="0">L4*1</f>
        <v>5571.5</v>
      </c>
      <c r="N4" s="20">
        <f t="shared" si="0"/>
        <v>5571.5</v>
      </c>
      <c r="O4" s="20">
        <f t="shared" si="0"/>
        <v>5571.5</v>
      </c>
      <c r="P4" s="20">
        <f t="shared" si="0"/>
        <v>5571.5</v>
      </c>
      <c r="Q4" s="20">
        <f t="shared" si="0"/>
        <v>5571.5</v>
      </c>
      <c r="R4" s="20">
        <f t="shared" si="0"/>
        <v>5571.5</v>
      </c>
      <c r="S4" s="20">
        <f t="shared" si="0"/>
        <v>5571.5</v>
      </c>
      <c r="T4" s="20">
        <f t="shared" si="0"/>
        <v>5571.5</v>
      </c>
      <c r="U4" s="20">
        <f t="shared" si="0"/>
        <v>5571.5</v>
      </c>
    </row>
    <row r="5" spans="1:103" x14ac:dyDescent="0.25">
      <c r="A5" s="34">
        <f>X20</f>
        <v>23.753412745736522</v>
      </c>
      <c r="C5" s="2" t="s">
        <v>42</v>
      </c>
      <c r="D5" s="21">
        <v>-80</v>
      </c>
      <c r="E5" s="21">
        <v>-115</v>
      </c>
      <c r="F5" s="21">
        <v>-122</v>
      </c>
      <c r="G5" s="21">
        <v>-106</v>
      </c>
      <c r="H5" s="21">
        <v>-147</v>
      </c>
      <c r="I5" s="21">
        <v>-137</v>
      </c>
      <c r="J5" s="21">
        <v>-143</v>
      </c>
      <c r="K5" s="17">
        <f>J5*1.03</f>
        <v>-147.29</v>
      </c>
      <c r="L5" s="21">
        <f t="shared" ref="L5:U5" si="1">K5*1.03</f>
        <v>-151.70869999999999</v>
      </c>
      <c r="M5" s="21">
        <f t="shared" si="1"/>
        <v>-156.259961</v>
      </c>
      <c r="N5" s="21">
        <f t="shared" si="1"/>
        <v>-160.94775983</v>
      </c>
      <c r="O5" s="21">
        <f t="shared" si="1"/>
        <v>-165.77619262490001</v>
      </c>
      <c r="P5" s="21">
        <f t="shared" si="1"/>
        <v>-170.749478403647</v>
      </c>
      <c r="Q5" s="21">
        <f t="shared" si="1"/>
        <v>-175.87196275575641</v>
      </c>
      <c r="R5" s="21">
        <f t="shared" si="1"/>
        <v>-181.1481216384291</v>
      </c>
      <c r="S5" s="21">
        <f t="shared" si="1"/>
        <v>-186.58256528758199</v>
      </c>
      <c r="T5" s="21">
        <f t="shared" si="1"/>
        <v>-192.18004224620944</v>
      </c>
      <c r="U5" s="21">
        <f t="shared" si="1"/>
        <v>-197.94544351359573</v>
      </c>
    </row>
    <row r="6" spans="1:103" x14ac:dyDescent="0.25">
      <c r="A6" s="31">
        <f>X21</f>
        <v>-0.34018297928509661</v>
      </c>
      <c r="C6" s="2" t="s">
        <v>115</v>
      </c>
      <c r="D6" s="21">
        <f t="shared" ref="D6:I6" si="2">D4+D5</f>
        <v>3179</v>
      </c>
      <c r="E6" s="21">
        <f t="shared" si="2"/>
        <v>3872</v>
      </c>
      <c r="F6" s="21">
        <f t="shared" si="2"/>
        <v>3412</v>
      </c>
      <c r="G6" s="21">
        <f t="shared" si="2"/>
        <v>3141</v>
      </c>
      <c r="H6" s="21">
        <f>SUM(H4:H5)</f>
        <v>3935</v>
      </c>
      <c r="I6" s="21">
        <f t="shared" si="2"/>
        <v>4597</v>
      </c>
      <c r="J6" s="21">
        <f>J4+J5</f>
        <v>4922</v>
      </c>
      <c r="K6" s="17">
        <f t="shared" ref="K6:L6" si="3">K4+K5</f>
        <v>5424.21</v>
      </c>
      <c r="L6" s="21">
        <f t="shared" si="3"/>
        <v>5419.7912999999999</v>
      </c>
      <c r="M6" s="21">
        <f t="shared" ref="M6:U6" si="4">M4+M5</f>
        <v>5415.2400390000003</v>
      </c>
      <c r="N6" s="21">
        <f t="shared" si="4"/>
        <v>5410.55224017</v>
      </c>
      <c r="O6" s="21">
        <f t="shared" si="4"/>
        <v>5405.7238073750996</v>
      </c>
      <c r="P6" s="21">
        <f t="shared" si="4"/>
        <v>5400.7505215963529</v>
      </c>
      <c r="Q6" s="21">
        <f t="shared" si="4"/>
        <v>5395.6280372442434</v>
      </c>
      <c r="R6" s="21">
        <f t="shared" si="4"/>
        <v>5390.3518783615709</v>
      </c>
      <c r="S6" s="21">
        <f t="shared" si="4"/>
        <v>5384.9174347124181</v>
      </c>
      <c r="T6" s="21">
        <f t="shared" si="4"/>
        <v>5379.3199577537907</v>
      </c>
      <c r="U6" s="21">
        <f t="shared" si="4"/>
        <v>5373.5545564864042</v>
      </c>
    </row>
    <row r="7" spans="1:103" x14ac:dyDescent="0.25">
      <c r="C7" s="2" t="s">
        <v>43</v>
      </c>
      <c r="D7" s="21">
        <v>-1224</v>
      </c>
      <c r="E7" s="21">
        <v>-1463</v>
      </c>
      <c r="F7" s="21">
        <v>-1352</v>
      </c>
      <c r="G7" s="21">
        <v>-1399</v>
      </c>
      <c r="H7" s="21">
        <v>-1588</v>
      </c>
      <c r="I7" s="21">
        <v>-1677</v>
      </c>
      <c r="J7" s="21">
        <v>-1861</v>
      </c>
      <c r="K7" s="17">
        <f>J7*1.08</f>
        <v>-2009.88</v>
      </c>
      <c r="L7" s="21">
        <f>K7*1.01</f>
        <v>-2029.9788000000001</v>
      </c>
      <c r="M7" s="21">
        <f t="shared" ref="M7:U7" si="5">L7*1</f>
        <v>-2029.9788000000001</v>
      </c>
      <c r="N7" s="21">
        <f t="shared" si="5"/>
        <v>-2029.9788000000001</v>
      </c>
      <c r="O7" s="21">
        <f t="shared" si="5"/>
        <v>-2029.9788000000001</v>
      </c>
      <c r="P7" s="21">
        <f t="shared" si="5"/>
        <v>-2029.9788000000001</v>
      </c>
      <c r="Q7" s="21">
        <f t="shared" si="5"/>
        <v>-2029.9788000000001</v>
      </c>
      <c r="R7" s="21">
        <f t="shared" si="5"/>
        <v>-2029.9788000000001</v>
      </c>
      <c r="S7" s="21">
        <f t="shared" si="5"/>
        <v>-2029.9788000000001</v>
      </c>
      <c r="T7" s="21">
        <f t="shared" si="5"/>
        <v>-2029.9788000000001</v>
      </c>
      <c r="U7" s="21">
        <f t="shared" si="5"/>
        <v>-2029.9788000000001</v>
      </c>
    </row>
    <row r="8" spans="1:103" x14ac:dyDescent="0.25">
      <c r="C8" s="2" t="s">
        <v>44</v>
      </c>
      <c r="D8" s="21">
        <v>-688</v>
      </c>
      <c r="E8" s="21">
        <v>-925</v>
      </c>
      <c r="F8" s="21">
        <v>-925</v>
      </c>
      <c r="G8" s="21">
        <v>-925</v>
      </c>
      <c r="H8" s="21">
        <v>-1207</v>
      </c>
      <c r="I8" s="21">
        <v>-1135</v>
      </c>
      <c r="J8" s="21">
        <v>-1120</v>
      </c>
      <c r="K8" s="17">
        <f t="shared" ref="K8:K9" si="6">J8*1.07</f>
        <v>-1198.4000000000001</v>
      </c>
      <c r="L8" s="21">
        <f t="shared" ref="L8:L9" si="7">K8*1.01</f>
        <v>-1210.384</v>
      </c>
      <c r="M8" s="21">
        <f t="shared" ref="M8:U9" si="8">L8*1</f>
        <v>-1210.384</v>
      </c>
      <c r="N8" s="21">
        <f t="shared" si="8"/>
        <v>-1210.384</v>
      </c>
      <c r="O8" s="21">
        <f t="shared" si="8"/>
        <v>-1210.384</v>
      </c>
      <c r="P8" s="21">
        <f t="shared" si="8"/>
        <v>-1210.384</v>
      </c>
      <c r="Q8" s="21">
        <f t="shared" si="8"/>
        <v>-1210.384</v>
      </c>
      <c r="R8" s="21">
        <f t="shared" si="8"/>
        <v>-1210.384</v>
      </c>
      <c r="S8" s="21">
        <f t="shared" si="8"/>
        <v>-1210.384</v>
      </c>
      <c r="T8" s="21">
        <f t="shared" si="8"/>
        <v>-1210.384</v>
      </c>
      <c r="U8" s="21">
        <f t="shared" si="8"/>
        <v>-1210.384</v>
      </c>
    </row>
    <row r="9" spans="1:103" x14ac:dyDescent="0.25">
      <c r="C9" s="2" t="s">
        <v>45</v>
      </c>
      <c r="D9" s="21">
        <f>-739-265</f>
        <v>-1004</v>
      </c>
      <c r="E9" s="21">
        <v>-972</v>
      </c>
      <c r="F9" s="21">
        <f>-1045-70</f>
        <v>-1115</v>
      </c>
      <c r="G9" s="21">
        <v>-1042</v>
      </c>
      <c r="H9" s="21">
        <v>-1121</v>
      </c>
      <c r="I9" s="21">
        <v>-1178</v>
      </c>
      <c r="J9" s="21">
        <v>-1198</v>
      </c>
      <c r="K9" s="17">
        <f t="shared" si="6"/>
        <v>-1281.8600000000001</v>
      </c>
      <c r="L9" s="21">
        <f t="shared" si="7"/>
        <v>-1294.6786000000002</v>
      </c>
      <c r="M9" s="21">
        <f t="shared" si="8"/>
        <v>-1294.6786000000002</v>
      </c>
      <c r="N9" s="21">
        <f t="shared" si="8"/>
        <v>-1294.6786000000002</v>
      </c>
      <c r="O9" s="21">
        <f t="shared" si="8"/>
        <v>-1294.6786000000002</v>
      </c>
      <c r="P9" s="21">
        <f t="shared" si="8"/>
        <v>-1294.6786000000002</v>
      </c>
      <c r="Q9" s="21">
        <f t="shared" si="8"/>
        <v>-1294.6786000000002</v>
      </c>
      <c r="R9" s="21">
        <f t="shared" si="8"/>
        <v>-1294.6786000000002</v>
      </c>
      <c r="S9" s="21">
        <f t="shared" si="8"/>
        <v>-1294.6786000000002</v>
      </c>
      <c r="T9" s="21">
        <f t="shared" si="8"/>
        <v>-1294.6786000000002</v>
      </c>
      <c r="U9" s="21">
        <f t="shared" si="8"/>
        <v>-1294.6786000000002</v>
      </c>
    </row>
    <row r="10" spans="1:103" x14ac:dyDescent="0.25">
      <c r="C10" s="1" t="s">
        <v>52</v>
      </c>
      <c r="D10" s="20">
        <f t="shared" ref="D10:I10" si="9">SUM(D6:D9)</f>
        <v>263</v>
      </c>
      <c r="E10" s="20">
        <f t="shared" si="9"/>
        <v>512</v>
      </c>
      <c r="F10" s="20">
        <f t="shared" si="9"/>
        <v>20</v>
      </c>
      <c r="G10" s="20">
        <f t="shared" si="9"/>
        <v>-225</v>
      </c>
      <c r="H10" s="20">
        <f t="shared" si="9"/>
        <v>19</v>
      </c>
      <c r="I10" s="20">
        <f t="shared" si="9"/>
        <v>607</v>
      </c>
      <c r="J10" s="20">
        <f>SUM(J6:J9)</f>
        <v>743</v>
      </c>
      <c r="K10" s="18">
        <f t="shared" ref="K10:U10" si="10">SUM(K6:K9)</f>
        <v>934.06999999999971</v>
      </c>
      <c r="L10" s="20">
        <f t="shared" si="10"/>
        <v>884.7498999999998</v>
      </c>
      <c r="M10" s="20">
        <f t="shared" si="10"/>
        <v>880.19863900000018</v>
      </c>
      <c r="N10" s="20">
        <f t="shared" si="10"/>
        <v>875.51084016999994</v>
      </c>
      <c r="O10" s="20">
        <f t="shared" si="10"/>
        <v>870.6824073750995</v>
      </c>
      <c r="P10" s="20">
        <f t="shared" si="10"/>
        <v>865.70912159635282</v>
      </c>
      <c r="Q10" s="20">
        <f t="shared" si="10"/>
        <v>860.58663724424332</v>
      </c>
      <c r="R10" s="20">
        <f t="shared" si="10"/>
        <v>855.31047836157086</v>
      </c>
      <c r="S10" s="20">
        <f t="shared" si="10"/>
        <v>849.876034712418</v>
      </c>
      <c r="T10" s="20">
        <f t="shared" si="10"/>
        <v>844.27855775379066</v>
      </c>
      <c r="U10" s="20">
        <f t="shared" si="10"/>
        <v>838.51315648640411</v>
      </c>
    </row>
    <row r="11" spans="1:103" x14ac:dyDescent="0.25">
      <c r="C11" s="2" t="s">
        <v>46</v>
      </c>
      <c r="D11" s="21">
        <v>-240</v>
      </c>
      <c r="E11" s="21">
        <v>-265</v>
      </c>
      <c r="F11" s="21">
        <v>-267</v>
      </c>
      <c r="G11" s="21">
        <v>-298</v>
      </c>
      <c r="H11" s="21">
        <v>-281</v>
      </c>
      <c r="I11" s="21">
        <v>-294</v>
      </c>
      <c r="J11" s="21">
        <v>-310</v>
      </c>
      <c r="K11" s="17">
        <f>J11*1.01</f>
        <v>-313.10000000000002</v>
      </c>
      <c r="L11" s="21">
        <f t="shared" ref="L11:U11" si="11">K11*1.01</f>
        <v>-316.23100000000005</v>
      </c>
      <c r="M11" s="21">
        <f t="shared" si="11"/>
        <v>-319.39331000000004</v>
      </c>
      <c r="N11" s="21">
        <f t="shared" si="11"/>
        <v>-322.58724310000002</v>
      </c>
      <c r="O11" s="21">
        <f t="shared" si="11"/>
        <v>-325.81311553100005</v>
      </c>
      <c r="P11" s="21">
        <f t="shared" si="11"/>
        <v>-329.07124668631008</v>
      </c>
      <c r="Q11" s="21">
        <f t="shared" si="11"/>
        <v>-332.36195915317319</v>
      </c>
      <c r="R11" s="21">
        <f t="shared" si="11"/>
        <v>-335.68557874470491</v>
      </c>
      <c r="S11" s="21">
        <f t="shared" si="11"/>
        <v>-339.04243453215196</v>
      </c>
      <c r="T11" s="21">
        <f t="shared" si="11"/>
        <v>-342.43285887747351</v>
      </c>
      <c r="U11" s="21">
        <f t="shared" si="11"/>
        <v>-345.85718746624826</v>
      </c>
    </row>
    <row r="12" spans="1:103" x14ac:dyDescent="0.25">
      <c r="C12" s="2" t="s">
        <v>47</v>
      </c>
      <c r="D12" s="21">
        <f t="shared" ref="D12:U12" si="12">SUM(D10:D11)</f>
        <v>23</v>
      </c>
      <c r="E12" s="21">
        <f t="shared" si="12"/>
        <v>247</v>
      </c>
      <c r="F12" s="21">
        <f t="shared" si="12"/>
        <v>-247</v>
      </c>
      <c r="G12" s="21">
        <f t="shared" si="12"/>
        <v>-523</v>
      </c>
      <c r="H12" s="21">
        <f t="shared" si="12"/>
        <v>-262</v>
      </c>
      <c r="I12" s="21">
        <f t="shared" si="12"/>
        <v>313</v>
      </c>
      <c r="J12" s="21">
        <f t="shared" si="12"/>
        <v>433</v>
      </c>
      <c r="K12" s="17">
        <f t="shared" si="12"/>
        <v>620.96999999999969</v>
      </c>
      <c r="L12" s="21">
        <f t="shared" si="12"/>
        <v>568.5188999999998</v>
      </c>
      <c r="M12" s="21">
        <f t="shared" si="12"/>
        <v>560.80532900000014</v>
      </c>
      <c r="N12" s="21">
        <f t="shared" si="12"/>
        <v>552.92359706999991</v>
      </c>
      <c r="O12" s="21">
        <f t="shared" si="12"/>
        <v>544.86929184409951</v>
      </c>
      <c r="P12" s="21">
        <f t="shared" si="12"/>
        <v>536.63787491004268</v>
      </c>
      <c r="Q12" s="21">
        <f t="shared" si="12"/>
        <v>528.22467809107013</v>
      </c>
      <c r="R12" s="21">
        <f t="shared" si="12"/>
        <v>519.62489961686595</v>
      </c>
      <c r="S12" s="21">
        <f t="shared" si="12"/>
        <v>510.83360018026605</v>
      </c>
      <c r="T12" s="21">
        <f t="shared" si="12"/>
        <v>501.84569887631716</v>
      </c>
      <c r="U12" s="21">
        <f t="shared" si="12"/>
        <v>492.65596902015585</v>
      </c>
    </row>
    <row r="13" spans="1:103" x14ac:dyDescent="0.25">
      <c r="C13" s="2" t="s">
        <v>48</v>
      </c>
      <c r="D13" s="21">
        <v>-28</v>
      </c>
      <c r="E13" s="21">
        <v>-60</v>
      </c>
      <c r="F13" s="21">
        <v>-69</v>
      </c>
      <c r="G13" s="21">
        <v>70</v>
      </c>
      <c r="H13" s="21">
        <v>15</v>
      </c>
      <c r="I13" s="21">
        <v>-90</v>
      </c>
      <c r="J13" s="21">
        <v>-108</v>
      </c>
      <c r="K13" s="17">
        <f>K12*-0.22</f>
        <v>-136.61339999999993</v>
      </c>
      <c r="L13" s="21">
        <f t="shared" ref="L13:U13" si="13">L12*-0.22</f>
        <v>-125.07415799999995</v>
      </c>
      <c r="M13" s="21">
        <f t="shared" si="13"/>
        <v>-123.37717238000003</v>
      </c>
      <c r="N13" s="21">
        <f t="shared" si="13"/>
        <v>-121.64319135539998</v>
      </c>
      <c r="O13" s="21">
        <f t="shared" si="13"/>
        <v>-119.8712442057019</v>
      </c>
      <c r="P13" s="21">
        <f t="shared" si="13"/>
        <v>-118.0603324802094</v>
      </c>
      <c r="Q13" s="21">
        <f t="shared" si="13"/>
        <v>-116.20942918003543</v>
      </c>
      <c r="R13" s="21">
        <f t="shared" si="13"/>
        <v>-114.31747791571051</v>
      </c>
      <c r="S13" s="21">
        <f t="shared" si="13"/>
        <v>-112.38339203965853</v>
      </c>
      <c r="T13" s="21">
        <f t="shared" si="13"/>
        <v>-110.40605375278977</v>
      </c>
      <c r="U13" s="21">
        <f t="shared" si="13"/>
        <v>-108.38431318443429</v>
      </c>
    </row>
    <row r="14" spans="1:103" x14ac:dyDescent="0.25">
      <c r="C14" s="1" t="s">
        <v>49</v>
      </c>
      <c r="D14" s="20">
        <f>SUM(D12:D13)</f>
        <v>-5</v>
      </c>
      <c r="E14" s="20">
        <f>SUM(E12:E13)</f>
        <v>187</v>
      </c>
      <c r="F14" s="20">
        <f>SUM(F12:F13)</f>
        <v>-316</v>
      </c>
      <c r="G14" s="20">
        <f>SUM(G12:G13)</f>
        <v>-453</v>
      </c>
      <c r="H14" s="20">
        <f>SUM(H12:H13)</f>
        <v>-247</v>
      </c>
      <c r="I14" s="20">
        <f t="shared" ref="I14:U14" si="14">SUM(I12:I13)</f>
        <v>223</v>
      </c>
      <c r="J14" s="20">
        <f t="shared" si="14"/>
        <v>325</v>
      </c>
      <c r="K14" s="18">
        <f t="shared" si="14"/>
        <v>484.35659999999973</v>
      </c>
      <c r="L14" s="20">
        <f t="shared" si="14"/>
        <v>443.44474199999985</v>
      </c>
      <c r="M14" s="20">
        <f t="shared" si="14"/>
        <v>437.4281566200001</v>
      </c>
      <c r="N14" s="20">
        <f t="shared" si="14"/>
        <v>431.28040571459996</v>
      </c>
      <c r="O14" s="20">
        <f t="shared" si="14"/>
        <v>424.99804763839762</v>
      </c>
      <c r="P14" s="20">
        <f t="shared" si="14"/>
        <v>418.57754242983327</v>
      </c>
      <c r="Q14" s="20">
        <f t="shared" si="14"/>
        <v>412.01524891103469</v>
      </c>
      <c r="R14" s="20">
        <f t="shared" si="14"/>
        <v>405.30742170115542</v>
      </c>
      <c r="S14" s="20">
        <f t="shared" si="14"/>
        <v>398.45020814060751</v>
      </c>
      <c r="T14" s="20">
        <f t="shared" si="14"/>
        <v>391.43964512352738</v>
      </c>
      <c r="U14" s="20">
        <f t="shared" si="14"/>
        <v>384.27165583572156</v>
      </c>
      <c r="V14" s="20">
        <f>U14*(1+$X$17)</f>
        <v>380.42893927736435</v>
      </c>
      <c r="W14" s="20">
        <f t="shared" ref="W14:CH14" si="15">V14*(1+$X$17)</f>
        <v>376.62464988459072</v>
      </c>
      <c r="X14" s="20">
        <f t="shared" si="15"/>
        <v>372.85840338574479</v>
      </c>
      <c r="Y14" s="20">
        <f t="shared" si="15"/>
        <v>369.12981935188736</v>
      </c>
      <c r="Z14" s="20">
        <f t="shared" si="15"/>
        <v>365.43852115836847</v>
      </c>
      <c r="AA14" s="20">
        <f t="shared" si="15"/>
        <v>361.78413594678477</v>
      </c>
      <c r="AB14" s="20">
        <f t="shared" si="15"/>
        <v>358.16629458731694</v>
      </c>
      <c r="AC14" s="20">
        <f t="shared" si="15"/>
        <v>354.58463164144376</v>
      </c>
      <c r="AD14" s="20">
        <f t="shared" si="15"/>
        <v>351.03878532502932</v>
      </c>
      <c r="AE14" s="20">
        <f t="shared" si="15"/>
        <v>347.52839747177904</v>
      </c>
      <c r="AF14" s="20">
        <f t="shared" si="15"/>
        <v>344.05311349706125</v>
      </c>
      <c r="AG14" s="20">
        <f t="shared" si="15"/>
        <v>340.61258236209062</v>
      </c>
      <c r="AH14" s="20">
        <f t="shared" si="15"/>
        <v>337.20645653846969</v>
      </c>
      <c r="AI14" s="20">
        <f t="shared" si="15"/>
        <v>333.83439197308502</v>
      </c>
      <c r="AJ14" s="20">
        <f t="shared" si="15"/>
        <v>330.49604805335417</v>
      </c>
      <c r="AK14" s="20">
        <f t="shared" si="15"/>
        <v>327.19108757282061</v>
      </c>
      <c r="AL14" s="20">
        <f t="shared" si="15"/>
        <v>323.91917669709238</v>
      </c>
      <c r="AM14" s="20">
        <f t="shared" si="15"/>
        <v>320.67998493012146</v>
      </c>
      <c r="AN14" s="20">
        <f t="shared" si="15"/>
        <v>317.47318508082026</v>
      </c>
      <c r="AO14" s="20">
        <f t="shared" si="15"/>
        <v>314.29845323001206</v>
      </c>
      <c r="AP14" s="20">
        <f t="shared" si="15"/>
        <v>311.15546869771191</v>
      </c>
      <c r="AQ14" s="20">
        <f t="shared" si="15"/>
        <v>308.0439140107348</v>
      </c>
      <c r="AR14" s="20">
        <f t="shared" si="15"/>
        <v>304.96347487062746</v>
      </c>
      <c r="AS14" s="20">
        <f t="shared" si="15"/>
        <v>301.91384012192117</v>
      </c>
      <c r="AT14" s="20">
        <f t="shared" si="15"/>
        <v>298.89470172070196</v>
      </c>
      <c r="AU14" s="20">
        <f t="shared" si="15"/>
        <v>295.90575470349495</v>
      </c>
      <c r="AV14" s="20">
        <f t="shared" si="15"/>
        <v>292.94669715646</v>
      </c>
      <c r="AW14" s="20">
        <f t="shared" si="15"/>
        <v>290.01723018489542</v>
      </c>
      <c r="AX14" s="20">
        <f t="shared" si="15"/>
        <v>287.11705788304647</v>
      </c>
      <c r="AY14" s="20">
        <f t="shared" si="15"/>
        <v>284.24588730421601</v>
      </c>
      <c r="AZ14" s="20">
        <f t="shared" si="15"/>
        <v>281.40342843117384</v>
      </c>
      <c r="BA14" s="20">
        <f t="shared" si="15"/>
        <v>278.58939414686211</v>
      </c>
      <c r="BB14" s="20">
        <f t="shared" si="15"/>
        <v>275.8035002053935</v>
      </c>
      <c r="BC14" s="20">
        <f t="shared" si="15"/>
        <v>273.04546520333957</v>
      </c>
      <c r="BD14" s="20">
        <f t="shared" si="15"/>
        <v>270.31501055130616</v>
      </c>
      <c r="BE14" s="20">
        <f t="shared" si="15"/>
        <v>267.61186044579307</v>
      </c>
      <c r="BF14" s="20">
        <f t="shared" si="15"/>
        <v>264.93574184133513</v>
      </c>
      <c r="BG14" s="20">
        <f t="shared" si="15"/>
        <v>262.2863844229218</v>
      </c>
      <c r="BH14" s="20">
        <f t="shared" si="15"/>
        <v>259.66352057869256</v>
      </c>
      <c r="BI14" s="20">
        <f t="shared" si="15"/>
        <v>257.06688537290563</v>
      </c>
      <c r="BJ14" s="20">
        <f t="shared" si="15"/>
        <v>254.49621651917658</v>
      </c>
      <c r="BK14" s="20">
        <f t="shared" si="15"/>
        <v>251.95125435398481</v>
      </c>
      <c r="BL14" s="20">
        <f t="shared" si="15"/>
        <v>249.43174181044495</v>
      </c>
      <c r="BM14" s="20">
        <f t="shared" si="15"/>
        <v>246.93742439234049</v>
      </c>
      <c r="BN14" s="20">
        <f t="shared" si="15"/>
        <v>244.46805014841709</v>
      </c>
      <c r="BO14" s="20">
        <f t="shared" si="15"/>
        <v>242.02336964693291</v>
      </c>
      <c r="BP14" s="20">
        <f t="shared" si="15"/>
        <v>239.60313595046358</v>
      </c>
      <c r="BQ14" s="20">
        <f t="shared" si="15"/>
        <v>237.20710459095895</v>
      </c>
      <c r="BR14" s="20">
        <f t="shared" si="15"/>
        <v>234.83503354504936</v>
      </c>
      <c r="BS14" s="20">
        <f t="shared" si="15"/>
        <v>232.48668320959885</v>
      </c>
      <c r="BT14" s="20">
        <f t="shared" si="15"/>
        <v>230.16181637750287</v>
      </c>
      <c r="BU14" s="20">
        <f t="shared" si="15"/>
        <v>227.86019821372784</v>
      </c>
      <c r="BV14" s="20">
        <f t="shared" si="15"/>
        <v>225.58159623159057</v>
      </c>
      <c r="BW14" s="20">
        <f t="shared" si="15"/>
        <v>223.32578026927465</v>
      </c>
      <c r="BX14" s="20">
        <f t="shared" si="15"/>
        <v>221.0925224665819</v>
      </c>
      <c r="BY14" s="20">
        <f t="shared" si="15"/>
        <v>218.88159724191607</v>
      </c>
      <c r="BZ14" s="20">
        <f t="shared" si="15"/>
        <v>216.69278126949692</v>
      </c>
      <c r="CA14" s="20">
        <f t="shared" si="15"/>
        <v>214.52585345680194</v>
      </c>
      <c r="CB14" s="20">
        <f t="shared" si="15"/>
        <v>212.38059492223391</v>
      </c>
      <c r="CC14" s="20">
        <f t="shared" si="15"/>
        <v>210.25678897301157</v>
      </c>
      <c r="CD14" s="20">
        <f t="shared" si="15"/>
        <v>208.15422108328144</v>
      </c>
      <c r="CE14" s="20">
        <f t="shared" si="15"/>
        <v>206.07267887244862</v>
      </c>
      <c r="CF14" s="20">
        <f t="shared" si="15"/>
        <v>204.01195208372414</v>
      </c>
      <c r="CG14" s="20">
        <f t="shared" si="15"/>
        <v>201.9718325628869</v>
      </c>
      <c r="CH14" s="20">
        <f t="shared" si="15"/>
        <v>199.95211423725803</v>
      </c>
      <c r="CI14" s="20">
        <f t="shared" ref="CI14:CY14" si="16">CH14*(1+$X$17)</f>
        <v>197.95259309488546</v>
      </c>
      <c r="CJ14" s="20">
        <f t="shared" si="16"/>
        <v>195.97306716393661</v>
      </c>
      <c r="CK14" s="20">
        <f t="shared" si="16"/>
        <v>194.01333649229724</v>
      </c>
      <c r="CL14" s="20">
        <f t="shared" si="16"/>
        <v>192.07320312737426</v>
      </c>
      <c r="CM14" s="20">
        <f t="shared" si="16"/>
        <v>190.1524710961005</v>
      </c>
      <c r="CN14" s="20">
        <f t="shared" si="16"/>
        <v>188.25094638513949</v>
      </c>
      <c r="CO14" s="20">
        <f t="shared" si="16"/>
        <v>186.36843692128809</v>
      </c>
      <c r="CP14" s="20">
        <f t="shared" si="16"/>
        <v>184.50475255207522</v>
      </c>
      <c r="CQ14" s="20">
        <f t="shared" si="16"/>
        <v>182.65970502655446</v>
      </c>
      <c r="CR14" s="20">
        <f t="shared" si="16"/>
        <v>180.83310797628891</v>
      </c>
      <c r="CS14" s="20">
        <f t="shared" si="16"/>
        <v>179.02477689652602</v>
      </c>
      <c r="CT14" s="20">
        <f t="shared" si="16"/>
        <v>177.23452912756076</v>
      </c>
      <c r="CU14" s="20">
        <f t="shared" si="16"/>
        <v>175.46218383628516</v>
      </c>
      <c r="CV14" s="20">
        <f t="shared" si="16"/>
        <v>173.70756199792231</v>
      </c>
      <c r="CW14" s="20">
        <f t="shared" si="16"/>
        <v>171.97048637794308</v>
      </c>
      <c r="CX14" s="20">
        <f t="shared" si="16"/>
        <v>170.25078151416363</v>
      </c>
      <c r="CY14" s="20">
        <f t="shared" si="16"/>
        <v>168.54827369902199</v>
      </c>
    </row>
    <row r="15" spans="1:103" x14ac:dyDescent="0.25">
      <c r="C15" s="2" t="s">
        <v>50</v>
      </c>
      <c r="D15" s="9">
        <v>170</v>
      </c>
      <c r="E15" s="9">
        <v>170</v>
      </c>
      <c r="F15" s="9">
        <v>204.69458800000001</v>
      </c>
      <c r="G15" s="9">
        <v>204.69458800000001</v>
      </c>
      <c r="H15" s="9">
        <v>204.69458800000001</v>
      </c>
      <c r="I15" s="9">
        <v>204.69458800000001</v>
      </c>
      <c r="J15" s="9">
        <v>204.69458800000001</v>
      </c>
      <c r="K15" s="8">
        <v>204.69458800000001</v>
      </c>
      <c r="L15" s="9">
        <v>204.69458800000001</v>
      </c>
      <c r="M15" s="9">
        <v>204.69458800000001</v>
      </c>
      <c r="N15" s="9">
        <v>204.69458800000001</v>
      </c>
      <c r="O15" s="9">
        <v>204.69458800000001</v>
      </c>
      <c r="P15" s="9">
        <v>204.69458800000001</v>
      </c>
      <c r="Q15" s="9">
        <v>204.69458800000001</v>
      </c>
      <c r="R15" s="9">
        <v>204.69458800000001</v>
      </c>
      <c r="S15" s="9">
        <v>204.69458800000001</v>
      </c>
      <c r="T15" s="9">
        <v>204.69458800000001</v>
      </c>
      <c r="U15" s="9">
        <v>204.69458800000001</v>
      </c>
    </row>
    <row r="16" spans="1:103" x14ac:dyDescent="0.25">
      <c r="C16" s="2" t="s">
        <v>51</v>
      </c>
      <c r="D16" s="10">
        <f>D14/D15</f>
        <v>-2.9411764705882353E-2</v>
      </c>
      <c r="E16" s="10">
        <f>E14/E15</f>
        <v>1.1000000000000001</v>
      </c>
      <c r="F16" s="10">
        <f>F14/F15</f>
        <v>-1.5437633358435445</v>
      </c>
      <c r="G16" s="10">
        <f>G14/G15</f>
        <v>-2.2130531365098913</v>
      </c>
      <c r="H16" s="10">
        <f>H14/H15</f>
        <v>-1.2066757720042895</v>
      </c>
      <c r="I16" s="10">
        <f t="shared" ref="I16:U16" si="17">I14/I15</f>
        <v>1.0894279237123747</v>
      </c>
      <c r="J16" s="10">
        <f t="shared" si="17"/>
        <v>1.5877312789530127</v>
      </c>
      <c r="K16" s="7">
        <f t="shared" si="17"/>
        <v>2.3662403814994839</v>
      </c>
      <c r="L16" s="10">
        <f t="shared" si="17"/>
        <v>2.1663725764943029</v>
      </c>
      <c r="M16" s="10">
        <f t="shared" si="17"/>
        <v>2.1369795894164043</v>
      </c>
      <c r="N16" s="10">
        <f t="shared" si="17"/>
        <v>2.1069458158542029</v>
      </c>
      <c r="O16" s="10">
        <f t="shared" si="17"/>
        <v>2.0762544422444504</v>
      </c>
      <c r="P16" s="10">
        <f t="shared" si="17"/>
        <v>2.0448881747173173</v>
      </c>
      <c r="Q16" s="10">
        <f t="shared" si="17"/>
        <v>2.0128292249281876</v>
      </c>
      <c r="R16" s="10">
        <f t="shared" si="17"/>
        <v>1.9800592954668415</v>
      </c>
      <c r="S16" s="10">
        <f t="shared" si="17"/>
        <v>1.9465595648313256</v>
      </c>
      <c r="T16" s="10">
        <f t="shared" si="17"/>
        <v>1.9123106719535123</v>
      </c>
      <c r="U16" s="10">
        <f t="shared" si="17"/>
        <v>1.8772927002628987</v>
      </c>
      <c r="W16" s="2" t="s">
        <v>104</v>
      </c>
      <c r="X16" s="30">
        <v>0.08</v>
      </c>
    </row>
    <row r="17" spans="3:24" x14ac:dyDescent="0.25">
      <c r="K17" s="4"/>
      <c r="W17" s="2" t="s">
        <v>105</v>
      </c>
      <c r="X17" s="30">
        <v>-0.01</v>
      </c>
    </row>
    <row r="18" spans="3:24" x14ac:dyDescent="0.25">
      <c r="C18" s="1" t="s">
        <v>34</v>
      </c>
      <c r="D18" s="28"/>
      <c r="E18" s="28">
        <f t="shared" ref="E18:U18" si="18">(E4-D4)/D4</f>
        <v>0.22338140533906106</v>
      </c>
      <c r="F18" s="28">
        <f t="shared" si="18"/>
        <v>-0.11361926260346125</v>
      </c>
      <c r="G18" s="28">
        <f t="shared" si="18"/>
        <v>-8.12110922467459E-2</v>
      </c>
      <c r="H18" s="28">
        <f t="shared" si="18"/>
        <v>0.25716045580535879</v>
      </c>
      <c r="I18" s="28">
        <f t="shared" si="18"/>
        <v>0.15972562469377757</v>
      </c>
      <c r="J18" s="28">
        <f t="shared" si="18"/>
        <v>6.9919729615547099E-2</v>
      </c>
      <c r="K18" s="29">
        <f t="shared" si="18"/>
        <v>0.1</v>
      </c>
      <c r="L18" s="28">
        <f t="shared" si="18"/>
        <v>0</v>
      </c>
      <c r="M18" s="28">
        <f t="shared" si="18"/>
        <v>0</v>
      </c>
      <c r="N18" s="28">
        <f t="shared" si="18"/>
        <v>0</v>
      </c>
      <c r="O18" s="28">
        <f t="shared" si="18"/>
        <v>0</v>
      </c>
      <c r="P18" s="28">
        <f t="shared" si="18"/>
        <v>0</v>
      </c>
      <c r="Q18" s="28">
        <f t="shared" si="18"/>
        <v>0</v>
      </c>
      <c r="R18" s="28">
        <f t="shared" si="18"/>
        <v>0</v>
      </c>
      <c r="S18" s="28">
        <f t="shared" si="18"/>
        <v>0</v>
      </c>
      <c r="T18" s="28">
        <f t="shared" si="18"/>
        <v>0</v>
      </c>
      <c r="U18" s="28">
        <f t="shared" si="18"/>
        <v>0</v>
      </c>
      <c r="W18" s="22" t="s">
        <v>106</v>
      </c>
      <c r="X18" s="33">
        <f>NPV(X16,K14:CY14)</f>
        <v>4862.1950355824865</v>
      </c>
    </row>
    <row r="19" spans="3:24" x14ac:dyDescent="0.25">
      <c r="C19" s="2" t="s">
        <v>114</v>
      </c>
      <c r="D19" s="15">
        <f t="shared" ref="D19:I19" si="19">D6/D4</f>
        <v>0.97545259281988339</v>
      </c>
      <c r="E19" s="15">
        <f t="shared" si="19"/>
        <v>0.97115625783797344</v>
      </c>
      <c r="F19" s="15">
        <f t="shared" si="19"/>
        <v>0.96547821165817771</v>
      </c>
      <c r="G19" s="15">
        <f t="shared" si="19"/>
        <v>0.96735448105943944</v>
      </c>
      <c r="H19" s="15">
        <f t="shared" si="19"/>
        <v>0.96398824105830472</v>
      </c>
      <c r="I19" s="15">
        <f t="shared" si="19"/>
        <v>0.97106041402619347</v>
      </c>
      <c r="J19" s="15">
        <f>J6/J4</f>
        <v>0.97176702862783815</v>
      </c>
      <c r="K19" s="16">
        <f t="shared" ref="K19:U19" si="20">K6/K4</f>
        <v>0.97356367226061202</v>
      </c>
      <c r="L19" s="15">
        <f t="shared" si="20"/>
        <v>0.9727705824284304</v>
      </c>
      <c r="M19" s="15">
        <f t="shared" si="20"/>
        <v>0.97195369990128333</v>
      </c>
      <c r="N19" s="15">
        <f t="shared" si="20"/>
        <v>0.97111231089832184</v>
      </c>
      <c r="O19" s="15">
        <f t="shared" si="20"/>
        <v>0.97024568022527136</v>
      </c>
      <c r="P19" s="15">
        <f t="shared" si="20"/>
        <v>0.96935305063202959</v>
      </c>
      <c r="Q19" s="15">
        <f t="shared" si="20"/>
        <v>0.96843364215099048</v>
      </c>
      <c r="R19" s="15">
        <f t="shared" si="20"/>
        <v>0.96748665141552026</v>
      </c>
      <c r="S19" s="15">
        <f t="shared" si="20"/>
        <v>0.96651125095798585</v>
      </c>
      <c r="T19" s="15">
        <f t="shared" si="20"/>
        <v>0.96550658848672544</v>
      </c>
      <c r="U19" s="15">
        <f t="shared" si="20"/>
        <v>0.96447178614132711</v>
      </c>
      <c r="W19" s="2" t="s">
        <v>2</v>
      </c>
      <c r="X19" s="9">
        <v>204.69458800000001</v>
      </c>
    </row>
    <row r="20" spans="3:24" x14ac:dyDescent="0.25">
      <c r="C20" s="11" t="s">
        <v>53</v>
      </c>
      <c r="D20" s="15">
        <f t="shared" ref="D20:U20" si="21">D10/D4</f>
        <v>8.0699601104633326E-2</v>
      </c>
      <c r="E20" s="15">
        <f t="shared" si="21"/>
        <v>0.12841735640832705</v>
      </c>
      <c r="F20" s="15">
        <f t="shared" si="21"/>
        <v>5.6593095642331632E-3</v>
      </c>
      <c r="G20" s="15">
        <f t="shared" si="21"/>
        <v>-6.9294733600246378E-2</v>
      </c>
      <c r="H20" s="15">
        <f t="shared" si="21"/>
        <v>4.6545810877021065E-3</v>
      </c>
      <c r="I20" s="15">
        <f t="shared" si="21"/>
        <v>0.12822137727080693</v>
      </c>
      <c r="J20" s="15">
        <f t="shared" si="21"/>
        <v>0.14669299111549852</v>
      </c>
      <c r="K20" s="16">
        <f t="shared" si="21"/>
        <v>0.1676514403661491</v>
      </c>
      <c r="L20" s="15">
        <f t="shared" si="21"/>
        <v>0.15879922821502285</v>
      </c>
      <c r="M20" s="15">
        <f t="shared" si="21"/>
        <v>0.15798234568787584</v>
      </c>
      <c r="N20" s="15">
        <f t="shared" si="21"/>
        <v>0.15714095668491429</v>
      </c>
      <c r="O20" s="15">
        <f t="shared" si="21"/>
        <v>0.15627432601186386</v>
      </c>
      <c r="P20" s="15">
        <f t="shared" si="21"/>
        <v>0.15538169641862207</v>
      </c>
      <c r="Q20" s="15">
        <f t="shared" si="21"/>
        <v>0.15446228793758293</v>
      </c>
      <c r="R20" s="15">
        <f t="shared" si="21"/>
        <v>0.15351529720211268</v>
      </c>
      <c r="S20" s="15">
        <f t="shared" si="21"/>
        <v>0.1525398967445783</v>
      </c>
      <c r="T20" s="15">
        <f t="shared" si="21"/>
        <v>0.15153523427331789</v>
      </c>
      <c r="U20" s="15">
        <f t="shared" si="21"/>
        <v>0.15050043192791962</v>
      </c>
      <c r="W20" s="1" t="s">
        <v>107</v>
      </c>
      <c r="X20" s="34">
        <f>X18/X19</f>
        <v>23.753412745736522</v>
      </c>
    </row>
    <row r="21" spans="3:24" x14ac:dyDescent="0.25">
      <c r="D21" s="11"/>
      <c r="E21" s="11"/>
      <c r="F21" s="11"/>
      <c r="G21" s="11"/>
      <c r="H21" s="15"/>
      <c r="I21" s="15"/>
      <c r="J21" s="15"/>
      <c r="K21" s="16"/>
      <c r="L21" s="15"/>
      <c r="M21" s="15"/>
      <c r="N21" s="15"/>
      <c r="O21" s="15"/>
      <c r="P21" s="15"/>
      <c r="Q21" s="15"/>
      <c r="R21" s="15"/>
      <c r="S21" s="15"/>
      <c r="T21" s="15"/>
      <c r="U21" s="15"/>
      <c r="W21" s="1" t="s">
        <v>108</v>
      </c>
      <c r="X21" s="31">
        <f>(X20-Modell!B4)/Modell!B4</f>
        <v>-0.34018297928509661</v>
      </c>
    </row>
    <row r="26" spans="3:24" x14ac:dyDescent="0.25">
      <c r="G26" s="20"/>
      <c r="H26" s="20"/>
      <c r="I26" s="20"/>
    </row>
    <row r="27" spans="3:24" x14ac:dyDescent="0.25">
      <c r="G27" s="21"/>
      <c r="H27" s="21"/>
      <c r="I27" s="21"/>
    </row>
    <row r="28" spans="3:24" x14ac:dyDescent="0.25">
      <c r="G28" s="21"/>
      <c r="H28" s="21"/>
      <c r="I28" s="21"/>
    </row>
    <row r="29" spans="3:24" x14ac:dyDescent="0.25">
      <c r="G29" s="21"/>
      <c r="H29" s="21"/>
      <c r="I29" s="21"/>
    </row>
    <row r="30" spans="3:24" x14ac:dyDescent="0.25">
      <c r="G30" s="21"/>
      <c r="H30" s="21"/>
      <c r="I30" s="21"/>
    </row>
    <row r="31" spans="3:24" x14ac:dyDescent="0.25">
      <c r="G31" s="21"/>
      <c r="H31" s="21"/>
      <c r="I31" s="21"/>
    </row>
    <row r="32" spans="3:24" x14ac:dyDescent="0.25">
      <c r="G32" s="20"/>
      <c r="H32" s="20"/>
      <c r="I32" s="20"/>
    </row>
    <row r="33" spans="7:9" x14ac:dyDescent="0.25">
      <c r="G33" s="21"/>
      <c r="H33" s="21"/>
      <c r="I33" s="21"/>
    </row>
    <row r="34" spans="7:9" x14ac:dyDescent="0.25">
      <c r="G34" s="21"/>
      <c r="H34" s="21"/>
      <c r="I34" s="21"/>
    </row>
    <row r="35" spans="7:9" x14ac:dyDescent="0.25">
      <c r="G35" s="21"/>
      <c r="H35" s="21"/>
      <c r="I35" s="21"/>
    </row>
    <row r="36" spans="7:9" x14ac:dyDescent="0.25">
      <c r="G36" s="20"/>
      <c r="H36" s="20"/>
      <c r="I36" s="20"/>
    </row>
    <row r="37" spans="7:9" x14ac:dyDescent="0.25">
      <c r="G37" s="9"/>
      <c r="H37" s="9"/>
      <c r="I37" s="9"/>
    </row>
    <row r="38" spans="7:9" x14ac:dyDescent="0.25">
      <c r="G38" s="10"/>
      <c r="H38" s="10"/>
      <c r="I38" s="1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5</vt:i4>
      </vt:variant>
    </vt:vector>
  </HeadingPairs>
  <TitlesOfParts>
    <vt:vector size="5" baseType="lpstr">
      <vt:lpstr>Info</vt:lpstr>
      <vt:lpstr>Modell</vt:lpstr>
      <vt:lpstr>Segementer</vt:lpstr>
      <vt:lpstr>Nøkkeltall</vt:lpstr>
      <vt:lpstr>Nedsideberegning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august hodt</dc:creator>
  <cp:lastModifiedBy>August Hodt</cp:lastModifiedBy>
  <dcterms:created xsi:type="dcterms:W3CDTF">2025-02-09T20:32:11Z</dcterms:created>
  <dcterms:modified xsi:type="dcterms:W3CDTF">2025-11-03T18:41:23Z</dcterms:modified>
</cp:coreProperties>
</file>