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BEB8E04A-4F0B-F04D-900B-B8EC21E5A103}" xr6:coauthVersionLast="47" xr6:coauthVersionMax="47" xr10:uidLastSave="{00000000-0000-0000-0000-000000000000}"/>
  <bookViews>
    <workbookView xWindow="25300" yWindow="500" windowWidth="25900" windowHeight="26740" activeTab="1" xr2:uid="{A1D7EC49-6B45-5A4D-9144-DCA361DB0A7A}"/>
  </bookViews>
  <sheets>
    <sheet name="Info" sheetId="1" r:id="rId1"/>
    <sheet name="Modell" sheetId="2" r:id="rId2"/>
    <sheet name="Segementer" sheetId="4" r:id="rId3"/>
    <sheet name="SOTP" sheetId="5" r:id="rId4"/>
    <sheet name="Nøkkeltall" sheetId="3" r:id="rId5"/>
    <sheet name="Nedsidebergnign" sheetId="6" r:id="rId6"/>
  </sheets>
  <definedNames>
    <definedName name="_xlchart.v1.0" hidden="1">SOTP!$B$7:$B$14</definedName>
    <definedName name="_xlchart.v1.1" hidden="1">SOTP!$F$7:$F$14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0" i="2" l="1"/>
  <c r="AM7" i="2"/>
  <c r="AM8" i="2"/>
  <c r="AH52" i="2" l="1"/>
  <c r="AG52" i="2"/>
  <c r="AF52" i="2"/>
  <c r="AF53" i="2" s="1"/>
  <c r="AE52" i="2"/>
  <c r="AD52" i="2"/>
  <c r="AC52" i="2"/>
  <c r="AC53" i="2" s="1"/>
  <c r="AB52" i="2"/>
  <c r="AH41" i="2"/>
  <c r="AG41" i="2"/>
  <c r="AF41" i="2"/>
  <c r="AE41" i="2"/>
  <c r="AD41" i="2"/>
  <c r="AC41" i="2"/>
  <c r="AB41" i="2"/>
  <c r="AH37" i="2"/>
  <c r="AG37" i="2"/>
  <c r="AF37" i="2"/>
  <c r="AE37" i="2"/>
  <c r="AD37" i="2"/>
  <c r="AC37" i="2"/>
  <c r="AB37" i="2"/>
  <c r="AL75" i="2"/>
  <c r="AL67" i="2"/>
  <c r="AL63" i="2"/>
  <c r="AL81" i="2" s="1"/>
  <c r="AL56" i="2"/>
  <c r="AI52" i="2"/>
  <c r="AI41" i="2"/>
  <c r="AI53" i="2" s="1"/>
  <c r="AI37" i="2"/>
  <c r="AJ52" i="2"/>
  <c r="AJ41" i="2"/>
  <c r="AJ53" i="2" s="1"/>
  <c r="AJ37" i="2"/>
  <c r="AK52" i="2"/>
  <c r="AK41" i="2"/>
  <c r="AK53" i="2" s="1"/>
  <c r="AK37" i="2"/>
  <c r="AL52" i="2"/>
  <c r="AL41" i="2"/>
  <c r="AL53" i="2" s="1"/>
  <c r="AL37" i="2"/>
  <c r="AK32" i="4"/>
  <c r="AJ32" i="4"/>
  <c r="AI32" i="4"/>
  <c r="AH32" i="4"/>
  <c r="AG32" i="4"/>
  <c r="AK30" i="4"/>
  <c r="AJ30" i="4"/>
  <c r="AI30" i="4"/>
  <c r="AH30" i="4"/>
  <c r="AG30" i="4"/>
  <c r="AK28" i="4"/>
  <c r="AJ28" i="4"/>
  <c r="AI28" i="4"/>
  <c r="AH28" i="4"/>
  <c r="AG28" i="4"/>
  <c r="AK26" i="4"/>
  <c r="AK25" i="4"/>
  <c r="AJ25" i="4"/>
  <c r="AJ26" i="4" s="1"/>
  <c r="AI25" i="4"/>
  <c r="AI26" i="4" s="1"/>
  <c r="AH25" i="4"/>
  <c r="AH26" i="4" s="1"/>
  <c r="AG25" i="4"/>
  <c r="AG26" i="4" s="1"/>
  <c r="AK22" i="4"/>
  <c r="AJ22" i="4"/>
  <c r="AI22" i="4"/>
  <c r="AH22" i="4"/>
  <c r="AG22" i="4"/>
  <c r="AK18" i="4"/>
  <c r="AJ18" i="4"/>
  <c r="AI18" i="4"/>
  <c r="AH18" i="4"/>
  <c r="AG18" i="4"/>
  <c r="AK16" i="4"/>
  <c r="AJ16" i="4"/>
  <c r="AI16" i="4"/>
  <c r="AH16" i="4"/>
  <c r="AG16" i="4"/>
  <c r="AK14" i="4"/>
  <c r="AJ14" i="4"/>
  <c r="AI14" i="4"/>
  <c r="AH14" i="4"/>
  <c r="AG14" i="4"/>
  <c r="AK12" i="4"/>
  <c r="AI12" i="4"/>
  <c r="AK11" i="4"/>
  <c r="AJ11" i="4"/>
  <c r="AJ12" i="4" s="1"/>
  <c r="AI11" i="4"/>
  <c r="AH11" i="4"/>
  <c r="AH12" i="4" s="1"/>
  <c r="AG11" i="4"/>
  <c r="AG12" i="4" s="1"/>
  <c r="AK8" i="4"/>
  <c r="AJ8" i="4"/>
  <c r="AI8" i="4"/>
  <c r="AH8" i="4"/>
  <c r="AG8" i="4"/>
  <c r="AF32" i="4"/>
  <c r="AE32" i="4"/>
  <c r="AD32" i="4"/>
  <c r="AC32" i="4"/>
  <c r="AB32" i="4"/>
  <c r="AF30" i="4"/>
  <c r="AE30" i="4"/>
  <c r="AD30" i="4"/>
  <c r="AC30" i="4"/>
  <c r="AB30" i="4"/>
  <c r="AF28" i="4"/>
  <c r="AE28" i="4"/>
  <c r="AD28" i="4"/>
  <c r="AC28" i="4"/>
  <c r="AB28" i="4"/>
  <c r="AD26" i="4"/>
  <c r="AF25" i="4"/>
  <c r="AF26" i="4" s="1"/>
  <c r="AE25" i="4"/>
  <c r="AE26" i="4" s="1"/>
  <c r="AD25" i="4"/>
  <c r="AC25" i="4"/>
  <c r="AC26" i="4" s="1"/>
  <c r="AB25" i="4"/>
  <c r="AB26" i="4" s="1"/>
  <c r="AF22" i="4"/>
  <c r="AE22" i="4"/>
  <c r="AD22" i="4"/>
  <c r="AC22" i="4"/>
  <c r="AB22" i="4"/>
  <c r="AF18" i="4"/>
  <c r="AE18" i="4"/>
  <c r="AD18" i="4"/>
  <c r="AC18" i="4"/>
  <c r="AB18" i="4"/>
  <c r="AF16" i="4"/>
  <c r="AE16" i="4"/>
  <c r="AD16" i="4"/>
  <c r="AC16" i="4"/>
  <c r="AB16" i="4"/>
  <c r="AF14" i="4"/>
  <c r="AE14" i="4"/>
  <c r="AD14" i="4"/>
  <c r="AC14" i="4"/>
  <c r="AB14" i="4"/>
  <c r="AF12" i="4"/>
  <c r="AF11" i="4"/>
  <c r="AE11" i="4"/>
  <c r="AE12" i="4" s="1"/>
  <c r="AD11" i="4"/>
  <c r="AD12" i="4" s="1"/>
  <c r="AC11" i="4"/>
  <c r="AC12" i="4" s="1"/>
  <c r="AB11" i="4"/>
  <c r="AB12" i="4" s="1"/>
  <c r="AF8" i="4"/>
  <c r="AE8" i="4"/>
  <c r="AD8" i="4"/>
  <c r="AC8" i="4"/>
  <c r="AB8" i="4"/>
  <c r="C9" i="5"/>
  <c r="AB53" i="2" l="1"/>
  <c r="AD53" i="2"/>
  <c r="AE53" i="2"/>
  <c r="AG53" i="2"/>
  <c r="AH53" i="2"/>
  <c r="AL79" i="2"/>
  <c r="AA21" i="6" l="1"/>
  <c r="B8" i="2"/>
  <c r="B7" i="2"/>
  <c r="AK26" i="2"/>
  <c r="AJ26" i="2"/>
  <c r="AH26" i="2"/>
  <c r="AG26" i="2"/>
  <c r="AC26" i="2"/>
  <c r="AB26" i="2"/>
  <c r="AL25" i="2"/>
  <c r="AL26" i="2" s="1"/>
  <c r="AK25" i="2"/>
  <c r="AJ25" i="2"/>
  <c r="AI25" i="2"/>
  <c r="AI26" i="2" s="1"/>
  <c r="AH25" i="2"/>
  <c r="AG25" i="2"/>
  <c r="AF25" i="2"/>
  <c r="AF26" i="2" s="1"/>
  <c r="AE25" i="2"/>
  <c r="AE26" i="2" s="1"/>
  <c r="AD25" i="2"/>
  <c r="AD26" i="2" s="1"/>
  <c r="AC25" i="2"/>
  <c r="AB25" i="2"/>
  <c r="G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U27" i="2"/>
  <c r="D25" i="2"/>
  <c r="E25" i="2"/>
  <c r="E26" i="2" s="1"/>
  <c r="F25" i="2"/>
  <c r="G25" i="2"/>
  <c r="H25" i="2"/>
  <c r="I25" i="2"/>
  <c r="J25" i="2"/>
  <c r="K25" i="2"/>
  <c r="K26" i="2" s="1"/>
  <c r="L25" i="2"/>
  <c r="M25" i="2"/>
  <c r="N25" i="2"/>
  <c r="O25" i="2"/>
  <c r="P25" i="2"/>
  <c r="Q25" i="2"/>
  <c r="R25" i="2"/>
  <c r="S25" i="2"/>
  <c r="S26" i="2" s="1"/>
  <c r="T25" i="2"/>
  <c r="D26" i="2"/>
  <c r="F26" i="2"/>
  <c r="G26" i="2"/>
  <c r="H26" i="2"/>
  <c r="I26" i="2"/>
  <c r="J26" i="2"/>
  <c r="L26" i="2"/>
  <c r="M26" i="2"/>
  <c r="N26" i="2"/>
  <c r="O26" i="2"/>
  <c r="P26" i="2"/>
  <c r="Q26" i="2"/>
  <c r="R26" i="2"/>
  <c r="T26" i="2"/>
  <c r="U26" i="2"/>
  <c r="AM9" i="2"/>
  <c r="AM4" i="2"/>
  <c r="U6" i="2"/>
  <c r="U10" i="2" s="1"/>
  <c r="U14" i="2" s="1"/>
  <c r="U16" i="2" s="1"/>
  <c r="U18" i="2" s="1"/>
  <c r="T6" i="2"/>
  <c r="T10" i="2" s="1"/>
  <c r="T14" i="2" s="1"/>
  <c r="T16" i="2" s="1"/>
  <c r="T18" i="2" s="1"/>
  <c r="D65" i="2"/>
  <c r="D6" i="2"/>
  <c r="D10" i="2" s="1"/>
  <c r="D14" i="2" s="1"/>
  <c r="D16" i="2" s="1"/>
  <c r="D18" i="2" s="1"/>
  <c r="H6" i="2"/>
  <c r="H10" i="2" s="1"/>
  <c r="H14" i="2" s="1"/>
  <c r="H16" i="2" s="1"/>
  <c r="H18" i="2" s="1"/>
  <c r="E52" i="2"/>
  <c r="E41" i="2"/>
  <c r="E37" i="2"/>
  <c r="E6" i="2"/>
  <c r="E10" i="2" s="1"/>
  <c r="E14" i="2" s="1"/>
  <c r="E16" i="2" s="1"/>
  <c r="E18" i="2" s="1"/>
  <c r="I6" i="2"/>
  <c r="I10" i="2" s="1"/>
  <c r="I14" i="2" s="1"/>
  <c r="I16" i="2" s="1"/>
  <c r="I18" i="2" s="1"/>
  <c r="F6" i="2"/>
  <c r="F10" i="2" s="1"/>
  <c r="F14" i="2" s="1"/>
  <c r="F16" i="2" s="1"/>
  <c r="F18" i="2" s="1"/>
  <c r="J6" i="2"/>
  <c r="J10" i="2" s="1"/>
  <c r="J14" i="2" s="1"/>
  <c r="J16" i="2" s="1"/>
  <c r="J18" i="2" s="1"/>
  <c r="G6" i="2"/>
  <c r="G10" i="2" s="1"/>
  <c r="G14" i="2" s="1"/>
  <c r="G16" i="2" s="1"/>
  <c r="G18" i="2" s="1"/>
  <c r="K6" i="2"/>
  <c r="K10" i="2" s="1"/>
  <c r="K14" i="2" s="1"/>
  <c r="K16" i="2" s="1"/>
  <c r="K18" i="2" s="1"/>
  <c r="U25" i="2" l="1"/>
  <c r="E53" i="2"/>
  <c r="AM11" i="2" l="1"/>
  <c r="AN11" i="2" s="1"/>
  <c r="AO11" i="2" s="1"/>
  <c r="AP11" i="2" s="1"/>
  <c r="AQ11" i="2" s="1"/>
  <c r="AR11" i="2" s="1"/>
  <c r="AS11" i="2" s="1"/>
  <c r="AT11" i="2" s="1"/>
  <c r="AU11" i="2" s="1"/>
  <c r="AV11" i="2" s="1"/>
  <c r="AB6" i="2" l="1"/>
  <c r="AB10" i="2" s="1"/>
  <c r="AB14" i="2" s="1"/>
  <c r="AB16" i="2" s="1"/>
  <c r="AB18" i="2" s="1"/>
  <c r="AC6" i="2"/>
  <c r="AC10" i="2" s="1"/>
  <c r="AC14" i="2" s="1"/>
  <c r="AC16" i="2" s="1"/>
  <c r="AC18" i="2" s="1"/>
  <c r="AD6" i="2"/>
  <c r="AD10" i="2" s="1"/>
  <c r="AD14" i="2" s="1"/>
  <c r="AD16" i="2" s="1"/>
  <c r="AD18" i="2" s="1"/>
  <c r="AE6" i="2"/>
  <c r="AE10" i="2" s="1"/>
  <c r="AE14" i="2" s="1"/>
  <c r="AE16" i="2" s="1"/>
  <c r="AE18" i="2" s="1"/>
  <c r="AF6" i="2"/>
  <c r="AF10" i="2" s="1"/>
  <c r="AF14" i="2" s="1"/>
  <c r="AF16" i="2" s="1"/>
  <c r="AF18" i="2" s="1"/>
  <c r="AG6" i="2"/>
  <c r="AG10" i="2" s="1"/>
  <c r="AG14" i="2" s="1"/>
  <c r="AG16" i="2" s="1"/>
  <c r="AG18" i="2" s="1"/>
  <c r="AH6" i="2"/>
  <c r="AH10" i="2" s="1"/>
  <c r="AH14" i="2" s="1"/>
  <c r="AH16" i="2" s="1"/>
  <c r="AH18" i="2" s="1"/>
  <c r="AI6" i="2"/>
  <c r="AI10" i="2" s="1"/>
  <c r="AI14" i="2" s="1"/>
  <c r="AI16" i="2" s="1"/>
  <c r="AI18" i="2" s="1"/>
  <c r="AN8" i="2"/>
  <c r="AO8" i="2" s="1"/>
  <c r="AP8" i="2" s="1"/>
  <c r="AQ8" i="2" s="1"/>
  <c r="AR8" i="2" s="1"/>
  <c r="AS8" i="2" s="1"/>
  <c r="AT8" i="2" s="1"/>
  <c r="AU8" i="2" s="1"/>
  <c r="AV8" i="2" s="1"/>
  <c r="AN9" i="2"/>
  <c r="AO9" i="2" s="1"/>
  <c r="AP9" i="2" s="1"/>
  <c r="AQ9" i="2" s="1"/>
  <c r="AR9" i="2" s="1"/>
  <c r="AS9" i="2" s="1"/>
  <c r="AT9" i="2" s="1"/>
  <c r="AU9" i="2" s="1"/>
  <c r="AV9" i="2" s="1"/>
  <c r="AN7" i="2"/>
  <c r="AO7" i="2" s="1"/>
  <c r="AP7" i="2" s="1"/>
  <c r="AQ7" i="2" s="1"/>
  <c r="AR7" i="2" s="1"/>
  <c r="AS7" i="2" s="1"/>
  <c r="AT7" i="2" s="1"/>
  <c r="AU7" i="2" s="1"/>
  <c r="AV7" i="2" s="1"/>
  <c r="AM5" i="2"/>
  <c r="Q31" i="4"/>
  <c r="Q29" i="4"/>
  <c r="Q27" i="4"/>
  <c r="Q24" i="4"/>
  <c r="Q21" i="4"/>
  <c r="E8" i="5"/>
  <c r="F8" i="5" s="1"/>
  <c r="P7" i="6"/>
  <c r="Q7" i="6" s="1"/>
  <c r="R7" i="6" s="1"/>
  <c r="S7" i="6" s="1"/>
  <c r="T7" i="6" s="1"/>
  <c r="U7" i="6" s="1"/>
  <c r="V7" i="6" s="1"/>
  <c r="W7" i="6" s="1"/>
  <c r="X7" i="6" s="1"/>
  <c r="P8" i="6"/>
  <c r="Q8" i="6" s="1"/>
  <c r="R8" i="6" s="1"/>
  <c r="S8" i="6" s="1"/>
  <c r="T8" i="6" s="1"/>
  <c r="U8" i="6" s="1"/>
  <c r="V8" i="6" s="1"/>
  <c r="W8" i="6" s="1"/>
  <c r="X8" i="6" s="1"/>
  <c r="O9" i="6"/>
  <c r="P9" i="6" s="1"/>
  <c r="Q9" i="6" s="1"/>
  <c r="R9" i="6" s="1"/>
  <c r="S9" i="6" s="1"/>
  <c r="T9" i="6" s="1"/>
  <c r="U9" i="6" s="1"/>
  <c r="V9" i="6" s="1"/>
  <c r="W9" i="6" s="1"/>
  <c r="X9" i="6" s="1"/>
  <c r="O8" i="6"/>
  <c r="O7" i="6"/>
  <c r="O4" i="6"/>
  <c r="K23" i="6"/>
  <c r="J23" i="6"/>
  <c r="I23" i="6"/>
  <c r="H23" i="6"/>
  <c r="G23" i="6"/>
  <c r="F23" i="6"/>
  <c r="E23" i="6"/>
  <c r="D23" i="6"/>
  <c r="M22" i="6"/>
  <c r="L22" i="6"/>
  <c r="K22" i="6"/>
  <c r="J22" i="6"/>
  <c r="I22" i="6"/>
  <c r="H22" i="6"/>
  <c r="G22" i="6"/>
  <c r="F22" i="6"/>
  <c r="E22" i="6"/>
  <c r="D22" i="6"/>
  <c r="N20" i="6"/>
  <c r="M20" i="6"/>
  <c r="L20" i="6"/>
  <c r="K20" i="6"/>
  <c r="J20" i="6"/>
  <c r="I20" i="6"/>
  <c r="H20" i="6"/>
  <c r="G20" i="6"/>
  <c r="F20" i="6"/>
  <c r="E20" i="6"/>
  <c r="M10" i="6"/>
  <c r="M23" i="6" s="1"/>
  <c r="L10" i="6"/>
  <c r="L23" i="6" s="1"/>
  <c r="N6" i="6"/>
  <c r="N10" i="6" s="1"/>
  <c r="M6" i="6"/>
  <c r="L6" i="6"/>
  <c r="L14" i="6" l="1"/>
  <c r="L16" i="6" s="1"/>
  <c r="L18" i="6" s="1"/>
  <c r="O5" i="6"/>
  <c r="O6" i="6" s="1"/>
  <c r="O22" i="6" s="1"/>
  <c r="AN4" i="2"/>
  <c r="P4" i="6"/>
  <c r="O20" i="6"/>
  <c r="N23" i="6"/>
  <c r="N14" i="6"/>
  <c r="N16" i="6" s="1"/>
  <c r="N18" i="6" s="1"/>
  <c r="N22" i="6"/>
  <c r="O10" i="6"/>
  <c r="M14" i="6"/>
  <c r="M16" i="6" s="1"/>
  <c r="M18" i="6" s="1"/>
  <c r="AM6" i="2"/>
  <c r="AM25" i="2" s="1"/>
  <c r="AL6" i="2"/>
  <c r="AL10" i="2" s="1"/>
  <c r="AL14" i="2" s="1"/>
  <c r="AL16" i="2" s="1"/>
  <c r="AL18" i="2" s="1"/>
  <c r="L6" i="2"/>
  <c r="L10" i="2" s="1"/>
  <c r="L14" i="2" s="1"/>
  <c r="L16" i="2" s="1"/>
  <c r="L18" i="2" s="1"/>
  <c r="P6" i="2"/>
  <c r="P10" i="2" s="1"/>
  <c r="P14" i="2" s="1"/>
  <c r="P16" i="2" s="1"/>
  <c r="P18" i="2" s="1"/>
  <c r="M6" i="2"/>
  <c r="M10" i="2" s="1"/>
  <c r="M14" i="2" s="1"/>
  <c r="M16" i="2" s="1"/>
  <c r="M18" i="2" s="1"/>
  <c r="Q6" i="2"/>
  <c r="Q10" i="2" s="1"/>
  <c r="Q14" i="2" s="1"/>
  <c r="Q16" i="2" s="1"/>
  <c r="Q18" i="2" s="1"/>
  <c r="N6" i="2"/>
  <c r="N10" i="2" s="1"/>
  <c r="N14" i="2" s="1"/>
  <c r="N16" i="2" s="1"/>
  <c r="N18" i="2" s="1"/>
  <c r="R6" i="2"/>
  <c r="R10" i="2" s="1"/>
  <c r="R14" i="2" s="1"/>
  <c r="R16" i="2" s="1"/>
  <c r="R18" i="2" s="1"/>
  <c r="E11" i="5"/>
  <c r="F11" i="5" s="1"/>
  <c r="E12" i="5"/>
  <c r="F12" i="5" s="1"/>
  <c r="AC81" i="2"/>
  <c r="AK75" i="2"/>
  <c r="AJ75" i="2"/>
  <c r="AI75" i="2"/>
  <c r="AH75" i="2"/>
  <c r="AG75" i="2"/>
  <c r="AF75" i="2"/>
  <c r="AE75" i="2"/>
  <c r="AD75" i="2"/>
  <c r="AC75" i="2"/>
  <c r="AB75" i="2"/>
  <c r="AK67" i="2"/>
  <c r="AJ67" i="2"/>
  <c r="AI67" i="2"/>
  <c r="AH67" i="2"/>
  <c r="AG67" i="2"/>
  <c r="AF67" i="2"/>
  <c r="AE67" i="2"/>
  <c r="AD67" i="2"/>
  <c r="AC67" i="2"/>
  <c r="AB67" i="2"/>
  <c r="AK63" i="2"/>
  <c r="AK81" i="2" s="1"/>
  <c r="AJ63" i="2"/>
  <c r="AI63" i="2"/>
  <c r="AI81" i="2" s="1"/>
  <c r="AH63" i="2"/>
  <c r="AH81" i="2" s="1"/>
  <c r="AG63" i="2"/>
  <c r="AG81" i="2" s="1"/>
  <c r="AF63" i="2"/>
  <c r="AF81" i="2" s="1"/>
  <c r="AE63" i="2"/>
  <c r="AE81" i="2" s="1"/>
  <c r="AD63" i="2"/>
  <c r="AD81" i="2" s="1"/>
  <c r="AC63" i="2"/>
  <c r="AB63" i="2"/>
  <c r="AB81" i="2" s="1"/>
  <c r="AI56" i="2"/>
  <c r="AH56" i="2"/>
  <c r="AG56" i="2"/>
  <c r="AF56" i="2"/>
  <c r="AE56" i="2"/>
  <c r="AD56" i="2"/>
  <c r="AC56" i="2"/>
  <c r="AB56" i="2"/>
  <c r="W63" i="2"/>
  <c r="AJ6" i="2"/>
  <c r="AJ10" i="2" s="1"/>
  <c r="AJ14" i="2" s="1"/>
  <c r="AJ16" i="2" s="1"/>
  <c r="AJ18" i="2" s="1"/>
  <c r="AK6" i="2"/>
  <c r="AK10" i="2" s="1"/>
  <c r="AK14" i="2" s="1"/>
  <c r="AK16" i="2" s="1"/>
  <c r="AK18" i="2" s="1"/>
  <c r="AM26" i="2" l="1"/>
  <c r="B12" i="2"/>
  <c r="A4" i="5"/>
  <c r="AB79" i="2"/>
  <c r="AJ79" i="2"/>
  <c r="AJ81" i="2"/>
  <c r="AC79" i="2"/>
  <c r="AG79" i="2"/>
  <c r="AK56" i="2"/>
  <c r="AI79" i="2"/>
  <c r="AM14" i="2"/>
  <c r="AM15" i="2" s="1"/>
  <c r="AM16" i="2" s="1"/>
  <c r="AD79" i="2"/>
  <c r="AH79" i="2"/>
  <c r="AO4" i="2"/>
  <c r="AO20" i="2" s="1"/>
  <c r="AN5" i="2"/>
  <c r="AN6" i="2" s="1"/>
  <c r="AN10" i="2" s="1"/>
  <c r="AE79" i="2"/>
  <c r="AF79" i="2"/>
  <c r="Q4" i="6"/>
  <c r="P5" i="6"/>
  <c r="P6" i="6" s="1"/>
  <c r="P20" i="6"/>
  <c r="AJ56" i="2"/>
  <c r="O23" i="6"/>
  <c r="O14" i="6"/>
  <c r="AK79" i="2"/>
  <c r="AM23" i="2"/>
  <c r="AL23" i="2"/>
  <c r="AM22" i="2"/>
  <c r="AL22" i="2"/>
  <c r="AN20" i="2"/>
  <c r="AM20" i="2"/>
  <c r="AL20" i="2"/>
  <c r="AJ23" i="2"/>
  <c r="AI23" i="2"/>
  <c r="AH23" i="2"/>
  <c r="AG23" i="2"/>
  <c r="AF23" i="2"/>
  <c r="AE23" i="2"/>
  <c r="AD23" i="2"/>
  <c r="AC23" i="2"/>
  <c r="AB23" i="2"/>
  <c r="AJ22" i="2"/>
  <c r="AI22" i="2"/>
  <c r="AH22" i="2"/>
  <c r="AG22" i="2"/>
  <c r="AF22" i="2"/>
  <c r="AE22" i="2"/>
  <c r="AD22" i="2"/>
  <c r="AC22" i="2"/>
  <c r="AB22" i="2"/>
  <c r="AJ20" i="2"/>
  <c r="AI20" i="2"/>
  <c r="AH20" i="2"/>
  <c r="AG20" i="2"/>
  <c r="AF20" i="2"/>
  <c r="AE20" i="2"/>
  <c r="AD20" i="2"/>
  <c r="AC20" i="2"/>
  <c r="AK20" i="2"/>
  <c r="AK23" i="2"/>
  <c r="AK22" i="2"/>
  <c r="R23" i="2"/>
  <c r="Q23" i="2"/>
  <c r="P23" i="2"/>
  <c r="N23" i="2"/>
  <c r="M23" i="2"/>
  <c r="L23" i="2"/>
  <c r="K23" i="2"/>
  <c r="J23" i="2"/>
  <c r="I23" i="2"/>
  <c r="H23" i="2"/>
  <c r="G23" i="2"/>
  <c r="F23" i="2"/>
  <c r="E23" i="2"/>
  <c r="D23" i="2"/>
  <c r="R22" i="2"/>
  <c r="Q22" i="2"/>
  <c r="P22" i="2"/>
  <c r="N22" i="2"/>
  <c r="M22" i="2"/>
  <c r="L22" i="2"/>
  <c r="K22" i="2"/>
  <c r="J22" i="2"/>
  <c r="I22" i="2"/>
  <c r="H22" i="2"/>
  <c r="G22" i="2"/>
  <c r="F22" i="2"/>
  <c r="E22" i="2"/>
  <c r="D22" i="2"/>
  <c r="W23" i="2"/>
  <c r="V23" i="2"/>
  <c r="U23" i="2"/>
  <c r="T23" i="2"/>
  <c r="W22" i="2"/>
  <c r="V22" i="2"/>
  <c r="U22" i="2"/>
  <c r="T22" i="2"/>
  <c r="S22" i="2"/>
  <c r="R20" i="2"/>
  <c r="Q20" i="2"/>
  <c r="P20" i="2"/>
  <c r="O20" i="2"/>
  <c r="N20" i="2"/>
  <c r="M20" i="2"/>
  <c r="L20" i="2"/>
  <c r="K20" i="2"/>
  <c r="J20" i="2"/>
  <c r="I20" i="2"/>
  <c r="H20" i="2"/>
  <c r="T20" i="2"/>
  <c r="U20" i="2"/>
  <c r="V20" i="2"/>
  <c r="W20" i="2"/>
  <c r="S20" i="2"/>
  <c r="R63" i="2"/>
  <c r="R81" i="2" s="1"/>
  <c r="Q63" i="2"/>
  <c r="P63" i="2"/>
  <c r="O63" i="2"/>
  <c r="O81" i="2" s="1"/>
  <c r="N63" i="2"/>
  <c r="M63" i="2"/>
  <c r="M81" i="2" s="1"/>
  <c r="L63" i="2"/>
  <c r="L81" i="2" s="1"/>
  <c r="K63" i="2"/>
  <c r="K81" i="2" s="1"/>
  <c r="J63" i="2"/>
  <c r="J81" i="2" s="1"/>
  <c r="I63" i="2"/>
  <c r="I81" i="2" s="1"/>
  <c r="H63" i="2"/>
  <c r="H81" i="2" s="1"/>
  <c r="G63" i="2"/>
  <c r="F63" i="2"/>
  <c r="F81" i="2" s="1"/>
  <c r="E63" i="2"/>
  <c r="E81" i="2" s="1"/>
  <c r="D63" i="2"/>
  <c r="D81" i="2" s="1"/>
  <c r="V63" i="2"/>
  <c r="V79" i="2" s="1"/>
  <c r="U63" i="2"/>
  <c r="T63" i="2"/>
  <c r="T81" i="2" s="1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Q67" i="2"/>
  <c r="R67" i="2"/>
  <c r="W67" i="2"/>
  <c r="V67" i="2"/>
  <c r="U67" i="2"/>
  <c r="T67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W75" i="2"/>
  <c r="V75" i="2"/>
  <c r="U75" i="2"/>
  <c r="T75" i="2"/>
  <c r="W81" i="2"/>
  <c r="S81" i="2"/>
  <c r="S75" i="2"/>
  <c r="S67" i="2"/>
  <c r="S63" i="2"/>
  <c r="S79" i="2" s="1"/>
  <c r="R56" i="2"/>
  <c r="N56" i="2"/>
  <c r="Q56" i="2"/>
  <c r="P56" i="2"/>
  <c r="M56" i="2"/>
  <c r="L56" i="2"/>
  <c r="K56" i="2"/>
  <c r="J56" i="2"/>
  <c r="I56" i="2"/>
  <c r="H56" i="2"/>
  <c r="G56" i="2"/>
  <c r="F56" i="2"/>
  <c r="E56" i="2"/>
  <c r="D56" i="2"/>
  <c r="W56" i="2"/>
  <c r="V56" i="2"/>
  <c r="U56" i="2"/>
  <c r="T56" i="2"/>
  <c r="Q41" i="2"/>
  <c r="P41" i="2"/>
  <c r="O41" i="2"/>
  <c r="N41" i="2"/>
  <c r="M41" i="2"/>
  <c r="L41" i="2"/>
  <c r="K41" i="2"/>
  <c r="J41" i="2"/>
  <c r="I41" i="2"/>
  <c r="H41" i="2"/>
  <c r="G41" i="2"/>
  <c r="F41" i="2"/>
  <c r="D41" i="2"/>
  <c r="W41" i="2"/>
  <c r="V41" i="2"/>
  <c r="U41" i="2"/>
  <c r="T41" i="2"/>
  <c r="T53" i="2" s="1"/>
  <c r="S41" i="2"/>
  <c r="Q52" i="2"/>
  <c r="P52" i="2"/>
  <c r="O52" i="2"/>
  <c r="N52" i="2"/>
  <c r="M52" i="2"/>
  <c r="L52" i="2"/>
  <c r="K52" i="2"/>
  <c r="J52" i="2"/>
  <c r="I52" i="2"/>
  <c r="H52" i="2"/>
  <c r="G52" i="2"/>
  <c r="F52" i="2"/>
  <c r="D52" i="2"/>
  <c r="W52" i="2"/>
  <c r="V52" i="2"/>
  <c r="U52" i="2"/>
  <c r="T52" i="2"/>
  <c r="S52" i="2"/>
  <c r="Q37" i="2"/>
  <c r="P37" i="2"/>
  <c r="O37" i="2"/>
  <c r="N37" i="2"/>
  <c r="M37" i="2"/>
  <c r="L37" i="2"/>
  <c r="K37" i="2"/>
  <c r="J37" i="2"/>
  <c r="I37" i="2"/>
  <c r="H37" i="2"/>
  <c r="G37" i="2"/>
  <c r="F37" i="2"/>
  <c r="D37" i="2"/>
  <c r="W37" i="2"/>
  <c r="V37" i="2"/>
  <c r="U37" i="2"/>
  <c r="T37" i="2"/>
  <c r="S37" i="2"/>
  <c r="R37" i="2"/>
  <c r="R52" i="2"/>
  <c r="R41" i="2"/>
  <c r="O6" i="2"/>
  <c r="O10" i="2" s="1"/>
  <c r="O14" i="2" s="1"/>
  <c r="O16" i="2" s="1"/>
  <c r="O18" i="2" s="1"/>
  <c r="S6" i="2"/>
  <c r="S10" i="2" s="1"/>
  <c r="S14" i="2" s="1"/>
  <c r="S56" i="2" s="1"/>
  <c r="E7" i="5"/>
  <c r="Q17" i="4"/>
  <c r="Q15" i="4"/>
  <c r="Q13" i="4"/>
  <c r="Q10" i="4"/>
  <c r="Q7" i="4"/>
  <c r="Q8" i="4" s="1"/>
  <c r="V31" i="4"/>
  <c r="V29" i="4"/>
  <c r="V27" i="4"/>
  <c r="V24" i="4"/>
  <c r="V21" i="4"/>
  <c r="V22" i="4" s="1"/>
  <c r="V17" i="4"/>
  <c r="V15" i="4"/>
  <c r="V13" i="4"/>
  <c r="V10" i="4"/>
  <c r="V7" i="4"/>
  <c r="AA32" i="4"/>
  <c r="Z32" i="4"/>
  <c r="Y32" i="4"/>
  <c r="X32" i="4"/>
  <c r="W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AA30" i="4"/>
  <c r="Z30" i="4"/>
  <c r="Y30" i="4"/>
  <c r="X30" i="4"/>
  <c r="W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AA28" i="4"/>
  <c r="Z28" i="4"/>
  <c r="Y28" i="4"/>
  <c r="X28" i="4"/>
  <c r="W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AA25" i="4"/>
  <c r="AA26" i="4" s="1"/>
  <c r="Z25" i="4"/>
  <c r="Z26" i="4" s="1"/>
  <c r="Y25" i="4"/>
  <c r="Y26" i="4" s="1"/>
  <c r="X25" i="4"/>
  <c r="X26" i="4" s="1"/>
  <c r="W25" i="4"/>
  <c r="W26" i="4" s="1"/>
  <c r="U25" i="4"/>
  <c r="U26" i="4" s="1"/>
  <c r="T25" i="4"/>
  <c r="T26" i="4" s="1"/>
  <c r="S25" i="4"/>
  <c r="S26" i="4" s="1"/>
  <c r="R25" i="4"/>
  <c r="R26" i="4" s="1"/>
  <c r="Q25" i="4"/>
  <c r="Q26" i="4" s="1"/>
  <c r="P25" i="4"/>
  <c r="P26" i="4" s="1"/>
  <c r="O25" i="4"/>
  <c r="O26" i="4" s="1"/>
  <c r="N25" i="4"/>
  <c r="N26" i="4" s="1"/>
  <c r="M25" i="4"/>
  <c r="M26" i="4" s="1"/>
  <c r="L25" i="4"/>
  <c r="L26" i="4" s="1"/>
  <c r="K25" i="4"/>
  <c r="K26" i="4" s="1"/>
  <c r="J25" i="4"/>
  <c r="J26" i="4" s="1"/>
  <c r="I25" i="4"/>
  <c r="I26" i="4" s="1"/>
  <c r="H25" i="4"/>
  <c r="H26" i="4" s="1"/>
  <c r="G25" i="4"/>
  <c r="G26" i="4" s="1"/>
  <c r="F25" i="4"/>
  <c r="F26" i="4" s="1"/>
  <c r="E25" i="4"/>
  <c r="E26" i="4" s="1"/>
  <c r="D25" i="4"/>
  <c r="D26" i="4" s="1"/>
  <c r="C25" i="4"/>
  <c r="C26" i="4" s="1"/>
  <c r="Z22" i="4"/>
  <c r="Y22" i="4"/>
  <c r="X22" i="4"/>
  <c r="W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T18" i="4"/>
  <c r="S18" i="4"/>
  <c r="R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AA18" i="4"/>
  <c r="Z18" i="4"/>
  <c r="Y18" i="4"/>
  <c r="X18" i="4"/>
  <c r="W18" i="4"/>
  <c r="T16" i="4"/>
  <c r="S16" i="4"/>
  <c r="R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AA16" i="4"/>
  <c r="Z16" i="4"/>
  <c r="Y16" i="4"/>
  <c r="X16" i="4"/>
  <c r="W16" i="4"/>
  <c r="V16" i="4"/>
  <c r="T14" i="4"/>
  <c r="S14" i="4"/>
  <c r="R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AA14" i="4"/>
  <c r="Z14" i="4"/>
  <c r="Y14" i="4"/>
  <c r="X14" i="4"/>
  <c r="W14" i="4"/>
  <c r="U14" i="4"/>
  <c r="U18" i="4"/>
  <c r="U16" i="4"/>
  <c r="T11" i="4"/>
  <c r="T12" i="4" s="1"/>
  <c r="S11" i="4"/>
  <c r="S12" i="4" s="1"/>
  <c r="R11" i="4"/>
  <c r="R12" i="4" s="1"/>
  <c r="P11" i="4"/>
  <c r="P12" i="4" s="1"/>
  <c r="O11" i="4"/>
  <c r="O12" i="4" s="1"/>
  <c r="N11" i="4"/>
  <c r="N12" i="4" s="1"/>
  <c r="M11" i="4"/>
  <c r="M12" i="4" s="1"/>
  <c r="L11" i="4"/>
  <c r="L12" i="4" s="1"/>
  <c r="K11" i="4"/>
  <c r="K12" i="4" s="1"/>
  <c r="J11" i="4"/>
  <c r="J12" i="4" s="1"/>
  <c r="I11" i="4"/>
  <c r="I12" i="4" s="1"/>
  <c r="H11" i="4"/>
  <c r="H12" i="4" s="1"/>
  <c r="G11" i="4"/>
  <c r="G12" i="4" s="1"/>
  <c r="F11" i="4"/>
  <c r="F12" i="4" s="1"/>
  <c r="E11" i="4"/>
  <c r="E12" i="4" s="1"/>
  <c r="D11" i="4"/>
  <c r="D12" i="4" s="1"/>
  <c r="C11" i="4"/>
  <c r="C12" i="4" s="1"/>
  <c r="AA11" i="4"/>
  <c r="AA12" i="4" s="1"/>
  <c r="Z11" i="4"/>
  <c r="Z12" i="4" s="1"/>
  <c r="Y11" i="4"/>
  <c r="Y12" i="4" s="1"/>
  <c r="X11" i="4"/>
  <c r="X12" i="4" s="1"/>
  <c r="W11" i="4"/>
  <c r="W12" i="4" s="1"/>
  <c r="U11" i="4"/>
  <c r="U12" i="4" s="1"/>
  <c r="T8" i="4"/>
  <c r="S8" i="4"/>
  <c r="R8" i="4"/>
  <c r="P8" i="4"/>
  <c r="O8" i="4"/>
  <c r="N8" i="4"/>
  <c r="M8" i="4"/>
  <c r="L8" i="4"/>
  <c r="K8" i="4"/>
  <c r="J8" i="4"/>
  <c r="I8" i="4"/>
  <c r="H8" i="4"/>
  <c r="W8" i="4"/>
  <c r="X8" i="4"/>
  <c r="Y8" i="4"/>
  <c r="Z8" i="4"/>
  <c r="U8" i="4"/>
  <c r="AN14" i="2" l="1"/>
  <c r="AN15" i="2" s="1"/>
  <c r="AN16" i="2" s="1"/>
  <c r="AN18" i="2" s="1"/>
  <c r="AN25" i="2"/>
  <c r="AN26" i="2" s="1"/>
  <c r="Q18" i="4"/>
  <c r="W79" i="2"/>
  <c r="O56" i="2"/>
  <c r="V53" i="2"/>
  <c r="W53" i="2"/>
  <c r="O22" i="2"/>
  <c r="U79" i="2"/>
  <c r="V11" i="4"/>
  <c r="V12" i="4" s="1"/>
  <c r="V30" i="4"/>
  <c r="AA22" i="4"/>
  <c r="V14" i="4"/>
  <c r="AA8" i="4"/>
  <c r="V18" i="4"/>
  <c r="P22" i="6"/>
  <c r="P10" i="6"/>
  <c r="Q53" i="2"/>
  <c r="U81" i="2"/>
  <c r="AN23" i="2"/>
  <c r="O16" i="6"/>
  <c r="O15" i="6"/>
  <c r="V28" i="4"/>
  <c r="V32" i="4"/>
  <c r="U53" i="2"/>
  <c r="V81" i="2"/>
  <c r="Q5" i="6"/>
  <c r="R4" i="6"/>
  <c r="Q6" i="6"/>
  <c r="Q20" i="6"/>
  <c r="Q14" i="4"/>
  <c r="S23" i="2"/>
  <c r="Q16" i="4"/>
  <c r="AN22" i="2"/>
  <c r="AP4" i="2"/>
  <c r="AO5" i="2"/>
  <c r="AO6" i="2" s="1"/>
  <c r="O23" i="2"/>
  <c r="H79" i="2"/>
  <c r="D53" i="2"/>
  <c r="H53" i="2"/>
  <c r="E79" i="2"/>
  <c r="I79" i="2"/>
  <c r="I53" i="2"/>
  <c r="F79" i="2"/>
  <c r="J79" i="2"/>
  <c r="F53" i="2"/>
  <c r="G79" i="2"/>
  <c r="G81" i="2"/>
  <c r="G53" i="2"/>
  <c r="K53" i="2"/>
  <c r="E7" i="3"/>
  <c r="AM18" i="2"/>
  <c r="F7" i="5"/>
  <c r="E9" i="5"/>
  <c r="P79" i="2"/>
  <c r="P81" i="2"/>
  <c r="L53" i="2"/>
  <c r="P53" i="2"/>
  <c r="M79" i="2"/>
  <c r="Q79" i="2"/>
  <c r="Q81" i="2"/>
  <c r="M53" i="2"/>
  <c r="N79" i="2"/>
  <c r="N81" i="2"/>
  <c r="R79" i="2"/>
  <c r="O79" i="2"/>
  <c r="K79" i="2"/>
  <c r="D79" i="2"/>
  <c r="L79" i="2"/>
  <c r="T79" i="2"/>
  <c r="R53" i="2"/>
  <c r="S53" i="2"/>
  <c r="S16" i="2"/>
  <c r="S18" i="2" s="1"/>
  <c r="O53" i="2"/>
  <c r="N53" i="2"/>
  <c r="J53" i="2"/>
  <c r="Q11" i="4"/>
  <c r="Q12" i="4" s="1"/>
  <c r="V8" i="4"/>
  <c r="V25" i="4"/>
  <c r="V26" i="4" s="1"/>
  <c r="B6" i="2"/>
  <c r="B9" i="2" l="1"/>
  <c r="B14" i="2"/>
  <c r="E5" i="3"/>
  <c r="D5" i="3"/>
  <c r="AO10" i="2"/>
  <c r="AO22" i="2"/>
  <c r="AQ4" i="2"/>
  <c r="AP5" i="2"/>
  <c r="AP6" i="2"/>
  <c r="AP20" i="2"/>
  <c r="Q22" i="6"/>
  <c r="Q10" i="6"/>
  <c r="R5" i="6"/>
  <c r="S4" i="6"/>
  <c r="R20" i="6"/>
  <c r="R6" i="6"/>
  <c r="O18" i="6"/>
  <c r="P23" i="6"/>
  <c r="P14" i="6"/>
  <c r="D6" i="3"/>
  <c r="E6" i="3"/>
  <c r="D7" i="3"/>
  <c r="E14" i="5"/>
  <c r="F9" i="5"/>
  <c r="F14" i="5" s="1"/>
  <c r="F6" i="3" l="1"/>
  <c r="AO25" i="2"/>
  <c r="AR4" i="2"/>
  <c r="AQ5" i="2"/>
  <c r="AQ6" i="2"/>
  <c r="AQ20" i="2"/>
  <c r="P15" i="6"/>
  <c r="P16" i="6" s="1"/>
  <c r="Q23" i="6"/>
  <c r="Q14" i="6"/>
  <c r="AP10" i="2"/>
  <c r="AP25" i="2" s="1"/>
  <c r="AP26" i="2" s="1"/>
  <c r="AP22" i="2"/>
  <c r="R10" i="6"/>
  <c r="R22" i="6"/>
  <c r="S5" i="6"/>
  <c r="S20" i="6"/>
  <c r="T4" i="6"/>
  <c r="S6" i="6"/>
  <c r="AO14" i="2"/>
  <c r="AO15" i="2" s="1"/>
  <c r="AO16" i="2" s="1"/>
  <c r="AO23" i="2"/>
  <c r="AO26" i="2" l="1"/>
  <c r="F5" i="3"/>
  <c r="P18" i="6"/>
  <c r="R23" i="6"/>
  <c r="R14" i="6"/>
  <c r="Q15" i="6"/>
  <c r="Q16" i="6" s="1"/>
  <c r="AQ10" i="2"/>
  <c r="AQ25" i="2" s="1"/>
  <c r="AQ26" i="2" s="1"/>
  <c r="AQ22" i="2"/>
  <c r="S22" i="6"/>
  <c r="S10" i="6"/>
  <c r="T5" i="6"/>
  <c r="U4" i="6"/>
  <c r="T6" i="6"/>
  <c r="T20" i="6"/>
  <c r="AO18" i="2"/>
  <c r="F7" i="3" s="1"/>
  <c r="AP14" i="2"/>
  <c r="AP15" i="2" s="1"/>
  <c r="AP16" i="2" s="1"/>
  <c r="AP18" i="2" s="1"/>
  <c r="AP23" i="2"/>
  <c r="AS4" i="2"/>
  <c r="AR5" i="2"/>
  <c r="AR6" i="2" s="1"/>
  <c r="AR20" i="2"/>
  <c r="Q18" i="6" l="1"/>
  <c r="AQ14" i="2"/>
  <c r="AQ15" i="2" s="1"/>
  <c r="AQ16" i="2" s="1"/>
  <c r="AQ23" i="2"/>
  <c r="AR10" i="2"/>
  <c r="AR25" i="2" s="1"/>
  <c r="AR26" i="2" s="1"/>
  <c r="AR22" i="2"/>
  <c r="R15" i="6"/>
  <c r="R16" i="6" s="1"/>
  <c r="T10" i="6"/>
  <c r="T22" i="6"/>
  <c r="U5" i="6"/>
  <c r="U6" i="6"/>
  <c r="V4" i="6"/>
  <c r="U20" i="6"/>
  <c r="AT4" i="2"/>
  <c r="AS5" i="2"/>
  <c r="AS6" i="2" s="1"/>
  <c r="AS20" i="2"/>
  <c r="S23" i="6"/>
  <c r="S14" i="6"/>
  <c r="AS10" i="2" l="1"/>
  <c r="AS25" i="2" s="1"/>
  <c r="AS26" i="2" s="1"/>
  <c r="AS22" i="2"/>
  <c r="R18" i="6"/>
  <c r="AU4" i="2"/>
  <c r="AT5" i="2"/>
  <c r="AT6" i="2"/>
  <c r="AT20" i="2"/>
  <c r="S15" i="6"/>
  <c r="S16" i="6" s="1"/>
  <c r="AR14" i="2"/>
  <c r="AR15" i="2" s="1"/>
  <c r="AR16" i="2" s="1"/>
  <c r="AR18" i="2" s="1"/>
  <c r="AR23" i="2"/>
  <c r="U10" i="6"/>
  <c r="U22" i="6"/>
  <c r="V5" i="6"/>
  <c r="V6" i="6"/>
  <c r="V20" i="6"/>
  <c r="W4" i="6"/>
  <c r="AQ18" i="2"/>
  <c r="T23" i="6"/>
  <c r="T14" i="6"/>
  <c r="S18" i="6" l="1"/>
  <c r="V22" i="6"/>
  <c r="V10" i="6"/>
  <c r="AT10" i="2"/>
  <c r="AT25" i="2" s="1"/>
  <c r="AT26" i="2" s="1"/>
  <c r="AT22" i="2"/>
  <c r="T15" i="6"/>
  <c r="T16" i="6" s="1"/>
  <c r="T18" i="6" s="1"/>
  <c r="U23" i="6"/>
  <c r="U14" i="6"/>
  <c r="AV4" i="2"/>
  <c r="AU5" i="2"/>
  <c r="AU6" i="2"/>
  <c r="AU20" i="2"/>
  <c r="W5" i="6"/>
  <c r="W6" i="6" s="1"/>
  <c r="X4" i="6"/>
  <c r="W20" i="6"/>
  <c r="AS14" i="2"/>
  <c r="AS15" i="2" s="1"/>
  <c r="AS16" i="2" s="1"/>
  <c r="AS23" i="2"/>
  <c r="W10" i="6" l="1"/>
  <c r="W22" i="6"/>
  <c r="V23" i="6"/>
  <c r="V14" i="6"/>
  <c r="X5" i="6"/>
  <c r="X20" i="6"/>
  <c r="X6" i="6"/>
  <c r="AU10" i="2"/>
  <c r="AU25" i="2" s="1"/>
  <c r="AU26" i="2" s="1"/>
  <c r="AU22" i="2"/>
  <c r="AT14" i="2"/>
  <c r="AT15" i="2" s="1"/>
  <c r="AT16" i="2" s="1"/>
  <c r="AT18" i="2" s="1"/>
  <c r="AT23" i="2"/>
  <c r="AS18" i="2"/>
  <c r="AV5" i="2"/>
  <c r="AV6" i="2" s="1"/>
  <c r="AV20" i="2"/>
  <c r="U15" i="6"/>
  <c r="U16" i="6" s="1"/>
  <c r="U18" i="6" s="1"/>
  <c r="AU14" i="2" l="1"/>
  <c r="AU15" i="2" s="1"/>
  <c r="AU16" i="2" s="1"/>
  <c r="AU23" i="2"/>
  <c r="AV10" i="2"/>
  <c r="AV25" i="2" s="1"/>
  <c r="AV26" i="2" s="1"/>
  <c r="AV22" i="2"/>
  <c r="X22" i="6"/>
  <c r="X10" i="6"/>
  <c r="V16" i="6"/>
  <c r="V18" i="6" s="1"/>
  <c r="V15" i="6"/>
  <c r="W14" i="6"/>
  <c r="W23" i="6"/>
  <c r="X23" i="6" l="1"/>
  <c r="X14" i="6"/>
  <c r="AV14" i="2"/>
  <c r="AV15" i="2" s="1"/>
  <c r="AV16" i="2" s="1"/>
  <c r="AV23" i="2"/>
  <c r="W16" i="6"/>
  <c r="W18" i="6" s="1"/>
  <c r="W15" i="6"/>
  <c r="AU18" i="2"/>
  <c r="X15" i="6" l="1"/>
  <c r="X16" i="6" s="1"/>
  <c r="AV18" i="2"/>
  <c r="AW16" i="2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EE16" i="2" s="1"/>
  <c r="EF16" i="2" s="1"/>
  <c r="EG16" i="2" s="1"/>
  <c r="EH16" i="2" s="1"/>
  <c r="EI16" i="2" s="1"/>
  <c r="EJ16" i="2" s="1"/>
  <c r="EK16" i="2" s="1"/>
  <c r="EL16" i="2" s="1"/>
  <c r="EM16" i="2" s="1"/>
  <c r="EN16" i="2" s="1"/>
  <c r="EO16" i="2" s="1"/>
  <c r="EP16" i="2" s="1"/>
  <c r="EQ16" i="2" s="1"/>
  <c r="ER16" i="2" s="1"/>
  <c r="ES16" i="2" s="1"/>
  <c r="ET16" i="2" s="1"/>
  <c r="AY21" i="2" s="1"/>
  <c r="AY23" i="2" s="1"/>
  <c r="AY24" i="2" s="1"/>
  <c r="X18" i="6" l="1"/>
  <c r="Y16" i="6"/>
  <c r="Z16" i="6" s="1"/>
  <c r="AA16" i="6" s="1"/>
  <c r="AB16" i="6" s="1"/>
  <c r="AC16" i="6" s="1"/>
  <c r="AD16" i="6" s="1"/>
  <c r="AE16" i="6" s="1"/>
  <c r="AF16" i="6" s="1"/>
  <c r="AG16" i="6" s="1"/>
  <c r="AH16" i="6" s="1"/>
  <c r="AI16" i="6" s="1"/>
  <c r="AJ16" i="6" s="1"/>
  <c r="AK16" i="6" s="1"/>
  <c r="AL16" i="6" s="1"/>
  <c r="AM16" i="6" s="1"/>
  <c r="AN16" i="6" s="1"/>
  <c r="AO16" i="6" s="1"/>
  <c r="AP16" i="6" s="1"/>
  <c r="AQ16" i="6" s="1"/>
  <c r="AR16" i="6" s="1"/>
  <c r="AS16" i="6" s="1"/>
  <c r="AT16" i="6" s="1"/>
  <c r="AU16" i="6" s="1"/>
  <c r="AV16" i="6" s="1"/>
  <c r="AW16" i="6" s="1"/>
  <c r="AX16" i="6" s="1"/>
  <c r="AY16" i="6" s="1"/>
  <c r="AZ16" i="6" s="1"/>
  <c r="BA16" i="6" s="1"/>
  <c r="BB16" i="6" s="1"/>
  <c r="BC16" i="6" s="1"/>
  <c r="BD16" i="6" s="1"/>
  <c r="BE16" i="6" s="1"/>
  <c r="BF16" i="6" s="1"/>
  <c r="BG16" i="6" s="1"/>
  <c r="BH16" i="6" s="1"/>
  <c r="BI16" i="6" s="1"/>
  <c r="BJ16" i="6" s="1"/>
  <c r="BK16" i="6" s="1"/>
  <c r="BL16" i="6" s="1"/>
  <c r="BM16" i="6" s="1"/>
  <c r="BN16" i="6" s="1"/>
  <c r="BO16" i="6" s="1"/>
  <c r="BP16" i="6" s="1"/>
  <c r="BQ16" i="6" s="1"/>
  <c r="BR16" i="6" s="1"/>
  <c r="BS16" i="6" s="1"/>
  <c r="BT16" i="6" s="1"/>
  <c r="BU16" i="6" s="1"/>
  <c r="BV16" i="6" s="1"/>
  <c r="BW16" i="6" s="1"/>
  <c r="BX16" i="6" s="1"/>
  <c r="BY16" i="6" s="1"/>
  <c r="BZ16" i="6" s="1"/>
  <c r="CA16" i="6" s="1"/>
  <c r="CB16" i="6" s="1"/>
  <c r="CC16" i="6" s="1"/>
  <c r="CD16" i="6" s="1"/>
  <c r="CE16" i="6" s="1"/>
  <c r="CF16" i="6" s="1"/>
  <c r="CG16" i="6" s="1"/>
  <c r="CH16" i="6" s="1"/>
  <c r="CI16" i="6" s="1"/>
  <c r="CJ16" i="6" s="1"/>
  <c r="CK16" i="6" s="1"/>
  <c r="CL16" i="6" s="1"/>
  <c r="CM16" i="6" s="1"/>
  <c r="CN16" i="6" s="1"/>
  <c r="CO16" i="6" s="1"/>
  <c r="CP16" i="6" s="1"/>
  <c r="CQ16" i="6" s="1"/>
  <c r="CR16" i="6" s="1"/>
  <c r="CS16" i="6" s="1"/>
  <c r="CT16" i="6" s="1"/>
  <c r="CU16" i="6" s="1"/>
  <c r="CV16" i="6" s="1"/>
  <c r="CW16" i="6" s="1"/>
  <c r="CX16" i="6" s="1"/>
  <c r="CY16" i="6" s="1"/>
  <c r="CZ16" i="6" s="1"/>
  <c r="DA16" i="6" s="1"/>
  <c r="DB16" i="6" s="1"/>
  <c r="DC16" i="6" s="1"/>
  <c r="DD16" i="6" s="1"/>
  <c r="DE16" i="6" s="1"/>
  <c r="DF16" i="6" s="1"/>
  <c r="DG16" i="6" s="1"/>
  <c r="DH16" i="6" s="1"/>
  <c r="DI16" i="6" s="1"/>
  <c r="DJ16" i="6" s="1"/>
  <c r="DK16" i="6" s="1"/>
  <c r="DL16" i="6" s="1"/>
  <c r="DM16" i="6" s="1"/>
  <c r="DN16" i="6" s="1"/>
  <c r="DO16" i="6" s="1"/>
  <c r="DP16" i="6" s="1"/>
  <c r="DQ16" i="6" s="1"/>
  <c r="DR16" i="6" s="1"/>
  <c r="DS16" i="6" s="1"/>
  <c r="DT16" i="6" s="1"/>
  <c r="DU16" i="6" s="1"/>
  <c r="DV16" i="6" s="1"/>
  <c r="DW16" i="6" s="1"/>
  <c r="DX16" i="6" s="1"/>
  <c r="DY16" i="6" s="1"/>
  <c r="DZ16" i="6" s="1"/>
  <c r="EA16" i="6" s="1"/>
  <c r="EB16" i="6" s="1"/>
  <c r="EC16" i="6" s="1"/>
  <c r="ED16" i="6" s="1"/>
  <c r="EE16" i="6" s="1"/>
  <c r="EF16" i="6" s="1"/>
  <c r="EG16" i="6" s="1"/>
  <c r="EH16" i="6" s="1"/>
  <c r="EI16" i="6" s="1"/>
  <c r="EJ16" i="6" s="1"/>
  <c r="EK16" i="6" s="1"/>
  <c r="EL16" i="6" s="1"/>
  <c r="EM16" i="6" s="1"/>
  <c r="AA23" i="6" s="1"/>
  <c r="A5" i="6" l="1"/>
  <c r="AA24" i="6"/>
  <c r="A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tc={B110B1C1-ECCB-6E49-9CCF-A5B3BE2CDEB6}</author>
  </authors>
  <commentList>
    <comment ref="AO3" authorId="0" shapeId="0" xr:uid="{B110B1C1-ECCB-6E49-9CCF-A5B3BE2CDEB6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ÖoB EBIT positiv
</t>
      </text>
    </comment>
  </commentList>
</comments>
</file>

<file path=xl/sharedStrings.xml><?xml version="1.0" encoding="utf-8"?>
<sst xmlns="http://schemas.openxmlformats.org/spreadsheetml/2006/main" count="251" uniqueCount="159">
  <si>
    <t>Kapitalstruktur</t>
  </si>
  <si>
    <t>Price</t>
  </si>
  <si>
    <t>S/O</t>
  </si>
  <si>
    <t>MC NOKm</t>
  </si>
  <si>
    <t>Cash NOKm</t>
  </si>
  <si>
    <t>Debt Nokm</t>
  </si>
  <si>
    <t>EV NOKm</t>
  </si>
  <si>
    <t>Q122</t>
  </si>
  <si>
    <t>Q222</t>
  </si>
  <si>
    <t>Q322</t>
  </si>
  <si>
    <t>Q422</t>
  </si>
  <si>
    <t>Q123</t>
  </si>
  <si>
    <t>Q223</t>
  </si>
  <si>
    <t>Q324</t>
  </si>
  <si>
    <t>Q323</t>
  </si>
  <si>
    <t>Q423</t>
  </si>
  <si>
    <t>Q124</t>
  </si>
  <si>
    <t>Q224</t>
  </si>
  <si>
    <t>Q424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</si>
  <si>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</si>
  <si>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</si>
  <si>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</si>
  <si>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</si>
  <si>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</si>
  <si>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</si>
  <si>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</si>
  <si>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</si>
  <si>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</si>
  <si>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</si>
  <si>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</si>
  <si>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</si>
  <si>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</si>
  <si>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</si>
  <si>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EV/EBIT</t>
  </si>
  <si>
    <t>P/E</t>
  </si>
  <si>
    <t>NOKm</t>
  </si>
  <si>
    <t xml:space="preserve">Cash flow NOKm </t>
  </si>
  <si>
    <t>Q125</t>
  </si>
  <si>
    <t>Q225</t>
  </si>
  <si>
    <t>Q325</t>
  </si>
  <si>
    <t>Q425</t>
  </si>
  <si>
    <t>Q126</t>
  </si>
  <si>
    <t>Q226</t>
  </si>
  <si>
    <t>Q326</t>
  </si>
  <si>
    <t>Q426</t>
  </si>
  <si>
    <t>FY 2019</t>
  </si>
  <si>
    <t>FY 2020</t>
  </si>
  <si>
    <t>FY 2021</t>
  </si>
  <si>
    <t>FY 2016</t>
  </si>
  <si>
    <t>FY 2017</t>
  </si>
  <si>
    <t>FY 2018</t>
  </si>
  <si>
    <t>FY 2015</t>
  </si>
  <si>
    <t>Norge</t>
  </si>
  <si>
    <t>Öob</t>
  </si>
  <si>
    <t>Revenue</t>
  </si>
  <si>
    <t>y/y</t>
  </si>
  <si>
    <t>Gross profit</t>
  </si>
  <si>
    <t>Gross margin</t>
  </si>
  <si>
    <t>COGS</t>
  </si>
  <si>
    <t>Opex</t>
  </si>
  <si>
    <t>Opex-to-sales</t>
  </si>
  <si>
    <t>EBITDA</t>
  </si>
  <si>
    <t>EBITDA Margin</t>
  </si>
  <si>
    <t>EBIT</t>
  </si>
  <si>
    <t>EBIT margin</t>
  </si>
  <si>
    <t>Sverige</t>
  </si>
  <si>
    <t>Multippel</t>
  </si>
  <si>
    <t>Value</t>
  </si>
  <si>
    <t>NOK/share</t>
  </si>
  <si>
    <t>Revenue y/y</t>
  </si>
  <si>
    <t>Revenue CC</t>
  </si>
  <si>
    <t>Employee benefit expenses</t>
  </si>
  <si>
    <t>Depreciation</t>
  </si>
  <si>
    <t>Other operating expenses</t>
  </si>
  <si>
    <t>Operating profit (EBIT)</t>
  </si>
  <si>
    <t>Net financials</t>
  </si>
  <si>
    <t>Profit/loss from associated comps</t>
  </si>
  <si>
    <t>Change in fair value of options</t>
  </si>
  <si>
    <t>PTP</t>
  </si>
  <si>
    <t>Tax</t>
  </si>
  <si>
    <t>Net income</t>
  </si>
  <si>
    <t>Share</t>
  </si>
  <si>
    <t>EPS</t>
  </si>
  <si>
    <t>Balanse NOKm</t>
  </si>
  <si>
    <t>Total intangible assets</t>
  </si>
  <si>
    <t>Total fixed assets</t>
  </si>
  <si>
    <t>Total financial assets</t>
  </si>
  <si>
    <t>Inventories</t>
  </si>
  <si>
    <t>Trade receivables</t>
  </si>
  <si>
    <t>Other receivables</t>
  </si>
  <si>
    <t>Cash</t>
  </si>
  <si>
    <t>Total assets</t>
  </si>
  <si>
    <t>Total paid-in capital</t>
  </si>
  <si>
    <t>Total retained equity</t>
  </si>
  <si>
    <t>Non-controlling interests</t>
  </si>
  <si>
    <t>Total equity</t>
  </si>
  <si>
    <t>Provisions</t>
  </si>
  <si>
    <t>Lease liabilties</t>
  </si>
  <si>
    <t>Current lease liabilties</t>
  </si>
  <si>
    <t>Accounts payable</t>
  </si>
  <si>
    <t>Tax payable</t>
  </si>
  <si>
    <t>Public duties payable</t>
  </si>
  <si>
    <t>Put option liability</t>
  </si>
  <si>
    <t>Other current liabilities</t>
  </si>
  <si>
    <t>Total debt</t>
  </si>
  <si>
    <t>Total E/D</t>
  </si>
  <si>
    <t>Non-current Borrowings</t>
  </si>
  <si>
    <t>Current Borrowings</t>
  </si>
  <si>
    <t>Model PTP</t>
  </si>
  <si>
    <t>Reported PTP</t>
  </si>
  <si>
    <t>Dep</t>
  </si>
  <si>
    <t>Change in fair value of option</t>
  </si>
  <si>
    <t>Share of profit/loss</t>
  </si>
  <si>
    <t>WC</t>
  </si>
  <si>
    <t>Income tax paid</t>
  </si>
  <si>
    <t>CFFO</t>
  </si>
  <si>
    <t>Capex</t>
  </si>
  <si>
    <t>Acquisition</t>
  </si>
  <si>
    <t>CFFI</t>
  </si>
  <si>
    <t>Net change in RFC</t>
  </si>
  <si>
    <t>Repayment of debt</t>
  </si>
  <si>
    <t>Principal paid on lease</t>
  </si>
  <si>
    <t>Dividend</t>
  </si>
  <si>
    <t>Sale of treasury shares</t>
  </si>
  <si>
    <t>Dividend to non-controlling int</t>
  </si>
  <si>
    <t>CFFF</t>
  </si>
  <si>
    <t>FX</t>
  </si>
  <si>
    <t>CIC</t>
  </si>
  <si>
    <t>FCF</t>
  </si>
  <si>
    <t>Nedside</t>
  </si>
  <si>
    <t>TV</t>
  </si>
  <si>
    <t>NPV</t>
  </si>
  <si>
    <t>NPV/Share</t>
  </si>
  <si>
    <t>Discount</t>
  </si>
  <si>
    <t>Opp/nedside</t>
  </si>
  <si>
    <t>Nullvekst og dårlige marginer</t>
  </si>
  <si>
    <t>Enterprise value</t>
  </si>
  <si>
    <t>Debt</t>
  </si>
  <si>
    <t>SOTP EPR</t>
  </si>
  <si>
    <t>Opp/Nedside</t>
  </si>
  <si>
    <t>ÖoB mål 2028:</t>
  </si>
  <si>
    <t>EBITDA 26E</t>
  </si>
  <si>
    <t>y/y LC</t>
  </si>
  <si>
    <t>EBITDA LTM</t>
  </si>
  <si>
    <t>EV/EBITDA</t>
  </si>
  <si>
    <t>Stores</t>
  </si>
  <si>
    <t>Q127</t>
  </si>
  <si>
    <t>Q227</t>
  </si>
  <si>
    <t>Q327</t>
  </si>
  <si>
    <t>Q427</t>
  </si>
  <si>
    <t>Q128</t>
  </si>
  <si>
    <t>Q228</t>
  </si>
  <si>
    <t>Q328</t>
  </si>
  <si>
    <t>Q428</t>
  </si>
  <si>
    <t>Gearing</t>
  </si>
  <si>
    <t>P/B</t>
  </si>
  <si>
    <t>Refurbished</t>
  </si>
  <si>
    <t>Press releases:</t>
  </si>
  <si>
    <t>10.07.26: Direktør Terje Andersen har kjøpt  6 000 aksjer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</si>
</sst>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kr&quot;\ #,##0.00_);[Red]\(&quot;kr&quot;\ #,##0.00\)"/>
    <numFmt numFmtId="164" formatCode="0.0"/>
    <numFmt numFmtId="165" formatCode="#,##0.0"/>
    <numFmt numFmtId="166" formatCode="0.0\ %"/>
  </numFmts>
  <fonts count="11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165" fontId="2" fillId="0" borderId="1" xfId="0" applyNumberFormat="1" applyFont="1" applyBorder="1"/>
    <xf numFmtId="0" fontId="3" fillId="0" borderId="2" xfId="0" applyFont="1" applyBorder="1"/>
    <xf numFmtId="164" fontId="4" fillId="0" borderId="2" xfId="0" applyNumberFormat="1" applyFont="1" applyBorder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10" fontId="6" fillId="0" borderId="0" xfId="0" applyNumberFormat="1" applyFont="1"/>
    <xf numFmtId="0" fontId="5" fillId="0" borderId="0" xfId="0" applyFont="1" applyAlignment="1">
      <alignment horizontal="right"/>
    </xf>
    <xf numFmtId="10" fontId="1" fillId="0" borderId="0" xfId="0" applyNumberFormat="1" applyFont="1"/>
    <xf numFmtId="0" fontId="5" fillId="0" borderId="5" xfId="0" applyFont="1" applyBorder="1" applyAlignment="1">
      <alignment horizontal="right"/>
    </xf>
    <xf numFmtId="0" fontId="1" fillId="0" borderId="5" xfId="0" applyFont="1" applyBorder="1"/>
    <xf numFmtId="0" fontId="5" fillId="0" borderId="5" xfId="0" applyFont="1" applyBorder="1"/>
    <xf numFmtId="10" fontId="6" fillId="0" borderId="5" xfId="0" applyNumberFormat="1" applyFont="1" applyBorder="1"/>
    <xf numFmtId="0" fontId="8" fillId="0" borderId="0" xfId="0" applyFont="1"/>
    <xf numFmtId="2" fontId="1" fillId="0" borderId="0" xfId="0" applyNumberFormat="1" applyFont="1"/>
    <xf numFmtId="164" fontId="1" fillId="0" borderId="0" xfId="0" applyNumberFormat="1" applyFont="1"/>
    <xf numFmtId="3" fontId="5" fillId="0" borderId="0" xfId="0" applyNumberFormat="1" applyFont="1"/>
    <xf numFmtId="3" fontId="1" fillId="0" borderId="0" xfId="0" applyNumberFormat="1" applyFont="1"/>
    <xf numFmtId="10" fontId="5" fillId="0" borderId="0" xfId="0" applyNumberFormat="1" applyFont="1"/>
    <xf numFmtId="3" fontId="6" fillId="0" borderId="0" xfId="0" applyNumberFormat="1" applyFont="1"/>
    <xf numFmtId="0" fontId="1" fillId="0" borderId="6" xfId="0" applyFont="1" applyBorder="1"/>
    <xf numFmtId="9" fontId="1" fillId="0" borderId="0" xfId="0" applyNumberFormat="1" applyFont="1"/>
    <xf numFmtId="8" fontId="1" fillId="0" borderId="6" xfId="0" applyNumberFormat="1" applyFont="1" applyBorder="1"/>
    <xf numFmtId="8" fontId="5" fillId="0" borderId="0" xfId="0" applyNumberFormat="1" applyFont="1"/>
    <xf numFmtId="3" fontId="5" fillId="0" borderId="5" xfId="0" applyNumberFormat="1" applyFont="1" applyBorder="1"/>
    <xf numFmtId="3" fontId="1" fillId="0" borderId="5" xfId="0" applyNumberFormat="1" applyFont="1" applyBorder="1"/>
    <xf numFmtId="0" fontId="10" fillId="0" borderId="2" xfId="0" applyFont="1" applyBorder="1"/>
    <xf numFmtId="0" fontId="8" fillId="0" borderId="2" xfId="0" applyFont="1" applyBorder="1"/>
    <xf numFmtId="3" fontId="8" fillId="0" borderId="2" xfId="0" applyNumberFormat="1" applyFont="1" applyBorder="1"/>
    <xf numFmtId="1" fontId="8" fillId="0" borderId="2" xfId="0" applyNumberFormat="1" applyFont="1" applyBorder="1"/>
    <xf numFmtId="3" fontId="10" fillId="0" borderId="2" xfId="0" applyNumberFormat="1" applyFont="1" applyBorder="1"/>
    <xf numFmtId="1" fontId="10" fillId="0" borderId="2" xfId="0" applyNumberFormat="1" applyFont="1" applyBorder="1"/>
    <xf numFmtId="0" fontId="8" fillId="2" borderId="2" xfId="0" applyFont="1" applyFill="1" applyBorder="1"/>
    <xf numFmtId="3" fontId="8" fillId="2" borderId="2" xfId="0" applyNumberFormat="1" applyFont="1" applyFill="1" applyBorder="1"/>
    <xf numFmtId="0" fontId="1" fillId="0" borderId="1" xfId="0" applyFont="1" applyBorder="1" applyAlignment="1">
      <alignment horizontal="right"/>
    </xf>
    <xf numFmtId="3" fontId="5" fillId="0" borderId="1" xfId="0" applyNumberFormat="1" applyFont="1" applyBorder="1"/>
    <xf numFmtId="3" fontId="1" fillId="0" borderId="1" xfId="0" applyNumberFormat="1" applyFont="1" applyBorder="1"/>
    <xf numFmtId="2" fontId="1" fillId="0" borderId="1" xfId="0" applyNumberFormat="1" applyFont="1" applyBorder="1"/>
    <xf numFmtId="10" fontId="5" fillId="0" borderId="1" xfId="0" applyNumberFormat="1" applyFont="1" applyBorder="1"/>
    <xf numFmtId="10" fontId="1" fillId="0" borderId="1" xfId="0" applyNumberFormat="1" applyFont="1" applyBorder="1"/>
    <xf numFmtId="0" fontId="9" fillId="0" borderId="0" xfId="0" applyFont="1"/>
    <xf numFmtId="9" fontId="0" fillId="0" borderId="0" xfId="0" applyNumberFormat="1"/>
    <xf numFmtId="1" fontId="1" fillId="0" borderId="0" xfId="0" applyNumberFormat="1" applyFont="1"/>
    <xf numFmtId="4" fontId="1" fillId="0" borderId="0" xfId="0" applyNumberFormat="1" applyFont="1"/>
    <xf numFmtId="166" fontId="6" fillId="0" borderId="0" xfId="0" applyNumberFormat="1" applyFont="1"/>
    <xf numFmtId="166" fontId="6" fillId="0" borderId="1" xfId="0" applyNumberFormat="1" applyFont="1" applyBorder="1"/>
    <xf numFmtId="166" fontId="2" fillId="0" borderId="0" xfId="0" applyNumberFormat="1" applyFont="1"/>
    <xf numFmtId="3" fontId="8" fillId="0" borderId="0" xfId="0" applyNumberFormat="1" applyFont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SOTP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SOTP</a:t>
          </a:r>
        </a:p>
      </cx:txPr>
    </cx:title>
    <cx:plotArea>
      <cx:plotAreaRegion>
        <cx:series layoutId="waterfall" uniqueId="{00000000-ECF4-7944-85E7-8B6F31222D76}">
          <cx:dataPt idx="2"/>
          <cx:dataPt idx="4">
            <cx:spPr>
              <a:solidFill>
                <a:srgbClr val="FF0000"/>
              </a:solidFill>
            </cx:spPr>
          </cx:dataPt>
          <cx:dataPt idx="7"/>
          <cx:dataLabels pos="outEnd">
            <cx:visibility seriesName="0" categoryName="0" value="1"/>
          </cx:dataLabels>
          <cx:dataId val="0"/>
          <cx:layoutPr>
            <cx:visibility connectorLines="1"/>
            <cx:subtotals>
              <cx:idx val="2"/>
              <cx:idx val="7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/>
            </a:pPr>
            <a:endParaRPr lang="nb-NO" sz="105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342900</xdr:colOff>
      <xdr:row>10</xdr:row>
      <xdr:rowOff>202622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203A0A13-472C-267D-5E74-E63F83BE0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200"/>
          <a:ext cx="7772400" cy="20314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15</xdr:row>
      <xdr:rowOff>31750</xdr:rowOff>
    </xdr:from>
    <xdr:to>
      <xdr:col>5</xdr:col>
      <xdr:colOff>1117600</xdr:colOff>
      <xdr:row>28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991BF1E4-2B44-ADE3-AAAA-5E13B79BDE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9950" y="4603750"/>
              <a:ext cx="6381750" cy="4019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E72F25F6-3AB4-D34A-B827-5FC6EFC78906}" userId="a530012ce760c12d" providerId="Windows Live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O3" dT="2026-02-05T16:54:48.87" personId="{E72F25F6-3AB4-D34A-B827-5FC6EFC78906}" id="{B110B1C1-ECCB-6E49-9CCF-A5B3BE2CDEB6}">
    <text xml:space="preserve">ÖoB EBIT positiv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55DAC5-BC2A-DB43-9B4B-97A61818149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e647a9a-c651-4301-a3c9-c45f3a42873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2BAC-0D7E-114F-9388-FFC6BF1D537C}">
  <dimension ref="A14:B22"/>
  <sheetViews>
    <sheetView showGridLines="0" workbookViewId="0">
      <selection activeCell="L27" sqref="L27"/>
    </sheetView>
  </sheetViews>
  <sheetFormatPr baseColWidth="10" defaultRowHeight="16" x14ac:dyDescent="0.2"/>
  <sheetData>
    <row r="14" spans="1:2" x14ac:dyDescent="0.2">
      <c r="A14" s="47" t="s">
        <v>140</v>
      </c>
    </row>
    <row r="15" spans="1:2" x14ac:dyDescent="0.2">
      <c r="A15" t="s">
        <v>54</v>
      </c>
      <c r="B15">
        <v>5000</v>
      </c>
    </row>
    <row r="16" spans="1:2" x14ac:dyDescent="0.2">
      <c r="A16" t="s">
        <v>64</v>
      </c>
      <c r="B16" s="48">
        <v>0.05</v>
      </c>
    </row>
    <row r="21" spans="1:1" x14ac:dyDescent="0.2">
      <c r="A21" s="47" t="s">
        <v>157</v>
      </c>
    </row>
    <row r="22" spans="1:1" x14ac:dyDescent="0.2">
      <c r="A22" t="s">
        <v>158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56C4A-06D8-4B48-BE0B-22F097D51740}">
  <dimension ref="A3:XEW87"/>
  <sheetViews>
    <sheetView showGridLines="0" tabSelected="1" workbookViewId="0">
      <pane xSplit="3" ySplit="3" topLeftCell="AH4" activePane="bottomRight" state="frozen"/>
      <selection pane="topRight" activeCell="D1" sqref="D1"/>
      <selection pane="bottomLeft" activeCell="A4" sqref="A4"/>
      <selection pane="bottomRight" activeCell="AP35" sqref="AP35"/>
    </sheetView>
  </sheetViews>
  <sheetFormatPr baseColWidth="10" defaultRowHeight="19" x14ac:dyDescent="0.25"/>
  <cols>
    <col min="1" max="1" width="15.1640625" style="1" bestFit="1" customWidth="1"/>
    <col min="2" max="2" width="10.6640625" style="3" customWidth="1"/>
    <col min="3" max="3" width="32.33203125" style="1" customWidth="1"/>
    <col min="4" max="17" width="10.83203125" style="1"/>
    <col min="18" max="18" width="11.1640625" style="1" bestFit="1" customWidth="1"/>
    <col min="19" max="20" width="10.83203125" style="1"/>
    <col min="21" max="21" width="10.33203125" style="1" customWidth="1"/>
    <col min="22" max="38" width="10.83203125" style="1"/>
    <col min="39" max="39" width="10.83203125" style="3"/>
    <col min="40" max="49" width="10.83203125" style="1"/>
    <col min="50" max="50" width="14.33203125" style="1" bestFit="1" customWidth="1"/>
    <col min="51" max="51" width="13.33203125" style="1" bestFit="1" customWidth="1"/>
    <col min="52" max="16384" width="10.83203125" style="1"/>
  </cols>
  <sheetData>
    <row r="3" spans="1:150" x14ac:dyDescent="0.25">
      <c r="A3" s="1" t="s">
        <v>0</v>
      </c>
      <c r="C3" s="12" t="s">
        <v>35</v>
      </c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11" t="s">
        <v>12</v>
      </c>
      <c r="J3" s="11" t="s">
        <v>14</v>
      </c>
      <c r="K3" s="11" t="s">
        <v>15</v>
      </c>
      <c r="L3" s="11" t="s">
        <v>16</v>
      </c>
      <c r="M3" s="11" t="s">
        <v>17</v>
      </c>
      <c r="N3" s="11" t="s">
        <v>13</v>
      </c>
      <c r="O3" s="11" t="s">
        <v>18</v>
      </c>
      <c r="P3" s="11" t="s">
        <v>37</v>
      </c>
      <c r="Q3" s="11" t="s">
        <v>38</v>
      </c>
      <c r="R3" s="11" t="s">
        <v>39</v>
      </c>
      <c r="S3" s="11" t="s">
        <v>40</v>
      </c>
      <c r="T3" s="11" t="s">
        <v>41</v>
      </c>
      <c r="U3" s="11" t="s">
        <v>42</v>
      </c>
      <c r="V3" s="11" t="s">
        <v>43</v>
      </c>
      <c r="W3" s="11" t="s">
        <v>44</v>
      </c>
      <c r="X3" s="11"/>
      <c r="Y3" s="11"/>
      <c r="AB3" s="11" t="s">
        <v>51</v>
      </c>
      <c r="AC3" s="11" t="s">
        <v>48</v>
      </c>
      <c r="AD3" s="11" t="s">
        <v>49</v>
      </c>
      <c r="AE3" s="11" t="s">
        <v>50</v>
      </c>
      <c r="AF3" s="11" t="s">
        <v>45</v>
      </c>
      <c r="AG3" s="11" t="s">
        <v>46</v>
      </c>
      <c r="AH3" s="11" t="s">
        <v>47</v>
      </c>
      <c r="AI3" s="11" t="s">
        <v>19</v>
      </c>
      <c r="AJ3" s="11" t="s">
        <v>20</v>
      </c>
      <c r="AK3" s="11" t="s">
        <v>21</v>
      </c>
      <c r="AL3" s="11" t="s">
        <v>22</v>
      </c>
      <c r="AM3" s="41" t="s">
        <v>23</v>
      </c>
      <c r="AN3" s="11" t="s">
        <v>24</v>
      </c>
      <c r="AO3" s="11" t="s">
        <v>25</v>
      </c>
      <c r="AP3" s="11" t="s">
        <v>26</v>
      </c>
      <c r="AQ3" s="11" t="s">
        <v>27</v>
      </c>
      <c r="AR3" s="11" t="s">
        <v>28</v>
      </c>
      <c r="AS3" s="11" t="s">
        <v>29</v>
      </c>
      <c r="AT3" s="11" t="s">
        <v>30</v>
      </c>
      <c r="AU3" s="11" t="s">
        <v>31</v>
      </c>
      <c r="AV3" s="11" t="s">
        <v>32</v>
      </c>
    </row>
    <row r="4" spans="1:150" x14ac:dyDescent="0.25">
      <c r="A4" s="1" t="s">
        <v>1</v>
      </c>
      <c r="B4" s="3">
        <v>81</v>
      </c>
      <c r="C4" s="23" t="s">
        <v>54</v>
      </c>
      <c r="D4" s="23">
        <v>1715.566</v>
      </c>
      <c r="E4" s="23">
        <v>2216.1640000000002</v>
      </c>
      <c r="F4" s="23">
        <v>2050</v>
      </c>
      <c r="G4" s="23">
        <v>3034.0329999999999</v>
      </c>
      <c r="H4" s="23">
        <v>1932.691</v>
      </c>
      <c r="I4" s="23">
        <v>2310.4670000000001</v>
      </c>
      <c r="J4" s="23">
        <v>2151.9569999999999</v>
      </c>
      <c r="K4" s="23">
        <v>3071.806</v>
      </c>
      <c r="L4" s="23">
        <v>2026.201</v>
      </c>
      <c r="M4" s="23">
        <v>3108.8960000000002</v>
      </c>
      <c r="N4" s="23">
        <v>3237.5050000000001</v>
      </c>
      <c r="O4" s="23">
        <v>4377.6570000000002</v>
      </c>
      <c r="P4" s="23">
        <v>2938.1729999999998</v>
      </c>
      <c r="Q4" s="23">
        <v>3801.6889999999999</v>
      </c>
      <c r="R4" s="23">
        <v>3528.0680000000002</v>
      </c>
      <c r="S4" s="23">
        <v>4610.5339999999997</v>
      </c>
      <c r="T4" s="23">
        <v>3299.7370000000001</v>
      </c>
      <c r="U4" s="23">
        <v>3694.02</v>
      </c>
      <c r="W4" s="23"/>
      <c r="X4" s="23"/>
      <c r="Y4" s="24"/>
      <c r="Z4" s="24"/>
      <c r="AB4" s="23">
        <v>4629.232</v>
      </c>
      <c r="AC4" s="23">
        <v>5085.2049999999999</v>
      </c>
      <c r="AD4" s="23">
        <v>5422.53</v>
      </c>
      <c r="AE4" s="23">
        <v>5816.9840000000004</v>
      </c>
      <c r="AF4" s="23">
        <v>6234.3890000000001</v>
      </c>
      <c r="AG4" s="23">
        <v>8012.6289999999999</v>
      </c>
      <c r="AH4" s="23">
        <v>8648.1769999999997</v>
      </c>
      <c r="AI4" s="23">
        <v>9015.7659999999996</v>
      </c>
      <c r="AJ4" s="23">
        <v>9466.9210000000003</v>
      </c>
      <c r="AK4" s="23">
        <v>12750.259</v>
      </c>
      <c r="AL4" s="23">
        <v>14878</v>
      </c>
      <c r="AM4" s="42">
        <f>AL4*1.03</f>
        <v>15324.34</v>
      </c>
      <c r="AN4" s="23">
        <f t="shared" ref="AN4:AV4" si="0">AM4*1.05</f>
        <v>16090.557000000001</v>
      </c>
      <c r="AO4" s="23">
        <f t="shared" si="0"/>
        <v>16895.084850000003</v>
      </c>
      <c r="AP4" s="23">
        <f t="shared" si="0"/>
        <v>17739.839092500002</v>
      </c>
      <c r="AQ4" s="23">
        <f t="shared" si="0"/>
        <v>18626.831047125004</v>
      </c>
      <c r="AR4" s="23">
        <f t="shared" si="0"/>
        <v>19558.172599481255</v>
      </c>
      <c r="AS4" s="23">
        <f t="shared" si="0"/>
        <v>20536.081229455318</v>
      </c>
      <c r="AT4" s="23">
        <f t="shared" si="0"/>
        <v>21562.885290928083</v>
      </c>
      <c r="AU4" s="23">
        <f t="shared" si="0"/>
        <v>22641.029555474488</v>
      </c>
      <c r="AV4" s="23">
        <f t="shared" si="0"/>
        <v>23773.081033248214</v>
      </c>
    </row>
    <row r="5" spans="1:150" x14ac:dyDescent="0.25">
      <c r="A5" s="1" t="s">
        <v>2</v>
      </c>
      <c r="B5" s="4">
        <v>166.96888799999999</v>
      </c>
      <c r="C5" s="24" t="s">
        <v>58</v>
      </c>
      <c r="D5" s="24">
        <v>-956.053</v>
      </c>
      <c r="E5" s="24">
        <v>-1147.0889999999999</v>
      </c>
      <c r="F5" s="24">
        <v>-1074.7080000000001</v>
      </c>
      <c r="G5" s="24">
        <v>-1654.925</v>
      </c>
      <c r="H5" s="24">
        <v>-1092.5820000000001</v>
      </c>
      <c r="I5" s="24">
        <v>-1282.0409999999999</v>
      </c>
      <c r="J5" s="24">
        <v>-1176.971</v>
      </c>
      <c r="K5" s="24">
        <v>-1724.058</v>
      </c>
      <c r="L5" s="24">
        <v>-1148.0989999999999</v>
      </c>
      <c r="M5" s="24">
        <v>-1807.375</v>
      </c>
      <c r="N5" s="24">
        <v>-1951.068</v>
      </c>
      <c r="O5" s="24">
        <v>-2515.614</v>
      </c>
      <c r="P5" s="24">
        <v>-1801.703</v>
      </c>
      <c r="Q5" s="24">
        <v>-2257.3270000000002</v>
      </c>
      <c r="R5" s="24">
        <v>-2091.2330000000002</v>
      </c>
      <c r="S5" s="24">
        <v>-2648.6950000000002</v>
      </c>
      <c r="T5" s="24">
        <v>-1997.704</v>
      </c>
      <c r="U5" s="24">
        <v>-2127.0160000000001</v>
      </c>
      <c r="W5" s="24"/>
      <c r="X5" s="24"/>
      <c r="Y5" s="24"/>
      <c r="Z5" s="24"/>
      <c r="AB5" s="24">
        <v>-2569.337</v>
      </c>
      <c r="AC5" s="24">
        <v>-2903.03</v>
      </c>
      <c r="AD5" s="24">
        <v>-3118.3449999999998</v>
      </c>
      <c r="AE5" s="24">
        <v>-3298.2959999999998</v>
      </c>
      <c r="AF5" s="24">
        <v>-3543.73</v>
      </c>
      <c r="AG5" s="24">
        <v>-4534.134</v>
      </c>
      <c r="AH5" s="24">
        <v>-4592.143</v>
      </c>
      <c r="AI5" s="24">
        <v>-4832.7830000000004</v>
      </c>
      <c r="AJ5" s="24">
        <v>-5275.6760000000004</v>
      </c>
      <c r="AK5" s="24">
        <v>-7437.4549999999999</v>
      </c>
      <c r="AL5" s="24">
        <v>-8799</v>
      </c>
      <c r="AM5" s="43">
        <f>AM4*-0.58</f>
        <v>-8888.1171999999988</v>
      </c>
      <c r="AN5" s="24">
        <f t="shared" ref="AN5:AV5" si="1">AN4*-0.58</f>
        <v>-9332.5230599999995</v>
      </c>
      <c r="AO5" s="24">
        <f t="shared" si="1"/>
        <v>-9799.1492130000006</v>
      </c>
      <c r="AP5" s="24">
        <f t="shared" si="1"/>
        <v>-10289.10667365</v>
      </c>
      <c r="AQ5" s="24">
        <f t="shared" si="1"/>
        <v>-10803.562007332503</v>
      </c>
      <c r="AR5" s="24">
        <f t="shared" si="1"/>
        <v>-11343.740107699126</v>
      </c>
      <c r="AS5" s="24">
        <f t="shared" si="1"/>
        <v>-11910.927113084084</v>
      </c>
      <c r="AT5" s="24">
        <f t="shared" si="1"/>
        <v>-12506.473468738288</v>
      </c>
      <c r="AU5" s="24">
        <f t="shared" si="1"/>
        <v>-13131.797142175203</v>
      </c>
      <c r="AV5" s="24">
        <f t="shared" si="1"/>
        <v>-13788.386999283963</v>
      </c>
    </row>
    <row r="6" spans="1:150" x14ac:dyDescent="0.25">
      <c r="A6" s="1" t="s">
        <v>3</v>
      </c>
      <c r="B6" s="5">
        <f>B4*B5</f>
        <v>13524.479927999999</v>
      </c>
      <c r="C6" s="24" t="s">
        <v>56</v>
      </c>
      <c r="D6" s="24">
        <f t="shared" ref="D6:E6" si="2">SUM(D4:D5)</f>
        <v>759.51300000000003</v>
      </c>
      <c r="E6" s="24">
        <f t="shared" si="2"/>
        <v>1069.0750000000003</v>
      </c>
      <c r="F6" s="24">
        <f t="shared" ref="F6:G6" si="3">SUM(F4:F5)</f>
        <v>975.29199999999992</v>
      </c>
      <c r="G6" s="24">
        <f t="shared" si="3"/>
        <v>1379.1079999999999</v>
      </c>
      <c r="H6" s="24">
        <f t="shared" ref="H6:I6" si="4">SUM(H4:H5)</f>
        <v>840.10899999999992</v>
      </c>
      <c r="I6" s="24">
        <f t="shared" si="4"/>
        <v>1028.4260000000002</v>
      </c>
      <c r="J6" s="24">
        <f t="shared" ref="J6:K6" si="5">SUM(J4:J5)</f>
        <v>974.98599999999988</v>
      </c>
      <c r="K6" s="24">
        <f t="shared" si="5"/>
        <v>1347.748</v>
      </c>
      <c r="L6" s="24">
        <f t="shared" ref="L6:S6" si="6">SUM(L4:L5)</f>
        <v>878.10200000000009</v>
      </c>
      <c r="M6" s="24">
        <f t="shared" si="6"/>
        <v>1301.5210000000002</v>
      </c>
      <c r="N6" s="24">
        <f t="shared" si="6"/>
        <v>1286.4370000000001</v>
      </c>
      <c r="O6" s="24">
        <f t="shared" si="6"/>
        <v>1862.0430000000001</v>
      </c>
      <c r="P6" s="24">
        <f t="shared" si="6"/>
        <v>1136.4699999999998</v>
      </c>
      <c r="Q6" s="24">
        <f t="shared" si="6"/>
        <v>1544.3619999999996</v>
      </c>
      <c r="R6" s="24">
        <f t="shared" si="6"/>
        <v>1436.835</v>
      </c>
      <c r="S6" s="24">
        <f t="shared" si="6"/>
        <v>1961.8389999999995</v>
      </c>
      <c r="T6" s="24">
        <f>SUM(T4:T5)</f>
        <v>1302.0330000000001</v>
      </c>
      <c r="U6" s="24">
        <f>SUM(U4:U5)</f>
        <v>1567.0039999999999</v>
      </c>
      <c r="W6" s="24"/>
      <c r="X6" s="24"/>
      <c r="Y6" s="24"/>
      <c r="Z6" s="24"/>
      <c r="AB6" s="24">
        <f t="shared" ref="AB6:AL6" si="7">SUM(AB4:AB5)</f>
        <v>2059.895</v>
      </c>
      <c r="AC6" s="24">
        <f t="shared" si="7"/>
        <v>2182.1749999999997</v>
      </c>
      <c r="AD6" s="24">
        <f t="shared" si="7"/>
        <v>2304.1849999999999</v>
      </c>
      <c r="AE6" s="24">
        <f t="shared" si="7"/>
        <v>2518.6880000000006</v>
      </c>
      <c r="AF6" s="24">
        <f t="shared" si="7"/>
        <v>2690.6590000000001</v>
      </c>
      <c r="AG6" s="24">
        <f t="shared" si="7"/>
        <v>3478.4949999999999</v>
      </c>
      <c r="AH6" s="24">
        <f t="shared" si="7"/>
        <v>4056.0339999999997</v>
      </c>
      <c r="AI6" s="24">
        <f t="shared" si="7"/>
        <v>4182.9829999999993</v>
      </c>
      <c r="AJ6" s="24">
        <f t="shared" si="7"/>
        <v>4191.2449999999999</v>
      </c>
      <c r="AK6" s="24">
        <f t="shared" si="7"/>
        <v>5312.8040000000001</v>
      </c>
      <c r="AL6" s="24">
        <f t="shared" si="7"/>
        <v>6079</v>
      </c>
      <c r="AM6" s="43">
        <f t="shared" ref="AM6:AV6" si="8">SUM(AM4:AM5)</f>
        <v>6436.2228000000014</v>
      </c>
      <c r="AN6" s="24">
        <f t="shared" si="8"/>
        <v>6758.0339400000012</v>
      </c>
      <c r="AO6" s="24">
        <f t="shared" si="8"/>
        <v>7095.9356370000023</v>
      </c>
      <c r="AP6" s="24">
        <f t="shared" si="8"/>
        <v>7450.7324188500024</v>
      </c>
      <c r="AQ6" s="24">
        <f t="shared" si="8"/>
        <v>7823.2690397925016</v>
      </c>
      <c r="AR6" s="24">
        <f t="shared" si="8"/>
        <v>8214.4324917821286</v>
      </c>
      <c r="AS6" s="24">
        <f t="shared" si="8"/>
        <v>8625.1541163712336</v>
      </c>
      <c r="AT6" s="24">
        <f t="shared" si="8"/>
        <v>9056.4118221897952</v>
      </c>
      <c r="AU6" s="24">
        <f t="shared" si="8"/>
        <v>9509.2324132992853</v>
      </c>
      <c r="AV6" s="24">
        <f t="shared" si="8"/>
        <v>9984.6940339642515</v>
      </c>
    </row>
    <row r="7" spans="1:150" x14ac:dyDescent="0.25">
      <c r="A7" s="1" t="s">
        <v>4</v>
      </c>
      <c r="B7" s="5">
        <f>U36</f>
        <v>830.03399999999999</v>
      </c>
      <c r="C7" s="24" t="s">
        <v>71</v>
      </c>
      <c r="D7" s="24">
        <v>-306.71600000000001</v>
      </c>
      <c r="E7" s="24">
        <v>-269.98599999999999</v>
      </c>
      <c r="F7" s="24">
        <v>-348.40199999999999</v>
      </c>
      <c r="G7" s="24">
        <v>-370.02600000000001</v>
      </c>
      <c r="H7" s="24">
        <v>-335.00099999999998</v>
      </c>
      <c r="I7" s="24">
        <v>-290.54899999999998</v>
      </c>
      <c r="J7" s="24">
        <v>-358.351</v>
      </c>
      <c r="K7" s="24">
        <v>-389.18</v>
      </c>
      <c r="L7" s="24">
        <v>-363.09</v>
      </c>
      <c r="M7" s="24">
        <v>-415.26</v>
      </c>
      <c r="N7" s="24">
        <v>-538.26300000000003</v>
      </c>
      <c r="O7" s="24">
        <v>-548.423</v>
      </c>
      <c r="P7" s="24">
        <v>-540.41899999999998</v>
      </c>
      <c r="Q7" s="24">
        <v>-519.28800000000001</v>
      </c>
      <c r="R7" s="24">
        <v>-569.44399999999996</v>
      </c>
      <c r="S7" s="24">
        <v>-609.053</v>
      </c>
      <c r="T7" s="24">
        <v>-593.42999999999995</v>
      </c>
      <c r="U7" s="24">
        <v>-541.59799999999996</v>
      </c>
      <c r="W7" s="24"/>
      <c r="X7" s="24"/>
      <c r="Y7" s="24"/>
      <c r="Z7" s="24"/>
      <c r="AB7" s="24">
        <v>-702.33600000000001</v>
      </c>
      <c r="AC7" s="24">
        <v>-752.49800000000005</v>
      </c>
      <c r="AD7" s="24">
        <v>-826.84699999999998</v>
      </c>
      <c r="AE7" s="24">
        <v>-898.50400000000002</v>
      </c>
      <c r="AF7" s="24">
        <v>-985.34699999999998</v>
      </c>
      <c r="AG7" s="24">
        <v>-1138.193</v>
      </c>
      <c r="AH7" s="24">
        <v>-1230.3030000000001</v>
      </c>
      <c r="AI7" s="24">
        <v>-1295.1310000000001</v>
      </c>
      <c r="AJ7" s="24">
        <v>-1373.0809999999999</v>
      </c>
      <c r="AK7" s="24">
        <v>-1865.0360000000001</v>
      </c>
      <c r="AL7" s="24">
        <v>-2238</v>
      </c>
      <c r="AM7" s="43">
        <f>AL7*1.03</f>
        <v>-2305.14</v>
      </c>
      <c r="AN7" s="24">
        <f>AM7*1.04</f>
        <v>-2397.3456000000001</v>
      </c>
      <c r="AO7" s="24">
        <f>AN7*1.03</f>
        <v>-2469.2659680000002</v>
      </c>
      <c r="AP7" s="24">
        <f>AO7*1.04</f>
        <v>-2568.0366067200002</v>
      </c>
      <c r="AQ7" s="24">
        <f t="shared" ref="AQ7:AR7" si="9">AP7*1.04</f>
        <v>-2670.7580709888002</v>
      </c>
      <c r="AR7" s="24">
        <f t="shared" si="9"/>
        <v>-2777.5883938283523</v>
      </c>
      <c r="AS7" s="24">
        <f>AR7*1.05</f>
        <v>-2916.4678135197701</v>
      </c>
      <c r="AT7" s="24">
        <f t="shared" ref="AT7:AV7" si="10">AS7*1.05</f>
        <v>-3062.2912041957588</v>
      </c>
      <c r="AU7" s="24">
        <f t="shared" si="10"/>
        <v>-3215.405764405547</v>
      </c>
      <c r="AV7" s="24">
        <f t="shared" si="10"/>
        <v>-3376.1760526258245</v>
      </c>
    </row>
    <row r="8" spans="1:150" x14ac:dyDescent="0.25">
      <c r="A8" s="1" t="s">
        <v>5</v>
      </c>
      <c r="B8" s="5">
        <f>(U43+U45)</f>
        <v>2456.9899999999998</v>
      </c>
      <c r="C8" s="24" t="s">
        <v>72</v>
      </c>
      <c r="D8" s="24">
        <v>-151.119</v>
      </c>
      <c r="E8" s="24">
        <v>-151.02000000000001</v>
      </c>
      <c r="F8" s="24">
        <v>-153.608</v>
      </c>
      <c r="G8" s="24">
        <v>-155.28800000000001</v>
      </c>
      <c r="H8" s="24">
        <v>-166.27199999999999</v>
      </c>
      <c r="I8" s="24">
        <v>-168.80699999999999</v>
      </c>
      <c r="J8" s="24">
        <v>-170.261</v>
      </c>
      <c r="K8" s="24">
        <v>-169.268</v>
      </c>
      <c r="L8" s="24">
        <v>-174.34</v>
      </c>
      <c r="M8" s="24">
        <v>-227.892</v>
      </c>
      <c r="N8" s="24">
        <v>-260.22699999999998</v>
      </c>
      <c r="O8" s="24">
        <v>-260.46800000000002</v>
      </c>
      <c r="P8" s="24">
        <v>-260.72000000000003</v>
      </c>
      <c r="Q8" s="24">
        <v>-266.87599999999998</v>
      </c>
      <c r="R8" s="24">
        <v>-265.27600000000001</v>
      </c>
      <c r="S8" s="24">
        <v>-267.37799999999999</v>
      </c>
      <c r="T8" s="24">
        <v>-268.72000000000003</v>
      </c>
      <c r="U8" s="24">
        <v>-266.61200000000002</v>
      </c>
      <c r="W8" s="24"/>
      <c r="X8" s="24"/>
      <c r="Y8" s="24"/>
      <c r="Z8" s="24"/>
      <c r="AB8" s="24">
        <v>-71.061000000000007</v>
      </c>
      <c r="AC8" s="24">
        <v>-75.088999999999999</v>
      </c>
      <c r="AD8" s="24">
        <v>-82.69</v>
      </c>
      <c r="AE8" s="24">
        <v>-90.742999999999995</v>
      </c>
      <c r="AF8" s="24">
        <v>-515.673</v>
      </c>
      <c r="AG8" s="24">
        <v>-539.92700000000002</v>
      </c>
      <c r="AH8" s="24">
        <v>-571.22299999999996</v>
      </c>
      <c r="AI8" s="24">
        <v>-611.03499999999997</v>
      </c>
      <c r="AJ8" s="24">
        <v>-674.60799999999995</v>
      </c>
      <c r="AK8" s="24">
        <v>-922.92700000000002</v>
      </c>
      <c r="AL8" s="24">
        <v>-1060</v>
      </c>
      <c r="AM8" s="43">
        <f>AL8*1.03</f>
        <v>-1091.8</v>
      </c>
      <c r="AN8" s="24">
        <f t="shared" ref="AN8:AN9" si="11">AM8*1.04</f>
        <v>-1135.472</v>
      </c>
      <c r="AO8" s="24">
        <f t="shared" ref="AO8:AO9" si="12">AN8*1.03</f>
        <v>-1169.5361600000001</v>
      </c>
      <c r="AP8" s="24">
        <f t="shared" ref="AP8:AR9" si="13">AO8*1.04</f>
        <v>-1216.3176064000002</v>
      </c>
      <c r="AQ8" s="24">
        <f t="shared" si="13"/>
        <v>-1264.9703106560003</v>
      </c>
      <c r="AR8" s="24">
        <f t="shared" si="13"/>
        <v>-1315.5691230822404</v>
      </c>
      <c r="AS8" s="24">
        <f t="shared" ref="AS8:AV9" si="14">AR8*1.05</f>
        <v>-1381.3475792363524</v>
      </c>
      <c r="AT8" s="24">
        <f t="shared" si="14"/>
        <v>-1450.4149581981701</v>
      </c>
      <c r="AU8" s="24">
        <f t="shared" si="14"/>
        <v>-1522.9357061080786</v>
      </c>
      <c r="AV8" s="24">
        <f t="shared" si="14"/>
        <v>-1599.0824914134826</v>
      </c>
    </row>
    <row r="9" spans="1:150" x14ac:dyDescent="0.25">
      <c r="A9" s="2" t="s">
        <v>6</v>
      </c>
      <c r="B9" s="6">
        <f>B6-B7+B8</f>
        <v>15151.435927999999</v>
      </c>
      <c r="C9" s="24" t="s">
        <v>73</v>
      </c>
      <c r="D9" s="24">
        <v>-175.24299999999999</v>
      </c>
      <c r="E9" s="24">
        <v>-210.17400000000001</v>
      </c>
      <c r="F9" s="24">
        <v>-201.71600000000001</v>
      </c>
      <c r="G9" s="24">
        <v>-249.34800000000001</v>
      </c>
      <c r="H9" s="24">
        <v>-193.655</v>
      </c>
      <c r="I9" s="24">
        <v>-206.92</v>
      </c>
      <c r="J9" s="24">
        <v>-212.15</v>
      </c>
      <c r="K9" s="24">
        <v>-235.69499999999999</v>
      </c>
      <c r="L9" s="24">
        <v>-234.10900000000001</v>
      </c>
      <c r="M9" s="24">
        <v>-319.68900000000002</v>
      </c>
      <c r="N9" s="24">
        <v>-320.363</v>
      </c>
      <c r="O9" s="24">
        <v>-429.20100000000002</v>
      </c>
      <c r="P9" s="24">
        <v>-372.3</v>
      </c>
      <c r="Q9" s="24">
        <v>-335.67399999999998</v>
      </c>
      <c r="R9" s="24">
        <v>-346.02499999999998</v>
      </c>
      <c r="S9" s="24">
        <v>-408.07499999999999</v>
      </c>
      <c r="T9" s="24">
        <v>-368.44299999999998</v>
      </c>
      <c r="U9" s="24">
        <v>-364.80700000000002</v>
      </c>
      <c r="W9" s="24"/>
      <c r="X9" s="24"/>
      <c r="Y9" s="24"/>
      <c r="Z9" s="24"/>
      <c r="AB9" s="24">
        <v>-753.93200000000002</v>
      </c>
      <c r="AC9" s="24">
        <v>-764.59</v>
      </c>
      <c r="AD9" s="24">
        <v>-842.64099999999996</v>
      </c>
      <c r="AE9" s="24">
        <v>-942.36900000000003</v>
      </c>
      <c r="AF9" s="24">
        <v>-611.05700000000002</v>
      </c>
      <c r="AG9" s="24">
        <v>-634.79399999999998</v>
      </c>
      <c r="AH9" s="24">
        <v>-742.74900000000002</v>
      </c>
      <c r="AI9" s="24">
        <v>-836.46100000000001</v>
      </c>
      <c r="AJ9" s="24">
        <v>-848.42600000000004</v>
      </c>
      <c r="AK9" s="24">
        <v>-1288.0619999999999</v>
      </c>
      <c r="AL9" s="24">
        <v>-1462</v>
      </c>
      <c r="AM9" s="43">
        <f t="shared" ref="AM9" si="15">AL9*1.02</f>
        <v>-1491.24</v>
      </c>
      <c r="AN9" s="24">
        <f t="shared" si="11"/>
        <v>-1550.8896</v>
      </c>
      <c r="AO9" s="24">
        <f t="shared" si="12"/>
        <v>-1597.4162880000001</v>
      </c>
      <c r="AP9" s="24">
        <f t="shared" si="13"/>
        <v>-1661.3129395200001</v>
      </c>
      <c r="AQ9" s="24">
        <f t="shared" si="13"/>
        <v>-1727.7654571008002</v>
      </c>
      <c r="AR9" s="24">
        <f t="shared" si="13"/>
        <v>-1796.8760753848323</v>
      </c>
      <c r="AS9" s="24">
        <f t="shared" si="14"/>
        <v>-1886.7198791540741</v>
      </c>
      <c r="AT9" s="24">
        <f t="shared" si="14"/>
        <v>-1981.0558731117778</v>
      </c>
      <c r="AU9" s="24">
        <f t="shared" si="14"/>
        <v>-2080.1086667673667</v>
      </c>
      <c r="AV9" s="24">
        <f t="shared" si="14"/>
        <v>-2184.1141001057349</v>
      </c>
    </row>
    <row r="10" spans="1:150" x14ac:dyDescent="0.25">
      <c r="C10" s="23" t="s">
        <v>74</v>
      </c>
      <c r="D10" s="23">
        <f t="shared" ref="D10:E10" si="16">SUM(D6:D9)</f>
        <v>126.435</v>
      </c>
      <c r="E10" s="23">
        <f t="shared" si="16"/>
        <v>437.89500000000032</v>
      </c>
      <c r="F10" s="23">
        <f t="shared" ref="F10:G10" si="17">SUM(F6:F9)</f>
        <v>271.56599999999986</v>
      </c>
      <c r="G10" s="23">
        <f t="shared" si="17"/>
        <v>604.44599999999991</v>
      </c>
      <c r="H10" s="23">
        <f t="shared" ref="H10:I10" si="18">SUM(H6:H9)</f>
        <v>145.18099999999995</v>
      </c>
      <c r="I10" s="23">
        <f t="shared" si="18"/>
        <v>362.1500000000002</v>
      </c>
      <c r="J10" s="23">
        <f t="shared" ref="J10:K10" si="19">SUM(J6:J9)</f>
        <v>234.2239999999999</v>
      </c>
      <c r="K10" s="23">
        <f t="shared" si="19"/>
        <v>553.60500000000002</v>
      </c>
      <c r="L10" s="23">
        <f t="shared" ref="L10:S10" si="20">SUM(L6:L9)</f>
        <v>106.56300000000013</v>
      </c>
      <c r="M10" s="23">
        <f t="shared" si="20"/>
        <v>338.68000000000012</v>
      </c>
      <c r="N10" s="23">
        <f t="shared" si="20"/>
        <v>167.58400000000012</v>
      </c>
      <c r="O10" s="23">
        <f t="shared" si="20"/>
        <v>623.95100000000002</v>
      </c>
      <c r="P10" s="23">
        <f t="shared" si="20"/>
        <v>-36.969000000000221</v>
      </c>
      <c r="Q10" s="23">
        <f t="shared" si="20"/>
        <v>422.52399999999966</v>
      </c>
      <c r="R10" s="23">
        <f t="shared" si="20"/>
        <v>256.09000000000003</v>
      </c>
      <c r="S10" s="23">
        <f t="shared" si="20"/>
        <v>677.33299999999963</v>
      </c>
      <c r="T10" s="23">
        <f>SUM(T6:T9)</f>
        <v>71.440000000000168</v>
      </c>
      <c r="U10" s="23">
        <f>SUM(U6:U9)</f>
        <v>393.98699999999985</v>
      </c>
      <c r="W10" s="23"/>
      <c r="X10" s="23"/>
      <c r="Y10" s="23"/>
      <c r="Z10" s="23"/>
      <c r="AB10" s="23">
        <f t="shared" ref="AB10:AL10" si="21">SUM(AB6:AB9)</f>
        <v>532.56600000000003</v>
      </c>
      <c r="AC10" s="23">
        <f t="shared" si="21"/>
        <v>589.99799999999971</v>
      </c>
      <c r="AD10" s="23">
        <f t="shared" si="21"/>
        <v>552.00699999999995</v>
      </c>
      <c r="AE10" s="23">
        <f t="shared" si="21"/>
        <v>587.07200000000068</v>
      </c>
      <c r="AF10" s="23">
        <f t="shared" si="21"/>
        <v>578.58200000000011</v>
      </c>
      <c r="AG10" s="23">
        <f t="shared" si="21"/>
        <v>1165.5809999999997</v>
      </c>
      <c r="AH10" s="23">
        <f t="shared" si="21"/>
        <v>1511.7589999999998</v>
      </c>
      <c r="AI10" s="23">
        <f t="shared" si="21"/>
        <v>1440.3559999999991</v>
      </c>
      <c r="AJ10" s="23">
        <f t="shared" si="21"/>
        <v>1295.1299999999997</v>
      </c>
      <c r="AK10" s="23">
        <f t="shared" si="21"/>
        <v>1236.779</v>
      </c>
      <c r="AL10" s="23">
        <f t="shared" si="21"/>
        <v>1319</v>
      </c>
      <c r="AM10" s="42">
        <f t="shared" ref="AM10:AV10" si="22">SUM(AM6:AM9)</f>
        <v>1548.0428000000018</v>
      </c>
      <c r="AN10" s="23">
        <f t="shared" si="22"/>
        <v>1674.3267400000009</v>
      </c>
      <c r="AO10" s="23">
        <f t="shared" si="22"/>
        <v>1859.7172210000024</v>
      </c>
      <c r="AP10" s="23">
        <f t="shared" si="22"/>
        <v>2005.0652662100022</v>
      </c>
      <c r="AQ10" s="23">
        <f t="shared" si="22"/>
        <v>2159.7752010469007</v>
      </c>
      <c r="AR10" s="23">
        <f t="shared" si="22"/>
        <v>2324.3988994867036</v>
      </c>
      <c r="AS10" s="23">
        <f t="shared" si="22"/>
        <v>2440.618844461037</v>
      </c>
      <c r="AT10" s="23">
        <f t="shared" si="22"/>
        <v>2562.6497866840882</v>
      </c>
      <c r="AU10" s="23">
        <f t="shared" si="22"/>
        <v>2690.782276018293</v>
      </c>
      <c r="AV10" s="23">
        <f t="shared" si="22"/>
        <v>2825.3213898192098</v>
      </c>
    </row>
    <row r="11" spans="1:150" x14ac:dyDescent="0.25">
      <c r="C11" s="24" t="s">
        <v>75</v>
      </c>
      <c r="D11" s="24">
        <v>-0.86199999999999999</v>
      </c>
      <c r="E11" s="24">
        <v>-24.4</v>
      </c>
      <c r="F11" s="24">
        <v>-32.744</v>
      </c>
      <c r="G11" s="24">
        <v>-49.423000000000002</v>
      </c>
      <c r="H11" s="24">
        <v>-43.750999999999998</v>
      </c>
      <c r="I11" s="24">
        <v>-29.715</v>
      </c>
      <c r="J11" s="24">
        <v>-44.723999999999997</v>
      </c>
      <c r="K11" s="24">
        <v>-72.325000000000003</v>
      </c>
      <c r="L11" s="24">
        <v>-32.811999999999998</v>
      </c>
      <c r="M11" s="24">
        <v>-53.645000000000003</v>
      </c>
      <c r="N11" s="24">
        <v>-60.484000000000002</v>
      </c>
      <c r="O11" s="24">
        <v>-54.762999999999998</v>
      </c>
      <c r="P11" s="24">
        <v>-62.905000000000001</v>
      </c>
      <c r="Q11" s="24">
        <v>-66.296000000000006</v>
      </c>
      <c r="R11" s="24">
        <v>-59.183</v>
      </c>
      <c r="S11" s="24">
        <v>-70.010000000000005</v>
      </c>
      <c r="T11" s="24">
        <v>-40.594999999999999</v>
      </c>
      <c r="U11" s="24">
        <v>-66.641000000000005</v>
      </c>
      <c r="W11" s="24"/>
      <c r="X11" s="24"/>
      <c r="Y11" s="24"/>
      <c r="Z11" s="24"/>
      <c r="AB11" s="24">
        <v>-164.95599999999999</v>
      </c>
      <c r="AC11" s="24">
        <v>-41.052</v>
      </c>
      <c r="AD11" s="24">
        <v>-41.682000000000002</v>
      </c>
      <c r="AE11" s="24">
        <v>-40.942</v>
      </c>
      <c r="AF11" s="24">
        <v>-98.171999999999997</v>
      </c>
      <c r="AG11" s="24">
        <v>-139.06800000000001</v>
      </c>
      <c r="AH11" s="24">
        <v>-94.394999999999996</v>
      </c>
      <c r="AI11" s="24">
        <v>-107.39400000000001</v>
      </c>
      <c r="AJ11" s="24">
        <v>-190.517</v>
      </c>
      <c r="AK11" s="24">
        <v>-201.70400000000001</v>
      </c>
      <c r="AL11" s="24">
        <v>-258</v>
      </c>
      <c r="AM11" s="43">
        <f>AL11*1.065</f>
        <v>-274.77</v>
      </c>
      <c r="AN11" s="24">
        <f t="shared" ref="AN11" si="23">AM11*1.065</f>
        <v>-292.63004999999998</v>
      </c>
      <c r="AO11" s="24">
        <f>AN11*1.01</f>
        <v>-295.55635050000001</v>
      </c>
      <c r="AP11" s="24">
        <f t="shared" ref="AP11:AV11" si="24">AO11*1.01</f>
        <v>-298.51191400499999</v>
      </c>
      <c r="AQ11" s="24">
        <f t="shared" si="24"/>
        <v>-301.49703314505001</v>
      </c>
      <c r="AR11" s="24">
        <f t="shared" si="24"/>
        <v>-304.51200347650052</v>
      </c>
      <c r="AS11" s="24">
        <f t="shared" si="24"/>
        <v>-307.55712351126556</v>
      </c>
      <c r="AT11" s="24">
        <f t="shared" si="24"/>
        <v>-310.63269474637821</v>
      </c>
      <c r="AU11" s="24">
        <f t="shared" si="24"/>
        <v>-313.73902169384201</v>
      </c>
      <c r="AV11" s="24">
        <f t="shared" si="24"/>
        <v>-316.8764119107804</v>
      </c>
    </row>
    <row r="12" spans="1:150" x14ac:dyDescent="0.25">
      <c r="A12" s="1" t="s">
        <v>154</v>
      </c>
      <c r="B12" s="44">
        <f>(B8-B7)/AM25</f>
        <v>0.61630791045587963</v>
      </c>
      <c r="C12" s="24" t="s">
        <v>76</v>
      </c>
      <c r="D12" s="24">
        <v>-9.2260000000000009</v>
      </c>
      <c r="E12" s="24">
        <v>5.26</v>
      </c>
      <c r="F12" s="24">
        <v>1.4</v>
      </c>
      <c r="G12" s="24">
        <v>6.6</v>
      </c>
      <c r="H12" s="24">
        <v>-7.915</v>
      </c>
      <c r="I12" s="24">
        <v>0</v>
      </c>
      <c r="J12" s="24">
        <v>-4.5</v>
      </c>
      <c r="K12" s="24">
        <v>-41.902000000000001</v>
      </c>
      <c r="L12" s="24">
        <v>-10.976000000000001</v>
      </c>
      <c r="M12" s="24">
        <v>12.54</v>
      </c>
      <c r="N12" s="24">
        <v>2.9000000000000001E-2</v>
      </c>
      <c r="O12" s="24">
        <v>2.9000000000000001E-2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W12" s="24"/>
      <c r="X12" s="50"/>
      <c r="Y12" s="24"/>
      <c r="Z12" s="24"/>
      <c r="AB12" s="24">
        <v>0</v>
      </c>
      <c r="AC12" s="24">
        <v>0</v>
      </c>
      <c r="AD12" s="24">
        <v>0</v>
      </c>
      <c r="AE12" s="24">
        <v>6.4</v>
      </c>
      <c r="AF12" s="24">
        <v>0</v>
      </c>
      <c r="AG12" s="24">
        <v>2.6</v>
      </c>
      <c r="AH12" s="24">
        <v>0</v>
      </c>
      <c r="AI12" s="24">
        <v>4</v>
      </c>
      <c r="AJ12" s="24">
        <v>-54.488999999999997</v>
      </c>
      <c r="AK12" s="24">
        <v>1.5920000000000001</v>
      </c>
      <c r="AL12" s="24">
        <v>0</v>
      </c>
      <c r="AM12" s="43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>
        <v>0</v>
      </c>
      <c r="AV12" s="24">
        <v>0</v>
      </c>
    </row>
    <row r="13" spans="1:150" x14ac:dyDescent="0.25">
      <c r="C13" s="24" t="s">
        <v>77</v>
      </c>
      <c r="D13" s="24">
        <v>0</v>
      </c>
      <c r="E13" s="24">
        <v>0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101.789</v>
      </c>
      <c r="L13" s="24">
        <v>0</v>
      </c>
      <c r="M13" s="24">
        <v>32.299999999999997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W13" s="24"/>
      <c r="X13" s="24"/>
      <c r="Y13" s="24"/>
      <c r="Z13" s="24"/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101.789</v>
      </c>
      <c r="AK13" s="24">
        <v>32.308999999999997</v>
      </c>
      <c r="AL13" s="24">
        <v>0</v>
      </c>
      <c r="AM13" s="43">
        <v>0</v>
      </c>
      <c r="AN13" s="24">
        <v>0</v>
      </c>
      <c r="AO13" s="24">
        <v>0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</row>
    <row r="14" spans="1:150" x14ac:dyDescent="0.25">
      <c r="A14" s="1" t="s">
        <v>155</v>
      </c>
      <c r="B14" s="4">
        <f>B6/U41</f>
        <v>3.4046195170616382</v>
      </c>
      <c r="C14" s="24" t="s">
        <v>78</v>
      </c>
      <c r="D14" s="24">
        <f t="shared" ref="D14:E14" si="25">SUM(D10:D13)</f>
        <v>116.34700000000001</v>
      </c>
      <c r="E14" s="24">
        <f t="shared" si="25"/>
        <v>418.75500000000034</v>
      </c>
      <c r="F14" s="24">
        <f t="shared" ref="F14:G14" si="26">SUM(F10:F13)</f>
        <v>240.22199999999987</v>
      </c>
      <c r="G14" s="24">
        <f t="shared" si="26"/>
        <v>561.62299999999993</v>
      </c>
      <c r="H14" s="24">
        <f t="shared" ref="H14:I14" si="27">SUM(H10:H13)</f>
        <v>93.514999999999944</v>
      </c>
      <c r="I14" s="24">
        <f t="shared" si="27"/>
        <v>332.43500000000023</v>
      </c>
      <c r="J14" s="24">
        <f t="shared" ref="J14:K14" si="28">SUM(J10:J13)</f>
        <v>184.99999999999991</v>
      </c>
      <c r="K14" s="24">
        <f t="shared" si="28"/>
        <v>541.16700000000003</v>
      </c>
      <c r="L14" s="24">
        <f t="shared" ref="L14:S14" si="29">SUM(L10:L13)</f>
        <v>62.775000000000134</v>
      </c>
      <c r="M14" s="24">
        <f t="shared" si="29"/>
        <v>329.87500000000017</v>
      </c>
      <c r="N14" s="24">
        <f t="shared" si="29"/>
        <v>107.1290000000001</v>
      </c>
      <c r="O14" s="24">
        <f t="shared" si="29"/>
        <v>569.21699999999998</v>
      </c>
      <c r="P14" s="24">
        <f t="shared" si="29"/>
        <v>-99.874000000000223</v>
      </c>
      <c r="Q14" s="24">
        <f t="shared" si="29"/>
        <v>356.22799999999967</v>
      </c>
      <c r="R14" s="24">
        <f t="shared" si="29"/>
        <v>196.90700000000004</v>
      </c>
      <c r="S14" s="24">
        <f t="shared" si="29"/>
        <v>607.32299999999964</v>
      </c>
      <c r="T14" s="24">
        <f>SUM(T10:T13)</f>
        <v>30.845000000000169</v>
      </c>
      <c r="U14" s="24">
        <f>SUM(U10:U13)</f>
        <v>327.34599999999983</v>
      </c>
      <c r="W14" s="24"/>
      <c r="X14" s="24"/>
      <c r="Y14" s="24"/>
      <c r="Z14" s="24"/>
      <c r="AB14" s="24">
        <f t="shared" ref="AB14:AL14" si="30">SUM(AB10:AB13)</f>
        <v>367.61</v>
      </c>
      <c r="AC14" s="24">
        <f t="shared" si="30"/>
        <v>548.94599999999969</v>
      </c>
      <c r="AD14" s="24">
        <f t="shared" si="30"/>
        <v>510.32499999999993</v>
      </c>
      <c r="AE14" s="24">
        <f t="shared" si="30"/>
        <v>552.53000000000065</v>
      </c>
      <c r="AF14" s="24">
        <f t="shared" si="30"/>
        <v>480.41000000000008</v>
      </c>
      <c r="AG14" s="24">
        <f t="shared" si="30"/>
        <v>1029.1129999999996</v>
      </c>
      <c r="AH14" s="24">
        <f t="shared" si="30"/>
        <v>1417.3639999999998</v>
      </c>
      <c r="AI14" s="24">
        <f t="shared" si="30"/>
        <v>1336.9619999999991</v>
      </c>
      <c r="AJ14" s="24">
        <f t="shared" si="30"/>
        <v>1151.9129999999996</v>
      </c>
      <c r="AK14" s="24">
        <f t="shared" si="30"/>
        <v>1068.9760000000001</v>
      </c>
      <c r="AL14" s="24">
        <f t="shared" si="30"/>
        <v>1061</v>
      </c>
      <c r="AM14" s="43">
        <f t="shared" ref="AM14:AV14" si="31">SUM(AM10:AM13)</f>
        <v>1273.2728000000018</v>
      </c>
      <c r="AN14" s="24">
        <f t="shared" si="31"/>
        <v>1381.6966900000009</v>
      </c>
      <c r="AO14" s="24">
        <f t="shared" si="31"/>
        <v>1564.1608705000024</v>
      </c>
      <c r="AP14" s="24">
        <f t="shared" si="31"/>
        <v>1706.5533522050023</v>
      </c>
      <c r="AQ14" s="24">
        <f t="shared" si="31"/>
        <v>1858.2781679018508</v>
      </c>
      <c r="AR14" s="24">
        <f t="shared" si="31"/>
        <v>2019.8868960102031</v>
      </c>
      <c r="AS14" s="24">
        <f t="shared" si="31"/>
        <v>2133.0617209497714</v>
      </c>
      <c r="AT14" s="24">
        <f t="shared" si="31"/>
        <v>2252.0170919377101</v>
      </c>
      <c r="AU14" s="24">
        <f t="shared" si="31"/>
        <v>2377.043254324451</v>
      </c>
      <c r="AV14" s="24">
        <f t="shared" si="31"/>
        <v>2508.4449779084293</v>
      </c>
    </row>
    <row r="15" spans="1:150" x14ac:dyDescent="0.25">
      <c r="C15" s="24" t="s">
        <v>79</v>
      </c>
      <c r="D15" s="24">
        <v>-27.626000000000001</v>
      </c>
      <c r="E15" s="24">
        <v>-90.968999999999994</v>
      </c>
      <c r="F15" s="24">
        <v>-52.540999999999997</v>
      </c>
      <c r="G15" s="24">
        <v>-122.105</v>
      </c>
      <c r="H15" s="24">
        <v>-22.315000000000001</v>
      </c>
      <c r="I15" s="24">
        <v>-73.135999999999996</v>
      </c>
      <c r="J15" s="24">
        <v>-41.69</v>
      </c>
      <c r="K15" s="24">
        <v>-106.32299999999999</v>
      </c>
      <c r="L15" s="24">
        <v>-16.225000000000001</v>
      </c>
      <c r="M15" s="24">
        <v>-63.923999999999999</v>
      </c>
      <c r="N15" s="24">
        <v>-23.475000000000001</v>
      </c>
      <c r="O15" s="24">
        <v>-125.59399999999999</v>
      </c>
      <c r="P15" s="24">
        <v>19.670000000000002</v>
      </c>
      <c r="Q15" s="24">
        <v>-80</v>
      </c>
      <c r="R15" s="24">
        <v>-43.213999999999999</v>
      </c>
      <c r="S15" s="24">
        <v>-141.97499999999999</v>
      </c>
      <c r="T15" s="24">
        <v>-25.890999999999998</v>
      </c>
      <c r="U15" s="24">
        <v>-82.903000000000006</v>
      </c>
      <c r="W15" s="24"/>
      <c r="X15" s="24"/>
      <c r="Y15" s="24"/>
      <c r="Z15" s="24"/>
      <c r="AB15" s="24">
        <v>-90</v>
      </c>
      <c r="AC15" s="24">
        <v>-135.285</v>
      </c>
      <c r="AD15" s="24">
        <v>-120.526</v>
      </c>
      <c r="AE15" s="24">
        <v>-123.4</v>
      </c>
      <c r="AF15" s="24">
        <v>-104.974</v>
      </c>
      <c r="AG15" s="24">
        <v>-225.489</v>
      </c>
      <c r="AH15" s="24">
        <v>-313.58800000000002</v>
      </c>
      <c r="AI15" s="24">
        <v>-295.15300000000002</v>
      </c>
      <c r="AJ15" s="24">
        <v>-243.06</v>
      </c>
      <c r="AK15" s="24">
        <v>-230.94</v>
      </c>
      <c r="AL15" s="24">
        <v>-246</v>
      </c>
      <c r="AM15" s="43">
        <f>AM14*-0.22</f>
        <v>-280.12001600000042</v>
      </c>
      <c r="AN15" s="24">
        <f t="shared" ref="AN15:AV15" si="32">AN14*-0.22</f>
        <v>-303.97327180000019</v>
      </c>
      <c r="AO15" s="24">
        <f t="shared" si="32"/>
        <v>-344.11539151000051</v>
      </c>
      <c r="AP15" s="24">
        <f t="shared" si="32"/>
        <v>-375.44173748510053</v>
      </c>
      <c r="AQ15" s="24">
        <f t="shared" si="32"/>
        <v>-408.82119693840718</v>
      </c>
      <c r="AR15" s="24">
        <f t="shared" si="32"/>
        <v>-444.37511712224472</v>
      </c>
      <c r="AS15" s="24">
        <f t="shared" si="32"/>
        <v>-469.27357860894972</v>
      </c>
      <c r="AT15" s="24">
        <f t="shared" si="32"/>
        <v>-495.44376022629621</v>
      </c>
      <c r="AU15" s="24">
        <f t="shared" si="32"/>
        <v>-522.94951595137923</v>
      </c>
      <c r="AV15" s="24">
        <f t="shared" si="32"/>
        <v>-551.85789513985446</v>
      </c>
    </row>
    <row r="16" spans="1:150" x14ac:dyDescent="0.25">
      <c r="C16" s="23" t="s">
        <v>80</v>
      </c>
      <c r="D16" s="23">
        <f t="shared" ref="D16:E16" si="33">SUM(D14:D15)</f>
        <v>88.721000000000004</v>
      </c>
      <c r="E16" s="23">
        <f t="shared" si="33"/>
        <v>327.78600000000034</v>
      </c>
      <c r="F16" s="23">
        <f t="shared" ref="F16:G16" si="34">SUM(F14:F15)</f>
        <v>187.68099999999987</v>
      </c>
      <c r="G16" s="23">
        <f t="shared" si="34"/>
        <v>439.51799999999992</v>
      </c>
      <c r="H16" s="23">
        <f t="shared" ref="H16:I16" si="35">SUM(H14:H15)</f>
        <v>71.199999999999946</v>
      </c>
      <c r="I16" s="23">
        <f t="shared" si="35"/>
        <v>259.29900000000021</v>
      </c>
      <c r="J16" s="23">
        <f t="shared" ref="J16:K16" si="36">SUM(J14:J15)</f>
        <v>143.30999999999992</v>
      </c>
      <c r="K16" s="23">
        <f t="shared" si="36"/>
        <v>434.84400000000005</v>
      </c>
      <c r="L16" s="23">
        <f t="shared" ref="L16:S16" si="37">SUM(L14:L15)</f>
        <v>46.550000000000132</v>
      </c>
      <c r="M16" s="23">
        <f t="shared" si="37"/>
        <v>265.95100000000019</v>
      </c>
      <c r="N16" s="23">
        <f t="shared" si="37"/>
        <v>83.65400000000011</v>
      </c>
      <c r="O16" s="23">
        <f t="shared" si="37"/>
        <v>443.62299999999999</v>
      </c>
      <c r="P16" s="23">
        <f t="shared" si="37"/>
        <v>-80.204000000000221</v>
      </c>
      <c r="Q16" s="23">
        <f t="shared" si="37"/>
        <v>276.22799999999967</v>
      </c>
      <c r="R16" s="23">
        <f t="shared" si="37"/>
        <v>153.69300000000004</v>
      </c>
      <c r="S16" s="23">
        <f t="shared" si="37"/>
        <v>465.34799999999962</v>
      </c>
      <c r="T16" s="23">
        <f>SUM(T14:T15)</f>
        <v>4.9540000000001712</v>
      </c>
      <c r="U16" s="23">
        <f>SUM(U14:U15)</f>
        <v>244.44299999999981</v>
      </c>
      <c r="W16" s="23"/>
      <c r="X16" s="23"/>
      <c r="Y16" s="24"/>
      <c r="Z16" s="24"/>
      <c r="AB16" s="23">
        <f t="shared" ref="AB16:AL16" si="38">SUM(AB14:AB15)</f>
        <v>277.61</v>
      </c>
      <c r="AC16" s="23">
        <f t="shared" si="38"/>
        <v>413.66099999999972</v>
      </c>
      <c r="AD16" s="23">
        <f t="shared" si="38"/>
        <v>389.79899999999992</v>
      </c>
      <c r="AE16" s="23">
        <f t="shared" si="38"/>
        <v>429.13000000000068</v>
      </c>
      <c r="AF16" s="23">
        <f t="shared" si="38"/>
        <v>375.43600000000009</v>
      </c>
      <c r="AG16" s="23">
        <f t="shared" si="38"/>
        <v>803.62399999999957</v>
      </c>
      <c r="AH16" s="23">
        <f t="shared" si="38"/>
        <v>1103.7759999999998</v>
      </c>
      <c r="AI16" s="23">
        <f t="shared" si="38"/>
        <v>1041.8089999999991</v>
      </c>
      <c r="AJ16" s="23">
        <f t="shared" si="38"/>
        <v>908.85299999999961</v>
      </c>
      <c r="AK16" s="23">
        <f t="shared" si="38"/>
        <v>838.03600000000006</v>
      </c>
      <c r="AL16" s="23">
        <f t="shared" si="38"/>
        <v>815</v>
      </c>
      <c r="AM16" s="42">
        <f t="shared" ref="AM16:AV16" si="39">SUM(AM14:AM15)</f>
        <v>993.15278400000136</v>
      </c>
      <c r="AN16" s="23">
        <f t="shared" si="39"/>
        <v>1077.7234182000007</v>
      </c>
      <c r="AO16" s="23">
        <f t="shared" si="39"/>
        <v>1220.0454789900018</v>
      </c>
      <c r="AP16" s="23">
        <f t="shared" si="39"/>
        <v>1331.1116147199018</v>
      </c>
      <c r="AQ16" s="23">
        <f t="shared" si="39"/>
        <v>1449.4569709634436</v>
      </c>
      <c r="AR16" s="23">
        <f t="shared" si="39"/>
        <v>1575.5117788879584</v>
      </c>
      <c r="AS16" s="23">
        <f t="shared" si="39"/>
        <v>1663.7881423408217</v>
      </c>
      <c r="AT16" s="23">
        <f t="shared" si="39"/>
        <v>1756.5733317114139</v>
      </c>
      <c r="AU16" s="23">
        <f t="shared" si="39"/>
        <v>1854.0937383730718</v>
      </c>
      <c r="AV16" s="23">
        <f t="shared" si="39"/>
        <v>1956.5870827685749</v>
      </c>
      <c r="AW16" s="23">
        <f>AV16*(1+$AY$20)</f>
        <v>1937.0212119408891</v>
      </c>
      <c r="AX16" s="23">
        <f t="shared" ref="AX16:DI16" si="40">AW16*(1+$AY$20)</f>
        <v>1917.6509998214801</v>
      </c>
      <c r="AY16" s="23">
        <f t="shared" si="40"/>
        <v>1898.4744898232652</v>
      </c>
      <c r="AZ16" s="23">
        <f t="shared" si="40"/>
        <v>1879.4897449250325</v>
      </c>
      <c r="BA16" s="23">
        <f t="shared" si="40"/>
        <v>1860.6948474757821</v>
      </c>
      <c r="BB16" s="23">
        <f t="shared" si="40"/>
        <v>1842.0878990010242</v>
      </c>
      <c r="BC16" s="23">
        <f t="shared" si="40"/>
        <v>1823.6670200110138</v>
      </c>
      <c r="BD16" s="23">
        <f t="shared" si="40"/>
        <v>1805.4303498109036</v>
      </c>
      <c r="BE16" s="23">
        <f t="shared" si="40"/>
        <v>1787.3760463127946</v>
      </c>
      <c r="BF16" s="23">
        <f t="shared" si="40"/>
        <v>1769.5022858496666</v>
      </c>
      <c r="BG16" s="23">
        <f t="shared" si="40"/>
        <v>1751.8072629911699</v>
      </c>
      <c r="BH16" s="23">
        <f t="shared" si="40"/>
        <v>1734.2891903612581</v>
      </c>
      <c r="BI16" s="23">
        <f t="shared" si="40"/>
        <v>1716.9462984576455</v>
      </c>
      <c r="BJ16" s="23">
        <f t="shared" si="40"/>
        <v>1699.776835473069</v>
      </c>
      <c r="BK16" s="23">
        <f t="shared" si="40"/>
        <v>1682.7790671183384</v>
      </c>
      <c r="BL16" s="23">
        <f t="shared" si="40"/>
        <v>1665.9512764471549</v>
      </c>
      <c r="BM16" s="23">
        <f t="shared" si="40"/>
        <v>1649.2917636826833</v>
      </c>
      <c r="BN16" s="23">
        <f t="shared" si="40"/>
        <v>1632.7988460458564</v>
      </c>
      <c r="BO16" s="23">
        <f t="shared" si="40"/>
        <v>1616.4708575853979</v>
      </c>
      <c r="BP16" s="23">
        <f t="shared" si="40"/>
        <v>1600.3061490095438</v>
      </c>
      <c r="BQ16" s="23">
        <f t="shared" si="40"/>
        <v>1584.3030875194484</v>
      </c>
      <c r="BR16" s="23">
        <f t="shared" si="40"/>
        <v>1568.4600566442539</v>
      </c>
      <c r="BS16" s="23">
        <f t="shared" si="40"/>
        <v>1552.7754560778114</v>
      </c>
      <c r="BT16" s="23">
        <f t="shared" si="40"/>
        <v>1537.2477015170334</v>
      </c>
      <c r="BU16" s="23">
        <f t="shared" si="40"/>
        <v>1521.8752245018632</v>
      </c>
      <c r="BV16" s="23">
        <f t="shared" si="40"/>
        <v>1506.6564722568446</v>
      </c>
      <c r="BW16" s="23">
        <f t="shared" si="40"/>
        <v>1491.5899075342761</v>
      </c>
      <c r="BX16" s="23">
        <f t="shared" si="40"/>
        <v>1476.6740084589333</v>
      </c>
      <c r="BY16" s="23">
        <f t="shared" si="40"/>
        <v>1461.9072683743439</v>
      </c>
      <c r="BZ16" s="23">
        <f t="shared" si="40"/>
        <v>1447.2881956906003</v>
      </c>
      <c r="CA16" s="23">
        <f t="shared" si="40"/>
        <v>1432.8153137336942</v>
      </c>
      <c r="CB16" s="23">
        <f t="shared" si="40"/>
        <v>1418.4871605963572</v>
      </c>
      <c r="CC16" s="23">
        <f t="shared" si="40"/>
        <v>1404.3022889903937</v>
      </c>
      <c r="CD16" s="23">
        <f t="shared" si="40"/>
        <v>1390.2592661004896</v>
      </c>
      <c r="CE16" s="23">
        <f t="shared" si="40"/>
        <v>1376.3566734394847</v>
      </c>
      <c r="CF16" s="23">
        <f t="shared" si="40"/>
        <v>1362.5931067050899</v>
      </c>
      <c r="CG16" s="23">
        <f t="shared" si="40"/>
        <v>1348.967175638039</v>
      </c>
      <c r="CH16" s="23">
        <f t="shared" si="40"/>
        <v>1335.4775038816585</v>
      </c>
      <c r="CI16" s="23">
        <f t="shared" si="40"/>
        <v>1322.122728842842</v>
      </c>
      <c r="CJ16" s="23">
        <f t="shared" si="40"/>
        <v>1308.9015015544135</v>
      </c>
      <c r="CK16" s="23">
        <f t="shared" si="40"/>
        <v>1295.8124865388693</v>
      </c>
      <c r="CL16" s="23">
        <f t="shared" si="40"/>
        <v>1282.8543616734805</v>
      </c>
      <c r="CM16" s="23">
        <f t="shared" si="40"/>
        <v>1270.0258180567457</v>
      </c>
      <c r="CN16" s="23">
        <f t="shared" si="40"/>
        <v>1257.3255598761782</v>
      </c>
      <c r="CO16" s="23">
        <f t="shared" si="40"/>
        <v>1244.7523042774164</v>
      </c>
      <c r="CP16" s="23">
        <f t="shared" si="40"/>
        <v>1232.3047812346422</v>
      </c>
      <c r="CQ16" s="23">
        <f t="shared" si="40"/>
        <v>1219.9817334222957</v>
      </c>
      <c r="CR16" s="23">
        <f t="shared" si="40"/>
        <v>1207.7819160880729</v>
      </c>
      <c r="CS16" s="23">
        <f t="shared" si="40"/>
        <v>1195.704096927192</v>
      </c>
      <c r="CT16" s="23">
        <f t="shared" si="40"/>
        <v>1183.7470559579201</v>
      </c>
      <c r="CU16" s="23">
        <f t="shared" si="40"/>
        <v>1171.9095853983408</v>
      </c>
      <c r="CV16" s="23">
        <f t="shared" si="40"/>
        <v>1160.1904895443574</v>
      </c>
      <c r="CW16" s="23">
        <f t="shared" si="40"/>
        <v>1148.5885846489139</v>
      </c>
      <c r="CX16" s="23">
        <f t="shared" si="40"/>
        <v>1137.1026988024248</v>
      </c>
      <c r="CY16" s="23">
        <f t="shared" si="40"/>
        <v>1125.7316718144004</v>
      </c>
      <c r="CZ16" s="23">
        <f t="shared" si="40"/>
        <v>1114.4743550962564</v>
      </c>
      <c r="DA16" s="23">
        <f t="shared" si="40"/>
        <v>1103.3296115452938</v>
      </c>
      <c r="DB16" s="23">
        <f t="shared" si="40"/>
        <v>1092.2963154298409</v>
      </c>
      <c r="DC16" s="23">
        <f t="shared" si="40"/>
        <v>1081.3733522755424</v>
      </c>
      <c r="DD16" s="23">
        <f t="shared" si="40"/>
        <v>1070.5596187527869</v>
      </c>
      <c r="DE16" s="23">
        <f t="shared" si="40"/>
        <v>1059.8540225652591</v>
      </c>
      <c r="DF16" s="23">
        <f t="shared" si="40"/>
        <v>1049.2554823396065</v>
      </c>
      <c r="DG16" s="23">
        <f t="shared" si="40"/>
        <v>1038.7629275162103</v>
      </c>
      <c r="DH16" s="23">
        <f t="shared" si="40"/>
        <v>1028.3752982410481</v>
      </c>
      <c r="DI16" s="23">
        <f t="shared" si="40"/>
        <v>1018.0915452586376</v>
      </c>
      <c r="DJ16" s="23">
        <f t="shared" ref="DJ16:ET16" si="41">DI16*(1+$AY$20)</f>
        <v>1007.9106298060511</v>
      </c>
      <c r="DK16" s="23">
        <f t="shared" si="41"/>
        <v>997.8315235079906</v>
      </c>
      <c r="DL16" s="23">
        <f t="shared" si="41"/>
        <v>987.85320827291071</v>
      </c>
      <c r="DM16" s="23">
        <f t="shared" si="41"/>
        <v>977.97467619018164</v>
      </c>
      <c r="DN16" s="23">
        <f t="shared" si="41"/>
        <v>968.19492942827981</v>
      </c>
      <c r="DO16" s="23">
        <f t="shared" si="41"/>
        <v>958.51298013399696</v>
      </c>
      <c r="DP16" s="23">
        <f t="shared" si="41"/>
        <v>948.92785033265693</v>
      </c>
      <c r="DQ16" s="23">
        <f t="shared" si="41"/>
        <v>939.43857182933039</v>
      </c>
      <c r="DR16" s="23">
        <f t="shared" si="41"/>
        <v>930.04418611103711</v>
      </c>
      <c r="DS16" s="23">
        <f t="shared" si="41"/>
        <v>920.74374424992675</v>
      </c>
      <c r="DT16" s="23">
        <f t="shared" si="41"/>
        <v>911.53630680742742</v>
      </c>
      <c r="DU16" s="23">
        <f t="shared" si="41"/>
        <v>902.42094373935311</v>
      </c>
      <c r="DV16" s="23">
        <f t="shared" si="41"/>
        <v>893.39673430195955</v>
      </c>
      <c r="DW16" s="23">
        <f t="shared" si="41"/>
        <v>884.46276695893994</v>
      </c>
      <c r="DX16" s="23">
        <f t="shared" si="41"/>
        <v>875.61813928935055</v>
      </c>
      <c r="DY16" s="23">
        <f t="shared" si="41"/>
        <v>866.86195789645706</v>
      </c>
      <c r="DZ16" s="23">
        <f t="shared" si="41"/>
        <v>858.19333831749248</v>
      </c>
      <c r="EA16" s="23">
        <f t="shared" si="41"/>
        <v>849.61140493431753</v>
      </c>
      <c r="EB16" s="23">
        <f t="shared" si="41"/>
        <v>841.11529088497434</v>
      </c>
      <c r="EC16" s="23">
        <f t="shared" si="41"/>
        <v>832.70413797612457</v>
      </c>
      <c r="ED16" s="23">
        <f t="shared" si="41"/>
        <v>824.37709659636334</v>
      </c>
      <c r="EE16" s="23">
        <f t="shared" si="41"/>
        <v>816.13332563039967</v>
      </c>
      <c r="EF16" s="23">
        <f t="shared" si="41"/>
        <v>807.97199237409563</v>
      </c>
      <c r="EG16" s="23">
        <f t="shared" si="41"/>
        <v>799.89227245035465</v>
      </c>
      <c r="EH16" s="23">
        <f t="shared" si="41"/>
        <v>791.89334972585107</v>
      </c>
      <c r="EI16" s="23">
        <f t="shared" si="41"/>
        <v>783.97441622859253</v>
      </c>
      <c r="EJ16" s="23">
        <f t="shared" si="41"/>
        <v>776.13467206630662</v>
      </c>
      <c r="EK16" s="23">
        <f t="shared" si="41"/>
        <v>768.37332534564359</v>
      </c>
      <c r="EL16" s="23">
        <f t="shared" si="41"/>
        <v>760.68959209218713</v>
      </c>
      <c r="EM16" s="23">
        <f t="shared" si="41"/>
        <v>753.0826961712653</v>
      </c>
      <c r="EN16" s="23">
        <f t="shared" si="41"/>
        <v>745.55186920955259</v>
      </c>
      <c r="EO16" s="23">
        <f t="shared" si="41"/>
        <v>738.09635051745704</v>
      </c>
      <c r="EP16" s="23">
        <f t="shared" si="41"/>
        <v>730.71538701228246</v>
      </c>
      <c r="EQ16" s="23">
        <f t="shared" si="41"/>
        <v>723.40823314215959</v>
      </c>
      <c r="ER16" s="23">
        <f t="shared" si="41"/>
        <v>716.17415081073796</v>
      </c>
      <c r="ES16" s="23">
        <f t="shared" si="41"/>
        <v>709.01240930263054</v>
      </c>
      <c r="ET16" s="23">
        <f t="shared" si="41"/>
        <v>701.92228520960418</v>
      </c>
    </row>
    <row r="17" spans="2:51" x14ac:dyDescent="0.25">
      <c r="C17" s="1" t="s">
        <v>81</v>
      </c>
      <c r="D17" s="22">
        <v>166.96888799999999</v>
      </c>
      <c r="E17" s="22">
        <v>166.96888799999999</v>
      </c>
      <c r="F17" s="22">
        <v>166.96888799999999</v>
      </c>
      <c r="G17" s="22">
        <v>166.96888799999999</v>
      </c>
      <c r="H17" s="22">
        <v>166.96888799999999</v>
      </c>
      <c r="I17" s="22">
        <v>166.96888799999999</v>
      </c>
      <c r="J17" s="22">
        <v>166.96888799999999</v>
      </c>
      <c r="K17" s="22">
        <v>166.96888799999999</v>
      </c>
      <c r="L17" s="22">
        <v>166.96888799999999</v>
      </c>
      <c r="M17" s="22">
        <v>166.96888799999999</v>
      </c>
      <c r="N17" s="22">
        <v>166.96888799999999</v>
      </c>
      <c r="O17" s="22">
        <v>166.96888799999999</v>
      </c>
      <c r="P17" s="22">
        <v>166.96888799999999</v>
      </c>
      <c r="Q17" s="22">
        <v>166.96888799999999</v>
      </c>
      <c r="R17" s="22">
        <v>166.96888799999999</v>
      </c>
      <c r="S17" s="22">
        <v>166.96888799999999</v>
      </c>
      <c r="T17" s="22">
        <v>166.96888799999999</v>
      </c>
      <c r="U17" s="22">
        <v>166.96888799999999</v>
      </c>
      <c r="Y17" s="22"/>
      <c r="Z17" s="22"/>
      <c r="AB17" s="22">
        <v>166.96888799999999</v>
      </c>
      <c r="AC17" s="22">
        <v>166.96888799999999</v>
      </c>
      <c r="AD17" s="22">
        <v>166.96888799999999</v>
      </c>
      <c r="AE17" s="22">
        <v>166.96888799999999</v>
      </c>
      <c r="AF17" s="22">
        <v>166.96888799999999</v>
      </c>
      <c r="AG17" s="22">
        <v>166.96888799999999</v>
      </c>
      <c r="AH17" s="22">
        <v>166.96888799999999</v>
      </c>
      <c r="AI17" s="22">
        <v>166.96888799999999</v>
      </c>
      <c r="AJ17" s="22">
        <v>166.96888799999999</v>
      </c>
      <c r="AK17" s="22">
        <v>166.96888799999999</v>
      </c>
      <c r="AL17" s="22">
        <v>166.96888799999999</v>
      </c>
      <c r="AM17" s="4">
        <v>166.96888799999999</v>
      </c>
      <c r="AN17" s="22">
        <v>166.96888799999999</v>
      </c>
      <c r="AO17" s="22">
        <v>166.96888799999999</v>
      </c>
      <c r="AP17" s="22">
        <v>166.96888799999999</v>
      </c>
      <c r="AQ17" s="22">
        <v>166.96888799999999</v>
      </c>
      <c r="AR17" s="22">
        <v>166.96888799999999</v>
      </c>
      <c r="AS17" s="22">
        <v>166.96888799999999</v>
      </c>
      <c r="AT17" s="22">
        <v>166.96888799999999</v>
      </c>
      <c r="AU17" s="22">
        <v>166.96888799999999</v>
      </c>
      <c r="AV17" s="22">
        <v>166.96888799999999</v>
      </c>
    </row>
    <row r="18" spans="2:51" x14ac:dyDescent="0.25">
      <c r="C18" s="1" t="s">
        <v>82</v>
      </c>
      <c r="D18" s="21">
        <f t="shared" ref="D18:E18" si="42">D16/D17</f>
        <v>0.53136246556304556</v>
      </c>
      <c r="E18" s="21">
        <f t="shared" si="42"/>
        <v>1.9631561539776221</v>
      </c>
      <c r="F18" s="21">
        <f t="shared" ref="F18:G18" si="43">F16/F17</f>
        <v>1.1240477327728258</v>
      </c>
      <c r="G18" s="21">
        <f t="shared" si="43"/>
        <v>2.6323347137581701</v>
      </c>
      <c r="H18" s="21">
        <f t="shared" ref="H18:I18" si="44">H16/H17</f>
        <v>0.4264267484371097</v>
      </c>
      <c r="I18" s="21">
        <f t="shared" si="44"/>
        <v>1.5529779416150884</v>
      </c>
      <c r="J18" s="21">
        <f t="shared" ref="J18:K18" si="45">J16/J17</f>
        <v>0.85830361402418831</v>
      </c>
      <c r="K18" s="21">
        <f t="shared" si="45"/>
        <v>2.6043414746823976</v>
      </c>
      <c r="L18" s="21">
        <f t="shared" ref="L18:S18" si="46">L16/L17</f>
        <v>0.2787944542099372</v>
      </c>
      <c r="M18" s="21">
        <f t="shared" si="46"/>
        <v>1.5928176990673868</v>
      </c>
      <c r="N18" s="21">
        <f t="shared" si="46"/>
        <v>0.50101549457525352</v>
      </c>
      <c r="O18" s="21">
        <f t="shared" si="46"/>
        <v>2.6569201323302818</v>
      </c>
      <c r="P18" s="21">
        <f t="shared" si="46"/>
        <v>-0.48035296252317511</v>
      </c>
      <c r="Q18" s="21">
        <f t="shared" si="46"/>
        <v>1.6543680880236782</v>
      </c>
      <c r="R18" s="21">
        <f t="shared" si="46"/>
        <v>0.9204888517913592</v>
      </c>
      <c r="S18" s="21">
        <f t="shared" si="46"/>
        <v>2.7870341928611255</v>
      </c>
      <c r="T18" s="21">
        <f>T16/T17</f>
        <v>2.9670198198841518E-2</v>
      </c>
      <c r="U18" s="21">
        <f>U16/U17</f>
        <v>1.464003281856916</v>
      </c>
      <c r="Y18" s="50"/>
      <c r="Z18" s="50"/>
      <c r="AB18" s="21">
        <f t="shared" ref="AB18:AL18" si="47">AB16/AB17</f>
        <v>1.6626450791239624</v>
      </c>
      <c r="AC18" s="21">
        <f t="shared" si="47"/>
        <v>2.4774735278826299</v>
      </c>
      <c r="AD18" s="21">
        <f t="shared" si="47"/>
        <v>2.3345606757589472</v>
      </c>
      <c r="AE18" s="21">
        <f t="shared" si="47"/>
        <v>2.5701195302923781</v>
      </c>
      <c r="AF18" s="21">
        <f t="shared" si="47"/>
        <v>2.2485386618853216</v>
      </c>
      <c r="AG18" s="21">
        <f t="shared" si="47"/>
        <v>4.8130164225565162</v>
      </c>
      <c r="AH18" s="21">
        <f t="shared" si="47"/>
        <v>6.6106686893668467</v>
      </c>
      <c r="AI18" s="21">
        <f t="shared" si="47"/>
        <v>6.2395396680128759</v>
      </c>
      <c r="AJ18" s="21">
        <f t="shared" si="47"/>
        <v>5.4432476067038289</v>
      </c>
      <c r="AK18" s="21">
        <f t="shared" si="47"/>
        <v>5.0191146987814887</v>
      </c>
      <c r="AL18" s="21">
        <f t="shared" si="47"/>
        <v>4.8811488760708528</v>
      </c>
      <c r="AM18" s="44">
        <f t="shared" ref="AM18:AV18" si="48">AM16/AM17</f>
        <v>5.9481307918874169</v>
      </c>
      <c r="AN18" s="21">
        <f t="shared" si="48"/>
        <v>6.4546361367633995</v>
      </c>
      <c r="AO18" s="21">
        <f t="shared" si="48"/>
        <v>7.3070228448188619</v>
      </c>
      <c r="AP18" s="21">
        <f t="shared" si="48"/>
        <v>7.9722134504477378</v>
      </c>
      <c r="AQ18" s="21">
        <f t="shared" si="48"/>
        <v>8.6810003248236498</v>
      </c>
      <c r="AR18" s="21">
        <f t="shared" si="48"/>
        <v>9.4359601825218977</v>
      </c>
      <c r="AS18" s="21">
        <f t="shared" si="48"/>
        <v>9.9646596576771937</v>
      </c>
      <c r="AT18" s="21">
        <f t="shared" si="48"/>
        <v>10.520363121250552</v>
      </c>
      <c r="AU18" s="21">
        <f t="shared" si="48"/>
        <v>11.104426462809478</v>
      </c>
      <c r="AV18" s="21">
        <f t="shared" si="48"/>
        <v>11.718273423301321</v>
      </c>
    </row>
    <row r="19" spans="2:51" x14ac:dyDescent="0.25">
      <c r="AX19" s="1" t="s">
        <v>133</v>
      </c>
      <c r="AY19" s="28">
        <v>0.08</v>
      </c>
    </row>
    <row r="20" spans="2:51" x14ac:dyDescent="0.25">
      <c r="C20" s="25" t="s">
        <v>69</v>
      </c>
      <c r="D20" s="25"/>
      <c r="E20" s="25"/>
      <c r="F20" s="25"/>
      <c r="G20" s="25"/>
      <c r="H20" s="25">
        <f t="shared" ref="H20:R20" si="49">(H4-D4)/D4</f>
        <v>0.12656172948169875</v>
      </c>
      <c r="I20" s="25">
        <f t="shared" si="49"/>
        <v>4.2552356233563883E-2</v>
      </c>
      <c r="J20" s="25">
        <f t="shared" si="49"/>
        <v>4.9735121951219451E-2</v>
      </c>
      <c r="K20" s="25">
        <f t="shared" si="49"/>
        <v>1.2449765707887864E-2</v>
      </c>
      <c r="L20" s="25">
        <f t="shared" si="49"/>
        <v>4.8383316319059795E-2</v>
      </c>
      <c r="M20" s="25">
        <f t="shared" si="49"/>
        <v>0.34557039767285141</v>
      </c>
      <c r="N20" s="25">
        <f t="shared" si="49"/>
        <v>0.50444688253529246</v>
      </c>
      <c r="O20" s="25">
        <f t="shared" si="49"/>
        <v>0.42510855177703283</v>
      </c>
      <c r="P20" s="25">
        <f t="shared" si="49"/>
        <v>0.45008960117974461</v>
      </c>
      <c r="Q20" s="25">
        <f t="shared" si="49"/>
        <v>0.22284212788076527</v>
      </c>
      <c r="R20" s="25">
        <f t="shared" si="49"/>
        <v>8.9749050580616899E-2</v>
      </c>
      <c r="S20" s="25">
        <f>(S4-O4)/O4</f>
        <v>5.3196721442543234E-2</v>
      </c>
      <c r="T20" s="25">
        <f t="shared" ref="T20:W20" si="50">(T4-P4)/P4</f>
        <v>0.12305742378001579</v>
      </c>
      <c r="U20" s="25">
        <f t="shared" si="50"/>
        <v>-2.8321359269524643E-2</v>
      </c>
      <c r="V20" s="25">
        <f>(AK29-R4)/R4</f>
        <v>-1</v>
      </c>
      <c r="W20" s="25">
        <f t="shared" si="50"/>
        <v>-1</v>
      </c>
      <c r="X20" s="25"/>
      <c r="Y20" s="25"/>
      <c r="AB20" s="25"/>
      <c r="AC20" s="25">
        <f t="shared" ref="AC20:AJ20" si="51">(AC4-AB4)/AB4</f>
        <v>9.849862785014879E-2</v>
      </c>
      <c r="AD20" s="25">
        <f t="shared" si="51"/>
        <v>6.6334592214079835E-2</v>
      </c>
      <c r="AE20" s="25">
        <f t="shared" si="51"/>
        <v>7.27435348444362E-2</v>
      </c>
      <c r="AF20" s="25">
        <f t="shared" si="51"/>
        <v>7.1756257194449863E-2</v>
      </c>
      <c r="AG20" s="25">
        <f t="shared" si="51"/>
        <v>0.28523083817836836</v>
      </c>
      <c r="AH20" s="25">
        <f t="shared" si="51"/>
        <v>7.9318286170494079E-2</v>
      </c>
      <c r="AI20" s="25">
        <f t="shared" si="51"/>
        <v>4.2504796097489674E-2</v>
      </c>
      <c r="AJ20" s="25">
        <f t="shared" si="51"/>
        <v>5.0040673194047036E-2</v>
      </c>
      <c r="AK20" s="25">
        <f>(AK4-AJ4)/AJ4</f>
        <v>0.34682216108067232</v>
      </c>
      <c r="AL20" s="25">
        <f t="shared" ref="AL20:AV20" si="52">(AL4-AK4)/AK4</f>
        <v>0.16687825713971771</v>
      </c>
      <c r="AM20" s="45">
        <f t="shared" si="52"/>
        <v>3.0000000000000009E-2</v>
      </c>
      <c r="AN20" s="25">
        <f t="shared" si="52"/>
        <v>5.0000000000000037E-2</v>
      </c>
      <c r="AO20" s="25">
        <f t="shared" si="52"/>
        <v>5.0000000000000135E-2</v>
      </c>
      <c r="AP20" s="25">
        <f t="shared" si="52"/>
        <v>4.9999999999999947E-2</v>
      </c>
      <c r="AQ20" s="25">
        <f t="shared" si="52"/>
        <v>5.0000000000000114E-2</v>
      </c>
      <c r="AR20" s="25">
        <f t="shared" si="52"/>
        <v>5.0000000000000031E-2</v>
      </c>
      <c r="AS20" s="25">
        <f t="shared" si="52"/>
        <v>5.000000000000001E-2</v>
      </c>
      <c r="AT20" s="25">
        <f t="shared" si="52"/>
        <v>4.9999999999999961E-2</v>
      </c>
      <c r="AU20" s="25">
        <f t="shared" si="52"/>
        <v>5.0000000000000031E-2</v>
      </c>
      <c r="AV20" s="25">
        <f t="shared" si="52"/>
        <v>5.0000000000000079E-2</v>
      </c>
      <c r="AX20" s="1" t="s">
        <v>130</v>
      </c>
      <c r="AY20" s="28">
        <v>-0.01</v>
      </c>
    </row>
    <row r="21" spans="2:51" x14ac:dyDescent="0.25">
      <c r="C21" s="25" t="s">
        <v>70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S21" s="25">
        <v>5.2999999999999999E-2</v>
      </c>
      <c r="T21" s="25">
        <v>0.11600000000000001</v>
      </c>
      <c r="U21" s="25">
        <v>1.0999999999999999E-2</v>
      </c>
      <c r="V21" s="15"/>
      <c r="W21" s="15"/>
      <c r="X21" s="15"/>
      <c r="Y21" s="1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45"/>
      <c r="AN21" s="25"/>
      <c r="AO21" s="25"/>
      <c r="AP21" s="25"/>
      <c r="AQ21" s="25"/>
      <c r="AR21" s="25"/>
      <c r="AS21" s="25"/>
      <c r="AT21" s="25"/>
      <c r="AU21" s="25"/>
      <c r="AV21" s="25"/>
      <c r="AX21" s="27" t="s">
        <v>131</v>
      </c>
      <c r="AY21" s="29">
        <f>NPV(AY19,AM16:ET16)</f>
        <v>19491.075649075403</v>
      </c>
    </row>
    <row r="22" spans="2:51" x14ac:dyDescent="0.25">
      <c r="C22" s="15" t="s">
        <v>57</v>
      </c>
      <c r="D22" s="15">
        <f t="shared" ref="D22:R22" si="53">D6/D4</f>
        <v>0.44271861298253756</v>
      </c>
      <c r="E22" s="15">
        <f t="shared" si="53"/>
        <v>0.48239886578791108</v>
      </c>
      <c r="F22" s="15">
        <f t="shared" si="53"/>
        <v>0.47575219512195116</v>
      </c>
      <c r="G22" s="15">
        <f t="shared" si="53"/>
        <v>0.45454614369718455</v>
      </c>
      <c r="H22" s="15">
        <f t="shared" si="53"/>
        <v>0.43468355779584006</v>
      </c>
      <c r="I22" s="15">
        <f t="shared" si="53"/>
        <v>0.44511607393656782</v>
      </c>
      <c r="J22" s="15">
        <f t="shared" si="53"/>
        <v>0.4530694618898054</v>
      </c>
      <c r="K22" s="15">
        <f t="shared" si="53"/>
        <v>0.43874775946137223</v>
      </c>
      <c r="L22" s="15">
        <f t="shared" si="53"/>
        <v>0.43337358929346104</v>
      </c>
      <c r="M22" s="15">
        <f t="shared" si="53"/>
        <v>0.41864411032083421</v>
      </c>
      <c r="N22" s="15">
        <f t="shared" si="53"/>
        <v>0.39735444424024058</v>
      </c>
      <c r="O22" s="15">
        <f t="shared" si="53"/>
        <v>0.42535150652506581</v>
      </c>
      <c r="P22" s="15">
        <f t="shared" si="53"/>
        <v>0.38679478710069143</v>
      </c>
      <c r="Q22" s="15">
        <f t="shared" si="53"/>
        <v>0.40623049386733101</v>
      </c>
      <c r="R22" s="15">
        <f t="shared" si="53"/>
        <v>0.40725830681268049</v>
      </c>
      <c r="S22" s="15">
        <f>S6/S4</f>
        <v>0.42551231592696198</v>
      </c>
      <c r="T22" s="15">
        <f t="shared" ref="T22:W22" si="54">T6/T4</f>
        <v>0.39458690192582019</v>
      </c>
      <c r="U22" s="15">
        <f t="shared" si="54"/>
        <v>0.42420019382677948</v>
      </c>
      <c r="V22" s="15" t="e">
        <f>AK31/AK29</f>
        <v>#DIV/0!</v>
      </c>
      <c r="W22" s="15" t="e">
        <f t="shared" si="54"/>
        <v>#DIV/0!</v>
      </c>
      <c r="X22" s="15"/>
      <c r="Y22" s="15"/>
      <c r="AB22" s="15">
        <f t="shared" ref="AB22:AJ22" si="55">AB6/AB4</f>
        <v>0.4449755380590128</v>
      </c>
      <c r="AC22" s="15">
        <f t="shared" si="55"/>
        <v>0.42912232643521742</v>
      </c>
      <c r="AD22" s="15">
        <f t="shared" si="55"/>
        <v>0.42492803174901755</v>
      </c>
      <c r="AE22" s="15">
        <f t="shared" si="55"/>
        <v>0.4329886415365764</v>
      </c>
      <c r="AF22" s="15">
        <f t="shared" si="55"/>
        <v>0.43158343183269443</v>
      </c>
      <c r="AG22" s="15">
        <f t="shared" si="55"/>
        <v>0.43412655197189337</v>
      </c>
      <c r="AH22" s="15">
        <f t="shared" si="55"/>
        <v>0.46900450811772237</v>
      </c>
      <c r="AI22" s="15">
        <f t="shared" si="55"/>
        <v>0.46396312859051569</v>
      </c>
      <c r="AJ22" s="15">
        <f t="shared" si="55"/>
        <v>0.44272525354336428</v>
      </c>
      <c r="AK22" s="15">
        <f t="shared" ref="AK22:AV22" si="56">AK6/AK4</f>
        <v>0.41668204543923382</v>
      </c>
      <c r="AL22" s="15">
        <f t="shared" si="56"/>
        <v>0.40858986422906307</v>
      </c>
      <c r="AM22" s="46">
        <f t="shared" si="56"/>
        <v>0.4200000000000001</v>
      </c>
      <c r="AN22" s="15">
        <f t="shared" si="56"/>
        <v>0.42000000000000004</v>
      </c>
      <c r="AO22" s="15">
        <f t="shared" si="56"/>
        <v>0.42000000000000004</v>
      </c>
      <c r="AP22" s="15">
        <f t="shared" si="56"/>
        <v>0.4200000000000001</v>
      </c>
      <c r="AQ22" s="15">
        <f t="shared" si="56"/>
        <v>0.42</v>
      </c>
      <c r="AR22" s="15">
        <f t="shared" si="56"/>
        <v>0.4200000000000001</v>
      </c>
      <c r="AS22" s="15">
        <f t="shared" si="56"/>
        <v>0.42</v>
      </c>
      <c r="AT22" s="15">
        <f t="shared" si="56"/>
        <v>0.42000000000000004</v>
      </c>
      <c r="AU22" s="15">
        <f t="shared" si="56"/>
        <v>0.42000000000000004</v>
      </c>
      <c r="AV22" s="15">
        <f t="shared" si="56"/>
        <v>0.42000000000000004</v>
      </c>
      <c r="AX22" s="1" t="s">
        <v>2</v>
      </c>
      <c r="AY22" s="22">
        <v>166.96888799999999</v>
      </c>
    </row>
    <row r="23" spans="2:51" x14ac:dyDescent="0.25">
      <c r="C23" s="15" t="s">
        <v>64</v>
      </c>
      <c r="D23" s="15">
        <f t="shared" ref="D23:R23" si="57">D10/D4</f>
        <v>7.3698709347235838E-2</v>
      </c>
      <c r="E23" s="15">
        <f t="shared" si="57"/>
        <v>0.19759142373939848</v>
      </c>
      <c r="F23" s="15">
        <f t="shared" si="57"/>
        <v>0.13247121951219507</v>
      </c>
      <c r="G23" s="15">
        <f t="shared" si="57"/>
        <v>0.19922195968204695</v>
      </c>
      <c r="H23" s="15">
        <f t="shared" si="57"/>
        <v>7.5118578189684718E-2</v>
      </c>
      <c r="I23" s="15">
        <f t="shared" si="57"/>
        <v>0.15674320386311519</v>
      </c>
      <c r="J23" s="15">
        <f t="shared" si="57"/>
        <v>0.10884232352226365</v>
      </c>
      <c r="K23" s="15">
        <f t="shared" si="57"/>
        <v>0.18022134210298438</v>
      </c>
      <c r="L23" s="15">
        <f t="shared" si="57"/>
        <v>5.2592511799174971E-2</v>
      </c>
      <c r="M23" s="15">
        <f t="shared" si="57"/>
        <v>0.10893899313454039</v>
      </c>
      <c r="N23" s="15">
        <f t="shared" si="57"/>
        <v>5.1763317740049858E-2</v>
      </c>
      <c r="O23" s="15">
        <f t="shared" si="57"/>
        <v>0.14253081043124211</v>
      </c>
      <c r="P23" s="15">
        <f t="shared" si="57"/>
        <v>-1.2582308802102607E-2</v>
      </c>
      <c r="Q23" s="15">
        <f t="shared" si="57"/>
        <v>0.11114112700960012</v>
      </c>
      <c r="R23" s="15">
        <f t="shared" si="57"/>
        <v>7.25864694217912E-2</v>
      </c>
      <c r="S23" s="15">
        <f>S10/S4</f>
        <v>0.14690988072097499</v>
      </c>
      <c r="T23" s="15">
        <f t="shared" ref="T23:W23" si="58">T10/T4</f>
        <v>2.165021030463948E-2</v>
      </c>
      <c r="U23" s="15">
        <f t="shared" si="58"/>
        <v>0.10665535108093617</v>
      </c>
      <c r="V23" s="15" t="e">
        <f>AK35/AK29</f>
        <v>#DIV/0!</v>
      </c>
      <c r="W23" s="15" t="e">
        <f t="shared" si="58"/>
        <v>#DIV/0!</v>
      </c>
      <c r="X23" s="15"/>
      <c r="Y23" s="15"/>
      <c r="AB23" s="15">
        <f t="shared" ref="AB23:AJ23" si="59">AB10/AB4</f>
        <v>0.115044136910831</v>
      </c>
      <c r="AC23" s="15">
        <f t="shared" si="59"/>
        <v>0.11602246123804247</v>
      </c>
      <c r="AD23" s="15">
        <f t="shared" si="59"/>
        <v>0.10179879133909817</v>
      </c>
      <c r="AE23" s="15">
        <f t="shared" si="59"/>
        <v>0.10092377768273054</v>
      </c>
      <c r="AF23" s="15">
        <f t="shared" si="59"/>
        <v>9.2804924428039393E-2</v>
      </c>
      <c r="AG23" s="15">
        <f t="shared" si="59"/>
        <v>0.14546798560123023</v>
      </c>
      <c r="AH23" s="15">
        <f t="shared" si="59"/>
        <v>0.17480666734734959</v>
      </c>
      <c r="AI23" s="15">
        <f t="shared" si="59"/>
        <v>0.15975969207719001</v>
      </c>
      <c r="AJ23" s="15">
        <f t="shared" si="59"/>
        <v>0.13680583158980619</v>
      </c>
      <c r="AK23" s="15">
        <f t="shared" ref="AK23:AV23" si="60">AK10/AK4</f>
        <v>9.7000304072254531E-2</v>
      </c>
      <c r="AL23" s="15">
        <f t="shared" si="60"/>
        <v>8.8654389030783709E-2</v>
      </c>
      <c r="AM23" s="46">
        <f t="shared" si="60"/>
        <v>0.10101856262651454</v>
      </c>
      <c r="AN23" s="15">
        <f t="shared" si="60"/>
        <v>0.10405648107769053</v>
      </c>
      <c r="AO23" s="15">
        <f t="shared" si="60"/>
        <v>0.11007445286668696</v>
      </c>
      <c r="AP23" s="15">
        <f t="shared" si="60"/>
        <v>0.11302612474414708</v>
      </c>
      <c r="AQ23" s="15">
        <f t="shared" si="60"/>
        <v>0.11594968546086939</v>
      </c>
      <c r="AR23" s="15">
        <f t="shared" si="60"/>
        <v>0.11884540274219453</v>
      </c>
      <c r="AS23" s="15">
        <f t="shared" si="60"/>
        <v>0.11884540274219445</v>
      </c>
      <c r="AT23" s="15">
        <f t="shared" si="60"/>
        <v>0.11884540274219442</v>
      </c>
      <c r="AU23" s="15">
        <f t="shared" si="60"/>
        <v>0.11884540274219443</v>
      </c>
      <c r="AV23" s="15">
        <f t="shared" si="60"/>
        <v>0.11884540274219452</v>
      </c>
      <c r="AX23" s="9" t="s">
        <v>132</v>
      </c>
      <c r="AY23" s="30">
        <f>AY21/AY22</f>
        <v>116.73477545754155</v>
      </c>
    </row>
    <row r="24" spans="2:51" x14ac:dyDescent="0.25"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46"/>
      <c r="AN24" s="15"/>
      <c r="AO24" s="15"/>
      <c r="AP24" s="15"/>
      <c r="AQ24" s="15"/>
      <c r="AR24" s="15"/>
      <c r="AS24" s="15"/>
      <c r="AT24" s="15"/>
      <c r="AU24" s="15"/>
      <c r="AV24" s="15"/>
      <c r="AX24" s="9" t="s">
        <v>139</v>
      </c>
      <c r="AY24" s="25">
        <f>(AY23-B4)/B4</f>
        <v>0.44117006737705611</v>
      </c>
    </row>
    <row r="25" spans="2:51" s="24" customFormat="1" x14ac:dyDescent="0.25">
      <c r="B25" s="43"/>
      <c r="C25" s="24" t="s">
        <v>61</v>
      </c>
      <c r="D25" s="24">
        <f t="shared" ref="D25:T25" si="61">D10-D8</f>
        <v>277.55399999999997</v>
      </c>
      <c r="E25" s="24">
        <f t="shared" si="61"/>
        <v>588.9150000000003</v>
      </c>
      <c r="F25" s="24">
        <f t="shared" si="61"/>
        <v>425.17399999999986</v>
      </c>
      <c r="G25" s="24">
        <f t="shared" si="61"/>
        <v>759.73399999999992</v>
      </c>
      <c r="H25" s="24">
        <f t="shared" si="61"/>
        <v>311.45299999999997</v>
      </c>
      <c r="I25" s="24">
        <f t="shared" si="61"/>
        <v>530.95700000000022</v>
      </c>
      <c r="J25" s="24">
        <f t="shared" si="61"/>
        <v>404.4849999999999</v>
      </c>
      <c r="K25" s="24">
        <f t="shared" si="61"/>
        <v>722.87300000000005</v>
      </c>
      <c r="L25" s="24">
        <f t="shared" si="61"/>
        <v>280.90300000000013</v>
      </c>
      <c r="M25" s="24">
        <f t="shared" si="61"/>
        <v>566.57200000000012</v>
      </c>
      <c r="N25" s="24">
        <f t="shared" si="61"/>
        <v>427.81100000000009</v>
      </c>
      <c r="O25" s="24">
        <f t="shared" si="61"/>
        <v>884.4190000000001</v>
      </c>
      <c r="P25" s="24">
        <f t="shared" si="61"/>
        <v>223.75099999999981</v>
      </c>
      <c r="Q25" s="24">
        <f t="shared" si="61"/>
        <v>689.39999999999964</v>
      </c>
      <c r="R25" s="24">
        <f t="shared" si="61"/>
        <v>521.36599999999999</v>
      </c>
      <c r="S25" s="24">
        <f t="shared" si="61"/>
        <v>944.71099999999956</v>
      </c>
      <c r="T25" s="24">
        <f t="shared" si="61"/>
        <v>340.1600000000002</v>
      </c>
      <c r="U25" s="24">
        <f>U10-U8</f>
        <v>660.59899999999993</v>
      </c>
      <c r="AB25" s="24">
        <f t="shared" ref="AB25:AV25" si="62">AB10-AB8</f>
        <v>603.62700000000007</v>
      </c>
      <c r="AC25" s="24">
        <f t="shared" si="62"/>
        <v>665.08699999999976</v>
      </c>
      <c r="AD25" s="24">
        <f t="shared" si="62"/>
        <v>634.69699999999989</v>
      </c>
      <c r="AE25" s="24">
        <f t="shared" si="62"/>
        <v>677.81500000000074</v>
      </c>
      <c r="AF25" s="24">
        <f t="shared" si="62"/>
        <v>1094.2550000000001</v>
      </c>
      <c r="AG25" s="24">
        <f t="shared" si="62"/>
        <v>1705.5079999999998</v>
      </c>
      <c r="AH25" s="24">
        <f t="shared" si="62"/>
        <v>2082.982</v>
      </c>
      <c r="AI25" s="24">
        <f t="shared" si="62"/>
        <v>2051.3909999999992</v>
      </c>
      <c r="AJ25" s="24">
        <f t="shared" si="62"/>
        <v>1969.7379999999996</v>
      </c>
      <c r="AK25" s="24">
        <f t="shared" si="62"/>
        <v>2159.7060000000001</v>
      </c>
      <c r="AL25" s="24">
        <f t="shared" si="62"/>
        <v>2379</v>
      </c>
      <c r="AM25" s="43">
        <f t="shared" si="62"/>
        <v>2639.8428000000017</v>
      </c>
      <c r="AN25" s="24">
        <f t="shared" si="62"/>
        <v>2809.7987400000011</v>
      </c>
      <c r="AO25" s="24">
        <f t="shared" si="62"/>
        <v>3029.2533810000023</v>
      </c>
      <c r="AP25" s="24">
        <f t="shared" si="62"/>
        <v>3221.3828726100023</v>
      </c>
      <c r="AQ25" s="24">
        <f t="shared" si="62"/>
        <v>3424.7455117029012</v>
      </c>
      <c r="AR25" s="24">
        <f t="shared" si="62"/>
        <v>3639.968022568944</v>
      </c>
      <c r="AS25" s="24">
        <f t="shared" si="62"/>
        <v>3821.9664236973895</v>
      </c>
      <c r="AT25" s="24">
        <f t="shared" si="62"/>
        <v>4013.0647448822583</v>
      </c>
      <c r="AU25" s="24">
        <f t="shared" si="62"/>
        <v>4213.7179821263717</v>
      </c>
      <c r="AV25" s="24">
        <f t="shared" si="62"/>
        <v>4424.4038812326926</v>
      </c>
      <c r="AX25" s="23"/>
      <c r="AY25" s="23"/>
    </row>
    <row r="26" spans="2:51" s="51" customFormat="1" x14ac:dyDescent="0.25">
      <c r="B26" s="52"/>
      <c r="C26" s="51" t="s">
        <v>62</v>
      </c>
      <c r="D26" s="51">
        <f t="shared" ref="D26:T26" si="63">D25/D4</f>
        <v>0.16178567306649816</v>
      </c>
      <c r="E26" s="51">
        <f t="shared" si="63"/>
        <v>0.26573620002851783</v>
      </c>
      <c r="F26" s="51">
        <f t="shared" si="63"/>
        <v>0.20740195121951213</v>
      </c>
      <c r="G26" s="51">
        <f t="shared" si="63"/>
        <v>0.25040400022016895</v>
      </c>
      <c r="H26" s="51">
        <f t="shared" si="63"/>
        <v>0.1611499199820354</v>
      </c>
      <c r="I26" s="51">
        <f t="shared" si="63"/>
        <v>0.22980505672662721</v>
      </c>
      <c r="J26" s="51">
        <f t="shared" si="63"/>
        <v>0.18796146949032899</v>
      </c>
      <c r="K26" s="51">
        <f t="shared" si="63"/>
        <v>0.23532508237824917</v>
      </c>
      <c r="L26" s="51">
        <f t="shared" si="63"/>
        <v>0.13863530814563813</v>
      </c>
      <c r="M26" s="51">
        <f t="shared" si="63"/>
        <v>0.1822421850071537</v>
      </c>
      <c r="N26" s="51">
        <f t="shared" si="63"/>
        <v>0.13214218974179193</v>
      </c>
      <c r="O26" s="51">
        <f t="shared" si="63"/>
        <v>0.20203021844790492</v>
      </c>
      <c r="P26" s="51">
        <f t="shared" si="63"/>
        <v>7.6153106028814449E-2</v>
      </c>
      <c r="Q26" s="51">
        <f t="shared" si="63"/>
        <v>0.18134045157297182</v>
      </c>
      <c r="R26" s="51">
        <f t="shared" si="63"/>
        <v>0.14777663015565459</v>
      </c>
      <c r="S26" s="51">
        <f t="shared" si="63"/>
        <v>0.20490272927170683</v>
      </c>
      <c r="T26" s="51">
        <f t="shared" si="63"/>
        <v>0.10308700360059005</v>
      </c>
      <c r="U26" s="51">
        <f>U25/U4</f>
        <v>0.17882929708014572</v>
      </c>
      <c r="AB26" s="51">
        <f t="shared" ref="AB26:AV26" si="64">AB25/AB4</f>
        <v>0.13039463133409604</v>
      </c>
      <c r="AC26" s="51">
        <f t="shared" si="64"/>
        <v>0.13078863094014886</v>
      </c>
      <c r="AD26" s="51">
        <f t="shared" si="64"/>
        <v>0.11704813066963206</v>
      </c>
      <c r="AE26" s="51">
        <f t="shared" si="64"/>
        <v>0.11652344238870189</v>
      </c>
      <c r="AF26" s="51">
        <f t="shared" si="64"/>
        <v>0.17551920484910391</v>
      </c>
      <c r="AG26" s="51">
        <f t="shared" si="64"/>
        <v>0.21285248574469126</v>
      </c>
      <c r="AH26" s="51">
        <f t="shared" si="64"/>
        <v>0.24085792878661016</v>
      </c>
      <c r="AI26" s="51">
        <f t="shared" si="64"/>
        <v>0.22753374477554089</v>
      </c>
      <c r="AJ26" s="51">
        <f t="shared" si="64"/>
        <v>0.20806532556889401</v>
      </c>
      <c r="AK26" s="51">
        <f t="shared" si="64"/>
        <v>0.16938526503657692</v>
      </c>
      <c r="AL26" s="51">
        <f t="shared" si="64"/>
        <v>0.15990052426401399</v>
      </c>
      <c r="AM26" s="52">
        <f t="shared" si="64"/>
        <v>0.1722646978597448</v>
      </c>
      <c r="AN26" s="51">
        <f t="shared" si="64"/>
        <v>0.17462408168965196</v>
      </c>
      <c r="AO26" s="51">
        <f t="shared" si="64"/>
        <v>0.17929790870508719</v>
      </c>
      <c r="AP26" s="51">
        <f t="shared" si="64"/>
        <v>0.18159030957456257</v>
      </c>
      <c r="AQ26" s="51">
        <f t="shared" si="64"/>
        <v>0.18386087805480475</v>
      </c>
      <c r="AR26" s="51">
        <f t="shared" si="64"/>
        <v>0.18610982207333049</v>
      </c>
      <c r="AS26" s="51">
        <f t="shared" si="64"/>
        <v>0.18610982207333041</v>
      </c>
      <c r="AT26" s="51">
        <f t="shared" si="64"/>
        <v>0.18610982207333038</v>
      </c>
      <c r="AU26" s="51">
        <f t="shared" si="64"/>
        <v>0.18610982207333041</v>
      </c>
      <c r="AV26" s="51">
        <f t="shared" si="64"/>
        <v>0.18610982207333049</v>
      </c>
      <c r="AX26" s="53"/>
      <c r="AY26" s="53"/>
    </row>
    <row r="27" spans="2:51" s="24" customFormat="1" x14ac:dyDescent="0.25">
      <c r="B27" s="43"/>
      <c r="C27" s="24" t="s">
        <v>143</v>
      </c>
      <c r="G27" s="24">
        <f>SUM(D25:G25)</f>
        <v>2051.377</v>
      </c>
      <c r="H27" s="24">
        <f t="shared" ref="H27:T27" si="65">SUM(E25:H25)</f>
        <v>2085.2759999999998</v>
      </c>
      <c r="I27" s="24">
        <f t="shared" si="65"/>
        <v>2027.3180000000002</v>
      </c>
      <c r="J27" s="24">
        <f t="shared" si="65"/>
        <v>2006.6290000000001</v>
      </c>
      <c r="K27" s="24">
        <f t="shared" si="65"/>
        <v>1969.768</v>
      </c>
      <c r="L27" s="24">
        <f t="shared" si="65"/>
        <v>1939.2180000000003</v>
      </c>
      <c r="M27" s="24">
        <f t="shared" si="65"/>
        <v>1974.8330000000001</v>
      </c>
      <c r="N27" s="24">
        <f t="shared" si="65"/>
        <v>1998.1590000000006</v>
      </c>
      <c r="O27" s="24">
        <f t="shared" si="65"/>
        <v>2159.7050000000004</v>
      </c>
      <c r="P27" s="24">
        <f t="shared" si="65"/>
        <v>2102.5530000000003</v>
      </c>
      <c r="Q27" s="24">
        <f t="shared" si="65"/>
        <v>2225.3809999999994</v>
      </c>
      <c r="R27" s="24">
        <f t="shared" si="65"/>
        <v>2318.9359999999997</v>
      </c>
      <c r="S27" s="24">
        <f t="shared" si="65"/>
        <v>2379.2279999999992</v>
      </c>
      <c r="T27" s="24">
        <f t="shared" si="65"/>
        <v>2495.6369999999993</v>
      </c>
      <c r="U27" s="24">
        <f>SUM(R25:U25)</f>
        <v>2466.8359999999993</v>
      </c>
      <c r="AM27" s="43"/>
      <c r="AX27" s="23"/>
      <c r="AY27" s="23"/>
    </row>
    <row r="29" spans="2:51" x14ac:dyDescent="0.25">
      <c r="C29" s="9" t="s">
        <v>83</v>
      </c>
      <c r="AK29" s="23"/>
    </row>
    <row r="30" spans="2:51" x14ac:dyDescent="0.25">
      <c r="C30" s="1" t="s">
        <v>84</v>
      </c>
      <c r="D30" s="24">
        <v>2732.2370000000001</v>
      </c>
      <c r="E30" s="24">
        <v>2746.8339999999998</v>
      </c>
      <c r="F30" s="24">
        <v>2860.2379999999998</v>
      </c>
      <c r="G30" s="24">
        <v>2875.288</v>
      </c>
      <c r="H30" s="24">
        <v>2877.76</v>
      </c>
      <c r="I30" s="24">
        <v>2873.9009999999998</v>
      </c>
      <c r="J30" s="24">
        <v>2867.9250000000002</v>
      </c>
      <c r="K30" s="24">
        <v>2861.038</v>
      </c>
      <c r="L30" s="24">
        <v>2855.62</v>
      </c>
      <c r="M30" s="24">
        <v>3028.8220000000001</v>
      </c>
      <c r="N30" s="24">
        <v>3028.96</v>
      </c>
      <c r="O30" s="24">
        <v>3225.0839999999998</v>
      </c>
      <c r="P30" s="24">
        <v>3260.9609999999998</v>
      </c>
      <c r="Q30" s="24">
        <v>3269.9679999999998</v>
      </c>
      <c r="R30" s="24">
        <v>3268.9209999999998</v>
      </c>
      <c r="S30" s="24">
        <v>3264.029</v>
      </c>
      <c r="T30" s="24">
        <v>3233.087</v>
      </c>
      <c r="U30" s="24">
        <v>3227.933</v>
      </c>
      <c r="V30" s="24"/>
      <c r="W30" s="24"/>
      <c r="X30" s="24"/>
      <c r="Y30" s="24"/>
      <c r="Z30" s="24"/>
      <c r="AA30" s="24"/>
      <c r="AB30" s="24">
        <v>2010.8040000000001</v>
      </c>
      <c r="AC30" s="24">
        <v>2016.904</v>
      </c>
      <c r="AD30" s="24">
        <v>2029.297</v>
      </c>
      <c r="AE30" s="24">
        <v>2040.6880000000001</v>
      </c>
      <c r="AF30" s="24">
        <v>2044.6690000000001</v>
      </c>
      <c r="AG30" s="24">
        <v>2063.3339999999998</v>
      </c>
      <c r="AH30" s="24">
        <v>2730.06</v>
      </c>
      <c r="AI30" s="24">
        <v>2875.288</v>
      </c>
      <c r="AJ30" s="24">
        <v>3028.96</v>
      </c>
      <c r="AK30" s="24">
        <v>3225.0839999999998</v>
      </c>
      <c r="AL30" s="24">
        <v>3264.029</v>
      </c>
    </row>
    <row r="31" spans="2:51" x14ac:dyDescent="0.25">
      <c r="C31" s="1" t="s">
        <v>85</v>
      </c>
      <c r="D31" s="24">
        <v>2812.759</v>
      </c>
      <c r="E31" s="24">
        <v>2852.4349999999999</v>
      </c>
      <c r="F31" s="24">
        <v>2812.835</v>
      </c>
      <c r="G31" s="24">
        <v>2906.989</v>
      </c>
      <c r="H31" s="24">
        <v>3080.7539999999999</v>
      </c>
      <c r="I31" s="24">
        <v>3029.143</v>
      </c>
      <c r="J31" s="24">
        <v>2991.8440000000001</v>
      </c>
      <c r="K31" s="24">
        <v>3050.7240000000002</v>
      </c>
      <c r="L31" s="24">
        <v>3018.1909999999998</v>
      </c>
      <c r="M31" s="24">
        <v>4043.8760000000002</v>
      </c>
      <c r="N31" s="24">
        <v>3931.63</v>
      </c>
      <c r="O31" s="24">
        <v>3906.721</v>
      </c>
      <c r="P31" s="24">
        <v>3945.8890000000001</v>
      </c>
      <c r="Q31" s="24">
        <v>3859.11</v>
      </c>
      <c r="R31" s="24">
        <v>3775.442</v>
      </c>
      <c r="S31" s="24">
        <v>3868.835</v>
      </c>
      <c r="T31" s="24">
        <v>3966.7979999999998</v>
      </c>
      <c r="U31" s="24">
        <v>3959.5720000000001</v>
      </c>
      <c r="V31" s="24"/>
      <c r="W31" s="24"/>
      <c r="X31" s="24"/>
      <c r="Y31" s="24"/>
      <c r="Z31" s="24"/>
      <c r="AA31" s="24"/>
      <c r="AB31" s="24">
        <v>225.178</v>
      </c>
      <c r="AC31" s="24">
        <v>246.37700000000001</v>
      </c>
      <c r="AD31" s="24">
        <v>272.54000000000002</v>
      </c>
      <c r="AE31" s="24">
        <v>262.06299999999999</v>
      </c>
      <c r="AF31" s="24">
        <v>2743.2350000000001</v>
      </c>
      <c r="AG31" s="24">
        <v>2588.9209999999998</v>
      </c>
      <c r="AH31" s="24">
        <v>2814.0940000000001</v>
      </c>
      <c r="AI31" s="24">
        <v>2906.989</v>
      </c>
      <c r="AJ31" s="24">
        <v>3931.63</v>
      </c>
      <c r="AK31" s="24">
        <v>3906.721</v>
      </c>
      <c r="AL31" s="24">
        <v>3868.835</v>
      </c>
    </row>
    <row r="32" spans="2:51" x14ac:dyDescent="0.25">
      <c r="C32" s="1" t="s">
        <v>86</v>
      </c>
      <c r="D32" s="24">
        <v>224.773</v>
      </c>
      <c r="E32" s="24">
        <v>241.828</v>
      </c>
      <c r="F32" s="24">
        <v>249.018</v>
      </c>
      <c r="G32" s="24">
        <v>246.61699999999999</v>
      </c>
      <c r="H32" s="24">
        <v>234.01</v>
      </c>
      <c r="I32" s="24">
        <v>257.44900000000001</v>
      </c>
      <c r="J32" s="24">
        <v>218.536</v>
      </c>
      <c r="K32" s="24">
        <v>253.91</v>
      </c>
      <c r="L32" s="24">
        <v>147.75299999999999</v>
      </c>
      <c r="M32" s="24">
        <v>79.962999999999994</v>
      </c>
      <c r="N32" s="24">
        <v>68.682000000000002</v>
      </c>
      <c r="O32" s="24">
        <v>75.56</v>
      </c>
      <c r="P32" s="24">
        <v>72.120999999999995</v>
      </c>
      <c r="Q32" s="24">
        <v>60.701999999999998</v>
      </c>
      <c r="R32" s="24">
        <v>62.298999999999999</v>
      </c>
      <c r="S32" s="24">
        <v>57.83</v>
      </c>
      <c r="T32" s="24">
        <v>62.466999999999999</v>
      </c>
      <c r="U32" s="24">
        <v>66.86</v>
      </c>
      <c r="V32" s="24"/>
      <c r="W32" s="24"/>
      <c r="X32" s="24"/>
      <c r="Y32" s="24"/>
      <c r="Z32" s="24"/>
      <c r="AA32" s="24"/>
      <c r="AB32" s="24">
        <v>5.2110000000000003</v>
      </c>
      <c r="AC32" s="24">
        <v>2.234</v>
      </c>
      <c r="AD32" s="24">
        <v>25.175000000000001</v>
      </c>
      <c r="AE32" s="24">
        <v>166.952</v>
      </c>
      <c r="AF32" s="24">
        <v>151.26599999999999</v>
      </c>
      <c r="AG32" s="24">
        <v>168.886</v>
      </c>
      <c r="AH32" s="24">
        <v>195.29400000000001</v>
      </c>
      <c r="AI32" s="24">
        <v>246.61699999999999</v>
      </c>
      <c r="AJ32" s="24">
        <v>68.682000000000002</v>
      </c>
      <c r="AK32" s="24">
        <v>75.56</v>
      </c>
      <c r="AL32" s="24">
        <v>57.83</v>
      </c>
    </row>
    <row r="33" spans="3:38" x14ac:dyDescent="0.25">
      <c r="C33" s="1" t="s">
        <v>87</v>
      </c>
      <c r="D33" s="24">
        <v>2350.732</v>
      </c>
      <c r="E33" s="24">
        <v>2234.9969999999998</v>
      </c>
      <c r="F33" s="24">
        <v>2607.8029999999999</v>
      </c>
      <c r="G33" s="24">
        <v>2383.837</v>
      </c>
      <c r="H33" s="24">
        <v>2499.3890000000001</v>
      </c>
      <c r="I33" s="24">
        <v>2254.3130000000001</v>
      </c>
      <c r="J33" s="24">
        <v>2364.0700000000002</v>
      </c>
      <c r="K33" s="24">
        <v>2142.6990000000001</v>
      </c>
      <c r="L33" s="24">
        <v>2296.768</v>
      </c>
      <c r="M33" s="24">
        <v>3133.4079999999999</v>
      </c>
      <c r="N33" s="24">
        <v>3535.9029999999998</v>
      </c>
      <c r="O33" s="24">
        <v>3292.2890000000002</v>
      </c>
      <c r="P33" s="24">
        <v>3714.4189999999999</v>
      </c>
      <c r="Q33" s="24">
        <v>3581.203</v>
      </c>
      <c r="R33" s="24">
        <v>3883.1019999999999</v>
      </c>
      <c r="S33" s="24">
        <v>3580.8589999999999</v>
      </c>
      <c r="T33" s="24">
        <v>3717.8580000000002</v>
      </c>
      <c r="U33" s="24">
        <v>3369.8420000000001</v>
      </c>
      <c r="V33" s="24"/>
      <c r="W33" s="24"/>
      <c r="X33" s="24"/>
      <c r="Y33" s="24"/>
      <c r="Z33" s="24"/>
      <c r="AA33" s="24"/>
      <c r="AB33" s="24">
        <v>1109.1890000000001</v>
      </c>
      <c r="AC33" s="24">
        <v>1324.1030000000001</v>
      </c>
      <c r="AD33" s="24">
        <v>1368.3610000000001</v>
      </c>
      <c r="AE33" s="24">
        <v>1573.2329999999999</v>
      </c>
      <c r="AF33" s="24">
        <v>1550.3309999999999</v>
      </c>
      <c r="AG33" s="24">
        <v>1633.9269999999999</v>
      </c>
      <c r="AH33" s="24">
        <v>1997.3119999999999</v>
      </c>
      <c r="AI33" s="24">
        <v>2383.837</v>
      </c>
      <c r="AJ33" s="24">
        <v>3535.9029999999998</v>
      </c>
      <c r="AK33" s="24">
        <v>3292.2890000000002</v>
      </c>
      <c r="AL33" s="24">
        <v>3580.8589999999999</v>
      </c>
    </row>
    <row r="34" spans="3:38" x14ac:dyDescent="0.25">
      <c r="C34" s="1" t="s">
        <v>88</v>
      </c>
      <c r="D34" s="24">
        <v>145.80099999999999</v>
      </c>
      <c r="E34" s="24">
        <v>140.499</v>
      </c>
      <c r="F34" s="24">
        <v>137.58099999999999</v>
      </c>
      <c r="G34" s="24">
        <v>215.17500000000001</v>
      </c>
      <c r="H34" s="24">
        <v>157.95599999999999</v>
      </c>
      <c r="I34" s="24">
        <v>148.09</v>
      </c>
      <c r="J34" s="24">
        <v>145.90899999999999</v>
      </c>
      <c r="K34" s="24">
        <v>217.673</v>
      </c>
      <c r="L34" s="24">
        <v>170.839</v>
      </c>
      <c r="M34" s="24">
        <v>218.93100000000001</v>
      </c>
      <c r="N34" s="24">
        <v>185.87</v>
      </c>
      <c r="O34" s="24">
        <v>226.92099999999999</v>
      </c>
      <c r="P34" s="24">
        <v>184.304</v>
      </c>
      <c r="Q34" s="24">
        <v>146.994</v>
      </c>
      <c r="R34" s="24">
        <v>188.65600000000001</v>
      </c>
      <c r="S34" s="24">
        <v>218.51499999999999</v>
      </c>
      <c r="T34" s="24">
        <v>225.39599999999999</v>
      </c>
      <c r="U34" s="24">
        <v>204.43899999999999</v>
      </c>
      <c r="V34" s="24"/>
      <c r="W34" s="24"/>
      <c r="X34" s="24"/>
      <c r="Y34" s="24"/>
      <c r="Z34" s="24"/>
      <c r="AA34" s="24"/>
      <c r="AB34" s="24">
        <v>239.62700000000001</v>
      </c>
      <c r="AC34" s="24">
        <v>203.346</v>
      </c>
      <c r="AD34" s="24">
        <v>207.755</v>
      </c>
      <c r="AE34" s="24">
        <v>185.71199999999999</v>
      </c>
      <c r="AF34" s="24">
        <v>181.774</v>
      </c>
      <c r="AG34" s="24">
        <v>195.28700000000001</v>
      </c>
      <c r="AH34" s="24">
        <v>215.48</v>
      </c>
      <c r="AI34" s="24">
        <v>215.17500000000001</v>
      </c>
      <c r="AJ34" s="24">
        <v>185.87</v>
      </c>
      <c r="AK34" s="24">
        <v>226.92099999999999</v>
      </c>
      <c r="AL34" s="24">
        <v>218.51499999999999</v>
      </c>
    </row>
    <row r="35" spans="3:38" x14ac:dyDescent="0.25">
      <c r="C35" s="1" t="s">
        <v>89</v>
      </c>
      <c r="D35" s="24">
        <v>93.643000000000001</v>
      </c>
      <c r="E35" s="24">
        <v>133.047</v>
      </c>
      <c r="F35" s="24">
        <v>172.364</v>
      </c>
      <c r="G35" s="24">
        <v>132.863</v>
      </c>
      <c r="H35" s="24">
        <v>101.58499999999999</v>
      </c>
      <c r="I35" s="24">
        <v>98.128</v>
      </c>
      <c r="J35" s="24">
        <v>122.98699999999999</v>
      </c>
      <c r="K35" s="24">
        <v>109.848</v>
      </c>
      <c r="L35" s="24">
        <v>100.407</v>
      </c>
      <c r="M35" s="24">
        <v>149.893</v>
      </c>
      <c r="N35" s="24">
        <v>153.41900000000001</v>
      </c>
      <c r="O35" s="24">
        <v>214.941</v>
      </c>
      <c r="P35" s="24">
        <v>166.1</v>
      </c>
      <c r="Q35" s="24">
        <v>180.62200000000001</v>
      </c>
      <c r="R35" s="24">
        <v>196.27799999999999</v>
      </c>
      <c r="S35" s="24">
        <v>253.14099999999999</v>
      </c>
      <c r="T35" s="24">
        <v>182.518</v>
      </c>
      <c r="U35" s="24">
        <v>206.62</v>
      </c>
      <c r="V35" s="24"/>
      <c r="W35" s="24"/>
      <c r="X35" s="24"/>
      <c r="Y35" s="24"/>
      <c r="Z35" s="24"/>
      <c r="AA35" s="24"/>
      <c r="AB35" s="24">
        <v>56.877000000000002</v>
      </c>
      <c r="AC35" s="24">
        <v>66.539000000000001</v>
      </c>
      <c r="AD35" s="24">
        <v>63.585999999999999</v>
      </c>
      <c r="AE35" s="24">
        <v>101.72199999999999</v>
      </c>
      <c r="AF35" s="24">
        <v>76.417000000000002</v>
      </c>
      <c r="AG35" s="24">
        <v>87.816000000000003</v>
      </c>
      <c r="AH35" s="24">
        <v>116.551</v>
      </c>
      <c r="AI35" s="24">
        <v>132.863</v>
      </c>
      <c r="AJ35" s="24">
        <v>153.41900000000001</v>
      </c>
      <c r="AK35" s="24">
        <v>214.941</v>
      </c>
      <c r="AL35" s="24">
        <v>253.14099999999999</v>
      </c>
    </row>
    <row r="36" spans="3:38" x14ac:dyDescent="0.25">
      <c r="C36" s="1" t="s">
        <v>90</v>
      </c>
      <c r="D36" s="24">
        <v>0</v>
      </c>
      <c r="E36" s="24">
        <v>0</v>
      </c>
      <c r="F36" s="24">
        <v>0</v>
      </c>
      <c r="G36" s="24">
        <v>464.488</v>
      </c>
      <c r="H36" s="24">
        <v>0</v>
      </c>
      <c r="I36" s="24">
        <v>0</v>
      </c>
      <c r="J36" s="24">
        <v>81.195999999999998</v>
      </c>
      <c r="K36" s="24">
        <v>676.32299999999998</v>
      </c>
      <c r="L36" s="24">
        <v>186.279</v>
      </c>
      <c r="M36" s="24">
        <v>129.30600000000001</v>
      </c>
      <c r="N36" s="24">
        <v>94.453999999999994</v>
      </c>
      <c r="O36" s="24">
        <v>603.36199999999997</v>
      </c>
      <c r="P36" s="24">
        <v>146.88</v>
      </c>
      <c r="Q36" s="24">
        <v>329.44</v>
      </c>
      <c r="R36" s="24">
        <v>356.38</v>
      </c>
      <c r="S36" s="24">
        <v>988.12199999999996</v>
      </c>
      <c r="T36" s="24">
        <v>607.28599999999994</v>
      </c>
      <c r="U36" s="24">
        <v>830.03399999999999</v>
      </c>
      <c r="V36" s="24"/>
      <c r="W36" s="24"/>
      <c r="X36" s="24"/>
      <c r="Y36" s="24"/>
      <c r="Z36" s="24"/>
      <c r="AA36" s="24"/>
      <c r="AB36" s="24">
        <v>447.11599999999999</v>
      </c>
      <c r="AC36" s="24">
        <v>576.96400000000006</v>
      </c>
      <c r="AD36" s="24">
        <v>581.66300000000001</v>
      </c>
      <c r="AE36" s="24">
        <v>426.96699999999998</v>
      </c>
      <c r="AF36" s="24">
        <v>568.03599999999994</v>
      </c>
      <c r="AG36" s="24">
        <v>540.05600000000004</v>
      </c>
      <c r="AH36" s="24">
        <v>570.28599999999994</v>
      </c>
      <c r="AI36" s="24">
        <v>464.488</v>
      </c>
      <c r="AJ36" s="24">
        <v>94.453999999999994</v>
      </c>
      <c r="AK36" s="24">
        <v>603.36199999999997</v>
      </c>
      <c r="AL36" s="24">
        <v>988.12199999999996</v>
      </c>
    </row>
    <row r="37" spans="3:38" x14ac:dyDescent="0.25">
      <c r="C37" s="9" t="s">
        <v>91</v>
      </c>
      <c r="D37" s="23">
        <f t="shared" ref="D37:Q37" si="66">SUM(D30:D36)</f>
        <v>8359.9449999999997</v>
      </c>
      <c r="E37" s="23">
        <f t="shared" ref="E37" si="67">SUM(E30:E36)</f>
        <v>8349.6400000000012</v>
      </c>
      <c r="F37" s="23">
        <f t="shared" si="66"/>
        <v>8839.8389999999999</v>
      </c>
      <c r="G37" s="23">
        <f t="shared" si="66"/>
        <v>9225.2569999999978</v>
      </c>
      <c r="H37" s="23">
        <f t="shared" si="66"/>
        <v>8951.4539999999997</v>
      </c>
      <c r="I37" s="23">
        <f t="shared" si="66"/>
        <v>8661.0240000000013</v>
      </c>
      <c r="J37" s="23">
        <f t="shared" si="66"/>
        <v>8792.4669999999987</v>
      </c>
      <c r="K37" s="23">
        <f t="shared" si="66"/>
        <v>9312.215000000002</v>
      </c>
      <c r="L37" s="23">
        <f t="shared" si="66"/>
        <v>8775.8569999999982</v>
      </c>
      <c r="M37" s="23">
        <f t="shared" si="66"/>
        <v>10784.199000000001</v>
      </c>
      <c r="N37" s="23">
        <f t="shared" si="66"/>
        <v>10998.918</v>
      </c>
      <c r="O37" s="23">
        <f t="shared" si="66"/>
        <v>11544.878000000001</v>
      </c>
      <c r="P37" s="23">
        <f t="shared" si="66"/>
        <v>11490.673999999999</v>
      </c>
      <c r="Q37" s="23">
        <f t="shared" si="66"/>
        <v>11428.039000000001</v>
      </c>
      <c r="R37" s="23">
        <f>SUM(R30:R36)</f>
        <v>11731.078</v>
      </c>
      <c r="S37" s="23">
        <f t="shared" ref="S37:V37" si="68">SUM(S30:S36)</f>
        <v>12231.330999999998</v>
      </c>
      <c r="T37" s="23">
        <f t="shared" si="68"/>
        <v>11995.41</v>
      </c>
      <c r="U37" s="23">
        <f t="shared" si="68"/>
        <v>11865.300000000001</v>
      </c>
      <c r="V37" s="23">
        <f t="shared" si="68"/>
        <v>0</v>
      </c>
      <c r="W37" s="23">
        <f>SUM(W30:W36)</f>
        <v>0</v>
      </c>
      <c r="X37" s="23"/>
      <c r="Y37" s="23"/>
      <c r="Z37" s="24"/>
      <c r="AA37" s="24"/>
      <c r="AB37" s="23">
        <f t="shared" ref="AB37:AH37" si="69">SUM(AB30:AB36)</f>
        <v>4094.0019999999995</v>
      </c>
      <c r="AC37" s="23">
        <f t="shared" si="69"/>
        <v>4436.4670000000006</v>
      </c>
      <c r="AD37" s="23">
        <f t="shared" si="69"/>
        <v>4548.3770000000004</v>
      </c>
      <c r="AE37" s="23">
        <f t="shared" si="69"/>
        <v>4757.3370000000004</v>
      </c>
      <c r="AF37" s="23">
        <f t="shared" si="69"/>
        <v>7315.728000000001</v>
      </c>
      <c r="AG37" s="23">
        <f t="shared" si="69"/>
        <v>7278.226999999999</v>
      </c>
      <c r="AH37" s="23">
        <f t="shared" si="69"/>
        <v>8639.0769999999993</v>
      </c>
      <c r="AI37" s="23">
        <f t="shared" ref="AI37" si="70">SUM(AI30:AI36)</f>
        <v>9225.2569999999978</v>
      </c>
      <c r="AJ37" s="23">
        <f t="shared" ref="AJ37" si="71">SUM(AJ30:AJ36)</f>
        <v>10998.918</v>
      </c>
      <c r="AK37" s="23">
        <f t="shared" ref="AK37" si="72">SUM(AK30:AK36)</f>
        <v>11544.878000000001</v>
      </c>
      <c r="AL37" s="23">
        <f t="shared" ref="AL37" si="73">SUM(AL30:AL36)</f>
        <v>12231.330999999998</v>
      </c>
    </row>
    <row r="38" spans="3:38" x14ac:dyDescent="0.25">
      <c r="C38" s="1" t="s">
        <v>92</v>
      </c>
      <c r="D38" s="24">
        <v>233.34200000000001</v>
      </c>
      <c r="E38" s="24">
        <v>233.34200000000001</v>
      </c>
      <c r="F38" s="24">
        <v>234.73699999999999</v>
      </c>
      <c r="G38" s="24">
        <v>234.738</v>
      </c>
      <c r="H38" s="24">
        <v>234.738</v>
      </c>
      <c r="I38" s="24">
        <v>234.738</v>
      </c>
      <c r="J38" s="24">
        <v>235.17099999999999</v>
      </c>
      <c r="K38" s="24">
        <v>235.17099999999999</v>
      </c>
      <c r="L38" s="24">
        <v>235.17099999999999</v>
      </c>
      <c r="M38" s="24">
        <v>308.34100000000001</v>
      </c>
      <c r="N38" s="24">
        <v>308.34100000000001</v>
      </c>
      <c r="O38" s="24">
        <v>308.34100000000001</v>
      </c>
      <c r="P38" s="24">
        <v>308.34100000000001</v>
      </c>
      <c r="Q38" s="24">
        <v>308.34100000000001</v>
      </c>
      <c r="R38" s="24">
        <v>308.34100000000001</v>
      </c>
      <c r="S38" s="24">
        <v>308.34100000000001</v>
      </c>
      <c r="T38" s="24">
        <v>308.34100000000001</v>
      </c>
      <c r="U38" s="24">
        <v>308.34100000000001</v>
      </c>
      <c r="V38" s="24"/>
      <c r="W38" s="24"/>
      <c r="X38" s="24"/>
      <c r="Y38" s="24"/>
      <c r="Z38" s="24"/>
      <c r="AA38" s="24"/>
      <c r="AB38" s="24">
        <v>1070.162</v>
      </c>
      <c r="AC38" s="24">
        <v>836.40599999999995</v>
      </c>
      <c r="AD38" s="24">
        <v>502.46800000000002</v>
      </c>
      <c r="AE38" s="24">
        <v>213.251</v>
      </c>
      <c r="AF38" s="24">
        <v>234.946</v>
      </c>
      <c r="AG38" s="24">
        <v>229.946</v>
      </c>
      <c r="AH38" s="24">
        <v>233.34200000000001</v>
      </c>
      <c r="AI38" s="24">
        <v>234.738</v>
      </c>
      <c r="AJ38" s="24">
        <v>308.34100000000001</v>
      </c>
      <c r="AK38" s="24">
        <v>308.34100000000001</v>
      </c>
      <c r="AL38" s="24">
        <v>308.34100000000001</v>
      </c>
    </row>
    <row r="39" spans="3:38" x14ac:dyDescent="0.25">
      <c r="C39" s="1" t="s">
        <v>93</v>
      </c>
      <c r="D39" s="24">
        <v>2474.424</v>
      </c>
      <c r="E39" s="24">
        <v>2156.1669999999999</v>
      </c>
      <c r="F39" s="24">
        <v>2300.8090000000002</v>
      </c>
      <c r="G39" s="24">
        <v>2725.7829999999999</v>
      </c>
      <c r="H39" s="24">
        <v>3075.4250000000002</v>
      </c>
      <c r="I39" s="24">
        <v>2731.4380000000001</v>
      </c>
      <c r="J39" s="24">
        <v>2875.029</v>
      </c>
      <c r="K39" s="24">
        <v>3325.6419999999998</v>
      </c>
      <c r="L39" s="24">
        <v>3372.8580000000002</v>
      </c>
      <c r="M39" s="24">
        <v>3216.7429999999999</v>
      </c>
      <c r="N39" s="24">
        <v>3314.4169999999999</v>
      </c>
      <c r="O39" s="24">
        <v>3749.2069999999999</v>
      </c>
      <c r="P39" s="24">
        <v>3673.9679999999998</v>
      </c>
      <c r="Q39" s="24">
        <v>3379.027</v>
      </c>
      <c r="R39" s="24">
        <v>3532.6529999999998</v>
      </c>
      <c r="S39" s="24">
        <v>4008.598</v>
      </c>
      <c r="T39" s="24">
        <v>3987.5619999999999</v>
      </c>
      <c r="U39" s="24">
        <v>3616.6480000000001</v>
      </c>
      <c r="V39" s="24"/>
      <c r="W39" s="24"/>
      <c r="X39" s="24"/>
      <c r="Y39" s="24"/>
      <c r="Z39" s="24"/>
      <c r="AA39" s="24"/>
      <c r="AB39" s="24">
        <v>458.30500000000001</v>
      </c>
      <c r="AC39" s="24">
        <v>871.96600000000001</v>
      </c>
      <c r="AD39" s="24">
        <v>1261.7650000000001</v>
      </c>
      <c r="AE39" s="24">
        <v>1575.6769999999999</v>
      </c>
      <c r="AF39" s="24">
        <v>1742.923</v>
      </c>
      <c r="AG39" s="24">
        <v>1983.662</v>
      </c>
      <c r="AH39" s="24">
        <v>2386.7040000000002</v>
      </c>
      <c r="AI39" s="24">
        <v>2725.7829999999999</v>
      </c>
      <c r="AJ39" s="24">
        <v>3314.4169999999999</v>
      </c>
      <c r="AK39" s="24">
        <v>3749.2069999999999</v>
      </c>
      <c r="AL39" s="24">
        <v>4008.598</v>
      </c>
    </row>
    <row r="40" spans="3:38" x14ac:dyDescent="0.25">
      <c r="C40" s="1" t="s">
        <v>94</v>
      </c>
      <c r="D40" s="24">
        <v>253.357</v>
      </c>
      <c r="E40" s="24">
        <v>255.95699999999999</v>
      </c>
      <c r="F40" s="24">
        <v>300.74599999999998</v>
      </c>
      <c r="G40" s="24">
        <v>322.08199999999999</v>
      </c>
      <c r="H40" s="24">
        <v>50.725999999999999</v>
      </c>
      <c r="I40" s="24">
        <v>49.962000000000003</v>
      </c>
      <c r="J40" s="24">
        <v>49.552</v>
      </c>
      <c r="K40" s="24">
        <v>50.616999999999997</v>
      </c>
      <c r="L40" s="24">
        <v>50.564</v>
      </c>
      <c r="M40" s="24">
        <v>50.316000000000003</v>
      </c>
      <c r="N40" s="24">
        <v>60.087000000000003</v>
      </c>
      <c r="O40" s="24">
        <v>51.298999999999999</v>
      </c>
      <c r="P40" s="24">
        <v>45.896000000000001</v>
      </c>
      <c r="Q40" s="24">
        <v>45.832999999999998</v>
      </c>
      <c r="R40" s="24">
        <v>45.561</v>
      </c>
      <c r="S40" s="24">
        <v>47.11</v>
      </c>
      <c r="T40" s="24">
        <v>47.658000000000001</v>
      </c>
      <c r="U40" s="24">
        <v>47.402000000000001</v>
      </c>
      <c r="V40" s="24"/>
      <c r="W40" s="24"/>
      <c r="X40" s="24"/>
      <c r="Y40" s="24"/>
      <c r="Z40" s="24"/>
      <c r="AA40" s="24"/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268.68</v>
      </c>
      <c r="AI40" s="24">
        <v>322.08199999999999</v>
      </c>
      <c r="AJ40" s="24">
        <v>60.087000000000003</v>
      </c>
      <c r="AK40" s="24">
        <v>51.298999999999999</v>
      </c>
      <c r="AL40" s="24">
        <v>47.11</v>
      </c>
    </row>
    <row r="41" spans="3:38" x14ac:dyDescent="0.25">
      <c r="C41" s="10" t="s">
        <v>95</v>
      </c>
      <c r="D41" s="26">
        <f t="shared" ref="D41:Q41" si="74">SUM(D38:D40)</f>
        <v>2961.123</v>
      </c>
      <c r="E41" s="26">
        <f t="shared" ref="E41" si="75">SUM(E38:E40)</f>
        <v>2645.4659999999999</v>
      </c>
      <c r="F41" s="26">
        <f t="shared" si="74"/>
        <v>2836.2920000000004</v>
      </c>
      <c r="G41" s="26">
        <f t="shared" si="74"/>
        <v>3282.6029999999996</v>
      </c>
      <c r="H41" s="26">
        <f t="shared" si="74"/>
        <v>3360.8890000000001</v>
      </c>
      <c r="I41" s="26">
        <f t="shared" si="74"/>
        <v>3016.1379999999999</v>
      </c>
      <c r="J41" s="26">
        <f t="shared" si="74"/>
        <v>3159.752</v>
      </c>
      <c r="K41" s="26">
        <f t="shared" si="74"/>
        <v>3611.43</v>
      </c>
      <c r="L41" s="26">
        <f t="shared" si="74"/>
        <v>3658.5929999999998</v>
      </c>
      <c r="M41" s="26">
        <f t="shared" si="74"/>
        <v>3575.3999999999996</v>
      </c>
      <c r="N41" s="26">
        <f t="shared" si="74"/>
        <v>3682.8449999999998</v>
      </c>
      <c r="O41" s="26">
        <f t="shared" si="74"/>
        <v>4108.8469999999998</v>
      </c>
      <c r="P41" s="26">
        <f t="shared" si="74"/>
        <v>4028.2049999999999</v>
      </c>
      <c r="Q41" s="26">
        <f t="shared" si="74"/>
        <v>3733.201</v>
      </c>
      <c r="R41" s="26">
        <f>SUM(R38:R40)</f>
        <v>3886.5549999999998</v>
      </c>
      <c r="S41" s="26">
        <f t="shared" ref="S41:W41" si="76">SUM(S38:S40)</f>
        <v>4364.049</v>
      </c>
      <c r="T41" s="26">
        <f t="shared" si="76"/>
        <v>4343.5610000000006</v>
      </c>
      <c r="U41" s="26">
        <f t="shared" si="76"/>
        <v>3972.3910000000001</v>
      </c>
      <c r="V41" s="26">
        <f t="shared" si="76"/>
        <v>0</v>
      </c>
      <c r="W41" s="26">
        <f t="shared" si="76"/>
        <v>0</v>
      </c>
      <c r="X41" s="26"/>
      <c r="Y41" s="26"/>
      <c r="Z41" s="26"/>
      <c r="AA41" s="24"/>
      <c r="AB41" s="26">
        <f t="shared" ref="AB41:AH41" si="77">SUM(AB38:AB40)</f>
        <v>1528.4670000000001</v>
      </c>
      <c r="AC41" s="26">
        <f t="shared" si="77"/>
        <v>1708.3719999999998</v>
      </c>
      <c r="AD41" s="26">
        <f t="shared" si="77"/>
        <v>1764.2330000000002</v>
      </c>
      <c r="AE41" s="26">
        <f t="shared" si="77"/>
        <v>1788.9279999999999</v>
      </c>
      <c r="AF41" s="26">
        <f t="shared" si="77"/>
        <v>1977.8689999999999</v>
      </c>
      <c r="AG41" s="26">
        <f t="shared" si="77"/>
        <v>2213.6080000000002</v>
      </c>
      <c r="AH41" s="26">
        <f t="shared" si="77"/>
        <v>2888.7260000000001</v>
      </c>
      <c r="AI41" s="26">
        <f t="shared" ref="AI41" si="78">SUM(AI38:AI40)</f>
        <v>3282.6029999999996</v>
      </c>
      <c r="AJ41" s="26">
        <f t="shared" ref="AJ41" si="79">SUM(AJ38:AJ40)</f>
        <v>3682.8449999999998</v>
      </c>
      <c r="AK41" s="26">
        <f t="shared" ref="AK41" si="80">SUM(AK38:AK40)</f>
        <v>4108.8469999999998</v>
      </c>
      <c r="AL41" s="26">
        <f t="shared" ref="AL41" si="81">SUM(AL38:AL40)</f>
        <v>4364.049</v>
      </c>
    </row>
    <row r="42" spans="3:38" x14ac:dyDescent="0.25">
      <c r="C42" s="1" t="s">
        <v>96</v>
      </c>
      <c r="D42" s="24">
        <v>79.897999999999996</v>
      </c>
      <c r="E42" s="24">
        <v>170.86600000000001</v>
      </c>
      <c r="F42" s="24">
        <v>222.65299999999999</v>
      </c>
      <c r="G42" s="24">
        <v>57.622</v>
      </c>
      <c r="H42" s="24">
        <v>79.58</v>
      </c>
      <c r="I42" s="24">
        <v>152.92099999999999</v>
      </c>
      <c r="J42" s="24">
        <v>194.61099999999999</v>
      </c>
      <c r="K42" s="24">
        <v>46.703000000000003</v>
      </c>
      <c r="L42" s="24">
        <v>62.506999999999998</v>
      </c>
      <c r="M42" s="24">
        <v>77</v>
      </c>
      <c r="N42" s="24">
        <v>95.972999999999999</v>
      </c>
      <c r="O42" s="24">
        <v>56.06</v>
      </c>
      <c r="P42" s="24">
        <v>64.02</v>
      </c>
      <c r="Q42" s="24">
        <v>153.096</v>
      </c>
      <c r="R42" s="24">
        <v>207.69800000000001</v>
      </c>
      <c r="S42" s="24">
        <v>40</v>
      </c>
      <c r="T42" s="24">
        <v>66.540999999999997</v>
      </c>
      <c r="U42" s="24">
        <v>149.80000000000001</v>
      </c>
      <c r="V42" s="24"/>
      <c r="W42" s="24"/>
      <c r="X42" s="24"/>
      <c r="Y42" s="24"/>
      <c r="Z42" s="24"/>
      <c r="AA42" s="24"/>
      <c r="AB42" s="24">
        <v>57.92</v>
      </c>
      <c r="AC42" s="24">
        <v>45.575000000000003</v>
      </c>
      <c r="AD42" s="24">
        <v>48.25</v>
      </c>
      <c r="AE42" s="24">
        <v>45.146000000000001</v>
      </c>
      <c r="AF42" s="24">
        <v>31.763000000000002</v>
      </c>
      <c r="AG42" s="24">
        <v>4.726</v>
      </c>
      <c r="AH42" s="24">
        <v>52.332000000000001</v>
      </c>
      <c r="AI42" s="24">
        <v>57.622</v>
      </c>
      <c r="AJ42" s="24">
        <v>95.972999999999999</v>
      </c>
      <c r="AK42" s="24">
        <v>56.06</v>
      </c>
      <c r="AL42" s="24">
        <v>40</v>
      </c>
    </row>
    <row r="43" spans="3:38" x14ac:dyDescent="0.25">
      <c r="C43" s="1" t="s">
        <v>106</v>
      </c>
      <c r="D43" s="24">
        <v>1089.0319999999999</v>
      </c>
      <c r="E43" s="24">
        <v>1092.7819999999999</v>
      </c>
      <c r="F43" s="24">
        <v>1092.97</v>
      </c>
      <c r="G43" s="24">
        <v>1085.3489999999999</v>
      </c>
      <c r="H43" s="24">
        <v>1083.9179999999999</v>
      </c>
      <c r="I43" s="24">
        <v>1083.4480000000001</v>
      </c>
      <c r="J43" s="24">
        <v>1082.0129999999999</v>
      </c>
      <c r="K43" s="24">
        <v>1041.8430000000001</v>
      </c>
      <c r="L43" s="24">
        <v>1021.9</v>
      </c>
      <c r="M43" s="24">
        <v>1020.455</v>
      </c>
      <c r="N43" s="24">
        <v>1019.072</v>
      </c>
      <c r="O43" s="24">
        <v>1018.516</v>
      </c>
      <c r="P43" s="24">
        <v>998.26599999999996</v>
      </c>
      <c r="Q43" s="24">
        <v>998.26599999999996</v>
      </c>
      <c r="R43" s="24">
        <v>998.26599999999996</v>
      </c>
      <c r="S43" s="24">
        <v>996.97199999999998</v>
      </c>
      <c r="T43" s="24">
        <v>998.375</v>
      </c>
      <c r="U43" s="24">
        <v>998.375</v>
      </c>
      <c r="V43" s="24"/>
      <c r="W43" s="24"/>
      <c r="X43" s="24"/>
      <c r="Y43" s="24"/>
      <c r="Z43" s="24"/>
      <c r="AA43" s="24"/>
      <c r="AB43" s="24">
        <v>1652.6510000000001</v>
      </c>
      <c r="AC43" s="24">
        <v>1648.146</v>
      </c>
      <c r="AD43" s="24">
        <v>1650.78</v>
      </c>
      <c r="AE43" s="24">
        <v>1649.4280000000001</v>
      </c>
      <c r="AF43" s="24">
        <v>14.28</v>
      </c>
      <c r="AG43" s="24">
        <v>995.08199999999999</v>
      </c>
      <c r="AH43" s="24">
        <v>1091.521</v>
      </c>
      <c r="AI43" s="24">
        <v>1085.3489999999999</v>
      </c>
      <c r="AJ43" s="24">
        <v>1019.072</v>
      </c>
      <c r="AK43" s="24">
        <v>1018.516</v>
      </c>
      <c r="AL43" s="24">
        <v>996.97199999999998</v>
      </c>
    </row>
    <row r="44" spans="3:38" x14ac:dyDescent="0.25">
      <c r="C44" s="1" t="s">
        <v>97</v>
      </c>
      <c r="D44" s="24">
        <v>1911.8689999999999</v>
      </c>
      <c r="E44" s="24">
        <v>1953.7539999999999</v>
      </c>
      <c r="F44" s="24">
        <v>1917.489</v>
      </c>
      <c r="G44" s="24">
        <v>2015.0329999999999</v>
      </c>
      <c r="H44" s="24">
        <v>2094.547</v>
      </c>
      <c r="I44" s="24">
        <v>2050.06</v>
      </c>
      <c r="J44" s="24">
        <v>2009.521</v>
      </c>
      <c r="K44" s="24">
        <v>2079.9969999999998</v>
      </c>
      <c r="L44" s="24">
        <v>2006.441</v>
      </c>
      <c r="M44" s="24">
        <v>2671.3139999999999</v>
      </c>
      <c r="N44" s="24">
        <v>2569.723</v>
      </c>
      <c r="O44" s="24">
        <v>2566.8629999999998</v>
      </c>
      <c r="P44" s="24">
        <v>2573.886</v>
      </c>
      <c r="Q44" s="24">
        <v>2499.6680000000001</v>
      </c>
      <c r="R44" s="24">
        <v>2448.366</v>
      </c>
      <c r="S44" s="24">
        <v>2520.9479999999999</v>
      </c>
      <c r="T44" s="24">
        <v>2551.413</v>
      </c>
      <c r="U44" s="24">
        <v>2502.7840000000001</v>
      </c>
      <c r="V44" s="24"/>
      <c r="W44" s="24"/>
      <c r="X44" s="24"/>
      <c r="Y44" s="24"/>
      <c r="Z44" s="24"/>
      <c r="AA44" s="24"/>
      <c r="AB44" s="24">
        <v>0</v>
      </c>
      <c r="AC44" s="24">
        <v>0</v>
      </c>
      <c r="AD44" s="24">
        <v>0</v>
      </c>
      <c r="AE44" s="24">
        <v>0</v>
      </c>
      <c r="AF44" s="24">
        <v>2003.9929999999999</v>
      </c>
      <c r="AG44" s="24">
        <v>1850.5609999999999</v>
      </c>
      <c r="AH44" s="24">
        <v>1913.5550000000001</v>
      </c>
      <c r="AI44" s="24">
        <v>2015.0329999999999</v>
      </c>
      <c r="AJ44" s="24">
        <v>2569.723</v>
      </c>
      <c r="AK44" s="24">
        <v>2566.8629999999998</v>
      </c>
      <c r="AL44" s="24">
        <v>2520.9479999999999</v>
      </c>
    </row>
    <row r="45" spans="3:38" x14ac:dyDescent="0.25">
      <c r="C45" s="1" t="s">
        <v>107</v>
      </c>
      <c r="D45" s="24">
        <v>10.868</v>
      </c>
      <c r="E45" s="24">
        <v>382.59800000000001</v>
      </c>
      <c r="F45" s="24">
        <v>423.99799999999999</v>
      </c>
      <c r="G45" s="24">
        <v>5</v>
      </c>
      <c r="H45" s="24">
        <v>345.911</v>
      </c>
      <c r="I45" s="24">
        <v>533.14099999999996</v>
      </c>
      <c r="J45" s="24">
        <v>255</v>
      </c>
      <c r="K45" s="24">
        <v>5</v>
      </c>
      <c r="L45" s="24">
        <v>5</v>
      </c>
      <c r="M45" s="24">
        <v>628.67899999999997</v>
      </c>
      <c r="N45" s="24">
        <v>689.38699999999994</v>
      </c>
      <c r="O45" s="24">
        <v>304.48</v>
      </c>
      <c r="P45" s="24">
        <v>669.60400000000004</v>
      </c>
      <c r="Q45" s="24">
        <v>1174.0139999999999</v>
      </c>
      <c r="R45" s="24">
        <v>1153.232</v>
      </c>
      <c r="S45" s="24">
        <v>849.28099999999995</v>
      </c>
      <c r="T45" s="24">
        <v>911.23099999999999</v>
      </c>
      <c r="U45" s="24">
        <v>1458.615</v>
      </c>
      <c r="V45" s="24"/>
      <c r="W45" s="24"/>
      <c r="X45" s="24"/>
      <c r="Y45" s="24"/>
      <c r="Z45" s="24"/>
      <c r="AA45" s="24"/>
      <c r="AB45" s="24">
        <v>0</v>
      </c>
      <c r="AC45" s="24">
        <v>0</v>
      </c>
      <c r="AD45" s="24">
        <v>0</v>
      </c>
      <c r="AE45" s="24">
        <v>0</v>
      </c>
      <c r="AF45" s="24">
        <v>1642.0070000000001</v>
      </c>
      <c r="AG45" s="24">
        <v>0</v>
      </c>
      <c r="AH45" s="24">
        <v>5</v>
      </c>
      <c r="AI45" s="24">
        <v>5</v>
      </c>
      <c r="AJ45" s="24">
        <v>689.38699999999994</v>
      </c>
      <c r="AK45" s="24">
        <v>304.48</v>
      </c>
      <c r="AL45" s="24">
        <v>849.28099999999995</v>
      </c>
    </row>
    <row r="46" spans="3:38" x14ac:dyDescent="0.25">
      <c r="C46" s="1" t="s">
        <v>98</v>
      </c>
      <c r="D46" s="24">
        <v>519.63199999999995</v>
      </c>
      <c r="E46" s="24">
        <v>525.17499999999995</v>
      </c>
      <c r="F46" s="24">
        <v>523.96199999999999</v>
      </c>
      <c r="G46" s="24">
        <v>521.95799999999997</v>
      </c>
      <c r="H46" s="24">
        <v>582.678</v>
      </c>
      <c r="I46" s="24">
        <v>584.21199999999999</v>
      </c>
      <c r="J46" s="24">
        <v>586.24800000000005</v>
      </c>
      <c r="K46" s="24">
        <v>588.62599999999998</v>
      </c>
      <c r="L46" s="24">
        <v>607.91</v>
      </c>
      <c r="M46" s="24">
        <v>905.75699999999995</v>
      </c>
      <c r="N46" s="24">
        <v>907.42100000000005</v>
      </c>
      <c r="O46" s="24">
        <v>893.01900000000001</v>
      </c>
      <c r="P46" s="24">
        <v>919.07</v>
      </c>
      <c r="Q46" s="24">
        <v>917.02099999999996</v>
      </c>
      <c r="R46" s="24">
        <v>896.78800000000001</v>
      </c>
      <c r="S46" s="24">
        <v>913.41</v>
      </c>
      <c r="T46" s="24">
        <v>950.54700000000003</v>
      </c>
      <c r="U46" s="24">
        <v>953.41800000000001</v>
      </c>
      <c r="V46" s="24"/>
      <c r="W46" s="24"/>
      <c r="X46" s="24"/>
      <c r="Y46" s="24"/>
      <c r="Z46" s="24"/>
      <c r="AA46" s="24"/>
      <c r="AB46" s="24">
        <v>0</v>
      </c>
      <c r="AC46" s="24">
        <v>0</v>
      </c>
      <c r="AD46" s="24">
        <v>0</v>
      </c>
      <c r="AE46" s="24">
        <v>0</v>
      </c>
      <c r="AF46" s="24">
        <v>414.08800000000002</v>
      </c>
      <c r="AG46" s="24">
        <v>473.73899999999998</v>
      </c>
      <c r="AH46" s="24">
        <v>490.16399999999999</v>
      </c>
      <c r="AI46" s="24">
        <v>521.95799999999997</v>
      </c>
      <c r="AJ46" s="24">
        <v>907.42100000000005</v>
      </c>
      <c r="AK46" s="24">
        <v>893.01900000000001</v>
      </c>
      <c r="AL46" s="24">
        <v>913.41</v>
      </c>
    </row>
    <row r="47" spans="3:38" x14ac:dyDescent="0.25">
      <c r="C47" s="1" t="s">
        <v>99</v>
      </c>
      <c r="D47" s="24">
        <v>780.81100000000004</v>
      </c>
      <c r="E47" s="24">
        <v>737.46199999999999</v>
      </c>
      <c r="F47" s="24">
        <v>843.5</v>
      </c>
      <c r="G47" s="24">
        <v>876.41899999999998</v>
      </c>
      <c r="H47" s="24">
        <v>645.22900000000004</v>
      </c>
      <c r="I47" s="24">
        <v>648.13599999999997</v>
      </c>
      <c r="J47" s="24">
        <v>869.02800000000002</v>
      </c>
      <c r="K47" s="24">
        <v>879.851</v>
      </c>
      <c r="L47" s="24">
        <v>782.81299999999999</v>
      </c>
      <c r="M47" s="24">
        <v>1098.578</v>
      </c>
      <c r="N47" s="24">
        <v>1207.827</v>
      </c>
      <c r="O47" s="24">
        <v>1255.066</v>
      </c>
      <c r="P47" s="24">
        <v>1197.9390000000001</v>
      </c>
      <c r="Q47" s="24">
        <v>1023.912</v>
      </c>
      <c r="R47" s="24">
        <v>1145.9860000000001</v>
      </c>
      <c r="S47" s="24">
        <v>1077.0640000000001</v>
      </c>
      <c r="T47" s="24">
        <v>1228.692</v>
      </c>
      <c r="U47" s="24">
        <v>951.07899999999995</v>
      </c>
      <c r="V47" s="24"/>
      <c r="W47" s="24"/>
      <c r="X47" s="24"/>
      <c r="Y47" s="24"/>
      <c r="Z47" s="24"/>
      <c r="AA47" s="24"/>
      <c r="AB47" s="24">
        <v>444.88799999999998</v>
      </c>
      <c r="AC47" s="24">
        <v>555.65099999999995</v>
      </c>
      <c r="AD47" s="24">
        <v>580.79499999999996</v>
      </c>
      <c r="AE47" s="24">
        <v>553.64300000000003</v>
      </c>
      <c r="AF47" s="24">
        <v>616.76900000000001</v>
      </c>
      <c r="AG47" s="24">
        <v>742.75300000000004</v>
      </c>
      <c r="AH47" s="24">
        <v>843.85400000000004</v>
      </c>
      <c r="AI47" s="24">
        <v>876.41899999999998</v>
      </c>
      <c r="AJ47" s="24">
        <v>1207.827</v>
      </c>
      <c r="AK47" s="24">
        <v>1255.066</v>
      </c>
      <c r="AL47" s="24">
        <v>1077.0640000000001</v>
      </c>
    </row>
    <row r="48" spans="3:38" x14ac:dyDescent="0.25">
      <c r="C48" s="1" t="s">
        <v>100</v>
      </c>
      <c r="D48" s="24">
        <v>183.21600000000001</v>
      </c>
      <c r="E48" s="24">
        <v>57.435000000000002</v>
      </c>
      <c r="F48" s="24">
        <v>73.164000000000001</v>
      </c>
      <c r="G48" s="24">
        <v>291.30500000000001</v>
      </c>
      <c r="H48" s="24">
        <v>120.381</v>
      </c>
      <c r="I48" s="24">
        <v>-1.383</v>
      </c>
      <c r="J48" s="24">
        <v>1.2949999999999999</v>
      </c>
      <c r="K48" s="24">
        <v>254.83799999999999</v>
      </c>
      <c r="L48" s="24">
        <v>118.02200000000001</v>
      </c>
      <c r="M48" s="24">
        <v>-0.47799999999999998</v>
      </c>
      <c r="N48" s="24">
        <v>-0.44800000000000001</v>
      </c>
      <c r="O48" s="24">
        <v>248.19300000000001</v>
      </c>
      <c r="P48" s="24">
        <v>125.89700000000001</v>
      </c>
      <c r="Q48" s="24">
        <v>0</v>
      </c>
      <c r="R48" s="24">
        <v>0.11</v>
      </c>
      <c r="S48" s="24">
        <v>298.42700000000002</v>
      </c>
      <c r="T48" s="24">
        <v>87.186999999999998</v>
      </c>
      <c r="U48" s="24">
        <v>50.957000000000001</v>
      </c>
      <c r="V48" s="24"/>
      <c r="W48" s="24"/>
      <c r="X48" s="24"/>
      <c r="Y48" s="24"/>
      <c r="Z48" s="24"/>
      <c r="AA48" s="24"/>
      <c r="AB48" s="24">
        <v>107.985</v>
      </c>
      <c r="AC48" s="24">
        <v>145.446</v>
      </c>
      <c r="AD48" s="24">
        <v>116.767</v>
      </c>
      <c r="AE48" s="24">
        <v>124.14</v>
      </c>
      <c r="AF48" s="24">
        <v>116.38</v>
      </c>
      <c r="AG48" s="24">
        <v>251.87899999999999</v>
      </c>
      <c r="AH48" s="24">
        <v>324.05700000000002</v>
      </c>
      <c r="AI48" s="24">
        <v>291.30500000000001</v>
      </c>
      <c r="AJ48" s="24">
        <v>-0.44800000000000001</v>
      </c>
      <c r="AK48" s="24">
        <v>248.19300000000001</v>
      </c>
      <c r="AL48" s="24">
        <v>298.42700000000002</v>
      </c>
    </row>
    <row r="49" spans="1:39" x14ac:dyDescent="0.25">
      <c r="C49" s="1" t="s">
        <v>101</v>
      </c>
      <c r="D49" s="24">
        <v>210.78800000000001</v>
      </c>
      <c r="E49" s="24">
        <v>260.92099999999999</v>
      </c>
      <c r="F49" s="24">
        <v>265.21699999999998</v>
      </c>
      <c r="G49" s="24">
        <v>393.68299999999999</v>
      </c>
      <c r="H49" s="24">
        <v>226.297</v>
      </c>
      <c r="I49" s="49">
        <v>305.96800000000002</v>
      </c>
      <c r="J49" s="24">
        <v>280.81599999999997</v>
      </c>
      <c r="K49" s="24">
        <v>396.59399999999999</v>
      </c>
      <c r="L49" s="24">
        <v>258.17500000000001</v>
      </c>
      <c r="M49" s="24">
        <v>303.61</v>
      </c>
      <c r="N49" s="24">
        <v>284.53899999999999</v>
      </c>
      <c r="O49" s="24">
        <v>417.65100000000001</v>
      </c>
      <c r="P49" s="24">
        <v>234.845</v>
      </c>
      <c r="Q49" s="24">
        <v>312.291</v>
      </c>
      <c r="R49" s="24">
        <v>346.86</v>
      </c>
      <c r="S49" s="24">
        <v>462.34800000000001</v>
      </c>
      <c r="T49" s="24">
        <v>246.239</v>
      </c>
      <c r="U49" s="24">
        <v>300.84899999999999</v>
      </c>
      <c r="V49" s="24"/>
      <c r="W49" s="24"/>
      <c r="X49" s="24"/>
      <c r="Y49" s="24"/>
      <c r="Z49" s="24"/>
      <c r="AA49" s="24"/>
      <c r="AB49" s="24">
        <v>127.154</v>
      </c>
      <c r="AC49" s="24">
        <v>149.167</v>
      </c>
      <c r="AD49" s="24">
        <v>205.279</v>
      </c>
      <c r="AE49" s="24">
        <v>251.54</v>
      </c>
      <c r="AF49" s="24">
        <v>243.072</v>
      </c>
      <c r="AG49" s="24">
        <v>323.51100000000002</v>
      </c>
      <c r="AH49" s="24">
        <v>376.02300000000002</v>
      </c>
      <c r="AI49" s="24">
        <v>393.68299999999999</v>
      </c>
      <c r="AJ49" s="24">
        <v>284.53899999999999</v>
      </c>
      <c r="AK49" s="24">
        <v>417.65100000000001</v>
      </c>
      <c r="AL49" s="24">
        <v>462.34800000000001</v>
      </c>
    </row>
    <row r="50" spans="1:39" x14ac:dyDescent="0.25">
      <c r="C50" s="1" t="s">
        <v>102</v>
      </c>
      <c r="D50" s="24">
        <v>246.52799999999999</v>
      </c>
      <c r="E50" s="24">
        <v>246.52799999999999</v>
      </c>
      <c r="F50" s="24">
        <v>290.06900000000002</v>
      </c>
      <c r="G50" s="24">
        <v>281.221</v>
      </c>
      <c r="H50" s="24">
        <v>43.540999999999997</v>
      </c>
      <c r="I50" s="24">
        <v>43.540999999999997</v>
      </c>
      <c r="J50" s="24">
        <v>43.540999999999997</v>
      </c>
      <c r="K50" s="24">
        <v>27.98</v>
      </c>
      <c r="L50" s="24">
        <v>27.98</v>
      </c>
      <c r="M50" s="24">
        <v>27.98</v>
      </c>
      <c r="N50" s="24">
        <v>27.98</v>
      </c>
      <c r="O50" s="24">
        <v>30.39</v>
      </c>
      <c r="P50" s="24">
        <v>30.39</v>
      </c>
      <c r="Q50" s="24">
        <v>30.39</v>
      </c>
      <c r="R50" s="24">
        <v>30.39</v>
      </c>
      <c r="S50" s="24">
        <v>27.802</v>
      </c>
      <c r="T50" s="24">
        <v>27.802</v>
      </c>
      <c r="U50" s="24">
        <v>27.802</v>
      </c>
      <c r="V50" s="24"/>
      <c r="W50" s="24"/>
      <c r="X50" s="24"/>
      <c r="Y50" s="24"/>
      <c r="Z50" s="24"/>
      <c r="AA50" s="24"/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246.52799999999999</v>
      </c>
      <c r="AI50" s="24">
        <v>281.221</v>
      </c>
      <c r="AJ50" s="24">
        <v>27.98</v>
      </c>
      <c r="AK50" s="24">
        <v>30.39</v>
      </c>
      <c r="AL50" s="24">
        <v>27.802</v>
      </c>
    </row>
    <row r="51" spans="1:39" x14ac:dyDescent="0.25">
      <c r="C51" s="1" t="s">
        <v>103</v>
      </c>
      <c r="D51" s="24">
        <v>366.17899999999997</v>
      </c>
      <c r="E51" s="24">
        <v>276.654</v>
      </c>
      <c r="F51" s="24">
        <v>350.52600000000001</v>
      </c>
      <c r="G51" s="24">
        <v>415.06299999999999</v>
      </c>
      <c r="H51" s="24">
        <v>368.48099999999999</v>
      </c>
      <c r="I51" s="24">
        <v>244.84200000000001</v>
      </c>
      <c r="J51" s="24">
        <v>310.64999999999998</v>
      </c>
      <c r="K51" s="24">
        <v>379.35300000000001</v>
      </c>
      <c r="L51" s="24">
        <v>328.30399999999997</v>
      </c>
      <c r="M51" s="24">
        <v>475.899</v>
      </c>
      <c r="N51" s="24">
        <v>524.601</v>
      </c>
      <c r="O51" s="24">
        <v>644.79200000000003</v>
      </c>
      <c r="P51" s="24">
        <v>648.64300000000003</v>
      </c>
      <c r="Q51" s="24">
        <v>586.17499999999995</v>
      </c>
      <c r="R51" s="24">
        <v>616.82899999999995</v>
      </c>
      <c r="S51" s="24">
        <v>681.01300000000003</v>
      </c>
      <c r="T51" s="24">
        <v>583.822</v>
      </c>
      <c r="U51" s="24">
        <v>499.23099999999999</v>
      </c>
      <c r="V51" s="24"/>
      <c r="W51" s="24"/>
      <c r="X51" s="24"/>
      <c r="Y51" s="24"/>
      <c r="Z51" s="24"/>
      <c r="AA51" s="24"/>
      <c r="AB51" s="24">
        <v>174.935</v>
      </c>
      <c r="AC51" s="24">
        <v>184.11</v>
      </c>
      <c r="AD51" s="24">
        <v>182.27500000000001</v>
      </c>
      <c r="AE51" s="24">
        <v>344.512</v>
      </c>
      <c r="AF51" s="24">
        <v>255.505</v>
      </c>
      <c r="AG51" s="24">
        <v>422.36799999999999</v>
      </c>
      <c r="AH51" s="24">
        <v>407.31900000000002</v>
      </c>
      <c r="AI51" s="24">
        <v>415.06299999999999</v>
      </c>
      <c r="AJ51" s="24">
        <v>524.601</v>
      </c>
      <c r="AK51" s="24">
        <v>644.79200000000003</v>
      </c>
      <c r="AL51" s="24">
        <v>681.01300000000003</v>
      </c>
    </row>
    <row r="52" spans="1:39" x14ac:dyDescent="0.25">
      <c r="C52" s="10" t="s">
        <v>104</v>
      </c>
      <c r="D52" s="26">
        <f t="shared" ref="D52:Q52" si="82">SUM(D42:D51)</f>
        <v>5398.8209999999999</v>
      </c>
      <c r="E52" s="26">
        <f t="shared" ref="E52" si="83">SUM(E42:E51)</f>
        <v>5704.1750000000011</v>
      </c>
      <c r="F52" s="26">
        <f t="shared" si="82"/>
        <v>6003.5479999999998</v>
      </c>
      <c r="G52" s="26">
        <f t="shared" si="82"/>
        <v>5942.6530000000002</v>
      </c>
      <c r="H52" s="26">
        <f t="shared" si="82"/>
        <v>5590.5630000000001</v>
      </c>
      <c r="I52" s="26">
        <f>SUM(I42:I51)</f>
        <v>5644.8859999999995</v>
      </c>
      <c r="J52" s="26">
        <f t="shared" si="82"/>
        <v>5632.723</v>
      </c>
      <c r="K52" s="26">
        <f t="shared" si="82"/>
        <v>5700.7849999999989</v>
      </c>
      <c r="L52" s="26">
        <f t="shared" si="82"/>
        <v>5219.0519999999997</v>
      </c>
      <c r="M52" s="26">
        <f t="shared" si="82"/>
        <v>7208.793999999999</v>
      </c>
      <c r="N52" s="26">
        <f t="shared" si="82"/>
        <v>7326.0749999999989</v>
      </c>
      <c r="O52" s="26">
        <f t="shared" si="82"/>
        <v>7435.0300000000007</v>
      </c>
      <c r="P52" s="26">
        <f t="shared" si="82"/>
        <v>7462.56</v>
      </c>
      <c r="Q52" s="26">
        <f t="shared" si="82"/>
        <v>7694.8330000000005</v>
      </c>
      <c r="R52" s="26">
        <f>SUM(R42:R51)</f>
        <v>7844.5249999999996</v>
      </c>
      <c r="S52" s="26">
        <f t="shared" ref="S52:W52" si="84">SUM(S42:S51)</f>
        <v>7867.2649999999994</v>
      </c>
      <c r="T52" s="26">
        <f t="shared" si="84"/>
        <v>7651.8489999999993</v>
      </c>
      <c r="U52" s="26">
        <f t="shared" si="84"/>
        <v>7892.9099999999989</v>
      </c>
      <c r="V52" s="26">
        <f t="shared" si="84"/>
        <v>0</v>
      </c>
      <c r="W52" s="26">
        <f t="shared" si="84"/>
        <v>0</v>
      </c>
      <c r="X52" s="26"/>
      <c r="Y52" s="26"/>
      <c r="Z52" s="24"/>
      <c r="AA52" s="24"/>
      <c r="AB52" s="26">
        <f t="shared" ref="AB52:AH52" si="85">SUM(AB42:AB51)</f>
        <v>2565.5330000000004</v>
      </c>
      <c r="AC52" s="26">
        <f t="shared" si="85"/>
        <v>2728.0949999999998</v>
      </c>
      <c r="AD52" s="26">
        <f t="shared" si="85"/>
        <v>2784.1459999999997</v>
      </c>
      <c r="AE52" s="26">
        <f t="shared" si="85"/>
        <v>2968.4090000000001</v>
      </c>
      <c r="AF52" s="26">
        <f t="shared" si="85"/>
        <v>5337.8570000000009</v>
      </c>
      <c r="AG52" s="26">
        <f t="shared" si="85"/>
        <v>5064.6190000000006</v>
      </c>
      <c r="AH52" s="26">
        <f t="shared" si="85"/>
        <v>5750.353000000001</v>
      </c>
      <c r="AI52" s="26">
        <f t="shared" ref="AI52" si="86">SUM(AI42:AI51)</f>
        <v>5942.6530000000002</v>
      </c>
      <c r="AJ52" s="26">
        <f t="shared" ref="AJ52" si="87">SUM(AJ42:AJ51)</f>
        <v>7326.0749999999989</v>
      </c>
      <c r="AK52" s="26">
        <f t="shared" ref="AK52" si="88">SUM(AK42:AK51)</f>
        <v>7435.0300000000007</v>
      </c>
      <c r="AL52" s="26">
        <f t="shared" ref="AL52" si="89">SUM(AL42:AL51)</f>
        <v>7867.2649999999994</v>
      </c>
    </row>
    <row r="53" spans="1:39" x14ac:dyDescent="0.25">
      <c r="C53" s="9" t="s">
        <v>105</v>
      </c>
      <c r="D53" s="23">
        <f t="shared" ref="D53:Q53" si="90">D41+D52</f>
        <v>8359.9439999999995</v>
      </c>
      <c r="E53" s="23">
        <f t="shared" ref="E53" si="91">E41+E52</f>
        <v>8349.6410000000014</v>
      </c>
      <c r="F53" s="23">
        <f t="shared" si="90"/>
        <v>8839.84</v>
      </c>
      <c r="G53" s="23">
        <f t="shared" si="90"/>
        <v>9225.2559999999994</v>
      </c>
      <c r="H53" s="23">
        <f t="shared" si="90"/>
        <v>8951.4520000000011</v>
      </c>
      <c r="I53" s="23">
        <f t="shared" si="90"/>
        <v>8661.0239999999994</v>
      </c>
      <c r="J53" s="23">
        <f t="shared" si="90"/>
        <v>8792.4750000000004</v>
      </c>
      <c r="K53" s="23">
        <f t="shared" si="90"/>
        <v>9312.2149999999983</v>
      </c>
      <c r="L53" s="23">
        <f t="shared" si="90"/>
        <v>8877.6450000000004</v>
      </c>
      <c r="M53" s="23">
        <f t="shared" si="90"/>
        <v>10784.194</v>
      </c>
      <c r="N53" s="23">
        <f t="shared" si="90"/>
        <v>11008.919999999998</v>
      </c>
      <c r="O53" s="23">
        <f t="shared" si="90"/>
        <v>11543.877</v>
      </c>
      <c r="P53" s="23">
        <f t="shared" si="90"/>
        <v>11490.764999999999</v>
      </c>
      <c r="Q53" s="23">
        <f t="shared" si="90"/>
        <v>11428.034</v>
      </c>
      <c r="R53" s="23">
        <f>R41+R52</f>
        <v>11731.08</v>
      </c>
      <c r="S53" s="23">
        <f t="shared" ref="S53:W53" si="92">S41+S52</f>
        <v>12231.313999999998</v>
      </c>
      <c r="T53" s="23">
        <f>T41+T52</f>
        <v>11995.41</v>
      </c>
      <c r="U53" s="23">
        <f t="shared" si="92"/>
        <v>11865.300999999999</v>
      </c>
      <c r="V53" s="23">
        <f t="shared" si="92"/>
        <v>0</v>
      </c>
      <c r="W53" s="23">
        <f t="shared" si="92"/>
        <v>0</v>
      </c>
      <c r="X53" s="23"/>
      <c r="Y53" s="23"/>
      <c r="Z53" s="24"/>
      <c r="AA53" s="24"/>
      <c r="AB53" s="23">
        <f t="shared" ref="AB53:AH53" si="93">AB41+AB52</f>
        <v>4094.0000000000005</v>
      </c>
      <c r="AC53" s="23">
        <f t="shared" si="93"/>
        <v>4436.4669999999996</v>
      </c>
      <c r="AD53" s="23">
        <f t="shared" si="93"/>
        <v>4548.3789999999999</v>
      </c>
      <c r="AE53" s="23">
        <f t="shared" si="93"/>
        <v>4757.3369999999995</v>
      </c>
      <c r="AF53" s="23">
        <f t="shared" si="93"/>
        <v>7315.7260000000006</v>
      </c>
      <c r="AG53" s="23">
        <f t="shared" si="93"/>
        <v>7278.2270000000008</v>
      </c>
      <c r="AH53" s="23">
        <f t="shared" si="93"/>
        <v>8639.0790000000015</v>
      </c>
      <c r="AI53" s="23">
        <f t="shared" ref="AI53" si="94">AI41+AI52</f>
        <v>9225.2559999999994</v>
      </c>
      <c r="AJ53" s="23">
        <f t="shared" ref="AJ53" si="95">AJ41+AJ52</f>
        <v>11008.919999999998</v>
      </c>
      <c r="AK53" s="23">
        <f t="shared" ref="AK53" si="96">AK41+AK52</f>
        <v>11543.877</v>
      </c>
      <c r="AL53" s="23">
        <f t="shared" ref="AL53" si="97">AL41+AL52</f>
        <v>12231.313999999998</v>
      </c>
    </row>
    <row r="55" spans="1:39" x14ac:dyDescent="0.25">
      <c r="C55" s="9" t="s">
        <v>36</v>
      </c>
    </row>
    <row r="56" spans="1:39" s="24" customFormat="1" x14ac:dyDescent="0.25">
      <c r="A56" s="1"/>
      <c r="B56" s="3"/>
      <c r="C56" s="1" t="s">
        <v>108</v>
      </c>
      <c r="D56" s="24">
        <f t="shared" ref="D56:S56" si="98">D14</f>
        <v>116.34700000000001</v>
      </c>
      <c r="E56" s="24">
        <f t="shared" si="98"/>
        <v>418.75500000000034</v>
      </c>
      <c r="F56" s="24">
        <f t="shared" si="98"/>
        <v>240.22199999999987</v>
      </c>
      <c r="G56" s="24">
        <f t="shared" si="98"/>
        <v>561.62299999999993</v>
      </c>
      <c r="H56" s="24">
        <f t="shared" si="98"/>
        <v>93.514999999999944</v>
      </c>
      <c r="I56" s="24">
        <f t="shared" si="98"/>
        <v>332.43500000000023</v>
      </c>
      <c r="J56" s="24">
        <f t="shared" si="98"/>
        <v>184.99999999999991</v>
      </c>
      <c r="K56" s="24">
        <f t="shared" si="98"/>
        <v>541.16700000000003</v>
      </c>
      <c r="L56" s="24">
        <f t="shared" si="98"/>
        <v>62.775000000000134</v>
      </c>
      <c r="M56" s="24">
        <f t="shared" si="98"/>
        <v>329.87500000000017</v>
      </c>
      <c r="N56" s="24">
        <f t="shared" si="98"/>
        <v>107.1290000000001</v>
      </c>
      <c r="O56" s="24">
        <f t="shared" si="98"/>
        <v>569.21699999999998</v>
      </c>
      <c r="P56" s="24">
        <f t="shared" si="98"/>
        <v>-99.874000000000223</v>
      </c>
      <c r="Q56" s="24">
        <f t="shared" si="98"/>
        <v>356.22799999999967</v>
      </c>
      <c r="R56" s="24">
        <f t="shared" si="98"/>
        <v>196.90700000000004</v>
      </c>
      <c r="S56" s="24">
        <f t="shared" si="98"/>
        <v>607.32299999999964</v>
      </c>
      <c r="T56" s="24">
        <f t="shared" ref="T56:W56" si="99">T14</f>
        <v>30.845000000000169</v>
      </c>
      <c r="U56" s="24">
        <f t="shared" si="99"/>
        <v>327.34599999999983</v>
      </c>
      <c r="V56" s="24">
        <f>AK39</f>
        <v>3749.2069999999999</v>
      </c>
      <c r="W56" s="24">
        <f t="shared" si="99"/>
        <v>0</v>
      </c>
      <c r="Z56" s="1"/>
      <c r="AA56" s="1"/>
      <c r="AB56" s="24">
        <f t="shared" ref="AB56:AL56" si="100">AB14</f>
        <v>367.61</v>
      </c>
      <c r="AC56" s="24">
        <f t="shared" si="100"/>
        <v>548.94599999999969</v>
      </c>
      <c r="AD56" s="24">
        <f t="shared" si="100"/>
        <v>510.32499999999993</v>
      </c>
      <c r="AE56" s="24">
        <f t="shared" si="100"/>
        <v>552.53000000000065</v>
      </c>
      <c r="AF56" s="24">
        <f t="shared" si="100"/>
        <v>480.41000000000008</v>
      </c>
      <c r="AG56" s="24">
        <f t="shared" si="100"/>
        <v>1029.1129999999996</v>
      </c>
      <c r="AH56" s="24">
        <f t="shared" si="100"/>
        <v>1417.3639999999998</v>
      </c>
      <c r="AI56" s="24">
        <f t="shared" si="100"/>
        <v>1336.9619999999991</v>
      </c>
      <c r="AJ56" s="24">
        <f t="shared" si="100"/>
        <v>1151.9129999999996</v>
      </c>
      <c r="AK56" s="24">
        <f t="shared" si="100"/>
        <v>1068.9760000000001</v>
      </c>
      <c r="AL56" s="24">
        <f t="shared" si="100"/>
        <v>1061</v>
      </c>
      <c r="AM56" s="43"/>
    </row>
    <row r="57" spans="1:39" s="24" customFormat="1" x14ac:dyDescent="0.25">
      <c r="A57" s="1"/>
      <c r="B57" s="3"/>
      <c r="C57" s="1" t="s">
        <v>109</v>
      </c>
      <c r="D57" s="24">
        <v>116</v>
      </c>
      <c r="E57" s="24">
        <v>418.76299999999998</v>
      </c>
      <c r="F57" s="24">
        <v>240</v>
      </c>
      <c r="G57" s="24">
        <v>561.62800000000004</v>
      </c>
      <c r="H57" s="24">
        <v>94</v>
      </c>
      <c r="I57" s="24">
        <v>332</v>
      </c>
      <c r="J57" s="24">
        <v>185</v>
      </c>
      <c r="K57" s="24">
        <v>541.16499999999996</v>
      </c>
      <c r="L57" s="24">
        <v>63</v>
      </c>
      <c r="M57" s="24">
        <v>330.88400000000001</v>
      </c>
      <c r="N57" s="24">
        <v>107.101</v>
      </c>
      <c r="O57" s="24">
        <v>569.21799999999996</v>
      </c>
      <c r="P57" s="24">
        <v>-100</v>
      </c>
      <c r="Q57" s="24">
        <v>356.22800000000001</v>
      </c>
      <c r="R57" s="24">
        <v>197</v>
      </c>
      <c r="S57" s="24">
        <v>607</v>
      </c>
      <c r="T57" s="24">
        <v>30.844999999999999</v>
      </c>
      <c r="U57" s="24">
        <v>327.34500000000003</v>
      </c>
      <c r="Z57" s="1"/>
      <c r="AA57" s="1"/>
      <c r="AB57" s="24">
        <v>367.61</v>
      </c>
      <c r="AC57" s="24">
        <v>548.94600000000003</v>
      </c>
      <c r="AD57" s="24">
        <v>510.32600000000002</v>
      </c>
      <c r="AE57" s="24">
        <v>552.53099999999995</v>
      </c>
      <c r="AF57" s="24">
        <v>480.41</v>
      </c>
      <c r="AG57" s="24">
        <v>1029.1120000000001</v>
      </c>
      <c r="AH57" s="24">
        <v>1417.5509999999999</v>
      </c>
      <c r="AI57" s="24">
        <v>1337.009</v>
      </c>
      <c r="AJ57" s="24">
        <v>1151.912</v>
      </c>
      <c r="AK57" s="24">
        <v>1068.9780000000001</v>
      </c>
      <c r="AL57" s="24">
        <v>1053.8699999999999</v>
      </c>
      <c r="AM57" s="43"/>
    </row>
    <row r="58" spans="1:39" s="24" customFormat="1" x14ac:dyDescent="0.25">
      <c r="A58" s="1"/>
      <c r="B58" s="3"/>
      <c r="C58" s="1" t="s">
        <v>110</v>
      </c>
      <c r="D58" s="24">
        <v>151.119</v>
      </c>
      <c r="E58" s="24">
        <v>151.02000000000001</v>
      </c>
      <c r="F58" s="24">
        <v>153.608</v>
      </c>
      <c r="G58" s="24">
        <v>155.28800000000001</v>
      </c>
      <c r="H58" s="24">
        <v>166.27199999999999</v>
      </c>
      <c r="I58" s="24">
        <v>168.80699999999999</v>
      </c>
      <c r="J58" s="24">
        <v>170.261</v>
      </c>
      <c r="K58" s="24">
        <v>169.268</v>
      </c>
      <c r="L58" s="24">
        <v>174.34</v>
      </c>
      <c r="M58" s="24">
        <v>227.80099999999999</v>
      </c>
      <c r="N58" s="24">
        <v>260.31799999999998</v>
      </c>
      <c r="O58" s="24">
        <v>260.46800000000002</v>
      </c>
      <c r="P58" s="24">
        <v>260.72000000000003</v>
      </c>
      <c r="Q58" s="24">
        <v>266.87599999999998</v>
      </c>
      <c r="R58" s="24">
        <v>265.27600000000001</v>
      </c>
      <c r="S58" s="24">
        <v>267.37799999999999</v>
      </c>
      <c r="T58" s="24">
        <v>268.72000000000003</v>
      </c>
      <c r="U58" s="24">
        <v>266.61200000000002</v>
      </c>
      <c r="Z58" s="1"/>
      <c r="AA58" s="1"/>
      <c r="AB58" s="24">
        <v>71.061000000000007</v>
      </c>
      <c r="AC58" s="24">
        <v>75.088999999999999</v>
      </c>
      <c r="AD58" s="24">
        <v>82.69</v>
      </c>
      <c r="AE58" s="24">
        <v>90.742999999999995</v>
      </c>
      <c r="AF58" s="24">
        <v>515.673</v>
      </c>
      <c r="AG58" s="24">
        <v>539.928</v>
      </c>
      <c r="AH58" s="24">
        <v>571.22299999999996</v>
      </c>
      <c r="AI58" s="24">
        <v>611.03499999999997</v>
      </c>
      <c r="AJ58" s="24">
        <v>674.60799999999995</v>
      </c>
      <c r="AK58" s="24">
        <v>922.92700000000002</v>
      </c>
      <c r="AL58" s="24">
        <v>1060.249</v>
      </c>
      <c r="AM58" s="43"/>
    </row>
    <row r="59" spans="1:39" s="24" customFormat="1" x14ac:dyDescent="0.25">
      <c r="A59" s="1"/>
      <c r="B59" s="3"/>
      <c r="C59" s="1" t="s">
        <v>111</v>
      </c>
      <c r="D59" s="24">
        <v>0.94499999999999995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-101.789</v>
      </c>
      <c r="L59" s="24">
        <v>0</v>
      </c>
      <c r="M59" s="24">
        <v>-32.299999999999997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Z59" s="1"/>
      <c r="AA59" s="1"/>
      <c r="AB59" s="24">
        <v>0</v>
      </c>
      <c r="AC59" s="24">
        <v>0</v>
      </c>
      <c r="AD59" s="24">
        <v>0</v>
      </c>
      <c r="AE59" s="24">
        <v>0</v>
      </c>
      <c r="AF59" s="24">
        <v>0</v>
      </c>
      <c r="AG59" s="24">
        <v>0</v>
      </c>
      <c r="AH59" s="24">
        <v>0</v>
      </c>
      <c r="AI59" s="24">
        <v>0</v>
      </c>
      <c r="AJ59" s="24">
        <v>-101.789</v>
      </c>
      <c r="AK59" s="24">
        <v>-32.308999999999997</v>
      </c>
      <c r="AL59" s="24">
        <v>0</v>
      </c>
      <c r="AM59" s="43"/>
    </row>
    <row r="60" spans="1:39" s="24" customFormat="1" x14ac:dyDescent="0.25">
      <c r="A60" s="1"/>
      <c r="B60" s="3"/>
      <c r="C60" s="1" t="s">
        <v>112</v>
      </c>
      <c r="D60" s="24">
        <v>9.2260000000000009</v>
      </c>
      <c r="E60" s="24">
        <v>-5.266</v>
      </c>
      <c r="F60" s="24">
        <v>-1.4</v>
      </c>
      <c r="G60" s="24">
        <v>-6.6</v>
      </c>
      <c r="H60" s="24">
        <v>7.9</v>
      </c>
      <c r="I60" s="24">
        <v>0.158</v>
      </c>
      <c r="J60" s="24">
        <v>4.5149999999999997</v>
      </c>
      <c r="K60" s="24">
        <v>41.902000000000001</v>
      </c>
      <c r="L60" s="24">
        <v>10.976000000000001</v>
      </c>
      <c r="M60" s="24">
        <v>-12.54</v>
      </c>
      <c r="N60" s="24">
        <v>0</v>
      </c>
      <c r="O60" s="24">
        <v>-2.9000000000000001E-2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Z60" s="1"/>
      <c r="AA60" s="1"/>
      <c r="AB60" s="24">
        <v>0</v>
      </c>
      <c r="AC60" s="24">
        <v>0</v>
      </c>
      <c r="AD60" s="24">
        <v>0</v>
      </c>
      <c r="AE60" s="24">
        <v>-6.4</v>
      </c>
      <c r="AF60" s="24">
        <v>0</v>
      </c>
      <c r="AG60" s="24">
        <v>-2.6</v>
      </c>
      <c r="AH60" s="24">
        <v>-0.189</v>
      </c>
      <c r="AI60" s="24">
        <v>-4.0469999999999997</v>
      </c>
      <c r="AJ60" s="24">
        <v>54.488999999999997</v>
      </c>
      <c r="AK60" s="24">
        <v>-1.5920000000000001</v>
      </c>
      <c r="AL60" s="24">
        <v>0</v>
      </c>
      <c r="AM60" s="43"/>
    </row>
    <row r="61" spans="1:39" s="24" customFormat="1" x14ac:dyDescent="0.25">
      <c r="A61" s="1"/>
      <c r="B61" s="3"/>
      <c r="C61" s="1" t="s">
        <v>113</v>
      </c>
      <c r="D61" s="24">
        <v>-597.87099999999998</v>
      </c>
      <c r="E61" s="24">
        <v>15.1</v>
      </c>
      <c r="F61" s="24">
        <v>-210.65199999999999</v>
      </c>
      <c r="G61" s="24">
        <v>419.48099999999999</v>
      </c>
      <c r="H61" s="24">
        <v>-464.26400000000001</v>
      </c>
      <c r="I61" s="24">
        <v>194.88</v>
      </c>
      <c r="J61" s="24">
        <v>163.20699999999999</v>
      </c>
      <c r="K61" s="24">
        <v>385.11399999999998</v>
      </c>
      <c r="L61" s="24">
        <v>-391.46</v>
      </c>
      <c r="M61" s="24">
        <v>94</v>
      </c>
      <c r="N61" s="24">
        <v>-210.59700000000001</v>
      </c>
      <c r="O61" s="24">
        <v>297.49900000000002</v>
      </c>
      <c r="P61" s="24">
        <v>-581.39700000000005</v>
      </c>
      <c r="Q61" s="24">
        <v>13.584</v>
      </c>
      <c r="R61" s="24">
        <v>-167.238</v>
      </c>
      <c r="S61" s="24">
        <v>345.86900000000003</v>
      </c>
      <c r="T61" s="24">
        <v>-340.13099999999997</v>
      </c>
      <c r="U61" s="24">
        <v>119.79600000000001</v>
      </c>
      <c r="Z61" s="1"/>
      <c r="AA61" s="1"/>
      <c r="AB61" s="24">
        <v>-46.140999999999998</v>
      </c>
      <c r="AC61" s="24">
        <v>-47.195999999999998</v>
      </c>
      <c r="AD61" s="24">
        <v>25.446999999999999</v>
      </c>
      <c r="AE61" s="24">
        <v>-172.05</v>
      </c>
      <c r="AF61" s="24">
        <v>159.791</v>
      </c>
      <c r="AG61" s="24">
        <v>255.298</v>
      </c>
      <c r="AH61" s="24">
        <v>-138.70500000000001</v>
      </c>
      <c r="AI61" s="24">
        <v>-373.10300000000001</v>
      </c>
      <c r="AJ61" s="24">
        <v>280.976</v>
      </c>
      <c r="AK61" s="24">
        <v>-210.548</v>
      </c>
      <c r="AL61" s="24">
        <v>-396.322</v>
      </c>
      <c r="AM61" s="43"/>
    </row>
    <row r="62" spans="1:39" s="24" customFormat="1" x14ac:dyDescent="0.25">
      <c r="A62" s="1"/>
      <c r="B62" s="3"/>
      <c r="C62" s="1" t="s">
        <v>114</v>
      </c>
      <c r="D62" s="24">
        <v>-113.604</v>
      </c>
      <c r="E62" s="24">
        <v>-153.35300000000001</v>
      </c>
      <c r="F62" s="24">
        <v>14.773999999999999</v>
      </c>
      <c r="G62" s="24">
        <v>-71.078999999999994</v>
      </c>
      <c r="H62" s="24">
        <v>-171.40700000000001</v>
      </c>
      <c r="I62" s="24">
        <v>-121.764</v>
      </c>
      <c r="J62" s="24">
        <v>2.6</v>
      </c>
      <c r="K62" s="24">
        <v>-0.68899999999999995</v>
      </c>
      <c r="L62" s="24">
        <v>-136.875</v>
      </c>
      <c r="M62" s="24">
        <v>-118.491</v>
      </c>
      <c r="N62" s="24">
        <v>0</v>
      </c>
      <c r="O62" s="24">
        <v>3.72</v>
      </c>
      <c r="P62" s="24">
        <v>-123.31100000000001</v>
      </c>
      <c r="Q62" s="24">
        <v>-133.25</v>
      </c>
      <c r="R62" s="24">
        <v>-0.83499999999999996</v>
      </c>
      <c r="S62" s="24">
        <v>-3.7</v>
      </c>
      <c r="T62" s="24">
        <v>-122.595</v>
      </c>
      <c r="U62" s="24">
        <v>-123.2</v>
      </c>
      <c r="Z62" s="1"/>
      <c r="AA62" s="1"/>
      <c r="AB62" s="24">
        <v>-95.254000000000005</v>
      </c>
      <c r="AC62" s="24">
        <v>-108.77200000000001</v>
      </c>
      <c r="AD62" s="24">
        <v>-145.83199999999999</v>
      </c>
      <c r="AE62" s="24">
        <v>-117.069</v>
      </c>
      <c r="AF62" s="24">
        <v>-124.173</v>
      </c>
      <c r="AG62" s="24">
        <v>-116.81399999999999</v>
      </c>
      <c r="AH62" s="24">
        <v>-258.529</v>
      </c>
      <c r="AI62" s="24">
        <v>-323.19099999999997</v>
      </c>
      <c r="AJ62" s="24">
        <v>-291.18900000000002</v>
      </c>
      <c r="AK62" s="24">
        <v>-251.64500000000001</v>
      </c>
      <c r="AL62" s="24">
        <v>-247.24199999999999</v>
      </c>
      <c r="AM62" s="43"/>
    </row>
    <row r="63" spans="1:39" s="24" customFormat="1" x14ac:dyDescent="0.25">
      <c r="A63" s="1"/>
      <c r="B63" s="3"/>
      <c r="C63" s="9" t="s">
        <v>115</v>
      </c>
      <c r="D63" s="23">
        <f t="shared" ref="D63:R63" si="101">SUM(D57:D62)</f>
        <v>-434.18499999999995</v>
      </c>
      <c r="E63" s="23">
        <f t="shared" si="101"/>
        <v>426.26400000000007</v>
      </c>
      <c r="F63" s="23">
        <f t="shared" si="101"/>
        <v>196.33000000000004</v>
      </c>
      <c r="G63" s="23">
        <f t="shared" si="101"/>
        <v>1058.7180000000001</v>
      </c>
      <c r="H63" s="23">
        <f t="shared" si="101"/>
        <v>-367.49900000000002</v>
      </c>
      <c r="I63" s="23">
        <f t="shared" si="101"/>
        <v>574.08100000000002</v>
      </c>
      <c r="J63" s="23">
        <f t="shared" si="101"/>
        <v>525.58299999999997</v>
      </c>
      <c r="K63" s="23">
        <f t="shared" si="101"/>
        <v>1034.971</v>
      </c>
      <c r="L63" s="23">
        <f t="shared" si="101"/>
        <v>-280.01900000000001</v>
      </c>
      <c r="M63" s="23">
        <f t="shared" si="101"/>
        <v>489.35400000000004</v>
      </c>
      <c r="N63" s="23">
        <f t="shared" si="101"/>
        <v>156.82199999999997</v>
      </c>
      <c r="O63" s="23">
        <f t="shared" si="101"/>
        <v>1130.876</v>
      </c>
      <c r="P63" s="23">
        <f t="shared" si="101"/>
        <v>-543.98800000000006</v>
      </c>
      <c r="Q63" s="23">
        <f t="shared" si="101"/>
        <v>503.43799999999999</v>
      </c>
      <c r="R63" s="23">
        <f t="shared" si="101"/>
        <v>294.20300000000003</v>
      </c>
      <c r="S63" s="23">
        <f>SUM(S57:S62)</f>
        <v>1216.5469999999998</v>
      </c>
      <c r="T63" s="23">
        <f t="shared" ref="T63:W63" si="102">SUM(T57:T62)</f>
        <v>-163.16099999999992</v>
      </c>
      <c r="U63" s="23">
        <f t="shared" si="102"/>
        <v>590.55300000000011</v>
      </c>
      <c r="V63" s="23">
        <f t="shared" si="102"/>
        <v>0</v>
      </c>
      <c r="W63" s="23">
        <f t="shared" si="102"/>
        <v>0</v>
      </c>
      <c r="X63" s="23"/>
      <c r="Y63" s="23"/>
      <c r="Z63" s="1"/>
      <c r="AA63" s="1"/>
      <c r="AB63" s="23">
        <f t="shared" ref="AB63" si="103">SUM(AB57:AB62)</f>
        <v>297.27600000000001</v>
      </c>
      <c r="AC63" s="23">
        <f t="shared" ref="AC63" si="104">SUM(AC57:AC62)</f>
        <v>468.06700000000006</v>
      </c>
      <c r="AD63" s="23">
        <f t="shared" ref="AD63" si="105">SUM(AD57:AD62)</f>
        <v>472.63100000000009</v>
      </c>
      <c r="AE63" s="23">
        <f t="shared" ref="AE63" si="106">SUM(AE57:AE62)</f>
        <v>347.75499999999988</v>
      </c>
      <c r="AF63" s="23">
        <f t="shared" ref="AF63" si="107">SUM(AF57:AF62)</f>
        <v>1031.701</v>
      </c>
      <c r="AG63" s="23">
        <f t="shared" ref="AG63" si="108">SUM(AG57:AG62)</f>
        <v>1704.924</v>
      </c>
      <c r="AH63" s="23">
        <f t="shared" ref="AH63" si="109">SUM(AH57:AH62)</f>
        <v>1591.3509999999999</v>
      </c>
      <c r="AI63" s="23">
        <f t="shared" ref="AI63" si="110">SUM(AI57:AI62)</f>
        <v>1247.7029999999997</v>
      </c>
      <c r="AJ63" s="23">
        <f t="shared" ref="AJ63" si="111">SUM(AJ57:AJ62)</f>
        <v>1769.0069999999998</v>
      </c>
      <c r="AK63" s="23">
        <f t="shared" ref="AK63:AL63" si="112">SUM(AK57:AK62)</f>
        <v>1495.8110000000001</v>
      </c>
      <c r="AL63" s="23">
        <f t="shared" si="112"/>
        <v>1470.5549999999996</v>
      </c>
      <c r="AM63" s="43"/>
    </row>
    <row r="64" spans="1:39" s="24" customFormat="1" x14ac:dyDescent="0.25">
      <c r="A64" s="1"/>
      <c r="B64" s="3"/>
      <c r="C64" s="1"/>
      <c r="Z64" s="1"/>
      <c r="AA64" s="1"/>
      <c r="AM64" s="43"/>
    </row>
    <row r="65" spans="1:39" s="24" customFormat="1" x14ac:dyDescent="0.25">
      <c r="A65" s="1"/>
      <c r="B65" s="3"/>
      <c r="C65" s="1" t="s">
        <v>116</v>
      </c>
      <c r="D65" s="24">
        <f>26.021-29.76</f>
        <v>-3.7390000000000008</v>
      </c>
      <c r="E65" s="24">
        <v>-31.931000000000001</v>
      </c>
      <c r="F65" s="24">
        <v>-33.787999999999997</v>
      </c>
      <c r="G65" s="24">
        <v>-47.198</v>
      </c>
      <c r="H65" s="24">
        <v>-70.447999999999993</v>
      </c>
      <c r="I65" s="24">
        <v>-23.295999999999999</v>
      </c>
      <c r="J65" s="24">
        <v>-32.575000000000003</v>
      </c>
      <c r="K65" s="24">
        <v>-15.38</v>
      </c>
      <c r="L65" s="24">
        <v>-49.28</v>
      </c>
      <c r="M65" s="24">
        <v>-36.826000000000001</v>
      </c>
      <c r="N65" s="24">
        <v>-24.599</v>
      </c>
      <c r="O65" s="24">
        <v>-27.756</v>
      </c>
      <c r="P65" s="24">
        <v>-45.173999999999999</v>
      </c>
      <c r="Q65" s="24">
        <v>-25.4</v>
      </c>
      <c r="R65" s="24">
        <v>-24.388999999999999</v>
      </c>
      <c r="S65" s="24">
        <v>-36.347999999999999</v>
      </c>
      <c r="T65" s="24">
        <v>-73.747</v>
      </c>
      <c r="U65" s="24">
        <v>-78.594999999999999</v>
      </c>
      <c r="Z65" s="1"/>
      <c r="AA65" s="1"/>
      <c r="AB65" s="24">
        <v>-111.58199999999999</v>
      </c>
      <c r="AC65" s="24">
        <v>-85.256</v>
      </c>
      <c r="AD65" s="24">
        <v>-99.116</v>
      </c>
      <c r="AE65" s="24">
        <v>-76.509</v>
      </c>
      <c r="AF65" s="24">
        <v>-156.21899999999999</v>
      </c>
      <c r="AG65" s="24">
        <v>-104.146</v>
      </c>
      <c r="AH65" s="24">
        <v>-130.702</v>
      </c>
      <c r="AI65" s="24">
        <v>-116.65600000000001</v>
      </c>
      <c r="AJ65" s="24">
        <v>-141.61699999999999</v>
      </c>
      <c r="AK65" s="24">
        <v>-138.46</v>
      </c>
      <c r="AL65" s="24">
        <v>-131.31200000000001</v>
      </c>
      <c r="AM65" s="43"/>
    </row>
    <row r="66" spans="1:39" s="24" customFormat="1" x14ac:dyDescent="0.25">
      <c r="A66" s="1"/>
      <c r="B66" s="3"/>
      <c r="C66" s="1" t="s">
        <v>117</v>
      </c>
      <c r="D66" s="24">
        <v>0.63700000000000001</v>
      </c>
      <c r="E66" s="24">
        <v>-5.6260000000000003</v>
      </c>
      <c r="F66" s="24">
        <v>-87.361999999999995</v>
      </c>
      <c r="G66" s="24">
        <v>0</v>
      </c>
      <c r="H66" s="24">
        <v>-216.59800000000001</v>
      </c>
      <c r="I66" s="24">
        <v>0</v>
      </c>
      <c r="J66" s="24">
        <v>0</v>
      </c>
      <c r="K66" s="24">
        <v>0</v>
      </c>
      <c r="L66" s="24">
        <v>0.74</v>
      </c>
      <c r="M66" s="24">
        <v>18.3</v>
      </c>
      <c r="N66" s="24">
        <v>0</v>
      </c>
      <c r="O66" s="24">
        <v>0</v>
      </c>
      <c r="P66" s="24">
        <v>4.8</v>
      </c>
      <c r="Q66" s="24">
        <v>0</v>
      </c>
      <c r="R66" s="24">
        <v>0</v>
      </c>
      <c r="S66" s="24">
        <v>-3.3000000000000002E-2</v>
      </c>
      <c r="T66" s="24">
        <v>0</v>
      </c>
      <c r="U66" s="24">
        <v>0</v>
      </c>
      <c r="Z66" s="1"/>
      <c r="AA66" s="1"/>
      <c r="AB66" s="24">
        <v>-2.6560000000000001</v>
      </c>
      <c r="AC66" s="24">
        <v>-11.228999999999999</v>
      </c>
      <c r="AD66" s="24">
        <v>-28.402999999999999</v>
      </c>
      <c r="AE66" s="24">
        <v>-12.875</v>
      </c>
      <c r="AF66" s="24">
        <v>-2.7109999999999999</v>
      </c>
      <c r="AG66" s="24">
        <v>-7.9790000000000001</v>
      </c>
      <c r="AH66" s="24">
        <v>-553.20399999999995</v>
      </c>
      <c r="AI66" s="24">
        <v>-92.350999999999999</v>
      </c>
      <c r="AJ66" s="24">
        <v>-216.59800000000001</v>
      </c>
      <c r="AK66" s="24">
        <v>19.047000000000001</v>
      </c>
      <c r="AL66" s="24">
        <v>4.766</v>
      </c>
      <c r="AM66" s="43"/>
    </row>
    <row r="67" spans="1:39" s="24" customFormat="1" x14ac:dyDescent="0.25">
      <c r="A67" s="1"/>
      <c r="B67" s="3"/>
      <c r="C67" s="9" t="s">
        <v>118</v>
      </c>
      <c r="D67" s="23">
        <f t="shared" ref="D67:P67" si="113">SUM(D65:D66)</f>
        <v>-3.1020000000000008</v>
      </c>
      <c r="E67" s="23">
        <f t="shared" si="113"/>
        <v>-37.557000000000002</v>
      </c>
      <c r="F67" s="23">
        <f t="shared" si="113"/>
        <v>-121.14999999999999</v>
      </c>
      <c r="G67" s="23">
        <f t="shared" si="113"/>
        <v>-47.198</v>
      </c>
      <c r="H67" s="23">
        <f t="shared" si="113"/>
        <v>-287.04599999999999</v>
      </c>
      <c r="I67" s="23">
        <f t="shared" si="113"/>
        <v>-23.295999999999999</v>
      </c>
      <c r="J67" s="23">
        <f t="shared" si="113"/>
        <v>-32.575000000000003</v>
      </c>
      <c r="K67" s="23">
        <f t="shared" si="113"/>
        <v>-15.38</v>
      </c>
      <c r="L67" s="23">
        <f t="shared" si="113"/>
        <v>-48.54</v>
      </c>
      <c r="M67" s="23">
        <f t="shared" si="113"/>
        <v>-18.526</v>
      </c>
      <c r="N67" s="23">
        <f t="shared" si="113"/>
        <v>-24.599</v>
      </c>
      <c r="O67" s="23">
        <f t="shared" si="113"/>
        <v>-27.756</v>
      </c>
      <c r="P67" s="23">
        <f t="shared" si="113"/>
        <v>-40.374000000000002</v>
      </c>
      <c r="Q67" s="23">
        <f>SUM(Q65:Q66)</f>
        <v>-25.4</v>
      </c>
      <c r="R67" s="23">
        <f>SUM(R65:R66)</f>
        <v>-24.388999999999999</v>
      </c>
      <c r="S67" s="23">
        <f>SUM(S65:S66)</f>
        <v>-36.381</v>
      </c>
      <c r="T67" s="23">
        <f t="shared" ref="T67:W67" si="114">SUM(T65:T66)</f>
        <v>-73.747</v>
      </c>
      <c r="U67" s="23">
        <f t="shared" si="114"/>
        <v>-78.594999999999999</v>
      </c>
      <c r="V67" s="23">
        <f t="shared" si="114"/>
        <v>0</v>
      </c>
      <c r="W67" s="23">
        <f t="shared" si="114"/>
        <v>0</v>
      </c>
      <c r="X67" s="23"/>
      <c r="Y67" s="23"/>
      <c r="Z67" s="1"/>
      <c r="AA67" s="1"/>
      <c r="AB67" s="23">
        <f t="shared" ref="AB67" si="115">SUM(AB65:AB66)</f>
        <v>-114.238</v>
      </c>
      <c r="AC67" s="23">
        <f t="shared" ref="AC67" si="116">SUM(AC65:AC66)</f>
        <v>-96.484999999999999</v>
      </c>
      <c r="AD67" s="23">
        <f t="shared" ref="AD67" si="117">SUM(AD65:AD66)</f>
        <v>-127.51900000000001</v>
      </c>
      <c r="AE67" s="23">
        <f t="shared" ref="AE67" si="118">SUM(AE65:AE66)</f>
        <v>-89.384</v>
      </c>
      <c r="AF67" s="23">
        <f t="shared" ref="AF67" si="119">SUM(AF65:AF66)</f>
        <v>-158.93</v>
      </c>
      <c r="AG67" s="23">
        <f t="shared" ref="AG67" si="120">SUM(AG65:AG66)</f>
        <v>-112.125</v>
      </c>
      <c r="AH67" s="23">
        <f t="shared" ref="AH67" si="121">SUM(AH65:AH66)</f>
        <v>-683.90599999999995</v>
      </c>
      <c r="AI67" s="23">
        <f t="shared" ref="AI67" si="122">SUM(AI65:AI66)</f>
        <v>-209.00700000000001</v>
      </c>
      <c r="AJ67" s="23">
        <f t="shared" ref="AJ67" si="123">SUM(AJ65:AJ66)</f>
        <v>-358.21500000000003</v>
      </c>
      <c r="AK67" s="23">
        <f t="shared" ref="AK67:AL67" si="124">SUM(AK65:AK66)</f>
        <v>-119.41300000000001</v>
      </c>
      <c r="AL67" s="23">
        <f t="shared" si="124"/>
        <v>-126.54600000000001</v>
      </c>
      <c r="AM67" s="43"/>
    </row>
    <row r="68" spans="1:39" s="24" customFormat="1" x14ac:dyDescent="0.25">
      <c r="A68" s="1"/>
      <c r="B68" s="3"/>
      <c r="C68" s="10"/>
      <c r="Z68" s="1"/>
      <c r="AA68" s="1"/>
      <c r="AM68" s="43"/>
    </row>
    <row r="69" spans="1:39" s="24" customFormat="1" x14ac:dyDescent="0.25">
      <c r="A69" s="1"/>
      <c r="B69" s="3"/>
      <c r="C69" s="1" t="s">
        <v>119</v>
      </c>
      <c r="D69" s="24">
        <v>0</v>
      </c>
      <c r="E69" s="24">
        <v>350</v>
      </c>
      <c r="F69" s="24">
        <v>-50</v>
      </c>
      <c r="G69" s="24">
        <v>-300</v>
      </c>
      <c r="H69" s="24">
        <v>310</v>
      </c>
      <c r="I69" s="24">
        <v>90</v>
      </c>
      <c r="J69" s="24">
        <v>-150</v>
      </c>
      <c r="K69" s="24">
        <v>-250</v>
      </c>
      <c r="L69" s="24">
        <v>0</v>
      </c>
      <c r="M69" s="24">
        <v>193.346</v>
      </c>
      <c r="N69" s="24">
        <v>44.494999999999997</v>
      </c>
      <c r="O69" s="24">
        <v>-379.846</v>
      </c>
      <c r="P69" s="24">
        <v>363.54700000000003</v>
      </c>
      <c r="Q69" s="24">
        <v>501.6</v>
      </c>
      <c r="R69" s="24">
        <v>-20.463000000000001</v>
      </c>
      <c r="S69" s="24">
        <v>-313.74299999999999</v>
      </c>
      <c r="T69" s="24">
        <v>81.174999999999997</v>
      </c>
      <c r="U69" s="24">
        <v>548.76099999999997</v>
      </c>
      <c r="Z69" s="1"/>
      <c r="AA69" s="1"/>
      <c r="AB69" s="24">
        <v>1642.318</v>
      </c>
      <c r="AC69" s="24">
        <v>0</v>
      </c>
      <c r="AD69" s="24">
        <v>0</v>
      </c>
      <c r="AE69" s="24">
        <v>0</v>
      </c>
      <c r="AF69" s="24">
        <v>0</v>
      </c>
      <c r="AG69" s="24">
        <v>1000</v>
      </c>
      <c r="AH69" s="24">
        <v>2.6360000000000001</v>
      </c>
      <c r="AI69" s="24">
        <v>0</v>
      </c>
      <c r="AJ69" s="24">
        <v>0</v>
      </c>
      <c r="AK69" s="24">
        <v>-142.005</v>
      </c>
      <c r="AL69" s="24">
        <v>530.94100000000003</v>
      </c>
      <c r="AM69" s="43"/>
    </row>
    <row r="70" spans="1:39" s="24" customFormat="1" x14ac:dyDescent="0.25">
      <c r="A70" s="1"/>
      <c r="B70" s="3"/>
      <c r="C70" s="1" t="s">
        <v>120</v>
      </c>
      <c r="D70" s="24">
        <v>-1.25</v>
      </c>
      <c r="E70" s="24">
        <v>-1.25</v>
      </c>
      <c r="F70" s="24">
        <v>-1.25</v>
      </c>
      <c r="G70" s="24">
        <v>-1.25</v>
      </c>
      <c r="H70" s="24">
        <v>-1.25</v>
      </c>
      <c r="I70" s="24">
        <v>-1.25</v>
      </c>
      <c r="J70" s="24">
        <v>-1.25</v>
      </c>
      <c r="K70" s="24">
        <v>-41.988</v>
      </c>
      <c r="L70" s="24">
        <v>-10.942</v>
      </c>
      <c r="M70" s="24">
        <v>-9.6</v>
      </c>
      <c r="N70" s="24">
        <v>-1.423</v>
      </c>
      <c r="O70" s="24">
        <v>-0.54400000000000004</v>
      </c>
      <c r="P70" s="24">
        <v>-25.25</v>
      </c>
      <c r="Q70" s="24">
        <v>0</v>
      </c>
      <c r="R70" s="24">
        <v>0</v>
      </c>
      <c r="S70" s="24">
        <v>-1.294</v>
      </c>
      <c r="T70" s="24">
        <v>0</v>
      </c>
      <c r="U70" s="24">
        <v>0</v>
      </c>
      <c r="Z70" s="1"/>
      <c r="AA70" s="1"/>
      <c r="AB70" s="24">
        <v>-1669.5409999999999</v>
      </c>
      <c r="AC70" s="24">
        <v>-7.9779999999999998</v>
      </c>
      <c r="AD70" s="24">
        <v>-6.4749999999999996</v>
      </c>
      <c r="AE70" s="24">
        <v>-8.6289999999999996</v>
      </c>
      <c r="AF70" s="24">
        <v>-6.84</v>
      </c>
      <c r="AG70" s="24">
        <v>-1651.675</v>
      </c>
      <c r="AH70" s="24">
        <v>-3.75</v>
      </c>
      <c r="AI70" s="24">
        <v>-5</v>
      </c>
      <c r="AJ70" s="24">
        <v>-45.738</v>
      </c>
      <c r="AK70" s="24">
        <v>-24.405000000000001</v>
      </c>
      <c r="AL70" s="24">
        <v>-26.544</v>
      </c>
      <c r="AM70" s="43"/>
    </row>
    <row r="71" spans="1:39" s="24" customFormat="1" x14ac:dyDescent="0.25">
      <c r="A71" s="1"/>
      <c r="B71" s="3"/>
      <c r="C71" s="1" t="s">
        <v>121</v>
      </c>
      <c r="D71" s="24">
        <v>-121.46299999999999</v>
      </c>
      <c r="E71" s="24">
        <v>-120.309</v>
      </c>
      <c r="F71" s="24">
        <v>-118.456</v>
      </c>
      <c r="G71" s="24">
        <v>-121.78100000000001</v>
      </c>
      <c r="H71" s="24">
        <v>-131.33500000000001</v>
      </c>
      <c r="I71" s="24">
        <v>-133.17599999999999</v>
      </c>
      <c r="J71" s="24">
        <v>-133.1</v>
      </c>
      <c r="K71" s="24">
        <v>-132.56</v>
      </c>
      <c r="L71" s="24">
        <v>-141.268</v>
      </c>
      <c r="M71" s="24">
        <v>-188.51400000000001</v>
      </c>
      <c r="N71" s="24">
        <v>-209.91200000000001</v>
      </c>
      <c r="O71" s="24">
        <v>-213.822</v>
      </c>
      <c r="P71" s="24">
        <v>-210.89099999999999</v>
      </c>
      <c r="Q71" s="24">
        <v>-223.91399999999999</v>
      </c>
      <c r="R71" s="24">
        <v>-222.3</v>
      </c>
      <c r="S71" s="24">
        <v>-234.227</v>
      </c>
      <c r="T71" s="24">
        <v>-223.602</v>
      </c>
      <c r="U71" s="24">
        <v>-224.178</v>
      </c>
      <c r="Z71" s="1"/>
      <c r="AA71" s="1"/>
      <c r="AB71" s="24">
        <v>0</v>
      </c>
      <c r="AC71" s="24">
        <v>0</v>
      </c>
      <c r="AD71" s="24">
        <v>0</v>
      </c>
      <c r="AE71" s="24">
        <v>0</v>
      </c>
      <c r="AF71" s="24">
        <v>-423.16899999999998</v>
      </c>
      <c r="AG71" s="24">
        <v>-401.21800000000002</v>
      </c>
      <c r="AH71" s="24">
        <v>-449.16199999999998</v>
      </c>
      <c r="AI71" s="24">
        <v>-482.00799999999998</v>
      </c>
      <c r="AJ71" s="24">
        <v>-530.17200000000003</v>
      </c>
      <c r="AK71" s="24">
        <v>-760.66</v>
      </c>
      <c r="AL71" s="24">
        <v>-891.33199999999999</v>
      </c>
      <c r="AM71" s="43"/>
    </row>
    <row r="72" spans="1:39" s="24" customFormat="1" x14ac:dyDescent="0.25">
      <c r="A72" s="1"/>
      <c r="B72" s="3"/>
      <c r="C72" s="1" t="s">
        <v>122</v>
      </c>
      <c r="D72" s="24">
        <v>0</v>
      </c>
      <c r="E72" s="24">
        <v>-643.88599999999997</v>
      </c>
      <c r="F72" s="24">
        <v>0</v>
      </c>
      <c r="G72" s="24">
        <v>0</v>
      </c>
      <c r="H72" s="24">
        <v>0</v>
      </c>
      <c r="I72" s="24">
        <v>-603.86500000000001</v>
      </c>
      <c r="J72" s="24">
        <v>0</v>
      </c>
      <c r="K72" s="24">
        <v>0</v>
      </c>
      <c r="L72" s="24">
        <v>0</v>
      </c>
      <c r="M72" s="24">
        <v>-523.40300000000002</v>
      </c>
      <c r="N72" s="24">
        <v>-0.23400000000000001</v>
      </c>
      <c r="O72" s="24">
        <v>7.8E-2</v>
      </c>
      <c r="P72" s="24">
        <v>0</v>
      </c>
      <c r="Q72" s="24">
        <v>-573.13499999999999</v>
      </c>
      <c r="R72" s="24">
        <v>0</v>
      </c>
      <c r="S72" s="24">
        <v>0</v>
      </c>
      <c r="T72" s="24">
        <v>0</v>
      </c>
      <c r="U72" s="24">
        <v>-613.68499999999995</v>
      </c>
      <c r="Z72" s="1"/>
      <c r="AA72" s="1"/>
      <c r="AB72" s="24">
        <v>0</v>
      </c>
      <c r="AC72" s="24">
        <v>-233.756</v>
      </c>
      <c r="AD72" s="24">
        <v>-333.93799999999999</v>
      </c>
      <c r="AE72" s="24">
        <v>-283.84699999999998</v>
      </c>
      <c r="AF72" s="24">
        <v>-298.71699999999998</v>
      </c>
      <c r="AG72" s="24">
        <v>-323.346</v>
      </c>
      <c r="AH72" s="24">
        <v>-434.20699999999999</v>
      </c>
      <c r="AI72" s="24">
        <v>-643.88599999999997</v>
      </c>
      <c r="AJ72" s="24">
        <v>-603.86500000000001</v>
      </c>
      <c r="AK72" s="24">
        <v>-523.55899999999997</v>
      </c>
      <c r="AL72" s="24">
        <v>-573.01499999999999</v>
      </c>
      <c r="AM72" s="43"/>
    </row>
    <row r="73" spans="1:39" s="24" customFormat="1" x14ac:dyDescent="0.25">
      <c r="A73" s="1"/>
      <c r="B73" s="3"/>
      <c r="C73" s="1" t="s">
        <v>123</v>
      </c>
      <c r="D73" s="24">
        <v>0</v>
      </c>
      <c r="E73" s="24">
        <v>0</v>
      </c>
      <c r="F73" s="24">
        <v>2.9</v>
      </c>
      <c r="G73" s="24">
        <v>0</v>
      </c>
      <c r="H73" s="24">
        <v>0</v>
      </c>
      <c r="I73" s="24">
        <v>0</v>
      </c>
      <c r="J73" s="24">
        <v>0.85</v>
      </c>
      <c r="K73" s="24">
        <v>0</v>
      </c>
      <c r="L73" s="24">
        <v>0</v>
      </c>
      <c r="M73" s="24">
        <v>1.35</v>
      </c>
      <c r="N73" s="24">
        <v>0</v>
      </c>
      <c r="O73" s="24">
        <v>0</v>
      </c>
      <c r="P73" s="24">
        <v>0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Z73" s="1"/>
      <c r="AA73" s="1"/>
      <c r="AB73" s="24">
        <v>46.283999999999999</v>
      </c>
      <c r="AC73" s="24">
        <v>0</v>
      </c>
      <c r="AD73" s="24">
        <v>0</v>
      </c>
      <c r="AE73" s="24">
        <v>-120.59</v>
      </c>
      <c r="AF73" s="24">
        <v>-2.9750000000000001</v>
      </c>
      <c r="AG73" s="24">
        <v>-244.53899999999999</v>
      </c>
      <c r="AH73" s="24">
        <v>7.27</v>
      </c>
      <c r="AI73" s="24">
        <v>2.9</v>
      </c>
      <c r="AJ73" s="24">
        <v>0.85</v>
      </c>
      <c r="AK73" s="24">
        <v>1.35</v>
      </c>
      <c r="AL73" s="24">
        <v>0</v>
      </c>
      <c r="AM73" s="43"/>
    </row>
    <row r="74" spans="1:39" s="24" customFormat="1" x14ac:dyDescent="0.25">
      <c r="A74" s="1"/>
      <c r="B74" s="3"/>
      <c r="C74" s="1" t="s">
        <v>124</v>
      </c>
      <c r="D74" s="24">
        <v>-16.5</v>
      </c>
      <c r="E74" s="24">
        <v>0</v>
      </c>
      <c r="F74" s="24">
        <v>0</v>
      </c>
      <c r="G74" s="24">
        <v>0</v>
      </c>
      <c r="H74" s="24">
        <v>0</v>
      </c>
      <c r="I74" s="24">
        <v>0</v>
      </c>
      <c r="J74" s="24">
        <v>-0.23400000000000001</v>
      </c>
      <c r="K74" s="24">
        <v>0</v>
      </c>
      <c r="L74" s="24">
        <v>0</v>
      </c>
      <c r="M74" s="24">
        <v>0</v>
      </c>
      <c r="N74" s="24">
        <v>0</v>
      </c>
      <c r="O74" s="24">
        <v>-7.8E-2</v>
      </c>
      <c r="P74" s="24">
        <v>0</v>
      </c>
      <c r="Q74" s="24">
        <v>-0.17899999999999999</v>
      </c>
      <c r="R74" s="24">
        <v>0</v>
      </c>
      <c r="S74" s="24">
        <v>0</v>
      </c>
      <c r="T74" s="24">
        <v>0</v>
      </c>
      <c r="U74" s="24">
        <v>0</v>
      </c>
      <c r="Z74" s="1"/>
      <c r="AA74" s="1"/>
      <c r="AB74" s="24">
        <v>0</v>
      </c>
      <c r="AC74" s="24">
        <v>0</v>
      </c>
      <c r="AD74" s="24">
        <v>0</v>
      </c>
      <c r="AE74" s="24">
        <v>0</v>
      </c>
      <c r="AF74" s="24">
        <v>0</v>
      </c>
      <c r="AG74" s="24">
        <v>0</v>
      </c>
      <c r="AH74" s="24">
        <v>0</v>
      </c>
      <c r="AI74" s="24">
        <v>-16.5</v>
      </c>
      <c r="AJ74" s="24">
        <v>-20.033999999999999</v>
      </c>
      <c r="AK74" s="24">
        <v>-7.8E-2</v>
      </c>
      <c r="AL74" s="24">
        <v>-0.29799999999999999</v>
      </c>
      <c r="AM74" s="43"/>
    </row>
    <row r="75" spans="1:39" s="24" customFormat="1" x14ac:dyDescent="0.25">
      <c r="A75" s="1"/>
      <c r="B75" s="3"/>
      <c r="C75" s="9" t="s">
        <v>125</v>
      </c>
      <c r="D75" s="23">
        <f t="shared" ref="D75:R75" si="125">SUM(D69:D74)</f>
        <v>-139.21299999999999</v>
      </c>
      <c r="E75" s="23">
        <f t="shared" si="125"/>
        <v>-415.44499999999994</v>
      </c>
      <c r="F75" s="23">
        <f t="shared" si="125"/>
        <v>-166.80600000000001</v>
      </c>
      <c r="G75" s="23">
        <f t="shared" si="125"/>
        <v>-423.03100000000001</v>
      </c>
      <c r="H75" s="23">
        <f t="shared" si="125"/>
        <v>177.41499999999999</v>
      </c>
      <c r="I75" s="23">
        <f t="shared" si="125"/>
        <v>-648.29099999999994</v>
      </c>
      <c r="J75" s="23">
        <f t="shared" si="125"/>
        <v>-283.73399999999998</v>
      </c>
      <c r="K75" s="23">
        <f t="shared" si="125"/>
        <v>-424.548</v>
      </c>
      <c r="L75" s="23">
        <f t="shared" si="125"/>
        <v>-152.21</v>
      </c>
      <c r="M75" s="23">
        <f t="shared" si="125"/>
        <v>-526.82100000000003</v>
      </c>
      <c r="N75" s="23">
        <f t="shared" si="125"/>
        <v>-167.07400000000001</v>
      </c>
      <c r="O75" s="23">
        <f t="shared" si="125"/>
        <v>-594.21199999999999</v>
      </c>
      <c r="P75" s="23">
        <f t="shared" si="125"/>
        <v>127.40600000000003</v>
      </c>
      <c r="Q75" s="23">
        <f t="shared" si="125"/>
        <v>-295.62799999999993</v>
      </c>
      <c r="R75" s="23">
        <f t="shared" si="125"/>
        <v>-242.76300000000001</v>
      </c>
      <c r="S75" s="23">
        <f>SUM(S69:S74)</f>
        <v>-549.26400000000001</v>
      </c>
      <c r="T75" s="23">
        <f t="shared" ref="T75:W75" si="126">SUM(T69:T74)</f>
        <v>-142.42700000000002</v>
      </c>
      <c r="U75" s="23">
        <f t="shared" si="126"/>
        <v>-289.10199999999998</v>
      </c>
      <c r="V75" s="23">
        <f t="shared" si="126"/>
        <v>0</v>
      </c>
      <c r="W75" s="23">
        <f t="shared" si="126"/>
        <v>0</v>
      </c>
      <c r="X75" s="23"/>
      <c r="Y75" s="23"/>
      <c r="Z75" s="1"/>
      <c r="AA75" s="1"/>
      <c r="AB75" s="23">
        <f t="shared" ref="AB75" si="127">SUM(AB69:AB74)</f>
        <v>19.061000000000043</v>
      </c>
      <c r="AC75" s="23">
        <f t="shared" ref="AC75" si="128">SUM(AC69:AC74)</f>
        <v>-241.73400000000001</v>
      </c>
      <c r="AD75" s="23">
        <f t="shared" ref="AD75" si="129">SUM(AD69:AD74)</f>
        <v>-340.41300000000001</v>
      </c>
      <c r="AE75" s="23">
        <f t="shared" ref="AE75" si="130">SUM(AE69:AE74)</f>
        <v>-413.06600000000003</v>
      </c>
      <c r="AF75" s="23">
        <f t="shared" ref="AF75" si="131">SUM(AF69:AF74)</f>
        <v>-731.70099999999991</v>
      </c>
      <c r="AG75" s="23">
        <f t="shared" ref="AG75" si="132">SUM(AG69:AG74)</f>
        <v>-1620.778</v>
      </c>
      <c r="AH75" s="23">
        <f t="shared" ref="AH75" si="133">SUM(AH69:AH74)</f>
        <v>-877.21299999999997</v>
      </c>
      <c r="AI75" s="23">
        <f t="shared" ref="AI75" si="134">SUM(AI69:AI74)</f>
        <v>-1144.4939999999999</v>
      </c>
      <c r="AJ75" s="23">
        <f t="shared" ref="AJ75" si="135">SUM(AJ69:AJ74)</f>
        <v>-1198.9590000000003</v>
      </c>
      <c r="AK75" s="23">
        <f t="shared" ref="AK75:AL75" si="136">SUM(AK69:AK74)</f>
        <v>-1449.357</v>
      </c>
      <c r="AL75" s="23">
        <f t="shared" si="136"/>
        <v>-960.24799999999993</v>
      </c>
      <c r="AM75" s="43"/>
    </row>
    <row r="76" spans="1:39" s="24" customFormat="1" x14ac:dyDescent="0.25">
      <c r="A76" s="1"/>
      <c r="B76" s="3"/>
      <c r="C76" s="1"/>
      <c r="Z76" s="1"/>
      <c r="AA76" s="1"/>
      <c r="AM76" s="43"/>
    </row>
    <row r="77" spans="1:39" s="24" customFormat="1" x14ac:dyDescent="0.25">
      <c r="A77" s="1"/>
      <c r="B77" s="3"/>
      <c r="C77" s="1" t="s">
        <v>126</v>
      </c>
      <c r="D77" s="24">
        <v>0</v>
      </c>
      <c r="E77" s="24">
        <v>0</v>
      </c>
      <c r="F77" s="24">
        <v>0</v>
      </c>
      <c r="G77" s="24">
        <v>0</v>
      </c>
      <c r="H77" s="24">
        <v>0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0.34899999999999998</v>
      </c>
      <c r="Q77" s="24">
        <v>0.14899999999999999</v>
      </c>
      <c r="R77" s="24">
        <v>0</v>
      </c>
      <c r="S77" s="24">
        <v>0.51900000000000002</v>
      </c>
      <c r="T77" s="24">
        <v>-1.5009999999999999</v>
      </c>
      <c r="U77" s="24">
        <v>-0.108</v>
      </c>
      <c r="Z77" s="1"/>
      <c r="AA77" s="1"/>
      <c r="AB77" s="24">
        <v>0</v>
      </c>
      <c r="AC77" s="24">
        <v>0</v>
      </c>
      <c r="AD77" s="24">
        <v>0</v>
      </c>
      <c r="AE77" s="24">
        <v>0</v>
      </c>
      <c r="AF77" s="24">
        <v>0</v>
      </c>
      <c r="AG77" s="24">
        <v>0</v>
      </c>
      <c r="AH77" s="24">
        <v>0</v>
      </c>
      <c r="AI77" s="24">
        <v>0</v>
      </c>
      <c r="AJ77" s="24">
        <v>0</v>
      </c>
      <c r="AK77" s="24">
        <v>0</v>
      </c>
      <c r="AL77" s="24">
        <v>1</v>
      </c>
      <c r="AM77" s="43"/>
    </row>
    <row r="78" spans="1:39" s="24" customFormat="1" x14ac:dyDescent="0.25">
      <c r="A78" s="1"/>
      <c r="B78" s="3"/>
      <c r="C78" s="1"/>
      <c r="Z78" s="1"/>
      <c r="AA78" s="1"/>
      <c r="AM78" s="43"/>
    </row>
    <row r="79" spans="1:39" s="24" customFormat="1" x14ac:dyDescent="0.25">
      <c r="A79" s="1"/>
      <c r="B79" s="3"/>
      <c r="C79" s="1" t="s">
        <v>127</v>
      </c>
      <c r="D79" s="24">
        <f t="shared" ref="D79:R79" si="137">D63+D67+D75+D77</f>
        <v>-576.49999999999989</v>
      </c>
      <c r="E79" s="24">
        <f t="shared" si="137"/>
        <v>-26.737999999999886</v>
      </c>
      <c r="F79" s="24">
        <f t="shared" si="137"/>
        <v>-91.625999999999962</v>
      </c>
      <c r="G79" s="24">
        <f t="shared" si="137"/>
        <v>588.48900000000003</v>
      </c>
      <c r="H79" s="24">
        <f t="shared" si="137"/>
        <v>-477.13000000000011</v>
      </c>
      <c r="I79" s="24">
        <f t="shared" si="137"/>
        <v>-97.505999999999972</v>
      </c>
      <c r="J79" s="24">
        <f t="shared" si="137"/>
        <v>209.274</v>
      </c>
      <c r="K79" s="24">
        <f t="shared" si="137"/>
        <v>595.04300000000001</v>
      </c>
      <c r="L79" s="24">
        <f t="shared" si="137"/>
        <v>-480.76900000000001</v>
      </c>
      <c r="M79" s="24">
        <f t="shared" si="137"/>
        <v>-55.992999999999995</v>
      </c>
      <c r="N79" s="24">
        <f t="shared" si="137"/>
        <v>-34.851000000000028</v>
      </c>
      <c r="O79" s="24">
        <f t="shared" si="137"/>
        <v>508.9079999999999</v>
      </c>
      <c r="P79" s="24">
        <f t="shared" si="137"/>
        <v>-456.60700000000003</v>
      </c>
      <c r="Q79" s="24">
        <f t="shared" si="137"/>
        <v>182.55900000000008</v>
      </c>
      <c r="R79" s="24">
        <f t="shared" si="137"/>
        <v>27.051000000000016</v>
      </c>
      <c r="S79" s="24">
        <f>S63+S67+S75+S77</f>
        <v>631.42099999999971</v>
      </c>
      <c r="T79" s="24">
        <f t="shared" ref="T79:W79" si="138">T63+T67+T75+T77</f>
        <v>-380.8359999999999</v>
      </c>
      <c r="U79" s="24">
        <f t="shared" si="138"/>
        <v>222.7480000000001</v>
      </c>
      <c r="V79" s="24">
        <f t="shared" si="138"/>
        <v>0</v>
      </c>
      <c r="W79" s="24">
        <f t="shared" si="138"/>
        <v>0</v>
      </c>
      <c r="Z79" s="1"/>
      <c r="AA79" s="1"/>
      <c r="AB79" s="24">
        <f t="shared" ref="AB79:AK79" si="139">AB63+AB67+AB75+AB77</f>
        <v>202.09900000000005</v>
      </c>
      <c r="AC79" s="24">
        <f t="shared" si="139"/>
        <v>129.84800000000004</v>
      </c>
      <c r="AD79" s="24">
        <f t="shared" si="139"/>
        <v>4.6990000000000691</v>
      </c>
      <c r="AE79" s="24">
        <f t="shared" si="139"/>
        <v>-154.69500000000016</v>
      </c>
      <c r="AF79" s="24">
        <f t="shared" si="139"/>
        <v>141.07000000000005</v>
      </c>
      <c r="AG79" s="24">
        <f t="shared" si="139"/>
        <v>-27.979000000000042</v>
      </c>
      <c r="AH79" s="24">
        <f t="shared" si="139"/>
        <v>30.231999999999971</v>
      </c>
      <c r="AI79" s="24">
        <f t="shared" si="139"/>
        <v>-105.79800000000023</v>
      </c>
      <c r="AJ79" s="24">
        <f t="shared" si="139"/>
        <v>211.83299999999963</v>
      </c>
      <c r="AK79" s="24">
        <f t="shared" si="139"/>
        <v>-72.958999999999833</v>
      </c>
      <c r="AL79" s="24">
        <f t="shared" ref="AL79" si="140">AL63+AL67+AL75+AL77</f>
        <v>384.76099999999963</v>
      </c>
      <c r="AM79" s="43"/>
    </row>
    <row r="80" spans="1:39" s="24" customFormat="1" x14ac:dyDescent="0.25">
      <c r="A80" s="1"/>
      <c r="B80" s="3"/>
      <c r="C80" s="1"/>
      <c r="Z80" s="1"/>
      <c r="AA80" s="1"/>
      <c r="AM80" s="43"/>
    </row>
    <row r="81" spans="1:39 16377:16377" s="24" customFormat="1" x14ac:dyDescent="0.25">
      <c r="A81" s="1"/>
      <c r="B81" s="3"/>
      <c r="C81" s="1" t="s">
        <v>128</v>
      </c>
      <c r="D81" s="24">
        <f t="shared" ref="D81:R81" si="141">D63+D65</f>
        <v>-437.92399999999992</v>
      </c>
      <c r="E81" s="24">
        <f t="shared" si="141"/>
        <v>394.33300000000008</v>
      </c>
      <c r="F81" s="24">
        <f t="shared" si="141"/>
        <v>162.54200000000003</v>
      </c>
      <c r="G81" s="24">
        <f t="shared" si="141"/>
        <v>1011.5200000000001</v>
      </c>
      <c r="H81" s="24">
        <f t="shared" si="141"/>
        <v>-437.947</v>
      </c>
      <c r="I81" s="24">
        <f t="shared" si="141"/>
        <v>550.78499999999997</v>
      </c>
      <c r="J81" s="24">
        <f t="shared" si="141"/>
        <v>493.00799999999998</v>
      </c>
      <c r="K81" s="24">
        <f t="shared" si="141"/>
        <v>1019.591</v>
      </c>
      <c r="L81" s="24">
        <f t="shared" si="141"/>
        <v>-329.29899999999998</v>
      </c>
      <c r="M81" s="24">
        <f t="shared" si="141"/>
        <v>452.52800000000002</v>
      </c>
      <c r="N81" s="24">
        <f t="shared" si="141"/>
        <v>132.22299999999998</v>
      </c>
      <c r="O81" s="24">
        <f t="shared" si="141"/>
        <v>1103.1199999999999</v>
      </c>
      <c r="P81" s="24">
        <f t="shared" si="141"/>
        <v>-589.16200000000003</v>
      </c>
      <c r="Q81" s="24">
        <f t="shared" si="141"/>
        <v>478.03800000000001</v>
      </c>
      <c r="R81" s="24">
        <f t="shared" si="141"/>
        <v>269.81400000000002</v>
      </c>
      <c r="S81" s="24">
        <f>S63+S65</f>
        <v>1180.1989999999998</v>
      </c>
      <c r="T81" s="24">
        <f t="shared" ref="T81:W81" si="142">T63+T65</f>
        <v>-236.9079999999999</v>
      </c>
      <c r="U81" s="24">
        <f t="shared" si="142"/>
        <v>511.95800000000008</v>
      </c>
      <c r="V81" s="24">
        <f t="shared" si="142"/>
        <v>0</v>
      </c>
      <c r="W81" s="24">
        <f t="shared" si="142"/>
        <v>0</v>
      </c>
      <c r="Z81" s="1"/>
      <c r="AA81" s="1"/>
      <c r="AB81" s="24">
        <f t="shared" ref="AB81:AK81" si="143">AB63+AB65</f>
        <v>185.69400000000002</v>
      </c>
      <c r="AC81" s="24">
        <f t="shared" si="143"/>
        <v>382.81100000000004</v>
      </c>
      <c r="AD81" s="24">
        <f t="shared" si="143"/>
        <v>373.5150000000001</v>
      </c>
      <c r="AE81" s="24">
        <f t="shared" si="143"/>
        <v>271.24599999999987</v>
      </c>
      <c r="AF81" s="24">
        <f t="shared" si="143"/>
        <v>875.48199999999997</v>
      </c>
      <c r="AG81" s="24">
        <f t="shared" si="143"/>
        <v>1600.778</v>
      </c>
      <c r="AH81" s="24">
        <f t="shared" si="143"/>
        <v>1460.6489999999999</v>
      </c>
      <c r="AI81" s="24">
        <f t="shared" si="143"/>
        <v>1131.0469999999998</v>
      </c>
      <c r="AJ81" s="24">
        <f t="shared" si="143"/>
        <v>1627.3899999999999</v>
      </c>
      <c r="AK81" s="24">
        <f t="shared" si="143"/>
        <v>1357.3510000000001</v>
      </c>
      <c r="AL81" s="24">
        <f t="shared" ref="AL81" si="144">AL63+AL65</f>
        <v>1339.2429999999995</v>
      </c>
      <c r="AM81" s="43"/>
    </row>
    <row r="84" spans="1:39 16377:16377" x14ac:dyDescent="0.25">
      <c r="S84" s="24"/>
    </row>
    <row r="85" spans="1:39 16377:16377" x14ac:dyDescent="0.25">
      <c r="S85" s="24"/>
    </row>
    <row r="87" spans="1:39 16377:16377" x14ac:dyDescent="0.25">
      <c r="XEW87" s="24"/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530B-66A2-7E43-964E-4B942CFACD73}">
  <dimension ref="B5:AK34"/>
  <sheetViews>
    <sheetView showGridLines="0" workbookViewId="0">
      <pane xSplit="2" ySplit="5" topLeftCell="P6" activePane="bottomRight" state="frozen"/>
      <selection pane="topRight" activeCell="C1" sqref="C1"/>
      <selection pane="bottomLeft" activeCell="A6" sqref="A6"/>
      <selection pane="bottomRight" activeCell="V46" sqref="V46"/>
    </sheetView>
  </sheetViews>
  <sheetFormatPr baseColWidth="10" defaultRowHeight="19" x14ac:dyDescent="0.25"/>
  <cols>
    <col min="1" max="1" width="10.83203125" style="1"/>
    <col min="2" max="2" width="15.83203125" style="1" customWidth="1"/>
    <col min="3" max="20" width="10.83203125" style="1"/>
    <col min="21" max="21" width="11.5" style="1" bestFit="1" customWidth="1"/>
    <col min="22" max="16384" width="10.83203125" style="1"/>
  </cols>
  <sheetData>
    <row r="5" spans="2:37" x14ac:dyDescent="0.25">
      <c r="B5" s="12" t="s">
        <v>35</v>
      </c>
      <c r="C5" s="11" t="s">
        <v>7</v>
      </c>
      <c r="D5" s="11" t="s">
        <v>8</v>
      </c>
      <c r="E5" s="11" t="s">
        <v>9</v>
      </c>
      <c r="F5" s="11" t="s">
        <v>10</v>
      </c>
      <c r="G5" s="16">
        <v>2022</v>
      </c>
      <c r="H5" s="11" t="s">
        <v>11</v>
      </c>
      <c r="I5" s="11" t="s">
        <v>12</v>
      </c>
      <c r="J5" s="11" t="s">
        <v>14</v>
      </c>
      <c r="K5" s="11" t="s">
        <v>15</v>
      </c>
      <c r="L5" s="16">
        <v>2023</v>
      </c>
      <c r="M5" s="11" t="s">
        <v>16</v>
      </c>
      <c r="N5" s="11" t="s">
        <v>17</v>
      </c>
      <c r="O5" s="11" t="s">
        <v>13</v>
      </c>
      <c r="P5" s="11" t="s">
        <v>18</v>
      </c>
      <c r="Q5" s="14">
        <v>2024</v>
      </c>
      <c r="R5" s="11" t="s">
        <v>37</v>
      </c>
      <c r="S5" s="11" t="s">
        <v>38</v>
      </c>
      <c r="T5" s="11" t="s">
        <v>39</v>
      </c>
      <c r="U5" s="11" t="s">
        <v>40</v>
      </c>
      <c r="V5" s="16">
        <v>2025</v>
      </c>
      <c r="W5" s="11" t="s">
        <v>41</v>
      </c>
      <c r="X5" s="11" t="s">
        <v>42</v>
      </c>
      <c r="Y5" s="11" t="s">
        <v>43</v>
      </c>
      <c r="Z5" s="11" t="s">
        <v>44</v>
      </c>
      <c r="AA5" s="16">
        <v>2026</v>
      </c>
      <c r="AB5" s="11" t="s">
        <v>146</v>
      </c>
      <c r="AC5" s="11" t="s">
        <v>147</v>
      </c>
      <c r="AD5" s="11" t="s">
        <v>148</v>
      </c>
      <c r="AE5" s="11" t="s">
        <v>149</v>
      </c>
      <c r="AF5" s="16">
        <v>2027</v>
      </c>
      <c r="AG5" s="11" t="s">
        <v>150</v>
      </c>
      <c r="AH5" s="11" t="s">
        <v>151</v>
      </c>
      <c r="AI5" s="11" t="s">
        <v>152</v>
      </c>
      <c r="AJ5" s="11" t="s">
        <v>153</v>
      </c>
      <c r="AK5" s="16">
        <v>2028</v>
      </c>
    </row>
    <row r="6" spans="2:37" x14ac:dyDescent="0.25">
      <c r="B6" s="9" t="s">
        <v>52</v>
      </c>
      <c r="G6" s="17"/>
      <c r="L6" s="17"/>
      <c r="V6" s="17"/>
      <c r="AA6" s="17"/>
      <c r="AF6" s="17"/>
      <c r="AK6" s="17"/>
    </row>
    <row r="7" spans="2:37" x14ac:dyDescent="0.25">
      <c r="B7" s="9" t="s">
        <v>54</v>
      </c>
      <c r="C7" s="23"/>
      <c r="D7" s="23"/>
      <c r="E7" s="23"/>
      <c r="F7" s="23"/>
      <c r="G7" s="31"/>
      <c r="H7" s="23"/>
      <c r="I7" s="23"/>
      <c r="J7" s="23"/>
      <c r="K7" s="23"/>
      <c r="L7" s="31"/>
      <c r="M7" s="23">
        <v>2026</v>
      </c>
      <c r="N7" s="23">
        <v>2381</v>
      </c>
      <c r="O7" s="23">
        <v>2248</v>
      </c>
      <c r="P7" s="23">
        <v>3223</v>
      </c>
      <c r="Q7" s="31">
        <f>SUM(M7:P7)</f>
        <v>9878</v>
      </c>
      <c r="R7" s="23">
        <v>2050</v>
      </c>
      <c r="S7" s="23">
        <v>2660</v>
      </c>
      <c r="T7" s="23">
        <v>2508</v>
      </c>
      <c r="U7" s="23">
        <v>3372</v>
      </c>
      <c r="V7" s="31">
        <f>SUM(R7:U7)</f>
        <v>10590</v>
      </c>
      <c r="W7" s="23">
        <v>2332</v>
      </c>
      <c r="X7" s="23">
        <v>2662</v>
      </c>
      <c r="Y7" s="23"/>
      <c r="Z7" s="23"/>
      <c r="AA7" s="31"/>
      <c r="AB7" s="23"/>
      <c r="AC7" s="23"/>
      <c r="AD7" s="23"/>
      <c r="AE7" s="23"/>
      <c r="AF7" s="31"/>
      <c r="AG7" s="23"/>
      <c r="AH7" s="23"/>
      <c r="AI7" s="23"/>
      <c r="AJ7" s="23"/>
      <c r="AK7" s="31"/>
    </row>
    <row r="8" spans="2:37" x14ac:dyDescent="0.25">
      <c r="B8" s="13" t="s">
        <v>55</v>
      </c>
      <c r="C8" s="13"/>
      <c r="D8" s="13"/>
      <c r="E8" s="13"/>
      <c r="F8" s="13"/>
      <c r="G8" s="19"/>
      <c r="H8" s="13" t="e">
        <f t="shared" ref="H8:T8" si="0">(H7-C7)/C7</f>
        <v>#DIV/0!</v>
      </c>
      <c r="I8" s="13" t="e">
        <f t="shared" si="0"/>
        <v>#DIV/0!</v>
      </c>
      <c r="J8" s="13" t="e">
        <f t="shared" si="0"/>
        <v>#DIV/0!</v>
      </c>
      <c r="K8" s="13" t="e">
        <f t="shared" si="0"/>
        <v>#DIV/0!</v>
      </c>
      <c r="L8" s="19" t="e">
        <f t="shared" si="0"/>
        <v>#DIV/0!</v>
      </c>
      <c r="M8" s="13" t="e">
        <f t="shared" si="0"/>
        <v>#DIV/0!</v>
      </c>
      <c r="N8" s="13" t="e">
        <f t="shared" si="0"/>
        <v>#DIV/0!</v>
      </c>
      <c r="O8" s="13" t="e">
        <f t="shared" si="0"/>
        <v>#DIV/0!</v>
      </c>
      <c r="P8" s="13" t="e">
        <f t="shared" si="0"/>
        <v>#DIV/0!</v>
      </c>
      <c r="Q8" s="19" t="e">
        <f t="shared" si="0"/>
        <v>#DIV/0!</v>
      </c>
      <c r="R8" s="13">
        <f t="shared" si="0"/>
        <v>1.1846001974333662E-2</v>
      </c>
      <c r="S8" s="13">
        <f t="shared" si="0"/>
        <v>0.11717765644687106</v>
      </c>
      <c r="T8" s="13">
        <f t="shared" si="0"/>
        <v>0.11565836298932385</v>
      </c>
      <c r="U8" s="13">
        <f>(U7-P7)/P7</f>
        <v>4.6230220291653738E-2</v>
      </c>
      <c r="V8" s="19">
        <f t="shared" ref="V8:AA8" si="1">(V7-Q7)/Q7</f>
        <v>7.2079368293176752E-2</v>
      </c>
      <c r="W8" s="13">
        <f t="shared" si="1"/>
        <v>0.13756097560975611</v>
      </c>
      <c r="X8" s="13">
        <f t="shared" si="1"/>
        <v>7.5187969924812035E-4</v>
      </c>
      <c r="Y8" s="13">
        <f t="shared" si="1"/>
        <v>-1</v>
      </c>
      <c r="Z8" s="13">
        <f t="shared" si="1"/>
        <v>-1</v>
      </c>
      <c r="AA8" s="19">
        <f t="shared" si="1"/>
        <v>-1</v>
      </c>
      <c r="AB8" s="13">
        <f t="shared" ref="AB8" si="2">(AB7-W7)/W7</f>
        <v>-1</v>
      </c>
      <c r="AC8" s="13">
        <f t="shared" ref="AC8" si="3">(AC7-X7)/X7</f>
        <v>-1</v>
      </c>
      <c r="AD8" s="13" t="e">
        <f t="shared" ref="AD8" si="4">(AD7-Y7)/Y7</f>
        <v>#DIV/0!</v>
      </c>
      <c r="AE8" s="13" t="e">
        <f t="shared" ref="AE8" si="5">(AE7-Z7)/Z7</f>
        <v>#DIV/0!</v>
      </c>
      <c r="AF8" s="19" t="e">
        <f t="shared" ref="AF8" si="6">(AF7-AA7)/AA7</f>
        <v>#DIV/0!</v>
      </c>
      <c r="AG8" s="13" t="e">
        <f t="shared" ref="AG8" si="7">(AG7-AB7)/AB7</f>
        <v>#DIV/0!</v>
      </c>
      <c r="AH8" s="13" t="e">
        <f t="shared" ref="AH8" si="8">(AH7-AC7)/AC7</f>
        <v>#DIV/0!</v>
      </c>
      <c r="AI8" s="13" t="e">
        <f t="shared" ref="AI8" si="9">(AI7-AD7)/AD7</f>
        <v>#DIV/0!</v>
      </c>
      <c r="AJ8" s="13" t="e">
        <f t="shared" ref="AJ8" si="10">(AJ7-AE7)/AE7</f>
        <v>#DIV/0!</v>
      </c>
      <c r="AK8" s="19" t="e">
        <f t="shared" ref="AK8" si="11">(AK7-AF7)/AF7</f>
        <v>#DIV/0!</v>
      </c>
    </row>
    <row r="9" spans="2:37" x14ac:dyDescent="0.25">
      <c r="B9" s="13" t="s">
        <v>142</v>
      </c>
      <c r="C9" s="13"/>
      <c r="D9" s="13"/>
      <c r="E9" s="13"/>
      <c r="F9" s="13"/>
      <c r="G9" s="19"/>
      <c r="H9" s="13"/>
      <c r="I9" s="13"/>
      <c r="J9" s="13"/>
      <c r="K9" s="13"/>
      <c r="L9" s="19"/>
      <c r="M9" s="13"/>
      <c r="N9" s="13"/>
      <c r="O9" s="13"/>
      <c r="P9" s="13"/>
      <c r="Q9" s="19"/>
      <c r="R9" s="13"/>
      <c r="S9" s="13"/>
      <c r="T9" s="13"/>
      <c r="U9" s="13"/>
      <c r="V9" s="19"/>
      <c r="W9" s="13"/>
      <c r="X9" s="13">
        <v>-8.9999999999999993E-3</v>
      </c>
      <c r="Y9" s="13"/>
      <c r="Z9" s="13"/>
      <c r="AA9" s="19"/>
      <c r="AB9" s="13"/>
      <c r="AC9" s="13"/>
      <c r="AD9" s="13"/>
      <c r="AE9" s="13"/>
      <c r="AF9" s="19"/>
      <c r="AG9" s="13"/>
      <c r="AH9" s="13"/>
      <c r="AI9" s="13"/>
      <c r="AJ9" s="13"/>
      <c r="AK9" s="19"/>
    </row>
    <row r="10" spans="2:37" x14ac:dyDescent="0.25">
      <c r="B10" s="1" t="s">
        <v>58</v>
      </c>
      <c r="C10" s="24"/>
      <c r="D10" s="24"/>
      <c r="E10" s="24"/>
      <c r="F10" s="24"/>
      <c r="G10" s="32"/>
      <c r="H10" s="24"/>
      <c r="I10" s="24"/>
      <c r="J10" s="24"/>
      <c r="K10" s="24"/>
      <c r="L10" s="32"/>
      <c r="M10" s="24">
        <v>1148</v>
      </c>
      <c r="N10" s="24">
        <v>1315</v>
      </c>
      <c r="O10" s="24">
        <v>1265</v>
      </c>
      <c r="P10" s="24">
        <v>1737</v>
      </c>
      <c r="Q10" s="31">
        <f>SUM(M10:P10)</f>
        <v>5465</v>
      </c>
      <c r="R10" s="24">
        <v>1170</v>
      </c>
      <c r="S10" s="24">
        <v>1466</v>
      </c>
      <c r="T10" s="24">
        <v>1388</v>
      </c>
      <c r="U10" s="24">
        <v>1832</v>
      </c>
      <c r="V10" s="31">
        <f>SUM(R10:U10)</f>
        <v>5856</v>
      </c>
      <c r="W10" s="24">
        <v>1341</v>
      </c>
      <c r="X10" s="24">
        <v>1445</v>
      </c>
      <c r="Y10" s="24"/>
      <c r="Z10" s="24"/>
      <c r="AA10" s="32"/>
      <c r="AB10" s="24"/>
      <c r="AC10" s="24"/>
      <c r="AD10" s="24"/>
      <c r="AE10" s="24"/>
      <c r="AF10" s="32"/>
      <c r="AG10" s="24"/>
      <c r="AH10" s="24"/>
      <c r="AI10" s="24"/>
      <c r="AJ10" s="24"/>
      <c r="AK10" s="32"/>
    </row>
    <row r="11" spans="2:37" x14ac:dyDescent="0.25">
      <c r="B11" s="1" t="s">
        <v>56</v>
      </c>
      <c r="C11" s="24">
        <f t="shared" ref="C11:T11" si="12">C7-C10</f>
        <v>0</v>
      </c>
      <c r="D11" s="24">
        <f t="shared" si="12"/>
        <v>0</v>
      </c>
      <c r="E11" s="24">
        <f t="shared" si="12"/>
        <v>0</v>
      </c>
      <c r="F11" s="24">
        <f t="shared" si="12"/>
        <v>0</v>
      </c>
      <c r="G11" s="32">
        <f t="shared" si="12"/>
        <v>0</v>
      </c>
      <c r="H11" s="24">
        <f t="shared" si="12"/>
        <v>0</v>
      </c>
      <c r="I11" s="24">
        <f t="shared" si="12"/>
        <v>0</v>
      </c>
      <c r="J11" s="24">
        <f t="shared" si="12"/>
        <v>0</v>
      </c>
      <c r="K11" s="24">
        <f t="shared" si="12"/>
        <v>0</v>
      </c>
      <c r="L11" s="32">
        <f t="shared" si="12"/>
        <v>0</v>
      </c>
      <c r="M11" s="24">
        <f t="shared" si="12"/>
        <v>878</v>
      </c>
      <c r="N11" s="24">
        <f t="shared" si="12"/>
        <v>1066</v>
      </c>
      <c r="O11" s="24">
        <f t="shared" si="12"/>
        <v>983</v>
      </c>
      <c r="P11" s="24">
        <f t="shared" si="12"/>
        <v>1486</v>
      </c>
      <c r="Q11" s="32">
        <f t="shared" si="12"/>
        <v>4413</v>
      </c>
      <c r="R11" s="24">
        <f t="shared" si="12"/>
        <v>880</v>
      </c>
      <c r="S11" s="24">
        <f t="shared" si="12"/>
        <v>1194</v>
      </c>
      <c r="T11" s="24">
        <f t="shared" si="12"/>
        <v>1120</v>
      </c>
      <c r="U11" s="24">
        <f>U7-U10</f>
        <v>1540</v>
      </c>
      <c r="V11" s="32">
        <f t="shared" ref="V11:AA11" si="13">V7-V10</f>
        <v>4734</v>
      </c>
      <c r="W11" s="24">
        <f t="shared" si="13"/>
        <v>991</v>
      </c>
      <c r="X11" s="24">
        <f t="shared" si="13"/>
        <v>1217</v>
      </c>
      <c r="Y11" s="24">
        <f t="shared" si="13"/>
        <v>0</v>
      </c>
      <c r="Z11" s="24">
        <f t="shared" si="13"/>
        <v>0</v>
      </c>
      <c r="AA11" s="32">
        <f t="shared" si="13"/>
        <v>0</v>
      </c>
      <c r="AB11" s="24">
        <f t="shared" ref="AB11:AK11" si="14">AB7-AB10</f>
        <v>0</v>
      </c>
      <c r="AC11" s="24">
        <f t="shared" si="14"/>
        <v>0</v>
      </c>
      <c r="AD11" s="24">
        <f t="shared" si="14"/>
        <v>0</v>
      </c>
      <c r="AE11" s="24">
        <f t="shared" si="14"/>
        <v>0</v>
      </c>
      <c r="AF11" s="32">
        <f t="shared" si="14"/>
        <v>0</v>
      </c>
      <c r="AG11" s="24">
        <f t="shared" si="14"/>
        <v>0</v>
      </c>
      <c r="AH11" s="24">
        <f t="shared" si="14"/>
        <v>0</v>
      </c>
      <c r="AI11" s="24">
        <f t="shared" si="14"/>
        <v>0</v>
      </c>
      <c r="AJ11" s="24">
        <f t="shared" si="14"/>
        <v>0</v>
      </c>
      <c r="AK11" s="32">
        <f t="shared" si="14"/>
        <v>0</v>
      </c>
    </row>
    <row r="12" spans="2:37" x14ac:dyDescent="0.25">
      <c r="B12" s="13" t="s">
        <v>57</v>
      </c>
      <c r="C12" s="13" t="e">
        <f t="shared" ref="C12:T12" si="15">C11/C7</f>
        <v>#DIV/0!</v>
      </c>
      <c r="D12" s="13" t="e">
        <f t="shared" si="15"/>
        <v>#DIV/0!</v>
      </c>
      <c r="E12" s="13" t="e">
        <f t="shared" si="15"/>
        <v>#DIV/0!</v>
      </c>
      <c r="F12" s="13" t="e">
        <f t="shared" si="15"/>
        <v>#DIV/0!</v>
      </c>
      <c r="G12" s="19" t="e">
        <f t="shared" si="15"/>
        <v>#DIV/0!</v>
      </c>
      <c r="H12" s="13" t="e">
        <f t="shared" si="15"/>
        <v>#DIV/0!</v>
      </c>
      <c r="I12" s="13" t="e">
        <f t="shared" si="15"/>
        <v>#DIV/0!</v>
      </c>
      <c r="J12" s="13" t="e">
        <f t="shared" si="15"/>
        <v>#DIV/0!</v>
      </c>
      <c r="K12" s="13" t="e">
        <f t="shared" si="15"/>
        <v>#DIV/0!</v>
      </c>
      <c r="L12" s="19" t="e">
        <f t="shared" si="15"/>
        <v>#DIV/0!</v>
      </c>
      <c r="M12" s="13">
        <f t="shared" si="15"/>
        <v>0.43336623889437315</v>
      </c>
      <c r="N12" s="13">
        <f t="shared" si="15"/>
        <v>0.44771104577908444</v>
      </c>
      <c r="O12" s="13">
        <f t="shared" si="15"/>
        <v>0.4372775800711744</v>
      </c>
      <c r="P12" s="13">
        <f t="shared" si="15"/>
        <v>0.46106112317716413</v>
      </c>
      <c r="Q12" s="19">
        <f t="shared" si="15"/>
        <v>0.44675035432273741</v>
      </c>
      <c r="R12" s="13">
        <f t="shared" si="15"/>
        <v>0.42926829268292682</v>
      </c>
      <c r="S12" s="13">
        <f t="shared" si="15"/>
        <v>0.44887218045112781</v>
      </c>
      <c r="T12" s="13">
        <f t="shared" si="15"/>
        <v>0.44657097288676234</v>
      </c>
      <c r="U12" s="13">
        <f>U11/U7</f>
        <v>0.45670225385527874</v>
      </c>
      <c r="V12" s="19">
        <f t="shared" ref="V12:AA12" si="16">V11/V7</f>
        <v>0.44702549575070821</v>
      </c>
      <c r="W12" s="13">
        <f t="shared" si="16"/>
        <v>0.42495711835334476</v>
      </c>
      <c r="X12" s="13">
        <f t="shared" si="16"/>
        <v>0.45717505634861005</v>
      </c>
      <c r="Y12" s="13" t="e">
        <f t="shared" si="16"/>
        <v>#DIV/0!</v>
      </c>
      <c r="Z12" s="13" t="e">
        <f t="shared" si="16"/>
        <v>#DIV/0!</v>
      </c>
      <c r="AA12" s="19" t="e">
        <f t="shared" si="16"/>
        <v>#DIV/0!</v>
      </c>
      <c r="AB12" s="13" t="e">
        <f t="shared" ref="AB12:AK12" si="17">AB11/AB7</f>
        <v>#DIV/0!</v>
      </c>
      <c r="AC12" s="13" t="e">
        <f t="shared" si="17"/>
        <v>#DIV/0!</v>
      </c>
      <c r="AD12" s="13" t="e">
        <f t="shared" si="17"/>
        <v>#DIV/0!</v>
      </c>
      <c r="AE12" s="13" t="e">
        <f t="shared" si="17"/>
        <v>#DIV/0!</v>
      </c>
      <c r="AF12" s="19" t="e">
        <f t="shared" si="17"/>
        <v>#DIV/0!</v>
      </c>
      <c r="AG12" s="13" t="e">
        <f t="shared" si="17"/>
        <v>#DIV/0!</v>
      </c>
      <c r="AH12" s="13" t="e">
        <f t="shared" si="17"/>
        <v>#DIV/0!</v>
      </c>
      <c r="AI12" s="13" t="e">
        <f t="shared" si="17"/>
        <v>#DIV/0!</v>
      </c>
      <c r="AJ12" s="13" t="e">
        <f t="shared" si="17"/>
        <v>#DIV/0!</v>
      </c>
      <c r="AK12" s="19" t="e">
        <f t="shared" si="17"/>
        <v>#DIV/0!</v>
      </c>
    </row>
    <row r="13" spans="2:37" x14ac:dyDescent="0.25">
      <c r="B13" s="1" t="s">
        <v>59</v>
      </c>
      <c r="C13" s="24"/>
      <c r="D13" s="24"/>
      <c r="E13" s="24"/>
      <c r="F13" s="24"/>
      <c r="G13" s="32"/>
      <c r="H13" s="24"/>
      <c r="I13" s="24"/>
      <c r="J13" s="24"/>
      <c r="K13" s="24"/>
      <c r="L13" s="32"/>
      <c r="M13" s="24">
        <v>597</v>
      </c>
      <c r="N13" s="24">
        <v>540</v>
      </c>
      <c r="O13" s="24">
        <v>597</v>
      </c>
      <c r="P13" s="24">
        <v>646</v>
      </c>
      <c r="Q13" s="31">
        <f>SUM(M13:P13)</f>
        <v>2380</v>
      </c>
      <c r="R13" s="24">
        <v>626</v>
      </c>
      <c r="S13" s="24">
        <v>559</v>
      </c>
      <c r="T13" s="24">
        <v>649</v>
      </c>
      <c r="U13" s="24">
        <v>714</v>
      </c>
      <c r="V13" s="31">
        <f>SUM(R13:U13)</f>
        <v>2548</v>
      </c>
      <c r="W13" s="24">
        <v>665</v>
      </c>
      <c r="X13" s="24">
        <v>608</v>
      </c>
      <c r="Y13" s="24"/>
      <c r="Z13" s="24"/>
      <c r="AA13" s="32"/>
      <c r="AB13" s="24"/>
      <c r="AC13" s="24"/>
      <c r="AD13" s="24"/>
      <c r="AE13" s="24"/>
      <c r="AF13" s="32"/>
      <c r="AG13" s="24"/>
      <c r="AH13" s="24"/>
      <c r="AI13" s="24"/>
      <c r="AJ13" s="24"/>
      <c r="AK13" s="32"/>
    </row>
    <row r="14" spans="2:37" x14ac:dyDescent="0.25">
      <c r="B14" s="10" t="s">
        <v>60</v>
      </c>
      <c r="C14" s="13" t="e">
        <f t="shared" ref="C14:T14" si="18">C13/C7</f>
        <v>#DIV/0!</v>
      </c>
      <c r="D14" s="13" t="e">
        <f t="shared" si="18"/>
        <v>#DIV/0!</v>
      </c>
      <c r="E14" s="13" t="e">
        <f t="shared" si="18"/>
        <v>#DIV/0!</v>
      </c>
      <c r="F14" s="13" t="e">
        <f t="shared" si="18"/>
        <v>#DIV/0!</v>
      </c>
      <c r="G14" s="19" t="e">
        <f t="shared" si="18"/>
        <v>#DIV/0!</v>
      </c>
      <c r="H14" s="13" t="e">
        <f t="shared" si="18"/>
        <v>#DIV/0!</v>
      </c>
      <c r="I14" s="13" t="e">
        <f t="shared" si="18"/>
        <v>#DIV/0!</v>
      </c>
      <c r="J14" s="13" t="e">
        <f t="shared" si="18"/>
        <v>#DIV/0!</v>
      </c>
      <c r="K14" s="13" t="e">
        <f t="shared" si="18"/>
        <v>#DIV/0!</v>
      </c>
      <c r="L14" s="19" t="e">
        <f t="shared" si="18"/>
        <v>#DIV/0!</v>
      </c>
      <c r="M14" s="13">
        <f t="shared" si="18"/>
        <v>0.29466929911154988</v>
      </c>
      <c r="N14" s="13">
        <f t="shared" si="18"/>
        <v>0.22679546409071819</v>
      </c>
      <c r="O14" s="13">
        <f t="shared" si="18"/>
        <v>0.26556939501779359</v>
      </c>
      <c r="P14" s="13">
        <f t="shared" si="18"/>
        <v>0.20043437790878063</v>
      </c>
      <c r="Q14" s="19">
        <f t="shared" si="18"/>
        <v>0.24093946142943914</v>
      </c>
      <c r="R14" s="13">
        <f t="shared" si="18"/>
        <v>0.30536585365853658</v>
      </c>
      <c r="S14" s="13">
        <f t="shared" si="18"/>
        <v>0.21015037593984962</v>
      </c>
      <c r="T14" s="13">
        <f t="shared" si="18"/>
        <v>0.25877192982456143</v>
      </c>
      <c r="U14" s="13">
        <f>U13/U7</f>
        <v>0.21174377224199289</v>
      </c>
      <c r="V14" s="19">
        <f t="shared" ref="V14:AA14" si="19">V13/V7</f>
        <v>0.24060434372049103</v>
      </c>
      <c r="W14" s="13">
        <f t="shared" si="19"/>
        <v>0.28516295025728988</v>
      </c>
      <c r="X14" s="13">
        <f t="shared" si="19"/>
        <v>0.22839969947407965</v>
      </c>
      <c r="Y14" s="13" t="e">
        <f t="shared" si="19"/>
        <v>#DIV/0!</v>
      </c>
      <c r="Z14" s="13" t="e">
        <f t="shared" si="19"/>
        <v>#DIV/0!</v>
      </c>
      <c r="AA14" s="19" t="e">
        <f t="shared" si="19"/>
        <v>#DIV/0!</v>
      </c>
      <c r="AB14" s="13" t="e">
        <f t="shared" ref="AB14:AK14" si="20">AB13/AB7</f>
        <v>#DIV/0!</v>
      </c>
      <c r="AC14" s="13" t="e">
        <f t="shared" si="20"/>
        <v>#DIV/0!</v>
      </c>
      <c r="AD14" s="13" t="e">
        <f t="shared" si="20"/>
        <v>#DIV/0!</v>
      </c>
      <c r="AE14" s="13" t="e">
        <f t="shared" si="20"/>
        <v>#DIV/0!</v>
      </c>
      <c r="AF14" s="19" t="e">
        <f t="shared" si="20"/>
        <v>#DIV/0!</v>
      </c>
      <c r="AG14" s="13" t="e">
        <f t="shared" si="20"/>
        <v>#DIV/0!</v>
      </c>
      <c r="AH14" s="13" t="e">
        <f t="shared" si="20"/>
        <v>#DIV/0!</v>
      </c>
      <c r="AI14" s="13" t="e">
        <f t="shared" si="20"/>
        <v>#DIV/0!</v>
      </c>
      <c r="AJ14" s="13" t="e">
        <f t="shared" si="20"/>
        <v>#DIV/0!</v>
      </c>
      <c r="AK14" s="19" t="e">
        <f t="shared" si="20"/>
        <v>#DIV/0!</v>
      </c>
    </row>
    <row r="15" spans="2:37" x14ac:dyDescent="0.25">
      <c r="B15" s="9" t="s">
        <v>61</v>
      </c>
      <c r="C15" s="23"/>
      <c r="D15" s="23"/>
      <c r="E15" s="23"/>
      <c r="F15" s="23"/>
      <c r="G15" s="31"/>
      <c r="H15" s="23"/>
      <c r="I15" s="23"/>
      <c r="J15" s="23"/>
      <c r="K15" s="23"/>
      <c r="L15" s="31"/>
      <c r="M15" s="23">
        <v>281</v>
      </c>
      <c r="N15" s="23">
        <v>525</v>
      </c>
      <c r="O15" s="23">
        <v>386</v>
      </c>
      <c r="P15" s="23">
        <v>840</v>
      </c>
      <c r="Q15" s="31">
        <f>SUM(M15:P15)</f>
        <v>2032</v>
      </c>
      <c r="R15" s="23">
        <v>254</v>
      </c>
      <c r="S15" s="23">
        <v>635</v>
      </c>
      <c r="T15" s="23">
        <v>471</v>
      </c>
      <c r="U15" s="23">
        <v>826</v>
      </c>
      <c r="V15" s="31">
        <f>SUM(R15:U15)</f>
        <v>2186</v>
      </c>
      <c r="W15" s="23">
        <v>325</v>
      </c>
      <c r="X15" s="23">
        <v>609</v>
      </c>
      <c r="Y15" s="23"/>
      <c r="Z15" s="23"/>
      <c r="AA15" s="31"/>
      <c r="AB15" s="23"/>
      <c r="AC15" s="23"/>
      <c r="AD15" s="23"/>
      <c r="AE15" s="23"/>
      <c r="AF15" s="31"/>
      <c r="AG15" s="23"/>
      <c r="AH15" s="23"/>
      <c r="AI15" s="23"/>
      <c r="AJ15" s="23"/>
      <c r="AK15" s="31"/>
    </row>
    <row r="16" spans="2:37" x14ac:dyDescent="0.25">
      <c r="B16" s="10" t="s">
        <v>62</v>
      </c>
      <c r="C16" s="13" t="e">
        <f t="shared" ref="C16:T16" si="21">C15/C7</f>
        <v>#DIV/0!</v>
      </c>
      <c r="D16" s="13" t="e">
        <f t="shared" si="21"/>
        <v>#DIV/0!</v>
      </c>
      <c r="E16" s="13" t="e">
        <f t="shared" si="21"/>
        <v>#DIV/0!</v>
      </c>
      <c r="F16" s="13" t="e">
        <f t="shared" si="21"/>
        <v>#DIV/0!</v>
      </c>
      <c r="G16" s="19" t="e">
        <f t="shared" si="21"/>
        <v>#DIV/0!</v>
      </c>
      <c r="H16" s="13" t="e">
        <f t="shared" si="21"/>
        <v>#DIV/0!</v>
      </c>
      <c r="I16" s="13" t="e">
        <f t="shared" si="21"/>
        <v>#DIV/0!</v>
      </c>
      <c r="J16" s="13" t="e">
        <f t="shared" si="21"/>
        <v>#DIV/0!</v>
      </c>
      <c r="K16" s="13" t="e">
        <f t="shared" si="21"/>
        <v>#DIV/0!</v>
      </c>
      <c r="L16" s="19" t="e">
        <f t="shared" si="21"/>
        <v>#DIV/0!</v>
      </c>
      <c r="M16" s="13">
        <f t="shared" si="21"/>
        <v>0.1386969397828233</v>
      </c>
      <c r="N16" s="13">
        <f t="shared" si="21"/>
        <v>0.22049559008819825</v>
      </c>
      <c r="O16" s="13">
        <f t="shared" si="21"/>
        <v>0.17170818505338079</v>
      </c>
      <c r="P16" s="13">
        <f t="shared" si="21"/>
        <v>0.26062674526838348</v>
      </c>
      <c r="Q16" s="19">
        <f t="shared" si="21"/>
        <v>0.20570965782547074</v>
      </c>
      <c r="R16" s="13">
        <f t="shared" si="21"/>
        <v>0.12390243902439024</v>
      </c>
      <c r="S16" s="13">
        <f t="shared" si="21"/>
        <v>0.2387218045112782</v>
      </c>
      <c r="T16" s="13">
        <f t="shared" si="21"/>
        <v>0.18779904306220097</v>
      </c>
      <c r="U16" s="13">
        <f>U15/U7</f>
        <v>0.24495848161328587</v>
      </c>
      <c r="V16" s="19">
        <f t="shared" ref="V16:AA16" si="22">V15/V7</f>
        <v>0.20642115203021719</v>
      </c>
      <c r="W16" s="13">
        <f t="shared" si="22"/>
        <v>0.13936535162950256</v>
      </c>
      <c r="X16" s="13">
        <f t="shared" si="22"/>
        <v>0.22877535687453043</v>
      </c>
      <c r="Y16" s="13" t="e">
        <f t="shared" si="22"/>
        <v>#DIV/0!</v>
      </c>
      <c r="Z16" s="13" t="e">
        <f t="shared" si="22"/>
        <v>#DIV/0!</v>
      </c>
      <c r="AA16" s="19" t="e">
        <f t="shared" si="22"/>
        <v>#DIV/0!</v>
      </c>
      <c r="AB16" s="13" t="e">
        <f t="shared" ref="AB16:AK16" si="23">AB15/AB7</f>
        <v>#DIV/0!</v>
      </c>
      <c r="AC16" s="13" t="e">
        <f t="shared" si="23"/>
        <v>#DIV/0!</v>
      </c>
      <c r="AD16" s="13" t="e">
        <f t="shared" si="23"/>
        <v>#DIV/0!</v>
      </c>
      <c r="AE16" s="13" t="e">
        <f t="shared" si="23"/>
        <v>#DIV/0!</v>
      </c>
      <c r="AF16" s="19" t="e">
        <f t="shared" si="23"/>
        <v>#DIV/0!</v>
      </c>
      <c r="AG16" s="13" t="e">
        <f t="shared" si="23"/>
        <v>#DIV/0!</v>
      </c>
      <c r="AH16" s="13" t="e">
        <f t="shared" si="23"/>
        <v>#DIV/0!</v>
      </c>
      <c r="AI16" s="13" t="e">
        <f t="shared" si="23"/>
        <v>#DIV/0!</v>
      </c>
      <c r="AJ16" s="13" t="e">
        <f t="shared" si="23"/>
        <v>#DIV/0!</v>
      </c>
      <c r="AK16" s="19" t="e">
        <f t="shared" si="23"/>
        <v>#DIV/0!</v>
      </c>
    </row>
    <row r="17" spans="2:37" x14ac:dyDescent="0.25">
      <c r="B17" s="9" t="s">
        <v>63</v>
      </c>
      <c r="C17" s="23"/>
      <c r="D17" s="23"/>
      <c r="E17" s="23"/>
      <c r="F17" s="23"/>
      <c r="G17" s="31"/>
      <c r="H17" s="23"/>
      <c r="I17" s="23"/>
      <c r="J17" s="23"/>
      <c r="K17" s="23"/>
      <c r="L17" s="31"/>
      <c r="M17" s="23">
        <v>107</v>
      </c>
      <c r="N17" s="23">
        <v>354</v>
      </c>
      <c r="O17" s="23">
        <v>212</v>
      </c>
      <c r="P17" s="23">
        <v>665</v>
      </c>
      <c r="Q17" s="31">
        <f>SUM(M17:P17)</f>
        <v>1338</v>
      </c>
      <c r="R17" s="23">
        <v>78</v>
      </c>
      <c r="S17" s="23">
        <v>457</v>
      </c>
      <c r="T17" s="23">
        <v>293</v>
      </c>
      <c r="U17" s="23">
        <v>648</v>
      </c>
      <c r="V17" s="31">
        <f>SUM(R17:U17)</f>
        <v>1476</v>
      </c>
      <c r="W17" s="23">
        <v>145</v>
      </c>
      <c r="X17" s="23">
        <v>428</v>
      </c>
      <c r="Y17" s="23"/>
      <c r="Z17" s="23"/>
      <c r="AA17" s="31"/>
      <c r="AB17" s="23"/>
      <c r="AC17" s="23"/>
      <c r="AD17" s="23"/>
      <c r="AE17" s="23"/>
      <c r="AF17" s="31"/>
      <c r="AG17" s="23"/>
      <c r="AH17" s="23"/>
      <c r="AI17" s="23"/>
      <c r="AJ17" s="23"/>
      <c r="AK17" s="31"/>
    </row>
    <row r="18" spans="2:37" x14ac:dyDescent="0.25">
      <c r="B18" s="10" t="s">
        <v>64</v>
      </c>
      <c r="C18" s="13" t="e">
        <f t="shared" ref="C18:T18" si="24">C17/C7</f>
        <v>#DIV/0!</v>
      </c>
      <c r="D18" s="13" t="e">
        <f t="shared" si="24"/>
        <v>#DIV/0!</v>
      </c>
      <c r="E18" s="13" t="e">
        <f t="shared" si="24"/>
        <v>#DIV/0!</v>
      </c>
      <c r="F18" s="13" t="e">
        <f t="shared" si="24"/>
        <v>#DIV/0!</v>
      </c>
      <c r="G18" s="19" t="e">
        <f t="shared" si="24"/>
        <v>#DIV/0!</v>
      </c>
      <c r="H18" s="13" t="e">
        <f t="shared" si="24"/>
        <v>#DIV/0!</v>
      </c>
      <c r="I18" s="13" t="e">
        <f t="shared" si="24"/>
        <v>#DIV/0!</v>
      </c>
      <c r="J18" s="13" t="e">
        <f t="shared" si="24"/>
        <v>#DIV/0!</v>
      </c>
      <c r="K18" s="13" t="e">
        <f t="shared" si="24"/>
        <v>#DIV/0!</v>
      </c>
      <c r="L18" s="19" t="e">
        <f t="shared" si="24"/>
        <v>#DIV/0!</v>
      </c>
      <c r="M18" s="13">
        <f t="shared" si="24"/>
        <v>5.2813425468904246E-2</v>
      </c>
      <c r="N18" s="13">
        <f t="shared" si="24"/>
        <v>0.14867702645947081</v>
      </c>
      <c r="O18" s="13">
        <f t="shared" si="24"/>
        <v>9.4306049822064059E-2</v>
      </c>
      <c r="P18" s="13">
        <f t="shared" si="24"/>
        <v>0.2063295066708036</v>
      </c>
      <c r="Q18" s="19">
        <f t="shared" si="24"/>
        <v>0.13545252075318889</v>
      </c>
      <c r="R18" s="13">
        <f t="shared" si="24"/>
        <v>3.8048780487804877E-2</v>
      </c>
      <c r="S18" s="13">
        <f t="shared" si="24"/>
        <v>0.17180451127819549</v>
      </c>
      <c r="T18" s="13">
        <f t="shared" si="24"/>
        <v>0.11682615629984051</v>
      </c>
      <c r="U18" s="13">
        <f>U17/U7</f>
        <v>0.19217081850533807</v>
      </c>
      <c r="V18" s="19">
        <f t="shared" ref="V18:AA18" si="25">V17/V7</f>
        <v>0.13937677053824363</v>
      </c>
      <c r="W18" s="13">
        <f t="shared" si="25"/>
        <v>6.2178387650085765E-2</v>
      </c>
      <c r="X18" s="13">
        <f t="shared" si="25"/>
        <v>0.16078136739293764</v>
      </c>
      <c r="Y18" s="13" t="e">
        <f t="shared" si="25"/>
        <v>#DIV/0!</v>
      </c>
      <c r="Z18" s="13" t="e">
        <f t="shared" si="25"/>
        <v>#DIV/0!</v>
      </c>
      <c r="AA18" s="19" t="e">
        <f t="shared" si="25"/>
        <v>#DIV/0!</v>
      </c>
      <c r="AB18" s="13" t="e">
        <f t="shared" ref="AB18:AK18" si="26">AB17/AB7</f>
        <v>#DIV/0!</v>
      </c>
      <c r="AC18" s="13" t="e">
        <f t="shared" si="26"/>
        <v>#DIV/0!</v>
      </c>
      <c r="AD18" s="13" t="e">
        <f t="shared" si="26"/>
        <v>#DIV/0!</v>
      </c>
      <c r="AE18" s="13" t="e">
        <f t="shared" si="26"/>
        <v>#DIV/0!</v>
      </c>
      <c r="AF18" s="19" t="e">
        <f t="shared" si="26"/>
        <v>#DIV/0!</v>
      </c>
      <c r="AG18" s="13" t="e">
        <f t="shared" si="26"/>
        <v>#DIV/0!</v>
      </c>
      <c r="AH18" s="13" t="e">
        <f t="shared" si="26"/>
        <v>#DIV/0!</v>
      </c>
      <c r="AI18" s="13" t="e">
        <f t="shared" si="26"/>
        <v>#DIV/0!</v>
      </c>
      <c r="AJ18" s="13" t="e">
        <f t="shared" si="26"/>
        <v>#DIV/0!</v>
      </c>
      <c r="AK18" s="19" t="e">
        <f t="shared" si="26"/>
        <v>#DIV/0!</v>
      </c>
    </row>
    <row r="19" spans="2:37" ht="20" thickBot="1" x14ac:dyDescent="0.3">
      <c r="B19" s="55" t="s">
        <v>145</v>
      </c>
      <c r="C19" s="55"/>
      <c r="D19" s="55"/>
      <c r="E19" s="55"/>
      <c r="F19" s="55"/>
      <c r="G19" s="56"/>
      <c r="H19" s="55"/>
      <c r="I19" s="55"/>
      <c r="J19" s="55"/>
      <c r="K19" s="55"/>
      <c r="L19" s="56"/>
      <c r="M19" s="55">
        <v>282</v>
      </c>
      <c r="N19" s="55">
        <v>284</v>
      </c>
      <c r="O19" s="55">
        <v>284</v>
      </c>
      <c r="P19" s="55">
        <v>285</v>
      </c>
      <c r="Q19" s="56"/>
      <c r="R19" s="55">
        <v>287</v>
      </c>
      <c r="S19" s="55">
        <v>289</v>
      </c>
      <c r="T19" s="55">
        <v>290</v>
      </c>
      <c r="U19" s="55">
        <v>291</v>
      </c>
      <c r="V19" s="56"/>
      <c r="W19" s="55">
        <v>291</v>
      </c>
      <c r="X19" s="55">
        <v>292</v>
      </c>
      <c r="Y19" s="55"/>
      <c r="Z19" s="55"/>
      <c r="AA19" s="56"/>
      <c r="AB19" s="55"/>
      <c r="AC19" s="55"/>
      <c r="AD19" s="55"/>
      <c r="AE19" s="55"/>
      <c r="AF19" s="56"/>
      <c r="AG19" s="55"/>
      <c r="AH19" s="55"/>
      <c r="AI19" s="55"/>
      <c r="AJ19" s="55"/>
      <c r="AK19" s="56"/>
    </row>
    <row r="20" spans="2:37" x14ac:dyDescent="0.25">
      <c r="B20" s="9" t="s">
        <v>53</v>
      </c>
      <c r="G20" s="17"/>
      <c r="L20" s="17"/>
      <c r="Q20" s="17"/>
      <c r="V20" s="17"/>
      <c r="AA20" s="17"/>
      <c r="AF20" s="17"/>
      <c r="AK20" s="17"/>
    </row>
    <row r="21" spans="2:37" x14ac:dyDescent="0.25">
      <c r="B21" s="9" t="s">
        <v>54</v>
      </c>
      <c r="C21" s="23"/>
      <c r="D21" s="23"/>
      <c r="E21" s="23"/>
      <c r="F21" s="23"/>
      <c r="G21" s="31"/>
      <c r="H21" s="23"/>
      <c r="I21" s="23"/>
      <c r="J21" s="23"/>
      <c r="K21" s="23"/>
      <c r="L21" s="31"/>
      <c r="M21" s="23"/>
      <c r="N21" s="23">
        <v>728</v>
      </c>
      <c r="O21" s="23">
        <v>990</v>
      </c>
      <c r="P21" s="23">
        <v>1155</v>
      </c>
      <c r="Q21" s="31">
        <f>SUM(M21:P21)</f>
        <v>2873</v>
      </c>
      <c r="R21" s="23">
        <v>888</v>
      </c>
      <c r="S21" s="23">
        <v>1142</v>
      </c>
      <c r="T21" s="23">
        <v>1020</v>
      </c>
      <c r="U21" s="23">
        <v>1238</v>
      </c>
      <c r="V21" s="31">
        <f>SUM(R21:U21)</f>
        <v>4288</v>
      </c>
      <c r="W21" s="23">
        <v>968</v>
      </c>
      <c r="X21" s="23">
        <v>1032</v>
      </c>
      <c r="Y21" s="23"/>
      <c r="Z21" s="23"/>
      <c r="AA21" s="31"/>
      <c r="AB21" s="23"/>
      <c r="AC21" s="23"/>
      <c r="AD21" s="23"/>
      <c r="AE21" s="23"/>
      <c r="AF21" s="31"/>
      <c r="AG21" s="23"/>
      <c r="AH21" s="23"/>
      <c r="AI21" s="23"/>
      <c r="AJ21" s="23"/>
      <c r="AK21" s="31">
        <v>5000</v>
      </c>
    </row>
    <row r="22" spans="2:37" x14ac:dyDescent="0.25">
      <c r="B22" s="13" t="s">
        <v>55</v>
      </c>
      <c r="C22" s="13"/>
      <c r="D22" s="13"/>
      <c r="E22" s="13"/>
      <c r="F22" s="13"/>
      <c r="G22" s="19"/>
      <c r="H22" s="13" t="e">
        <f t="shared" ref="H22" si="27">(H21-C21)/C21</f>
        <v>#DIV/0!</v>
      </c>
      <c r="I22" s="13" t="e">
        <f t="shared" ref="I22" si="28">(I21-D21)/D21</f>
        <v>#DIV/0!</v>
      </c>
      <c r="J22" s="13" t="e">
        <f t="shared" ref="J22" si="29">(J21-E21)/E21</f>
        <v>#DIV/0!</v>
      </c>
      <c r="K22" s="13" t="e">
        <f t="shared" ref="K22" si="30">(K21-F21)/F21</f>
        <v>#DIV/0!</v>
      </c>
      <c r="L22" s="19" t="e">
        <f t="shared" ref="L22" si="31">(L21-G21)/G21</f>
        <v>#DIV/0!</v>
      </c>
      <c r="M22" s="13" t="e">
        <f t="shared" ref="M22" si="32">(M21-H21)/H21</f>
        <v>#DIV/0!</v>
      </c>
      <c r="N22" s="13" t="e">
        <f t="shared" ref="N22" si="33">(N21-I21)/I21</f>
        <v>#DIV/0!</v>
      </c>
      <c r="O22" s="13" t="e">
        <f t="shared" ref="O22" si="34">(O21-J21)/J21</f>
        <v>#DIV/0!</v>
      </c>
      <c r="P22" s="13" t="e">
        <f t="shared" ref="P22" si="35">(P21-K21)/K21</f>
        <v>#DIV/0!</v>
      </c>
      <c r="Q22" s="19" t="e">
        <f t="shared" ref="Q22" si="36">(Q21-L21)/L21</f>
        <v>#DIV/0!</v>
      </c>
      <c r="R22" s="13" t="e">
        <f t="shared" ref="R22" si="37">(R21-M21)/M21</f>
        <v>#DIV/0!</v>
      </c>
      <c r="S22" s="13">
        <f t="shared" ref="S22" si="38">(S21-N21)/N21</f>
        <v>0.56868131868131866</v>
      </c>
      <c r="T22" s="13">
        <f t="shared" ref="T22" si="39">(T21-O21)/O21</f>
        <v>3.0303030303030304E-2</v>
      </c>
      <c r="U22" s="13">
        <f>(U21-P21)/P21</f>
        <v>7.1861471861471862E-2</v>
      </c>
      <c r="V22" s="19">
        <f t="shared" ref="V22" si="40">(V21-Q21)/Q21</f>
        <v>0.49251653324051514</v>
      </c>
      <c r="W22" s="13">
        <f t="shared" ref="W22" si="41">(W21-R21)/R21</f>
        <v>9.0090090090090086E-2</v>
      </c>
      <c r="X22" s="13">
        <f t="shared" ref="X22" si="42">(X21-S21)/S21</f>
        <v>-9.6322241681260939E-2</v>
      </c>
      <c r="Y22" s="13">
        <f t="shared" ref="Y22" si="43">(Y21-T21)/T21</f>
        <v>-1</v>
      </c>
      <c r="Z22" s="13">
        <f t="shared" ref="Z22" si="44">(Z21-U21)/U21</f>
        <v>-1</v>
      </c>
      <c r="AA22" s="19">
        <f t="shared" ref="AA22" si="45">(AA21-V21)/V21</f>
        <v>-1</v>
      </c>
      <c r="AB22" s="13">
        <f t="shared" ref="AB22" si="46">(AB21-W21)/W21</f>
        <v>-1</v>
      </c>
      <c r="AC22" s="13">
        <f t="shared" ref="AC22" si="47">(AC21-X21)/X21</f>
        <v>-1</v>
      </c>
      <c r="AD22" s="13" t="e">
        <f t="shared" ref="AD22" si="48">(AD21-Y21)/Y21</f>
        <v>#DIV/0!</v>
      </c>
      <c r="AE22" s="13" t="e">
        <f t="shared" ref="AE22" si="49">(AE21-Z21)/Z21</f>
        <v>#DIV/0!</v>
      </c>
      <c r="AF22" s="19" t="e">
        <f t="shared" ref="AF22" si="50">(AF21-AA21)/AA21</f>
        <v>#DIV/0!</v>
      </c>
      <c r="AG22" s="13" t="e">
        <f t="shared" ref="AG22" si="51">(AG21-AB21)/AB21</f>
        <v>#DIV/0!</v>
      </c>
      <c r="AH22" s="13" t="e">
        <f t="shared" ref="AH22" si="52">(AH21-AC21)/AC21</f>
        <v>#DIV/0!</v>
      </c>
      <c r="AI22" s="13" t="e">
        <f t="shared" ref="AI22" si="53">(AI21-AD21)/AD21</f>
        <v>#DIV/0!</v>
      </c>
      <c r="AJ22" s="13" t="e">
        <f t="shared" ref="AJ22" si="54">(AJ21-AE21)/AE21</f>
        <v>#DIV/0!</v>
      </c>
      <c r="AK22" s="19" t="e">
        <f t="shared" ref="AK22" si="55">(AK21-AF21)/AF21</f>
        <v>#DIV/0!</v>
      </c>
    </row>
    <row r="23" spans="2:37" x14ac:dyDescent="0.25">
      <c r="B23" s="13"/>
      <c r="C23" s="13"/>
      <c r="D23" s="13"/>
      <c r="E23" s="13"/>
      <c r="F23" s="13"/>
      <c r="G23" s="19"/>
      <c r="H23" s="13"/>
      <c r="I23" s="13"/>
      <c r="J23" s="13"/>
      <c r="K23" s="13"/>
      <c r="L23" s="19"/>
      <c r="M23" s="13"/>
      <c r="N23" s="13"/>
      <c r="O23" s="13"/>
      <c r="P23" s="13"/>
      <c r="Q23" s="19"/>
      <c r="R23" s="13"/>
      <c r="S23" s="13"/>
      <c r="T23" s="13"/>
      <c r="U23" s="13"/>
      <c r="V23" s="19"/>
      <c r="W23" s="13"/>
      <c r="X23" s="13">
        <v>-3.3000000000000002E-2</v>
      </c>
      <c r="Y23" s="13"/>
      <c r="Z23" s="13"/>
      <c r="AA23" s="19"/>
      <c r="AB23" s="13"/>
      <c r="AC23" s="13"/>
      <c r="AD23" s="13"/>
      <c r="AE23" s="13"/>
      <c r="AF23" s="19"/>
      <c r="AG23" s="13"/>
      <c r="AH23" s="13"/>
      <c r="AI23" s="13"/>
      <c r="AJ23" s="13"/>
      <c r="AK23" s="19"/>
    </row>
    <row r="24" spans="2:37" x14ac:dyDescent="0.25">
      <c r="B24" s="1" t="s">
        <v>58</v>
      </c>
      <c r="C24" s="24"/>
      <c r="D24" s="24"/>
      <c r="E24" s="24"/>
      <c r="F24" s="24"/>
      <c r="G24" s="32"/>
      <c r="H24" s="24"/>
      <c r="I24" s="24"/>
      <c r="J24" s="24"/>
      <c r="K24" s="24"/>
      <c r="L24" s="32"/>
      <c r="M24" s="24"/>
      <c r="N24" s="24">
        <v>492</v>
      </c>
      <c r="O24" s="24">
        <v>686</v>
      </c>
      <c r="P24" s="24">
        <v>778</v>
      </c>
      <c r="Q24" s="31">
        <f>SUM(M24:P24)</f>
        <v>1956</v>
      </c>
      <c r="R24" s="24">
        <v>632</v>
      </c>
      <c r="S24" s="24">
        <v>791</v>
      </c>
      <c r="T24" s="24">
        <v>703</v>
      </c>
      <c r="U24" s="24">
        <v>817</v>
      </c>
      <c r="V24" s="31">
        <f>SUM(R24:U24)</f>
        <v>2943</v>
      </c>
      <c r="W24" s="24">
        <v>656</v>
      </c>
      <c r="X24" s="24">
        <v>682</v>
      </c>
      <c r="Y24" s="24"/>
      <c r="Z24" s="24"/>
      <c r="AA24" s="32"/>
      <c r="AB24" s="24"/>
      <c r="AC24" s="24"/>
      <c r="AD24" s="24"/>
      <c r="AE24" s="24"/>
      <c r="AF24" s="32"/>
      <c r="AG24" s="24"/>
      <c r="AH24" s="24"/>
      <c r="AI24" s="24"/>
      <c r="AJ24" s="24"/>
      <c r="AK24" s="32"/>
    </row>
    <row r="25" spans="2:37" x14ac:dyDescent="0.25">
      <c r="B25" s="1" t="s">
        <v>56</v>
      </c>
      <c r="C25" s="24">
        <f t="shared" ref="C25" si="56">C21-C24</f>
        <v>0</v>
      </c>
      <c r="D25" s="24">
        <f t="shared" ref="D25" si="57">D21-D24</f>
        <v>0</v>
      </c>
      <c r="E25" s="24">
        <f t="shared" ref="E25" si="58">E21-E24</f>
        <v>0</v>
      </c>
      <c r="F25" s="24">
        <f t="shared" ref="F25" si="59">F21-F24</f>
        <v>0</v>
      </c>
      <c r="G25" s="32">
        <f t="shared" ref="G25" si="60">G21-G24</f>
        <v>0</v>
      </c>
      <c r="H25" s="24">
        <f t="shared" ref="H25" si="61">H21-H24</f>
        <v>0</v>
      </c>
      <c r="I25" s="24">
        <f t="shared" ref="I25" si="62">I21-I24</f>
        <v>0</v>
      </c>
      <c r="J25" s="24">
        <f t="shared" ref="J25" si="63">J21-J24</f>
        <v>0</v>
      </c>
      <c r="K25" s="24">
        <f t="shared" ref="K25" si="64">K21-K24</f>
        <v>0</v>
      </c>
      <c r="L25" s="32">
        <f t="shared" ref="L25" si="65">L21-L24</f>
        <v>0</v>
      </c>
      <c r="M25" s="24">
        <f t="shared" ref="M25" si="66">M21-M24</f>
        <v>0</v>
      </c>
      <c r="N25" s="24">
        <f t="shared" ref="N25" si="67">N21-N24</f>
        <v>236</v>
      </c>
      <c r="O25" s="24">
        <f t="shared" ref="O25" si="68">O21-O24</f>
        <v>304</v>
      </c>
      <c r="P25" s="24">
        <f t="shared" ref="P25" si="69">P21-P24</f>
        <v>377</v>
      </c>
      <c r="Q25" s="32">
        <f t="shared" ref="Q25" si="70">Q21-Q24</f>
        <v>917</v>
      </c>
      <c r="R25" s="24">
        <f t="shared" ref="R25" si="71">R21-R24</f>
        <v>256</v>
      </c>
      <c r="S25" s="24">
        <f t="shared" ref="S25" si="72">S21-S24</f>
        <v>351</v>
      </c>
      <c r="T25" s="24">
        <f t="shared" ref="T25" si="73">T21-T24</f>
        <v>317</v>
      </c>
      <c r="U25" s="24">
        <f>U21-U24</f>
        <v>421</v>
      </c>
      <c r="V25" s="32">
        <f t="shared" ref="V25" si="74">V21-V24</f>
        <v>1345</v>
      </c>
      <c r="W25" s="24">
        <f t="shared" ref="W25" si="75">W21-W24</f>
        <v>312</v>
      </c>
      <c r="X25" s="24">
        <f t="shared" ref="X25" si="76">X21-X24</f>
        <v>350</v>
      </c>
      <c r="Y25" s="24">
        <f t="shared" ref="Y25" si="77">Y21-Y24</f>
        <v>0</v>
      </c>
      <c r="Z25" s="24">
        <f t="shared" ref="Z25" si="78">Z21-Z24</f>
        <v>0</v>
      </c>
      <c r="AA25" s="32">
        <f t="shared" ref="AA25:AE25" si="79">AA21-AA24</f>
        <v>0</v>
      </c>
      <c r="AB25" s="24">
        <f t="shared" si="79"/>
        <v>0</v>
      </c>
      <c r="AC25" s="24">
        <f t="shared" si="79"/>
        <v>0</v>
      </c>
      <c r="AD25" s="24">
        <f t="shared" si="79"/>
        <v>0</v>
      </c>
      <c r="AE25" s="24">
        <f t="shared" si="79"/>
        <v>0</v>
      </c>
      <c r="AF25" s="32">
        <f t="shared" ref="AF25:AK25" si="80">AF21-AF24</f>
        <v>0</v>
      </c>
      <c r="AG25" s="24">
        <f t="shared" si="80"/>
        <v>0</v>
      </c>
      <c r="AH25" s="24">
        <f t="shared" si="80"/>
        <v>0</v>
      </c>
      <c r="AI25" s="24">
        <f t="shared" si="80"/>
        <v>0</v>
      </c>
      <c r="AJ25" s="24">
        <f t="shared" si="80"/>
        <v>0</v>
      </c>
      <c r="AK25" s="32">
        <f t="shared" si="80"/>
        <v>5000</v>
      </c>
    </row>
    <row r="26" spans="2:37" x14ac:dyDescent="0.25">
      <c r="B26" s="13" t="s">
        <v>57</v>
      </c>
      <c r="C26" s="13" t="e">
        <f t="shared" ref="C26" si="81">C25/C21</f>
        <v>#DIV/0!</v>
      </c>
      <c r="D26" s="13" t="e">
        <f t="shared" ref="D26" si="82">D25/D21</f>
        <v>#DIV/0!</v>
      </c>
      <c r="E26" s="13" t="e">
        <f t="shared" ref="E26" si="83">E25/E21</f>
        <v>#DIV/0!</v>
      </c>
      <c r="F26" s="13" t="e">
        <f t="shared" ref="F26" si="84">F25/F21</f>
        <v>#DIV/0!</v>
      </c>
      <c r="G26" s="19" t="e">
        <f t="shared" ref="G26" si="85">G25/G21</f>
        <v>#DIV/0!</v>
      </c>
      <c r="H26" s="13" t="e">
        <f t="shared" ref="H26" si="86">H25/H21</f>
        <v>#DIV/0!</v>
      </c>
      <c r="I26" s="13" t="e">
        <f t="shared" ref="I26" si="87">I25/I21</f>
        <v>#DIV/0!</v>
      </c>
      <c r="J26" s="13" t="e">
        <f t="shared" ref="J26" si="88">J25/J21</f>
        <v>#DIV/0!</v>
      </c>
      <c r="K26" s="13" t="e">
        <f t="shared" ref="K26" si="89">K25/K21</f>
        <v>#DIV/0!</v>
      </c>
      <c r="L26" s="19" t="e">
        <f t="shared" ref="L26" si="90">L25/L21</f>
        <v>#DIV/0!</v>
      </c>
      <c r="M26" s="13" t="e">
        <f t="shared" ref="M26" si="91">M25/M21</f>
        <v>#DIV/0!</v>
      </c>
      <c r="N26" s="13">
        <f t="shared" ref="N26" si="92">N25/N21</f>
        <v>0.32417582417582419</v>
      </c>
      <c r="O26" s="13">
        <f t="shared" ref="O26" si="93">O25/O21</f>
        <v>0.30707070707070705</v>
      </c>
      <c r="P26" s="13">
        <f t="shared" ref="P26" si="94">P25/P21</f>
        <v>0.32640692640692642</v>
      </c>
      <c r="Q26" s="19">
        <f t="shared" ref="Q26" si="95">Q25/Q21</f>
        <v>0.31917855899756353</v>
      </c>
      <c r="R26" s="13">
        <f t="shared" ref="R26" si="96">R25/R21</f>
        <v>0.28828828828828829</v>
      </c>
      <c r="S26" s="13">
        <f t="shared" ref="S26" si="97">S25/S21</f>
        <v>0.30735551663747812</v>
      </c>
      <c r="T26" s="13">
        <f t="shared" ref="T26" si="98">T25/T21</f>
        <v>0.3107843137254902</v>
      </c>
      <c r="U26" s="13">
        <f>U25/U21</f>
        <v>0.34006462035541196</v>
      </c>
      <c r="V26" s="19">
        <f t="shared" ref="V26" si="99">V25/V21</f>
        <v>0.31366604477611942</v>
      </c>
      <c r="W26" s="13">
        <f t="shared" ref="W26" si="100">W25/W21</f>
        <v>0.32231404958677684</v>
      </c>
      <c r="X26" s="13">
        <f t="shared" ref="X26" si="101">X25/X21</f>
        <v>0.33914728682170542</v>
      </c>
      <c r="Y26" s="13" t="e">
        <f t="shared" ref="Y26" si="102">Y25/Y21</f>
        <v>#DIV/0!</v>
      </c>
      <c r="Z26" s="13" t="e">
        <f t="shared" ref="Z26" si="103">Z25/Z21</f>
        <v>#DIV/0!</v>
      </c>
      <c r="AA26" s="19" t="e">
        <f t="shared" ref="AA26:AE26" si="104">AA25/AA21</f>
        <v>#DIV/0!</v>
      </c>
      <c r="AB26" s="13" t="e">
        <f t="shared" si="104"/>
        <v>#DIV/0!</v>
      </c>
      <c r="AC26" s="13" t="e">
        <f t="shared" si="104"/>
        <v>#DIV/0!</v>
      </c>
      <c r="AD26" s="13" t="e">
        <f t="shared" si="104"/>
        <v>#DIV/0!</v>
      </c>
      <c r="AE26" s="13" t="e">
        <f t="shared" si="104"/>
        <v>#DIV/0!</v>
      </c>
      <c r="AF26" s="19" t="e">
        <f t="shared" ref="AF26:AK26" si="105">AF25/AF21</f>
        <v>#DIV/0!</v>
      </c>
      <c r="AG26" s="13" t="e">
        <f t="shared" si="105"/>
        <v>#DIV/0!</v>
      </c>
      <c r="AH26" s="13" t="e">
        <f t="shared" si="105"/>
        <v>#DIV/0!</v>
      </c>
      <c r="AI26" s="13" t="e">
        <f t="shared" si="105"/>
        <v>#DIV/0!</v>
      </c>
      <c r="AJ26" s="13" t="e">
        <f t="shared" si="105"/>
        <v>#DIV/0!</v>
      </c>
      <c r="AK26" s="19">
        <f t="shared" si="105"/>
        <v>1</v>
      </c>
    </row>
    <row r="27" spans="2:37" x14ac:dyDescent="0.25">
      <c r="B27" s="1" t="s">
        <v>59</v>
      </c>
      <c r="C27" s="24"/>
      <c r="D27" s="24"/>
      <c r="E27" s="24"/>
      <c r="F27" s="24"/>
      <c r="G27" s="32"/>
      <c r="H27" s="24"/>
      <c r="I27" s="24"/>
      <c r="J27" s="24"/>
      <c r="K27" s="24"/>
      <c r="L27" s="32"/>
      <c r="M27" s="24"/>
      <c r="N27" s="24">
        <v>195</v>
      </c>
      <c r="O27" s="24">
        <v>262</v>
      </c>
      <c r="P27" s="24">
        <v>332</v>
      </c>
      <c r="Q27" s="31">
        <f>SUM(M27:P27)</f>
        <v>789</v>
      </c>
      <c r="R27" s="24">
        <v>287</v>
      </c>
      <c r="S27" s="24">
        <v>296</v>
      </c>
      <c r="T27" s="24">
        <v>267</v>
      </c>
      <c r="U27" s="24">
        <v>303</v>
      </c>
      <c r="V27" s="31">
        <f>SUM(R27:U27)</f>
        <v>1153</v>
      </c>
      <c r="W27" s="24">
        <v>297</v>
      </c>
      <c r="X27" s="24">
        <v>298</v>
      </c>
      <c r="Y27" s="24"/>
      <c r="Z27" s="24"/>
      <c r="AA27" s="32"/>
      <c r="AB27" s="24"/>
      <c r="AC27" s="24"/>
      <c r="AD27" s="24"/>
      <c r="AE27" s="24"/>
      <c r="AF27" s="32"/>
      <c r="AG27" s="24"/>
      <c r="AH27" s="24"/>
      <c r="AI27" s="24"/>
      <c r="AJ27" s="24"/>
      <c r="AK27" s="32"/>
    </row>
    <row r="28" spans="2:37" x14ac:dyDescent="0.25">
      <c r="B28" s="10" t="s">
        <v>60</v>
      </c>
      <c r="C28" s="13" t="e">
        <f t="shared" ref="C28" si="106">C27/C21</f>
        <v>#DIV/0!</v>
      </c>
      <c r="D28" s="13" t="e">
        <f t="shared" ref="D28" si="107">D27/D21</f>
        <v>#DIV/0!</v>
      </c>
      <c r="E28" s="13" t="e">
        <f t="shared" ref="E28" si="108">E27/E21</f>
        <v>#DIV/0!</v>
      </c>
      <c r="F28" s="13" t="e">
        <f t="shared" ref="F28" si="109">F27/F21</f>
        <v>#DIV/0!</v>
      </c>
      <c r="G28" s="19" t="e">
        <f t="shared" ref="G28" si="110">G27/G21</f>
        <v>#DIV/0!</v>
      </c>
      <c r="H28" s="13" t="e">
        <f t="shared" ref="H28" si="111">H27/H21</f>
        <v>#DIV/0!</v>
      </c>
      <c r="I28" s="13" t="e">
        <f t="shared" ref="I28" si="112">I27/I21</f>
        <v>#DIV/0!</v>
      </c>
      <c r="J28" s="13" t="e">
        <f t="shared" ref="J28" si="113">J27/J21</f>
        <v>#DIV/0!</v>
      </c>
      <c r="K28" s="13" t="e">
        <f t="shared" ref="K28" si="114">K27/K21</f>
        <v>#DIV/0!</v>
      </c>
      <c r="L28" s="19" t="e">
        <f t="shared" ref="L28" si="115">L27/L21</f>
        <v>#DIV/0!</v>
      </c>
      <c r="M28" s="13" t="e">
        <f t="shared" ref="M28" si="116">M27/M21</f>
        <v>#DIV/0!</v>
      </c>
      <c r="N28" s="13">
        <f t="shared" ref="N28" si="117">N27/N21</f>
        <v>0.26785714285714285</v>
      </c>
      <c r="O28" s="13">
        <f t="shared" ref="O28" si="118">O27/O21</f>
        <v>0.26464646464646463</v>
      </c>
      <c r="P28" s="13">
        <f t="shared" ref="P28" si="119">P27/P21</f>
        <v>0.28744588744588745</v>
      </c>
      <c r="Q28" s="19">
        <f t="shared" ref="Q28" si="120">Q27/Q21</f>
        <v>0.27462582666202573</v>
      </c>
      <c r="R28" s="13">
        <f t="shared" ref="R28" si="121">R27/R21</f>
        <v>0.32319819819819817</v>
      </c>
      <c r="S28" s="13">
        <f t="shared" ref="S28" si="122">S27/S21</f>
        <v>0.25919439579684761</v>
      </c>
      <c r="T28" s="13">
        <f t="shared" ref="T28" si="123">T27/T21</f>
        <v>0.26176470588235295</v>
      </c>
      <c r="U28" s="13">
        <f>U27/U21</f>
        <v>0.24474959612277866</v>
      </c>
      <c r="V28" s="19">
        <f t="shared" ref="V28" si="124">V27/V21</f>
        <v>0.26888992537313433</v>
      </c>
      <c r="W28" s="13">
        <f t="shared" ref="W28" si="125">W27/W21</f>
        <v>0.30681818181818182</v>
      </c>
      <c r="X28" s="13">
        <f t="shared" ref="X28" si="126">X27/X21</f>
        <v>0.28875968992248063</v>
      </c>
      <c r="Y28" s="13" t="e">
        <f t="shared" ref="Y28" si="127">Y27/Y21</f>
        <v>#DIV/0!</v>
      </c>
      <c r="Z28" s="13" t="e">
        <f t="shared" ref="Z28" si="128">Z27/Z21</f>
        <v>#DIV/0!</v>
      </c>
      <c r="AA28" s="19" t="e">
        <f t="shared" ref="AA28:AE28" si="129">AA27/AA21</f>
        <v>#DIV/0!</v>
      </c>
      <c r="AB28" s="13" t="e">
        <f t="shared" si="129"/>
        <v>#DIV/0!</v>
      </c>
      <c r="AC28" s="13" t="e">
        <f t="shared" si="129"/>
        <v>#DIV/0!</v>
      </c>
      <c r="AD28" s="13" t="e">
        <f t="shared" si="129"/>
        <v>#DIV/0!</v>
      </c>
      <c r="AE28" s="13" t="e">
        <f t="shared" si="129"/>
        <v>#DIV/0!</v>
      </c>
      <c r="AF28" s="19" t="e">
        <f t="shared" ref="AF28:AK28" si="130">AF27/AF21</f>
        <v>#DIV/0!</v>
      </c>
      <c r="AG28" s="13" t="e">
        <f t="shared" si="130"/>
        <v>#DIV/0!</v>
      </c>
      <c r="AH28" s="13" t="e">
        <f t="shared" si="130"/>
        <v>#DIV/0!</v>
      </c>
      <c r="AI28" s="13" t="e">
        <f t="shared" si="130"/>
        <v>#DIV/0!</v>
      </c>
      <c r="AJ28" s="13" t="e">
        <f t="shared" si="130"/>
        <v>#DIV/0!</v>
      </c>
      <c r="AK28" s="19">
        <f t="shared" si="130"/>
        <v>0</v>
      </c>
    </row>
    <row r="29" spans="2:37" x14ac:dyDescent="0.25">
      <c r="B29" s="9" t="s">
        <v>61</v>
      </c>
      <c r="C29" s="23"/>
      <c r="D29" s="23"/>
      <c r="E29" s="23"/>
      <c r="F29" s="23"/>
      <c r="G29" s="31"/>
      <c r="H29" s="23"/>
      <c r="I29" s="23"/>
      <c r="J29" s="23"/>
      <c r="K29" s="23"/>
      <c r="L29" s="31"/>
      <c r="M29" s="23"/>
      <c r="N29" s="23">
        <v>42</v>
      </c>
      <c r="O29" s="23">
        <v>42</v>
      </c>
      <c r="P29" s="23">
        <v>45</v>
      </c>
      <c r="Q29" s="31">
        <f>SUM(M29:P29)</f>
        <v>129</v>
      </c>
      <c r="R29" s="23">
        <v>-30</v>
      </c>
      <c r="S29" s="23">
        <v>55</v>
      </c>
      <c r="T29" s="23">
        <v>50</v>
      </c>
      <c r="U29" s="23">
        <v>118</v>
      </c>
      <c r="V29" s="31">
        <f>SUM(R29:U29)</f>
        <v>193</v>
      </c>
      <c r="W29" s="23">
        <v>15</v>
      </c>
      <c r="X29" s="23">
        <v>52</v>
      </c>
      <c r="Y29" s="23"/>
      <c r="Z29" s="23"/>
      <c r="AA29" s="31"/>
      <c r="AB29" s="23"/>
      <c r="AC29" s="23"/>
      <c r="AD29" s="23"/>
      <c r="AE29" s="23"/>
      <c r="AF29" s="31"/>
      <c r="AG29" s="23"/>
      <c r="AH29" s="23"/>
      <c r="AI29" s="23"/>
      <c r="AJ29" s="23"/>
      <c r="AK29" s="31"/>
    </row>
    <row r="30" spans="2:37" x14ac:dyDescent="0.25">
      <c r="B30" s="10" t="s">
        <v>62</v>
      </c>
      <c r="C30" s="13" t="e">
        <f t="shared" ref="C30" si="131">C29/C21</f>
        <v>#DIV/0!</v>
      </c>
      <c r="D30" s="13" t="e">
        <f t="shared" ref="D30" si="132">D29/D21</f>
        <v>#DIV/0!</v>
      </c>
      <c r="E30" s="13" t="e">
        <f t="shared" ref="E30" si="133">E29/E21</f>
        <v>#DIV/0!</v>
      </c>
      <c r="F30" s="13" t="e">
        <f t="shared" ref="F30" si="134">F29/F21</f>
        <v>#DIV/0!</v>
      </c>
      <c r="G30" s="19" t="e">
        <f t="shared" ref="G30" si="135">G29/G21</f>
        <v>#DIV/0!</v>
      </c>
      <c r="H30" s="13" t="e">
        <f t="shared" ref="H30" si="136">H29/H21</f>
        <v>#DIV/0!</v>
      </c>
      <c r="I30" s="13" t="e">
        <f t="shared" ref="I30" si="137">I29/I21</f>
        <v>#DIV/0!</v>
      </c>
      <c r="J30" s="13" t="e">
        <f t="shared" ref="J30" si="138">J29/J21</f>
        <v>#DIV/0!</v>
      </c>
      <c r="K30" s="13" t="e">
        <f t="shared" ref="K30" si="139">K29/K21</f>
        <v>#DIV/0!</v>
      </c>
      <c r="L30" s="19" t="e">
        <f t="shared" ref="L30" si="140">L29/L21</f>
        <v>#DIV/0!</v>
      </c>
      <c r="M30" s="13" t="e">
        <f t="shared" ref="M30" si="141">M29/M21</f>
        <v>#DIV/0!</v>
      </c>
      <c r="N30" s="13">
        <f t="shared" ref="N30" si="142">N29/N21</f>
        <v>5.7692307692307696E-2</v>
      </c>
      <c r="O30" s="13">
        <f t="shared" ref="O30" si="143">O29/O21</f>
        <v>4.2424242424242427E-2</v>
      </c>
      <c r="P30" s="13">
        <f t="shared" ref="P30" si="144">P29/P21</f>
        <v>3.896103896103896E-2</v>
      </c>
      <c r="Q30" s="19">
        <f t="shared" ref="Q30" si="145">Q29/Q21</f>
        <v>4.4900800556909155E-2</v>
      </c>
      <c r="R30" s="13">
        <f t="shared" ref="R30" si="146">R29/R21</f>
        <v>-3.3783783783783786E-2</v>
      </c>
      <c r="S30" s="13">
        <f t="shared" ref="S30" si="147">S29/S21</f>
        <v>4.816112084063047E-2</v>
      </c>
      <c r="T30" s="13">
        <f t="shared" ref="T30" si="148">T29/T21</f>
        <v>4.9019607843137254E-2</v>
      </c>
      <c r="U30" s="13">
        <f>U29/U21</f>
        <v>9.5315024232633286E-2</v>
      </c>
      <c r="V30" s="19">
        <f t="shared" ref="V30" si="149">V29/V21</f>
        <v>4.5009328358208957E-2</v>
      </c>
      <c r="W30" s="13">
        <f t="shared" ref="W30" si="150">W29/W21</f>
        <v>1.5495867768595042E-2</v>
      </c>
      <c r="X30" s="13">
        <f t="shared" ref="X30" si="151">X29/X21</f>
        <v>5.0387596899224806E-2</v>
      </c>
      <c r="Y30" s="13" t="e">
        <f t="shared" ref="Y30" si="152">Y29/Y21</f>
        <v>#DIV/0!</v>
      </c>
      <c r="Z30" s="13" t="e">
        <f t="shared" ref="Z30" si="153">Z29/Z21</f>
        <v>#DIV/0!</v>
      </c>
      <c r="AA30" s="19" t="e">
        <f t="shared" ref="AA30:AE30" si="154">AA29/AA21</f>
        <v>#DIV/0!</v>
      </c>
      <c r="AB30" s="13" t="e">
        <f t="shared" si="154"/>
        <v>#DIV/0!</v>
      </c>
      <c r="AC30" s="13" t="e">
        <f t="shared" si="154"/>
        <v>#DIV/0!</v>
      </c>
      <c r="AD30" s="13" t="e">
        <f t="shared" si="154"/>
        <v>#DIV/0!</v>
      </c>
      <c r="AE30" s="13" t="e">
        <f t="shared" si="154"/>
        <v>#DIV/0!</v>
      </c>
      <c r="AF30" s="19" t="e">
        <f t="shared" ref="AF30:AK30" si="155">AF29/AF21</f>
        <v>#DIV/0!</v>
      </c>
      <c r="AG30" s="13" t="e">
        <f t="shared" si="155"/>
        <v>#DIV/0!</v>
      </c>
      <c r="AH30" s="13" t="e">
        <f t="shared" si="155"/>
        <v>#DIV/0!</v>
      </c>
      <c r="AI30" s="13" t="e">
        <f t="shared" si="155"/>
        <v>#DIV/0!</v>
      </c>
      <c r="AJ30" s="13" t="e">
        <f t="shared" si="155"/>
        <v>#DIV/0!</v>
      </c>
      <c r="AK30" s="19">
        <f t="shared" si="155"/>
        <v>0</v>
      </c>
    </row>
    <row r="31" spans="2:37" x14ac:dyDescent="0.25">
      <c r="B31" s="9" t="s">
        <v>63</v>
      </c>
      <c r="C31" s="9"/>
      <c r="D31" s="9"/>
      <c r="E31" s="9"/>
      <c r="F31" s="9"/>
      <c r="G31" s="18"/>
      <c r="H31" s="9"/>
      <c r="I31" s="9"/>
      <c r="J31" s="9"/>
      <c r="K31" s="9"/>
      <c r="L31" s="18"/>
      <c r="M31" s="9"/>
      <c r="N31" s="9">
        <v>-16</v>
      </c>
      <c r="O31" s="9">
        <v>-45</v>
      </c>
      <c r="P31" s="9">
        <v>-41</v>
      </c>
      <c r="Q31" s="31">
        <f>SUM(M31:P31)</f>
        <v>-102</v>
      </c>
      <c r="R31" s="9">
        <v>-115</v>
      </c>
      <c r="S31" s="9">
        <v>-34</v>
      </c>
      <c r="T31" s="9">
        <v>-37</v>
      </c>
      <c r="U31" s="9">
        <v>30</v>
      </c>
      <c r="V31" s="18">
        <f>SUM(R31:U31)</f>
        <v>-156</v>
      </c>
      <c r="W31" s="9">
        <v>-74</v>
      </c>
      <c r="X31" s="9">
        <v>-34</v>
      </c>
      <c r="Y31" s="9"/>
      <c r="Z31" s="9"/>
      <c r="AA31" s="18"/>
      <c r="AB31" s="9"/>
      <c r="AC31" s="9"/>
      <c r="AD31" s="9"/>
      <c r="AE31" s="9"/>
      <c r="AF31" s="18"/>
      <c r="AG31" s="9"/>
      <c r="AH31" s="9"/>
      <c r="AI31" s="9"/>
      <c r="AJ31" s="9"/>
      <c r="AK31" s="18">
        <v>250</v>
      </c>
    </row>
    <row r="32" spans="2:37" x14ac:dyDescent="0.25">
      <c r="B32" s="10" t="s">
        <v>64</v>
      </c>
      <c r="C32" s="13" t="e">
        <f t="shared" ref="C32" si="156">C31/C21</f>
        <v>#DIV/0!</v>
      </c>
      <c r="D32" s="13" t="e">
        <f t="shared" ref="D32" si="157">D31/D21</f>
        <v>#DIV/0!</v>
      </c>
      <c r="E32" s="13" t="e">
        <f t="shared" ref="E32" si="158">E31/E21</f>
        <v>#DIV/0!</v>
      </c>
      <c r="F32" s="13" t="e">
        <f t="shared" ref="F32" si="159">F31/F21</f>
        <v>#DIV/0!</v>
      </c>
      <c r="G32" s="19" t="e">
        <f t="shared" ref="G32" si="160">G31/G21</f>
        <v>#DIV/0!</v>
      </c>
      <c r="H32" s="13" t="e">
        <f t="shared" ref="H32" si="161">H31/H21</f>
        <v>#DIV/0!</v>
      </c>
      <c r="I32" s="13" t="e">
        <f t="shared" ref="I32" si="162">I31/I21</f>
        <v>#DIV/0!</v>
      </c>
      <c r="J32" s="13" t="e">
        <f t="shared" ref="J32" si="163">J31/J21</f>
        <v>#DIV/0!</v>
      </c>
      <c r="K32" s="13" t="e">
        <f t="shared" ref="K32" si="164">K31/K21</f>
        <v>#DIV/0!</v>
      </c>
      <c r="L32" s="19" t="e">
        <f t="shared" ref="L32" si="165">L31/L21</f>
        <v>#DIV/0!</v>
      </c>
      <c r="M32" s="13" t="e">
        <f t="shared" ref="M32" si="166">M31/M21</f>
        <v>#DIV/0!</v>
      </c>
      <c r="N32" s="13">
        <f t="shared" ref="N32" si="167">N31/N21</f>
        <v>-2.197802197802198E-2</v>
      </c>
      <c r="O32" s="13">
        <f t="shared" ref="O32" si="168">O31/O21</f>
        <v>-4.5454545454545456E-2</v>
      </c>
      <c r="P32" s="13">
        <f t="shared" ref="P32" si="169">P31/P21</f>
        <v>-3.54978354978355E-2</v>
      </c>
      <c r="Q32" s="19">
        <f t="shared" ref="Q32" si="170">Q31/Q21</f>
        <v>-3.5502958579881658E-2</v>
      </c>
      <c r="R32" s="13">
        <f t="shared" ref="R32" si="171">R31/R21</f>
        <v>-0.12950450450450451</v>
      </c>
      <c r="S32" s="13">
        <f t="shared" ref="S32" si="172">S31/S21</f>
        <v>-2.9772329246935202E-2</v>
      </c>
      <c r="T32" s="13">
        <f t="shared" ref="T32" si="173">T31/T21</f>
        <v>-3.6274509803921572E-2</v>
      </c>
      <c r="U32" s="13">
        <f>U31/U21</f>
        <v>2.4232633279483037E-2</v>
      </c>
      <c r="V32" s="19">
        <f t="shared" ref="V32" si="174">V31/V21</f>
        <v>-3.6380597014925374E-2</v>
      </c>
      <c r="W32" s="13">
        <f t="shared" ref="W32" si="175">W31/W21</f>
        <v>-7.6446280991735532E-2</v>
      </c>
      <c r="X32" s="13">
        <f t="shared" ref="X32" si="176">X31/X21</f>
        <v>-3.294573643410853E-2</v>
      </c>
      <c r="Y32" s="13" t="e">
        <f t="shared" ref="Y32" si="177">Y31/Y21</f>
        <v>#DIV/0!</v>
      </c>
      <c r="Z32" s="13" t="e">
        <f t="shared" ref="Z32" si="178">Z31/Z21</f>
        <v>#DIV/0!</v>
      </c>
      <c r="AA32" s="19" t="e">
        <f t="shared" ref="AA32:AE32" si="179">AA31/AA21</f>
        <v>#DIV/0!</v>
      </c>
      <c r="AB32" s="13" t="e">
        <f t="shared" si="179"/>
        <v>#DIV/0!</v>
      </c>
      <c r="AC32" s="13" t="e">
        <f t="shared" si="179"/>
        <v>#DIV/0!</v>
      </c>
      <c r="AD32" s="13" t="e">
        <f t="shared" si="179"/>
        <v>#DIV/0!</v>
      </c>
      <c r="AE32" s="13" t="e">
        <f t="shared" si="179"/>
        <v>#DIV/0!</v>
      </c>
      <c r="AF32" s="19" t="e">
        <f t="shared" ref="AF32:AK32" si="180">AF31/AF21</f>
        <v>#DIV/0!</v>
      </c>
      <c r="AG32" s="13" t="e">
        <f t="shared" si="180"/>
        <v>#DIV/0!</v>
      </c>
      <c r="AH32" s="13" t="e">
        <f t="shared" si="180"/>
        <v>#DIV/0!</v>
      </c>
      <c r="AI32" s="13" t="e">
        <f t="shared" si="180"/>
        <v>#DIV/0!</v>
      </c>
      <c r="AJ32" s="13" t="e">
        <f t="shared" si="180"/>
        <v>#DIV/0!</v>
      </c>
      <c r="AK32" s="19">
        <f t="shared" si="180"/>
        <v>0.05</v>
      </c>
    </row>
    <row r="33" spans="2:37" x14ac:dyDescent="0.25">
      <c r="B33" s="1" t="s">
        <v>145</v>
      </c>
      <c r="G33" s="17"/>
      <c r="L33" s="17"/>
      <c r="N33" s="1">
        <v>94</v>
      </c>
      <c r="O33" s="1">
        <v>94</v>
      </c>
      <c r="P33" s="1">
        <v>93</v>
      </c>
      <c r="Q33" s="17"/>
      <c r="R33" s="1">
        <v>92</v>
      </c>
      <c r="S33" s="1">
        <v>92</v>
      </c>
      <c r="T33" s="1">
        <v>92</v>
      </c>
      <c r="U33" s="1">
        <v>92</v>
      </c>
      <c r="V33" s="17"/>
      <c r="W33" s="1">
        <v>92</v>
      </c>
      <c r="X33" s="1">
        <v>92</v>
      </c>
      <c r="AA33" s="17"/>
      <c r="AF33" s="17"/>
      <c r="AK33" s="17"/>
    </row>
    <row r="34" spans="2:37" ht="20" thickBot="1" x14ac:dyDescent="0.3">
      <c r="B34" s="55" t="s">
        <v>156</v>
      </c>
      <c r="C34" s="55"/>
      <c r="D34" s="55"/>
      <c r="E34" s="55"/>
      <c r="F34" s="55"/>
      <c r="G34" s="56"/>
      <c r="H34" s="55"/>
      <c r="I34" s="55"/>
      <c r="J34" s="55"/>
      <c r="K34" s="55"/>
      <c r="L34" s="56"/>
      <c r="M34" s="55"/>
      <c r="N34" s="55"/>
      <c r="O34" s="55"/>
      <c r="P34" s="55"/>
      <c r="Q34" s="56"/>
      <c r="R34" s="55"/>
      <c r="S34" s="55"/>
      <c r="T34" s="55"/>
      <c r="U34" s="55"/>
      <c r="V34" s="56"/>
      <c r="W34" s="55">
        <v>13</v>
      </c>
      <c r="X34" s="55">
        <v>28</v>
      </c>
      <c r="Y34" s="55">
        <v>38</v>
      </c>
      <c r="Z34" s="55">
        <v>48</v>
      </c>
      <c r="AA34" s="56"/>
      <c r="AB34" s="55"/>
      <c r="AC34" s="55"/>
      <c r="AD34" s="55"/>
      <c r="AE34" s="55"/>
      <c r="AF34" s="56"/>
      <c r="AG34" s="55"/>
      <c r="AH34" s="55"/>
      <c r="AI34" s="55"/>
      <c r="AJ34" s="55"/>
      <c r="AK34" s="56"/>
    </row>
  </sheetData>
  <pageMargins left="0.7" right="0.7" top="0.75" bottom="0.75" header="0.3" footer="0.3"/>
  <ignoredErrors>
    <ignoredError sqref="AC14 AA12:AB12 AA14:AB14 AA16:AC16 AA18:AB18 AC18 Y14 Y16 Y12:Z13 Y17:Z19 Z16 Y15:Z15 Z14 AD26:AE29 Y26:AC29 AG26:AJ29 AH30:AJ32 AF18 AF12 AF14 AF16 AD18 AD16 AD14 AD8:AK11 AD15:AK15 AE14 AD17:AK17 AE16 AE18 AG16:AK16 AG14:AK14 AD13:AK13 AD12:AE12 AG12:AK12 AG18:AK18" evalError="1"/>
    <ignoredError sqref="V28 V30:X32 AF30:AF32 V14:V16" formula="1"/>
    <ignoredError sqref="AD30:AE32 Y30:AC32 AG30:AG32" evalError="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466B6-891F-4E49-BCBE-CE3A8AADC278}">
  <dimension ref="A3:F14"/>
  <sheetViews>
    <sheetView showGridLines="0" workbookViewId="0">
      <selection activeCell="D7" sqref="D7"/>
    </sheetView>
  </sheetViews>
  <sheetFormatPr baseColWidth="10" defaultRowHeight="24" x14ac:dyDescent="0.3"/>
  <cols>
    <col min="1" max="1" width="10.83203125" style="20"/>
    <col min="2" max="2" width="22.1640625" style="20" customWidth="1"/>
    <col min="3" max="3" width="15.83203125" style="20" bestFit="1" customWidth="1"/>
    <col min="4" max="4" width="15.6640625" style="20" customWidth="1"/>
    <col min="5" max="5" width="16" style="20" customWidth="1"/>
    <col min="6" max="6" width="15.33203125" style="20" bestFit="1" customWidth="1"/>
    <col min="7" max="7" width="13.6640625" style="20" bestFit="1" customWidth="1"/>
    <col min="8" max="8" width="16" style="20" customWidth="1"/>
    <col min="9" max="9" width="15.5" style="20" customWidth="1"/>
    <col min="10" max="16384" width="10.83203125" style="20"/>
  </cols>
  <sheetData>
    <row r="3" spans="1:6" x14ac:dyDescent="0.3">
      <c r="A3" s="20" t="s">
        <v>141</v>
      </c>
    </row>
    <row r="4" spans="1:6" x14ac:dyDescent="0.3">
      <c r="A4" s="54">
        <f>Modell!AM25</f>
        <v>2639.8428000000017</v>
      </c>
    </row>
    <row r="6" spans="1:6" x14ac:dyDescent="0.3">
      <c r="B6" s="33" t="s">
        <v>35</v>
      </c>
      <c r="C6" s="33" t="s">
        <v>141</v>
      </c>
      <c r="D6" s="33" t="s">
        <v>66</v>
      </c>
      <c r="E6" s="33" t="s">
        <v>67</v>
      </c>
      <c r="F6" s="33" t="s">
        <v>68</v>
      </c>
    </row>
    <row r="7" spans="1:6" x14ac:dyDescent="0.3">
      <c r="B7" s="34" t="s">
        <v>52</v>
      </c>
      <c r="C7" s="35">
        <v>2278</v>
      </c>
      <c r="D7" s="34">
        <v>7</v>
      </c>
      <c r="E7" s="35">
        <f>C7*D7</f>
        <v>15946</v>
      </c>
      <c r="F7" s="36">
        <f>E7/Modell!$B$5</f>
        <v>95.502822058681986</v>
      </c>
    </row>
    <row r="8" spans="1:6" x14ac:dyDescent="0.3">
      <c r="B8" s="34" t="s">
        <v>65</v>
      </c>
      <c r="C8" s="35">
        <v>362</v>
      </c>
      <c r="D8" s="34">
        <v>5</v>
      </c>
      <c r="E8" s="35">
        <f>C8*D8</f>
        <v>1810</v>
      </c>
      <c r="F8" s="36">
        <f>E8/Modell!$B$5</f>
        <v>10.840342902684961</v>
      </c>
    </row>
    <row r="9" spans="1:6" x14ac:dyDescent="0.3">
      <c r="B9" s="33" t="s">
        <v>136</v>
      </c>
      <c r="C9" s="37">
        <f>SUM(C7:C8)</f>
        <v>2640</v>
      </c>
      <c r="D9" s="33"/>
      <c r="E9" s="37">
        <f>SUM(E7:E8)</f>
        <v>17756</v>
      </c>
      <c r="F9" s="38">
        <f>E9/Modell!$B$5</f>
        <v>106.34316496136694</v>
      </c>
    </row>
    <row r="10" spans="1:6" x14ac:dyDescent="0.3">
      <c r="B10" s="39"/>
      <c r="C10" s="39"/>
      <c r="D10" s="39"/>
      <c r="E10" s="40"/>
      <c r="F10" s="39"/>
    </row>
    <row r="11" spans="1:6" x14ac:dyDescent="0.3">
      <c r="B11" s="34" t="s">
        <v>137</v>
      </c>
      <c r="C11" s="34"/>
      <c r="D11" s="34"/>
      <c r="E11" s="35">
        <f>-Modell!B8</f>
        <v>-2456.9899999999998</v>
      </c>
      <c r="F11" s="36">
        <f>E11/Modell!$B$5</f>
        <v>-14.715256413518187</v>
      </c>
    </row>
    <row r="12" spans="1:6" x14ac:dyDescent="0.3">
      <c r="B12" s="34" t="s">
        <v>90</v>
      </c>
      <c r="C12" s="34"/>
      <c r="D12" s="34"/>
      <c r="E12" s="35">
        <f>Modell!B7</f>
        <v>830.03399999999999</v>
      </c>
      <c r="F12" s="36">
        <f>E12/Modell!$B$5</f>
        <v>4.9711896027001155</v>
      </c>
    </row>
    <row r="13" spans="1:6" x14ac:dyDescent="0.3">
      <c r="B13" s="39"/>
      <c r="C13" s="39"/>
      <c r="D13" s="39"/>
      <c r="E13" s="40"/>
      <c r="F13" s="39"/>
    </row>
    <row r="14" spans="1:6" x14ac:dyDescent="0.3">
      <c r="B14" s="33" t="s">
        <v>138</v>
      </c>
      <c r="C14" s="33"/>
      <c r="D14" s="33"/>
      <c r="E14" s="37">
        <f>SUM(E9:E12)</f>
        <v>16129.044</v>
      </c>
      <c r="F14" s="38">
        <f>SUM(F9:F12)</f>
        <v>96.599098150548869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8830-A080-A841-9421-B3FC79219120}">
  <dimension ref="C4:F7"/>
  <sheetViews>
    <sheetView showGridLines="0" workbookViewId="0">
      <selection activeCell="C17" sqref="C17"/>
    </sheetView>
  </sheetViews>
  <sheetFormatPr baseColWidth="10" defaultRowHeight="16" x14ac:dyDescent="0.2"/>
  <cols>
    <col min="3" max="3" width="39.1640625" customWidth="1"/>
    <col min="4" max="6" width="18.6640625" bestFit="1" customWidth="1"/>
  </cols>
  <sheetData>
    <row r="4" spans="3:6" ht="62" x14ac:dyDescent="0.7">
      <c r="C4" s="7"/>
      <c r="D4" s="7">
        <v>2026</v>
      </c>
      <c r="E4" s="7">
        <v>2027</v>
      </c>
      <c r="F4" s="7">
        <v>2028</v>
      </c>
    </row>
    <row r="5" spans="3:6" ht="62" x14ac:dyDescent="0.7">
      <c r="C5" s="7" t="s">
        <v>144</v>
      </c>
      <c r="D5" s="8">
        <f>Modell!$B$9/Modell!AM25</f>
        <v>5.7395220382062107</v>
      </c>
      <c r="E5" s="8">
        <f>Modell!$B$9/Modell!AN25</f>
        <v>5.392356296664861</v>
      </c>
      <c r="F5" s="8">
        <f>Modell!$B$9/Modell!AO25</f>
        <v>5.0017063686492547</v>
      </c>
    </row>
    <row r="6" spans="3:6" ht="62" x14ac:dyDescent="0.7">
      <c r="C6" s="7" t="s">
        <v>33</v>
      </c>
      <c r="D6" s="8">
        <f>Modell!$B$9/Modell!AM10</f>
        <v>9.7874786976173933</v>
      </c>
      <c r="E6" s="8">
        <f>Modell!$B$9/Modell!AN10</f>
        <v>9.0492707104468693</v>
      </c>
      <c r="F6" s="8">
        <f>Modell!$B$9/Modell!AO10</f>
        <v>8.1471719231877664</v>
      </c>
    </row>
    <row r="7" spans="3:6" ht="62" x14ac:dyDescent="0.7">
      <c r="C7" s="7" t="s">
        <v>34</v>
      </c>
      <c r="D7" s="8">
        <f>Modell!$B$4/Modell!AM18</f>
        <v>13.617723421696596</v>
      </c>
      <c r="E7" s="8">
        <f>Modell!$B$4/Modell!AN18</f>
        <v>12.549119467579544</v>
      </c>
      <c r="F7" s="8">
        <f>Modell!$B$4/Modell!AO18</f>
        <v>11.085226051733791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1A68-AF0F-164B-BD1F-2B3529755418}">
  <dimension ref="A3:EM24"/>
  <sheetViews>
    <sheetView showGridLines="0" workbookViewId="0">
      <pane xSplit="3" ySplit="3" topLeftCell="I4" activePane="bottomRight" state="frozen"/>
      <selection pane="topRight" activeCell="D1" sqref="D1"/>
      <selection pane="bottomLeft" activeCell="A4" sqref="A4"/>
      <selection pane="bottomRight" activeCell="Q24" sqref="Q24"/>
    </sheetView>
  </sheetViews>
  <sheetFormatPr baseColWidth="10" defaultRowHeight="19" x14ac:dyDescent="0.25"/>
  <cols>
    <col min="1" max="1" width="10.83203125" style="1"/>
    <col min="2" max="2" width="19.33203125" style="3" customWidth="1"/>
    <col min="3" max="3" width="31.5" style="1" customWidth="1"/>
    <col min="4" max="25" width="10.83203125" style="1"/>
    <col min="26" max="26" width="14.1640625" style="1" bestFit="1" customWidth="1"/>
    <col min="27" max="27" width="13.33203125" style="1" bestFit="1" customWidth="1"/>
    <col min="28" max="16384" width="10.83203125" style="1"/>
  </cols>
  <sheetData>
    <row r="3" spans="1:143" x14ac:dyDescent="0.25">
      <c r="A3" s="9" t="s">
        <v>129</v>
      </c>
      <c r="D3" s="1" t="s">
        <v>51</v>
      </c>
      <c r="E3" s="1" t="s">
        <v>48</v>
      </c>
      <c r="F3" s="1" t="s">
        <v>49</v>
      </c>
      <c r="G3" s="1" t="s">
        <v>50</v>
      </c>
      <c r="H3" s="1" t="s">
        <v>45</v>
      </c>
      <c r="I3" s="1" t="s">
        <v>46</v>
      </c>
      <c r="J3" s="1" t="s">
        <v>47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23</v>
      </c>
      <c r="P3" s="1" t="s">
        <v>24</v>
      </c>
      <c r="Q3" s="1" t="s">
        <v>25</v>
      </c>
      <c r="R3" s="1" t="s">
        <v>26</v>
      </c>
      <c r="S3" s="1" t="s">
        <v>27</v>
      </c>
      <c r="T3" s="1" t="s">
        <v>28</v>
      </c>
      <c r="U3" s="1" t="s">
        <v>29</v>
      </c>
      <c r="V3" s="1" t="s">
        <v>30</v>
      </c>
      <c r="W3" s="1" t="s">
        <v>31</v>
      </c>
      <c r="X3" s="1" t="s">
        <v>32</v>
      </c>
    </row>
    <row r="4" spans="1:143" x14ac:dyDescent="0.25">
      <c r="A4" s="1" t="s">
        <v>135</v>
      </c>
      <c r="C4" s="23" t="s">
        <v>54</v>
      </c>
      <c r="L4" s="23">
        <v>9466.9210000000003</v>
      </c>
      <c r="M4" s="23">
        <v>12750.259</v>
      </c>
      <c r="N4" s="23">
        <v>14878</v>
      </c>
      <c r="O4" s="24">
        <f>N4</f>
        <v>14878</v>
      </c>
      <c r="P4" s="24">
        <f t="shared" ref="P4:X4" si="0">O4</f>
        <v>14878</v>
      </c>
      <c r="Q4" s="24">
        <f t="shared" si="0"/>
        <v>14878</v>
      </c>
      <c r="R4" s="24">
        <f t="shared" si="0"/>
        <v>14878</v>
      </c>
      <c r="S4" s="24">
        <f t="shared" si="0"/>
        <v>14878</v>
      </c>
      <c r="T4" s="24">
        <f t="shared" si="0"/>
        <v>14878</v>
      </c>
      <c r="U4" s="24">
        <f t="shared" si="0"/>
        <v>14878</v>
      </c>
      <c r="V4" s="24">
        <f t="shared" si="0"/>
        <v>14878</v>
      </c>
      <c r="W4" s="24">
        <f t="shared" si="0"/>
        <v>14878</v>
      </c>
      <c r="X4" s="24">
        <f t="shared" si="0"/>
        <v>14878</v>
      </c>
    </row>
    <row r="5" spans="1:143" x14ac:dyDescent="0.25">
      <c r="A5" s="30">
        <f>AA23</f>
        <v>65.691846644214834</v>
      </c>
      <c r="C5" s="24" t="s">
        <v>58</v>
      </c>
      <c r="L5" s="24">
        <v>-5275.6760000000004</v>
      </c>
      <c r="M5" s="24">
        <v>-7437.4549999999999</v>
      </c>
      <c r="N5" s="24">
        <v>-8799</v>
      </c>
      <c r="O5" s="24">
        <f>O4*-0.6</f>
        <v>-8926.7999999999993</v>
      </c>
      <c r="P5" s="24">
        <f t="shared" ref="P5:X5" si="1">P4*-0.6</f>
        <v>-8926.7999999999993</v>
      </c>
      <c r="Q5" s="24">
        <f t="shared" si="1"/>
        <v>-8926.7999999999993</v>
      </c>
      <c r="R5" s="24">
        <f t="shared" si="1"/>
        <v>-8926.7999999999993</v>
      </c>
      <c r="S5" s="24">
        <f t="shared" si="1"/>
        <v>-8926.7999999999993</v>
      </c>
      <c r="T5" s="24">
        <f t="shared" si="1"/>
        <v>-8926.7999999999993</v>
      </c>
      <c r="U5" s="24">
        <f t="shared" si="1"/>
        <v>-8926.7999999999993</v>
      </c>
      <c r="V5" s="24">
        <f t="shared" si="1"/>
        <v>-8926.7999999999993</v>
      </c>
      <c r="W5" s="24">
        <f t="shared" si="1"/>
        <v>-8926.7999999999993</v>
      </c>
      <c r="X5" s="24">
        <f t="shared" si="1"/>
        <v>-8926.7999999999993</v>
      </c>
    </row>
    <row r="6" spans="1:143" x14ac:dyDescent="0.25">
      <c r="A6" s="25">
        <f>AA24</f>
        <v>-0.18898954760228601</v>
      </c>
      <c r="C6" s="24" t="s">
        <v>56</v>
      </c>
      <c r="L6" s="24">
        <f>SUM(L4:L5)</f>
        <v>4191.2449999999999</v>
      </c>
      <c r="M6" s="24">
        <f>SUM(M4:M5)</f>
        <v>5312.8040000000001</v>
      </c>
      <c r="N6" s="24">
        <f>SUM(N4:N5)</f>
        <v>6079</v>
      </c>
      <c r="O6" s="24">
        <f t="shared" ref="O6:X6" si="2">SUM(O4:O5)</f>
        <v>5951.2000000000007</v>
      </c>
      <c r="P6" s="24">
        <f t="shared" si="2"/>
        <v>5951.2000000000007</v>
      </c>
      <c r="Q6" s="24">
        <f t="shared" si="2"/>
        <v>5951.2000000000007</v>
      </c>
      <c r="R6" s="24">
        <f t="shared" si="2"/>
        <v>5951.2000000000007</v>
      </c>
      <c r="S6" s="24">
        <f t="shared" si="2"/>
        <v>5951.2000000000007</v>
      </c>
      <c r="T6" s="24">
        <f t="shared" si="2"/>
        <v>5951.2000000000007</v>
      </c>
      <c r="U6" s="24">
        <f t="shared" si="2"/>
        <v>5951.2000000000007</v>
      </c>
      <c r="V6" s="24">
        <f t="shared" si="2"/>
        <v>5951.2000000000007</v>
      </c>
      <c r="W6" s="24">
        <f t="shared" si="2"/>
        <v>5951.2000000000007</v>
      </c>
      <c r="X6" s="24">
        <f t="shared" si="2"/>
        <v>5951.2000000000007</v>
      </c>
    </row>
    <row r="7" spans="1:143" x14ac:dyDescent="0.25">
      <c r="C7" s="24" t="s">
        <v>71</v>
      </c>
      <c r="L7" s="24">
        <v>-1373.0809999999999</v>
      </c>
      <c r="M7" s="24">
        <v>-1865.0360000000001</v>
      </c>
      <c r="N7" s="24">
        <v>-2238</v>
      </c>
      <c r="O7" s="24">
        <f>N7*1</f>
        <v>-2238</v>
      </c>
      <c r="P7" s="24">
        <f t="shared" ref="P7:X7" si="3">O7*1</f>
        <v>-2238</v>
      </c>
      <c r="Q7" s="24">
        <f t="shared" si="3"/>
        <v>-2238</v>
      </c>
      <c r="R7" s="24">
        <f t="shared" si="3"/>
        <v>-2238</v>
      </c>
      <c r="S7" s="24">
        <f t="shared" si="3"/>
        <v>-2238</v>
      </c>
      <c r="T7" s="24">
        <f t="shared" si="3"/>
        <v>-2238</v>
      </c>
      <c r="U7" s="24">
        <f t="shared" si="3"/>
        <v>-2238</v>
      </c>
      <c r="V7" s="24">
        <f t="shared" si="3"/>
        <v>-2238</v>
      </c>
      <c r="W7" s="24">
        <f t="shared" si="3"/>
        <v>-2238</v>
      </c>
      <c r="X7" s="24">
        <f t="shared" si="3"/>
        <v>-2238</v>
      </c>
    </row>
    <row r="8" spans="1:143" x14ac:dyDescent="0.25">
      <c r="C8" s="24" t="s">
        <v>72</v>
      </c>
      <c r="L8" s="24">
        <v>-674.60799999999995</v>
      </c>
      <c r="M8" s="24">
        <v>-922.92700000000002</v>
      </c>
      <c r="N8" s="24">
        <v>-1060</v>
      </c>
      <c r="O8" s="24">
        <f>N8*1</f>
        <v>-1060</v>
      </c>
      <c r="P8" s="24">
        <f t="shared" ref="P8:X8" si="4">O8*1</f>
        <v>-1060</v>
      </c>
      <c r="Q8" s="24">
        <f t="shared" si="4"/>
        <v>-1060</v>
      </c>
      <c r="R8" s="24">
        <f t="shared" si="4"/>
        <v>-1060</v>
      </c>
      <c r="S8" s="24">
        <f t="shared" si="4"/>
        <v>-1060</v>
      </c>
      <c r="T8" s="24">
        <f t="shared" si="4"/>
        <v>-1060</v>
      </c>
      <c r="U8" s="24">
        <f t="shared" si="4"/>
        <v>-1060</v>
      </c>
      <c r="V8" s="24">
        <f t="shared" si="4"/>
        <v>-1060</v>
      </c>
      <c r="W8" s="24">
        <f t="shared" si="4"/>
        <v>-1060</v>
      </c>
      <c r="X8" s="24">
        <f t="shared" si="4"/>
        <v>-1060</v>
      </c>
    </row>
    <row r="9" spans="1:143" x14ac:dyDescent="0.25">
      <c r="C9" s="24" t="s">
        <v>73</v>
      </c>
      <c r="L9" s="24">
        <v>-848.42600000000004</v>
      </c>
      <c r="M9" s="24">
        <v>-1288.0619999999999</v>
      </c>
      <c r="N9" s="24">
        <v>-1462</v>
      </c>
      <c r="O9" s="24">
        <f>N9*1</f>
        <v>-1462</v>
      </c>
      <c r="P9" s="24">
        <f t="shared" ref="P9:X9" si="5">O9*1</f>
        <v>-1462</v>
      </c>
      <c r="Q9" s="24">
        <f t="shared" si="5"/>
        <v>-1462</v>
      </c>
      <c r="R9" s="24">
        <f t="shared" si="5"/>
        <v>-1462</v>
      </c>
      <c r="S9" s="24">
        <f t="shared" si="5"/>
        <v>-1462</v>
      </c>
      <c r="T9" s="24">
        <f t="shared" si="5"/>
        <v>-1462</v>
      </c>
      <c r="U9" s="24">
        <f t="shared" si="5"/>
        <v>-1462</v>
      </c>
      <c r="V9" s="24">
        <f t="shared" si="5"/>
        <v>-1462</v>
      </c>
      <c r="W9" s="24">
        <f t="shared" si="5"/>
        <v>-1462</v>
      </c>
      <c r="X9" s="24">
        <f t="shared" si="5"/>
        <v>-1462</v>
      </c>
    </row>
    <row r="10" spans="1:143" x14ac:dyDescent="0.25">
      <c r="C10" s="23" t="s">
        <v>74</v>
      </c>
      <c r="L10" s="23">
        <f>SUM(L6:L9)</f>
        <v>1295.1299999999997</v>
      </c>
      <c r="M10" s="23">
        <f>SUM(M6:M9)</f>
        <v>1236.779</v>
      </c>
      <c r="N10" s="23">
        <f>SUM(N6:N9)</f>
        <v>1319</v>
      </c>
      <c r="O10" s="23">
        <f t="shared" ref="O10:X10" si="6">SUM(O6:O9)</f>
        <v>1191.2000000000007</v>
      </c>
      <c r="P10" s="23">
        <f t="shared" si="6"/>
        <v>1191.2000000000007</v>
      </c>
      <c r="Q10" s="23">
        <f t="shared" si="6"/>
        <v>1191.2000000000007</v>
      </c>
      <c r="R10" s="23">
        <f t="shared" si="6"/>
        <v>1191.2000000000007</v>
      </c>
      <c r="S10" s="23">
        <f t="shared" si="6"/>
        <v>1191.2000000000007</v>
      </c>
      <c r="T10" s="23">
        <f t="shared" si="6"/>
        <v>1191.2000000000007</v>
      </c>
      <c r="U10" s="23">
        <f t="shared" si="6"/>
        <v>1191.2000000000007</v>
      </c>
      <c r="V10" s="23">
        <f t="shared" si="6"/>
        <v>1191.2000000000007</v>
      </c>
      <c r="W10" s="23">
        <f t="shared" si="6"/>
        <v>1191.2000000000007</v>
      </c>
      <c r="X10" s="23">
        <f t="shared" si="6"/>
        <v>1191.2000000000007</v>
      </c>
    </row>
    <row r="11" spans="1:143" x14ac:dyDescent="0.25">
      <c r="C11" s="24" t="s">
        <v>75</v>
      </c>
      <c r="L11" s="24">
        <v>-190.517</v>
      </c>
      <c r="M11" s="24">
        <v>-201.70400000000001</v>
      </c>
      <c r="N11" s="24">
        <v>-258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</row>
    <row r="12" spans="1:143" x14ac:dyDescent="0.25">
      <c r="C12" s="24" t="s">
        <v>76</v>
      </c>
      <c r="L12" s="24">
        <v>-54.488999999999997</v>
      </c>
      <c r="M12" s="24">
        <v>1.5920000000000001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</row>
    <row r="13" spans="1:143" x14ac:dyDescent="0.25">
      <c r="C13" s="24" t="s">
        <v>77</v>
      </c>
      <c r="L13" s="24">
        <v>101.789</v>
      </c>
      <c r="M13" s="24">
        <v>32.308999999999997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</row>
    <row r="14" spans="1:143" x14ac:dyDescent="0.25">
      <c r="C14" s="24" t="s">
        <v>78</v>
      </c>
      <c r="L14" s="24">
        <f>SUM(L10:L13)</f>
        <v>1151.9129999999996</v>
      </c>
      <c r="M14" s="24">
        <f>SUM(M10:M13)</f>
        <v>1068.9760000000001</v>
      </c>
      <c r="N14" s="24">
        <f>SUM(N10:N13)</f>
        <v>1061</v>
      </c>
      <c r="O14" s="24">
        <f t="shared" ref="O14:X14" si="7">SUM(O10:O13)</f>
        <v>1191.2000000000007</v>
      </c>
      <c r="P14" s="24">
        <f t="shared" si="7"/>
        <v>1191.2000000000007</v>
      </c>
      <c r="Q14" s="24">
        <f t="shared" si="7"/>
        <v>1191.2000000000007</v>
      </c>
      <c r="R14" s="24">
        <f t="shared" si="7"/>
        <v>1191.2000000000007</v>
      </c>
      <c r="S14" s="24">
        <f t="shared" si="7"/>
        <v>1191.2000000000007</v>
      </c>
      <c r="T14" s="24">
        <f t="shared" si="7"/>
        <v>1191.2000000000007</v>
      </c>
      <c r="U14" s="24">
        <f t="shared" si="7"/>
        <v>1191.2000000000007</v>
      </c>
      <c r="V14" s="24">
        <f t="shared" si="7"/>
        <v>1191.2000000000007</v>
      </c>
      <c r="W14" s="24">
        <f t="shared" si="7"/>
        <v>1191.2000000000007</v>
      </c>
      <c r="X14" s="24">
        <f t="shared" si="7"/>
        <v>1191.2000000000007</v>
      </c>
    </row>
    <row r="15" spans="1:143" x14ac:dyDescent="0.25">
      <c r="C15" s="24" t="s">
        <v>79</v>
      </c>
      <c r="L15" s="24">
        <v>-243.06</v>
      </c>
      <c r="M15" s="24">
        <v>-230.94</v>
      </c>
      <c r="N15" s="24">
        <v>-246</v>
      </c>
      <c r="O15" s="24">
        <f>O14*-0.22</f>
        <v>-262.06400000000014</v>
      </c>
      <c r="P15" s="24">
        <f t="shared" ref="P15:X15" si="8">P14*-0.22</f>
        <v>-262.06400000000014</v>
      </c>
      <c r="Q15" s="24">
        <f t="shared" si="8"/>
        <v>-262.06400000000014</v>
      </c>
      <c r="R15" s="24">
        <f t="shared" si="8"/>
        <v>-262.06400000000014</v>
      </c>
      <c r="S15" s="24">
        <f t="shared" si="8"/>
        <v>-262.06400000000014</v>
      </c>
      <c r="T15" s="24">
        <f t="shared" si="8"/>
        <v>-262.06400000000014</v>
      </c>
      <c r="U15" s="24">
        <f t="shared" si="8"/>
        <v>-262.06400000000014</v>
      </c>
      <c r="V15" s="24">
        <f t="shared" si="8"/>
        <v>-262.06400000000014</v>
      </c>
      <c r="W15" s="24">
        <f t="shared" si="8"/>
        <v>-262.06400000000014</v>
      </c>
      <c r="X15" s="24">
        <f t="shared" si="8"/>
        <v>-262.06400000000014</v>
      </c>
    </row>
    <row r="16" spans="1:143" x14ac:dyDescent="0.25">
      <c r="C16" s="23" t="s">
        <v>80</v>
      </c>
      <c r="L16" s="23">
        <f>SUM(L14:L15)</f>
        <v>908.85299999999961</v>
      </c>
      <c r="M16" s="23">
        <f>SUM(M14:M15)</f>
        <v>838.03600000000006</v>
      </c>
      <c r="N16" s="23">
        <f>SUM(N14:N15)</f>
        <v>815</v>
      </c>
      <c r="O16" s="23">
        <f t="shared" ref="O16:X16" si="9">SUM(O14:O15)</f>
        <v>929.13600000000065</v>
      </c>
      <c r="P16" s="23">
        <f t="shared" si="9"/>
        <v>929.13600000000065</v>
      </c>
      <c r="Q16" s="23">
        <f t="shared" si="9"/>
        <v>929.13600000000065</v>
      </c>
      <c r="R16" s="23">
        <f t="shared" si="9"/>
        <v>929.13600000000065</v>
      </c>
      <c r="S16" s="23">
        <f t="shared" si="9"/>
        <v>929.13600000000065</v>
      </c>
      <c r="T16" s="23">
        <f t="shared" si="9"/>
        <v>929.13600000000065</v>
      </c>
      <c r="U16" s="23">
        <f t="shared" si="9"/>
        <v>929.13600000000065</v>
      </c>
      <c r="V16" s="23">
        <f t="shared" si="9"/>
        <v>929.13600000000065</v>
      </c>
      <c r="W16" s="23">
        <f t="shared" si="9"/>
        <v>929.13600000000065</v>
      </c>
      <c r="X16" s="23">
        <f t="shared" si="9"/>
        <v>929.13600000000065</v>
      </c>
      <c r="Y16" s="23">
        <f>X16*(1+$AA$20)</f>
        <v>919.8446400000006</v>
      </c>
      <c r="Z16" s="23">
        <f t="shared" ref="Z16:CK16" si="10">Y16*(1+$AA$20)</f>
        <v>910.64619360000063</v>
      </c>
      <c r="AA16" s="23">
        <f t="shared" si="10"/>
        <v>901.53973166400067</v>
      </c>
      <c r="AB16" s="23">
        <f t="shared" si="10"/>
        <v>892.52433434736065</v>
      </c>
      <c r="AC16" s="23">
        <f t="shared" si="10"/>
        <v>883.599091003887</v>
      </c>
      <c r="AD16" s="23">
        <f t="shared" si="10"/>
        <v>874.76310009384815</v>
      </c>
      <c r="AE16" s="23">
        <f t="shared" si="10"/>
        <v>866.01546909290971</v>
      </c>
      <c r="AF16" s="23">
        <f t="shared" si="10"/>
        <v>857.35531440198065</v>
      </c>
      <c r="AG16" s="23">
        <f t="shared" si="10"/>
        <v>848.78176125796085</v>
      </c>
      <c r="AH16" s="23">
        <f t="shared" si="10"/>
        <v>840.2939436453812</v>
      </c>
      <c r="AI16" s="23">
        <f t="shared" si="10"/>
        <v>831.89100420892737</v>
      </c>
      <c r="AJ16" s="23">
        <f t="shared" si="10"/>
        <v>823.57209416683804</v>
      </c>
      <c r="AK16" s="23">
        <f t="shared" si="10"/>
        <v>815.33637322516961</v>
      </c>
      <c r="AL16" s="23">
        <f t="shared" si="10"/>
        <v>807.1830094929179</v>
      </c>
      <c r="AM16" s="23">
        <f t="shared" si="10"/>
        <v>799.11117939798874</v>
      </c>
      <c r="AN16" s="23">
        <f t="shared" si="10"/>
        <v>791.1200676040088</v>
      </c>
      <c r="AO16" s="23">
        <f t="shared" si="10"/>
        <v>783.20886692796876</v>
      </c>
      <c r="AP16" s="23">
        <f t="shared" si="10"/>
        <v>775.37677825868911</v>
      </c>
      <c r="AQ16" s="23">
        <f t="shared" si="10"/>
        <v>767.62301047610219</v>
      </c>
      <c r="AR16" s="23">
        <f t="shared" si="10"/>
        <v>759.94678037134122</v>
      </c>
      <c r="AS16" s="23">
        <f t="shared" si="10"/>
        <v>752.3473125676278</v>
      </c>
      <c r="AT16" s="23">
        <f t="shared" si="10"/>
        <v>744.82383944195146</v>
      </c>
      <c r="AU16" s="23">
        <f t="shared" si="10"/>
        <v>737.37560104753197</v>
      </c>
      <c r="AV16" s="23">
        <f t="shared" si="10"/>
        <v>730.00184503705668</v>
      </c>
      <c r="AW16" s="23">
        <f t="shared" si="10"/>
        <v>722.70182658668614</v>
      </c>
      <c r="AX16" s="23">
        <f t="shared" si="10"/>
        <v>715.47480832081931</v>
      </c>
      <c r="AY16" s="23">
        <f t="shared" si="10"/>
        <v>708.32006023761107</v>
      </c>
      <c r="AZ16" s="23">
        <f t="shared" si="10"/>
        <v>701.23685963523496</v>
      </c>
      <c r="BA16" s="23">
        <f t="shared" si="10"/>
        <v>694.22449103888266</v>
      </c>
      <c r="BB16" s="23">
        <f t="shared" si="10"/>
        <v>687.28224612849385</v>
      </c>
      <c r="BC16" s="23">
        <f t="shared" si="10"/>
        <v>680.4094236672089</v>
      </c>
      <c r="BD16" s="23">
        <f t="shared" si="10"/>
        <v>673.60532943053681</v>
      </c>
      <c r="BE16" s="23">
        <f t="shared" si="10"/>
        <v>666.86927613623141</v>
      </c>
      <c r="BF16" s="23">
        <f t="shared" si="10"/>
        <v>660.2005833748691</v>
      </c>
      <c r="BG16" s="23">
        <f t="shared" si="10"/>
        <v>653.59857754112045</v>
      </c>
      <c r="BH16" s="23">
        <f t="shared" si="10"/>
        <v>647.06259176570927</v>
      </c>
      <c r="BI16" s="23">
        <f t="shared" si="10"/>
        <v>640.59196584805215</v>
      </c>
      <c r="BJ16" s="23">
        <f t="shared" si="10"/>
        <v>634.18604618957158</v>
      </c>
      <c r="BK16" s="23">
        <f t="shared" si="10"/>
        <v>627.84418572767584</v>
      </c>
      <c r="BL16" s="23">
        <f t="shared" si="10"/>
        <v>621.56574387039905</v>
      </c>
      <c r="BM16" s="23">
        <f t="shared" si="10"/>
        <v>615.3500864316951</v>
      </c>
      <c r="BN16" s="23">
        <f t="shared" si="10"/>
        <v>609.19658556737818</v>
      </c>
      <c r="BO16" s="23">
        <f t="shared" si="10"/>
        <v>603.10461971170434</v>
      </c>
      <c r="BP16" s="23">
        <f t="shared" si="10"/>
        <v>597.07357351458734</v>
      </c>
      <c r="BQ16" s="23">
        <f t="shared" si="10"/>
        <v>591.10283777944142</v>
      </c>
      <c r="BR16" s="23">
        <f t="shared" si="10"/>
        <v>585.19180940164699</v>
      </c>
      <c r="BS16" s="23">
        <f t="shared" si="10"/>
        <v>579.33989130763052</v>
      </c>
      <c r="BT16" s="23">
        <f t="shared" si="10"/>
        <v>573.54649239455421</v>
      </c>
      <c r="BU16" s="23">
        <f t="shared" si="10"/>
        <v>567.81102747060868</v>
      </c>
      <c r="BV16" s="23">
        <f t="shared" si="10"/>
        <v>562.13291719590256</v>
      </c>
      <c r="BW16" s="23">
        <f t="shared" si="10"/>
        <v>556.51158802394355</v>
      </c>
      <c r="BX16" s="23">
        <f t="shared" si="10"/>
        <v>550.94647214370411</v>
      </c>
      <c r="BY16" s="23">
        <f t="shared" si="10"/>
        <v>545.43700742226702</v>
      </c>
      <c r="BZ16" s="23">
        <f t="shared" si="10"/>
        <v>539.98263734804436</v>
      </c>
      <c r="CA16" s="23">
        <f t="shared" si="10"/>
        <v>534.58281097456393</v>
      </c>
      <c r="CB16" s="23">
        <f t="shared" si="10"/>
        <v>529.23698286481829</v>
      </c>
      <c r="CC16" s="23">
        <f t="shared" si="10"/>
        <v>523.94461303617015</v>
      </c>
      <c r="CD16" s="23">
        <f t="shared" si="10"/>
        <v>518.70516690580848</v>
      </c>
      <c r="CE16" s="23">
        <f t="shared" si="10"/>
        <v>513.51811523675042</v>
      </c>
      <c r="CF16" s="23">
        <f t="shared" si="10"/>
        <v>508.3829340843829</v>
      </c>
      <c r="CG16" s="23">
        <f t="shared" si="10"/>
        <v>503.29910474353909</v>
      </c>
      <c r="CH16" s="23">
        <f t="shared" si="10"/>
        <v>498.26611369610367</v>
      </c>
      <c r="CI16" s="23">
        <f t="shared" si="10"/>
        <v>493.28345255914263</v>
      </c>
      <c r="CJ16" s="23">
        <f t="shared" si="10"/>
        <v>488.3506180335512</v>
      </c>
      <c r="CK16" s="23">
        <f t="shared" si="10"/>
        <v>483.46711185321567</v>
      </c>
      <c r="CL16" s="23">
        <f t="shared" ref="CL16:EM16" si="11">CK16*(1+$AA$20)</f>
        <v>478.63244073468348</v>
      </c>
      <c r="CM16" s="23">
        <f t="shared" si="11"/>
        <v>473.84611632733663</v>
      </c>
      <c r="CN16" s="23">
        <f t="shared" si="11"/>
        <v>469.10765516406326</v>
      </c>
      <c r="CO16" s="23">
        <f t="shared" si="11"/>
        <v>464.4165786124226</v>
      </c>
      <c r="CP16" s="23">
        <f t="shared" si="11"/>
        <v>459.77241282629836</v>
      </c>
      <c r="CQ16" s="23">
        <f t="shared" si="11"/>
        <v>455.17468869803537</v>
      </c>
      <c r="CR16" s="23">
        <f t="shared" si="11"/>
        <v>450.622941811055</v>
      </c>
      <c r="CS16" s="23">
        <f t="shared" si="11"/>
        <v>446.11671239294446</v>
      </c>
      <c r="CT16" s="23">
        <f t="shared" si="11"/>
        <v>441.65554526901502</v>
      </c>
      <c r="CU16" s="23">
        <f t="shared" si="11"/>
        <v>437.23898981632487</v>
      </c>
      <c r="CV16" s="23">
        <f t="shared" si="11"/>
        <v>432.86659991816163</v>
      </c>
      <c r="CW16" s="23">
        <f t="shared" si="11"/>
        <v>428.53793391898</v>
      </c>
      <c r="CX16" s="23">
        <f t="shared" si="11"/>
        <v>424.25255457979017</v>
      </c>
      <c r="CY16" s="23">
        <f t="shared" si="11"/>
        <v>420.01002903399228</v>
      </c>
      <c r="CZ16" s="23">
        <f t="shared" si="11"/>
        <v>415.80992874365234</v>
      </c>
      <c r="DA16" s="23">
        <f t="shared" si="11"/>
        <v>411.65182945621581</v>
      </c>
      <c r="DB16" s="23">
        <f t="shared" si="11"/>
        <v>407.53531116165362</v>
      </c>
      <c r="DC16" s="23">
        <f t="shared" si="11"/>
        <v>403.45995805003707</v>
      </c>
      <c r="DD16" s="23">
        <f t="shared" si="11"/>
        <v>399.42535846953672</v>
      </c>
      <c r="DE16" s="23">
        <f t="shared" si="11"/>
        <v>395.43110488484137</v>
      </c>
      <c r="DF16" s="23">
        <f t="shared" si="11"/>
        <v>391.47679383599296</v>
      </c>
      <c r="DG16" s="23">
        <f t="shared" si="11"/>
        <v>387.56202589763302</v>
      </c>
      <c r="DH16" s="23">
        <f t="shared" si="11"/>
        <v>383.68640563865671</v>
      </c>
      <c r="DI16" s="23">
        <f t="shared" si="11"/>
        <v>379.84954158227015</v>
      </c>
      <c r="DJ16" s="23">
        <f t="shared" si="11"/>
        <v>376.05104616644746</v>
      </c>
      <c r="DK16" s="23">
        <f t="shared" si="11"/>
        <v>372.290535704783</v>
      </c>
      <c r="DL16" s="23">
        <f t="shared" si="11"/>
        <v>368.56763034773519</v>
      </c>
      <c r="DM16" s="23">
        <f t="shared" si="11"/>
        <v>364.88195404425784</v>
      </c>
      <c r="DN16" s="23">
        <f t="shared" si="11"/>
        <v>361.23313450381528</v>
      </c>
      <c r="DO16" s="23">
        <f t="shared" si="11"/>
        <v>357.62080315877711</v>
      </c>
      <c r="DP16" s="23">
        <f t="shared" si="11"/>
        <v>354.04459512718933</v>
      </c>
      <c r="DQ16" s="23">
        <f t="shared" si="11"/>
        <v>350.50414917591741</v>
      </c>
      <c r="DR16" s="23">
        <f t="shared" si="11"/>
        <v>346.99910768415822</v>
      </c>
      <c r="DS16" s="23">
        <f t="shared" si="11"/>
        <v>343.52911660731661</v>
      </c>
      <c r="DT16" s="23">
        <f t="shared" si="11"/>
        <v>340.09382544124344</v>
      </c>
      <c r="DU16" s="23">
        <f t="shared" si="11"/>
        <v>336.692887186831</v>
      </c>
      <c r="DV16" s="23">
        <f t="shared" si="11"/>
        <v>333.32595831496269</v>
      </c>
      <c r="DW16" s="23">
        <f t="shared" si="11"/>
        <v>329.99269873181305</v>
      </c>
      <c r="DX16" s="23">
        <f t="shared" si="11"/>
        <v>326.69277174449491</v>
      </c>
      <c r="DY16" s="23">
        <f t="shared" si="11"/>
        <v>323.42584402704995</v>
      </c>
      <c r="DZ16" s="23">
        <f t="shared" si="11"/>
        <v>320.19158558677947</v>
      </c>
      <c r="EA16" s="23">
        <f t="shared" si="11"/>
        <v>316.98966973091166</v>
      </c>
      <c r="EB16" s="23">
        <f t="shared" si="11"/>
        <v>313.81977303360253</v>
      </c>
      <c r="EC16" s="23">
        <f t="shared" si="11"/>
        <v>310.68157530326653</v>
      </c>
      <c r="ED16" s="23">
        <f t="shared" si="11"/>
        <v>307.57475955023386</v>
      </c>
      <c r="EE16" s="23">
        <f t="shared" si="11"/>
        <v>304.49901195473154</v>
      </c>
      <c r="EF16" s="23">
        <f t="shared" si="11"/>
        <v>301.45402183518422</v>
      </c>
      <c r="EG16" s="23">
        <f t="shared" si="11"/>
        <v>298.43948161683238</v>
      </c>
      <c r="EH16" s="23">
        <f t="shared" si="11"/>
        <v>295.45508680066405</v>
      </c>
      <c r="EI16" s="23">
        <f t="shared" si="11"/>
        <v>292.50053593265739</v>
      </c>
      <c r="EJ16" s="23">
        <f t="shared" si="11"/>
        <v>289.57553057333081</v>
      </c>
      <c r="EK16" s="23">
        <f t="shared" si="11"/>
        <v>286.67977526759751</v>
      </c>
      <c r="EL16" s="23">
        <f t="shared" si="11"/>
        <v>283.81297751492156</v>
      </c>
      <c r="EM16" s="23">
        <f t="shared" si="11"/>
        <v>280.97484773977231</v>
      </c>
    </row>
    <row r="17" spans="3:27" x14ac:dyDescent="0.25">
      <c r="C17" s="1" t="s">
        <v>81</v>
      </c>
      <c r="L17" s="22">
        <v>166.96888799999999</v>
      </c>
      <c r="M17" s="22">
        <v>166.96888799999999</v>
      </c>
      <c r="N17" s="22">
        <v>166.96888799999999</v>
      </c>
      <c r="O17" s="22">
        <v>166.96888799999999</v>
      </c>
      <c r="P17" s="22">
        <v>166.96888799999999</v>
      </c>
      <c r="Q17" s="22">
        <v>166.96888799999999</v>
      </c>
      <c r="R17" s="22">
        <v>166.96888799999999</v>
      </c>
      <c r="S17" s="22">
        <v>166.96888799999999</v>
      </c>
      <c r="T17" s="22">
        <v>166.96888799999999</v>
      </c>
      <c r="U17" s="22">
        <v>166.96888799999999</v>
      </c>
      <c r="V17" s="22">
        <v>166.96888799999999</v>
      </c>
      <c r="W17" s="22">
        <v>166.96888799999999</v>
      </c>
      <c r="X17" s="22">
        <v>166.96888799999999</v>
      </c>
    </row>
    <row r="18" spans="3:27" x14ac:dyDescent="0.25">
      <c r="C18" s="1" t="s">
        <v>82</v>
      </c>
      <c r="L18" s="21">
        <f>L16/L17</f>
        <v>5.4432476067038289</v>
      </c>
      <c r="M18" s="21">
        <f>M16/M17</f>
        <v>5.0191146987814887</v>
      </c>
      <c r="N18" s="21">
        <f>N16/N17</f>
        <v>4.8811488760708528</v>
      </c>
      <c r="O18" s="21">
        <f t="shared" ref="O18:X18" si="12">O16/O17</f>
        <v>5.5647253277508844</v>
      </c>
      <c r="P18" s="21">
        <f t="shared" si="12"/>
        <v>5.5647253277508844</v>
      </c>
      <c r="Q18" s="21">
        <f t="shared" si="12"/>
        <v>5.5647253277508844</v>
      </c>
      <c r="R18" s="21">
        <f t="shared" si="12"/>
        <v>5.5647253277508844</v>
      </c>
      <c r="S18" s="21">
        <f t="shared" si="12"/>
        <v>5.5647253277508844</v>
      </c>
      <c r="T18" s="21">
        <f t="shared" si="12"/>
        <v>5.5647253277508844</v>
      </c>
      <c r="U18" s="21">
        <f t="shared" si="12"/>
        <v>5.5647253277508844</v>
      </c>
      <c r="V18" s="21">
        <f t="shared" si="12"/>
        <v>5.5647253277508844</v>
      </c>
      <c r="W18" s="21">
        <f t="shared" si="12"/>
        <v>5.5647253277508844</v>
      </c>
      <c r="X18" s="21">
        <f t="shared" si="12"/>
        <v>5.5647253277508844</v>
      </c>
    </row>
    <row r="19" spans="3:27" x14ac:dyDescent="0.25">
      <c r="Z19" s="1" t="s">
        <v>133</v>
      </c>
      <c r="AA19" s="28">
        <v>0.08</v>
      </c>
    </row>
    <row r="20" spans="3:27" x14ac:dyDescent="0.25">
      <c r="C20" s="25" t="s">
        <v>69</v>
      </c>
      <c r="D20" s="25"/>
      <c r="E20" s="25" t="e">
        <f t="shared" ref="E20:L20" si="13">(E4-D4)/D4</f>
        <v>#DIV/0!</v>
      </c>
      <c r="F20" s="25" t="e">
        <f t="shared" si="13"/>
        <v>#DIV/0!</v>
      </c>
      <c r="G20" s="25" t="e">
        <f t="shared" si="13"/>
        <v>#DIV/0!</v>
      </c>
      <c r="H20" s="25" t="e">
        <f t="shared" si="13"/>
        <v>#DIV/0!</v>
      </c>
      <c r="I20" s="25" t="e">
        <f t="shared" si="13"/>
        <v>#DIV/0!</v>
      </c>
      <c r="J20" s="25" t="e">
        <f t="shared" si="13"/>
        <v>#DIV/0!</v>
      </c>
      <c r="K20" s="25" t="e">
        <f t="shared" si="13"/>
        <v>#DIV/0!</v>
      </c>
      <c r="L20" s="25" t="e">
        <f t="shared" si="13"/>
        <v>#DIV/0!</v>
      </c>
      <c r="M20" s="25">
        <f>(M4-L4)/L4</f>
        <v>0.34682216108067232</v>
      </c>
      <c r="N20" s="25">
        <f t="shared" ref="N20:X20" si="14">(N4-M4)/M4</f>
        <v>0.16687825713971771</v>
      </c>
      <c r="O20" s="25">
        <f t="shared" si="14"/>
        <v>0</v>
      </c>
      <c r="P20" s="25">
        <f t="shared" si="14"/>
        <v>0</v>
      </c>
      <c r="Q20" s="25">
        <f t="shared" si="14"/>
        <v>0</v>
      </c>
      <c r="R20" s="25">
        <f t="shared" si="14"/>
        <v>0</v>
      </c>
      <c r="S20" s="25">
        <f t="shared" si="14"/>
        <v>0</v>
      </c>
      <c r="T20" s="25">
        <f t="shared" si="14"/>
        <v>0</v>
      </c>
      <c r="U20" s="25">
        <f t="shared" si="14"/>
        <v>0</v>
      </c>
      <c r="V20" s="25">
        <f t="shared" si="14"/>
        <v>0</v>
      </c>
      <c r="W20" s="25">
        <f t="shared" si="14"/>
        <v>0</v>
      </c>
      <c r="X20" s="25">
        <f t="shared" si="14"/>
        <v>0</v>
      </c>
      <c r="Z20" s="1" t="s">
        <v>130</v>
      </c>
      <c r="AA20" s="28">
        <v>-0.01</v>
      </c>
    </row>
    <row r="21" spans="3:27" x14ac:dyDescent="0.25">
      <c r="C21" s="25" t="s">
        <v>70</v>
      </c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Z21" s="27" t="s">
        <v>131</v>
      </c>
      <c r="AA21" s="29">
        <f>NPV(AA19,O16:EM16)</f>
        <v>10968.494584851082</v>
      </c>
    </row>
    <row r="22" spans="3:27" x14ac:dyDescent="0.25">
      <c r="C22" s="15" t="s">
        <v>57</v>
      </c>
      <c r="D22" s="15" t="e">
        <f t="shared" ref="D22:X22" si="15">D6/D4</f>
        <v>#DIV/0!</v>
      </c>
      <c r="E22" s="15" t="e">
        <f t="shared" si="15"/>
        <v>#DIV/0!</v>
      </c>
      <c r="F22" s="15" t="e">
        <f t="shared" si="15"/>
        <v>#DIV/0!</v>
      </c>
      <c r="G22" s="15" t="e">
        <f t="shared" si="15"/>
        <v>#DIV/0!</v>
      </c>
      <c r="H22" s="15" t="e">
        <f t="shared" si="15"/>
        <v>#DIV/0!</v>
      </c>
      <c r="I22" s="15" t="e">
        <f t="shared" si="15"/>
        <v>#DIV/0!</v>
      </c>
      <c r="J22" s="15" t="e">
        <f t="shared" si="15"/>
        <v>#DIV/0!</v>
      </c>
      <c r="K22" s="15" t="e">
        <f t="shared" si="15"/>
        <v>#DIV/0!</v>
      </c>
      <c r="L22" s="15">
        <f t="shared" si="15"/>
        <v>0.44272525354336428</v>
      </c>
      <c r="M22" s="15">
        <f t="shared" si="15"/>
        <v>0.41668204543923382</v>
      </c>
      <c r="N22" s="15">
        <f t="shared" si="15"/>
        <v>0.40858986422906307</v>
      </c>
      <c r="O22" s="15">
        <f t="shared" si="15"/>
        <v>0.4</v>
      </c>
      <c r="P22" s="15">
        <f t="shared" si="15"/>
        <v>0.4</v>
      </c>
      <c r="Q22" s="15">
        <f t="shared" si="15"/>
        <v>0.4</v>
      </c>
      <c r="R22" s="15">
        <f t="shared" si="15"/>
        <v>0.4</v>
      </c>
      <c r="S22" s="15">
        <f t="shared" si="15"/>
        <v>0.4</v>
      </c>
      <c r="T22" s="15">
        <f t="shared" si="15"/>
        <v>0.4</v>
      </c>
      <c r="U22" s="15">
        <f t="shared" si="15"/>
        <v>0.4</v>
      </c>
      <c r="V22" s="15">
        <f t="shared" si="15"/>
        <v>0.4</v>
      </c>
      <c r="W22" s="15">
        <f t="shared" si="15"/>
        <v>0.4</v>
      </c>
      <c r="X22" s="15">
        <f t="shared" si="15"/>
        <v>0.4</v>
      </c>
      <c r="Z22" s="1" t="s">
        <v>2</v>
      </c>
      <c r="AA22" s="22">
        <v>166.96888799999999</v>
      </c>
    </row>
    <row r="23" spans="3:27" x14ac:dyDescent="0.25">
      <c r="C23" s="15" t="s">
        <v>64</v>
      </c>
      <c r="D23" s="15" t="e">
        <f t="shared" ref="D23:X23" si="16">D10/D4</f>
        <v>#DIV/0!</v>
      </c>
      <c r="E23" s="15" t="e">
        <f t="shared" si="16"/>
        <v>#DIV/0!</v>
      </c>
      <c r="F23" s="15" t="e">
        <f t="shared" si="16"/>
        <v>#DIV/0!</v>
      </c>
      <c r="G23" s="15" t="e">
        <f t="shared" si="16"/>
        <v>#DIV/0!</v>
      </c>
      <c r="H23" s="15" t="e">
        <f t="shared" si="16"/>
        <v>#DIV/0!</v>
      </c>
      <c r="I23" s="15" t="e">
        <f t="shared" si="16"/>
        <v>#DIV/0!</v>
      </c>
      <c r="J23" s="15" t="e">
        <f t="shared" si="16"/>
        <v>#DIV/0!</v>
      </c>
      <c r="K23" s="15" t="e">
        <f t="shared" si="16"/>
        <v>#DIV/0!</v>
      </c>
      <c r="L23" s="15">
        <f t="shared" si="16"/>
        <v>0.13680583158980619</v>
      </c>
      <c r="M23" s="15">
        <f t="shared" si="16"/>
        <v>9.7000304072254531E-2</v>
      </c>
      <c r="N23" s="15">
        <f t="shared" si="16"/>
        <v>8.8654389030783709E-2</v>
      </c>
      <c r="O23" s="15">
        <f t="shared" si="16"/>
        <v>8.0064524801720716E-2</v>
      </c>
      <c r="P23" s="15">
        <f t="shared" si="16"/>
        <v>8.0064524801720716E-2</v>
      </c>
      <c r="Q23" s="15">
        <f t="shared" si="16"/>
        <v>8.0064524801720716E-2</v>
      </c>
      <c r="R23" s="15">
        <f t="shared" si="16"/>
        <v>8.0064524801720716E-2</v>
      </c>
      <c r="S23" s="15">
        <f t="shared" si="16"/>
        <v>8.0064524801720716E-2</v>
      </c>
      <c r="T23" s="15">
        <f t="shared" si="16"/>
        <v>8.0064524801720716E-2</v>
      </c>
      <c r="U23" s="15">
        <f t="shared" si="16"/>
        <v>8.0064524801720716E-2</v>
      </c>
      <c r="V23" s="15">
        <f t="shared" si="16"/>
        <v>8.0064524801720716E-2</v>
      </c>
      <c r="W23" s="15">
        <f t="shared" si="16"/>
        <v>8.0064524801720716E-2</v>
      </c>
      <c r="X23" s="15">
        <f t="shared" si="16"/>
        <v>8.0064524801720716E-2</v>
      </c>
      <c r="Z23" s="9" t="s">
        <v>132</v>
      </c>
      <c r="AA23" s="30">
        <f>AA21/AA22</f>
        <v>65.691846644214834</v>
      </c>
    </row>
    <row r="24" spans="3:27" x14ac:dyDescent="0.25">
      <c r="Z24" s="9" t="s">
        <v>134</v>
      </c>
      <c r="AA24" s="25">
        <f>(AA23-Modell!B4)/Modell!B4</f>
        <v>-0.18898954760228601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Info</vt:lpstr>
      <vt:lpstr>Modell</vt:lpstr>
      <vt:lpstr>Segementer</vt:lpstr>
      <vt:lpstr>SOTP</vt:lpstr>
      <vt:lpstr>Nøkkeltall</vt:lpstr>
      <vt:lpstr>Nedsidebergnign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2025-02-02T17:48:02Z</dcterms:created>
  <dcterms:modified xsi:type="dcterms:W3CDTF">2026-10-01T07:18:42Z</dcterms:modified>
</cp:coreProperties>
</file>