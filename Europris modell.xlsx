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9FA1A0E-7DC4-C648-A679-242B4F6E04B1}" xr6:coauthVersionLast="47" xr6:coauthVersionMax="47" xr10:uidLastSave="{00000000-0000-0000-0000-000000000000}"/>
  <bookViews>
    <workbookView xWindow="0" yWindow="740" windowWidth="29400" windowHeight="17260" activeTab="3" xr2:uid="{A1D7EC49-6B45-5A4D-9144-DCA361DB0A7A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  <sheet name="Nedsidebergnign" sheetId="6" r:id="rId6"/>
  </sheets>
  <definedNames>
    <definedName name="_xlchart.v1.0" hidden="1">SOTP!$B$4:$B$11</definedName>
    <definedName name="_xlchart.v1.1" hidden="1">SOTP!$F$4:$F$11</definedName>
    <definedName name="_xlchart.v1.2" hidden="1">SOTP!$B$4:$B$11</definedName>
    <definedName name="_xlchart.v1.3" hidden="1">SOTP!$F$4:$F$11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6" i="2" l="1"/>
  <c r="AC14" i="4"/>
  <c r="T49" i="2"/>
  <c r="T10" i="2"/>
  <c r="T14" i="2" s="1"/>
  <c r="T16" i="2" s="1"/>
  <c r="T18" i="2" s="1"/>
  <c r="T6" i="2"/>
  <c r="D61" i="2"/>
  <c r="D6" i="2"/>
  <c r="D10" i="2" s="1"/>
  <c r="D14" i="2" s="1"/>
  <c r="D16" i="2" s="1"/>
  <c r="D18" i="2" s="1"/>
  <c r="H6" i="2"/>
  <c r="H10" i="2" s="1"/>
  <c r="H14" i="2" s="1"/>
  <c r="H16" i="2" s="1"/>
  <c r="H18" i="2" s="1"/>
  <c r="E48" i="2"/>
  <c r="E37" i="2"/>
  <c r="E33" i="2"/>
  <c r="E6" i="2"/>
  <c r="E10" i="2" s="1"/>
  <c r="E14" i="2" s="1"/>
  <c r="E16" i="2" s="1"/>
  <c r="E18" i="2" s="1"/>
  <c r="I6" i="2"/>
  <c r="I10" i="2" s="1"/>
  <c r="I14" i="2" s="1"/>
  <c r="I16" i="2" s="1"/>
  <c r="I18" i="2" s="1"/>
  <c r="F6" i="2"/>
  <c r="F10" i="2" s="1"/>
  <c r="F14" i="2" s="1"/>
  <c r="F16" i="2" s="1"/>
  <c r="F18" i="2" s="1"/>
  <c r="J6" i="2"/>
  <c r="J10" i="2" s="1"/>
  <c r="J14" i="2" s="1"/>
  <c r="J16" i="2" s="1"/>
  <c r="J18" i="2" s="1"/>
  <c r="G6" i="2"/>
  <c r="G10" i="2" s="1"/>
  <c r="G14" i="2" s="1"/>
  <c r="G16" i="2" s="1"/>
  <c r="G18" i="2" s="1"/>
  <c r="K6" i="2"/>
  <c r="K10" i="2" s="1"/>
  <c r="K14" i="2" s="1"/>
  <c r="K16" i="2" s="1"/>
  <c r="K18" i="2" s="1"/>
  <c r="E49" i="2" l="1"/>
  <c r="AK11" i="2" l="1"/>
  <c r="AL11" i="2" s="1"/>
  <c r="AM11" i="2" s="1"/>
  <c r="AN11" i="2" s="1"/>
  <c r="AO11" i="2" s="1"/>
  <c r="AP11" i="2" s="1"/>
  <c r="AQ11" i="2" s="1"/>
  <c r="AR11" i="2" s="1"/>
  <c r="AS11" i="2" s="1"/>
  <c r="AT11" i="2" s="1"/>
  <c r="Z6" i="2" l="1"/>
  <c r="Z10" i="2" s="1"/>
  <c r="Z14" i="2" s="1"/>
  <c r="Z16" i="2" s="1"/>
  <c r="Z18" i="2" s="1"/>
  <c r="AA6" i="2"/>
  <c r="AA10" i="2" s="1"/>
  <c r="AA14" i="2" s="1"/>
  <c r="AA16" i="2" s="1"/>
  <c r="AA18" i="2" s="1"/>
  <c r="AB6" i="2"/>
  <c r="AB10" i="2" s="1"/>
  <c r="AB14" i="2" s="1"/>
  <c r="AB16" i="2" s="1"/>
  <c r="AB18" i="2" s="1"/>
  <c r="AC6" i="2"/>
  <c r="AC10" i="2" s="1"/>
  <c r="AC14" i="2" s="1"/>
  <c r="AC16" i="2" s="1"/>
  <c r="AC18" i="2" s="1"/>
  <c r="AD6" i="2"/>
  <c r="AD10" i="2" s="1"/>
  <c r="AD14" i="2" s="1"/>
  <c r="AD16" i="2" s="1"/>
  <c r="AD18" i="2" s="1"/>
  <c r="AE6" i="2"/>
  <c r="AE10" i="2" s="1"/>
  <c r="AE14" i="2" s="1"/>
  <c r="AE16" i="2" s="1"/>
  <c r="AE18" i="2" s="1"/>
  <c r="AF6" i="2"/>
  <c r="AF10" i="2" s="1"/>
  <c r="AF14" i="2" s="1"/>
  <c r="AF16" i="2" s="1"/>
  <c r="AF18" i="2" s="1"/>
  <c r="AG6" i="2"/>
  <c r="AG10" i="2" s="1"/>
  <c r="AG14" i="2" s="1"/>
  <c r="AG16" i="2" s="1"/>
  <c r="AG18" i="2" s="1"/>
  <c r="AL9" i="2"/>
  <c r="AM9" i="2" s="1"/>
  <c r="AN9" i="2" s="1"/>
  <c r="AO9" i="2" s="1"/>
  <c r="AP9" i="2" s="1"/>
  <c r="AQ9" i="2" s="1"/>
  <c r="AR9" i="2" s="1"/>
  <c r="AS9" i="2" s="1"/>
  <c r="AT9" i="2" s="1"/>
  <c r="AL7" i="2"/>
  <c r="AM7" i="2" s="1"/>
  <c r="AN7" i="2" s="1"/>
  <c r="AO7" i="2" s="1"/>
  <c r="AP7" i="2" s="1"/>
  <c r="AQ7" i="2" s="1"/>
  <c r="AR7" i="2" s="1"/>
  <c r="AS7" i="2" s="1"/>
  <c r="AT7" i="2" s="1"/>
  <c r="AK8" i="2"/>
  <c r="AL8" i="2" s="1"/>
  <c r="AM8" i="2" s="1"/>
  <c r="AN8" i="2" s="1"/>
  <c r="AO8" i="2" s="1"/>
  <c r="AP8" i="2" s="1"/>
  <c r="AQ8" i="2" s="1"/>
  <c r="AR8" i="2" s="1"/>
  <c r="AS8" i="2" s="1"/>
  <c r="AT8" i="2" s="1"/>
  <c r="AK9" i="2"/>
  <c r="AK7" i="2"/>
  <c r="AK4" i="2"/>
  <c r="AK5" i="2" s="1"/>
  <c r="Q28" i="4"/>
  <c r="Q26" i="4"/>
  <c r="Q24" i="4"/>
  <c r="Q21" i="4"/>
  <c r="Q19" i="4"/>
  <c r="E5" i="5"/>
  <c r="F5" i="5" s="1"/>
  <c r="P7" i="6"/>
  <c r="Q7" i="6" s="1"/>
  <c r="R7" i="6" s="1"/>
  <c r="S7" i="6" s="1"/>
  <c r="T7" i="6" s="1"/>
  <c r="U7" i="6" s="1"/>
  <c r="V7" i="6" s="1"/>
  <c r="W7" i="6" s="1"/>
  <c r="X7" i="6" s="1"/>
  <c r="P8" i="6"/>
  <c r="Q8" i="6" s="1"/>
  <c r="R8" i="6" s="1"/>
  <c r="S8" i="6" s="1"/>
  <c r="T8" i="6" s="1"/>
  <c r="U8" i="6" s="1"/>
  <c r="V8" i="6" s="1"/>
  <c r="W8" i="6" s="1"/>
  <c r="X8" i="6" s="1"/>
  <c r="O9" i="6"/>
  <c r="P9" i="6" s="1"/>
  <c r="Q9" i="6" s="1"/>
  <c r="R9" i="6" s="1"/>
  <c r="S9" i="6" s="1"/>
  <c r="T9" i="6" s="1"/>
  <c r="U9" i="6" s="1"/>
  <c r="V9" i="6" s="1"/>
  <c r="W9" i="6" s="1"/>
  <c r="X9" i="6" s="1"/>
  <c r="O8" i="6"/>
  <c r="O7" i="6"/>
  <c r="O4" i="6"/>
  <c r="K23" i="6"/>
  <c r="J23" i="6"/>
  <c r="I23" i="6"/>
  <c r="H23" i="6"/>
  <c r="G23" i="6"/>
  <c r="F23" i="6"/>
  <c r="E23" i="6"/>
  <c r="D23" i="6"/>
  <c r="M22" i="6"/>
  <c r="L22" i="6"/>
  <c r="K22" i="6"/>
  <c r="J22" i="6"/>
  <c r="I22" i="6"/>
  <c r="H22" i="6"/>
  <c r="G22" i="6"/>
  <c r="F22" i="6"/>
  <c r="E22" i="6"/>
  <c r="D22" i="6"/>
  <c r="N20" i="6"/>
  <c r="M20" i="6"/>
  <c r="L20" i="6"/>
  <c r="K20" i="6"/>
  <c r="J20" i="6"/>
  <c r="I20" i="6"/>
  <c r="H20" i="6"/>
  <c r="G20" i="6"/>
  <c r="F20" i="6"/>
  <c r="E20" i="6"/>
  <c r="M10" i="6"/>
  <c r="M23" i="6" s="1"/>
  <c r="L10" i="6"/>
  <c r="L23" i="6" s="1"/>
  <c r="N6" i="6"/>
  <c r="N10" i="6" s="1"/>
  <c r="M6" i="6"/>
  <c r="L6" i="6"/>
  <c r="L14" i="6" l="1"/>
  <c r="L16" i="6" s="1"/>
  <c r="L18" i="6" s="1"/>
  <c r="O5" i="6"/>
  <c r="O6" i="6" s="1"/>
  <c r="O22" i="6" s="1"/>
  <c r="AL4" i="2"/>
  <c r="P4" i="6"/>
  <c r="O20" i="6"/>
  <c r="N23" i="6"/>
  <c r="N14" i="6"/>
  <c r="N16" i="6" s="1"/>
  <c r="N18" i="6" s="1"/>
  <c r="N22" i="6"/>
  <c r="O10" i="6"/>
  <c r="M14" i="6"/>
  <c r="M16" i="6" s="1"/>
  <c r="M18" i="6" s="1"/>
  <c r="AK6" i="2"/>
  <c r="AK10" i="2" s="1"/>
  <c r="AK14" i="2" s="1"/>
  <c r="AJ6" i="2"/>
  <c r="AJ10" i="2" s="1"/>
  <c r="AJ14" i="2" s="1"/>
  <c r="AJ16" i="2" s="1"/>
  <c r="AJ18" i="2" s="1"/>
  <c r="L6" i="2"/>
  <c r="L10" i="2" s="1"/>
  <c r="L14" i="2" s="1"/>
  <c r="L16" i="2" s="1"/>
  <c r="L18" i="2" s="1"/>
  <c r="P6" i="2"/>
  <c r="P10" i="2" s="1"/>
  <c r="P14" i="2" s="1"/>
  <c r="P16" i="2" s="1"/>
  <c r="P18" i="2" s="1"/>
  <c r="M6" i="2"/>
  <c r="M10" i="2" s="1"/>
  <c r="M14" i="2" s="1"/>
  <c r="M16" i="2" s="1"/>
  <c r="M18" i="2" s="1"/>
  <c r="Q6" i="2"/>
  <c r="Q10" i="2" s="1"/>
  <c r="Q14" i="2" s="1"/>
  <c r="Q16" i="2" s="1"/>
  <c r="Q18" i="2" s="1"/>
  <c r="N6" i="2"/>
  <c r="N10" i="2" s="1"/>
  <c r="N14" i="2" s="1"/>
  <c r="N16" i="2" s="1"/>
  <c r="N18" i="2" s="1"/>
  <c r="R6" i="2"/>
  <c r="R10" i="2" s="1"/>
  <c r="R14" i="2" s="1"/>
  <c r="R16" i="2" s="1"/>
  <c r="R18" i="2" s="1"/>
  <c r="B8" i="2"/>
  <c r="E8" i="5" s="1"/>
  <c r="F8" i="5" s="1"/>
  <c r="B7" i="2"/>
  <c r="E9" i="5" s="1"/>
  <c r="F9" i="5" s="1"/>
  <c r="AH77" i="2"/>
  <c r="AG77" i="2"/>
  <c r="AE77" i="2"/>
  <c r="AA77" i="2"/>
  <c r="Z77" i="2"/>
  <c r="AH75" i="2"/>
  <c r="AA75" i="2"/>
  <c r="Z75" i="2"/>
  <c r="AI71" i="2"/>
  <c r="AH71" i="2"/>
  <c r="AG71" i="2"/>
  <c r="AF71" i="2"/>
  <c r="AE71" i="2"/>
  <c r="AD71" i="2"/>
  <c r="AC71" i="2"/>
  <c r="AB71" i="2"/>
  <c r="AA71" i="2"/>
  <c r="Z71" i="2"/>
  <c r="AI63" i="2"/>
  <c r="AH63" i="2"/>
  <c r="AG63" i="2"/>
  <c r="AF63" i="2"/>
  <c r="AE63" i="2"/>
  <c r="AD63" i="2"/>
  <c r="AC63" i="2"/>
  <c r="AB63" i="2"/>
  <c r="AB75" i="2" s="1"/>
  <c r="AA63" i="2"/>
  <c r="Z63" i="2"/>
  <c r="AI59" i="2"/>
  <c r="AI77" i="2" s="1"/>
  <c r="AH59" i="2"/>
  <c r="AG59" i="2"/>
  <c r="AG75" i="2" s="1"/>
  <c r="AF59" i="2"/>
  <c r="AF77" i="2" s="1"/>
  <c r="AE59" i="2"/>
  <c r="AE75" i="2" s="1"/>
  <c r="AD59" i="2"/>
  <c r="AD77" i="2" s="1"/>
  <c r="AC59" i="2"/>
  <c r="AC77" i="2" s="1"/>
  <c r="AB59" i="2"/>
  <c r="AB77" i="2" s="1"/>
  <c r="AA59" i="2"/>
  <c r="Z59" i="2"/>
  <c r="AI52" i="2"/>
  <c r="AG52" i="2"/>
  <c r="AF52" i="2"/>
  <c r="AE52" i="2"/>
  <c r="AD52" i="2"/>
  <c r="AC52" i="2"/>
  <c r="AB52" i="2"/>
  <c r="AA52" i="2"/>
  <c r="Z52" i="2"/>
  <c r="W59" i="2"/>
  <c r="AH6" i="2"/>
  <c r="AH10" i="2" s="1"/>
  <c r="AH14" i="2" s="1"/>
  <c r="AH16" i="2" s="1"/>
  <c r="AH18" i="2" s="1"/>
  <c r="AI6" i="2"/>
  <c r="AI10" i="2" s="1"/>
  <c r="AI14" i="2" s="1"/>
  <c r="AI16" i="2" s="1"/>
  <c r="AI18" i="2" s="1"/>
  <c r="AF75" i="2" l="1"/>
  <c r="AM4" i="2"/>
  <c r="AL5" i="2"/>
  <c r="AC75" i="2"/>
  <c r="AL6" i="2"/>
  <c r="AL10" i="2" s="1"/>
  <c r="AL14" i="2" s="1"/>
  <c r="AL15" i="2" s="1"/>
  <c r="AL16" i="2" s="1"/>
  <c r="AL18" i="2" s="1"/>
  <c r="AD75" i="2"/>
  <c r="Q4" i="6"/>
  <c r="P5" i="6"/>
  <c r="P6" i="6" s="1"/>
  <c r="P20" i="6"/>
  <c r="AK15" i="2"/>
  <c r="AK16" i="2" s="1"/>
  <c r="AH52" i="2"/>
  <c r="O23" i="6"/>
  <c r="O14" i="6"/>
  <c r="AI75" i="2"/>
  <c r="AK23" i="2"/>
  <c r="AJ23" i="2"/>
  <c r="AK22" i="2"/>
  <c r="AJ22" i="2"/>
  <c r="AM20" i="2"/>
  <c r="AL20" i="2"/>
  <c r="AK20" i="2"/>
  <c r="AJ20" i="2"/>
  <c r="AH23" i="2"/>
  <c r="AG23" i="2"/>
  <c r="AF23" i="2"/>
  <c r="AE23" i="2"/>
  <c r="AD23" i="2"/>
  <c r="AC23" i="2"/>
  <c r="AB23" i="2"/>
  <c r="AA23" i="2"/>
  <c r="Z23" i="2"/>
  <c r="AH22" i="2"/>
  <c r="AG22" i="2"/>
  <c r="AF22" i="2"/>
  <c r="AE22" i="2"/>
  <c r="AD22" i="2"/>
  <c r="AC22" i="2"/>
  <c r="AB22" i="2"/>
  <c r="AA22" i="2"/>
  <c r="Z22" i="2"/>
  <c r="AH20" i="2"/>
  <c r="AG20" i="2"/>
  <c r="AF20" i="2"/>
  <c r="AE20" i="2"/>
  <c r="AD20" i="2"/>
  <c r="AC20" i="2"/>
  <c r="AB20" i="2"/>
  <c r="AA20" i="2"/>
  <c r="AI20" i="2"/>
  <c r="AI23" i="2"/>
  <c r="AI22" i="2"/>
  <c r="R23" i="2"/>
  <c r="Q23" i="2"/>
  <c r="P23" i="2"/>
  <c r="N23" i="2"/>
  <c r="M23" i="2"/>
  <c r="L23" i="2"/>
  <c r="K23" i="2"/>
  <c r="J23" i="2"/>
  <c r="I23" i="2"/>
  <c r="H23" i="2"/>
  <c r="G23" i="2"/>
  <c r="F23" i="2"/>
  <c r="E23" i="2"/>
  <c r="D23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W23" i="2"/>
  <c r="V23" i="2"/>
  <c r="U23" i="2"/>
  <c r="T23" i="2"/>
  <c r="W22" i="2"/>
  <c r="V22" i="2"/>
  <c r="U22" i="2"/>
  <c r="T22" i="2"/>
  <c r="S22" i="2"/>
  <c r="R20" i="2"/>
  <c r="Q20" i="2"/>
  <c r="P20" i="2"/>
  <c r="O20" i="2"/>
  <c r="N20" i="2"/>
  <c r="M20" i="2"/>
  <c r="L20" i="2"/>
  <c r="K20" i="2"/>
  <c r="J20" i="2"/>
  <c r="I20" i="2"/>
  <c r="H20" i="2"/>
  <c r="T20" i="2"/>
  <c r="U20" i="2"/>
  <c r="V20" i="2"/>
  <c r="W20" i="2"/>
  <c r="S20" i="2"/>
  <c r="R59" i="2"/>
  <c r="R77" i="2" s="1"/>
  <c r="Q59" i="2"/>
  <c r="P59" i="2"/>
  <c r="O59" i="2"/>
  <c r="O77" i="2" s="1"/>
  <c r="N59" i="2"/>
  <c r="M59" i="2"/>
  <c r="M77" i="2" s="1"/>
  <c r="L59" i="2"/>
  <c r="L77" i="2" s="1"/>
  <c r="K59" i="2"/>
  <c r="K77" i="2" s="1"/>
  <c r="J59" i="2"/>
  <c r="J77" i="2" s="1"/>
  <c r="I59" i="2"/>
  <c r="I77" i="2" s="1"/>
  <c r="H59" i="2"/>
  <c r="H77" i="2" s="1"/>
  <c r="G59" i="2"/>
  <c r="F59" i="2"/>
  <c r="F77" i="2" s="1"/>
  <c r="E59" i="2"/>
  <c r="E77" i="2" s="1"/>
  <c r="D59" i="2"/>
  <c r="D77" i="2" s="1"/>
  <c r="V59" i="2"/>
  <c r="V75" i="2" s="1"/>
  <c r="U59" i="2"/>
  <c r="U75" i="2" s="1"/>
  <c r="T59" i="2"/>
  <c r="T77" i="2" s="1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Q63" i="2"/>
  <c r="R63" i="2"/>
  <c r="W63" i="2"/>
  <c r="W75" i="2" s="1"/>
  <c r="V63" i="2"/>
  <c r="U63" i="2"/>
  <c r="T63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W71" i="2"/>
  <c r="V71" i="2"/>
  <c r="U71" i="2"/>
  <c r="T71" i="2"/>
  <c r="W77" i="2"/>
  <c r="S77" i="2"/>
  <c r="S75" i="2"/>
  <c r="S71" i="2"/>
  <c r="S63" i="2"/>
  <c r="S59" i="2"/>
  <c r="R52" i="2"/>
  <c r="N52" i="2"/>
  <c r="O52" i="2"/>
  <c r="Q52" i="2"/>
  <c r="P52" i="2"/>
  <c r="M52" i="2"/>
  <c r="L52" i="2"/>
  <c r="K52" i="2"/>
  <c r="J52" i="2"/>
  <c r="I52" i="2"/>
  <c r="H52" i="2"/>
  <c r="G52" i="2"/>
  <c r="F52" i="2"/>
  <c r="E52" i="2"/>
  <c r="D52" i="2"/>
  <c r="W52" i="2"/>
  <c r="V52" i="2"/>
  <c r="U52" i="2"/>
  <c r="T52" i="2"/>
  <c r="Q37" i="2"/>
  <c r="P37" i="2"/>
  <c r="O37" i="2"/>
  <c r="N37" i="2"/>
  <c r="M37" i="2"/>
  <c r="L37" i="2"/>
  <c r="K37" i="2"/>
  <c r="J37" i="2"/>
  <c r="I37" i="2"/>
  <c r="H37" i="2"/>
  <c r="G37" i="2"/>
  <c r="F37" i="2"/>
  <c r="D37" i="2"/>
  <c r="W37" i="2"/>
  <c r="V37" i="2"/>
  <c r="U37" i="2"/>
  <c r="T37" i="2"/>
  <c r="S37" i="2"/>
  <c r="Q48" i="2"/>
  <c r="P48" i="2"/>
  <c r="O48" i="2"/>
  <c r="N48" i="2"/>
  <c r="M48" i="2"/>
  <c r="L48" i="2"/>
  <c r="K48" i="2"/>
  <c r="J48" i="2"/>
  <c r="I48" i="2"/>
  <c r="H48" i="2"/>
  <c r="G48" i="2"/>
  <c r="F48" i="2"/>
  <c r="D48" i="2"/>
  <c r="W48" i="2"/>
  <c r="W49" i="2" s="1"/>
  <c r="V48" i="2"/>
  <c r="V49" i="2" s="1"/>
  <c r="U48" i="2"/>
  <c r="T48" i="2"/>
  <c r="S48" i="2"/>
  <c r="Q33" i="2"/>
  <c r="P33" i="2"/>
  <c r="O33" i="2"/>
  <c r="N33" i="2"/>
  <c r="M33" i="2"/>
  <c r="L33" i="2"/>
  <c r="K33" i="2"/>
  <c r="J33" i="2"/>
  <c r="I33" i="2"/>
  <c r="H33" i="2"/>
  <c r="G33" i="2"/>
  <c r="F33" i="2"/>
  <c r="D33" i="2"/>
  <c r="W33" i="2"/>
  <c r="V33" i="2"/>
  <c r="U33" i="2"/>
  <c r="T33" i="2"/>
  <c r="S33" i="2"/>
  <c r="R33" i="2"/>
  <c r="R48" i="2"/>
  <c r="R37" i="2"/>
  <c r="O6" i="2"/>
  <c r="O10" i="2" s="1"/>
  <c r="O14" i="2" s="1"/>
  <c r="O16" i="2" s="1"/>
  <c r="O18" i="2" s="1"/>
  <c r="S6" i="2"/>
  <c r="S10" i="2" s="1"/>
  <c r="S14" i="2" s="1"/>
  <c r="S52" i="2" s="1"/>
  <c r="E4" i="5"/>
  <c r="Q16" i="4"/>
  <c r="Q17" i="4" s="1"/>
  <c r="Q14" i="4"/>
  <c r="Q12" i="4"/>
  <c r="Q9" i="4"/>
  <c r="Q7" i="4"/>
  <c r="Q8" i="4" s="1"/>
  <c r="V28" i="4"/>
  <c r="V26" i="4"/>
  <c r="V24" i="4"/>
  <c r="V21" i="4"/>
  <c r="V19" i="4"/>
  <c r="V20" i="4" s="1"/>
  <c r="V16" i="4"/>
  <c r="V14" i="4"/>
  <c r="V12" i="4"/>
  <c r="V13" i="4" s="1"/>
  <c r="V9" i="4"/>
  <c r="V7" i="4"/>
  <c r="V10" i="4" s="1"/>
  <c r="V11" i="4" s="1"/>
  <c r="AA29" i="4"/>
  <c r="Z29" i="4"/>
  <c r="Y29" i="4"/>
  <c r="X29" i="4"/>
  <c r="W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AA25" i="4"/>
  <c r="Z25" i="4"/>
  <c r="Y25" i="4"/>
  <c r="X25" i="4"/>
  <c r="W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F23" i="4"/>
  <c r="AA22" i="4"/>
  <c r="AA23" i="4" s="1"/>
  <c r="Z22" i="4"/>
  <c r="Z23" i="4" s="1"/>
  <c r="Y22" i="4"/>
  <c r="Y23" i="4" s="1"/>
  <c r="X22" i="4"/>
  <c r="X23" i="4" s="1"/>
  <c r="W22" i="4"/>
  <c r="W23" i="4" s="1"/>
  <c r="U22" i="4"/>
  <c r="U23" i="4" s="1"/>
  <c r="T22" i="4"/>
  <c r="T23" i="4" s="1"/>
  <c r="S22" i="4"/>
  <c r="S23" i="4" s="1"/>
  <c r="R22" i="4"/>
  <c r="R23" i="4" s="1"/>
  <c r="Q22" i="4"/>
  <c r="Q23" i="4" s="1"/>
  <c r="P22" i="4"/>
  <c r="P23" i="4" s="1"/>
  <c r="O22" i="4"/>
  <c r="O23" i="4" s="1"/>
  <c r="N22" i="4"/>
  <c r="N23" i="4" s="1"/>
  <c r="M22" i="4"/>
  <c r="M23" i="4" s="1"/>
  <c r="L22" i="4"/>
  <c r="L23" i="4" s="1"/>
  <c r="K22" i="4"/>
  <c r="K23" i="4" s="1"/>
  <c r="J22" i="4"/>
  <c r="J23" i="4" s="1"/>
  <c r="I22" i="4"/>
  <c r="I23" i="4" s="1"/>
  <c r="H22" i="4"/>
  <c r="H23" i="4" s="1"/>
  <c r="G22" i="4"/>
  <c r="G23" i="4" s="1"/>
  <c r="F22" i="4"/>
  <c r="E22" i="4"/>
  <c r="E23" i="4" s="1"/>
  <c r="D22" i="4"/>
  <c r="D23" i="4" s="1"/>
  <c r="C22" i="4"/>
  <c r="C23" i="4" s="1"/>
  <c r="AA20" i="4"/>
  <c r="Z20" i="4"/>
  <c r="Y20" i="4"/>
  <c r="X20" i="4"/>
  <c r="W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T17" i="4"/>
  <c r="S17" i="4"/>
  <c r="R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A17" i="4"/>
  <c r="Z17" i="4"/>
  <c r="Y17" i="4"/>
  <c r="X17" i="4"/>
  <c r="W17" i="4"/>
  <c r="V17" i="4"/>
  <c r="T15" i="4"/>
  <c r="S15" i="4"/>
  <c r="R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A15" i="4"/>
  <c r="Z15" i="4"/>
  <c r="Y15" i="4"/>
  <c r="X15" i="4"/>
  <c r="W15" i="4"/>
  <c r="V15" i="4"/>
  <c r="T13" i="4"/>
  <c r="S13" i="4"/>
  <c r="R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A13" i="4"/>
  <c r="Z13" i="4"/>
  <c r="Y13" i="4"/>
  <c r="X13" i="4"/>
  <c r="W13" i="4"/>
  <c r="U13" i="4"/>
  <c r="U17" i="4"/>
  <c r="U15" i="4"/>
  <c r="T10" i="4"/>
  <c r="T11" i="4" s="1"/>
  <c r="S10" i="4"/>
  <c r="S11" i="4" s="1"/>
  <c r="R10" i="4"/>
  <c r="R11" i="4" s="1"/>
  <c r="P10" i="4"/>
  <c r="P11" i="4" s="1"/>
  <c r="O10" i="4"/>
  <c r="O11" i="4" s="1"/>
  <c r="N10" i="4"/>
  <c r="N11" i="4" s="1"/>
  <c r="M10" i="4"/>
  <c r="M11" i="4" s="1"/>
  <c r="L10" i="4"/>
  <c r="L11" i="4" s="1"/>
  <c r="K10" i="4"/>
  <c r="K11" i="4" s="1"/>
  <c r="J10" i="4"/>
  <c r="J11" i="4" s="1"/>
  <c r="I10" i="4"/>
  <c r="I11" i="4" s="1"/>
  <c r="H10" i="4"/>
  <c r="H11" i="4" s="1"/>
  <c r="G10" i="4"/>
  <c r="G11" i="4" s="1"/>
  <c r="F10" i="4"/>
  <c r="F11" i="4" s="1"/>
  <c r="E10" i="4"/>
  <c r="E11" i="4" s="1"/>
  <c r="D10" i="4"/>
  <c r="D11" i="4" s="1"/>
  <c r="C10" i="4"/>
  <c r="C11" i="4" s="1"/>
  <c r="AA10" i="4"/>
  <c r="AA11" i="4" s="1"/>
  <c r="Z10" i="4"/>
  <c r="Z11" i="4" s="1"/>
  <c r="Y10" i="4"/>
  <c r="Y11" i="4" s="1"/>
  <c r="X10" i="4"/>
  <c r="X11" i="4" s="1"/>
  <c r="W10" i="4"/>
  <c r="W11" i="4" s="1"/>
  <c r="U10" i="4"/>
  <c r="U11" i="4" s="1"/>
  <c r="T8" i="4"/>
  <c r="S8" i="4"/>
  <c r="R8" i="4"/>
  <c r="P8" i="4"/>
  <c r="O8" i="4"/>
  <c r="N8" i="4"/>
  <c r="M8" i="4"/>
  <c r="L8" i="4"/>
  <c r="K8" i="4"/>
  <c r="J8" i="4"/>
  <c r="I8" i="4"/>
  <c r="H8" i="4"/>
  <c r="W8" i="4"/>
  <c r="X8" i="4"/>
  <c r="Y8" i="4"/>
  <c r="Z8" i="4"/>
  <c r="AA8" i="4"/>
  <c r="U8" i="4"/>
  <c r="P22" i="6" l="1"/>
  <c r="P10" i="6"/>
  <c r="Q49" i="2"/>
  <c r="U77" i="2"/>
  <c r="AL23" i="2"/>
  <c r="O16" i="6"/>
  <c r="O15" i="6"/>
  <c r="V25" i="4"/>
  <c r="V29" i="4"/>
  <c r="U49" i="2"/>
  <c r="V77" i="2"/>
  <c r="Q5" i="6"/>
  <c r="R4" i="6"/>
  <c r="Q6" i="6"/>
  <c r="Q20" i="6"/>
  <c r="Q13" i="4"/>
  <c r="S23" i="2"/>
  <c r="Q15" i="4"/>
  <c r="AL22" i="2"/>
  <c r="AN4" i="2"/>
  <c r="AM5" i="2"/>
  <c r="AM6" i="2"/>
  <c r="O23" i="2"/>
  <c r="H75" i="2"/>
  <c r="D49" i="2"/>
  <c r="H49" i="2"/>
  <c r="E75" i="2"/>
  <c r="I75" i="2"/>
  <c r="I49" i="2"/>
  <c r="F75" i="2"/>
  <c r="J75" i="2"/>
  <c r="F49" i="2"/>
  <c r="G75" i="2"/>
  <c r="G77" i="2"/>
  <c r="G49" i="2"/>
  <c r="K49" i="2"/>
  <c r="E6" i="3"/>
  <c r="AK18" i="2"/>
  <c r="F4" i="5"/>
  <c r="E6" i="5"/>
  <c r="P75" i="2"/>
  <c r="P77" i="2"/>
  <c r="L49" i="2"/>
  <c r="P49" i="2"/>
  <c r="M75" i="2"/>
  <c r="Q75" i="2"/>
  <c r="Q77" i="2"/>
  <c r="M49" i="2"/>
  <c r="N75" i="2"/>
  <c r="N77" i="2"/>
  <c r="R75" i="2"/>
  <c r="O75" i="2"/>
  <c r="K75" i="2"/>
  <c r="D75" i="2"/>
  <c r="L75" i="2"/>
  <c r="T75" i="2"/>
  <c r="R49" i="2"/>
  <c r="S49" i="2"/>
  <c r="S16" i="2"/>
  <c r="S18" i="2" s="1"/>
  <c r="O49" i="2"/>
  <c r="N49" i="2"/>
  <c r="J49" i="2"/>
  <c r="Q10" i="4"/>
  <c r="Q11" i="4" s="1"/>
  <c r="V8" i="4"/>
  <c r="V22" i="4"/>
  <c r="V23" i="4" s="1"/>
  <c r="B6" i="2"/>
  <c r="B9" i="2" s="1"/>
  <c r="AM10" i="2" l="1"/>
  <c r="AM22" i="2"/>
  <c r="AO4" i="2"/>
  <c r="AN5" i="2"/>
  <c r="AN6" i="2"/>
  <c r="AN20" i="2"/>
  <c r="Q22" i="6"/>
  <c r="Q10" i="6"/>
  <c r="R5" i="6"/>
  <c r="S4" i="6"/>
  <c r="R20" i="6"/>
  <c r="R6" i="6"/>
  <c r="O18" i="6"/>
  <c r="P23" i="6"/>
  <c r="P14" i="6"/>
  <c r="F5" i="3"/>
  <c r="D5" i="3"/>
  <c r="E5" i="3"/>
  <c r="D6" i="3"/>
  <c r="E11" i="5"/>
  <c r="F6" i="5"/>
  <c r="F11" i="5" s="1"/>
  <c r="AP4" i="2" l="1"/>
  <c r="AO5" i="2"/>
  <c r="AO6" i="2"/>
  <c r="AO20" i="2"/>
  <c r="P15" i="6"/>
  <c r="P16" i="6" s="1"/>
  <c r="Q23" i="6"/>
  <c r="Q14" i="6"/>
  <c r="AN10" i="2"/>
  <c r="AN22" i="2"/>
  <c r="R10" i="6"/>
  <c r="R22" i="6"/>
  <c r="S5" i="6"/>
  <c r="S20" i="6"/>
  <c r="T4" i="6"/>
  <c r="S6" i="6"/>
  <c r="AM14" i="2"/>
  <c r="AM15" i="2" s="1"/>
  <c r="AM16" i="2" s="1"/>
  <c r="AM23" i="2"/>
  <c r="P18" i="6" l="1"/>
  <c r="R23" i="6"/>
  <c r="R14" i="6"/>
  <c r="Q15" i="6"/>
  <c r="Q16" i="6" s="1"/>
  <c r="AO10" i="2"/>
  <c r="AO22" i="2"/>
  <c r="S22" i="6"/>
  <c r="S10" i="6"/>
  <c r="T5" i="6"/>
  <c r="U4" i="6"/>
  <c r="T6" i="6"/>
  <c r="T20" i="6"/>
  <c r="AM18" i="2"/>
  <c r="F6" i="3" s="1"/>
  <c r="AN14" i="2"/>
  <c r="AN15" i="2" s="1"/>
  <c r="AN16" i="2" s="1"/>
  <c r="AN18" i="2" s="1"/>
  <c r="AN23" i="2"/>
  <c r="AQ4" i="2"/>
  <c r="AP5" i="2"/>
  <c r="AP6" i="2"/>
  <c r="AP20" i="2"/>
  <c r="Q18" i="6" l="1"/>
  <c r="AO14" i="2"/>
  <c r="AO15" i="2" s="1"/>
  <c r="AO16" i="2" s="1"/>
  <c r="AO23" i="2"/>
  <c r="AP10" i="2"/>
  <c r="AP22" i="2"/>
  <c r="R15" i="6"/>
  <c r="R16" i="6" s="1"/>
  <c r="T10" i="6"/>
  <c r="T22" i="6"/>
  <c r="U5" i="6"/>
  <c r="U6" i="6"/>
  <c r="V4" i="6"/>
  <c r="U20" i="6"/>
  <c r="AR4" i="2"/>
  <c r="AQ5" i="2"/>
  <c r="AQ6" i="2" s="1"/>
  <c r="AQ20" i="2"/>
  <c r="S23" i="6"/>
  <c r="S14" i="6"/>
  <c r="AQ10" i="2" l="1"/>
  <c r="AQ22" i="2"/>
  <c r="R18" i="6"/>
  <c r="AS4" i="2"/>
  <c r="AR5" i="2"/>
  <c r="AR6" i="2"/>
  <c r="AR20" i="2"/>
  <c r="S15" i="6"/>
  <c r="S16" i="6" s="1"/>
  <c r="AP14" i="2"/>
  <c r="AP15" i="2" s="1"/>
  <c r="AP16" i="2" s="1"/>
  <c r="AP18" i="2" s="1"/>
  <c r="AP23" i="2"/>
  <c r="U10" i="6"/>
  <c r="U22" i="6"/>
  <c r="V5" i="6"/>
  <c r="V6" i="6"/>
  <c r="V20" i="6"/>
  <c r="W4" i="6"/>
  <c r="AO18" i="2"/>
  <c r="T23" i="6"/>
  <c r="T14" i="6"/>
  <c r="S18" i="6" l="1"/>
  <c r="V22" i="6"/>
  <c r="V10" i="6"/>
  <c r="AR10" i="2"/>
  <c r="AR22" i="2"/>
  <c r="T15" i="6"/>
  <c r="T16" i="6" s="1"/>
  <c r="T18" i="6" s="1"/>
  <c r="U23" i="6"/>
  <c r="U14" i="6"/>
  <c r="AT4" i="2"/>
  <c r="AS5" i="2"/>
  <c r="AS6" i="2"/>
  <c r="AS20" i="2"/>
  <c r="W5" i="6"/>
  <c r="W6" i="6" s="1"/>
  <c r="X4" i="6"/>
  <c r="W20" i="6"/>
  <c r="AQ14" i="2"/>
  <c r="AQ15" i="2" s="1"/>
  <c r="AQ16" i="2" s="1"/>
  <c r="AQ23" i="2"/>
  <c r="W10" i="6" l="1"/>
  <c r="W22" i="6"/>
  <c r="V23" i="6"/>
  <c r="V14" i="6"/>
  <c r="X5" i="6"/>
  <c r="X20" i="6"/>
  <c r="X6" i="6"/>
  <c r="AS10" i="2"/>
  <c r="AS22" i="2"/>
  <c r="AR14" i="2"/>
  <c r="AR15" i="2" s="1"/>
  <c r="AR16" i="2" s="1"/>
  <c r="AR18" i="2" s="1"/>
  <c r="AR23" i="2"/>
  <c r="AQ18" i="2"/>
  <c r="AT5" i="2"/>
  <c r="AT6" i="2"/>
  <c r="AT20" i="2"/>
  <c r="U15" i="6"/>
  <c r="U16" i="6" s="1"/>
  <c r="U18" i="6" s="1"/>
  <c r="AS14" i="2" l="1"/>
  <c r="AS15" i="2" s="1"/>
  <c r="AS16" i="2" s="1"/>
  <c r="AS23" i="2"/>
  <c r="AT10" i="2"/>
  <c r="AT22" i="2"/>
  <c r="X22" i="6"/>
  <c r="X10" i="6"/>
  <c r="V16" i="6"/>
  <c r="V18" i="6" s="1"/>
  <c r="V15" i="6"/>
  <c r="W14" i="6"/>
  <c r="W23" i="6"/>
  <c r="X23" i="6" l="1"/>
  <c r="X14" i="6"/>
  <c r="AT14" i="2"/>
  <c r="AT15" i="2" s="1"/>
  <c r="AT16" i="2" s="1"/>
  <c r="AT23" i="2"/>
  <c r="W16" i="6"/>
  <c r="W18" i="6" s="1"/>
  <c r="W15" i="6"/>
  <c r="AS18" i="2"/>
  <c r="X15" i="6" l="1"/>
  <c r="X16" i="6" s="1"/>
  <c r="AT18" i="2"/>
  <c r="AU16" i="2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AW21" i="2" s="1"/>
  <c r="AW23" i="2" s="1"/>
  <c r="AW24" i="2" s="1"/>
  <c r="X18" i="6" l="1"/>
  <c r="Y16" i="6"/>
  <c r="Z16" i="6" s="1"/>
  <c r="AA16" i="6" s="1"/>
  <c r="AB16" i="6" s="1"/>
  <c r="AC16" i="6" s="1"/>
  <c r="AD16" i="6" s="1"/>
  <c r="AE16" i="6" s="1"/>
  <c r="AF16" i="6" s="1"/>
  <c r="AG16" i="6" s="1"/>
  <c r="AH16" i="6" s="1"/>
  <c r="AI16" i="6" s="1"/>
  <c r="AJ16" i="6" s="1"/>
  <c r="AK16" i="6" s="1"/>
  <c r="AL16" i="6" s="1"/>
  <c r="AM16" i="6" s="1"/>
  <c r="AN16" i="6" s="1"/>
  <c r="AO16" i="6" s="1"/>
  <c r="AP16" i="6" s="1"/>
  <c r="AQ16" i="6" s="1"/>
  <c r="AR16" i="6" s="1"/>
  <c r="AS16" i="6" s="1"/>
  <c r="AT16" i="6" s="1"/>
  <c r="AU16" i="6" s="1"/>
  <c r="AV16" i="6" s="1"/>
  <c r="AW16" i="6" s="1"/>
  <c r="AX16" i="6" s="1"/>
  <c r="AY16" i="6" s="1"/>
  <c r="AZ16" i="6" s="1"/>
  <c r="BA16" i="6" s="1"/>
  <c r="BB16" i="6" s="1"/>
  <c r="BC16" i="6" s="1"/>
  <c r="BD16" i="6" s="1"/>
  <c r="BE16" i="6" s="1"/>
  <c r="BF16" i="6" s="1"/>
  <c r="BG16" i="6" s="1"/>
  <c r="BH16" i="6" s="1"/>
  <c r="BI16" i="6" s="1"/>
  <c r="BJ16" i="6" s="1"/>
  <c r="BK16" i="6" s="1"/>
  <c r="BL16" i="6" s="1"/>
  <c r="BM16" i="6" s="1"/>
  <c r="BN16" i="6" s="1"/>
  <c r="BO16" i="6" s="1"/>
  <c r="BP16" i="6" s="1"/>
  <c r="BQ16" i="6" s="1"/>
  <c r="BR16" i="6" s="1"/>
  <c r="BS16" i="6" s="1"/>
  <c r="BT16" i="6" s="1"/>
  <c r="BU16" i="6" s="1"/>
  <c r="BV16" i="6" s="1"/>
  <c r="BW16" i="6" s="1"/>
  <c r="BX16" i="6" s="1"/>
  <c r="BY16" i="6" s="1"/>
  <c r="BZ16" i="6" s="1"/>
  <c r="CA16" i="6" s="1"/>
  <c r="CB16" i="6" s="1"/>
  <c r="CC16" i="6" s="1"/>
  <c r="CD16" i="6" s="1"/>
  <c r="CE16" i="6" s="1"/>
  <c r="CF16" i="6" s="1"/>
  <c r="CG16" i="6" s="1"/>
  <c r="CH16" i="6" s="1"/>
  <c r="CI16" i="6" s="1"/>
  <c r="CJ16" i="6" s="1"/>
  <c r="CK16" i="6" s="1"/>
  <c r="CL16" i="6" s="1"/>
  <c r="CM16" i="6" s="1"/>
  <c r="CN16" i="6" s="1"/>
  <c r="CO16" i="6" s="1"/>
  <c r="CP16" i="6" s="1"/>
  <c r="CQ16" i="6" s="1"/>
  <c r="CR16" i="6" s="1"/>
  <c r="CS16" i="6" s="1"/>
  <c r="CT16" i="6" s="1"/>
  <c r="CU16" i="6" s="1"/>
  <c r="CV16" i="6" s="1"/>
  <c r="CW16" i="6" s="1"/>
  <c r="CX16" i="6" s="1"/>
  <c r="CY16" i="6" s="1"/>
  <c r="CZ16" i="6" s="1"/>
  <c r="DA16" i="6" s="1"/>
  <c r="DB16" i="6" s="1"/>
  <c r="DC16" i="6" s="1"/>
  <c r="DD16" i="6" s="1"/>
  <c r="DE16" i="6" s="1"/>
  <c r="DF16" i="6" s="1"/>
  <c r="DG16" i="6" s="1"/>
  <c r="DH16" i="6" s="1"/>
  <c r="DI16" i="6" s="1"/>
  <c r="DJ16" i="6" s="1"/>
  <c r="DK16" i="6" s="1"/>
  <c r="DL16" i="6" s="1"/>
  <c r="DM16" i="6" s="1"/>
  <c r="DN16" i="6" s="1"/>
  <c r="DO16" i="6" s="1"/>
  <c r="DP16" i="6" s="1"/>
  <c r="DQ16" i="6" s="1"/>
  <c r="DR16" i="6" s="1"/>
  <c r="DS16" i="6" s="1"/>
  <c r="DT16" i="6" s="1"/>
  <c r="DU16" i="6" s="1"/>
  <c r="DV16" i="6" s="1"/>
  <c r="DW16" i="6" s="1"/>
  <c r="DX16" i="6" s="1"/>
  <c r="DY16" i="6" s="1"/>
  <c r="DZ16" i="6" s="1"/>
  <c r="EA16" i="6" s="1"/>
  <c r="EB16" i="6" s="1"/>
  <c r="EC16" i="6" s="1"/>
  <c r="ED16" i="6" s="1"/>
  <c r="EE16" i="6" s="1"/>
  <c r="EF16" i="6" s="1"/>
  <c r="EG16" i="6" s="1"/>
  <c r="EH16" i="6" s="1"/>
  <c r="EI16" i="6" s="1"/>
  <c r="EJ16" i="6" s="1"/>
  <c r="EK16" i="6" s="1"/>
  <c r="EL16" i="6" s="1"/>
  <c r="EM16" i="6" s="1"/>
  <c r="AA21" i="6" s="1"/>
  <c r="AA23" i="6" s="1"/>
  <c r="A5" i="6" l="1"/>
  <c r="AA24" i="6"/>
  <c r="A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tc={B110B1C1-ECCB-6E49-9CCF-A5B3BE2CDEB6}</author>
  </authors>
  <commentList>
    <comment ref="AM3" authorId="0" shapeId="0" xr:uid="{B110B1C1-ECCB-6E49-9CCF-A5B3BE2CDEB6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ÖoB EBIT positiv
</t>
      </text>
    </comment>
  </commentList>
</comments>
</file>

<file path=xl/sharedStrings.xml><?xml version="1.0" encoding="utf-8"?>
<sst xmlns="http://schemas.openxmlformats.org/spreadsheetml/2006/main" count="230" uniqueCount="142">
  <si>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</si>
  <si>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</si>
  <si>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</si>
  <si>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</si>
  <si>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</si>
  <si>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</si>
  <si>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</si>
  <si>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</si>
  <si>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</si>
  <si>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</si>
  <si>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</si>
  <si>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</si>
  <si>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</si>
  <si>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Q324</t>
  </si>
  <si>
    <t>Q323</t>
  </si>
  <si>
    <t>Q423</t>
  </si>
  <si>
    <t>Q124</t>
  </si>
  <si>
    <t>Q224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</si>
  <si>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</si>
  <si>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</si>
  <si>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</si>
  <si>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</si>
  <si>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</si>
  <si>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</si>
  <si>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</si>
  <si>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</si>
  <si>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</si>
  <si>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</si>
  <si>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</si>
  <si>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</si>
  <si>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</si>
  <si>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</si>
  <si>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</si>
  <si>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</si>
  <si>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</si>
  <si>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NOKm</t>
  </si>
  <si>
    <t xml:space="preserve">Cash flow NOKm </t>
  </si>
  <si>
    <t>Q125</t>
  </si>
  <si>
    <t>Q225</t>
  </si>
  <si>
    <t>Q325</t>
  </si>
  <si>
    <t>Q425</t>
  </si>
  <si>
    <t>Q126</t>
  </si>
  <si>
    <t>Q226</t>
  </si>
  <si>
    <t>Q326</t>
  </si>
  <si>
    <t>Q426</t>
  </si>
  <si>
    <t>FY 2019</t>
  </si>
  <si>
    <t>FY 2020</t>
  </si>
  <si>
    <t>FY 2021</t>
  </si>
  <si>
    <t>FY 2016</t>
  </si>
  <si>
    <t>FY 2017</t>
  </si>
  <si>
    <t>FY 2018</t>
  </si>
  <si>
    <t>FY 2015</t>
  </si>
  <si>
    <t>Norge</t>
  </si>
  <si>
    <t>Öob</t>
  </si>
  <si>
    <t>Revenue</t>
  </si>
  <si>
    <t>y/y</t>
  </si>
  <si>
    <t>Gross profit</t>
  </si>
  <si>
    <t>Gross margin</t>
  </si>
  <si>
    <t>COGS</t>
  </si>
  <si>
    <t>Opex</t>
  </si>
  <si>
    <t>Opex-to-sales</t>
  </si>
  <si>
    <t>EBITDA</t>
  </si>
  <si>
    <t>EBITDA Margin</t>
  </si>
  <si>
    <t>EBIT</t>
  </si>
  <si>
    <t>EBIT margin</t>
  </si>
  <si>
    <t>Sverige</t>
  </si>
  <si>
    <t>Multippel</t>
  </si>
  <si>
    <t>Value</t>
  </si>
  <si>
    <t>NOK/share</t>
  </si>
  <si>
    <t>Revenue y/y</t>
  </si>
  <si>
    <t>Revenue CC</t>
  </si>
  <si>
    <t>Employee benefit expenses</t>
  </si>
  <si>
    <t>Depreciation</t>
  </si>
  <si>
    <t>Other operating expenses</t>
  </si>
  <si>
    <t>Operating profit (EBIT)</t>
  </si>
  <si>
    <t>Net financials</t>
  </si>
  <si>
    <t>Profit/loss from associated comps</t>
  </si>
  <si>
    <t>Change in fair value of options</t>
  </si>
  <si>
    <t>PTP</t>
  </si>
  <si>
    <t>Tax</t>
  </si>
  <si>
    <t>Net income</t>
  </si>
  <si>
    <t>Share</t>
  </si>
  <si>
    <t>EPS</t>
  </si>
  <si>
    <t>Balanse NOKm</t>
  </si>
  <si>
    <t>Total intangible assets</t>
  </si>
  <si>
    <t>Total fixed assets</t>
  </si>
  <si>
    <t>Total financial assets</t>
  </si>
  <si>
    <t>Inventories</t>
  </si>
  <si>
    <t>Trade receivables</t>
  </si>
  <si>
    <t>Other receivables</t>
  </si>
  <si>
    <t>Cash</t>
  </si>
  <si>
    <t>Total assets</t>
  </si>
  <si>
    <t>Total paid-in capital</t>
  </si>
  <si>
    <t>Total retained equity</t>
  </si>
  <si>
    <t>Non-controlling interests</t>
  </si>
  <si>
    <t>Total equity</t>
  </si>
  <si>
    <t>Provisions</t>
  </si>
  <si>
    <t>Lease liabilties</t>
  </si>
  <si>
    <t>Current lease liabilties</t>
  </si>
  <si>
    <t>Accounts payable</t>
  </si>
  <si>
    <t>Tax payable</t>
  </si>
  <si>
    <t>Public duties payable</t>
  </si>
  <si>
    <t>Put option liability</t>
  </si>
  <si>
    <t>Other current liabilities</t>
  </si>
  <si>
    <t>Total debt</t>
  </si>
  <si>
    <t>Total E/D</t>
  </si>
  <si>
    <t>Non-current Borrowings</t>
  </si>
  <si>
    <t>Current Borrowings</t>
  </si>
  <si>
    <t>Model PTP</t>
  </si>
  <si>
    <t>Reported PTP</t>
  </si>
  <si>
    <t>Dep</t>
  </si>
  <si>
    <t>Change in fair value of option</t>
  </si>
  <si>
    <t>Share of profit/loss</t>
  </si>
  <si>
    <t>WC</t>
  </si>
  <si>
    <t>Income tax paid</t>
  </si>
  <si>
    <t>CFFO</t>
  </si>
  <si>
    <t>Capex</t>
  </si>
  <si>
    <t>Acquisition</t>
  </si>
  <si>
    <t>CFFI</t>
  </si>
  <si>
    <t>Net change in RFC</t>
  </si>
  <si>
    <t>Repayment of debt</t>
  </si>
  <si>
    <t>Principal paid on lease</t>
  </si>
  <si>
    <t>Dividend</t>
  </si>
  <si>
    <t>Sale of treasury shares</t>
  </si>
  <si>
    <t>Dividend to non-controlling int</t>
  </si>
  <si>
    <t>CFFF</t>
  </si>
  <si>
    <t>FX</t>
  </si>
  <si>
    <t>CIC</t>
  </si>
  <si>
    <t>FCF</t>
  </si>
  <si>
    <t>Nedside</t>
  </si>
  <si>
    <t>TV</t>
  </si>
  <si>
    <t>NPV</t>
  </si>
  <si>
    <t>NPV/Share</t>
  </si>
  <si>
    <t>Discount</t>
  </si>
  <si>
    <t>Opp/nedside</t>
  </si>
  <si>
    <t>Nullvekst og dårlige marginer</t>
  </si>
  <si>
    <t>Enterprise value</t>
  </si>
  <si>
    <t>Debt</t>
  </si>
  <si>
    <t>SOTP EPR</t>
  </si>
  <si>
    <t>Opp/Nedside</t>
  </si>
  <si>
    <t>ÖoB mål 2028:</t>
  </si>
  <si>
    <t>EBITDA 26E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</si>
</sst>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kr&quot;\ #,##0.00_);[Red]\(&quot;kr&quot;\ #,##0.00\)"/>
    <numFmt numFmtId="164" formatCode="0.0"/>
    <numFmt numFmtId="165" formatCode="#,##0.0"/>
  </numFmts>
  <fonts count="11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2" fillId="0" borderId="1" xfId="0" applyNumberFormat="1" applyFont="1" applyBorder="1"/>
    <xf numFmtId="0" fontId="3" fillId="0" borderId="2" xfId="0" applyFont="1" applyBorder="1"/>
    <xf numFmtId="164" fontId="4" fillId="0" borderId="2" xfId="0" applyNumberFormat="1" applyFont="1" applyBorder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10" fontId="6" fillId="0" borderId="0" xfId="0" applyNumberFormat="1" applyFont="1"/>
    <xf numFmtId="0" fontId="5" fillId="0" borderId="0" xfId="0" applyFont="1" applyAlignment="1">
      <alignment horizontal="right"/>
    </xf>
    <xf numFmtId="10" fontId="1" fillId="0" borderId="0" xfId="0" applyNumberFormat="1" applyFont="1"/>
    <xf numFmtId="0" fontId="6" fillId="0" borderId="3" xfId="0" applyFont="1" applyBorder="1"/>
    <xf numFmtId="10" fontId="6" fillId="0" borderId="3" xfId="0" applyNumberFormat="1" applyFont="1" applyBorder="1"/>
    <xf numFmtId="0" fontId="5" fillId="0" borderId="5" xfId="0" applyFont="1" applyBorder="1" applyAlignment="1">
      <alignment horizontal="right"/>
    </xf>
    <xf numFmtId="0" fontId="1" fillId="0" borderId="5" xfId="0" applyFont="1" applyBorder="1"/>
    <xf numFmtId="0" fontId="5" fillId="0" borderId="5" xfId="0" applyFont="1" applyBorder="1"/>
    <xf numFmtId="10" fontId="6" fillId="0" borderId="5" xfId="0" applyNumberFormat="1" applyFont="1" applyBorder="1"/>
    <xf numFmtId="10" fontId="6" fillId="0" borderId="4" xfId="0" applyNumberFormat="1" applyFont="1" applyBorder="1"/>
    <xf numFmtId="0" fontId="8" fillId="0" borderId="0" xfId="0" applyFont="1"/>
    <xf numFmtId="2" fontId="1" fillId="0" borderId="0" xfId="0" applyNumberFormat="1" applyFont="1"/>
    <xf numFmtId="164" fontId="1" fillId="0" borderId="0" xfId="0" applyNumberFormat="1" applyFont="1"/>
    <xf numFmtId="3" fontId="5" fillId="0" borderId="0" xfId="0" applyNumberFormat="1" applyFont="1"/>
    <xf numFmtId="3" fontId="1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9" fontId="1" fillId="0" borderId="0" xfId="0" applyNumberFormat="1" applyFont="1"/>
    <xf numFmtId="8" fontId="1" fillId="0" borderId="7" xfId="0" applyNumberFormat="1" applyFont="1" applyBorder="1"/>
    <xf numFmtId="8" fontId="5" fillId="0" borderId="0" xfId="0" applyNumberFormat="1" applyFont="1"/>
    <xf numFmtId="3" fontId="5" fillId="0" borderId="5" xfId="0" applyNumberFormat="1" applyFont="1" applyBorder="1"/>
    <xf numFmtId="3" fontId="1" fillId="0" borderId="5" xfId="0" applyNumberFormat="1" applyFont="1" applyBorder="1"/>
    <xf numFmtId="0" fontId="10" fillId="0" borderId="2" xfId="0" applyFont="1" applyBorder="1"/>
    <xf numFmtId="0" fontId="8" fillId="0" borderId="2" xfId="0" applyFont="1" applyBorder="1"/>
    <xf numFmtId="3" fontId="8" fillId="0" borderId="2" xfId="0" applyNumberFormat="1" applyFont="1" applyBorder="1"/>
    <xf numFmtId="1" fontId="8" fillId="0" borderId="2" xfId="0" applyNumberFormat="1" applyFont="1" applyBorder="1"/>
    <xf numFmtId="3" fontId="10" fillId="0" borderId="2" xfId="0" applyNumberFormat="1" applyFont="1" applyBorder="1"/>
    <xf numFmtId="1" fontId="10" fillId="0" borderId="2" xfId="0" applyNumberFormat="1" applyFont="1" applyBorder="1"/>
    <xf numFmtId="0" fontId="8" fillId="2" borderId="2" xfId="0" applyFont="1" applyFill="1" applyBorder="1"/>
    <xf numFmtId="3" fontId="8" fillId="2" borderId="2" xfId="0" applyNumberFormat="1" applyFont="1" applyFill="1" applyBorder="1"/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/>
    <xf numFmtId="3" fontId="1" fillId="0" borderId="1" xfId="0" applyNumberFormat="1" applyFont="1" applyBorder="1"/>
    <xf numFmtId="2" fontId="1" fillId="0" borderId="1" xfId="0" applyNumberFormat="1" applyFont="1" applyBorder="1"/>
    <xf numFmtId="10" fontId="5" fillId="0" borderId="1" xfId="0" applyNumberFormat="1" applyFont="1" applyBorder="1"/>
    <xf numFmtId="10" fontId="1" fillId="0" borderId="1" xfId="0" applyNumberFormat="1" applyFont="1" applyBorder="1"/>
    <xf numFmtId="0" fontId="9" fillId="0" borderId="0" xfId="0" applyFont="1"/>
    <xf numFmtId="9" fontId="0" fillId="0" borderId="0" xfId="0" applyNumberFormat="1"/>
    <xf numFmtId="10" fontId="6" fillId="0" borderId="8" xfId="0" applyNumberFormat="1" applyFont="1" applyBorder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SOTP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</a:t>
          </a:r>
        </a:p>
      </cx:txPr>
    </cx:title>
    <cx:plotArea>
      <cx:plotAreaRegion>
        <cx:series layoutId="waterfall" uniqueId="{00000000-ECF4-7944-85E7-8B6F31222D76}">
          <cx:dataPt idx="2"/>
          <cx:dataPt idx="4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2"/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50"/>
            </a:pPr>
            <a:endParaRPr lang="nb-NO" sz="105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12</xdr:row>
      <xdr:rowOff>31750</xdr:rowOff>
    </xdr:from>
    <xdr:to>
      <xdr:col>5</xdr:col>
      <xdr:colOff>1117600</xdr:colOff>
      <xdr:row>25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991BF1E4-2B44-ADE3-AAAA-5E13B79BDE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950" y="3689350"/>
              <a:ext cx="6381750" cy="4019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72F25F6-3AB4-D34A-B827-5FC6EFC78906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M3" dT="2026-02-05T16:54:48.87" personId="{E72F25F6-3AB4-D34A-B827-5FC6EFC78906}" id="{B110B1C1-ECCB-6E49-9CCF-A5B3BE2CDEB6}">
    <text xml:space="preserve">ÖoB EBIT positiv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55DAC5-BC2A-DB43-9B4B-97A61818149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e647a9a-c651-4301-a3c9-c45f3a42873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2BAC-0D7E-114F-9388-FFC6BF1D537C}">
  <dimension ref="A14:B16"/>
  <sheetViews>
    <sheetView showGridLines="0" workbookViewId="0">
      <selection activeCell="A15" sqref="A15"/>
    </sheetView>
  </sheetViews>
  <sheetFormatPr baseColWidth="10" defaultRowHeight="16" x14ac:dyDescent="0.2"/>
  <sheetData>
    <row r="14" spans="1:2" x14ac:dyDescent="0.2">
      <c r="A14" s="51" t="s">
        <v>140</v>
      </c>
    </row>
    <row r="15" spans="1:2" x14ac:dyDescent="0.2">
      <c r="A15" t="s">
        <v>54</v>
      </c>
      <c r="B15">
        <v>5000</v>
      </c>
    </row>
    <row r="16" spans="1:2" x14ac:dyDescent="0.2">
      <c r="A16" t="s">
        <v>64</v>
      </c>
      <c r="B16" s="52">
        <v>0.05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56C4A-06D8-4B48-BE0B-22F097D51740}">
  <dimension ref="A3:ER81"/>
  <sheetViews>
    <sheetView showGridLines="0" workbookViewId="0">
      <pane xSplit="3" ySplit="3" topLeftCell="Z4" activePane="bottomRight" state="frozen"/>
      <selection pane="topRight" activeCell="D1" sqref="D1"/>
      <selection pane="bottomLeft" activeCell="A4" sqref="A4"/>
      <selection pane="bottomRight" activeCell="AJ27" sqref="AJ27"/>
    </sheetView>
  </sheetViews>
  <sheetFormatPr baseColWidth="10" defaultRowHeight="19" x14ac:dyDescent="0.25"/>
  <cols>
    <col min="1" max="1" width="15.1640625" style="1" bestFit="1" customWidth="1"/>
    <col min="2" max="2" width="10.6640625" style="3" customWidth="1"/>
    <col min="3" max="3" width="32.33203125" style="1" customWidth="1"/>
    <col min="4" max="17" width="10.83203125" style="1"/>
    <col min="18" max="18" width="11.1640625" style="1" bestFit="1" customWidth="1"/>
    <col min="19" max="36" width="10.83203125" style="1"/>
    <col min="37" max="37" width="10.83203125" style="3"/>
    <col min="38" max="47" width="10.83203125" style="1"/>
    <col min="48" max="48" width="14.33203125" style="1" bestFit="1" customWidth="1"/>
    <col min="49" max="49" width="13.33203125" style="1" bestFit="1" customWidth="1"/>
    <col min="50" max="16384" width="10.83203125" style="1"/>
  </cols>
  <sheetData>
    <row r="3" spans="1:148" x14ac:dyDescent="0.25">
      <c r="A3" s="1" t="s">
        <v>0</v>
      </c>
      <c r="C3" s="12" t="s">
        <v>35</v>
      </c>
      <c r="D3" s="11" t="s">
        <v>7</v>
      </c>
      <c r="E3" s="11" t="s">
        <v>8</v>
      </c>
      <c r="F3" s="11" t="s">
        <v>9</v>
      </c>
      <c r="G3" s="11" t="s">
        <v>10</v>
      </c>
      <c r="H3" s="11" t="s">
        <v>11</v>
      </c>
      <c r="I3" s="11" t="s">
        <v>12</v>
      </c>
      <c r="J3" s="11" t="s">
        <v>14</v>
      </c>
      <c r="K3" s="11" t="s">
        <v>15</v>
      </c>
      <c r="L3" s="11" t="s">
        <v>16</v>
      </c>
      <c r="M3" s="11" t="s">
        <v>17</v>
      </c>
      <c r="N3" s="11" t="s">
        <v>13</v>
      </c>
      <c r="O3" s="11" t="s">
        <v>18</v>
      </c>
      <c r="P3" s="11" t="s">
        <v>37</v>
      </c>
      <c r="Q3" s="11" t="s">
        <v>38</v>
      </c>
      <c r="R3" s="11" t="s">
        <v>39</v>
      </c>
      <c r="S3" s="11" t="s">
        <v>40</v>
      </c>
      <c r="T3" s="11" t="s">
        <v>41</v>
      </c>
      <c r="U3" s="11" t="s">
        <v>42</v>
      </c>
      <c r="V3" s="11" t="s">
        <v>43</v>
      </c>
      <c r="W3" s="11" t="s">
        <v>44</v>
      </c>
      <c r="Z3" s="11" t="s">
        <v>51</v>
      </c>
      <c r="AA3" s="11" t="s">
        <v>48</v>
      </c>
      <c r="AB3" s="11" t="s">
        <v>49</v>
      </c>
      <c r="AC3" s="11" t="s">
        <v>50</v>
      </c>
      <c r="AD3" s="11" t="s">
        <v>45</v>
      </c>
      <c r="AE3" s="11" t="s">
        <v>46</v>
      </c>
      <c r="AF3" s="11" t="s">
        <v>47</v>
      </c>
      <c r="AG3" s="11" t="s">
        <v>19</v>
      </c>
      <c r="AH3" s="11" t="s">
        <v>20</v>
      </c>
      <c r="AI3" s="11" t="s">
        <v>21</v>
      </c>
      <c r="AJ3" s="11" t="s">
        <v>22</v>
      </c>
      <c r="AK3" s="45" t="s">
        <v>23</v>
      </c>
      <c r="AL3" s="11" t="s">
        <v>24</v>
      </c>
      <c r="AM3" s="11" t="s">
        <v>25</v>
      </c>
      <c r="AN3" s="11" t="s">
        <v>26</v>
      </c>
      <c r="AO3" s="11" t="s">
        <v>27</v>
      </c>
      <c r="AP3" s="11" t="s">
        <v>28</v>
      </c>
      <c r="AQ3" s="11" t="s">
        <v>29</v>
      </c>
      <c r="AR3" s="11" t="s">
        <v>30</v>
      </c>
      <c r="AS3" s="11" t="s">
        <v>31</v>
      </c>
      <c r="AT3" s="11" t="s">
        <v>32</v>
      </c>
    </row>
    <row r="4" spans="1:148" x14ac:dyDescent="0.25">
      <c r="A4" s="1" t="s">
        <v>1</v>
      </c>
      <c r="B4" s="3">
        <v>94.6</v>
      </c>
      <c r="C4" s="26" t="s">
        <v>54</v>
      </c>
      <c r="D4" s="26">
        <v>1715.566</v>
      </c>
      <c r="E4" s="26">
        <v>2216.1640000000002</v>
      </c>
      <c r="F4" s="26">
        <v>2050</v>
      </c>
      <c r="G4" s="26">
        <v>3034.0329999999999</v>
      </c>
      <c r="H4" s="26">
        <v>1932.691</v>
      </c>
      <c r="I4" s="26">
        <v>2310.4670000000001</v>
      </c>
      <c r="J4" s="26">
        <v>2151.9569999999999</v>
      </c>
      <c r="K4" s="26">
        <v>3071.806</v>
      </c>
      <c r="L4" s="26">
        <v>2026.201</v>
      </c>
      <c r="M4" s="26">
        <v>3108.8960000000002</v>
      </c>
      <c r="N4" s="26">
        <v>3237.5050000000001</v>
      </c>
      <c r="O4" s="26">
        <v>4377.6570000000002</v>
      </c>
      <c r="P4" s="26">
        <v>2938.1729999999998</v>
      </c>
      <c r="Q4" s="26">
        <v>3801.6889999999999</v>
      </c>
      <c r="R4" s="26">
        <v>3528.0680000000002</v>
      </c>
      <c r="S4" s="26">
        <v>4610.5339999999997</v>
      </c>
      <c r="T4" s="26">
        <v>3299.7370000000001</v>
      </c>
      <c r="U4" s="26"/>
      <c r="W4" s="26"/>
      <c r="Z4" s="26">
        <v>4629.232</v>
      </c>
      <c r="AA4" s="26">
        <v>5085.2049999999999</v>
      </c>
      <c r="AB4" s="26">
        <v>5422.53</v>
      </c>
      <c r="AC4" s="26">
        <v>5816.9840000000004</v>
      </c>
      <c r="AD4" s="26">
        <v>6234.3890000000001</v>
      </c>
      <c r="AE4" s="26">
        <v>8012.6289999999999</v>
      </c>
      <c r="AF4" s="26">
        <v>8648.1769999999997</v>
      </c>
      <c r="AG4" s="26">
        <v>9015.7659999999996</v>
      </c>
      <c r="AH4" s="26">
        <v>9466.9210000000003</v>
      </c>
      <c r="AI4" s="26">
        <v>12750.259</v>
      </c>
      <c r="AJ4" s="26">
        <v>14878</v>
      </c>
      <c r="AK4" s="46">
        <f>AJ4*1.05</f>
        <v>15621.900000000001</v>
      </c>
      <c r="AL4" s="26">
        <f t="shared" ref="AL4:AT4" si="0">AK4*1.05</f>
        <v>16402.995000000003</v>
      </c>
      <c r="AM4" s="26">
        <f t="shared" si="0"/>
        <v>17223.144750000003</v>
      </c>
      <c r="AN4" s="26">
        <f t="shared" si="0"/>
        <v>18084.301987500003</v>
      </c>
      <c r="AO4" s="26">
        <f t="shared" si="0"/>
        <v>18988.517086875003</v>
      </c>
      <c r="AP4" s="26">
        <f t="shared" si="0"/>
        <v>19937.942941218753</v>
      </c>
      <c r="AQ4" s="26">
        <f t="shared" si="0"/>
        <v>20934.840088279692</v>
      </c>
      <c r="AR4" s="26">
        <f t="shared" si="0"/>
        <v>21981.582092693679</v>
      </c>
      <c r="AS4" s="26">
        <f t="shared" si="0"/>
        <v>23080.661197328365</v>
      </c>
      <c r="AT4" s="26">
        <f t="shared" si="0"/>
        <v>24234.694257194784</v>
      </c>
    </row>
    <row r="5" spans="1:148" x14ac:dyDescent="0.25">
      <c r="A5" s="1" t="s">
        <v>2</v>
      </c>
      <c r="B5" s="4">
        <v>166.96888799999999</v>
      </c>
      <c r="C5" s="27" t="s">
        <v>58</v>
      </c>
      <c r="D5" s="27">
        <v>-956.053</v>
      </c>
      <c r="E5" s="27">
        <v>-1147.0889999999999</v>
      </c>
      <c r="F5" s="27">
        <v>-1074.7080000000001</v>
      </c>
      <c r="G5" s="27">
        <v>-1654.925</v>
      </c>
      <c r="H5" s="27">
        <v>-1092.5820000000001</v>
      </c>
      <c r="I5" s="27">
        <v>-1282.0409999999999</v>
      </c>
      <c r="J5" s="27">
        <v>-1176.971</v>
      </c>
      <c r="K5" s="27">
        <v>-1724.058</v>
      </c>
      <c r="L5" s="27">
        <v>-1148.0989999999999</v>
      </c>
      <c r="M5" s="27">
        <v>-1807.375</v>
      </c>
      <c r="N5" s="27">
        <v>-1951.068</v>
      </c>
      <c r="O5" s="27">
        <v>-2515.614</v>
      </c>
      <c r="P5" s="27">
        <v>-1801.703</v>
      </c>
      <c r="Q5" s="27">
        <v>-2257.3270000000002</v>
      </c>
      <c r="R5" s="27">
        <v>-2091.2330000000002</v>
      </c>
      <c r="S5" s="27">
        <v>-2648.6950000000002</v>
      </c>
      <c r="T5" s="27">
        <v>-1997.704</v>
      </c>
      <c r="U5" s="27"/>
      <c r="W5" s="27"/>
      <c r="Z5" s="27">
        <v>-2569.337</v>
      </c>
      <c r="AA5" s="27">
        <v>-2903.03</v>
      </c>
      <c r="AB5" s="27">
        <v>-3118.3449999999998</v>
      </c>
      <c r="AC5" s="27">
        <v>-3298.2959999999998</v>
      </c>
      <c r="AD5" s="27">
        <v>-3543.73</v>
      </c>
      <c r="AE5" s="27">
        <v>-4534.134</v>
      </c>
      <c r="AF5" s="27">
        <v>-4592.143</v>
      </c>
      <c r="AG5" s="27">
        <v>-4832.7830000000004</v>
      </c>
      <c r="AH5" s="27">
        <v>-5275.6760000000004</v>
      </c>
      <c r="AI5" s="27">
        <v>-7437.4549999999999</v>
      </c>
      <c r="AJ5" s="27">
        <v>-8799</v>
      </c>
      <c r="AK5" s="47">
        <f>AK4*-0.58</f>
        <v>-9060.7019999999993</v>
      </c>
      <c r="AL5" s="27">
        <f t="shared" ref="AL5:AT5" si="1">AL4*-0.58</f>
        <v>-9513.7371000000003</v>
      </c>
      <c r="AM5" s="27">
        <f t="shared" si="1"/>
        <v>-9989.423955000002</v>
      </c>
      <c r="AN5" s="27">
        <f t="shared" si="1"/>
        <v>-10488.895152750001</v>
      </c>
      <c r="AO5" s="27">
        <f t="shared" si="1"/>
        <v>-11013.339910387502</v>
      </c>
      <c r="AP5" s="27">
        <f t="shared" si="1"/>
        <v>-11564.006905906876</v>
      </c>
      <c r="AQ5" s="27">
        <f t="shared" si="1"/>
        <v>-12142.207251202221</v>
      </c>
      <c r="AR5" s="27">
        <f t="shared" si="1"/>
        <v>-12749.317613762334</v>
      </c>
      <c r="AS5" s="27">
        <f t="shared" si="1"/>
        <v>-13386.78349445045</v>
      </c>
      <c r="AT5" s="27">
        <f t="shared" si="1"/>
        <v>-14056.122669172973</v>
      </c>
    </row>
    <row r="6" spans="1:148" x14ac:dyDescent="0.25">
      <c r="A6" s="1" t="s">
        <v>3</v>
      </c>
      <c r="B6" s="5">
        <f>B4*B5</f>
        <v>15795.256804799998</v>
      </c>
      <c r="C6" s="27" t="s">
        <v>56</v>
      </c>
      <c r="D6" s="27">
        <f t="shared" ref="D6:E6" si="2">SUM(D4:D5)</f>
        <v>759.51300000000003</v>
      </c>
      <c r="E6" s="27">
        <f t="shared" si="2"/>
        <v>1069.0750000000003</v>
      </c>
      <c r="F6" s="27">
        <f t="shared" ref="F6:G6" si="3">SUM(F4:F5)</f>
        <v>975.29199999999992</v>
      </c>
      <c r="G6" s="27">
        <f t="shared" si="3"/>
        <v>1379.1079999999999</v>
      </c>
      <c r="H6" s="27">
        <f t="shared" ref="H6:I6" si="4">SUM(H4:H5)</f>
        <v>840.10899999999992</v>
      </c>
      <c r="I6" s="27">
        <f t="shared" si="4"/>
        <v>1028.4260000000002</v>
      </c>
      <c r="J6" s="27">
        <f t="shared" ref="J6:K6" si="5">SUM(J4:J5)</f>
        <v>974.98599999999988</v>
      </c>
      <c r="K6" s="27">
        <f t="shared" si="5"/>
        <v>1347.748</v>
      </c>
      <c r="L6" s="27">
        <f t="shared" ref="L6:S6" si="6">SUM(L4:L5)</f>
        <v>878.10200000000009</v>
      </c>
      <c r="M6" s="27">
        <f t="shared" si="6"/>
        <v>1301.5210000000002</v>
      </c>
      <c r="N6" s="27">
        <f t="shared" si="6"/>
        <v>1286.4370000000001</v>
      </c>
      <c r="O6" s="27">
        <f t="shared" si="6"/>
        <v>1862.0430000000001</v>
      </c>
      <c r="P6" s="27">
        <f t="shared" si="6"/>
        <v>1136.4699999999998</v>
      </c>
      <c r="Q6" s="27">
        <f t="shared" si="6"/>
        <v>1544.3619999999996</v>
      </c>
      <c r="R6" s="27">
        <f t="shared" si="6"/>
        <v>1436.835</v>
      </c>
      <c r="S6" s="27">
        <f t="shared" si="6"/>
        <v>1961.8389999999995</v>
      </c>
      <c r="T6" s="27">
        <f>SUM(T4:T5)</f>
        <v>1302.0330000000001</v>
      </c>
      <c r="U6" s="27"/>
      <c r="W6" s="27"/>
      <c r="Z6" s="27">
        <f t="shared" ref="Z6:AJ6" si="7">SUM(Z4:Z5)</f>
        <v>2059.895</v>
      </c>
      <c r="AA6" s="27">
        <f t="shared" si="7"/>
        <v>2182.1749999999997</v>
      </c>
      <c r="AB6" s="27">
        <f t="shared" si="7"/>
        <v>2304.1849999999999</v>
      </c>
      <c r="AC6" s="27">
        <f t="shared" si="7"/>
        <v>2518.6880000000006</v>
      </c>
      <c r="AD6" s="27">
        <f t="shared" si="7"/>
        <v>2690.6590000000001</v>
      </c>
      <c r="AE6" s="27">
        <f t="shared" si="7"/>
        <v>3478.4949999999999</v>
      </c>
      <c r="AF6" s="27">
        <f t="shared" si="7"/>
        <v>4056.0339999999997</v>
      </c>
      <c r="AG6" s="27">
        <f t="shared" si="7"/>
        <v>4182.9829999999993</v>
      </c>
      <c r="AH6" s="27">
        <f t="shared" si="7"/>
        <v>4191.2449999999999</v>
      </c>
      <c r="AI6" s="27">
        <f t="shared" si="7"/>
        <v>5312.8040000000001</v>
      </c>
      <c r="AJ6" s="27">
        <f t="shared" si="7"/>
        <v>6079</v>
      </c>
      <c r="AK6" s="47">
        <f t="shared" ref="AK6:AT6" si="8">SUM(AK4:AK5)</f>
        <v>6561.1980000000021</v>
      </c>
      <c r="AL6" s="27">
        <f t="shared" si="8"/>
        <v>6889.2579000000023</v>
      </c>
      <c r="AM6" s="27">
        <f t="shared" si="8"/>
        <v>7233.7207950000011</v>
      </c>
      <c r="AN6" s="27">
        <f t="shared" si="8"/>
        <v>7595.4068347500015</v>
      </c>
      <c r="AO6" s="27">
        <f t="shared" si="8"/>
        <v>7975.1771764875011</v>
      </c>
      <c r="AP6" s="27">
        <f t="shared" si="8"/>
        <v>8373.9360353118773</v>
      </c>
      <c r="AQ6" s="27">
        <f t="shared" si="8"/>
        <v>8792.6328370774718</v>
      </c>
      <c r="AR6" s="27">
        <f t="shared" si="8"/>
        <v>9232.2644789313454</v>
      </c>
      <c r="AS6" s="27">
        <f t="shared" si="8"/>
        <v>9693.877702877915</v>
      </c>
      <c r="AT6" s="27">
        <f t="shared" si="8"/>
        <v>10178.57158802181</v>
      </c>
    </row>
    <row r="7" spans="1:148" x14ac:dyDescent="0.25">
      <c r="A7" s="1" t="s">
        <v>4</v>
      </c>
      <c r="B7" s="5">
        <f>S32</f>
        <v>988.12199999999996</v>
      </c>
      <c r="C7" s="27" t="s">
        <v>71</v>
      </c>
      <c r="D7" s="27">
        <v>-306.71600000000001</v>
      </c>
      <c r="E7" s="27">
        <v>-269.98599999999999</v>
      </c>
      <c r="F7" s="27">
        <v>-348.40199999999999</v>
      </c>
      <c r="G7" s="27">
        <v>-370.02600000000001</v>
      </c>
      <c r="H7" s="27">
        <v>-335.00099999999998</v>
      </c>
      <c r="I7" s="27">
        <v>-290.54899999999998</v>
      </c>
      <c r="J7" s="27">
        <v>-358.351</v>
      </c>
      <c r="K7" s="27">
        <v>-389.18</v>
      </c>
      <c r="L7" s="27">
        <v>-363.09</v>
      </c>
      <c r="M7" s="27">
        <v>-415.26</v>
      </c>
      <c r="N7" s="27">
        <v>-538.26300000000003</v>
      </c>
      <c r="O7" s="27">
        <v>-548.423</v>
      </c>
      <c r="P7" s="27">
        <v>-540.41899999999998</v>
      </c>
      <c r="Q7" s="27">
        <v>-519.28800000000001</v>
      </c>
      <c r="R7" s="27">
        <v>-569.44399999999996</v>
      </c>
      <c r="S7" s="27">
        <v>-609.053</v>
      </c>
      <c r="T7" s="27">
        <v>-593.42999999999995</v>
      </c>
      <c r="U7" s="27"/>
      <c r="W7" s="27"/>
      <c r="Z7" s="27">
        <v>-702.33600000000001</v>
      </c>
      <c r="AA7" s="27">
        <v>-752.49800000000005</v>
      </c>
      <c r="AB7" s="27">
        <v>-826.84699999999998</v>
      </c>
      <c r="AC7" s="27">
        <v>-898.50400000000002</v>
      </c>
      <c r="AD7" s="27">
        <v>-985.34699999999998</v>
      </c>
      <c r="AE7" s="27">
        <v>-1138.193</v>
      </c>
      <c r="AF7" s="27">
        <v>-1230.3030000000001</v>
      </c>
      <c r="AG7" s="27">
        <v>-1295.1310000000001</v>
      </c>
      <c r="AH7" s="27">
        <v>-1373.0809999999999</v>
      </c>
      <c r="AI7" s="27">
        <v>-1865.0360000000001</v>
      </c>
      <c r="AJ7" s="27">
        <v>-2238</v>
      </c>
      <c r="AK7" s="47">
        <f>AJ7*1.04</f>
        <v>-2327.52</v>
      </c>
      <c r="AL7" s="27">
        <f>AK7*1.04</f>
        <v>-2420.6208000000001</v>
      </c>
      <c r="AM7" s="27">
        <f>AL7*1.03</f>
        <v>-2493.2394240000003</v>
      </c>
      <c r="AN7" s="27">
        <f>AM7*1.04</f>
        <v>-2592.9690009600004</v>
      </c>
      <c r="AO7" s="27">
        <f t="shared" ref="AO7:AP7" si="9">AN7*1.04</f>
        <v>-2696.6877609984003</v>
      </c>
      <c r="AP7" s="27">
        <f t="shared" si="9"/>
        <v>-2804.5552714383366</v>
      </c>
      <c r="AQ7" s="27">
        <f>AP7*1.05</f>
        <v>-2944.7830350102536</v>
      </c>
      <c r="AR7" s="27">
        <f t="shared" ref="AR7:AT7" si="10">AQ7*1.05</f>
        <v>-3092.0221867607665</v>
      </c>
      <c r="AS7" s="27">
        <f t="shared" si="10"/>
        <v>-3246.623296098805</v>
      </c>
      <c r="AT7" s="27">
        <f t="shared" si="10"/>
        <v>-3408.9544609037453</v>
      </c>
    </row>
    <row r="8" spans="1:148" x14ac:dyDescent="0.25">
      <c r="A8" s="1" t="s">
        <v>5</v>
      </c>
      <c r="B8" s="5">
        <f>(S39+S41)</f>
        <v>1846.2529999999999</v>
      </c>
      <c r="C8" s="27" t="s">
        <v>72</v>
      </c>
      <c r="D8" s="27">
        <v>-151.119</v>
      </c>
      <c r="E8" s="27">
        <v>-151.02000000000001</v>
      </c>
      <c r="F8" s="27">
        <v>-153.608</v>
      </c>
      <c r="G8" s="27">
        <v>-155.28800000000001</v>
      </c>
      <c r="H8" s="27">
        <v>-166.27199999999999</v>
      </c>
      <c r="I8" s="27">
        <v>-168.80699999999999</v>
      </c>
      <c r="J8" s="27">
        <v>-170.261</v>
      </c>
      <c r="K8" s="27">
        <v>-169.268</v>
      </c>
      <c r="L8" s="27">
        <v>-174.34</v>
      </c>
      <c r="M8" s="27">
        <v>-227.892</v>
      </c>
      <c r="N8" s="27">
        <v>-260.22699999999998</v>
      </c>
      <c r="O8" s="27">
        <v>-260.46800000000002</v>
      </c>
      <c r="P8" s="27">
        <v>-260.72000000000003</v>
      </c>
      <c r="Q8" s="27">
        <v>-266.87599999999998</v>
      </c>
      <c r="R8" s="27">
        <v>-265.27600000000001</v>
      </c>
      <c r="S8" s="27">
        <v>-267.37799999999999</v>
      </c>
      <c r="T8" s="27">
        <v>-268.72000000000003</v>
      </c>
      <c r="U8" s="27"/>
      <c r="W8" s="27"/>
      <c r="Z8" s="27">
        <v>-71.061000000000007</v>
      </c>
      <c r="AA8" s="27">
        <v>-75.088999999999999</v>
      </c>
      <c r="AB8" s="27">
        <v>-82.69</v>
      </c>
      <c r="AC8" s="27">
        <v>-90.742999999999995</v>
      </c>
      <c r="AD8" s="27">
        <v>-515.673</v>
      </c>
      <c r="AE8" s="27">
        <v>-539.92700000000002</v>
      </c>
      <c r="AF8" s="27">
        <v>-571.22299999999996</v>
      </c>
      <c r="AG8" s="27">
        <v>-611.03499999999997</v>
      </c>
      <c r="AH8" s="27">
        <v>-674.60799999999995</v>
      </c>
      <c r="AI8" s="27">
        <v>-922.92700000000002</v>
      </c>
      <c r="AJ8" s="27">
        <v>-1060</v>
      </c>
      <c r="AK8" s="47">
        <f t="shared" ref="AK8:AL9" si="11">AJ8*1.04</f>
        <v>-1102.4000000000001</v>
      </c>
      <c r="AL8" s="27">
        <f t="shared" si="11"/>
        <v>-1146.4960000000001</v>
      </c>
      <c r="AM8" s="27">
        <f t="shared" ref="AM8:AM9" si="12">AL8*1.03</f>
        <v>-1180.8908800000002</v>
      </c>
      <c r="AN8" s="27">
        <f t="shared" ref="AN8:AP9" si="13">AM8*1.04</f>
        <v>-1228.1265152000003</v>
      </c>
      <c r="AO8" s="27">
        <f t="shared" si="13"/>
        <v>-1277.2515758080003</v>
      </c>
      <c r="AP8" s="27">
        <f t="shared" si="13"/>
        <v>-1328.3416388403205</v>
      </c>
      <c r="AQ8" s="27">
        <f t="shared" ref="AQ8:AT9" si="14">AP8*1.05</f>
        <v>-1394.7587207823365</v>
      </c>
      <c r="AR8" s="27">
        <f t="shared" si="14"/>
        <v>-1464.4966568214534</v>
      </c>
      <c r="AS8" s="27">
        <f t="shared" si="14"/>
        <v>-1537.7214896625262</v>
      </c>
      <c r="AT8" s="27">
        <f t="shared" si="14"/>
        <v>-1614.6075641456525</v>
      </c>
    </row>
    <row r="9" spans="1:148" x14ac:dyDescent="0.25">
      <c r="A9" s="2" t="s">
        <v>6</v>
      </c>
      <c r="B9" s="6">
        <f>B6-B7+B8</f>
        <v>16653.387804799997</v>
      </c>
      <c r="C9" s="27" t="s">
        <v>73</v>
      </c>
      <c r="D9" s="27">
        <v>-175.24299999999999</v>
      </c>
      <c r="E9" s="27">
        <v>-210.17400000000001</v>
      </c>
      <c r="F9" s="27">
        <v>-201.71600000000001</v>
      </c>
      <c r="G9" s="27">
        <v>-249.34800000000001</v>
      </c>
      <c r="H9" s="27">
        <v>-193.655</v>
      </c>
      <c r="I9" s="27">
        <v>-206.92</v>
      </c>
      <c r="J9" s="27">
        <v>-212.15</v>
      </c>
      <c r="K9" s="27">
        <v>-235.69499999999999</v>
      </c>
      <c r="L9" s="27">
        <v>-234.10900000000001</v>
      </c>
      <c r="M9" s="27">
        <v>-319.68900000000002</v>
      </c>
      <c r="N9" s="27">
        <v>-320.363</v>
      </c>
      <c r="O9" s="27">
        <v>-429.20100000000002</v>
      </c>
      <c r="P9" s="27">
        <v>-372.3</v>
      </c>
      <c r="Q9" s="27">
        <v>-335.67399999999998</v>
      </c>
      <c r="R9" s="27">
        <v>-346.02499999999998</v>
      </c>
      <c r="S9" s="27">
        <v>-408.07499999999999</v>
      </c>
      <c r="T9" s="27">
        <v>-368.44299999999998</v>
      </c>
      <c r="U9" s="27"/>
      <c r="W9" s="27"/>
      <c r="Z9" s="27">
        <v>-753.93200000000002</v>
      </c>
      <c r="AA9" s="27">
        <v>-764.59</v>
      </c>
      <c r="AB9" s="27">
        <v>-842.64099999999996</v>
      </c>
      <c r="AC9" s="27">
        <v>-942.36900000000003</v>
      </c>
      <c r="AD9" s="27">
        <v>-611.05700000000002</v>
      </c>
      <c r="AE9" s="27">
        <v>-634.79399999999998</v>
      </c>
      <c r="AF9" s="27">
        <v>-742.74900000000002</v>
      </c>
      <c r="AG9" s="27">
        <v>-836.46100000000001</v>
      </c>
      <c r="AH9" s="27">
        <v>-848.42600000000004</v>
      </c>
      <c r="AI9" s="27">
        <v>-1288.0619999999999</v>
      </c>
      <c r="AJ9" s="27">
        <v>-1462</v>
      </c>
      <c r="AK9" s="47">
        <f t="shared" si="11"/>
        <v>-1520.48</v>
      </c>
      <c r="AL9" s="27">
        <f t="shared" si="11"/>
        <v>-1581.2992000000002</v>
      </c>
      <c r="AM9" s="27">
        <f t="shared" si="12"/>
        <v>-1628.7381760000003</v>
      </c>
      <c r="AN9" s="27">
        <f t="shared" si="13"/>
        <v>-1693.8877030400004</v>
      </c>
      <c r="AO9" s="27">
        <f t="shared" si="13"/>
        <v>-1761.6432111616004</v>
      </c>
      <c r="AP9" s="27">
        <f t="shared" si="13"/>
        <v>-1832.1089396080645</v>
      </c>
      <c r="AQ9" s="27">
        <f t="shared" si="14"/>
        <v>-1923.7143865884677</v>
      </c>
      <c r="AR9" s="27">
        <f t="shared" si="14"/>
        <v>-2019.9001059178911</v>
      </c>
      <c r="AS9" s="27">
        <f t="shared" si="14"/>
        <v>-2120.8951112137856</v>
      </c>
      <c r="AT9" s="27">
        <f t="shared" si="14"/>
        <v>-2226.9398667744749</v>
      </c>
    </row>
    <row r="10" spans="1:148" x14ac:dyDescent="0.25">
      <c r="C10" s="26" t="s">
        <v>74</v>
      </c>
      <c r="D10" s="26">
        <f t="shared" ref="D10:E10" si="15">SUM(D6:D9)</f>
        <v>126.435</v>
      </c>
      <c r="E10" s="26">
        <f t="shared" si="15"/>
        <v>437.89500000000032</v>
      </c>
      <c r="F10" s="26">
        <f t="shared" ref="F10:G10" si="16">SUM(F6:F9)</f>
        <v>271.56599999999986</v>
      </c>
      <c r="G10" s="26">
        <f t="shared" si="16"/>
        <v>604.44599999999991</v>
      </c>
      <c r="H10" s="26">
        <f t="shared" ref="H10:I10" si="17">SUM(H6:H9)</f>
        <v>145.18099999999995</v>
      </c>
      <c r="I10" s="26">
        <f t="shared" si="17"/>
        <v>362.1500000000002</v>
      </c>
      <c r="J10" s="26">
        <f t="shared" ref="J10:K10" si="18">SUM(J6:J9)</f>
        <v>234.2239999999999</v>
      </c>
      <c r="K10" s="26">
        <f t="shared" si="18"/>
        <v>553.60500000000002</v>
      </c>
      <c r="L10" s="26">
        <f t="shared" ref="L10:S10" si="19">SUM(L6:L9)</f>
        <v>106.56300000000013</v>
      </c>
      <c r="M10" s="26">
        <f t="shared" si="19"/>
        <v>338.68000000000012</v>
      </c>
      <c r="N10" s="26">
        <f t="shared" si="19"/>
        <v>167.58400000000012</v>
      </c>
      <c r="O10" s="26">
        <f t="shared" si="19"/>
        <v>623.95100000000002</v>
      </c>
      <c r="P10" s="26">
        <f t="shared" si="19"/>
        <v>-36.969000000000221</v>
      </c>
      <c r="Q10" s="26">
        <f t="shared" si="19"/>
        <v>422.52399999999966</v>
      </c>
      <c r="R10" s="26">
        <f t="shared" si="19"/>
        <v>256.09000000000003</v>
      </c>
      <c r="S10" s="26">
        <f t="shared" si="19"/>
        <v>677.33299999999963</v>
      </c>
      <c r="T10" s="26">
        <f>SUM(T6:T9)</f>
        <v>71.440000000000168</v>
      </c>
      <c r="U10" s="26"/>
      <c r="W10" s="26"/>
      <c r="Z10" s="26">
        <f t="shared" ref="Z10:AJ10" si="20">SUM(Z6:Z9)</f>
        <v>532.56600000000003</v>
      </c>
      <c r="AA10" s="26">
        <f t="shared" si="20"/>
        <v>589.99799999999971</v>
      </c>
      <c r="AB10" s="26">
        <f t="shared" si="20"/>
        <v>552.00699999999995</v>
      </c>
      <c r="AC10" s="26">
        <f t="shared" si="20"/>
        <v>587.07200000000068</v>
      </c>
      <c r="AD10" s="26">
        <f t="shared" si="20"/>
        <v>578.58200000000011</v>
      </c>
      <c r="AE10" s="26">
        <f t="shared" si="20"/>
        <v>1165.5809999999997</v>
      </c>
      <c r="AF10" s="26">
        <f t="shared" si="20"/>
        <v>1511.7589999999998</v>
      </c>
      <c r="AG10" s="26">
        <f t="shared" si="20"/>
        <v>1440.3559999999991</v>
      </c>
      <c r="AH10" s="26">
        <f t="shared" si="20"/>
        <v>1295.1299999999997</v>
      </c>
      <c r="AI10" s="26">
        <f t="shared" si="20"/>
        <v>1236.779</v>
      </c>
      <c r="AJ10" s="26">
        <f t="shared" si="20"/>
        <v>1319</v>
      </c>
      <c r="AK10" s="46">
        <f t="shared" ref="AK10:AT10" si="21">SUM(AK6:AK9)</f>
        <v>1610.7980000000016</v>
      </c>
      <c r="AL10" s="26">
        <f t="shared" si="21"/>
        <v>1740.8419000000015</v>
      </c>
      <c r="AM10" s="26">
        <f t="shared" si="21"/>
        <v>1930.8523150000005</v>
      </c>
      <c r="AN10" s="26">
        <f t="shared" si="21"/>
        <v>2080.4236155500007</v>
      </c>
      <c r="AO10" s="26">
        <f t="shared" si="21"/>
        <v>2239.5946285195</v>
      </c>
      <c r="AP10" s="26">
        <f t="shared" si="21"/>
        <v>2408.9301854251562</v>
      </c>
      <c r="AQ10" s="26">
        <f t="shared" si="21"/>
        <v>2529.3766946964138</v>
      </c>
      <c r="AR10" s="26">
        <f t="shared" si="21"/>
        <v>2655.8455294312344</v>
      </c>
      <c r="AS10" s="26">
        <f t="shared" si="21"/>
        <v>2788.6378059027975</v>
      </c>
      <c r="AT10" s="26">
        <f t="shared" si="21"/>
        <v>2928.069696197937</v>
      </c>
    </row>
    <row r="11" spans="1:148" x14ac:dyDescent="0.25">
      <c r="C11" s="27" t="s">
        <v>75</v>
      </c>
      <c r="D11" s="27">
        <v>-0.86199999999999999</v>
      </c>
      <c r="E11" s="27">
        <v>-24.4</v>
      </c>
      <c r="F11" s="27">
        <v>-32.744</v>
      </c>
      <c r="G11" s="27">
        <v>-49.423000000000002</v>
      </c>
      <c r="H11" s="27">
        <v>-43.750999999999998</v>
      </c>
      <c r="I11" s="27">
        <v>-29.715</v>
      </c>
      <c r="J11" s="27">
        <v>-44.723999999999997</v>
      </c>
      <c r="K11" s="27">
        <v>-72.325000000000003</v>
      </c>
      <c r="L11" s="27">
        <v>-32.811999999999998</v>
      </c>
      <c r="M11" s="27">
        <v>-53.645000000000003</v>
      </c>
      <c r="N11" s="27">
        <v>-60.484000000000002</v>
      </c>
      <c r="O11" s="27">
        <v>-54.762999999999998</v>
      </c>
      <c r="P11" s="27">
        <v>-62.905000000000001</v>
      </c>
      <c r="Q11" s="27">
        <v>-66.296000000000006</v>
      </c>
      <c r="R11" s="27">
        <v>-59.183</v>
      </c>
      <c r="S11" s="27">
        <v>-70.010000000000005</v>
      </c>
      <c r="T11" s="27">
        <v>-40.594999999999999</v>
      </c>
      <c r="U11" s="27"/>
      <c r="W11" s="27"/>
      <c r="Z11" s="27">
        <v>-164.95599999999999</v>
      </c>
      <c r="AA11" s="27">
        <v>-41.052</v>
      </c>
      <c r="AB11" s="27">
        <v>-41.682000000000002</v>
      </c>
      <c r="AC11" s="27">
        <v>-40.942</v>
      </c>
      <c r="AD11" s="27">
        <v>-98.171999999999997</v>
      </c>
      <c r="AE11" s="27">
        <v>-139.06800000000001</v>
      </c>
      <c r="AF11" s="27">
        <v>-94.394999999999996</v>
      </c>
      <c r="AG11" s="27">
        <v>-107.39400000000001</v>
      </c>
      <c r="AH11" s="27">
        <v>-190.517</v>
      </c>
      <c r="AI11" s="27">
        <v>-201.70400000000001</v>
      </c>
      <c r="AJ11" s="27">
        <v>-258</v>
      </c>
      <c r="AK11" s="47">
        <f>AJ11*1.065</f>
        <v>-274.77</v>
      </c>
      <c r="AL11" s="27">
        <f t="shared" ref="AL11" si="22">AK11*1.065</f>
        <v>-292.63004999999998</v>
      </c>
      <c r="AM11" s="27">
        <f>AL11*1.01</f>
        <v>-295.55635050000001</v>
      </c>
      <c r="AN11" s="27">
        <f t="shared" ref="AN11:AT11" si="23">AM11*1.01</f>
        <v>-298.51191400499999</v>
      </c>
      <c r="AO11" s="27">
        <f t="shared" si="23"/>
        <v>-301.49703314505001</v>
      </c>
      <c r="AP11" s="27">
        <f t="shared" si="23"/>
        <v>-304.51200347650052</v>
      </c>
      <c r="AQ11" s="27">
        <f t="shared" si="23"/>
        <v>-307.55712351126556</v>
      </c>
      <c r="AR11" s="27">
        <f t="shared" si="23"/>
        <v>-310.63269474637821</v>
      </c>
      <c r="AS11" s="27">
        <f t="shared" si="23"/>
        <v>-313.73902169384201</v>
      </c>
      <c r="AT11" s="27">
        <f t="shared" si="23"/>
        <v>-316.8764119107804</v>
      </c>
    </row>
    <row r="12" spans="1:148" x14ac:dyDescent="0.25">
      <c r="C12" s="27" t="s">
        <v>76</v>
      </c>
      <c r="D12" s="27">
        <v>-9.2260000000000009</v>
      </c>
      <c r="E12" s="27">
        <v>5.26</v>
      </c>
      <c r="F12" s="27">
        <v>1.4</v>
      </c>
      <c r="G12" s="27">
        <v>6.6</v>
      </c>
      <c r="H12" s="27">
        <v>-7.915</v>
      </c>
      <c r="I12" s="27">
        <v>0</v>
      </c>
      <c r="J12" s="27">
        <v>-4.5</v>
      </c>
      <c r="K12" s="27">
        <v>-41.902000000000001</v>
      </c>
      <c r="L12" s="27">
        <v>-10.976000000000001</v>
      </c>
      <c r="M12" s="27">
        <v>12.54</v>
      </c>
      <c r="N12" s="27">
        <v>2.9000000000000001E-2</v>
      </c>
      <c r="O12" s="27">
        <v>2.9000000000000001E-2</v>
      </c>
      <c r="P12" s="27">
        <v>0</v>
      </c>
      <c r="Q12" s="27">
        <v>0</v>
      </c>
      <c r="R12" s="27">
        <v>0</v>
      </c>
      <c r="S12" s="27">
        <v>0</v>
      </c>
      <c r="T12" s="27">
        <v>0</v>
      </c>
      <c r="U12" s="27"/>
      <c r="W12" s="27"/>
      <c r="Z12" s="27">
        <v>0</v>
      </c>
      <c r="AA12" s="27">
        <v>0</v>
      </c>
      <c r="AB12" s="27">
        <v>0</v>
      </c>
      <c r="AC12" s="27">
        <v>6.4</v>
      </c>
      <c r="AD12" s="27">
        <v>0</v>
      </c>
      <c r="AE12" s="27">
        <v>2.6</v>
      </c>
      <c r="AF12" s="27">
        <v>0</v>
      </c>
      <c r="AG12" s="27">
        <v>4</v>
      </c>
      <c r="AH12" s="27">
        <v>-54.488999999999997</v>
      </c>
      <c r="AI12" s="27">
        <v>1.5920000000000001</v>
      </c>
      <c r="AJ12" s="27">
        <v>0</v>
      </c>
      <c r="AK12" s="4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  <c r="AT12" s="27">
        <v>0</v>
      </c>
    </row>
    <row r="13" spans="1:148" x14ac:dyDescent="0.25">
      <c r="C13" s="27" t="s">
        <v>77</v>
      </c>
      <c r="D13" s="27">
        <v>0</v>
      </c>
      <c r="E13" s="27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101.789</v>
      </c>
      <c r="L13" s="27">
        <v>0</v>
      </c>
      <c r="M13" s="27">
        <v>32.299999999999997</v>
      </c>
      <c r="N13" s="27">
        <v>0</v>
      </c>
      <c r="O13" s="27">
        <v>0</v>
      </c>
      <c r="P13" s="27">
        <v>0</v>
      </c>
      <c r="Q13" s="27">
        <v>0</v>
      </c>
      <c r="R13" s="27">
        <v>0</v>
      </c>
      <c r="S13" s="27">
        <v>0</v>
      </c>
      <c r="T13" s="27">
        <v>0</v>
      </c>
      <c r="U13" s="27"/>
      <c r="W13" s="27"/>
      <c r="Z13" s="27">
        <v>0</v>
      </c>
      <c r="AA13" s="27">
        <v>0</v>
      </c>
      <c r="AB13" s="27">
        <v>0</v>
      </c>
      <c r="AC13" s="27">
        <v>0</v>
      </c>
      <c r="AD13" s="27">
        <v>0</v>
      </c>
      <c r="AE13" s="27">
        <v>0</v>
      </c>
      <c r="AF13" s="27">
        <v>0</v>
      </c>
      <c r="AG13" s="27">
        <v>0</v>
      </c>
      <c r="AH13" s="27">
        <v>101.789</v>
      </c>
      <c r="AI13" s="27">
        <v>32.308999999999997</v>
      </c>
      <c r="AJ13" s="27">
        <v>0</v>
      </c>
      <c r="AK13" s="47">
        <v>0</v>
      </c>
      <c r="AL13" s="27">
        <v>0</v>
      </c>
      <c r="AM13" s="27">
        <v>0</v>
      </c>
      <c r="AN13" s="27">
        <v>0</v>
      </c>
      <c r="AO13" s="27">
        <v>0</v>
      </c>
      <c r="AP13" s="27">
        <v>0</v>
      </c>
      <c r="AQ13" s="27">
        <v>0</v>
      </c>
      <c r="AR13" s="27">
        <v>0</v>
      </c>
      <c r="AS13" s="27">
        <v>0</v>
      </c>
      <c r="AT13" s="27">
        <v>0</v>
      </c>
    </row>
    <row r="14" spans="1:148" x14ac:dyDescent="0.25">
      <c r="C14" s="27" t="s">
        <v>78</v>
      </c>
      <c r="D14" s="27">
        <f t="shared" ref="D14:E14" si="24">SUM(D10:D13)</f>
        <v>116.34700000000001</v>
      </c>
      <c r="E14" s="27">
        <f t="shared" si="24"/>
        <v>418.75500000000034</v>
      </c>
      <c r="F14" s="27">
        <f t="shared" ref="F14:G14" si="25">SUM(F10:F13)</f>
        <v>240.22199999999987</v>
      </c>
      <c r="G14" s="27">
        <f t="shared" si="25"/>
        <v>561.62299999999993</v>
      </c>
      <c r="H14" s="27">
        <f t="shared" ref="H14:I14" si="26">SUM(H10:H13)</f>
        <v>93.514999999999944</v>
      </c>
      <c r="I14" s="27">
        <f t="shared" si="26"/>
        <v>332.43500000000023</v>
      </c>
      <c r="J14" s="27">
        <f t="shared" ref="J14:K14" si="27">SUM(J10:J13)</f>
        <v>184.99999999999991</v>
      </c>
      <c r="K14" s="27">
        <f t="shared" si="27"/>
        <v>541.16700000000003</v>
      </c>
      <c r="L14" s="27">
        <f t="shared" ref="L14:S14" si="28">SUM(L10:L13)</f>
        <v>62.775000000000134</v>
      </c>
      <c r="M14" s="27">
        <f t="shared" si="28"/>
        <v>329.87500000000017</v>
      </c>
      <c r="N14" s="27">
        <f t="shared" si="28"/>
        <v>107.1290000000001</v>
      </c>
      <c r="O14" s="27">
        <f t="shared" si="28"/>
        <v>569.21699999999998</v>
      </c>
      <c r="P14" s="27">
        <f t="shared" si="28"/>
        <v>-99.874000000000223</v>
      </c>
      <c r="Q14" s="27">
        <f t="shared" si="28"/>
        <v>356.22799999999967</v>
      </c>
      <c r="R14" s="27">
        <f t="shared" si="28"/>
        <v>196.90700000000004</v>
      </c>
      <c r="S14" s="27">
        <f t="shared" si="28"/>
        <v>607.32299999999964</v>
      </c>
      <c r="T14" s="27">
        <f>SUM(T10:T13)</f>
        <v>30.845000000000169</v>
      </c>
      <c r="U14" s="27"/>
      <c r="W14" s="27"/>
      <c r="Z14" s="27">
        <f t="shared" ref="Z14:AJ14" si="29">SUM(Z10:Z13)</f>
        <v>367.61</v>
      </c>
      <c r="AA14" s="27">
        <f t="shared" si="29"/>
        <v>548.94599999999969</v>
      </c>
      <c r="AB14" s="27">
        <f t="shared" si="29"/>
        <v>510.32499999999993</v>
      </c>
      <c r="AC14" s="27">
        <f t="shared" si="29"/>
        <v>552.53000000000065</v>
      </c>
      <c r="AD14" s="27">
        <f t="shared" si="29"/>
        <v>480.41000000000008</v>
      </c>
      <c r="AE14" s="27">
        <f t="shared" si="29"/>
        <v>1029.1129999999996</v>
      </c>
      <c r="AF14" s="27">
        <f t="shared" si="29"/>
        <v>1417.3639999999998</v>
      </c>
      <c r="AG14" s="27">
        <f t="shared" si="29"/>
        <v>1336.9619999999991</v>
      </c>
      <c r="AH14" s="27">
        <f t="shared" si="29"/>
        <v>1151.9129999999996</v>
      </c>
      <c r="AI14" s="27">
        <f t="shared" si="29"/>
        <v>1068.9760000000001</v>
      </c>
      <c r="AJ14" s="27">
        <f t="shared" si="29"/>
        <v>1061</v>
      </c>
      <c r="AK14" s="47">
        <f t="shared" ref="AK14:AT14" si="30">SUM(AK10:AK13)</f>
        <v>1336.0280000000016</v>
      </c>
      <c r="AL14" s="27">
        <f t="shared" si="30"/>
        <v>1448.2118500000015</v>
      </c>
      <c r="AM14" s="27">
        <f t="shared" si="30"/>
        <v>1635.2959645000005</v>
      </c>
      <c r="AN14" s="27">
        <f t="shared" si="30"/>
        <v>1781.9117015450006</v>
      </c>
      <c r="AO14" s="27">
        <f t="shared" si="30"/>
        <v>1938.0975953744501</v>
      </c>
      <c r="AP14" s="27">
        <f t="shared" si="30"/>
        <v>2104.4181819486557</v>
      </c>
      <c r="AQ14" s="27">
        <f t="shared" si="30"/>
        <v>2221.8195711851481</v>
      </c>
      <c r="AR14" s="27">
        <f t="shared" si="30"/>
        <v>2345.2128346848563</v>
      </c>
      <c r="AS14" s="27">
        <f t="shared" si="30"/>
        <v>2474.8987842089555</v>
      </c>
      <c r="AT14" s="27">
        <f t="shared" si="30"/>
        <v>2611.1932842871565</v>
      </c>
    </row>
    <row r="15" spans="1:148" x14ac:dyDescent="0.25">
      <c r="C15" s="27" t="s">
        <v>79</v>
      </c>
      <c r="D15" s="27">
        <v>-27.626000000000001</v>
      </c>
      <c r="E15" s="27">
        <v>-90.968999999999994</v>
      </c>
      <c r="F15" s="27">
        <v>-52.540999999999997</v>
      </c>
      <c r="G15" s="27">
        <v>-122.105</v>
      </c>
      <c r="H15" s="27">
        <v>-22.315000000000001</v>
      </c>
      <c r="I15" s="27">
        <v>-73.135999999999996</v>
      </c>
      <c r="J15" s="27">
        <v>-41.69</v>
      </c>
      <c r="K15" s="27">
        <v>-106.32299999999999</v>
      </c>
      <c r="L15" s="27">
        <v>-16.225000000000001</v>
      </c>
      <c r="M15" s="27">
        <v>-63.923999999999999</v>
      </c>
      <c r="N15" s="27">
        <v>-23.475000000000001</v>
      </c>
      <c r="O15" s="27">
        <v>-125.59399999999999</v>
      </c>
      <c r="P15" s="27">
        <v>19.670000000000002</v>
      </c>
      <c r="Q15" s="27">
        <v>-80</v>
      </c>
      <c r="R15" s="27">
        <v>-43.213999999999999</v>
      </c>
      <c r="S15" s="27">
        <v>-141.97499999999999</v>
      </c>
      <c r="T15" s="27">
        <v>-25.890999999999998</v>
      </c>
      <c r="U15" s="27"/>
      <c r="W15" s="27"/>
      <c r="Z15" s="27">
        <v>-90</v>
      </c>
      <c r="AA15" s="27">
        <v>-135.285</v>
      </c>
      <c r="AB15" s="27">
        <v>-120.526</v>
      </c>
      <c r="AC15" s="27">
        <v>-123.4</v>
      </c>
      <c r="AD15" s="27">
        <v>-104.974</v>
      </c>
      <c r="AE15" s="27">
        <v>-225.489</v>
      </c>
      <c r="AF15" s="27">
        <v>-313.58800000000002</v>
      </c>
      <c r="AG15" s="27">
        <v>-295.15300000000002</v>
      </c>
      <c r="AH15" s="27">
        <v>-243.06</v>
      </c>
      <c r="AI15" s="27">
        <v>-230.94</v>
      </c>
      <c r="AJ15" s="27">
        <v>-246</v>
      </c>
      <c r="AK15" s="47">
        <f>AK14*-0.22</f>
        <v>-293.92616000000038</v>
      </c>
      <c r="AL15" s="27">
        <f t="shared" ref="AL15:AT15" si="31">AL14*-0.22</f>
        <v>-318.60660700000034</v>
      </c>
      <c r="AM15" s="27">
        <f t="shared" si="31"/>
        <v>-359.76511219000014</v>
      </c>
      <c r="AN15" s="27">
        <f t="shared" si="31"/>
        <v>-392.02057433990012</v>
      </c>
      <c r="AO15" s="27">
        <f t="shared" si="31"/>
        <v>-426.38147098237903</v>
      </c>
      <c r="AP15" s="27">
        <f t="shared" si="31"/>
        <v>-462.97200002870426</v>
      </c>
      <c r="AQ15" s="27">
        <f t="shared" si="31"/>
        <v>-488.80030566073259</v>
      </c>
      <c r="AR15" s="27">
        <f t="shared" si="31"/>
        <v>-515.9468236306684</v>
      </c>
      <c r="AS15" s="27">
        <f t="shared" si="31"/>
        <v>-544.47773252597017</v>
      </c>
      <c r="AT15" s="27">
        <f t="shared" si="31"/>
        <v>-574.46252254317449</v>
      </c>
    </row>
    <row r="16" spans="1:148" x14ac:dyDescent="0.25">
      <c r="C16" s="26" t="s">
        <v>80</v>
      </c>
      <c r="D16" s="26">
        <f t="shared" ref="D16:E16" si="32">SUM(D14:D15)</f>
        <v>88.721000000000004</v>
      </c>
      <c r="E16" s="26">
        <f t="shared" si="32"/>
        <v>327.78600000000034</v>
      </c>
      <c r="F16" s="26">
        <f t="shared" ref="F16:G16" si="33">SUM(F14:F15)</f>
        <v>187.68099999999987</v>
      </c>
      <c r="G16" s="26">
        <f t="shared" si="33"/>
        <v>439.51799999999992</v>
      </c>
      <c r="H16" s="26">
        <f t="shared" ref="H16:I16" si="34">SUM(H14:H15)</f>
        <v>71.199999999999946</v>
      </c>
      <c r="I16" s="26">
        <f t="shared" si="34"/>
        <v>259.29900000000021</v>
      </c>
      <c r="J16" s="26">
        <f t="shared" ref="J16:K16" si="35">SUM(J14:J15)</f>
        <v>143.30999999999992</v>
      </c>
      <c r="K16" s="26">
        <f t="shared" si="35"/>
        <v>434.84400000000005</v>
      </c>
      <c r="L16" s="26">
        <f t="shared" ref="L16:S16" si="36">SUM(L14:L15)</f>
        <v>46.550000000000132</v>
      </c>
      <c r="M16" s="26">
        <f t="shared" si="36"/>
        <v>265.95100000000019</v>
      </c>
      <c r="N16" s="26">
        <f t="shared" si="36"/>
        <v>83.65400000000011</v>
      </c>
      <c r="O16" s="26">
        <f t="shared" si="36"/>
        <v>443.62299999999999</v>
      </c>
      <c r="P16" s="26">
        <f t="shared" si="36"/>
        <v>-80.204000000000221</v>
      </c>
      <c r="Q16" s="26">
        <f t="shared" si="36"/>
        <v>276.22799999999967</v>
      </c>
      <c r="R16" s="26">
        <f t="shared" si="36"/>
        <v>153.69300000000004</v>
      </c>
      <c r="S16" s="26">
        <f t="shared" si="36"/>
        <v>465.34799999999962</v>
      </c>
      <c r="T16" s="26">
        <f>SUM(T14:T15)</f>
        <v>4.9540000000001712</v>
      </c>
      <c r="U16" s="26"/>
      <c r="W16" s="26"/>
      <c r="Z16" s="26">
        <f t="shared" ref="Z16:AJ16" si="37">SUM(Z14:Z15)</f>
        <v>277.61</v>
      </c>
      <c r="AA16" s="26">
        <f t="shared" si="37"/>
        <v>413.66099999999972</v>
      </c>
      <c r="AB16" s="26">
        <f t="shared" si="37"/>
        <v>389.79899999999992</v>
      </c>
      <c r="AC16" s="26">
        <f t="shared" si="37"/>
        <v>429.13000000000068</v>
      </c>
      <c r="AD16" s="26">
        <f t="shared" si="37"/>
        <v>375.43600000000009</v>
      </c>
      <c r="AE16" s="26">
        <f t="shared" si="37"/>
        <v>803.62399999999957</v>
      </c>
      <c r="AF16" s="26">
        <f t="shared" si="37"/>
        <v>1103.7759999999998</v>
      </c>
      <c r="AG16" s="26">
        <f t="shared" si="37"/>
        <v>1041.8089999999991</v>
      </c>
      <c r="AH16" s="26">
        <f t="shared" si="37"/>
        <v>908.85299999999961</v>
      </c>
      <c r="AI16" s="26">
        <f t="shared" si="37"/>
        <v>838.03600000000006</v>
      </c>
      <c r="AJ16" s="26">
        <f t="shared" si="37"/>
        <v>815</v>
      </c>
      <c r="AK16" s="46">
        <f t="shared" ref="AK16:AT16" si="38">SUM(AK14:AK15)</f>
        <v>1042.1018400000012</v>
      </c>
      <c r="AL16" s="26">
        <f t="shared" si="38"/>
        <v>1129.6052430000011</v>
      </c>
      <c r="AM16" s="26">
        <f t="shared" si="38"/>
        <v>1275.5308523100005</v>
      </c>
      <c r="AN16" s="26">
        <f t="shared" si="38"/>
        <v>1389.8911272051005</v>
      </c>
      <c r="AO16" s="26">
        <f t="shared" si="38"/>
        <v>1511.7161243920709</v>
      </c>
      <c r="AP16" s="26">
        <f t="shared" si="38"/>
        <v>1641.4461819199514</v>
      </c>
      <c r="AQ16" s="26">
        <f t="shared" si="38"/>
        <v>1733.0192655244155</v>
      </c>
      <c r="AR16" s="26">
        <f t="shared" si="38"/>
        <v>1829.2660110541879</v>
      </c>
      <c r="AS16" s="26">
        <f t="shared" si="38"/>
        <v>1930.4210516829853</v>
      </c>
      <c r="AT16" s="26">
        <f t="shared" si="38"/>
        <v>2036.7307617439819</v>
      </c>
      <c r="AU16" s="26">
        <f>AT16*(1+$AW$20)</f>
        <v>2016.3634541265421</v>
      </c>
      <c r="AV16" s="26">
        <f t="shared" ref="AV16:DG16" si="39">AU16*(1+$AW$20)</f>
        <v>1996.1998195852766</v>
      </c>
      <c r="AW16" s="26">
        <f t="shared" si="39"/>
        <v>1976.2378213894237</v>
      </c>
      <c r="AX16" s="26">
        <f t="shared" si="39"/>
        <v>1956.4754431755296</v>
      </c>
      <c r="AY16" s="26">
        <f t="shared" si="39"/>
        <v>1936.9106887437742</v>
      </c>
      <c r="AZ16" s="26">
        <f t="shared" si="39"/>
        <v>1917.5415818563365</v>
      </c>
      <c r="BA16" s="26">
        <f t="shared" si="39"/>
        <v>1898.3661660377732</v>
      </c>
      <c r="BB16" s="26">
        <f t="shared" si="39"/>
        <v>1879.3825043773954</v>
      </c>
      <c r="BC16" s="26">
        <f t="shared" si="39"/>
        <v>1860.5886793336215</v>
      </c>
      <c r="BD16" s="26">
        <f t="shared" si="39"/>
        <v>1841.9827925402853</v>
      </c>
      <c r="BE16" s="26">
        <f t="shared" si="39"/>
        <v>1823.5629646148825</v>
      </c>
      <c r="BF16" s="26">
        <f t="shared" si="39"/>
        <v>1805.3273349687336</v>
      </c>
      <c r="BG16" s="26">
        <f t="shared" si="39"/>
        <v>1787.2740616190463</v>
      </c>
      <c r="BH16" s="26">
        <f t="shared" si="39"/>
        <v>1769.4013210028559</v>
      </c>
      <c r="BI16" s="26">
        <f t="shared" si="39"/>
        <v>1751.7073077928274</v>
      </c>
      <c r="BJ16" s="26">
        <f t="shared" si="39"/>
        <v>1734.1902347148991</v>
      </c>
      <c r="BK16" s="26">
        <f t="shared" si="39"/>
        <v>1716.8483323677501</v>
      </c>
      <c r="BL16" s="26">
        <f t="shared" si="39"/>
        <v>1699.6798490440726</v>
      </c>
      <c r="BM16" s="26">
        <f t="shared" si="39"/>
        <v>1682.6830505536318</v>
      </c>
      <c r="BN16" s="26">
        <f t="shared" si="39"/>
        <v>1665.8562200480956</v>
      </c>
      <c r="BO16" s="26">
        <f t="shared" si="39"/>
        <v>1649.1976578476147</v>
      </c>
      <c r="BP16" s="26">
        <f t="shared" si="39"/>
        <v>1632.7056812691385</v>
      </c>
      <c r="BQ16" s="26">
        <f t="shared" si="39"/>
        <v>1616.3786244564471</v>
      </c>
      <c r="BR16" s="26">
        <f t="shared" si="39"/>
        <v>1600.2148382118826</v>
      </c>
      <c r="BS16" s="26">
        <f t="shared" si="39"/>
        <v>1584.2126898297638</v>
      </c>
      <c r="BT16" s="26">
        <f t="shared" si="39"/>
        <v>1568.3705629314661</v>
      </c>
      <c r="BU16" s="26">
        <f t="shared" si="39"/>
        <v>1552.6868573021513</v>
      </c>
      <c r="BV16" s="26">
        <f t="shared" si="39"/>
        <v>1537.1599887291297</v>
      </c>
      <c r="BW16" s="26">
        <f t="shared" si="39"/>
        <v>1521.7883888418385</v>
      </c>
      <c r="BX16" s="26">
        <f t="shared" si="39"/>
        <v>1506.5705049534201</v>
      </c>
      <c r="BY16" s="26">
        <f t="shared" si="39"/>
        <v>1491.5047999038859</v>
      </c>
      <c r="BZ16" s="26">
        <f t="shared" si="39"/>
        <v>1476.5897519048469</v>
      </c>
      <c r="CA16" s="26">
        <f t="shared" si="39"/>
        <v>1461.8238543857985</v>
      </c>
      <c r="CB16" s="26">
        <f t="shared" si="39"/>
        <v>1447.2056158419405</v>
      </c>
      <c r="CC16" s="26">
        <f t="shared" si="39"/>
        <v>1432.733559683521</v>
      </c>
      <c r="CD16" s="26">
        <f t="shared" si="39"/>
        <v>1418.4062240866858</v>
      </c>
      <c r="CE16" s="26">
        <f t="shared" si="39"/>
        <v>1404.2221618458188</v>
      </c>
      <c r="CF16" s="26">
        <f t="shared" si="39"/>
        <v>1390.1799402273607</v>
      </c>
      <c r="CG16" s="26">
        <f t="shared" si="39"/>
        <v>1376.2781408250871</v>
      </c>
      <c r="CH16" s="26">
        <f t="shared" si="39"/>
        <v>1362.5153594168362</v>
      </c>
      <c r="CI16" s="26">
        <f t="shared" si="39"/>
        <v>1348.8902058226679</v>
      </c>
      <c r="CJ16" s="26">
        <f t="shared" si="39"/>
        <v>1335.4013037644413</v>
      </c>
      <c r="CK16" s="26">
        <f t="shared" si="39"/>
        <v>1322.047290726797</v>
      </c>
      <c r="CL16" s="26">
        <f t="shared" si="39"/>
        <v>1308.826817819529</v>
      </c>
      <c r="CM16" s="26">
        <f t="shared" si="39"/>
        <v>1295.7385496413337</v>
      </c>
      <c r="CN16" s="26">
        <f t="shared" si="39"/>
        <v>1282.7811641449205</v>
      </c>
      <c r="CO16" s="26">
        <f t="shared" si="39"/>
        <v>1269.9533525034713</v>
      </c>
      <c r="CP16" s="26">
        <f t="shared" si="39"/>
        <v>1257.2538189784366</v>
      </c>
      <c r="CQ16" s="26">
        <f t="shared" si="39"/>
        <v>1244.6812807886522</v>
      </c>
      <c r="CR16" s="26">
        <f t="shared" si="39"/>
        <v>1232.2344679807657</v>
      </c>
      <c r="CS16" s="26">
        <f t="shared" si="39"/>
        <v>1219.912123300958</v>
      </c>
      <c r="CT16" s="26">
        <f t="shared" si="39"/>
        <v>1207.7130020679483</v>
      </c>
      <c r="CU16" s="26">
        <f t="shared" si="39"/>
        <v>1195.6358720472688</v>
      </c>
      <c r="CV16" s="26">
        <f t="shared" si="39"/>
        <v>1183.679513326796</v>
      </c>
      <c r="CW16" s="26">
        <f t="shared" si="39"/>
        <v>1171.8427181935281</v>
      </c>
      <c r="CX16" s="26">
        <f t="shared" si="39"/>
        <v>1160.1242910115927</v>
      </c>
      <c r="CY16" s="26">
        <f t="shared" si="39"/>
        <v>1148.5230481014769</v>
      </c>
      <c r="CZ16" s="26">
        <f t="shared" si="39"/>
        <v>1137.0378176204622</v>
      </c>
      <c r="DA16" s="26">
        <f t="shared" si="39"/>
        <v>1125.6674394442575</v>
      </c>
      <c r="DB16" s="26">
        <f t="shared" si="39"/>
        <v>1114.4107650498149</v>
      </c>
      <c r="DC16" s="26">
        <f t="shared" si="39"/>
        <v>1103.2666573993167</v>
      </c>
      <c r="DD16" s="26">
        <f t="shared" si="39"/>
        <v>1092.2339908253236</v>
      </c>
      <c r="DE16" s="26">
        <f t="shared" si="39"/>
        <v>1081.3116509170704</v>
      </c>
      <c r="DF16" s="26">
        <f t="shared" si="39"/>
        <v>1070.4985344078998</v>
      </c>
      <c r="DG16" s="26">
        <f t="shared" si="39"/>
        <v>1059.7935490638208</v>
      </c>
      <c r="DH16" s="26">
        <f t="shared" ref="DH16:ER16" si="40">DG16*(1+$AW$20)</f>
        <v>1049.1956135731825</v>
      </c>
      <c r="DI16" s="26">
        <f t="shared" si="40"/>
        <v>1038.7036574374506</v>
      </c>
      <c r="DJ16" s="26">
        <f t="shared" si="40"/>
        <v>1028.3166208630762</v>
      </c>
      <c r="DK16" s="26">
        <f t="shared" si="40"/>
        <v>1018.0334546544454</v>
      </c>
      <c r="DL16" s="26">
        <f t="shared" si="40"/>
        <v>1007.853120107901</v>
      </c>
      <c r="DM16" s="26">
        <f t="shared" si="40"/>
        <v>997.77458890682192</v>
      </c>
      <c r="DN16" s="26">
        <f t="shared" si="40"/>
        <v>987.79684301775364</v>
      </c>
      <c r="DO16" s="26">
        <f t="shared" si="40"/>
        <v>977.91887458757606</v>
      </c>
      <c r="DP16" s="26">
        <f t="shared" si="40"/>
        <v>968.13968584170027</v>
      </c>
      <c r="DQ16" s="26">
        <f t="shared" si="40"/>
        <v>958.4582889832833</v>
      </c>
      <c r="DR16" s="26">
        <f t="shared" si="40"/>
        <v>948.87370609345044</v>
      </c>
      <c r="DS16" s="26">
        <f t="shared" si="40"/>
        <v>939.38496903251587</v>
      </c>
      <c r="DT16" s="26">
        <f t="shared" si="40"/>
        <v>929.9911193421907</v>
      </c>
      <c r="DU16" s="26">
        <f t="shared" si="40"/>
        <v>920.69120814876874</v>
      </c>
      <c r="DV16" s="26">
        <f t="shared" si="40"/>
        <v>911.48429606728109</v>
      </c>
      <c r="DW16" s="26">
        <f t="shared" si="40"/>
        <v>902.36945310660826</v>
      </c>
      <c r="DX16" s="26">
        <f t="shared" si="40"/>
        <v>893.34575857554216</v>
      </c>
      <c r="DY16" s="26">
        <f t="shared" si="40"/>
        <v>884.41230098978679</v>
      </c>
      <c r="DZ16" s="26">
        <f t="shared" si="40"/>
        <v>875.5681779798889</v>
      </c>
      <c r="EA16" s="26">
        <f t="shared" si="40"/>
        <v>866.81249620008998</v>
      </c>
      <c r="EB16" s="26">
        <f t="shared" si="40"/>
        <v>858.14437123808909</v>
      </c>
      <c r="EC16" s="26">
        <f t="shared" si="40"/>
        <v>849.56292752570823</v>
      </c>
      <c r="ED16" s="26">
        <f t="shared" si="40"/>
        <v>841.06729825045113</v>
      </c>
      <c r="EE16" s="26">
        <f t="shared" si="40"/>
        <v>832.65662526794665</v>
      </c>
      <c r="EF16" s="26">
        <f t="shared" si="40"/>
        <v>824.33005901526712</v>
      </c>
      <c r="EG16" s="26">
        <f t="shared" si="40"/>
        <v>816.08675842511445</v>
      </c>
      <c r="EH16" s="26">
        <f t="shared" si="40"/>
        <v>807.9258908408633</v>
      </c>
      <c r="EI16" s="26">
        <f t="shared" si="40"/>
        <v>799.84663193245467</v>
      </c>
      <c r="EJ16" s="26">
        <f t="shared" si="40"/>
        <v>791.84816561313016</v>
      </c>
      <c r="EK16" s="26">
        <f t="shared" si="40"/>
        <v>783.92968395699882</v>
      </c>
      <c r="EL16" s="26">
        <f t="shared" si="40"/>
        <v>776.0903871174288</v>
      </c>
      <c r="EM16" s="26">
        <f t="shared" si="40"/>
        <v>768.32948324625454</v>
      </c>
      <c r="EN16" s="26">
        <f t="shared" si="40"/>
        <v>760.64618841379195</v>
      </c>
      <c r="EO16" s="26">
        <f t="shared" si="40"/>
        <v>753.03972652965399</v>
      </c>
      <c r="EP16" s="26">
        <f t="shared" si="40"/>
        <v>745.50932926435746</v>
      </c>
      <c r="EQ16" s="26">
        <f t="shared" si="40"/>
        <v>738.05423597171387</v>
      </c>
      <c r="ER16" s="26">
        <f t="shared" si="40"/>
        <v>730.67369361199667</v>
      </c>
    </row>
    <row r="17" spans="3:49" x14ac:dyDescent="0.25">
      <c r="C17" s="1" t="s">
        <v>81</v>
      </c>
      <c r="D17" s="25">
        <v>166.96888799999999</v>
      </c>
      <c r="E17" s="25">
        <v>166.96888799999999</v>
      </c>
      <c r="F17" s="25">
        <v>166.96888799999999</v>
      </c>
      <c r="G17" s="25">
        <v>166.96888799999999</v>
      </c>
      <c r="H17" s="25">
        <v>166.96888799999999</v>
      </c>
      <c r="I17" s="25">
        <v>166.96888799999999</v>
      </c>
      <c r="J17" s="25">
        <v>166.96888799999999</v>
      </c>
      <c r="K17" s="25">
        <v>166.96888799999999</v>
      </c>
      <c r="L17" s="25">
        <v>166.96888799999999</v>
      </c>
      <c r="M17" s="25">
        <v>166.96888799999999</v>
      </c>
      <c r="N17" s="25">
        <v>166.96888799999999</v>
      </c>
      <c r="O17" s="25">
        <v>166.96888799999999</v>
      </c>
      <c r="P17" s="25">
        <v>166.96888799999999</v>
      </c>
      <c r="Q17" s="25">
        <v>166.96888799999999</v>
      </c>
      <c r="R17" s="25">
        <v>166.96888799999999</v>
      </c>
      <c r="S17" s="25">
        <v>166.96888799999999</v>
      </c>
      <c r="T17" s="25">
        <v>166.96888799999999</v>
      </c>
      <c r="Z17" s="25">
        <v>166.96888799999999</v>
      </c>
      <c r="AA17" s="25">
        <v>166.96888799999999</v>
      </c>
      <c r="AB17" s="25">
        <v>166.96888799999999</v>
      </c>
      <c r="AC17" s="25">
        <v>166.96888799999999</v>
      </c>
      <c r="AD17" s="25">
        <v>166.96888799999999</v>
      </c>
      <c r="AE17" s="25">
        <v>166.96888799999999</v>
      </c>
      <c r="AF17" s="25">
        <v>166.96888799999999</v>
      </c>
      <c r="AG17" s="25">
        <v>166.96888799999999</v>
      </c>
      <c r="AH17" s="25">
        <v>166.96888799999999</v>
      </c>
      <c r="AI17" s="25">
        <v>166.96888799999999</v>
      </c>
      <c r="AJ17" s="25">
        <v>166.96888799999999</v>
      </c>
      <c r="AK17" s="4">
        <v>166.96888799999999</v>
      </c>
      <c r="AL17" s="25">
        <v>166.96888799999999</v>
      </c>
      <c r="AM17" s="25">
        <v>166.96888799999999</v>
      </c>
      <c r="AN17" s="25">
        <v>166.96888799999999</v>
      </c>
      <c r="AO17" s="25">
        <v>166.96888799999999</v>
      </c>
      <c r="AP17" s="25">
        <v>166.96888799999999</v>
      </c>
      <c r="AQ17" s="25">
        <v>166.96888799999999</v>
      </c>
      <c r="AR17" s="25">
        <v>166.96888799999999</v>
      </c>
      <c r="AS17" s="25">
        <v>166.96888799999999</v>
      </c>
      <c r="AT17" s="25">
        <v>166.96888799999999</v>
      </c>
    </row>
    <row r="18" spans="3:49" x14ac:dyDescent="0.25">
      <c r="C18" s="1" t="s">
        <v>82</v>
      </c>
      <c r="D18" s="24">
        <f t="shared" ref="D18:E18" si="41">D16/D17</f>
        <v>0.53136246556304556</v>
      </c>
      <c r="E18" s="24">
        <f t="shared" si="41"/>
        <v>1.9631561539776221</v>
      </c>
      <c r="F18" s="24">
        <f t="shared" ref="F18:G18" si="42">F16/F17</f>
        <v>1.1240477327728258</v>
      </c>
      <c r="G18" s="24">
        <f t="shared" si="42"/>
        <v>2.6323347137581701</v>
      </c>
      <c r="H18" s="24">
        <f t="shared" ref="H18:I18" si="43">H16/H17</f>
        <v>0.4264267484371097</v>
      </c>
      <c r="I18" s="24">
        <f t="shared" si="43"/>
        <v>1.5529779416150884</v>
      </c>
      <c r="J18" s="24">
        <f t="shared" ref="J18:K18" si="44">J16/J17</f>
        <v>0.85830361402418831</v>
      </c>
      <c r="K18" s="24">
        <f t="shared" si="44"/>
        <v>2.6043414746823976</v>
      </c>
      <c r="L18" s="24">
        <f t="shared" ref="L18:S18" si="45">L16/L17</f>
        <v>0.2787944542099372</v>
      </c>
      <c r="M18" s="24">
        <f t="shared" si="45"/>
        <v>1.5928176990673868</v>
      </c>
      <c r="N18" s="24">
        <f t="shared" si="45"/>
        <v>0.50101549457525352</v>
      </c>
      <c r="O18" s="24">
        <f t="shared" si="45"/>
        <v>2.6569201323302818</v>
      </c>
      <c r="P18" s="24">
        <f t="shared" si="45"/>
        <v>-0.48035296252317511</v>
      </c>
      <c r="Q18" s="24">
        <f t="shared" si="45"/>
        <v>1.6543680880236782</v>
      </c>
      <c r="R18" s="24">
        <f t="shared" si="45"/>
        <v>0.9204888517913592</v>
      </c>
      <c r="S18" s="24">
        <f t="shared" si="45"/>
        <v>2.7870341928611255</v>
      </c>
      <c r="T18" s="24">
        <f>T16/T17</f>
        <v>2.9670198198841518E-2</v>
      </c>
      <c r="Z18" s="24">
        <f t="shared" ref="Z18:AJ18" si="46">Z16/Z17</f>
        <v>1.6626450791239624</v>
      </c>
      <c r="AA18" s="24">
        <f t="shared" si="46"/>
        <v>2.4774735278826299</v>
      </c>
      <c r="AB18" s="24">
        <f t="shared" si="46"/>
        <v>2.3345606757589472</v>
      </c>
      <c r="AC18" s="24">
        <f t="shared" si="46"/>
        <v>2.5701195302923781</v>
      </c>
      <c r="AD18" s="24">
        <f t="shared" si="46"/>
        <v>2.2485386618853216</v>
      </c>
      <c r="AE18" s="24">
        <f t="shared" si="46"/>
        <v>4.8130164225565162</v>
      </c>
      <c r="AF18" s="24">
        <f t="shared" si="46"/>
        <v>6.6106686893668467</v>
      </c>
      <c r="AG18" s="24">
        <f t="shared" si="46"/>
        <v>6.2395396680128759</v>
      </c>
      <c r="AH18" s="24">
        <f t="shared" si="46"/>
        <v>5.4432476067038289</v>
      </c>
      <c r="AI18" s="24">
        <f t="shared" si="46"/>
        <v>5.0191146987814887</v>
      </c>
      <c r="AJ18" s="24">
        <f t="shared" si="46"/>
        <v>4.8811488760708528</v>
      </c>
      <c r="AK18" s="48">
        <f t="shared" ref="AK18:AT18" si="47">AK16/AK17</f>
        <v>6.2412935276900283</v>
      </c>
      <c r="AL18" s="24">
        <f t="shared" si="47"/>
        <v>6.76536363469104</v>
      </c>
      <c r="AM18" s="24">
        <f t="shared" si="47"/>
        <v>7.6393324983394546</v>
      </c>
      <c r="AN18" s="24">
        <f t="shared" si="47"/>
        <v>8.3242521637031004</v>
      </c>
      <c r="AO18" s="24">
        <f t="shared" si="47"/>
        <v>9.0538790938828733</v>
      </c>
      <c r="AP18" s="24">
        <f t="shared" si="47"/>
        <v>9.8308505349808133</v>
      </c>
      <c r="AQ18" s="24">
        <f t="shared" si="47"/>
        <v>10.379294527759061</v>
      </c>
      <c r="AR18" s="24">
        <f t="shared" si="47"/>
        <v>10.955729734836517</v>
      </c>
      <c r="AS18" s="24">
        <f t="shared" si="47"/>
        <v>11.561561407074745</v>
      </c>
      <c r="AT18" s="24">
        <f t="shared" si="47"/>
        <v>12.198265114779838</v>
      </c>
    </row>
    <row r="19" spans="3:49" x14ac:dyDescent="0.25">
      <c r="AV19" s="1" t="s">
        <v>133</v>
      </c>
      <c r="AW19" s="32">
        <v>0.08</v>
      </c>
    </row>
    <row r="20" spans="3:49" x14ac:dyDescent="0.25">
      <c r="C20" s="28" t="s">
        <v>69</v>
      </c>
      <c r="D20" s="28"/>
      <c r="E20" s="28"/>
      <c r="F20" s="28"/>
      <c r="G20" s="28"/>
      <c r="H20" s="28">
        <f t="shared" ref="H20:R20" si="48">(H4-D4)/D4</f>
        <v>0.12656172948169875</v>
      </c>
      <c r="I20" s="28">
        <f t="shared" si="48"/>
        <v>4.2552356233563883E-2</v>
      </c>
      <c r="J20" s="28">
        <f t="shared" si="48"/>
        <v>4.9735121951219451E-2</v>
      </c>
      <c r="K20" s="28">
        <f t="shared" si="48"/>
        <v>1.2449765707887864E-2</v>
      </c>
      <c r="L20" s="28">
        <f t="shared" si="48"/>
        <v>4.8383316319059795E-2</v>
      </c>
      <c r="M20" s="28">
        <f t="shared" si="48"/>
        <v>0.34557039767285141</v>
      </c>
      <c r="N20" s="28">
        <f t="shared" si="48"/>
        <v>0.50444688253529246</v>
      </c>
      <c r="O20" s="28">
        <f t="shared" si="48"/>
        <v>0.42510855177703283</v>
      </c>
      <c r="P20" s="28">
        <f t="shared" si="48"/>
        <v>0.45008960117974461</v>
      </c>
      <c r="Q20" s="28">
        <f t="shared" si="48"/>
        <v>0.22284212788076527</v>
      </c>
      <c r="R20" s="28">
        <f t="shared" si="48"/>
        <v>8.9749050580616899E-2</v>
      </c>
      <c r="S20" s="28">
        <f>(S4-O4)/O4</f>
        <v>5.3196721442543234E-2</v>
      </c>
      <c r="T20" s="28">
        <f t="shared" ref="T20:W20" si="49">(T4-P4)/P4</f>
        <v>0.12305742378001579</v>
      </c>
      <c r="U20" s="28">
        <f t="shared" si="49"/>
        <v>-1</v>
      </c>
      <c r="V20" s="28">
        <f>(AI25-R4)/R4</f>
        <v>-1</v>
      </c>
      <c r="W20" s="28">
        <f t="shared" si="49"/>
        <v>-1</v>
      </c>
      <c r="Z20" s="28"/>
      <c r="AA20" s="28">
        <f t="shared" ref="AA20:AH20" si="50">(AA4-Z4)/Z4</f>
        <v>9.849862785014879E-2</v>
      </c>
      <c r="AB20" s="28">
        <f t="shared" si="50"/>
        <v>6.6334592214079835E-2</v>
      </c>
      <c r="AC20" s="28">
        <f t="shared" si="50"/>
        <v>7.27435348444362E-2</v>
      </c>
      <c r="AD20" s="28">
        <f t="shared" si="50"/>
        <v>7.1756257194449863E-2</v>
      </c>
      <c r="AE20" s="28">
        <f t="shared" si="50"/>
        <v>0.28523083817836836</v>
      </c>
      <c r="AF20" s="28">
        <f t="shared" si="50"/>
        <v>7.9318286170494079E-2</v>
      </c>
      <c r="AG20" s="28">
        <f t="shared" si="50"/>
        <v>4.2504796097489674E-2</v>
      </c>
      <c r="AH20" s="28">
        <f t="shared" si="50"/>
        <v>5.0040673194047036E-2</v>
      </c>
      <c r="AI20" s="28">
        <f>(AI4-AH4)/AH4</f>
        <v>0.34682216108067232</v>
      </c>
      <c r="AJ20" s="28">
        <f t="shared" ref="AJ20:AT20" si="51">(AJ4-AI4)/AI4</f>
        <v>0.16687825713971771</v>
      </c>
      <c r="AK20" s="49">
        <f t="shared" si="51"/>
        <v>5.00000000000001E-2</v>
      </c>
      <c r="AL20" s="28">
        <f t="shared" si="51"/>
        <v>5.0000000000000072E-2</v>
      </c>
      <c r="AM20" s="28">
        <f t="shared" si="51"/>
        <v>5.0000000000000024E-2</v>
      </c>
      <c r="AN20" s="28">
        <f t="shared" si="51"/>
        <v>4.9999999999999968E-2</v>
      </c>
      <c r="AO20" s="28">
        <f t="shared" si="51"/>
        <v>0.05</v>
      </c>
      <c r="AP20" s="28">
        <f t="shared" si="51"/>
        <v>4.9999999999999989E-2</v>
      </c>
      <c r="AQ20" s="28">
        <f t="shared" si="51"/>
        <v>5.0000000000000093E-2</v>
      </c>
      <c r="AR20" s="28">
        <f t="shared" si="51"/>
        <v>5.0000000000000121E-2</v>
      </c>
      <c r="AS20" s="28">
        <f t="shared" si="51"/>
        <v>5.0000000000000086E-2</v>
      </c>
      <c r="AT20" s="28">
        <f t="shared" si="51"/>
        <v>5.0000000000000017E-2</v>
      </c>
      <c r="AV20" s="1" t="s">
        <v>130</v>
      </c>
      <c r="AW20" s="32">
        <v>-0.01</v>
      </c>
    </row>
    <row r="21" spans="3:49" x14ac:dyDescent="0.25">
      <c r="C21" s="28" t="s">
        <v>70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S21" s="28">
        <v>5.2999999999999999E-2</v>
      </c>
      <c r="T21" s="28">
        <v>0.11600000000000001</v>
      </c>
      <c r="U21" s="28"/>
      <c r="V21" s="15"/>
      <c r="W21" s="15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49"/>
      <c r="AL21" s="28"/>
      <c r="AM21" s="28"/>
      <c r="AN21" s="28"/>
      <c r="AO21" s="28"/>
      <c r="AP21" s="28"/>
      <c r="AQ21" s="28"/>
      <c r="AR21" s="28"/>
      <c r="AS21" s="28"/>
      <c r="AT21" s="28"/>
      <c r="AV21" s="31" t="s">
        <v>131</v>
      </c>
      <c r="AW21" s="33">
        <f>NPV(AW19,AK16:ER16)</f>
        <v>20315.311534356526</v>
      </c>
    </row>
    <row r="22" spans="3:49" x14ac:dyDescent="0.25">
      <c r="C22" s="15" t="s">
        <v>57</v>
      </c>
      <c r="D22" s="15">
        <f t="shared" ref="D22:R22" si="52">D6/D4</f>
        <v>0.44271861298253756</v>
      </c>
      <c r="E22" s="15">
        <f t="shared" si="52"/>
        <v>0.48239886578791108</v>
      </c>
      <c r="F22" s="15">
        <f t="shared" si="52"/>
        <v>0.47575219512195116</v>
      </c>
      <c r="G22" s="15">
        <f t="shared" si="52"/>
        <v>0.45454614369718455</v>
      </c>
      <c r="H22" s="15">
        <f t="shared" si="52"/>
        <v>0.43468355779584006</v>
      </c>
      <c r="I22" s="15">
        <f t="shared" si="52"/>
        <v>0.44511607393656782</v>
      </c>
      <c r="J22" s="15">
        <f t="shared" si="52"/>
        <v>0.4530694618898054</v>
      </c>
      <c r="K22" s="15">
        <f t="shared" si="52"/>
        <v>0.43874775946137223</v>
      </c>
      <c r="L22" s="15">
        <f t="shared" si="52"/>
        <v>0.43337358929346104</v>
      </c>
      <c r="M22" s="15">
        <f t="shared" si="52"/>
        <v>0.41864411032083421</v>
      </c>
      <c r="N22" s="15">
        <f t="shared" si="52"/>
        <v>0.39735444424024058</v>
      </c>
      <c r="O22" s="15">
        <f t="shared" si="52"/>
        <v>0.42535150652506581</v>
      </c>
      <c r="P22" s="15">
        <f t="shared" si="52"/>
        <v>0.38679478710069143</v>
      </c>
      <c r="Q22" s="15">
        <f t="shared" si="52"/>
        <v>0.40623049386733101</v>
      </c>
      <c r="R22" s="15">
        <f t="shared" si="52"/>
        <v>0.40725830681268049</v>
      </c>
      <c r="S22" s="15">
        <f>S6/S4</f>
        <v>0.42551231592696198</v>
      </c>
      <c r="T22" s="15">
        <f t="shared" ref="T22:W22" si="53">T6/T4</f>
        <v>0.39458690192582019</v>
      </c>
      <c r="U22" s="15" t="e">
        <f t="shared" si="53"/>
        <v>#DIV/0!</v>
      </c>
      <c r="V22" s="15" t="e">
        <f>AI27/AI25</f>
        <v>#DIV/0!</v>
      </c>
      <c r="W22" s="15" t="e">
        <f t="shared" si="53"/>
        <v>#DIV/0!</v>
      </c>
      <c r="Z22" s="15">
        <f t="shared" ref="Z22:AH22" si="54">Z6/Z4</f>
        <v>0.4449755380590128</v>
      </c>
      <c r="AA22" s="15">
        <f t="shared" si="54"/>
        <v>0.42912232643521742</v>
      </c>
      <c r="AB22" s="15">
        <f t="shared" si="54"/>
        <v>0.42492803174901755</v>
      </c>
      <c r="AC22" s="15">
        <f t="shared" si="54"/>
        <v>0.4329886415365764</v>
      </c>
      <c r="AD22" s="15">
        <f t="shared" si="54"/>
        <v>0.43158343183269443</v>
      </c>
      <c r="AE22" s="15">
        <f t="shared" si="54"/>
        <v>0.43412655197189337</v>
      </c>
      <c r="AF22" s="15">
        <f t="shared" si="54"/>
        <v>0.46900450811772237</v>
      </c>
      <c r="AG22" s="15">
        <f t="shared" si="54"/>
        <v>0.46396312859051569</v>
      </c>
      <c r="AH22" s="15">
        <f t="shared" si="54"/>
        <v>0.44272525354336428</v>
      </c>
      <c r="AI22" s="15">
        <f t="shared" ref="AI22:AT22" si="55">AI6/AI4</f>
        <v>0.41668204543923382</v>
      </c>
      <c r="AJ22" s="15">
        <f t="shared" si="55"/>
        <v>0.40858986422906307</v>
      </c>
      <c r="AK22" s="50">
        <f t="shared" si="55"/>
        <v>0.4200000000000001</v>
      </c>
      <c r="AL22" s="15">
        <f t="shared" si="55"/>
        <v>0.4200000000000001</v>
      </c>
      <c r="AM22" s="15">
        <f t="shared" si="55"/>
        <v>0.42</v>
      </c>
      <c r="AN22" s="15">
        <f t="shared" si="55"/>
        <v>0.42000000000000004</v>
      </c>
      <c r="AO22" s="15">
        <f t="shared" si="55"/>
        <v>0.42</v>
      </c>
      <c r="AP22" s="15">
        <f t="shared" si="55"/>
        <v>0.42000000000000004</v>
      </c>
      <c r="AQ22" s="15">
        <f t="shared" si="55"/>
        <v>0.42000000000000004</v>
      </c>
      <c r="AR22" s="15">
        <f t="shared" si="55"/>
        <v>0.42</v>
      </c>
      <c r="AS22" s="15">
        <f t="shared" si="55"/>
        <v>0.4200000000000001</v>
      </c>
      <c r="AT22" s="15">
        <f t="shared" si="55"/>
        <v>0.42000000000000004</v>
      </c>
      <c r="AV22" s="1" t="s">
        <v>2</v>
      </c>
      <c r="AW22" s="25">
        <v>166.96888799999999</v>
      </c>
    </row>
    <row r="23" spans="3:49" x14ac:dyDescent="0.25">
      <c r="C23" s="15" t="s">
        <v>64</v>
      </c>
      <c r="D23" s="15">
        <f t="shared" ref="D23:R23" si="56">D10/D4</f>
        <v>7.3698709347235838E-2</v>
      </c>
      <c r="E23" s="15">
        <f t="shared" si="56"/>
        <v>0.19759142373939848</v>
      </c>
      <c r="F23" s="15">
        <f t="shared" si="56"/>
        <v>0.13247121951219507</v>
      </c>
      <c r="G23" s="15">
        <f t="shared" si="56"/>
        <v>0.19922195968204695</v>
      </c>
      <c r="H23" s="15">
        <f t="shared" si="56"/>
        <v>7.5118578189684718E-2</v>
      </c>
      <c r="I23" s="15">
        <f t="shared" si="56"/>
        <v>0.15674320386311519</v>
      </c>
      <c r="J23" s="15">
        <f t="shared" si="56"/>
        <v>0.10884232352226365</v>
      </c>
      <c r="K23" s="15">
        <f t="shared" si="56"/>
        <v>0.18022134210298438</v>
      </c>
      <c r="L23" s="15">
        <f t="shared" si="56"/>
        <v>5.2592511799174971E-2</v>
      </c>
      <c r="M23" s="15">
        <f t="shared" si="56"/>
        <v>0.10893899313454039</v>
      </c>
      <c r="N23" s="15">
        <f t="shared" si="56"/>
        <v>5.1763317740049858E-2</v>
      </c>
      <c r="O23" s="15">
        <f t="shared" si="56"/>
        <v>0.14253081043124211</v>
      </c>
      <c r="P23" s="15">
        <f t="shared" si="56"/>
        <v>-1.2582308802102607E-2</v>
      </c>
      <c r="Q23" s="15">
        <f t="shared" si="56"/>
        <v>0.11114112700960012</v>
      </c>
      <c r="R23" s="15">
        <f t="shared" si="56"/>
        <v>7.25864694217912E-2</v>
      </c>
      <c r="S23" s="15">
        <f>S10/S4</f>
        <v>0.14690988072097499</v>
      </c>
      <c r="T23" s="15">
        <f t="shared" ref="T23:W23" si="57">T10/T4</f>
        <v>2.165021030463948E-2</v>
      </c>
      <c r="U23" s="15" t="e">
        <f t="shared" si="57"/>
        <v>#DIV/0!</v>
      </c>
      <c r="V23" s="15" t="e">
        <f>AI31/AI25</f>
        <v>#DIV/0!</v>
      </c>
      <c r="W23" s="15" t="e">
        <f t="shared" si="57"/>
        <v>#DIV/0!</v>
      </c>
      <c r="Z23" s="15">
        <f t="shared" ref="Z23:AH23" si="58">Z10/Z4</f>
        <v>0.115044136910831</v>
      </c>
      <c r="AA23" s="15">
        <f t="shared" si="58"/>
        <v>0.11602246123804247</v>
      </c>
      <c r="AB23" s="15">
        <f t="shared" si="58"/>
        <v>0.10179879133909817</v>
      </c>
      <c r="AC23" s="15">
        <f t="shared" si="58"/>
        <v>0.10092377768273054</v>
      </c>
      <c r="AD23" s="15">
        <f t="shared" si="58"/>
        <v>9.2804924428039393E-2</v>
      </c>
      <c r="AE23" s="15">
        <f t="shared" si="58"/>
        <v>0.14546798560123023</v>
      </c>
      <c r="AF23" s="15">
        <f t="shared" si="58"/>
        <v>0.17480666734734959</v>
      </c>
      <c r="AG23" s="15">
        <f t="shared" si="58"/>
        <v>0.15975969207719001</v>
      </c>
      <c r="AH23" s="15">
        <f t="shared" si="58"/>
        <v>0.13680583158980619</v>
      </c>
      <c r="AI23" s="15">
        <f t="shared" ref="AI23:AT23" si="59">AI10/AI4</f>
        <v>9.7000304072254531E-2</v>
      </c>
      <c r="AJ23" s="15">
        <f t="shared" si="59"/>
        <v>8.8654389030783709E-2</v>
      </c>
      <c r="AK23" s="50">
        <f t="shared" si="59"/>
        <v>0.10311152932741866</v>
      </c>
      <c r="AL23" s="15">
        <f t="shared" si="59"/>
        <v>0.1061295147623956</v>
      </c>
      <c r="AM23" s="15">
        <f t="shared" si="59"/>
        <v>0.11210800019549276</v>
      </c>
      <c r="AN23" s="15">
        <f t="shared" si="59"/>
        <v>0.1150403049555357</v>
      </c>
      <c r="AO23" s="15">
        <f t="shared" si="59"/>
        <v>0.11794468300357817</v>
      </c>
      <c r="AP23" s="15">
        <f t="shared" si="59"/>
        <v>0.12082140030830607</v>
      </c>
      <c r="AQ23" s="15">
        <f t="shared" si="59"/>
        <v>0.12082140030830604</v>
      </c>
      <c r="AR23" s="15">
        <f t="shared" si="59"/>
        <v>0.12082140030830603</v>
      </c>
      <c r="AS23" s="15">
        <f t="shared" si="59"/>
        <v>0.12082140030830608</v>
      </c>
      <c r="AT23" s="15">
        <f t="shared" si="59"/>
        <v>0.12082140030830606</v>
      </c>
      <c r="AV23" s="9" t="s">
        <v>132</v>
      </c>
      <c r="AW23" s="34">
        <f>AW21/AW22</f>
        <v>121.67123934104734</v>
      </c>
    </row>
    <row r="24" spans="3:49" x14ac:dyDescent="0.25">
      <c r="AV24" s="9" t="s">
        <v>139</v>
      </c>
      <c r="AW24" s="28">
        <f>(AW23-B4)/B4</f>
        <v>0.28616532072988737</v>
      </c>
    </row>
    <row r="25" spans="3:49" x14ac:dyDescent="0.25">
      <c r="C25" s="9" t="s">
        <v>83</v>
      </c>
      <c r="AI25" s="26"/>
    </row>
    <row r="26" spans="3:49" x14ac:dyDescent="0.25">
      <c r="C26" s="1" t="s">
        <v>84</v>
      </c>
      <c r="D26" s="27">
        <v>2732.2370000000001</v>
      </c>
      <c r="E26" s="27">
        <v>2746.8339999999998</v>
      </c>
      <c r="F26" s="27">
        <v>2860.2379999999998</v>
      </c>
      <c r="G26" s="27">
        <v>2875.288</v>
      </c>
      <c r="H26" s="27">
        <v>2877.76</v>
      </c>
      <c r="I26" s="27">
        <v>2873.9009999999998</v>
      </c>
      <c r="J26" s="27">
        <v>2867.9250000000002</v>
      </c>
      <c r="K26" s="27">
        <v>2861.038</v>
      </c>
      <c r="L26" s="27">
        <v>2855.62</v>
      </c>
      <c r="M26" s="27">
        <v>3028.8220000000001</v>
      </c>
      <c r="N26" s="27">
        <v>3028.96</v>
      </c>
      <c r="O26" s="27">
        <v>3225.0839999999998</v>
      </c>
      <c r="P26" s="27">
        <v>3260.9609999999998</v>
      </c>
      <c r="Q26" s="27">
        <v>3269.9679999999998</v>
      </c>
      <c r="R26" s="27">
        <v>3268.9209999999998</v>
      </c>
      <c r="S26" s="27">
        <v>3264.029</v>
      </c>
      <c r="T26" s="27">
        <v>3233.087</v>
      </c>
      <c r="U26" s="27"/>
      <c r="V26" s="27"/>
      <c r="W26" s="27"/>
      <c r="AI26" s="26"/>
      <c r="AJ26" s="27">
        <f>AK10-AK8</f>
        <v>2713.1980000000017</v>
      </c>
    </row>
    <row r="27" spans="3:49" x14ac:dyDescent="0.25">
      <c r="C27" s="1" t="s">
        <v>85</v>
      </c>
      <c r="D27" s="27">
        <v>2812.759</v>
      </c>
      <c r="E27" s="27">
        <v>2852.4349999999999</v>
      </c>
      <c r="F27" s="27">
        <v>2812.835</v>
      </c>
      <c r="G27" s="27">
        <v>2906.989</v>
      </c>
      <c r="H27" s="27">
        <v>3080.7539999999999</v>
      </c>
      <c r="I27" s="27">
        <v>3029.143</v>
      </c>
      <c r="J27" s="27">
        <v>2991.8440000000001</v>
      </c>
      <c r="K27" s="27">
        <v>3050.7240000000002</v>
      </c>
      <c r="L27" s="27">
        <v>3018.1909999999998</v>
      </c>
      <c r="M27" s="27">
        <v>4043.8760000000002</v>
      </c>
      <c r="N27" s="27">
        <v>3931.63</v>
      </c>
      <c r="O27" s="27">
        <v>3906.721</v>
      </c>
      <c r="P27" s="27">
        <v>3945.8890000000001</v>
      </c>
      <c r="Q27" s="27">
        <v>3859.11</v>
      </c>
      <c r="R27" s="27">
        <v>3775.442</v>
      </c>
      <c r="S27" s="27">
        <v>3868.835</v>
      </c>
      <c r="T27" s="27">
        <v>3966.7979999999998</v>
      </c>
      <c r="U27" s="27"/>
      <c r="V27" s="27"/>
      <c r="W27" s="27"/>
      <c r="AI27" s="26"/>
    </row>
    <row r="28" spans="3:49" x14ac:dyDescent="0.25">
      <c r="C28" s="1" t="s">
        <v>86</v>
      </c>
      <c r="D28" s="27">
        <v>224.773</v>
      </c>
      <c r="E28" s="27">
        <v>241.828</v>
      </c>
      <c r="F28" s="27">
        <v>249.018</v>
      </c>
      <c r="G28" s="27">
        <v>246.61699999999999</v>
      </c>
      <c r="H28" s="27">
        <v>234.01</v>
      </c>
      <c r="I28" s="27">
        <v>257.44900000000001</v>
      </c>
      <c r="J28" s="27">
        <v>218.536</v>
      </c>
      <c r="K28" s="27">
        <v>253.91</v>
      </c>
      <c r="L28" s="27">
        <v>147.75299999999999</v>
      </c>
      <c r="M28" s="27">
        <v>79.962999999999994</v>
      </c>
      <c r="N28" s="27">
        <v>68.682000000000002</v>
      </c>
      <c r="O28" s="27">
        <v>75.56</v>
      </c>
      <c r="P28" s="27">
        <v>72.120999999999995</v>
      </c>
      <c r="Q28" s="27">
        <v>60.701999999999998</v>
      </c>
      <c r="R28" s="27">
        <v>62.298999999999999</v>
      </c>
      <c r="S28" s="27">
        <v>57.83</v>
      </c>
      <c r="T28" s="27">
        <v>62.466999999999999</v>
      </c>
      <c r="U28" s="27"/>
      <c r="V28" s="27"/>
      <c r="W28" s="27"/>
      <c r="AI28" s="26"/>
    </row>
    <row r="29" spans="3:49" x14ac:dyDescent="0.25">
      <c r="C29" s="1" t="s">
        <v>87</v>
      </c>
      <c r="D29" s="27">
        <v>2350.732</v>
      </c>
      <c r="E29" s="27">
        <v>2234.9969999999998</v>
      </c>
      <c r="F29" s="27">
        <v>2607.8029999999999</v>
      </c>
      <c r="G29" s="27">
        <v>2383.837</v>
      </c>
      <c r="H29" s="27">
        <v>2499.3890000000001</v>
      </c>
      <c r="I29" s="27">
        <v>2254.3130000000001</v>
      </c>
      <c r="J29" s="27">
        <v>2364.0700000000002</v>
      </c>
      <c r="K29" s="27">
        <v>2142.6990000000001</v>
      </c>
      <c r="L29" s="27">
        <v>2296.768</v>
      </c>
      <c r="M29" s="27">
        <v>3133.4079999999999</v>
      </c>
      <c r="N29" s="27">
        <v>3535.9029999999998</v>
      </c>
      <c r="O29" s="27">
        <v>3292.2890000000002</v>
      </c>
      <c r="P29" s="27">
        <v>3714.4189999999999</v>
      </c>
      <c r="Q29" s="27">
        <v>3581.203</v>
      </c>
      <c r="R29" s="27">
        <v>3883.1019999999999</v>
      </c>
      <c r="S29" s="27">
        <v>3580.8589999999999</v>
      </c>
      <c r="T29" s="27">
        <v>3717.8580000000002</v>
      </c>
      <c r="U29" s="27"/>
      <c r="V29" s="27"/>
      <c r="W29" s="27"/>
      <c r="AI29" s="26"/>
    </row>
    <row r="30" spans="3:49" x14ac:dyDescent="0.25">
      <c r="C30" s="1" t="s">
        <v>88</v>
      </c>
      <c r="D30" s="27">
        <v>145.80099999999999</v>
      </c>
      <c r="E30" s="27">
        <v>140.499</v>
      </c>
      <c r="F30" s="27">
        <v>137.58099999999999</v>
      </c>
      <c r="G30" s="27">
        <v>215.17500000000001</v>
      </c>
      <c r="H30" s="27">
        <v>157.95599999999999</v>
      </c>
      <c r="I30" s="27">
        <v>148.09</v>
      </c>
      <c r="J30" s="27">
        <v>145.90899999999999</v>
      </c>
      <c r="K30" s="27">
        <v>217.673</v>
      </c>
      <c r="L30" s="27">
        <v>170.839</v>
      </c>
      <c r="M30" s="27">
        <v>218.93100000000001</v>
      </c>
      <c r="N30" s="27">
        <v>185.87</v>
      </c>
      <c r="O30" s="27">
        <v>226.92099999999999</v>
      </c>
      <c r="P30" s="27">
        <v>184.304</v>
      </c>
      <c r="Q30" s="27">
        <v>146.994</v>
      </c>
      <c r="R30" s="27">
        <v>188.65600000000001</v>
      </c>
      <c r="S30" s="27">
        <v>218.51499999999999</v>
      </c>
      <c r="T30" s="27">
        <v>225.39599999999999</v>
      </c>
      <c r="U30" s="27"/>
      <c r="V30" s="27"/>
      <c r="W30" s="27"/>
      <c r="AI30" s="26"/>
    </row>
    <row r="31" spans="3:49" x14ac:dyDescent="0.25">
      <c r="C31" s="1" t="s">
        <v>89</v>
      </c>
      <c r="D31" s="27">
        <v>93.643000000000001</v>
      </c>
      <c r="E31" s="27">
        <v>133.047</v>
      </c>
      <c r="F31" s="27">
        <v>172.364</v>
      </c>
      <c r="G31" s="27">
        <v>132.863</v>
      </c>
      <c r="H31" s="27">
        <v>101.58499999999999</v>
      </c>
      <c r="I31" s="27">
        <v>98.128</v>
      </c>
      <c r="J31" s="27">
        <v>122.98699999999999</v>
      </c>
      <c r="K31" s="27">
        <v>109.848</v>
      </c>
      <c r="L31" s="27">
        <v>100.407</v>
      </c>
      <c r="M31" s="27">
        <v>149.893</v>
      </c>
      <c r="N31" s="27">
        <v>153.41900000000001</v>
      </c>
      <c r="O31" s="27">
        <v>214.941</v>
      </c>
      <c r="P31" s="27">
        <v>166.1</v>
      </c>
      <c r="Q31" s="27">
        <v>180.62200000000001</v>
      </c>
      <c r="R31" s="27">
        <v>196.27799999999999</v>
      </c>
      <c r="S31" s="27">
        <v>253.14099999999999</v>
      </c>
      <c r="T31" s="27">
        <v>182.518</v>
      </c>
      <c r="U31" s="27"/>
      <c r="V31" s="27"/>
      <c r="W31" s="27"/>
      <c r="AI31" s="26"/>
    </row>
    <row r="32" spans="3:49" x14ac:dyDescent="0.25">
      <c r="C32" s="1" t="s">
        <v>90</v>
      </c>
      <c r="D32" s="27">
        <v>0</v>
      </c>
      <c r="E32" s="27">
        <v>0</v>
      </c>
      <c r="F32" s="27">
        <v>0</v>
      </c>
      <c r="G32" s="27">
        <v>464.488</v>
      </c>
      <c r="H32" s="27">
        <v>0</v>
      </c>
      <c r="I32" s="27">
        <v>0</v>
      </c>
      <c r="J32" s="27">
        <v>81.195999999999998</v>
      </c>
      <c r="K32" s="27">
        <v>676.32299999999998</v>
      </c>
      <c r="L32" s="27">
        <v>186.279</v>
      </c>
      <c r="M32" s="27">
        <v>129.30600000000001</v>
      </c>
      <c r="N32" s="27">
        <v>94.453999999999994</v>
      </c>
      <c r="O32" s="27">
        <v>603.36199999999997</v>
      </c>
      <c r="P32" s="27">
        <v>146.88</v>
      </c>
      <c r="Q32" s="27">
        <v>329.44</v>
      </c>
      <c r="R32" s="27">
        <v>356.38</v>
      </c>
      <c r="S32" s="27">
        <v>988.12199999999996</v>
      </c>
      <c r="T32" s="27">
        <v>607.28599999999994</v>
      </c>
      <c r="U32" s="27"/>
      <c r="V32" s="27"/>
      <c r="W32" s="27"/>
      <c r="AI32" s="26"/>
    </row>
    <row r="33" spans="3:35" x14ac:dyDescent="0.25">
      <c r="C33" s="9" t="s">
        <v>91</v>
      </c>
      <c r="D33" s="26">
        <f t="shared" ref="D33:Q33" si="60">SUM(D26:D32)</f>
        <v>8359.9449999999997</v>
      </c>
      <c r="E33" s="26">
        <f t="shared" ref="E33" si="61">SUM(E26:E32)</f>
        <v>8349.6400000000012</v>
      </c>
      <c r="F33" s="26">
        <f t="shared" si="60"/>
        <v>8839.8389999999999</v>
      </c>
      <c r="G33" s="26">
        <f t="shared" si="60"/>
        <v>9225.2569999999978</v>
      </c>
      <c r="H33" s="26">
        <f t="shared" si="60"/>
        <v>8951.4539999999997</v>
      </c>
      <c r="I33" s="26">
        <f t="shared" si="60"/>
        <v>8661.0240000000013</v>
      </c>
      <c r="J33" s="26">
        <f t="shared" si="60"/>
        <v>8792.4669999999987</v>
      </c>
      <c r="K33" s="26">
        <f t="shared" si="60"/>
        <v>9312.215000000002</v>
      </c>
      <c r="L33" s="26">
        <f t="shared" si="60"/>
        <v>8775.8569999999982</v>
      </c>
      <c r="M33" s="26">
        <f t="shared" si="60"/>
        <v>10784.199000000001</v>
      </c>
      <c r="N33" s="26">
        <f t="shared" si="60"/>
        <v>10998.918</v>
      </c>
      <c r="O33" s="26">
        <f t="shared" si="60"/>
        <v>11544.878000000001</v>
      </c>
      <c r="P33" s="26">
        <f t="shared" si="60"/>
        <v>11490.673999999999</v>
      </c>
      <c r="Q33" s="26">
        <f t="shared" si="60"/>
        <v>11428.039000000001</v>
      </c>
      <c r="R33" s="26">
        <f>SUM(R26:R32)</f>
        <v>11731.078</v>
      </c>
      <c r="S33" s="26">
        <f t="shared" ref="S33:V33" si="62">SUM(S26:S32)</f>
        <v>12231.330999999998</v>
      </c>
      <c r="T33" s="26">
        <f t="shared" si="62"/>
        <v>11995.41</v>
      </c>
      <c r="U33" s="26">
        <f t="shared" si="62"/>
        <v>0</v>
      </c>
      <c r="V33" s="26">
        <f t="shared" si="62"/>
        <v>0</v>
      </c>
      <c r="W33" s="26">
        <f>SUM(W26:W32)</f>
        <v>0</v>
      </c>
      <c r="AI33" s="26"/>
    </row>
    <row r="34" spans="3:35" x14ac:dyDescent="0.25">
      <c r="C34" s="1" t="s">
        <v>92</v>
      </c>
      <c r="D34" s="27">
        <v>233.34200000000001</v>
      </c>
      <c r="E34" s="27">
        <v>233.34200000000001</v>
      </c>
      <c r="F34" s="27">
        <v>234.73699999999999</v>
      </c>
      <c r="G34" s="27">
        <v>234.738</v>
      </c>
      <c r="H34" s="27">
        <v>234.738</v>
      </c>
      <c r="I34" s="27">
        <v>234.738</v>
      </c>
      <c r="J34" s="27">
        <v>235.17099999999999</v>
      </c>
      <c r="K34" s="27">
        <v>235.17099999999999</v>
      </c>
      <c r="L34" s="27">
        <v>235.17099999999999</v>
      </c>
      <c r="M34" s="27">
        <v>308.34100000000001</v>
      </c>
      <c r="N34" s="27">
        <v>308.34100000000001</v>
      </c>
      <c r="O34" s="27">
        <v>308.34100000000001</v>
      </c>
      <c r="P34" s="27">
        <v>308.34100000000001</v>
      </c>
      <c r="Q34" s="27">
        <v>308.34100000000001</v>
      </c>
      <c r="R34" s="27">
        <v>308.34100000000001</v>
      </c>
      <c r="S34" s="27">
        <v>308.34100000000001</v>
      </c>
      <c r="T34" s="27">
        <v>308.34100000000001</v>
      </c>
      <c r="U34" s="27"/>
      <c r="V34" s="27"/>
      <c r="W34" s="27"/>
      <c r="AI34" s="26"/>
    </row>
    <row r="35" spans="3:35" x14ac:dyDescent="0.25">
      <c r="C35" s="1" t="s">
        <v>93</v>
      </c>
      <c r="D35" s="27">
        <v>2474.424</v>
      </c>
      <c r="E35" s="27">
        <v>2156.1669999999999</v>
      </c>
      <c r="F35" s="27">
        <v>2300.8090000000002</v>
      </c>
      <c r="G35" s="27">
        <v>2725.7829999999999</v>
      </c>
      <c r="H35" s="27">
        <v>3075.4250000000002</v>
      </c>
      <c r="I35" s="27">
        <v>2731.4380000000001</v>
      </c>
      <c r="J35" s="27">
        <v>2875.029</v>
      </c>
      <c r="K35" s="27">
        <v>3325.6419999999998</v>
      </c>
      <c r="L35" s="27">
        <v>3372.8580000000002</v>
      </c>
      <c r="M35" s="27">
        <v>3216.7429999999999</v>
      </c>
      <c r="N35" s="27">
        <v>3314.4169999999999</v>
      </c>
      <c r="O35" s="27">
        <v>3749.2069999999999</v>
      </c>
      <c r="P35" s="27">
        <v>3673.9679999999998</v>
      </c>
      <c r="Q35" s="27">
        <v>3379.027</v>
      </c>
      <c r="R35" s="27">
        <v>3532.6529999999998</v>
      </c>
      <c r="S35" s="27">
        <v>4008.598</v>
      </c>
      <c r="T35" s="27">
        <v>3987.5619999999999</v>
      </c>
      <c r="U35" s="27"/>
      <c r="V35" s="27"/>
      <c r="W35" s="27"/>
      <c r="AI35" s="26"/>
    </row>
    <row r="36" spans="3:35" x14ac:dyDescent="0.25">
      <c r="C36" s="1" t="s">
        <v>94</v>
      </c>
      <c r="D36" s="27">
        <v>253.357</v>
      </c>
      <c r="E36" s="27">
        <v>255.95699999999999</v>
      </c>
      <c r="F36" s="27">
        <v>300.74599999999998</v>
      </c>
      <c r="G36" s="27">
        <v>322.08199999999999</v>
      </c>
      <c r="H36" s="27">
        <v>50.725999999999999</v>
      </c>
      <c r="I36" s="27">
        <v>49.962000000000003</v>
      </c>
      <c r="J36" s="27">
        <v>49.552</v>
      </c>
      <c r="K36" s="27">
        <v>50.616999999999997</v>
      </c>
      <c r="L36" s="27">
        <v>50.564</v>
      </c>
      <c r="M36" s="27">
        <v>50.316000000000003</v>
      </c>
      <c r="N36" s="27">
        <v>60.087000000000003</v>
      </c>
      <c r="O36" s="27">
        <v>51.298999999999999</v>
      </c>
      <c r="P36" s="27">
        <v>45.896000000000001</v>
      </c>
      <c r="Q36" s="27">
        <v>45.832999999999998</v>
      </c>
      <c r="R36" s="27">
        <v>45.561</v>
      </c>
      <c r="S36" s="27">
        <v>47.11</v>
      </c>
      <c r="T36" s="27">
        <v>47.658000000000001</v>
      </c>
      <c r="U36" s="27"/>
      <c r="V36" s="27"/>
      <c r="W36" s="27"/>
      <c r="AI36" s="26"/>
    </row>
    <row r="37" spans="3:35" x14ac:dyDescent="0.25">
      <c r="C37" s="10" t="s">
        <v>95</v>
      </c>
      <c r="D37" s="29">
        <f t="shared" ref="D37:Q37" si="63">SUM(D34:D36)</f>
        <v>2961.123</v>
      </c>
      <c r="E37" s="29">
        <f t="shared" ref="E37" si="64">SUM(E34:E36)</f>
        <v>2645.4659999999999</v>
      </c>
      <c r="F37" s="29">
        <f t="shared" si="63"/>
        <v>2836.2920000000004</v>
      </c>
      <c r="G37" s="29">
        <f t="shared" si="63"/>
        <v>3282.6029999999996</v>
      </c>
      <c r="H37" s="29">
        <f t="shared" si="63"/>
        <v>3360.8890000000001</v>
      </c>
      <c r="I37" s="29">
        <f t="shared" si="63"/>
        <v>3016.1379999999999</v>
      </c>
      <c r="J37" s="29">
        <f t="shared" si="63"/>
        <v>3159.752</v>
      </c>
      <c r="K37" s="29">
        <f t="shared" si="63"/>
        <v>3611.43</v>
      </c>
      <c r="L37" s="29">
        <f t="shared" si="63"/>
        <v>3658.5929999999998</v>
      </c>
      <c r="M37" s="29">
        <f t="shared" si="63"/>
        <v>3575.3999999999996</v>
      </c>
      <c r="N37" s="29">
        <f t="shared" si="63"/>
        <v>3682.8449999999998</v>
      </c>
      <c r="O37" s="29">
        <f t="shared" si="63"/>
        <v>4108.8469999999998</v>
      </c>
      <c r="P37" s="29">
        <f t="shared" si="63"/>
        <v>4028.2049999999999</v>
      </c>
      <c r="Q37" s="29">
        <f t="shared" si="63"/>
        <v>3733.201</v>
      </c>
      <c r="R37" s="29">
        <f>SUM(R34:R36)</f>
        <v>3886.5549999999998</v>
      </c>
      <c r="S37" s="29">
        <f t="shared" ref="S37:W37" si="65">SUM(S34:S36)</f>
        <v>4364.049</v>
      </c>
      <c r="T37" s="29">
        <f t="shared" si="65"/>
        <v>4343.5610000000006</v>
      </c>
      <c r="U37" s="29">
        <f t="shared" si="65"/>
        <v>0</v>
      </c>
      <c r="V37" s="29">
        <f t="shared" si="65"/>
        <v>0</v>
      </c>
      <c r="W37" s="29">
        <f t="shared" si="65"/>
        <v>0</v>
      </c>
      <c r="X37" s="10"/>
      <c r="AI37" s="26"/>
    </row>
    <row r="38" spans="3:35" x14ac:dyDescent="0.25">
      <c r="C38" s="1" t="s">
        <v>96</v>
      </c>
      <c r="D38" s="27">
        <v>79.897999999999996</v>
      </c>
      <c r="E38" s="27">
        <v>170.86600000000001</v>
      </c>
      <c r="F38" s="27">
        <v>222.65299999999999</v>
      </c>
      <c r="G38" s="27">
        <v>57.622</v>
      </c>
      <c r="H38" s="27">
        <v>79.58</v>
      </c>
      <c r="I38" s="27">
        <v>152.92099999999999</v>
      </c>
      <c r="J38" s="27">
        <v>194.61099999999999</v>
      </c>
      <c r="K38" s="27">
        <v>46.703000000000003</v>
      </c>
      <c r="L38" s="27">
        <v>62.506999999999998</v>
      </c>
      <c r="M38" s="27">
        <v>77</v>
      </c>
      <c r="N38" s="27">
        <v>95.972999999999999</v>
      </c>
      <c r="O38" s="27">
        <v>56.06</v>
      </c>
      <c r="P38" s="27">
        <v>64.02</v>
      </c>
      <c r="Q38" s="27">
        <v>153.096</v>
      </c>
      <c r="R38" s="27">
        <v>207.69800000000001</v>
      </c>
      <c r="S38" s="27">
        <v>40</v>
      </c>
      <c r="T38" s="27">
        <v>66.540999999999997</v>
      </c>
      <c r="U38" s="27"/>
      <c r="V38" s="27"/>
      <c r="W38" s="27"/>
      <c r="AI38" s="26"/>
    </row>
    <row r="39" spans="3:35" x14ac:dyDescent="0.25">
      <c r="C39" s="1" t="s">
        <v>106</v>
      </c>
      <c r="D39" s="27">
        <v>1089.0319999999999</v>
      </c>
      <c r="E39" s="27">
        <v>1092.7819999999999</v>
      </c>
      <c r="F39" s="27">
        <v>1092.97</v>
      </c>
      <c r="G39" s="27">
        <v>1085.3489999999999</v>
      </c>
      <c r="H39" s="27">
        <v>1083.9179999999999</v>
      </c>
      <c r="I39" s="27">
        <v>1083.4480000000001</v>
      </c>
      <c r="J39" s="27">
        <v>1082.0129999999999</v>
      </c>
      <c r="K39" s="27">
        <v>1041.8430000000001</v>
      </c>
      <c r="L39" s="27">
        <v>1021.9</v>
      </c>
      <c r="M39" s="27">
        <v>1020.455</v>
      </c>
      <c r="N39" s="27">
        <v>1019.072</v>
      </c>
      <c r="O39" s="27">
        <v>1018.516</v>
      </c>
      <c r="P39" s="27">
        <v>998.26599999999996</v>
      </c>
      <c r="Q39" s="27">
        <v>998.26599999999996</v>
      </c>
      <c r="R39" s="27">
        <v>998.26599999999996</v>
      </c>
      <c r="S39" s="27">
        <v>996.97199999999998</v>
      </c>
      <c r="T39" s="27">
        <v>998.375</v>
      </c>
      <c r="U39" s="27"/>
      <c r="V39" s="27"/>
      <c r="W39" s="27"/>
      <c r="AI39" s="26"/>
    </row>
    <row r="40" spans="3:35" x14ac:dyDescent="0.25">
      <c r="C40" s="1" t="s">
        <v>97</v>
      </c>
      <c r="D40" s="27">
        <v>1911.8689999999999</v>
      </c>
      <c r="E40" s="27">
        <v>1953.7539999999999</v>
      </c>
      <c r="F40" s="27">
        <v>1917.489</v>
      </c>
      <c r="G40" s="27">
        <v>2015.0329999999999</v>
      </c>
      <c r="H40" s="27">
        <v>2094.547</v>
      </c>
      <c r="I40" s="27">
        <v>2050.06</v>
      </c>
      <c r="J40" s="27">
        <v>2009.521</v>
      </c>
      <c r="K40" s="27">
        <v>2079.9969999999998</v>
      </c>
      <c r="L40" s="27">
        <v>2006.441</v>
      </c>
      <c r="M40" s="27">
        <v>2671.3139999999999</v>
      </c>
      <c r="N40" s="27">
        <v>2569.723</v>
      </c>
      <c r="O40" s="27">
        <v>2566.8629999999998</v>
      </c>
      <c r="P40" s="27">
        <v>2573.886</v>
      </c>
      <c r="Q40" s="27">
        <v>2499.6680000000001</v>
      </c>
      <c r="R40" s="27">
        <v>2448.366</v>
      </c>
      <c r="S40" s="27">
        <v>2520.9479999999999</v>
      </c>
      <c r="T40" s="27">
        <v>2551.413</v>
      </c>
      <c r="U40" s="27"/>
      <c r="V40" s="27"/>
      <c r="W40" s="27"/>
    </row>
    <row r="41" spans="3:35" x14ac:dyDescent="0.25">
      <c r="C41" s="1" t="s">
        <v>107</v>
      </c>
      <c r="D41" s="27">
        <v>10.868</v>
      </c>
      <c r="E41" s="27">
        <v>382.59800000000001</v>
      </c>
      <c r="F41" s="27">
        <v>423.99799999999999</v>
      </c>
      <c r="G41" s="27">
        <v>5</v>
      </c>
      <c r="H41" s="27">
        <v>345.911</v>
      </c>
      <c r="I41" s="27">
        <v>533.14099999999996</v>
      </c>
      <c r="J41" s="27">
        <v>255</v>
      </c>
      <c r="K41" s="27">
        <v>5</v>
      </c>
      <c r="L41" s="27">
        <v>5</v>
      </c>
      <c r="M41" s="27">
        <v>628.67899999999997</v>
      </c>
      <c r="N41" s="27">
        <v>689.38699999999994</v>
      </c>
      <c r="O41" s="27">
        <v>304.48</v>
      </c>
      <c r="P41" s="27">
        <v>669.60400000000004</v>
      </c>
      <c r="Q41" s="27">
        <v>1174.0139999999999</v>
      </c>
      <c r="R41" s="27">
        <v>1153.232</v>
      </c>
      <c r="S41" s="27">
        <v>849.28099999999995</v>
      </c>
      <c r="T41" s="27">
        <v>911.23099999999999</v>
      </c>
      <c r="U41" s="27"/>
      <c r="V41" s="27"/>
      <c r="W41" s="27"/>
    </row>
    <row r="42" spans="3:35" x14ac:dyDescent="0.25">
      <c r="C42" s="1" t="s">
        <v>98</v>
      </c>
      <c r="D42" s="27">
        <v>519.63199999999995</v>
      </c>
      <c r="E42" s="27">
        <v>525.17499999999995</v>
      </c>
      <c r="F42" s="27">
        <v>523.96199999999999</v>
      </c>
      <c r="G42" s="27">
        <v>521.95799999999997</v>
      </c>
      <c r="H42" s="27">
        <v>582.678</v>
      </c>
      <c r="I42" s="27">
        <v>584.21199999999999</v>
      </c>
      <c r="J42" s="27">
        <v>586.24800000000005</v>
      </c>
      <c r="K42" s="27">
        <v>588.62599999999998</v>
      </c>
      <c r="L42" s="27">
        <v>607.91</v>
      </c>
      <c r="M42" s="27">
        <v>905.75699999999995</v>
      </c>
      <c r="N42" s="27">
        <v>907.42100000000005</v>
      </c>
      <c r="O42" s="27">
        <v>893.01900000000001</v>
      </c>
      <c r="P42" s="27">
        <v>919.07</v>
      </c>
      <c r="Q42" s="27">
        <v>917.02099999999996</v>
      </c>
      <c r="R42" s="27">
        <v>896.78800000000001</v>
      </c>
      <c r="S42" s="27">
        <v>913.41</v>
      </c>
      <c r="T42" s="27">
        <v>950.54700000000003</v>
      </c>
      <c r="U42" s="27"/>
      <c r="V42" s="27"/>
      <c r="W42" s="27"/>
    </row>
    <row r="43" spans="3:35" x14ac:dyDescent="0.25">
      <c r="C43" s="1" t="s">
        <v>99</v>
      </c>
      <c r="D43" s="27">
        <v>780.81100000000004</v>
      </c>
      <c r="E43" s="27">
        <v>737.46199999999999</v>
      </c>
      <c r="F43" s="27">
        <v>843.5</v>
      </c>
      <c r="G43" s="27">
        <v>876.41899999999998</v>
      </c>
      <c r="H43" s="27">
        <v>645.22900000000004</v>
      </c>
      <c r="I43" s="27">
        <v>648.13599999999997</v>
      </c>
      <c r="J43" s="27">
        <v>869.02800000000002</v>
      </c>
      <c r="K43" s="27">
        <v>879.851</v>
      </c>
      <c r="L43" s="27">
        <v>782.81299999999999</v>
      </c>
      <c r="M43" s="27">
        <v>1098.578</v>
      </c>
      <c r="N43" s="27">
        <v>1207.827</v>
      </c>
      <c r="O43" s="27">
        <v>1255.066</v>
      </c>
      <c r="P43" s="27">
        <v>1197.9390000000001</v>
      </c>
      <c r="Q43" s="27">
        <v>1023.912</v>
      </c>
      <c r="R43" s="27">
        <v>1145.9860000000001</v>
      </c>
      <c r="S43" s="27">
        <v>1077.0640000000001</v>
      </c>
      <c r="T43" s="27">
        <v>1228.692</v>
      </c>
      <c r="U43" s="27"/>
      <c r="V43" s="27"/>
      <c r="W43" s="27"/>
    </row>
    <row r="44" spans="3:35" x14ac:dyDescent="0.25">
      <c r="C44" s="1" t="s">
        <v>100</v>
      </c>
      <c r="D44" s="27">
        <v>183.21600000000001</v>
      </c>
      <c r="E44" s="27">
        <v>57.435000000000002</v>
      </c>
      <c r="F44" s="27">
        <v>73.164000000000001</v>
      </c>
      <c r="G44" s="27">
        <v>291.30500000000001</v>
      </c>
      <c r="H44" s="27">
        <v>120.381</v>
      </c>
      <c r="I44" s="27">
        <v>-1.383</v>
      </c>
      <c r="J44" s="27">
        <v>1.2949999999999999</v>
      </c>
      <c r="K44" s="27">
        <v>254.83799999999999</v>
      </c>
      <c r="L44" s="27">
        <v>118.02200000000001</v>
      </c>
      <c r="M44" s="27">
        <v>-0.47799999999999998</v>
      </c>
      <c r="N44" s="27">
        <v>-0.44800000000000001</v>
      </c>
      <c r="O44" s="27">
        <v>248.19300000000001</v>
      </c>
      <c r="P44" s="27">
        <v>125.89700000000001</v>
      </c>
      <c r="Q44" s="27">
        <v>0</v>
      </c>
      <c r="R44" s="27">
        <v>0.11</v>
      </c>
      <c r="S44" s="27">
        <v>298.42700000000002</v>
      </c>
      <c r="T44" s="27">
        <v>87.186999999999998</v>
      </c>
      <c r="U44" s="27"/>
      <c r="V44" s="27"/>
      <c r="W44" s="27"/>
    </row>
    <row r="45" spans="3:35" x14ac:dyDescent="0.25">
      <c r="C45" s="1" t="s">
        <v>101</v>
      </c>
      <c r="D45" s="27">
        <v>210.78800000000001</v>
      </c>
      <c r="E45" s="27">
        <v>260.92099999999999</v>
      </c>
      <c r="F45" s="27">
        <v>265.21699999999998</v>
      </c>
      <c r="G45" s="27">
        <v>393.68299999999999</v>
      </c>
      <c r="H45" s="27">
        <v>226.297</v>
      </c>
      <c r="I45" s="54">
        <v>305.96800000000002</v>
      </c>
      <c r="J45" s="27">
        <v>280.81599999999997</v>
      </c>
      <c r="K45" s="27">
        <v>396.59399999999999</v>
      </c>
      <c r="L45" s="27">
        <v>258.17500000000001</v>
      </c>
      <c r="M45" s="27">
        <v>303.61</v>
      </c>
      <c r="N45" s="27">
        <v>284.53899999999999</v>
      </c>
      <c r="O45" s="27">
        <v>417.65100000000001</v>
      </c>
      <c r="P45" s="27">
        <v>234.845</v>
      </c>
      <c r="Q45" s="27">
        <v>312.291</v>
      </c>
      <c r="R45" s="27">
        <v>346.86</v>
      </c>
      <c r="S45" s="27">
        <v>462.34800000000001</v>
      </c>
      <c r="T45" s="27">
        <v>246.239</v>
      </c>
      <c r="U45" s="27"/>
      <c r="V45" s="27"/>
      <c r="W45" s="27"/>
    </row>
    <row r="46" spans="3:35" x14ac:dyDescent="0.25">
      <c r="C46" s="1" t="s">
        <v>102</v>
      </c>
      <c r="D46" s="27">
        <v>246.52799999999999</v>
      </c>
      <c r="E46" s="27">
        <v>246.52799999999999</v>
      </c>
      <c r="F46" s="27">
        <v>290.06900000000002</v>
      </c>
      <c r="G46" s="27">
        <v>281.221</v>
      </c>
      <c r="H46" s="27">
        <v>43.540999999999997</v>
      </c>
      <c r="I46" s="27">
        <v>43.540999999999997</v>
      </c>
      <c r="J46" s="27">
        <v>43.540999999999997</v>
      </c>
      <c r="K46" s="27">
        <v>27.98</v>
      </c>
      <c r="L46" s="27">
        <v>27.98</v>
      </c>
      <c r="M46" s="27">
        <v>27.98</v>
      </c>
      <c r="N46" s="27">
        <v>27.98</v>
      </c>
      <c r="O46" s="27">
        <v>30.39</v>
      </c>
      <c r="P46" s="27">
        <v>30.39</v>
      </c>
      <c r="Q46" s="27">
        <v>30.39</v>
      </c>
      <c r="R46" s="27">
        <v>30.39</v>
      </c>
      <c r="S46" s="27">
        <v>27.802</v>
      </c>
      <c r="T46" s="27">
        <v>27.802</v>
      </c>
      <c r="U46" s="27"/>
      <c r="V46" s="27"/>
      <c r="W46" s="27"/>
    </row>
    <row r="47" spans="3:35" x14ac:dyDescent="0.25">
      <c r="C47" s="1" t="s">
        <v>103</v>
      </c>
      <c r="D47" s="27">
        <v>366.17899999999997</v>
      </c>
      <c r="E47" s="27">
        <v>276.654</v>
      </c>
      <c r="F47" s="27">
        <v>350.52600000000001</v>
      </c>
      <c r="G47" s="27">
        <v>415.06299999999999</v>
      </c>
      <c r="H47" s="27">
        <v>368.48099999999999</v>
      </c>
      <c r="I47" s="27">
        <v>244.84200000000001</v>
      </c>
      <c r="J47" s="27">
        <v>310.64999999999998</v>
      </c>
      <c r="K47" s="27">
        <v>379.35300000000001</v>
      </c>
      <c r="L47" s="27">
        <v>328.30399999999997</v>
      </c>
      <c r="M47" s="27">
        <v>475.899</v>
      </c>
      <c r="N47" s="27">
        <v>524.601</v>
      </c>
      <c r="O47" s="27">
        <v>644.79200000000003</v>
      </c>
      <c r="P47" s="27">
        <v>648.64300000000003</v>
      </c>
      <c r="Q47" s="27">
        <v>586.17499999999995</v>
      </c>
      <c r="R47" s="27">
        <v>616.82899999999995</v>
      </c>
      <c r="S47" s="27">
        <v>681.01300000000003</v>
      </c>
      <c r="T47" s="27">
        <v>583.822</v>
      </c>
      <c r="U47" s="27"/>
      <c r="V47" s="27"/>
      <c r="W47" s="27"/>
    </row>
    <row r="48" spans="3:35" x14ac:dyDescent="0.25">
      <c r="C48" s="10" t="s">
        <v>104</v>
      </c>
      <c r="D48" s="29">
        <f t="shared" ref="D48:Q48" si="66">SUM(D38:D47)</f>
        <v>5398.8209999999999</v>
      </c>
      <c r="E48" s="29">
        <f t="shared" ref="E48" si="67">SUM(E38:E47)</f>
        <v>5704.1750000000011</v>
      </c>
      <c r="F48" s="29">
        <f t="shared" si="66"/>
        <v>6003.5479999999998</v>
      </c>
      <c r="G48" s="29">
        <f t="shared" si="66"/>
        <v>5942.6530000000002</v>
      </c>
      <c r="H48" s="29">
        <f t="shared" si="66"/>
        <v>5590.5630000000001</v>
      </c>
      <c r="I48" s="29">
        <f>SUM(I38:I47)</f>
        <v>5644.8859999999995</v>
      </c>
      <c r="J48" s="29">
        <f t="shared" si="66"/>
        <v>5632.723</v>
      </c>
      <c r="K48" s="29">
        <f t="shared" si="66"/>
        <v>5700.7849999999989</v>
      </c>
      <c r="L48" s="29">
        <f t="shared" si="66"/>
        <v>5219.0519999999997</v>
      </c>
      <c r="M48" s="29">
        <f t="shared" si="66"/>
        <v>7208.793999999999</v>
      </c>
      <c r="N48" s="29">
        <f t="shared" si="66"/>
        <v>7326.0749999999989</v>
      </c>
      <c r="O48" s="29">
        <f t="shared" si="66"/>
        <v>7435.0300000000007</v>
      </c>
      <c r="P48" s="29">
        <f t="shared" si="66"/>
        <v>7462.56</v>
      </c>
      <c r="Q48" s="29">
        <f t="shared" si="66"/>
        <v>7694.8330000000005</v>
      </c>
      <c r="R48" s="29">
        <f>SUM(R38:R47)</f>
        <v>7844.5249999999996</v>
      </c>
      <c r="S48" s="29">
        <f t="shared" ref="S48:W48" si="68">SUM(S38:S47)</f>
        <v>7867.2649999999994</v>
      </c>
      <c r="T48" s="29">
        <f t="shared" si="68"/>
        <v>7651.8489999999993</v>
      </c>
      <c r="U48" s="29">
        <f t="shared" si="68"/>
        <v>0</v>
      </c>
      <c r="V48" s="29">
        <f t="shared" si="68"/>
        <v>0</v>
      </c>
      <c r="W48" s="29">
        <f t="shared" si="68"/>
        <v>0</v>
      </c>
    </row>
    <row r="49" spans="3:35" x14ac:dyDescent="0.25">
      <c r="C49" s="9" t="s">
        <v>105</v>
      </c>
      <c r="D49" s="26">
        <f t="shared" ref="D49:Q49" si="69">D37+D48</f>
        <v>8359.9439999999995</v>
      </c>
      <c r="E49" s="26">
        <f t="shared" ref="E49" si="70">E37+E48</f>
        <v>8349.6410000000014</v>
      </c>
      <c r="F49" s="26">
        <f t="shared" si="69"/>
        <v>8839.84</v>
      </c>
      <c r="G49" s="26">
        <f t="shared" si="69"/>
        <v>9225.2559999999994</v>
      </c>
      <c r="H49" s="26">
        <f t="shared" si="69"/>
        <v>8951.4520000000011</v>
      </c>
      <c r="I49" s="26">
        <f t="shared" si="69"/>
        <v>8661.0239999999994</v>
      </c>
      <c r="J49" s="26">
        <f t="shared" si="69"/>
        <v>8792.4750000000004</v>
      </c>
      <c r="K49" s="26">
        <f t="shared" si="69"/>
        <v>9312.2149999999983</v>
      </c>
      <c r="L49" s="26">
        <f t="shared" si="69"/>
        <v>8877.6450000000004</v>
      </c>
      <c r="M49" s="26">
        <f t="shared" si="69"/>
        <v>10784.194</v>
      </c>
      <c r="N49" s="26">
        <f t="shared" si="69"/>
        <v>11008.919999999998</v>
      </c>
      <c r="O49" s="26">
        <f t="shared" si="69"/>
        <v>11543.877</v>
      </c>
      <c r="P49" s="26">
        <f t="shared" si="69"/>
        <v>11490.764999999999</v>
      </c>
      <c r="Q49" s="26">
        <f t="shared" si="69"/>
        <v>11428.034</v>
      </c>
      <c r="R49" s="26">
        <f>R37+R48</f>
        <v>11731.08</v>
      </c>
      <c r="S49" s="26">
        <f t="shared" ref="S49:W49" si="71">S37+S48</f>
        <v>12231.313999999998</v>
      </c>
      <c r="T49" s="26">
        <f>T37+T48</f>
        <v>11995.41</v>
      </c>
      <c r="U49" s="26">
        <f t="shared" si="71"/>
        <v>0</v>
      </c>
      <c r="V49" s="26">
        <f t="shared" si="71"/>
        <v>0</v>
      </c>
      <c r="W49" s="26">
        <f t="shared" si="71"/>
        <v>0</v>
      </c>
    </row>
    <row r="51" spans="3:35" x14ac:dyDescent="0.25">
      <c r="C51" s="9" t="s">
        <v>36</v>
      </c>
    </row>
    <row r="52" spans="3:35" x14ac:dyDescent="0.25">
      <c r="C52" s="1" t="s">
        <v>108</v>
      </c>
      <c r="D52" s="27">
        <f t="shared" ref="D52:S52" si="72">D14</f>
        <v>116.34700000000001</v>
      </c>
      <c r="E52" s="27">
        <f t="shared" si="72"/>
        <v>418.75500000000034</v>
      </c>
      <c r="F52" s="27">
        <f t="shared" si="72"/>
        <v>240.22199999999987</v>
      </c>
      <c r="G52" s="27">
        <f t="shared" si="72"/>
        <v>561.62299999999993</v>
      </c>
      <c r="H52" s="27">
        <f t="shared" si="72"/>
        <v>93.514999999999944</v>
      </c>
      <c r="I52" s="27">
        <f t="shared" si="72"/>
        <v>332.43500000000023</v>
      </c>
      <c r="J52" s="27">
        <f t="shared" si="72"/>
        <v>184.99999999999991</v>
      </c>
      <c r="K52" s="27">
        <f t="shared" si="72"/>
        <v>541.16700000000003</v>
      </c>
      <c r="L52" s="27">
        <f t="shared" si="72"/>
        <v>62.775000000000134</v>
      </c>
      <c r="M52" s="27">
        <f t="shared" si="72"/>
        <v>329.87500000000017</v>
      </c>
      <c r="N52" s="27">
        <f t="shared" si="72"/>
        <v>107.1290000000001</v>
      </c>
      <c r="O52" s="27">
        <f t="shared" si="72"/>
        <v>569.21699999999998</v>
      </c>
      <c r="P52" s="27">
        <f t="shared" si="72"/>
        <v>-99.874000000000223</v>
      </c>
      <c r="Q52" s="27">
        <f t="shared" si="72"/>
        <v>356.22799999999967</v>
      </c>
      <c r="R52" s="27">
        <f t="shared" si="72"/>
        <v>196.90700000000004</v>
      </c>
      <c r="S52" s="27">
        <f t="shared" si="72"/>
        <v>607.32299999999964</v>
      </c>
      <c r="T52" s="27">
        <f t="shared" ref="T52:W52" si="73">T14</f>
        <v>30.845000000000169</v>
      </c>
      <c r="U52" s="27">
        <f t="shared" si="73"/>
        <v>0</v>
      </c>
      <c r="V52" s="27">
        <f>AI35</f>
        <v>0</v>
      </c>
      <c r="W52" s="27">
        <f t="shared" si="73"/>
        <v>0</v>
      </c>
      <c r="Z52" s="27">
        <f t="shared" ref="Z52:AI52" si="74">Z14</f>
        <v>367.61</v>
      </c>
      <c r="AA52" s="27">
        <f t="shared" si="74"/>
        <v>548.94599999999969</v>
      </c>
      <c r="AB52" s="27">
        <f t="shared" si="74"/>
        <v>510.32499999999993</v>
      </c>
      <c r="AC52" s="27">
        <f t="shared" si="74"/>
        <v>552.53000000000065</v>
      </c>
      <c r="AD52" s="27">
        <f t="shared" si="74"/>
        <v>480.41000000000008</v>
      </c>
      <c r="AE52" s="27">
        <f t="shared" si="74"/>
        <v>1029.1129999999996</v>
      </c>
      <c r="AF52" s="27">
        <f t="shared" si="74"/>
        <v>1417.3639999999998</v>
      </c>
      <c r="AG52" s="27">
        <f t="shared" si="74"/>
        <v>1336.9619999999991</v>
      </c>
      <c r="AH52" s="27">
        <f t="shared" si="74"/>
        <v>1151.9129999999996</v>
      </c>
      <c r="AI52" s="27">
        <f t="shared" si="74"/>
        <v>1068.9760000000001</v>
      </c>
    </row>
    <row r="53" spans="3:35" x14ac:dyDescent="0.25">
      <c r="C53" s="1" t="s">
        <v>109</v>
      </c>
      <c r="D53" s="27">
        <v>116</v>
      </c>
      <c r="E53" s="27">
        <v>418.76299999999998</v>
      </c>
      <c r="F53" s="27">
        <v>240</v>
      </c>
      <c r="G53" s="27">
        <v>561.62800000000004</v>
      </c>
      <c r="H53" s="27">
        <v>94</v>
      </c>
      <c r="I53" s="27">
        <v>332</v>
      </c>
      <c r="J53" s="27">
        <v>185</v>
      </c>
      <c r="K53" s="27">
        <v>541.16499999999996</v>
      </c>
      <c r="L53" s="27">
        <v>63</v>
      </c>
      <c r="M53" s="27">
        <v>330.88400000000001</v>
      </c>
      <c r="N53" s="27">
        <v>107.101</v>
      </c>
      <c r="O53" s="27">
        <v>569.21799999999996</v>
      </c>
      <c r="P53" s="27">
        <v>-100</v>
      </c>
      <c r="Q53" s="27">
        <v>356.22800000000001</v>
      </c>
      <c r="R53" s="27">
        <v>197</v>
      </c>
      <c r="S53" s="27">
        <v>607</v>
      </c>
      <c r="T53" s="27">
        <v>30.844999999999999</v>
      </c>
      <c r="U53" s="27"/>
      <c r="V53" s="27"/>
      <c r="W53" s="27"/>
    </row>
    <row r="54" spans="3:35" x14ac:dyDescent="0.25">
      <c r="C54" s="1" t="s">
        <v>110</v>
      </c>
      <c r="D54" s="27">
        <v>151.119</v>
      </c>
      <c r="E54" s="27">
        <v>151.02000000000001</v>
      </c>
      <c r="F54" s="27">
        <v>153.608</v>
      </c>
      <c r="G54" s="27">
        <v>155.28800000000001</v>
      </c>
      <c r="H54" s="27">
        <v>166.27199999999999</v>
      </c>
      <c r="I54" s="27">
        <v>168.80699999999999</v>
      </c>
      <c r="J54" s="27">
        <v>170.261</v>
      </c>
      <c r="K54" s="27">
        <v>169.268</v>
      </c>
      <c r="L54" s="27">
        <v>174.34</v>
      </c>
      <c r="M54" s="27">
        <v>227.80099999999999</v>
      </c>
      <c r="N54" s="27">
        <v>260.31799999999998</v>
      </c>
      <c r="O54" s="27">
        <v>260.46800000000002</v>
      </c>
      <c r="P54" s="27">
        <v>260.72000000000003</v>
      </c>
      <c r="Q54" s="27">
        <v>266.87599999999998</v>
      </c>
      <c r="R54" s="27">
        <v>265.27600000000001</v>
      </c>
      <c r="S54" s="27">
        <v>267.37799999999999</v>
      </c>
      <c r="T54" s="27">
        <v>268.72000000000003</v>
      </c>
      <c r="U54" s="27"/>
      <c r="V54" s="27"/>
      <c r="W54" s="27"/>
    </row>
    <row r="55" spans="3:35" x14ac:dyDescent="0.25">
      <c r="C55" s="1" t="s">
        <v>111</v>
      </c>
      <c r="D55" s="27">
        <v>0.94499999999999995</v>
      </c>
      <c r="E55" s="27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-101.789</v>
      </c>
      <c r="L55" s="27">
        <v>0</v>
      </c>
      <c r="M55" s="27">
        <v>-32.299999999999997</v>
      </c>
      <c r="N55" s="27">
        <v>0</v>
      </c>
      <c r="O55" s="27">
        <v>0</v>
      </c>
      <c r="P55" s="27">
        <v>0</v>
      </c>
      <c r="Q55" s="27">
        <v>0</v>
      </c>
      <c r="R55" s="27">
        <v>0</v>
      </c>
      <c r="S55" s="27">
        <v>0</v>
      </c>
      <c r="T55" s="27">
        <v>0</v>
      </c>
      <c r="U55" s="27"/>
      <c r="V55" s="27"/>
      <c r="W55" s="27"/>
    </row>
    <row r="56" spans="3:35" x14ac:dyDescent="0.25">
      <c r="C56" s="1" t="s">
        <v>112</v>
      </c>
      <c r="D56" s="27">
        <v>9.2260000000000009</v>
      </c>
      <c r="E56" s="27">
        <v>-5.266</v>
      </c>
      <c r="F56" s="27">
        <v>-1.4</v>
      </c>
      <c r="G56" s="27">
        <v>-6.6</v>
      </c>
      <c r="H56" s="27">
        <v>7.9</v>
      </c>
      <c r="I56" s="27">
        <v>0.158</v>
      </c>
      <c r="J56" s="27">
        <v>4.5149999999999997</v>
      </c>
      <c r="K56" s="27">
        <v>41.902000000000001</v>
      </c>
      <c r="L56" s="27">
        <v>10.976000000000001</v>
      </c>
      <c r="M56" s="27">
        <v>-12.54</v>
      </c>
      <c r="N56" s="27">
        <v>0</v>
      </c>
      <c r="O56" s="27">
        <v>-2.9000000000000001E-2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/>
      <c r="V56" s="27"/>
      <c r="W56" s="27"/>
    </row>
    <row r="57" spans="3:35" x14ac:dyDescent="0.25">
      <c r="C57" s="1" t="s">
        <v>113</v>
      </c>
      <c r="D57" s="27">
        <v>-597.87099999999998</v>
      </c>
      <c r="E57" s="27">
        <v>15.1</v>
      </c>
      <c r="F57" s="27">
        <v>-210.65199999999999</v>
      </c>
      <c r="G57" s="27">
        <v>419.48099999999999</v>
      </c>
      <c r="H57" s="27">
        <v>-464.26400000000001</v>
      </c>
      <c r="I57" s="27">
        <v>194.88</v>
      </c>
      <c r="J57" s="27">
        <v>163.20699999999999</v>
      </c>
      <c r="K57" s="27">
        <v>385.11399999999998</v>
      </c>
      <c r="L57" s="27">
        <v>-391.46</v>
      </c>
      <c r="M57" s="27">
        <v>94</v>
      </c>
      <c r="N57" s="27">
        <v>-210.59700000000001</v>
      </c>
      <c r="O57" s="27">
        <v>297.49900000000002</v>
      </c>
      <c r="P57" s="27">
        <v>-581.39700000000005</v>
      </c>
      <c r="Q57" s="27">
        <v>13.584</v>
      </c>
      <c r="R57" s="27">
        <v>-167.238</v>
      </c>
      <c r="S57" s="27">
        <v>345.86900000000003</v>
      </c>
      <c r="T57" s="27">
        <v>-340.13099999999997</v>
      </c>
      <c r="U57" s="27"/>
      <c r="V57" s="27"/>
      <c r="W57" s="27"/>
    </row>
    <row r="58" spans="3:35" x14ac:dyDescent="0.25">
      <c r="C58" s="1" t="s">
        <v>114</v>
      </c>
      <c r="D58" s="27">
        <v>-113.604</v>
      </c>
      <c r="E58" s="27">
        <v>-153.35300000000001</v>
      </c>
      <c r="F58" s="27">
        <v>14.773999999999999</v>
      </c>
      <c r="G58" s="27">
        <v>-71.078999999999994</v>
      </c>
      <c r="H58" s="27">
        <v>-171.40700000000001</v>
      </c>
      <c r="I58" s="27">
        <v>-121.764</v>
      </c>
      <c r="J58" s="27">
        <v>2.6</v>
      </c>
      <c r="K58" s="27">
        <v>-0.68899999999999995</v>
      </c>
      <c r="L58" s="27">
        <v>-136.875</v>
      </c>
      <c r="M58" s="27">
        <v>-118.491</v>
      </c>
      <c r="N58" s="27">
        <v>0</v>
      </c>
      <c r="O58" s="27">
        <v>3.72</v>
      </c>
      <c r="P58" s="27">
        <v>-123.31100000000001</v>
      </c>
      <c r="Q58" s="27">
        <v>-133.25</v>
      </c>
      <c r="R58" s="27">
        <v>-0.83499999999999996</v>
      </c>
      <c r="S58" s="27">
        <v>-3.7</v>
      </c>
      <c r="T58" s="27">
        <v>-122.595</v>
      </c>
      <c r="U58" s="27"/>
      <c r="V58" s="27"/>
      <c r="W58" s="27"/>
    </row>
    <row r="59" spans="3:35" x14ac:dyDescent="0.25">
      <c r="C59" s="9" t="s">
        <v>115</v>
      </c>
      <c r="D59" s="26">
        <f t="shared" ref="D59:R59" si="75">SUM(D53:D58)</f>
        <v>-434.18499999999995</v>
      </c>
      <c r="E59" s="26">
        <f t="shared" si="75"/>
        <v>426.26400000000007</v>
      </c>
      <c r="F59" s="26">
        <f t="shared" si="75"/>
        <v>196.33000000000004</v>
      </c>
      <c r="G59" s="26">
        <f t="shared" si="75"/>
        <v>1058.7180000000001</v>
      </c>
      <c r="H59" s="26">
        <f t="shared" si="75"/>
        <v>-367.49900000000002</v>
      </c>
      <c r="I59" s="26">
        <f t="shared" si="75"/>
        <v>574.08100000000002</v>
      </c>
      <c r="J59" s="26">
        <f t="shared" si="75"/>
        <v>525.58299999999997</v>
      </c>
      <c r="K59" s="26">
        <f t="shared" si="75"/>
        <v>1034.971</v>
      </c>
      <c r="L59" s="26">
        <f t="shared" si="75"/>
        <v>-280.01900000000001</v>
      </c>
      <c r="M59" s="26">
        <f t="shared" si="75"/>
        <v>489.35400000000004</v>
      </c>
      <c r="N59" s="26">
        <f t="shared" si="75"/>
        <v>156.82199999999997</v>
      </c>
      <c r="O59" s="26">
        <f t="shared" si="75"/>
        <v>1130.876</v>
      </c>
      <c r="P59" s="26">
        <f t="shared" si="75"/>
        <v>-543.98800000000006</v>
      </c>
      <c r="Q59" s="26">
        <f t="shared" si="75"/>
        <v>503.43799999999999</v>
      </c>
      <c r="R59" s="26">
        <f t="shared" si="75"/>
        <v>294.20300000000003</v>
      </c>
      <c r="S59" s="26">
        <f>SUM(S53:S58)</f>
        <v>1216.5469999999998</v>
      </c>
      <c r="T59" s="26">
        <f t="shared" ref="T59:W59" si="76">SUM(T53:T58)</f>
        <v>-163.16099999999992</v>
      </c>
      <c r="U59" s="26">
        <f t="shared" si="76"/>
        <v>0</v>
      </c>
      <c r="V59" s="26">
        <f t="shared" si="76"/>
        <v>0</v>
      </c>
      <c r="W59" s="26">
        <f t="shared" si="76"/>
        <v>0</v>
      </c>
      <c r="Z59" s="26">
        <f t="shared" ref="Z59" si="77">SUM(Z53:Z58)</f>
        <v>0</v>
      </c>
      <c r="AA59" s="26">
        <f t="shared" ref="AA59" si="78">SUM(AA53:AA58)</f>
        <v>0</v>
      </c>
      <c r="AB59" s="26">
        <f t="shared" ref="AB59" si="79">SUM(AB53:AB58)</f>
        <v>0</v>
      </c>
      <c r="AC59" s="26">
        <f t="shared" ref="AC59" si="80">SUM(AC53:AC58)</f>
        <v>0</v>
      </c>
      <c r="AD59" s="26">
        <f t="shared" ref="AD59" si="81">SUM(AD53:AD58)</f>
        <v>0</v>
      </c>
      <c r="AE59" s="26">
        <f t="shared" ref="AE59" si="82">SUM(AE53:AE58)</f>
        <v>0</v>
      </c>
      <c r="AF59" s="26">
        <f t="shared" ref="AF59" si="83">SUM(AF53:AF58)</f>
        <v>0</v>
      </c>
      <c r="AG59" s="26">
        <f t="shared" ref="AG59" si="84">SUM(AG53:AG58)</f>
        <v>0</v>
      </c>
      <c r="AH59" s="26">
        <f t="shared" ref="AH59" si="85">SUM(AH53:AH58)</f>
        <v>0</v>
      </c>
      <c r="AI59" s="26">
        <f t="shared" ref="AI59" si="86">SUM(AI53:AI58)</f>
        <v>0</v>
      </c>
    </row>
    <row r="60" spans="3:35" x14ac:dyDescent="0.25"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</row>
    <row r="61" spans="3:35" x14ac:dyDescent="0.25">
      <c r="C61" s="1" t="s">
        <v>116</v>
      </c>
      <c r="D61" s="27">
        <f>26.021-29.76</f>
        <v>-3.7390000000000008</v>
      </c>
      <c r="E61" s="27">
        <v>-31.931000000000001</v>
      </c>
      <c r="F61" s="27">
        <v>-33.787999999999997</v>
      </c>
      <c r="G61" s="27">
        <v>-47.198</v>
      </c>
      <c r="H61" s="27">
        <v>-70.447999999999993</v>
      </c>
      <c r="I61" s="27">
        <v>-23.295999999999999</v>
      </c>
      <c r="J61" s="27">
        <v>-32.575000000000003</v>
      </c>
      <c r="K61" s="27">
        <v>-15.38</v>
      </c>
      <c r="L61" s="27">
        <v>-49.28</v>
      </c>
      <c r="M61" s="27">
        <v>-36.826000000000001</v>
      </c>
      <c r="N61" s="27">
        <v>-24.599</v>
      </c>
      <c r="O61" s="27">
        <v>-27.756</v>
      </c>
      <c r="P61" s="27">
        <v>-45.173999999999999</v>
      </c>
      <c r="Q61" s="27">
        <v>-25.4</v>
      </c>
      <c r="R61" s="27">
        <v>-24.388999999999999</v>
      </c>
      <c r="S61" s="27">
        <v>-36.347999999999999</v>
      </c>
      <c r="T61" s="27">
        <v>-73.747</v>
      </c>
      <c r="U61" s="27"/>
      <c r="V61" s="27"/>
      <c r="W61" s="27"/>
    </row>
    <row r="62" spans="3:35" x14ac:dyDescent="0.25">
      <c r="C62" s="1" t="s">
        <v>117</v>
      </c>
      <c r="D62" s="27">
        <v>0.63700000000000001</v>
      </c>
      <c r="E62" s="27">
        <v>-5.6260000000000003</v>
      </c>
      <c r="F62" s="27">
        <v>-87.361999999999995</v>
      </c>
      <c r="G62" s="27">
        <v>0</v>
      </c>
      <c r="H62" s="27">
        <v>-216.59800000000001</v>
      </c>
      <c r="I62" s="27">
        <v>0</v>
      </c>
      <c r="J62" s="27">
        <v>0</v>
      </c>
      <c r="K62" s="27">
        <v>0</v>
      </c>
      <c r="L62" s="27">
        <v>0.74</v>
      </c>
      <c r="M62" s="27">
        <v>18.3</v>
      </c>
      <c r="N62" s="27">
        <v>0</v>
      </c>
      <c r="O62" s="27">
        <v>0</v>
      </c>
      <c r="P62" s="27">
        <v>4.8</v>
      </c>
      <c r="Q62" s="27">
        <v>0</v>
      </c>
      <c r="R62" s="27">
        <v>0</v>
      </c>
      <c r="S62" s="27">
        <v>-3.3000000000000002E-2</v>
      </c>
      <c r="T62" s="27">
        <v>0</v>
      </c>
      <c r="U62" s="27"/>
      <c r="V62" s="27"/>
      <c r="W62" s="27"/>
    </row>
    <row r="63" spans="3:35" x14ac:dyDescent="0.25">
      <c r="C63" s="9" t="s">
        <v>118</v>
      </c>
      <c r="D63" s="26">
        <f t="shared" ref="D63:P63" si="87">SUM(D61:D62)</f>
        <v>-3.1020000000000008</v>
      </c>
      <c r="E63" s="26">
        <f t="shared" si="87"/>
        <v>-37.557000000000002</v>
      </c>
      <c r="F63" s="26">
        <f t="shared" si="87"/>
        <v>-121.14999999999999</v>
      </c>
      <c r="G63" s="26">
        <f t="shared" si="87"/>
        <v>-47.198</v>
      </c>
      <c r="H63" s="26">
        <f t="shared" si="87"/>
        <v>-287.04599999999999</v>
      </c>
      <c r="I63" s="26">
        <f t="shared" si="87"/>
        <v>-23.295999999999999</v>
      </c>
      <c r="J63" s="26">
        <f t="shared" si="87"/>
        <v>-32.575000000000003</v>
      </c>
      <c r="K63" s="26">
        <f t="shared" si="87"/>
        <v>-15.38</v>
      </c>
      <c r="L63" s="26">
        <f t="shared" si="87"/>
        <v>-48.54</v>
      </c>
      <c r="M63" s="26">
        <f t="shared" si="87"/>
        <v>-18.526</v>
      </c>
      <c r="N63" s="26">
        <f t="shared" si="87"/>
        <v>-24.599</v>
      </c>
      <c r="O63" s="26">
        <f t="shared" si="87"/>
        <v>-27.756</v>
      </c>
      <c r="P63" s="26">
        <f t="shared" si="87"/>
        <v>-40.374000000000002</v>
      </c>
      <c r="Q63" s="26">
        <f>SUM(Q61:Q62)</f>
        <v>-25.4</v>
      </c>
      <c r="R63" s="26">
        <f>SUM(R61:R62)</f>
        <v>-24.388999999999999</v>
      </c>
      <c r="S63" s="26">
        <f>SUM(S61:S62)</f>
        <v>-36.381</v>
      </c>
      <c r="T63" s="26">
        <f t="shared" ref="T63:W63" si="88">SUM(T61:T62)</f>
        <v>-73.747</v>
      </c>
      <c r="U63" s="26">
        <f t="shared" si="88"/>
        <v>0</v>
      </c>
      <c r="V63" s="26">
        <f t="shared" si="88"/>
        <v>0</v>
      </c>
      <c r="W63" s="26">
        <f t="shared" si="88"/>
        <v>0</v>
      </c>
      <c r="Z63" s="26">
        <f t="shared" ref="Z63" si="89">SUM(Z61:Z62)</f>
        <v>0</v>
      </c>
      <c r="AA63" s="26">
        <f t="shared" ref="AA63" si="90">SUM(AA61:AA62)</f>
        <v>0</v>
      </c>
      <c r="AB63" s="26">
        <f t="shared" ref="AB63" si="91">SUM(AB61:AB62)</f>
        <v>0</v>
      </c>
      <c r="AC63" s="26">
        <f t="shared" ref="AC63" si="92">SUM(AC61:AC62)</f>
        <v>0</v>
      </c>
      <c r="AD63" s="26">
        <f t="shared" ref="AD63" si="93">SUM(AD61:AD62)</f>
        <v>0</v>
      </c>
      <c r="AE63" s="26">
        <f t="shared" ref="AE63" si="94">SUM(AE61:AE62)</f>
        <v>0</v>
      </c>
      <c r="AF63" s="26">
        <f t="shared" ref="AF63" si="95">SUM(AF61:AF62)</f>
        <v>0</v>
      </c>
      <c r="AG63" s="26">
        <f t="shared" ref="AG63" si="96">SUM(AG61:AG62)</f>
        <v>0</v>
      </c>
      <c r="AH63" s="26">
        <f t="shared" ref="AH63" si="97">SUM(AH61:AH62)</f>
        <v>0</v>
      </c>
      <c r="AI63" s="26">
        <f t="shared" ref="AI63" si="98">SUM(AI61:AI62)</f>
        <v>0</v>
      </c>
    </row>
    <row r="64" spans="3:35" x14ac:dyDescent="0.25">
      <c r="C64" s="10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</row>
    <row r="65" spans="3:35" x14ac:dyDescent="0.25">
      <c r="C65" s="1" t="s">
        <v>119</v>
      </c>
      <c r="D65" s="27">
        <v>0</v>
      </c>
      <c r="E65" s="27">
        <v>350</v>
      </c>
      <c r="F65" s="27">
        <v>-50</v>
      </c>
      <c r="G65" s="27">
        <v>-300</v>
      </c>
      <c r="H65" s="27">
        <v>310</v>
      </c>
      <c r="I65" s="27">
        <v>90</v>
      </c>
      <c r="J65" s="27">
        <v>-150</v>
      </c>
      <c r="K65" s="27">
        <v>-250</v>
      </c>
      <c r="L65" s="27">
        <v>0</v>
      </c>
      <c r="M65" s="27">
        <v>193.346</v>
      </c>
      <c r="N65" s="27">
        <v>44.494999999999997</v>
      </c>
      <c r="O65" s="27">
        <v>-379.846</v>
      </c>
      <c r="P65" s="27">
        <v>363.54700000000003</v>
      </c>
      <c r="Q65" s="27">
        <v>501.6</v>
      </c>
      <c r="R65" s="27">
        <v>-20.463000000000001</v>
      </c>
      <c r="S65" s="27">
        <v>-313.74299999999999</v>
      </c>
      <c r="T65" s="27">
        <v>81.174999999999997</v>
      </c>
      <c r="U65" s="27"/>
      <c r="V65" s="27"/>
      <c r="W65" s="27"/>
    </row>
    <row r="66" spans="3:35" x14ac:dyDescent="0.25">
      <c r="C66" s="1" t="s">
        <v>120</v>
      </c>
      <c r="D66" s="27">
        <v>-1.25</v>
      </c>
      <c r="E66" s="27">
        <v>-1.25</v>
      </c>
      <c r="F66" s="27">
        <v>-1.25</v>
      </c>
      <c r="G66" s="27">
        <v>-1.25</v>
      </c>
      <c r="H66" s="27">
        <v>-1.25</v>
      </c>
      <c r="I66" s="27">
        <v>-1.25</v>
      </c>
      <c r="J66" s="27">
        <v>-1.25</v>
      </c>
      <c r="K66" s="27">
        <v>-41.988</v>
      </c>
      <c r="L66" s="27">
        <v>-10.942</v>
      </c>
      <c r="M66" s="27">
        <v>-9.6</v>
      </c>
      <c r="N66" s="27">
        <v>-1.423</v>
      </c>
      <c r="O66" s="27">
        <v>-0.54400000000000004</v>
      </c>
      <c r="P66" s="27">
        <v>-25.25</v>
      </c>
      <c r="Q66" s="27">
        <v>0</v>
      </c>
      <c r="R66" s="27">
        <v>0</v>
      </c>
      <c r="S66" s="27">
        <v>-1.294</v>
      </c>
      <c r="T66" s="27">
        <v>0</v>
      </c>
      <c r="U66" s="27"/>
      <c r="V66" s="27"/>
      <c r="W66" s="27"/>
    </row>
    <row r="67" spans="3:35" x14ac:dyDescent="0.25">
      <c r="C67" s="1" t="s">
        <v>121</v>
      </c>
      <c r="D67" s="27">
        <v>-121.46299999999999</v>
      </c>
      <c r="E67" s="27">
        <v>-120.309</v>
      </c>
      <c r="F67" s="27">
        <v>-118.456</v>
      </c>
      <c r="G67" s="27">
        <v>-121.78100000000001</v>
      </c>
      <c r="H67" s="27">
        <v>-131.33500000000001</v>
      </c>
      <c r="I67" s="27">
        <v>-133.17599999999999</v>
      </c>
      <c r="J67" s="27">
        <v>-133.1</v>
      </c>
      <c r="K67" s="27">
        <v>-132.56</v>
      </c>
      <c r="L67" s="27">
        <v>-141.268</v>
      </c>
      <c r="M67" s="27">
        <v>-188.51400000000001</v>
      </c>
      <c r="N67" s="27">
        <v>-209.91200000000001</v>
      </c>
      <c r="O67" s="27">
        <v>-213.822</v>
      </c>
      <c r="P67" s="27">
        <v>-210.89099999999999</v>
      </c>
      <c r="Q67" s="27">
        <v>-223.91399999999999</v>
      </c>
      <c r="R67" s="27">
        <v>-222.3</v>
      </c>
      <c r="S67" s="27">
        <v>-234.227</v>
      </c>
      <c r="T67" s="27">
        <v>-223.602</v>
      </c>
      <c r="U67" s="27"/>
      <c r="V67" s="27"/>
      <c r="W67" s="27"/>
    </row>
    <row r="68" spans="3:35" x14ac:dyDescent="0.25">
      <c r="C68" s="1" t="s">
        <v>122</v>
      </c>
      <c r="D68" s="27">
        <v>0</v>
      </c>
      <c r="E68" s="27">
        <v>-643.88599999999997</v>
      </c>
      <c r="F68" s="27">
        <v>0</v>
      </c>
      <c r="G68" s="27">
        <v>0</v>
      </c>
      <c r="H68" s="27">
        <v>0</v>
      </c>
      <c r="I68" s="27">
        <v>-603.86500000000001</v>
      </c>
      <c r="J68" s="27">
        <v>0</v>
      </c>
      <c r="K68" s="27">
        <v>0</v>
      </c>
      <c r="L68" s="27">
        <v>0</v>
      </c>
      <c r="M68" s="27">
        <v>-523.40300000000002</v>
      </c>
      <c r="N68" s="27">
        <v>-0.23400000000000001</v>
      </c>
      <c r="O68" s="27">
        <v>7.8E-2</v>
      </c>
      <c r="P68" s="27">
        <v>0</v>
      </c>
      <c r="Q68" s="27">
        <v>-573.13499999999999</v>
      </c>
      <c r="R68" s="27">
        <v>0</v>
      </c>
      <c r="S68" s="27">
        <v>0</v>
      </c>
      <c r="T68" s="27">
        <v>0</v>
      </c>
      <c r="U68" s="27"/>
      <c r="V68" s="27"/>
      <c r="W68" s="27"/>
    </row>
    <row r="69" spans="3:35" x14ac:dyDescent="0.25">
      <c r="C69" s="1" t="s">
        <v>123</v>
      </c>
      <c r="D69" s="27">
        <v>0</v>
      </c>
      <c r="E69" s="27">
        <v>0</v>
      </c>
      <c r="F69" s="27">
        <v>2.9</v>
      </c>
      <c r="G69" s="27">
        <v>0</v>
      </c>
      <c r="H69" s="27">
        <v>0</v>
      </c>
      <c r="I69" s="27">
        <v>0</v>
      </c>
      <c r="J69" s="27">
        <v>0.85</v>
      </c>
      <c r="K69" s="27">
        <v>0</v>
      </c>
      <c r="L69" s="27">
        <v>0</v>
      </c>
      <c r="M69" s="27">
        <v>1.35</v>
      </c>
      <c r="N69" s="27">
        <v>0</v>
      </c>
      <c r="O69" s="27">
        <v>0</v>
      </c>
      <c r="P69" s="27">
        <v>0</v>
      </c>
      <c r="Q69" s="27">
        <v>0</v>
      </c>
      <c r="R69" s="27">
        <v>0</v>
      </c>
      <c r="S69" s="27">
        <v>0</v>
      </c>
      <c r="T69" s="27">
        <v>0</v>
      </c>
      <c r="U69" s="27"/>
      <c r="V69" s="27"/>
      <c r="W69" s="27"/>
    </row>
    <row r="70" spans="3:35" x14ac:dyDescent="0.25">
      <c r="C70" s="1" t="s">
        <v>124</v>
      </c>
      <c r="D70" s="27">
        <v>-16.5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-0.23400000000000001</v>
      </c>
      <c r="K70" s="27">
        <v>0</v>
      </c>
      <c r="L70" s="27">
        <v>0</v>
      </c>
      <c r="M70" s="27">
        <v>0</v>
      </c>
      <c r="N70" s="27">
        <v>0</v>
      </c>
      <c r="O70" s="27">
        <v>-7.8E-2</v>
      </c>
      <c r="P70" s="27">
        <v>0</v>
      </c>
      <c r="Q70" s="27">
        <v>-0.17899999999999999</v>
      </c>
      <c r="R70" s="27">
        <v>0</v>
      </c>
      <c r="S70" s="27">
        <v>0</v>
      </c>
      <c r="T70" s="27">
        <v>0</v>
      </c>
      <c r="U70" s="27"/>
      <c r="V70" s="27"/>
      <c r="W70" s="27"/>
    </row>
    <row r="71" spans="3:35" x14ac:dyDescent="0.25">
      <c r="C71" s="9" t="s">
        <v>125</v>
      </c>
      <c r="D71" s="26">
        <f t="shared" ref="D71:R71" si="99">SUM(D65:D70)</f>
        <v>-139.21299999999999</v>
      </c>
      <c r="E71" s="26">
        <f t="shared" si="99"/>
        <v>-415.44499999999994</v>
      </c>
      <c r="F71" s="26">
        <f t="shared" si="99"/>
        <v>-166.80600000000001</v>
      </c>
      <c r="G71" s="26">
        <f t="shared" si="99"/>
        <v>-423.03100000000001</v>
      </c>
      <c r="H71" s="26">
        <f t="shared" si="99"/>
        <v>177.41499999999999</v>
      </c>
      <c r="I71" s="26">
        <f t="shared" si="99"/>
        <v>-648.29099999999994</v>
      </c>
      <c r="J71" s="26">
        <f t="shared" si="99"/>
        <v>-283.73399999999998</v>
      </c>
      <c r="K71" s="26">
        <f t="shared" si="99"/>
        <v>-424.548</v>
      </c>
      <c r="L71" s="26">
        <f t="shared" si="99"/>
        <v>-152.21</v>
      </c>
      <c r="M71" s="26">
        <f t="shared" si="99"/>
        <v>-526.82100000000003</v>
      </c>
      <c r="N71" s="26">
        <f t="shared" si="99"/>
        <v>-167.07400000000001</v>
      </c>
      <c r="O71" s="26">
        <f t="shared" si="99"/>
        <v>-594.21199999999999</v>
      </c>
      <c r="P71" s="26">
        <f t="shared" si="99"/>
        <v>127.40600000000003</v>
      </c>
      <c r="Q71" s="26">
        <f t="shared" si="99"/>
        <v>-295.62799999999993</v>
      </c>
      <c r="R71" s="26">
        <f t="shared" si="99"/>
        <v>-242.76300000000001</v>
      </c>
      <c r="S71" s="26">
        <f>SUM(S65:S70)</f>
        <v>-549.26400000000001</v>
      </c>
      <c r="T71" s="26">
        <f t="shared" ref="T71:W71" si="100">SUM(T65:T70)</f>
        <v>-142.42700000000002</v>
      </c>
      <c r="U71" s="26">
        <f t="shared" si="100"/>
        <v>0</v>
      </c>
      <c r="V71" s="26">
        <f t="shared" si="100"/>
        <v>0</v>
      </c>
      <c r="W71" s="26">
        <f t="shared" si="100"/>
        <v>0</v>
      </c>
      <c r="Z71" s="26">
        <f t="shared" ref="Z71" si="101">SUM(Z65:Z70)</f>
        <v>0</v>
      </c>
      <c r="AA71" s="26">
        <f t="shared" ref="AA71" si="102">SUM(AA65:AA70)</f>
        <v>0</v>
      </c>
      <c r="AB71" s="26">
        <f t="shared" ref="AB71" si="103">SUM(AB65:AB70)</f>
        <v>0</v>
      </c>
      <c r="AC71" s="26">
        <f t="shared" ref="AC71" si="104">SUM(AC65:AC70)</f>
        <v>0</v>
      </c>
      <c r="AD71" s="26">
        <f t="shared" ref="AD71" si="105">SUM(AD65:AD70)</f>
        <v>0</v>
      </c>
      <c r="AE71" s="26">
        <f t="shared" ref="AE71" si="106">SUM(AE65:AE70)</f>
        <v>0</v>
      </c>
      <c r="AF71" s="26">
        <f t="shared" ref="AF71" si="107">SUM(AF65:AF70)</f>
        <v>0</v>
      </c>
      <c r="AG71" s="26">
        <f t="shared" ref="AG71" si="108">SUM(AG65:AG70)</f>
        <v>0</v>
      </c>
      <c r="AH71" s="26">
        <f t="shared" ref="AH71" si="109">SUM(AH65:AH70)</f>
        <v>0</v>
      </c>
      <c r="AI71" s="26">
        <f t="shared" ref="AI71" si="110">SUM(AI65:AI70)</f>
        <v>0</v>
      </c>
    </row>
    <row r="72" spans="3:35" x14ac:dyDescent="0.25"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</row>
    <row r="73" spans="3:35" x14ac:dyDescent="0.25">
      <c r="C73" s="1" t="s">
        <v>126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7">
        <v>0.34899999999999998</v>
      </c>
      <c r="Q73" s="27">
        <v>0.14899999999999999</v>
      </c>
      <c r="R73" s="27">
        <v>0</v>
      </c>
      <c r="S73" s="27">
        <v>0.51900000000000002</v>
      </c>
      <c r="T73" s="27">
        <v>-1.5009999999999999</v>
      </c>
      <c r="U73" s="27"/>
      <c r="V73" s="27"/>
      <c r="W73" s="27"/>
    </row>
    <row r="74" spans="3:35" x14ac:dyDescent="0.25"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</row>
    <row r="75" spans="3:35" x14ac:dyDescent="0.25">
      <c r="C75" s="1" t="s">
        <v>127</v>
      </c>
      <c r="D75" s="27">
        <f t="shared" ref="D75:R75" si="111">D59+D63+D71+D73</f>
        <v>-576.49999999999989</v>
      </c>
      <c r="E75" s="27">
        <f t="shared" si="111"/>
        <v>-26.737999999999886</v>
      </c>
      <c r="F75" s="27">
        <f t="shared" si="111"/>
        <v>-91.625999999999962</v>
      </c>
      <c r="G75" s="27">
        <f t="shared" si="111"/>
        <v>588.48900000000003</v>
      </c>
      <c r="H75" s="27">
        <f t="shared" si="111"/>
        <v>-477.13000000000011</v>
      </c>
      <c r="I75" s="27">
        <f t="shared" si="111"/>
        <v>-97.505999999999972</v>
      </c>
      <c r="J75" s="27">
        <f t="shared" si="111"/>
        <v>209.274</v>
      </c>
      <c r="K75" s="27">
        <f t="shared" si="111"/>
        <v>595.04300000000001</v>
      </c>
      <c r="L75" s="27">
        <f t="shared" si="111"/>
        <v>-480.76900000000001</v>
      </c>
      <c r="M75" s="27">
        <f t="shared" si="111"/>
        <v>-55.992999999999995</v>
      </c>
      <c r="N75" s="27">
        <f t="shared" si="111"/>
        <v>-34.851000000000028</v>
      </c>
      <c r="O75" s="27">
        <f t="shared" si="111"/>
        <v>508.9079999999999</v>
      </c>
      <c r="P75" s="27">
        <f t="shared" si="111"/>
        <v>-456.60700000000003</v>
      </c>
      <c r="Q75" s="27">
        <f t="shared" si="111"/>
        <v>182.55900000000008</v>
      </c>
      <c r="R75" s="27">
        <f t="shared" si="111"/>
        <v>27.051000000000016</v>
      </c>
      <c r="S75" s="27">
        <f>S59+S63+S71+S73</f>
        <v>631.42099999999971</v>
      </c>
      <c r="T75" s="27">
        <f t="shared" ref="T75:W75" si="112">T59+T63+T71+T73</f>
        <v>-380.8359999999999</v>
      </c>
      <c r="U75" s="27">
        <f t="shared" si="112"/>
        <v>0</v>
      </c>
      <c r="V75" s="27">
        <f t="shared" si="112"/>
        <v>0</v>
      </c>
      <c r="W75" s="27">
        <f t="shared" si="112"/>
        <v>0</v>
      </c>
      <c r="Z75" s="27">
        <f t="shared" ref="Z75:AI75" si="113">Z59+Z63+Z71+Z73</f>
        <v>0</v>
      </c>
      <c r="AA75" s="27">
        <f t="shared" si="113"/>
        <v>0</v>
      </c>
      <c r="AB75" s="27">
        <f t="shared" si="113"/>
        <v>0</v>
      </c>
      <c r="AC75" s="27">
        <f t="shared" si="113"/>
        <v>0</v>
      </c>
      <c r="AD75" s="27">
        <f t="shared" si="113"/>
        <v>0</v>
      </c>
      <c r="AE75" s="27">
        <f t="shared" si="113"/>
        <v>0</v>
      </c>
      <c r="AF75" s="27">
        <f t="shared" si="113"/>
        <v>0</v>
      </c>
      <c r="AG75" s="27">
        <f t="shared" si="113"/>
        <v>0</v>
      </c>
      <c r="AH75" s="27">
        <f t="shared" si="113"/>
        <v>0</v>
      </c>
      <c r="AI75" s="27">
        <f t="shared" si="113"/>
        <v>0</v>
      </c>
    </row>
    <row r="76" spans="3:35" x14ac:dyDescent="0.25"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</row>
    <row r="77" spans="3:35" x14ac:dyDescent="0.25">
      <c r="C77" s="1" t="s">
        <v>128</v>
      </c>
      <c r="D77" s="27">
        <f t="shared" ref="D77:R77" si="114">D59+D61</f>
        <v>-437.92399999999992</v>
      </c>
      <c r="E77" s="27">
        <f t="shared" si="114"/>
        <v>394.33300000000008</v>
      </c>
      <c r="F77" s="27">
        <f t="shared" si="114"/>
        <v>162.54200000000003</v>
      </c>
      <c r="G77" s="27">
        <f t="shared" si="114"/>
        <v>1011.5200000000001</v>
      </c>
      <c r="H77" s="27">
        <f t="shared" si="114"/>
        <v>-437.947</v>
      </c>
      <c r="I77" s="27">
        <f t="shared" si="114"/>
        <v>550.78499999999997</v>
      </c>
      <c r="J77" s="27">
        <f t="shared" si="114"/>
        <v>493.00799999999998</v>
      </c>
      <c r="K77" s="27">
        <f t="shared" si="114"/>
        <v>1019.591</v>
      </c>
      <c r="L77" s="27">
        <f t="shared" si="114"/>
        <v>-329.29899999999998</v>
      </c>
      <c r="M77" s="27">
        <f t="shared" si="114"/>
        <v>452.52800000000002</v>
      </c>
      <c r="N77" s="27">
        <f t="shared" si="114"/>
        <v>132.22299999999998</v>
      </c>
      <c r="O77" s="27">
        <f t="shared" si="114"/>
        <v>1103.1199999999999</v>
      </c>
      <c r="P77" s="27">
        <f t="shared" si="114"/>
        <v>-589.16200000000003</v>
      </c>
      <c r="Q77" s="27">
        <f t="shared" si="114"/>
        <v>478.03800000000001</v>
      </c>
      <c r="R77" s="27">
        <f t="shared" si="114"/>
        <v>269.81400000000002</v>
      </c>
      <c r="S77" s="27">
        <f>S59+S61</f>
        <v>1180.1989999999998</v>
      </c>
      <c r="T77" s="27">
        <f t="shared" ref="T77:W77" si="115">T59+T61</f>
        <v>-236.9079999999999</v>
      </c>
      <c r="U77" s="27">
        <f t="shared" si="115"/>
        <v>0</v>
      </c>
      <c r="V77" s="27">
        <f t="shared" si="115"/>
        <v>0</v>
      </c>
      <c r="W77" s="27">
        <f t="shared" si="115"/>
        <v>0</v>
      </c>
      <c r="Z77" s="27">
        <f t="shared" ref="Z77:AI77" si="116">Z59+Z61</f>
        <v>0</v>
      </c>
      <c r="AA77" s="27">
        <f t="shared" si="116"/>
        <v>0</v>
      </c>
      <c r="AB77" s="27">
        <f t="shared" si="116"/>
        <v>0</v>
      </c>
      <c r="AC77" s="27">
        <f t="shared" si="116"/>
        <v>0</v>
      </c>
      <c r="AD77" s="27">
        <f t="shared" si="116"/>
        <v>0</v>
      </c>
      <c r="AE77" s="27">
        <f t="shared" si="116"/>
        <v>0</v>
      </c>
      <c r="AF77" s="27">
        <f t="shared" si="116"/>
        <v>0</v>
      </c>
      <c r="AG77" s="27">
        <f t="shared" si="116"/>
        <v>0</v>
      </c>
      <c r="AH77" s="27">
        <f t="shared" si="116"/>
        <v>0</v>
      </c>
      <c r="AI77" s="27">
        <f t="shared" si="116"/>
        <v>0</v>
      </c>
    </row>
    <row r="80" spans="3:35" x14ac:dyDescent="0.25">
      <c r="S80" s="27"/>
    </row>
    <row r="81" spans="19:19" x14ac:dyDescent="0.25">
      <c r="S81" s="27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530B-66A2-7E43-964E-4B942CFACD73}">
  <dimension ref="B5:AC29"/>
  <sheetViews>
    <sheetView showGridLines="0" workbookViewId="0">
      <pane xSplit="2" ySplit="5" topLeftCell="M6" activePane="bottomRight" state="frozen"/>
      <selection pane="topRight" activeCell="C1" sqref="C1"/>
      <selection pane="bottomLeft" activeCell="A6" sqref="A6"/>
      <selection pane="bottomRight" activeCell="AC15" sqref="AC15"/>
    </sheetView>
  </sheetViews>
  <sheetFormatPr baseColWidth="10" defaultRowHeight="19" x14ac:dyDescent="0.25"/>
  <cols>
    <col min="1" max="1" width="10.83203125" style="1"/>
    <col min="2" max="2" width="15.83203125" style="1" customWidth="1"/>
    <col min="3" max="20" width="10.83203125" style="1"/>
    <col min="21" max="21" width="11.5" style="1" bestFit="1" customWidth="1"/>
    <col min="22" max="16384" width="10.83203125" style="1"/>
  </cols>
  <sheetData>
    <row r="5" spans="2:29" x14ac:dyDescent="0.25">
      <c r="B5" s="12" t="s">
        <v>35</v>
      </c>
      <c r="C5" s="11" t="s">
        <v>7</v>
      </c>
      <c r="D5" s="11" t="s">
        <v>8</v>
      </c>
      <c r="E5" s="11" t="s">
        <v>9</v>
      </c>
      <c r="F5" s="11" t="s">
        <v>10</v>
      </c>
      <c r="G5" s="18">
        <v>2022</v>
      </c>
      <c r="H5" s="11" t="s">
        <v>11</v>
      </c>
      <c r="I5" s="11" t="s">
        <v>12</v>
      </c>
      <c r="J5" s="11" t="s">
        <v>14</v>
      </c>
      <c r="K5" s="11" t="s">
        <v>15</v>
      </c>
      <c r="L5" s="18">
        <v>2023</v>
      </c>
      <c r="M5" s="11" t="s">
        <v>16</v>
      </c>
      <c r="N5" s="11" t="s">
        <v>17</v>
      </c>
      <c r="O5" s="11" t="s">
        <v>13</v>
      </c>
      <c r="P5" s="11" t="s">
        <v>18</v>
      </c>
      <c r="Q5" s="14">
        <v>2024</v>
      </c>
      <c r="R5" s="11" t="s">
        <v>37</v>
      </c>
      <c r="S5" s="11" t="s">
        <v>38</v>
      </c>
      <c r="T5" s="11" t="s">
        <v>39</v>
      </c>
      <c r="U5" s="11" t="s">
        <v>40</v>
      </c>
      <c r="V5" s="18">
        <v>2025</v>
      </c>
      <c r="W5" s="11" t="s">
        <v>41</v>
      </c>
      <c r="X5" s="11" t="s">
        <v>42</v>
      </c>
      <c r="Y5" s="11" t="s">
        <v>43</v>
      </c>
      <c r="Z5" s="11" t="s">
        <v>44</v>
      </c>
      <c r="AA5" s="14">
        <v>2026</v>
      </c>
    </row>
    <row r="6" spans="2:29" x14ac:dyDescent="0.25">
      <c r="B6" s="9" t="s">
        <v>52</v>
      </c>
      <c r="G6" s="19"/>
      <c r="L6" s="19"/>
      <c r="V6" s="19"/>
    </row>
    <row r="7" spans="2:29" x14ac:dyDescent="0.25">
      <c r="B7" s="9" t="s">
        <v>54</v>
      </c>
      <c r="C7" s="26"/>
      <c r="D7" s="26"/>
      <c r="E7" s="26"/>
      <c r="F7" s="26"/>
      <c r="G7" s="35"/>
      <c r="H7" s="26"/>
      <c r="I7" s="26"/>
      <c r="J7" s="26"/>
      <c r="K7" s="26"/>
      <c r="L7" s="35"/>
      <c r="M7" s="26">
        <v>2026</v>
      </c>
      <c r="N7" s="26">
        <v>2381</v>
      </c>
      <c r="O7" s="26">
        <v>2248</v>
      </c>
      <c r="P7" s="26">
        <v>3223</v>
      </c>
      <c r="Q7" s="35">
        <f>SUM(M7:P7)</f>
        <v>9878</v>
      </c>
      <c r="R7" s="26">
        <v>2050</v>
      </c>
      <c r="S7" s="26">
        <v>2660</v>
      </c>
      <c r="T7" s="26">
        <v>2508</v>
      </c>
      <c r="U7" s="26">
        <v>3372</v>
      </c>
      <c r="V7" s="35">
        <f>SUM(R7:U7)</f>
        <v>10590</v>
      </c>
      <c r="W7" s="26">
        <v>2332</v>
      </c>
      <c r="X7" s="26"/>
      <c r="Y7" s="26"/>
      <c r="Z7" s="26"/>
      <c r="AA7" s="26"/>
    </row>
    <row r="8" spans="2:29" x14ac:dyDescent="0.25">
      <c r="B8" s="13" t="s">
        <v>55</v>
      </c>
      <c r="C8" s="13"/>
      <c r="D8" s="13"/>
      <c r="E8" s="13"/>
      <c r="F8" s="13"/>
      <c r="G8" s="21"/>
      <c r="H8" s="13" t="e">
        <f t="shared" ref="H8:T8" si="0">(H7-C7)/C7</f>
        <v>#DIV/0!</v>
      </c>
      <c r="I8" s="13" t="e">
        <f t="shared" si="0"/>
        <v>#DIV/0!</v>
      </c>
      <c r="J8" s="13" t="e">
        <f t="shared" si="0"/>
        <v>#DIV/0!</v>
      </c>
      <c r="K8" s="13" t="e">
        <f t="shared" si="0"/>
        <v>#DIV/0!</v>
      </c>
      <c r="L8" s="21" t="e">
        <f t="shared" si="0"/>
        <v>#DIV/0!</v>
      </c>
      <c r="M8" s="13" t="e">
        <f t="shared" si="0"/>
        <v>#DIV/0!</v>
      </c>
      <c r="N8" s="13" t="e">
        <f t="shared" si="0"/>
        <v>#DIV/0!</v>
      </c>
      <c r="O8" s="13" t="e">
        <f t="shared" si="0"/>
        <v>#DIV/0!</v>
      </c>
      <c r="P8" s="13" t="e">
        <f t="shared" si="0"/>
        <v>#DIV/0!</v>
      </c>
      <c r="Q8" s="21" t="e">
        <f t="shared" si="0"/>
        <v>#DIV/0!</v>
      </c>
      <c r="R8" s="13">
        <f t="shared" si="0"/>
        <v>1.1846001974333662E-2</v>
      </c>
      <c r="S8" s="13">
        <f t="shared" si="0"/>
        <v>0.11717765644687106</v>
      </c>
      <c r="T8" s="13">
        <f t="shared" si="0"/>
        <v>0.11565836298932385</v>
      </c>
      <c r="U8" s="13">
        <f>(U7-P7)/P7</f>
        <v>4.6230220291653738E-2</v>
      </c>
      <c r="V8" s="21">
        <f t="shared" ref="V8:AA8" si="1">(V7-Q7)/Q7</f>
        <v>7.2079368293176752E-2</v>
      </c>
      <c r="W8" s="13">
        <f t="shared" si="1"/>
        <v>0.13756097560975611</v>
      </c>
      <c r="X8" s="13">
        <f t="shared" si="1"/>
        <v>-1</v>
      </c>
      <c r="Y8" s="13">
        <f t="shared" si="1"/>
        <v>-1</v>
      </c>
      <c r="Z8" s="13">
        <f t="shared" si="1"/>
        <v>-1</v>
      </c>
      <c r="AA8" s="13">
        <f t="shared" si="1"/>
        <v>-1</v>
      </c>
    </row>
    <row r="9" spans="2:29" x14ac:dyDescent="0.25">
      <c r="B9" s="1" t="s">
        <v>58</v>
      </c>
      <c r="C9" s="27"/>
      <c r="D9" s="27"/>
      <c r="E9" s="27"/>
      <c r="F9" s="27"/>
      <c r="G9" s="36"/>
      <c r="H9" s="27"/>
      <c r="I9" s="27"/>
      <c r="J9" s="27"/>
      <c r="K9" s="27"/>
      <c r="L9" s="36"/>
      <c r="M9" s="27">
        <v>1148</v>
      </c>
      <c r="N9" s="27">
        <v>1315</v>
      </c>
      <c r="O9" s="27">
        <v>1265</v>
      </c>
      <c r="P9" s="27">
        <v>1737</v>
      </c>
      <c r="Q9" s="35">
        <f>SUM(M9:P9)</f>
        <v>5465</v>
      </c>
      <c r="R9" s="27">
        <v>1170</v>
      </c>
      <c r="S9" s="27">
        <v>1466</v>
      </c>
      <c r="T9" s="27">
        <v>1388</v>
      </c>
      <c r="U9" s="27">
        <v>1832</v>
      </c>
      <c r="V9" s="35">
        <f>SUM(R9:U9)</f>
        <v>5856</v>
      </c>
      <c r="W9" s="27">
        <v>1341</v>
      </c>
      <c r="X9" s="27"/>
      <c r="Y9" s="27"/>
      <c r="Z9" s="27"/>
      <c r="AA9" s="27"/>
    </row>
    <row r="10" spans="2:29" x14ac:dyDescent="0.25">
      <c r="B10" s="1" t="s">
        <v>56</v>
      </c>
      <c r="C10" s="27">
        <f t="shared" ref="C10:T10" si="2">C7-C9</f>
        <v>0</v>
      </c>
      <c r="D10" s="27">
        <f t="shared" si="2"/>
        <v>0</v>
      </c>
      <c r="E10" s="27">
        <f t="shared" si="2"/>
        <v>0</v>
      </c>
      <c r="F10" s="27">
        <f t="shared" si="2"/>
        <v>0</v>
      </c>
      <c r="G10" s="36">
        <f t="shared" si="2"/>
        <v>0</v>
      </c>
      <c r="H10" s="27">
        <f t="shared" si="2"/>
        <v>0</v>
      </c>
      <c r="I10" s="27">
        <f t="shared" si="2"/>
        <v>0</v>
      </c>
      <c r="J10" s="27">
        <f t="shared" si="2"/>
        <v>0</v>
      </c>
      <c r="K10" s="27">
        <f t="shared" si="2"/>
        <v>0</v>
      </c>
      <c r="L10" s="36">
        <f t="shared" si="2"/>
        <v>0</v>
      </c>
      <c r="M10" s="27">
        <f t="shared" si="2"/>
        <v>878</v>
      </c>
      <c r="N10" s="27">
        <f t="shared" si="2"/>
        <v>1066</v>
      </c>
      <c r="O10" s="27">
        <f t="shared" si="2"/>
        <v>983</v>
      </c>
      <c r="P10" s="27">
        <f t="shared" si="2"/>
        <v>1486</v>
      </c>
      <c r="Q10" s="36">
        <f t="shared" si="2"/>
        <v>4413</v>
      </c>
      <c r="R10" s="27">
        <f t="shared" si="2"/>
        <v>880</v>
      </c>
      <c r="S10" s="27">
        <f t="shared" si="2"/>
        <v>1194</v>
      </c>
      <c r="T10" s="27">
        <f t="shared" si="2"/>
        <v>1120</v>
      </c>
      <c r="U10" s="27">
        <f>U7-U9</f>
        <v>1540</v>
      </c>
      <c r="V10" s="36">
        <f t="shared" ref="V10:AA10" si="3">V7-V9</f>
        <v>4734</v>
      </c>
      <c r="W10" s="27">
        <f t="shared" si="3"/>
        <v>991</v>
      </c>
      <c r="X10" s="27">
        <f t="shared" si="3"/>
        <v>0</v>
      </c>
      <c r="Y10" s="27">
        <f t="shared" si="3"/>
        <v>0</v>
      </c>
      <c r="Z10" s="27">
        <f t="shared" si="3"/>
        <v>0</v>
      </c>
      <c r="AA10" s="27">
        <f t="shared" si="3"/>
        <v>0</v>
      </c>
    </row>
    <row r="11" spans="2:29" x14ac:dyDescent="0.25">
      <c r="B11" s="13" t="s">
        <v>57</v>
      </c>
      <c r="C11" s="13" t="e">
        <f t="shared" ref="C11:T11" si="4">C10/C7</f>
        <v>#DIV/0!</v>
      </c>
      <c r="D11" s="13" t="e">
        <f t="shared" si="4"/>
        <v>#DIV/0!</v>
      </c>
      <c r="E11" s="13" t="e">
        <f t="shared" si="4"/>
        <v>#DIV/0!</v>
      </c>
      <c r="F11" s="13" t="e">
        <f t="shared" si="4"/>
        <v>#DIV/0!</v>
      </c>
      <c r="G11" s="21" t="e">
        <f t="shared" si="4"/>
        <v>#DIV/0!</v>
      </c>
      <c r="H11" s="13" t="e">
        <f t="shared" si="4"/>
        <v>#DIV/0!</v>
      </c>
      <c r="I11" s="13" t="e">
        <f t="shared" si="4"/>
        <v>#DIV/0!</v>
      </c>
      <c r="J11" s="13" t="e">
        <f t="shared" si="4"/>
        <v>#DIV/0!</v>
      </c>
      <c r="K11" s="13" t="e">
        <f t="shared" si="4"/>
        <v>#DIV/0!</v>
      </c>
      <c r="L11" s="21" t="e">
        <f t="shared" si="4"/>
        <v>#DIV/0!</v>
      </c>
      <c r="M11" s="13">
        <f t="shared" si="4"/>
        <v>0.43336623889437315</v>
      </c>
      <c r="N11" s="13">
        <f t="shared" si="4"/>
        <v>0.44771104577908444</v>
      </c>
      <c r="O11" s="13">
        <f t="shared" si="4"/>
        <v>0.4372775800711744</v>
      </c>
      <c r="P11" s="13">
        <f t="shared" si="4"/>
        <v>0.46106112317716413</v>
      </c>
      <c r="Q11" s="21">
        <f t="shared" si="4"/>
        <v>0.44675035432273741</v>
      </c>
      <c r="R11" s="13">
        <f t="shared" si="4"/>
        <v>0.42926829268292682</v>
      </c>
      <c r="S11" s="13">
        <f t="shared" si="4"/>
        <v>0.44887218045112781</v>
      </c>
      <c r="T11" s="13">
        <f t="shared" si="4"/>
        <v>0.44657097288676234</v>
      </c>
      <c r="U11" s="13">
        <f>U10/U7</f>
        <v>0.45670225385527874</v>
      </c>
      <c r="V11" s="21">
        <f t="shared" ref="V11:AA11" si="5">V10/V7</f>
        <v>0.44702549575070821</v>
      </c>
      <c r="W11" s="13">
        <f t="shared" si="5"/>
        <v>0.42495711835334476</v>
      </c>
      <c r="X11" s="13" t="e">
        <f t="shared" si="5"/>
        <v>#DIV/0!</v>
      </c>
      <c r="Y11" s="13" t="e">
        <f t="shared" si="5"/>
        <v>#DIV/0!</v>
      </c>
      <c r="Z11" s="13" t="e">
        <f t="shared" si="5"/>
        <v>#DIV/0!</v>
      </c>
      <c r="AA11" s="13" t="e">
        <f t="shared" si="5"/>
        <v>#DIV/0!</v>
      </c>
    </row>
    <row r="12" spans="2:29" x14ac:dyDescent="0.25">
      <c r="B12" s="1" t="s">
        <v>59</v>
      </c>
      <c r="C12" s="27"/>
      <c r="D12" s="27"/>
      <c r="E12" s="27"/>
      <c r="F12" s="27"/>
      <c r="G12" s="36"/>
      <c r="H12" s="27"/>
      <c r="I12" s="27"/>
      <c r="J12" s="27"/>
      <c r="K12" s="27"/>
      <c r="L12" s="36"/>
      <c r="M12" s="27">
        <v>597</v>
      </c>
      <c r="N12" s="27">
        <v>540</v>
      </c>
      <c r="O12" s="27">
        <v>597</v>
      </c>
      <c r="P12" s="27">
        <v>646</v>
      </c>
      <c r="Q12" s="35">
        <f>SUM(M12:P12)</f>
        <v>2380</v>
      </c>
      <c r="R12" s="27">
        <v>626</v>
      </c>
      <c r="S12" s="27">
        <v>559</v>
      </c>
      <c r="T12" s="27">
        <v>649</v>
      </c>
      <c r="U12" s="27">
        <v>714</v>
      </c>
      <c r="V12" s="35">
        <f>SUM(R12:U12)</f>
        <v>2548</v>
      </c>
      <c r="W12" s="27">
        <v>665</v>
      </c>
      <c r="X12" s="27"/>
      <c r="Y12" s="27"/>
      <c r="Z12" s="27"/>
      <c r="AA12" s="27"/>
    </row>
    <row r="13" spans="2:29" x14ac:dyDescent="0.25">
      <c r="B13" s="10" t="s">
        <v>60</v>
      </c>
      <c r="C13" s="13" t="e">
        <f t="shared" ref="C13:T13" si="6">C12/C7</f>
        <v>#DIV/0!</v>
      </c>
      <c r="D13" s="13" t="e">
        <f t="shared" si="6"/>
        <v>#DIV/0!</v>
      </c>
      <c r="E13" s="13" t="e">
        <f t="shared" si="6"/>
        <v>#DIV/0!</v>
      </c>
      <c r="F13" s="13" t="e">
        <f t="shared" si="6"/>
        <v>#DIV/0!</v>
      </c>
      <c r="G13" s="21" t="e">
        <f t="shared" si="6"/>
        <v>#DIV/0!</v>
      </c>
      <c r="H13" s="13" t="e">
        <f t="shared" si="6"/>
        <v>#DIV/0!</v>
      </c>
      <c r="I13" s="13" t="e">
        <f t="shared" si="6"/>
        <v>#DIV/0!</v>
      </c>
      <c r="J13" s="13" t="e">
        <f t="shared" si="6"/>
        <v>#DIV/0!</v>
      </c>
      <c r="K13" s="13" t="e">
        <f t="shared" si="6"/>
        <v>#DIV/0!</v>
      </c>
      <c r="L13" s="21" t="e">
        <f t="shared" si="6"/>
        <v>#DIV/0!</v>
      </c>
      <c r="M13" s="13">
        <f t="shared" si="6"/>
        <v>0.29466929911154988</v>
      </c>
      <c r="N13" s="13">
        <f t="shared" si="6"/>
        <v>0.22679546409071819</v>
      </c>
      <c r="O13" s="13">
        <f t="shared" si="6"/>
        <v>0.26556939501779359</v>
      </c>
      <c r="P13" s="13">
        <f t="shared" si="6"/>
        <v>0.20043437790878063</v>
      </c>
      <c r="Q13" s="21">
        <f t="shared" si="6"/>
        <v>0.24093946142943914</v>
      </c>
      <c r="R13" s="13">
        <f t="shared" si="6"/>
        <v>0.30536585365853658</v>
      </c>
      <c r="S13" s="13">
        <f t="shared" si="6"/>
        <v>0.21015037593984962</v>
      </c>
      <c r="T13" s="13">
        <f t="shared" si="6"/>
        <v>0.25877192982456143</v>
      </c>
      <c r="U13" s="13">
        <f>U12/U7</f>
        <v>0.21174377224199289</v>
      </c>
      <c r="V13" s="21">
        <f t="shared" ref="V13:AA13" si="7">V12/V7</f>
        <v>0.24060434372049103</v>
      </c>
      <c r="W13" s="13">
        <f t="shared" si="7"/>
        <v>0.28516295025728988</v>
      </c>
      <c r="X13" s="13" t="e">
        <f t="shared" si="7"/>
        <v>#DIV/0!</v>
      </c>
      <c r="Y13" s="13" t="e">
        <f t="shared" si="7"/>
        <v>#DIV/0!</v>
      </c>
      <c r="Z13" s="13" t="e">
        <f t="shared" si="7"/>
        <v>#DIV/0!</v>
      </c>
      <c r="AA13" s="13" t="e">
        <f t="shared" si="7"/>
        <v>#DIV/0!</v>
      </c>
      <c r="AB13" s="15"/>
      <c r="AC13" s="10"/>
    </row>
    <row r="14" spans="2:29" x14ac:dyDescent="0.25">
      <c r="B14" s="9" t="s">
        <v>61</v>
      </c>
      <c r="C14" s="26"/>
      <c r="D14" s="26"/>
      <c r="E14" s="26"/>
      <c r="F14" s="26"/>
      <c r="G14" s="35"/>
      <c r="H14" s="26"/>
      <c r="I14" s="26"/>
      <c r="J14" s="26"/>
      <c r="K14" s="26"/>
      <c r="L14" s="35"/>
      <c r="M14" s="26">
        <v>281</v>
      </c>
      <c r="N14" s="26">
        <v>525</v>
      </c>
      <c r="O14" s="26">
        <v>386</v>
      </c>
      <c r="P14" s="26">
        <v>840</v>
      </c>
      <c r="Q14" s="35">
        <f>SUM(M14:P14)</f>
        <v>2032</v>
      </c>
      <c r="R14" s="26">
        <v>254</v>
      </c>
      <c r="S14" s="26">
        <v>635</v>
      </c>
      <c r="T14" s="26">
        <v>471</v>
      </c>
      <c r="U14" s="26">
        <v>826</v>
      </c>
      <c r="V14" s="35">
        <f>SUM(R14:U14)</f>
        <v>2186</v>
      </c>
      <c r="W14" s="26">
        <v>325</v>
      </c>
      <c r="X14" s="26"/>
      <c r="Y14" s="26"/>
      <c r="Z14" s="26"/>
      <c r="AA14" s="26"/>
      <c r="AC14" s="1">
        <f>(2250/V14)-1</f>
        <v>2.9277218664226945E-2</v>
      </c>
    </row>
    <row r="15" spans="2:29" x14ac:dyDescent="0.25">
      <c r="B15" s="10" t="s">
        <v>62</v>
      </c>
      <c r="C15" s="13" t="e">
        <f t="shared" ref="C15:T15" si="8">C14/C7</f>
        <v>#DIV/0!</v>
      </c>
      <c r="D15" s="13" t="e">
        <f t="shared" si="8"/>
        <v>#DIV/0!</v>
      </c>
      <c r="E15" s="13" t="e">
        <f t="shared" si="8"/>
        <v>#DIV/0!</v>
      </c>
      <c r="F15" s="13" t="e">
        <f t="shared" si="8"/>
        <v>#DIV/0!</v>
      </c>
      <c r="G15" s="21" t="e">
        <f t="shared" si="8"/>
        <v>#DIV/0!</v>
      </c>
      <c r="H15" s="13" t="e">
        <f t="shared" si="8"/>
        <v>#DIV/0!</v>
      </c>
      <c r="I15" s="13" t="e">
        <f t="shared" si="8"/>
        <v>#DIV/0!</v>
      </c>
      <c r="J15" s="13" t="e">
        <f t="shared" si="8"/>
        <v>#DIV/0!</v>
      </c>
      <c r="K15" s="13" t="e">
        <f t="shared" si="8"/>
        <v>#DIV/0!</v>
      </c>
      <c r="L15" s="21" t="e">
        <f t="shared" si="8"/>
        <v>#DIV/0!</v>
      </c>
      <c r="M15" s="13">
        <f t="shared" si="8"/>
        <v>0.1386969397828233</v>
      </c>
      <c r="N15" s="13">
        <f t="shared" si="8"/>
        <v>0.22049559008819825</v>
      </c>
      <c r="O15" s="13">
        <f t="shared" si="8"/>
        <v>0.17170818505338079</v>
      </c>
      <c r="P15" s="13">
        <f t="shared" si="8"/>
        <v>0.26062674526838348</v>
      </c>
      <c r="Q15" s="21">
        <f t="shared" si="8"/>
        <v>0.20570965782547074</v>
      </c>
      <c r="R15" s="13">
        <f t="shared" si="8"/>
        <v>0.12390243902439024</v>
      </c>
      <c r="S15" s="13">
        <f t="shared" si="8"/>
        <v>0.2387218045112782</v>
      </c>
      <c r="T15" s="13">
        <f t="shared" si="8"/>
        <v>0.18779904306220097</v>
      </c>
      <c r="U15" s="13">
        <f>U14/U7</f>
        <v>0.24495848161328587</v>
      </c>
      <c r="V15" s="21">
        <f t="shared" ref="V15:AA15" si="9">V14/V7</f>
        <v>0.20642115203021719</v>
      </c>
      <c r="W15" s="13">
        <f t="shared" si="9"/>
        <v>0.13936535162950256</v>
      </c>
      <c r="X15" s="13" t="e">
        <f t="shared" si="9"/>
        <v>#DIV/0!</v>
      </c>
      <c r="Y15" s="13" t="e">
        <f t="shared" si="9"/>
        <v>#DIV/0!</v>
      </c>
      <c r="Z15" s="13" t="e">
        <f t="shared" si="9"/>
        <v>#DIV/0!</v>
      </c>
      <c r="AA15" s="13" t="e">
        <f t="shared" si="9"/>
        <v>#DIV/0!</v>
      </c>
    </row>
    <row r="16" spans="2:29" x14ac:dyDescent="0.25">
      <c r="B16" s="9" t="s">
        <v>63</v>
      </c>
      <c r="C16" s="26"/>
      <c r="D16" s="26"/>
      <c r="E16" s="26"/>
      <c r="F16" s="26"/>
      <c r="G16" s="35"/>
      <c r="H16" s="26"/>
      <c r="I16" s="26"/>
      <c r="J16" s="26"/>
      <c r="K16" s="26"/>
      <c r="L16" s="35"/>
      <c r="M16" s="26">
        <v>107</v>
      </c>
      <c r="N16" s="26">
        <v>354</v>
      </c>
      <c r="O16" s="26">
        <v>212</v>
      </c>
      <c r="P16" s="26">
        <v>665</v>
      </c>
      <c r="Q16" s="35">
        <f>SUM(M16:P16)</f>
        <v>1338</v>
      </c>
      <c r="R16" s="26">
        <v>78</v>
      </c>
      <c r="S16" s="26">
        <v>457</v>
      </c>
      <c r="T16" s="26">
        <v>293</v>
      </c>
      <c r="U16" s="26">
        <v>648</v>
      </c>
      <c r="V16" s="35">
        <f>SUM(R16:U16)</f>
        <v>1476</v>
      </c>
      <c r="W16" s="26">
        <v>145</v>
      </c>
      <c r="X16" s="26"/>
      <c r="Y16" s="26"/>
      <c r="Z16" s="26"/>
      <c r="AA16" s="26"/>
    </row>
    <row r="17" spans="2:28" ht="20" thickBot="1" x14ac:dyDescent="0.3">
      <c r="B17" s="16" t="s">
        <v>64</v>
      </c>
      <c r="C17" s="17" t="e">
        <f t="shared" ref="C17:T17" si="10">C16/C7</f>
        <v>#DIV/0!</v>
      </c>
      <c r="D17" s="17" t="e">
        <f t="shared" si="10"/>
        <v>#DIV/0!</v>
      </c>
      <c r="E17" s="17" t="e">
        <f t="shared" si="10"/>
        <v>#DIV/0!</v>
      </c>
      <c r="F17" s="17" t="e">
        <f t="shared" si="10"/>
        <v>#DIV/0!</v>
      </c>
      <c r="G17" s="22" t="e">
        <f t="shared" si="10"/>
        <v>#DIV/0!</v>
      </c>
      <c r="H17" s="17" t="e">
        <f t="shared" si="10"/>
        <v>#DIV/0!</v>
      </c>
      <c r="I17" s="17" t="e">
        <f t="shared" si="10"/>
        <v>#DIV/0!</v>
      </c>
      <c r="J17" s="17" t="e">
        <f t="shared" si="10"/>
        <v>#DIV/0!</v>
      </c>
      <c r="K17" s="17" t="e">
        <f t="shared" si="10"/>
        <v>#DIV/0!</v>
      </c>
      <c r="L17" s="22" t="e">
        <f t="shared" si="10"/>
        <v>#DIV/0!</v>
      </c>
      <c r="M17" s="17">
        <f t="shared" si="10"/>
        <v>5.2813425468904246E-2</v>
      </c>
      <c r="N17" s="17">
        <f t="shared" si="10"/>
        <v>0.14867702645947081</v>
      </c>
      <c r="O17" s="17">
        <f t="shared" si="10"/>
        <v>9.4306049822064059E-2</v>
      </c>
      <c r="P17" s="17">
        <f t="shared" si="10"/>
        <v>0.2063295066708036</v>
      </c>
      <c r="Q17" s="22">
        <f t="shared" si="10"/>
        <v>0.13545252075318889</v>
      </c>
      <c r="R17" s="17">
        <f t="shared" si="10"/>
        <v>3.8048780487804877E-2</v>
      </c>
      <c r="S17" s="17">
        <f t="shared" si="10"/>
        <v>0.17180451127819549</v>
      </c>
      <c r="T17" s="17">
        <f t="shared" si="10"/>
        <v>0.11682615629984051</v>
      </c>
      <c r="U17" s="17">
        <f>U16/U7</f>
        <v>0.19217081850533807</v>
      </c>
      <c r="V17" s="22">
        <f t="shared" ref="V17:AA17" si="11">V16/V7</f>
        <v>0.13937677053824363</v>
      </c>
      <c r="W17" s="17">
        <f t="shared" si="11"/>
        <v>6.2178387650085765E-2</v>
      </c>
      <c r="X17" s="17" t="e">
        <f t="shared" si="11"/>
        <v>#DIV/0!</v>
      </c>
      <c r="Y17" s="17" t="e">
        <f t="shared" si="11"/>
        <v>#DIV/0!</v>
      </c>
      <c r="Z17" s="17" t="e">
        <f t="shared" si="11"/>
        <v>#DIV/0!</v>
      </c>
      <c r="AA17" s="17" t="e">
        <f t="shared" si="11"/>
        <v>#DIV/0!</v>
      </c>
      <c r="AB17" s="15"/>
    </row>
    <row r="18" spans="2:28" x14ac:dyDescent="0.25">
      <c r="B18" s="9" t="s">
        <v>53</v>
      </c>
      <c r="G18" s="19"/>
      <c r="L18" s="19"/>
      <c r="Q18" s="30"/>
      <c r="V18" s="19"/>
    </row>
    <row r="19" spans="2:28" x14ac:dyDescent="0.25">
      <c r="B19" s="9" t="s">
        <v>54</v>
      </c>
      <c r="C19" s="26"/>
      <c r="D19" s="26"/>
      <c r="E19" s="26"/>
      <c r="F19" s="26"/>
      <c r="G19" s="35"/>
      <c r="H19" s="26"/>
      <c r="I19" s="26"/>
      <c r="J19" s="26"/>
      <c r="K19" s="26"/>
      <c r="L19" s="35"/>
      <c r="M19" s="26"/>
      <c r="N19" s="26">
        <v>728</v>
      </c>
      <c r="O19" s="26">
        <v>990</v>
      </c>
      <c r="P19" s="26">
        <v>1155</v>
      </c>
      <c r="Q19" s="35">
        <f>SUM(M19:P19)</f>
        <v>2873</v>
      </c>
      <c r="R19" s="26">
        <v>888</v>
      </c>
      <c r="S19" s="26">
        <v>1142</v>
      </c>
      <c r="T19" s="26">
        <v>1020</v>
      </c>
      <c r="U19" s="26">
        <v>1238</v>
      </c>
      <c r="V19" s="35">
        <f>SUM(R19:U19)</f>
        <v>4288</v>
      </c>
      <c r="W19" s="26">
        <v>968</v>
      </c>
      <c r="X19" s="26"/>
      <c r="Y19" s="26"/>
      <c r="Z19" s="26"/>
      <c r="AA19" s="26"/>
    </row>
    <row r="20" spans="2:28" x14ac:dyDescent="0.25">
      <c r="B20" s="13" t="s">
        <v>55</v>
      </c>
      <c r="C20" s="13"/>
      <c r="D20" s="13"/>
      <c r="E20" s="13"/>
      <c r="F20" s="13"/>
      <c r="G20" s="21"/>
      <c r="H20" s="13" t="e">
        <f t="shared" ref="H20" si="12">(H19-C19)/C19</f>
        <v>#DIV/0!</v>
      </c>
      <c r="I20" s="13" t="e">
        <f t="shared" ref="I20" si="13">(I19-D19)/D19</f>
        <v>#DIV/0!</v>
      </c>
      <c r="J20" s="13" t="e">
        <f t="shared" ref="J20" si="14">(J19-E19)/E19</f>
        <v>#DIV/0!</v>
      </c>
      <c r="K20" s="13" t="e">
        <f t="shared" ref="K20" si="15">(K19-F19)/F19</f>
        <v>#DIV/0!</v>
      </c>
      <c r="L20" s="21" t="e">
        <f t="shared" ref="L20" si="16">(L19-G19)/G19</f>
        <v>#DIV/0!</v>
      </c>
      <c r="M20" s="13" t="e">
        <f t="shared" ref="M20" si="17">(M19-H19)/H19</f>
        <v>#DIV/0!</v>
      </c>
      <c r="N20" s="13" t="e">
        <f t="shared" ref="N20" si="18">(N19-I19)/I19</f>
        <v>#DIV/0!</v>
      </c>
      <c r="O20" s="13" t="e">
        <f t="shared" ref="O20" si="19">(O19-J19)/J19</f>
        <v>#DIV/0!</v>
      </c>
      <c r="P20" s="13" t="e">
        <f t="shared" ref="P20" si="20">(P19-K19)/K19</f>
        <v>#DIV/0!</v>
      </c>
      <c r="Q20" s="21" t="e">
        <f t="shared" ref="Q20" si="21">(Q19-L19)/L19</f>
        <v>#DIV/0!</v>
      </c>
      <c r="R20" s="13" t="e">
        <f t="shared" ref="R20" si="22">(R19-M19)/M19</f>
        <v>#DIV/0!</v>
      </c>
      <c r="S20" s="13">
        <f t="shared" ref="S20" si="23">(S19-N19)/N19</f>
        <v>0.56868131868131866</v>
      </c>
      <c r="T20" s="13">
        <f t="shared" ref="T20" si="24">(T19-O19)/O19</f>
        <v>3.0303030303030304E-2</v>
      </c>
      <c r="U20" s="13">
        <f>(U19-P19)/P19</f>
        <v>7.1861471861471862E-2</v>
      </c>
      <c r="V20" s="21">
        <f t="shared" ref="V20" si="25">(V19-Q19)/Q19</f>
        <v>0.49251653324051514</v>
      </c>
      <c r="W20" s="13">
        <f t="shared" ref="W20" si="26">(W19-R19)/R19</f>
        <v>9.0090090090090086E-2</v>
      </c>
      <c r="X20" s="13">
        <f t="shared" ref="X20" si="27">(X19-S19)/S19</f>
        <v>-1</v>
      </c>
      <c r="Y20" s="13">
        <f t="shared" ref="Y20" si="28">(Y19-T19)/T19</f>
        <v>-1</v>
      </c>
      <c r="Z20" s="13">
        <f t="shared" ref="Z20" si="29">(Z19-U19)/U19</f>
        <v>-1</v>
      </c>
      <c r="AA20" s="13">
        <f t="shared" ref="AA20" si="30">(AA19-V19)/V19</f>
        <v>-1</v>
      </c>
    </row>
    <row r="21" spans="2:28" x14ac:dyDescent="0.25">
      <c r="B21" s="1" t="s">
        <v>58</v>
      </c>
      <c r="C21" s="27"/>
      <c r="D21" s="27"/>
      <c r="E21" s="27"/>
      <c r="F21" s="27"/>
      <c r="G21" s="36"/>
      <c r="H21" s="27"/>
      <c r="I21" s="27"/>
      <c r="J21" s="27"/>
      <c r="K21" s="27"/>
      <c r="L21" s="36"/>
      <c r="M21" s="27"/>
      <c r="N21" s="27">
        <v>492</v>
      </c>
      <c r="O21" s="27">
        <v>686</v>
      </c>
      <c r="P21" s="27">
        <v>778</v>
      </c>
      <c r="Q21" s="35">
        <f>SUM(M21:P21)</f>
        <v>1956</v>
      </c>
      <c r="R21" s="27">
        <v>632</v>
      </c>
      <c r="S21" s="27">
        <v>791</v>
      </c>
      <c r="T21" s="27">
        <v>703</v>
      </c>
      <c r="U21" s="27">
        <v>817</v>
      </c>
      <c r="V21" s="35">
        <f>SUM(R21:U21)</f>
        <v>2943</v>
      </c>
      <c r="W21" s="27">
        <v>656</v>
      </c>
      <c r="X21" s="27"/>
      <c r="Y21" s="27"/>
      <c r="Z21" s="27"/>
      <c r="AA21" s="27"/>
    </row>
    <row r="22" spans="2:28" x14ac:dyDescent="0.25">
      <c r="B22" s="1" t="s">
        <v>56</v>
      </c>
      <c r="C22" s="27">
        <f t="shared" ref="C22" si="31">C19-C21</f>
        <v>0</v>
      </c>
      <c r="D22" s="27">
        <f t="shared" ref="D22" si="32">D19-D21</f>
        <v>0</v>
      </c>
      <c r="E22" s="27">
        <f t="shared" ref="E22" si="33">E19-E21</f>
        <v>0</v>
      </c>
      <c r="F22" s="27">
        <f t="shared" ref="F22" si="34">F19-F21</f>
        <v>0</v>
      </c>
      <c r="G22" s="36">
        <f t="shared" ref="G22" si="35">G19-G21</f>
        <v>0</v>
      </c>
      <c r="H22" s="27">
        <f t="shared" ref="H22" si="36">H19-H21</f>
        <v>0</v>
      </c>
      <c r="I22" s="27">
        <f t="shared" ref="I22" si="37">I19-I21</f>
        <v>0</v>
      </c>
      <c r="J22" s="27">
        <f t="shared" ref="J22" si="38">J19-J21</f>
        <v>0</v>
      </c>
      <c r="K22" s="27">
        <f t="shared" ref="K22" si="39">K19-K21</f>
        <v>0</v>
      </c>
      <c r="L22" s="36">
        <f t="shared" ref="L22" si="40">L19-L21</f>
        <v>0</v>
      </c>
      <c r="M22" s="27">
        <f t="shared" ref="M22" si="41">M19-M21</f>
        <v>0</v>
      </c>
      <c r="N22" s="27">
        <f t="shared" ref="N22" si="42">N19-N21</f>
        <v>236</v>
      </c>
      <c r="O22" s="27">
        <f t="shared" ref="O22" si="43">O19-O21</f>
        <v>304</v>
      </c>
      <c r="P22" s="27">
        <f t="shared" ref="P22" si="44">P19-P21</f>
        <v>377</v>
      </c>
      <c r="Q22" s="36">
        <f t="shared" ref="Q22" si="45">Q19-Q21</f>
        <v>917</v>
      </c>
      <c r="R22" s="27">
        <f t="shared" ref="R22" si="46">R19-R21</f>
        <v>256</v>
      </c>
      <c r="S22" s="27">
        <f t="shared" ref="S22" si="47">S19-S21</f>
        <v>351</v>
      </c>
      <c r="T22" s="27">
        <f t="shared" ref="T22" si="48">T19-T21</f>
        <v>317</v>
      </c>
      <c r="U22" s="27">
        <f>U19-U21</f>
        <v>421</v>
      </c>
      <c r="V22" s="36">
        <f t="shared" ref="V22" si="49">V19-V21</f>
        <v>1345</v>
      </c>
      <c r="W22" s="27">
        <f t="shared" ref="W22" si="50">W19-W21</f>
        <v>312</v>
      </c>
      <c r="X22" s="27">
        <f t="shared" ref="X22" si="51">X19-X21</f>
        <v>0</v>
      </c>
      <c r="Y22" s="27">
        <f t="shared" ref="Y22" si="52">Y19-Y21</f>
        <v>0</v>
      </c>
      <c r="Z22" s="27">
        <f t="shared" ref="Z22" si="53">Z19-Z21</f>
        <v>0</v>
      </c>
      <c r="AA22" s="27">
        <f t="shared" ref="AA22" si="54">AA19-AA21</f>
        <v>0</v>
      </c>
    </row>
    <row r="23" spans="2:28" x14ac:dyDescent="0.25">
      <c r="B23" s="13" t="s">
        <v>57</v>
      </c>
      <c r="C23" s="13" t="e">
        <f t="shared" ref="C23" si="55">C22/C19</f>
        <v>#DIV/0!</v>
      </c>
      <c r="D23" s="13" t="e">
        <f t="shared" ref="D23" si="56">D22/D19</f>
        <v>#DIV/0!</v>
      </c>
      <c r="E23" s="13" t="e">
        <f t="shared" ref="E23" si="57">E22/E19</f>
        <v>#DIV/0!</v>
      </c>
      <c r="F23" s="13" t="e">
        <f t="shared" ref="F23" si="58">F22/F19</f>
        <v>#DIV/0!</v>
      </c>
      <c r="G23" s="21" t="e">
        <f t="shared" ref="G23" si="59">G22/G19</f>
        <v>#DIV/0!</v>
      </c>
      <c r="H23" s="13" t="e">
        <f t="shared" ref="H23" si="60">H22/H19</f>
        <v>#DIV/0!</v>
      </c>
      <c r="I23" s="13" t="e">
        <f t="shared" ref="I23" si="61">I22/I19</f>
        <v>#DIV/0!</v>
      </c>
      <c r="J23" s="13" t="e">
        <f t="shared" ref="J23" si="62">J22/J19</f>
        <v>#DIV/0!</v>
      </c>
      <c r="K23" s="13" t="e">
        <f t="shared" ref="K23" si="63">K22/K19</f>
        <v>#DIV/0!</v>
      </c>
      <c r="L23" s="21" t="e">
        <f t="shared" ref="L23" si="64">L22/L19</f>
        <v>#DIV/0!</v>
      </c>
      <c r="M23" s="13" t="e">
        <f t="shared" ref="M23" si="65">M22/M19</f>
        <v>#DIV/0!</v>
      </c>
      <c r="N23" s="13">
        <f t="shared" ref="N23" si="66">N22/N19</f>
        <v>0.32417582417582419</v>
      </c>
      <c r="O23" s="13">
        <f t="shared" ref="O23" si="67">O22/O19</f>
        <v>0.30707070707070705</v>
      </c>
      <c r="P23" s="13">
        <f t="shared" ref="P23" si="68">P22/P19</f>
        <v>0.32640692640692642</v>
      </c>
      <c r="Q23" s="21">
        <f t="shared" ref="Q23" si="69">Q22/Q19</f>
        <v>0.31917855899756353</v>
      </c>
      <c r="R23" s="13">
        <f t="shared" ref="R23" si="70">R22/R19</f>
        <v>0.28828828828828829</v>
      </c>
      <c r="S23" s="13">
        <f t="shared" ref="S23" si="71">S22/S19</f>
        <v>0.30735551663747812</v>
      </c>
      <c r="T23" s="13">
        <f t="shared" ref="T23" si="72">T22/T19</f>
        <v>0.3107843137254902</v>
      </c>
      <c r="U23" s="13">
        <f>U22/U19</f>
        <v>0.34006462035541196</v>
      </c>
      <c r="V23" s="21">
        <f t="shared" ref="V23" si="73">V22/V19</f>
        <v>0.31366604477611942</v>
      </c>
      <c r="W23" s="13">
        <f t="shared" ref="W23" si="74">W22/W19</f>
        <v>0.32231404958677684</v>
      </c>
      <c r="X23" s="13" t="e">
        <f t="shared" ref="X23" si="75">X22/X19</f>
        <v>#DIV/0!</v>
      </c>
      <c r="Y23" s="13" t="e">
        <f t="shared" ref="Y23" si="76">Y22/Y19</f>
        <v>#DIV/0!</v>
      </c>
      <c r="Z23" s="13" t="e">
        <f t="shared" ref="Z23" si="77">Z22/Z19</f>
        <v>#DIV/0!</v>
      </c>
      <c r="AA23" s="13" t="e">
        <f t="shared" ref="AA23" si="78">AA22/AA19</f>
        <v>#DIV/0!</v>
      </c>
    </row>
    <row r="24" spans="2:28" x14ac:dyDescent="0.25">
      <c r="B24" s="1" t="s">
        <v>59</v>
      </c>
      <c r="C24" s="27"/>
      <c r="D24" s="27"/>
      <c r="E24" s="27"/>
      <c r="F24" s="27"/>
      <c r="G24" s="36"/>
      <c r="H24" s="27"/>
      <c r="I24" s="27"/>
      <c r="J24" s="27"/>
      <c r="K24" s="27"/>
      <c r="L24" s="36"/>
      <c r="M24" s="27"/>
      <c r="N24" s="27">
        <v>195</v>
      </c>
      <c r="O24" s="27">
        <v>262</v>
      </c>
      <c r="P24" s="27">
        <v>332</v>
      </c>
      <c r="Q24" s="35">
        <f>SUM(M24:P24)</f>
        <v>789</v>
      </c>
      <c r="R24" s="27">
        <v>287</v>
      </c>
      <c r="S24" s="27">
        <v>296</v>
      </c>
      <c r="T24" s="27">
        <v>267</v>
      </c>
      <c r="U24" s="27">
        <v>303</v>
      </c>
      <c r="V24" s="35">
        <f>SUM(R24:U24)</f>
        <v>1153</v>
      </c>
      <c r="W24" s="27">
        <v>297</v>
      </c>
      <c r="X24" s="27"/>
      <c r="Y24" s="27"/>
      <c r="Z24" s="27"/>
      <c r="AA24" s="27"/>
    </row>
    <row r="25" spans="2:28" x14ac:dyDescent="0.25">
      <c r="B25" s="10" t="s">
        <v>60</v>
      </c>
      <c r="C25" s="13" t="e">
        <f t="shared" ref="C25" si="79">C24/C19</f>
        <v>#DIV/0!</v>
      </c>
      <c r="D25" s="13" t="e">
        <f t="shared" ref="D25" si="80">D24/D19</f>
        <v>#DIV/0!</v>
      </c>
      <c r="E25" s="13" t="e">
        <f t="shared" ref="E25" si="81">E24/E19</f>
        <v>#DIV/0!</v>
      </c>
      <c r="F25" s="13" t="e">
        <f t="shared" ref="F25" si="82">F24/F19</f>
        <v>#DIV/0!</v>
      </c>
      <c r="G25" s="21" t="e">
        <f t="shared" ref="G25" si="83">G24/G19</f>
        <v>#DIV/0!</v>
      </c>
      <c r="H25" s="13" t="e">
        <f t="shared" ref="H25" si="84">H24/H19</f>
        <v>#DIV/0!</v>
      </c>
      <c r="I25" s="13" t="e">
        <f t="shared" ref="I25" si="85">I24/I19</f>
        <v>#DIV/0!</v>
      </c>
      <c r="J25" s="13" t="e">
        <f t="shared" ref="J25" si="86">J24/J19</f>
        <v>#DIV/0!</v>
      </c>
      <c r="K25" s="13" t="e">
        <f t="shared" ref="K25" si="87">K24/K19</f>
        <v>#DIV/0!</v>
      </c>
      <c r="L25" s="21" t="e">
        <f t="shared" ref="L25" si="88">L24/L19</f>
        <v>#DIV/0!</v>
      </c>
      <c r="M25" s="13" t="e">
        <f t="shared" ref="M25" si="89">M24/M19</f>
        <v>#DIV/0!</v>
      </c>
      <c r="N25" s="13">
        <f t="shared" ref="N25" si="90">N24/N19</f>
        <v>0.26785714285714285</v>
      </c>
      <c r="O25" s="13">
        <f t="shared" ref="O25" si="91">O24/O19</f>
        <v>0.26464646464646463</v>
      </c>
      <c r="P25" s="13">
        <f t="shared" ref="P25" si="92">P24/P19</f>
        <v>0.28744588744588745</v>
      </c>
      <c r="Q25" s="21">
        <f t="shared" ref="Q25" si="93">Q24/Q19</f>
        <v>0.27462582666202573</v>
      </c>
      <c r="R25" s="13">
        <f t="shared" ref="R25" si="94">R24/R19</f>
        <v>0.32319819819819817</v>
      </c>
      <c r="S25" s="13">
        <f t="shared" ref="S25" si="95">S24/S19</f>
        <v>0.25919439579684761</v>
      </c>
      <c r="T25" s="13">
        <f t="shared" ref="T25" si="96">T24/T19</f>
        <v>0.26176470588235295</v>
      </c>
      <c r="U25" s="13">
        <f>U24/U19</f>
        <v>0.24474959612277866</v>
      </c>
      <c r="V25" s="21">
        <f t="shared" ref="V25" si="97">V24/V19</f>
        <v>0.26888992537313433</v>
      </c>
      <c r="W25" s="13">
        <f t="shared" ref="W25" si="98">W24/W19</f>
        <v>0.30681818181818182</v>
      </c>
      <c r="X25" s="13" t="e">
        <f t="shared" ref="X25" si="99">X24/X19</f>
        <v>#DIV/0!</v>
      </c>
      <c r="Y25" s="13" t="e">
        <f t="shared" ref="Y25" si="100">Y24/Y19</f>
        <v>#DIV/0!</v>
      </c>
      <c r="Z25" s="13" t="e">
        <f t="shared" ref="Z25" si="101">Z24/Z19</f>
        <v>#DIV/0!</v>
      </c>
      <c r="AA25" s="13" t="e">
        <f t="shared" ref="AA25" si="102">AA24/AA19</f>
        <v>#DIV/0!</v>
      </c>
    </row>
    <row r="26" spans="2:28" x14ac:dyDescent="0.25">
      <c r="B26" s="9" t="s">
        <v>61</v>
      </c>
      <c r="C26" s="26"/>
      <c r="D26" s="26"/>
      <c r="E26" s="26"/>
      <c r="F26" s="26"/>
      <c r="G26" s="35"/>
      <c r="H26" s="26"/>
      <c r="I26" s="26"/>
      <c r="J26" s="26"/>
      <c r="K26" s="26"/>
      <c r="L26" s="35"/>
      <c r="M26" s="26"/>
      <c r="N26" s="26">
        <v>42</v>
      </c>
      <c r="O26" s="26">
        <v>42</v>
      </c>
      <c r="P26" s="26">
        <v>45</v>
      </c>
      <c r="Q26" s="35">
        <f>SUM(M26:P26)</f>
        <v>129</v>
      </c>
      <c r="R26" s="26">
        <v>-30</v>
      </c>
      <c r="S26" s="26">
        <v>55</v>
      </c>
      <c r="T26" s="26">
        <v>50</v>
      </c>
      <c r="U26" s="26">
        <v>118</v>
      </c>
      <c r="V26" s="35">
        <f>SUM(R26:U26)</f>
        <v>193</v>
      </c>
      <c r="W26" s="26">
        <v>15</v>
      </c>
      <c r="X26" s="26"/>
      <c r="Y26" s="26"/>
      <c r="Z26" s="26"/>
      <c r="AA26" s="26"/>
    </row>
    <row r="27" spans="2:28" x14ac:dyDescent="0.25">
      <c r="B27" s="10" t="s">
        <v>62</v>
      </c>
      <c r="C27" s="13" t="e">
        <f t="shared" ref="C27" si="103">C26/C19</f>
        <v>#DIV/0!</v>
      </c>
      <c r="D27" s="13" t="e">
        <f t="shared" ref="D27" si="104">D26/D19</f>
        <v>#DIV/0!</v>
      </c>
      <c r="E27" s="13" t="e">
        <f t="shared" ref="E27" si="105">E26/E19</f>
        <v>#DIV/0!</v>
      </c>
      <c r="F27" s="13" t="e">
        <f t="shared" ref="F27" si="106">F26/F19</f>
        <v>#DIV/0!</v>
      </c>
      <c r="G27" s="21" t="e">
        <f t="shared" ref="G27" si="107">G26/G19</f>
        <v>#DIV/0!</v>
      </c>
      <c r="H27" s="13" t="e">
        <f t="shared" ref="H27" si="108">H26/H19</f>
        <v>#DIV/0!</v>
      </c>
      <c r="I27" s="13" t="e">
        <f t="shared" ref="I27" si="109">I26/I19</f>
        <v>#DIV/0!</v>
      </c>
      <c r="J27" s="13" t="e">
        <f t="shared" ref="J27" si="110">J26/J19</f>
        <v>#DIV/0!</v>
      </c>
      <c r="K27" s="13" t="e">
        <f t="shared" ref="K27" si="111">K26/K19</f>
        <v>#DIV/0!</v>
      </c>
      <c r="L27" s="21" t="e">
        <f t="shared" ref="L27" si="112">L26/L19</f>
        <v>#DIV/0!</v>
      </c>
      <c r="M27" s="13" t="e">
        <f t="shared" ref="M27" si="113">M26/M19</f>
        <v>#DIV/0!</v>
      </c>
      <c r="N27" s="13">
        <f t="shared" ref="N27" si="114">N26/N19</f>
        <v>5.7692307692307696E-2</v>
      </c>
      <c r="O27" s="13">
        <f t="shared" ref="O27" si="115">O26/O19</f>
        <v>4.2424242424242427E-2</v>
      </c>
      <c r="P27" s="13">
        <f t="shared" ref="P27" si="116">P26/P19</f>
        <v>3.896103896103896E-2</v>
      </c>
      <c r="Q27" s="21">
        <f t="shared" ref="Q27" si="117">Q26/Q19</f>
        <v>4.4900800556909155E-2</v>
      </c>
      <c r="R27" s="13">
        <f t="shared" ref="R27" si="118">R26/R19</f>
        <v>-3.3783783783783786E-2</v>
      </c>
      <c r="S27" s="13">
        <f t="shared" ref="S27" si="119">S26/S19</f>
        <v>4.816112084063047E-2</v>
      </c>
      <c r="T27" s="13">
        <f t="shared" ref="T27" si="120">T26/T19</f>
        <v>4.9019607843137254E-2</v>
      </c>
      <c r="U27" s="13">
        <f>U26/U19</f>
        <v>9.5315024232633286E-2</v>
      </c>
      <c r="V27" s="21">
        <f t="shared" ref="V27" si="121">V26/V19</f>
        <v>4.5009328358208957E-2</v>
      </c>
      <c r="W27" s="13">
        <f t="shared" ref="W27" si="122">W26/W19</f>
        <v>1.5495867768595042E-2</v>
      </c>
      <c r="X27" s="13" t="e">
        <f t="shared" ref="X27" si="123">X26/X19</f>
        <v>#DIV/0!</v>
      </c>
      <c r="Y27" s="13" t="e">
        <f t="shared" ref="Y27" si="124">Y26/Y19</f>
        <v>#DIV/0!</v>
      </c>
      <c r="Z27" s="13" t="e">
        <f t="shared" ref="Z27" si="125">Z26/Z19</f>
        <v>#DIV/0!</v>
      </c>
      <c r="AA27" s="13" t="e">
        <f t="shared" ref="AA27" si="126">AA26/AA19</f>
        <v>#DIV/0!</v>
      </c>
    </row>
    <row r="28" spans="2:28" x14ac:dyDescent="0.25">
      <c r="B28" s="9" t="s">
        <v>63</v>
      </c>
      <c r="C28" s="9"/>
      <c r="D28" s="9"/>
      <c r="E28" s="9"/>
      <c r="F28" s="9"/>
      <c r="G28" s="20"/>
      <c r="H28" s="9"/>
      <c r="I28" s="9"/>
      <c r="J28" s="9"/>
      <c r="K28" s="9"/>
      <c r="L28" s="20"/>
      <c r="M28" s="9"/>
      <c r="N28" s="9">
        <v>-16</v>
      </c>
      <c r="O28" s="9">
        <v>-45</v>
      </c>
      <c r="P28" s="9">
        <v>-41</v>
      </c>
      <c r="Q28" s="35">
        <f>SUM(M28:P28)</f>
        <v>-102</v>
      </c>
      <c r="R28" s="9">
        <v>-115</v>
      </c>
      <c r="S28" s="9">
        <v>-34</v>
      </c>
      <c r="T28" s="9">
        <v>-37</v>
      </c>
      <c r="U28" s="9">
        <v>30</v>
      </c>
      <c r="V28" s="20">
        <f>SUM(R28:U28)</f>
        <v>-156</v>
      </c>
      <c r="W28" s="9">
        <v>-74</v>
      </c>
      <c r="X28" s="9"/>
      <c r="Y28" s="9"/>
      <c r="Z28" s="9"/>
      <c r="AA28" s="9"/>
    </row>
    <row r="29" spans="2:28" ht="20" thickBot="1" x14ac:dyDescent="0.3">
      <c r="B29" s="16" t="s">
        <v>64</v>
      </c>
      <c r="C29" s="17" t="e">
        <f t="shared" ref="C29" si="127">C28/C19</f>
        <v>#DIV/0!</v>
      </c>
      <c r="D29" s="17" t="e">
        <f t="shared" ref="D29" si="128">D28/D19</f>
        <v>#DIV/0!</v>
      </c>
      <c r="E29" s="17" t="e">
        <f t="shared" ref="E29" si="129">E28/E19</f>
        <v>#DIV/0!</v>
      </c>
      <c r="F29" s="17" t="e">
        <f t="shared" ref="F29" si="130">F28/F19</f>
        <v>#DIV/0!</v>
      </c>
      <c r="G29" s="22" t="e">
        <f t="shared" ref="G29" si="131">G28/G19</f>
        <v>#DIV/0!</v>
      </c>
      <c r="H29" s="17" t="e">
        <f t="shared" ref="H29" si="132">H28/H19</f>
        <v>#DIV/0!</v>
      </c>
      <c r="I29" s="17" t="e">
        <f t="shared" ref="I29" si="133">I28/I19</f>
        <v>#DIV/0!</v>
      </c>
      <c r="J29" s="17" t="e">
        <f t="shared" ref="J29" si="134">J28/J19</f>
        <v>#DIV/0!</v>
      </c>
      <c r="K29" s="17" t="e">
        <f t="shared" ref="K29" si="135">K28/K19</f>
        <v>#DIV/0!</v>
      </c>
      <c r="L29" s="22" t="e">
        <f t="shared" ref="L29" si="136">L28/L19</f>
        <v>#DIV/0!</v>
      </c>
      <c r="M29" s="53" t="e">
        <f t="shared" ref="M29" si="137">M28/M19</f>
        <v>#DIV/0!</v>
      </c>
      <c r="N29" s="17">
        <f t="shared" ref="N29" si="138">N28/N19</f>
        <v>-2.197802197802198E-2</v>
      </c>
      <c r="O29" s="17">
        <f t="shared" ref="O29" si="139">O28/O19</f>
        <v>-4.5454545454545456E-2</v>
      </c>
      <c r="P29" s="17">
        <f t="shared" ref="P29" si="140">P28/P19</f>
        <v>-3.54978354978355E-2</v>
      </c>
      <c r="Q29" s="22">
        <f t="shared" ref="Q29" si="141">Q28/Q19</f>
        <v>-3.5502958579881658E-2</v>
      </c>
      <c r="R29" s="17">
        <f t="shared" ref="R29" si="142">R28/R19</f>
        <v>-0.12950450450450451</v>
      </c>
      <c r="S29" s="17">
        <f t="shared" ref="S29" si="143">S28/S19</f>
        <v>-2.9772329246935202E-2</v>
      </c>
      <c r="T29" s="17">
        <f t="shared" ref="T29" si="144">T28/T19</f>
        <v>-3.6274509803921572E-2</v>
      </c>
      <c r="U29" s="17">
        <f>U28/U19</f>
        <v>2.4232633279483037E-2</v>
      </c>
      <c r="V29" s="22">
        <f t="shared" ref="V29" si="145">V28/V19</f>
        <v>-3.6380597014925374E-2</v>
      </c>
      <c r="W29" s="17">
        <f t="shared" ref="W29" si="146">W28/W19</f>
        <v>-7.6446280991735532E-2</v>
      </c>
      <c r="X29" s="17" t="e">
        <f t="shared" ref="X29" si="147">X28/X19</f>
        <v>#DIV/0!</v>
      </c>
      <c r="Y29" s="17" t="e">
        <f t="shared" ref="Y29" si="148">Y28/Y19</f>
        <v>#DIV/0!</v>
      </c>
      <c r="Z29" s="17" t="e">
        <f t="shared" ref="Z29" si="149">Z28/Z19</f>
        <v>#DIV/0!</v>
      </c>
      <c r="AA29" s="17" t="e">
        <f t="shared" ref="AA29" si="150">AA28/AA19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466B6-891F-4E49-BCBE-CE3A8AADC278}">
  <dimension ref="B3:F11"/>
  <sheetViews>
    <sheetView showGridLines="0" tabSelected="1" topLeftCell="A3" workbookViewId="0">
      <selection activeCell="K19" sqref="K19"/>
    </sheetView>
  </sheetViews>
  <sheetFormatPr baseColWidth="10" defaultRowHeight="24" x14ac:dyDescent="0.3"/>
  <cols>
    <col min="1" max="1" width="10.83203125" style="23"/>
    <col min="2" max="2" width="22.1640625" style="23" customWidth="1"/>
    <col min="3" max="3" width="15.83203125" style="23" bestFit="1" customWidth="1"/>
    <col min="4" max="4" width="15.6640625" style="23" customWidth="1"/>
    <col min="5" max="5" width="16" style="23" customWidth="1"/>
    <col min="6" max="6" width="15.33203125" style="23" bestFit="1" customWidth="1"/>
    <col min="7" max="7" width="13.6640625" style="23" bestFit="1" customWidth="1"/>
    <col min="8" max="8" width="16" style="23" customWidth="1"/>
    <col min="9" max="9" width="15.5" style="23" customWidth="1"/>
    <col min="10" max="16384" width="10.83203125" style="23"/>
  </cols>
  <sheetData>
    <row r="3" spans="2:6" x14ac:dyDescent="0.3">
      <c r="B3" s="37" t="s">
        <v>35</v>
      </c>
      <c r="C3" s="37" t="s">
        <v>141</v>
      </c>
      <c r="D3" s="37" t="s">
        <v>66</v>
      </c>
      <c r="E3" s="37" t="s">
        <v>67</v>
      </c>
      <c r="F3" s="37" t="s">
        <v>68</v>
      </c>
    </row>
    <row r="4" spans="2:6" x14ac:dyDescent="0.3">
      <c r="B4" s="38" t="s">
        <v>52</v>
      </c>
      <c r="C4" s="39">
        <v>2250</v>
      </c>
      <c r="D4" s="38">
        <v>8</v>
      </c>
      <c r="E4" s="39">
        <f>C4*D4</f>
        <v>18000</v>
      </c>
      <c r="F4" s="40">
        <f>E4/Modell!$B$5</f>
        <v>107.80451505432558</v>
      </c>
    </row>
    <row r="5" spans="2:6" x14ac:dyDescent="0.3">
      <c r="B5" s="38" t="s">
        <v>65</v>
      </c>
      <c r="C5" s="39">
        <v>300</v>
      </c>
      <c r="D5" s="38">
        <v>5</v>
      </c>
      <c r="E5" s="39">
        <f>C5*D5</f>
        <v>1500</v>
      </c>
      <c r="F5" s="40">
        <f>E5/Modell!$B$5</f>
        <v>8.9837095878604654</v>
      </c>
    </row>
    <row r="6" spans="2:6" x14ac:dyDescent="0.3">
      <c r="B6" s="37" t="s">
        <v>136</v>
      </c>
      <c r="C6" s="37"/>
      <c r="D6" s="37"/>
      <c r="E6" s="41">
        <f>SUM(E4:E5)</f>
        <v>19500</v>
      </c>
      <c r="F6" s="42">
        <f>E6/Modell!$B$5</f>
        <v>116.78822464218604</v>
      </c>
    </row>
    <row r="7" spans="2:6" x14ac:dyDescent="0.3">
      <c r="B7" s="43"/>
      <c r="C7" s="43"/>
      <c r="D7" s="43"/>
      <c r="E7" s="44"/>
      <c r="F7" s="43"/>
    </row>
    <row r="8" spans="2:6" x14ac:dyDescent="0.3">
      <c r="B8" s="38" t="s">
        <v>137</v>
      </c>
      <c r="C8" s="38"/>
      <c r="D8" s="38"/>
      <c r="E8" s="39">
        <f>-Modell!B8</f>
        <v>-1846.2529999999999</v>
      </c>
      <c r="F8" s="40">
        <f>E8/Modell!$B$5</f>
        <v>-11.057467185144096</v>
      </c>
    </row>
    <row r="9" spans="2:6" x14ac:dyDescent="0.3">
      <c r="B9" s="38" t="s">
        <v>90</v>
      </c>
      <c r="C9" s="38"/>
      <c r="D9" s="38"/>
      <c r="E9" s="39">
        <f>Modell!B7</f>
        <v>988.12199999999996</v>
      </c>
      <c r="F9" s="40">
        <f>E9/Modell!$B$5</f>
        <v>5.9180007235839049</v>
      </c>
    </row>
    <row r="10" spans="2:6" x14ac:dyDescent="0.3">
      <c r="B10" s="43"/>
      <c r="C10" s="43"/>
      <c r="D10" s="43"/>
      <c r="E10" s="44"/>
      <c r="F10" s="43"/>
    </row>
    <row r="11" spans="2:6" x14ac:dyDescent="0.3">
      <c r="B11" s="37" t="s">
        <v>138</v>
      </c>
      <c r="C11" s="37"/>
      <c r="D11" s="37"/>
      <c r="E11" s="41">
        <f>SUM(E6:E9)</f>
        <v>18641.868999999999</v>
      </c>
      <c r="F11" s="42">
        <f>SUM(F6:F9)</f>
        <v>111.64875818062585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8830-A080-A841-9421-B3FC79219120}">
  <dimension ref="C4:F6"/>
  <sheetViews>
    <sheetView showGridLines="0" workbookViewId="0">
      <selection activeCell="G14" sqref="G14"/>
    </sheetView>
  </sheetViews>
  <sheetFormatPr baseColWidth="10" defaultRowHeight="16" x14ac:dyDescent="0.2"/>
  <cols>
    <col min="3" max="3" width="34.5" bestFit="1" customWidth="1"/>
    <col min="4" max="6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33</v>
      </c>
      <c r="D5" s="8">
        <f>Modell!$B$9/Modell!AK10</f>
        <v>10.338594786435035</v>
      </c>
      <c r="E5" s="8">
        <f>Modell!$B$9/Modell!AL10</f>
        <v>9.5662838795412632</v>
      </c>
      <c r="F5" s="8">
        <f>Modell!$B$9/Modell!AM10</f>
        <v>8.6248894726057763</v>
      </c>
    </row>
    <row r="6" spans="3:6" ht="62" x14ac:dyDescent="0.7">
      <c r="C6" s="7" t="s">
        <v>34</v>
      </c>
      <c r="D6" s="8">
        <f>Modell!$B$4/Modell!AK18</f>
        <v>15.157114399490917</v>
      </c>
      <c r="E6" s="8">
        <f>Modell!$B$4/Modell!AL18</f>
        <v>13.98298821883211</v>
      </c>
      <c r="F6" s="8">
        <f>Modell!$B$4/Modell!AM18</f>
        <v>12.383280871799073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C1A68-AF0F-164B-BD1F-2B3529755418}">
  <dimension ref="A3:EM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A10" sqref="AA10"/>
    </sheetView>
  </sheetViews>
  <sheetFormatPr baseColWidth="10" defaultRowHeight="19" x14ac:dyDescent="0.25"/>
  <cols>
    <col min="1" max="1" width="10.83203125" style="1"/>
    <col min="2" max="2" width="19.33203125" style="3" customWidth="1"/>
    <col min="3" max="3" width="31.5" style="1" customWidth="1"/>
    <col min="4" max="25" width="10.83203125" style="1"/>
    <col min="26" max="26" width="14.1640625" style="1" bestFit="1" customWidth="1"/>
    <col min="27" max="27" width="13.33203125" style="1" bestFit="1" customWidth="1"/>
    <col min="28" max="16384" width="10.83203125" style="1"/>
  </cols>
  <sheetData>
    <row r="3" spans="1:143" x14ac:dyDescent="0.25">
      <c r="A3" s="9" t="s">
        <v>129</v>
      </c>
      <c r="D3" s="1" t="s">
        <v>51</v>
      </c>
      <c r="E3" s="1" t="s">
        <v>48</v>
      </c>
      <c r="F3" s="1" t="s">
        <v>49</v>
      </c>
      <c r="G3" s="1" t="s">
        <v>50</v>
      </c>
      <c r="H3" s="1" t="s">
        <v>45</v>
      </c>
      <c r="I3" s="1" t="s">
        <v>46</v>
      </c>
      <c r="J3" s="1" t="s">
        <v>47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  <c r="W3" s="1" t="s">
        <v>31</v>
      </c>
      <c r="X3" s="1" t="s">
        <v>32</v>
      </c>
    </row>
    <row r="4" spans="1:143" x14ac:dyDescent="0.25">
      <c r="A4" s="1" t="s">
        <v>135</v>
      </c>
      <c r="C4" s="26" t="s">
        <v>54</v>
      </c>
      <c r="L4" s="26">
        <v>9466.9210000000003</v>
      </c>
      <c r="M4" s="26">
        <v>12750.259</v>
      </c>
      <c r="N4" s="26">
        <v>14878</v>
      </c>
      <c r="O4" s="27">
        <f>N4</f>
        <v>14878</v>
      </c>
      <c r="P4" s="27">
        <f t="shared" ref="P4:X4" si="0">O4</f>
        <v>14878</v>
      </c>
      <c r="Q4" s="27">
        <f t="shared" si="0"/>
        <v>14878</v>
      </c>
      <c r="R4" s="27">
        <f t="shared" si="0"/>
        <v>14878</v>
      </c>
      <c r="S4" s="27">
        <f t="shared" si="0"/>
        <v>14878</v>
      </c>
      <c r="T4" s="27">
        <f t="shared" si="0"/>
        <v>14878</v>
      </c>
      <c r="U4" s="27">
        <f t="shared" si="0"/>
        <v>14878</v>
      </c>
      <c r="V4" s="27">
        <f t="shared" si="0"/>
        <v>14878</v>
      </c>
      <c r="W4" s="27">
        <f t="shared" si="0"/>
        <v>14878</v>
      </c>
      <c r="X4" s="27">
        <f t="shared" si="0"/>
        <v>14878</v>
      </c>
    </row>
    <row r="5" spans="1:143" x14ac:dyDescent="0.25">
      <c r="A5" s="34">
        <f>AA23</f>
        <v>65.691846644214834</v>
      </c>
      <c r="C5" s="27" t="s">
        <v>58</v>
      </c>
      <c r="L5" s="27">
        <v>-5275.6760000000004</v>
      </c>
      <c r="M5" s="27">
        <v>-7437.4549999999999</v>
      </c>
      <c r="N5" s="27">
        <v>-8799</v>
      </c>
      <c r="O5" s="27">
        <f>O4*-0.6</f>
        <v>-8926.7999999999993</v>
      </c>
      <c r="P5" s="27">
        <f t="shared" ref="P5:X5" si="1">P4*-0.6</f>
        <v>-8926.7999999999993</v>
      </c>
      <c r="Q5" s="27">
        <f t="shared" si="1"/>
        <v>-8926.7999999999993</v>
      </c>
      <c r="R5" s="27">
        <f t="shared" si="1"/>
        <v>-8926.7999999999993</v>
      </c>
      <c r="S5" s="27">
        <f t="shared" si="1"/>
        <v>-8926.7999999999993</v>
      </c>
      <c r="T5" s="27">
        <f t="shared" si="1"/>
        <v>-8926.7999999999993</v>
      </c>
      <c r="U5" s="27">
        <f t="shared" si="1"/>
        <v>-8926.7999999999993</v>
      </c>
      <c r="V5" s="27">
        <f t="shared" si="1"/>
        <v>-8926.7999999999993</v>
      </c>
      <c r="W5" s="27">
        <f t="shared" si="1"/>
        <v>-8926.7999999999993</v>
      </c>
      <c r="X5" s="27">
        <f t="shared" si="1"/>
        <v>-8926.7999999999993</v>
      </c>
    </row>
    <row r="6" spans="1:143" x14ac:dyDescent="0.25">
      <c r="A6" s="28">
        <f>AA24</f>
        <v>-0.30558301644593194</v>
      </c>
      <c r="C6" s="27" t="s">
        <v>56</v>
      </c>
      <c r="L6" s="27">
        <f>SUM(L4:L5)</f>
        <v>4191.2449999999999</v>
      </c>
      <c r="M6" s="27">
        <f>SUM(M4:M5)</f>
        <v>5312.8040000000001</v>
      </c>
      <c r="N6" s="27">
        <f>SUM(N4:N5)</f>
        <v>6079</v>
      </c>
      <c r="O6" s="27">
        <f t="shared" ref="O6:X6" si="2">SUM(O4:O5)</f>
        <v>5951.2000000000007</v>
      </c>
      <c r="P6" s="27">
        <f t="shared" si="2"/>
        <v>5951.2000000000007</v>
      </c>
      <c r="Q6" s="27">
        <f t="shared" si="2"/>
        <v>5951.2000000000007</v>
      </c>
      <c r="R6" s="27">
        <f t="shared" si="2"/>
        <v>5951.2000000000007</v>
      </c>
      <c r="S6" s="27">
        <f t="shared" si="2"/>
        <v>5951.2000000000007</v>
      </c>
      <c r="T6" s="27">
        <f t="shared" si="2"/>
        <v>5951.2000000000007</v>
      </c>
      <c r="U6" s="27">
        <f t="shared" si="2"/>
        <v>5951.2000000000007</v>
      </c>
      <c r="V6" s="27">
        <f t="shared" si="2"/>
        <v>5951.2000000000007</v>
      </c>
      <c r="W6" s="27">
        <f t="shared" si="2"/>
        <v>5951.2000000000007</v>
      </c>
      <c r="X6" s="27">
        <f t="shared" si="2"/>
        <v>5951.2000000000007</v>
      </c>
    </row>
    <row r="7" spans="1:143" x14ac:dyDescent="0.25">
      <c r="C7" s="27" t="s">
        <v>71</v>
      </c>
      <c r="L7" s="27">
        <v>-1373.0809999999999</v>
      </c>
      <c r="M7" s="27">
        <v>-1865.0360000000001</v>
      </c>
      <c r="N7" s="27">
        <v>-2238</v>
      </c>
      <c r="O7" s="27">
        <f>N7*1</f>
        <v>-2238</v>
      </c>
      <c r="P7" s="27">
        <f t="shared" ref="P7:X7" si="3">O7*1</f>
        <v>-2238</v>
      </c>
      <c r="Q7" s="27">
        <f t="shared" si="3"/>
        <v>-2238</v>
      </c>
      <c r="R7" s="27">
        <f t="shared" si="3"/>
        <v>-2238</v>
      </c>
      <c r="S7" s="27">
        <f t="shared" si="3"/>
        <v>-2238</v>
      </c>
      <c r="T7" s="27">
        <f t="shared" si="3"/>
        <v>-2238</v>
      </c>
      <c r="U7" s="27">
        <f t="shared" si="3"/>
        <v>-2238</v>
      </c>
      <c r="V7" s="27">
        <f t="shared" si="3"/>
        <v>-2238</v>
      </c>
      <c r="W7" s="27">
        <f t="shared" si="3"/>
        <v>-2238</v>
      </c>
      <c r="X7" s="27">
        <f t="shared" si="3"/>
        <v>-2238</v>
      </c>
    </row>
    <row r="8" spans="1:143" x14ac:dyDescent="0.25">
      <c r="C8" s="27" t="s">
        <v>72</v>
      </c>
      <c r="L8" s="27">
        <v>-674.60799999999995</v>
      </c>
      <c r="M8" s="27">
        <v>-922.92700000000002</v>
      </c>
      <c r="N8" s="27">
        <v>-1060</v>
      </c>
      <c r="O8" s="27">
        <f>N8*1</f>
        <v>-1060</v>
      </c>
      <c r="P8" s="27">
        <f t="shared" ref="P8:X8" si="4">O8*1</f>
        <v>-1060</v>
      </c>
      <c r="Q8" s="27">
        <f t="shared" si="4"/>
        <v>-1060</v>
      </c>
      <c r="R8" s="27">
        <f t="shared" si="4"/>
        <v>-1060</v>
      </c>
      <c r="S8" s="27">
        <f t="shared" si="4"/>
        <v>-1060</v>
      </c>
      <c r="T8" s="27">
        <f t="shared" si="4"/>
        <v>-1060</v>
      </c>
      <c r="U8" s="27">
        <f t="shared" si="4"/>
        <v>-1060</v>
      </c>
      <c r="V8" s="27">
        <f t="shared" si="4"/>
        <v>-1060</v>
      </c>
      <c r="W8" s="27">
        <f t="shared" si="4"/>
        <v>-1060</v>
      </c>
      <c r="X8" s="27">
        <f t="shared" si="4"/>
        <v>-1060</v>
      </c>
    </row>
    <row r="9" spans="1:143" x14ac:dyDescent="0.25">
      <c r="C9" s="27" t="s">
        <v>73</v>
      </c>
      <c r="L9" s="27">
        <v>-848.42600000000004</v>
      </c>
      <c r="M9" s="27">
        <v>-1288.0619999999999</v>
      </c>
      <c r="N9" s="27">
        <v>-1462</v>
      </c>
      <c r="O9" s="27">
        <f>N9*1</f>
        <v>-1462</v>
      </c>
      <c r="P9" s="27">
        <f t="shared" ref="P9:X9" si="5">O9*1</f>
        <v>-1462</v>
      </c>
      <c r="Q9" s="27">
        <f t="shared" si="5"/>
        <v>-1462</v>
      </c>
      <c r="R9" s="27">
        <f t="shared" si="5"/>
        <v>-1462</v>
      </c>
      <c r="S9" s="27">
        <f t="shared" si="5"/>
        <v>-1462</v>
      </c>
      <c r="T9" s="27">
        <f t="shared" si="5"/>
        <v>-1462</v>
      </c>
      <c r="U9" s="27">
        <f t="shared" si="5"/>
        <v>-1462</v>
      </c>
      <c r="V9" s="27">
        <f t="shared" si="5"/>
        <v>-1462</v>
      </c>
      <c r="W9" s="27">
        <f t="shared" si="5"/>
        <v>-1462</v>
      </c>
      <c r="X9" s="27">
        <f t="shared" si="5"/>
        <v>-1462</v>
      </c>
    </row>
    <row r="10" spans="1:143" x14ac:dyDescent="0.25">
      <c r="C10" s="26" t="s">
        <v>74</v>
      </c>
      <c r="L10" s="26">
        <f>SUM(L6:L9)</f>
        <v>1295.1299999999997</v>
      </c>
      <c r="M10" s="26">
        <f>SUM(M6:M9)</f>
        <v>1236.779</v>
      </c>
      <c r="N10" s="26">
        <f>SUM(N6:N9)</f>
        <v>1319</v>
      </c>
      <c r="O10" s="26">
        <f t="shared" ref="O10:X10" si="6">SUM(O6:O9)</f>
        <v>1191.2000000000007</v>
      </c>
      <c r="P10" s="26">
        <f t="shared" si="6"/>
        <v>1191.2000000000007</v>
      </c>
      <c r="Q10" s="26">
        <f t="shared" si="6"/>
        <v>1191.2000000000007</v>
      </c>
      <c r="R10" s="26">
        <f t="shared" si="6"/>
        <v>1191.2000000000007</v>
      </c>
      <c r="S10" s="26">
        <f t="shared" si="6"/>
        <v>1191.2000000000007</v>
      </c>
      <c r="T10" s="26">
        <f t="shared" si="6"/>
        <v>1191.2000000000007</v>
      </c>
      <c r="U10" s="26">
        <f t="shared" si="6"/>
        <v>1191.2000000000007</v>
      </c>
      <c r="V10" s="26">
        <f t="shared" si="6"/>
        <v>1191.2000000000007</v>
      </c>
      <c r="W10" s="26">
        <f t="shared" si="6"/>
        <v>1191.2000000000007</v>
      </c>
      <c r="X10" s="26">
        <f t="shared" si="6"/>
        <v>1191.2000000000007</v>
      </c>
    </row>
    <row r="11" spans="1:143" x14ac:dyDescent="0.25">
      <c r="C11" s="27" t="s">
        <v>75</v>
      </c>
      <c r="L11" s="27">
        <v>-190.517</v>
      </c>
      <c r="M11" s="27">
        <v>-201.70400000000001</v>
      </c>
      <c r="N11" s="27">
        <v>-258</v>
      </c>
      <c r="O11" s="27">
        <v>0</v>
      </c>
      <c r="P11" s="27">
        <v>0</v>
      </c>
      <c r="Q11" s="27">
        <v>0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</row>
    <row r="12" spans="1:143" x14ac:dyDescent="0.25">
      <c r="C12" s="27" t="s">
        <v>76</v>
      </c>
      <c r="L12" s="27">
        <v>-54.488999999999997</v>
      </c>
      <c r="M12" s="27">
        <v>1.5920000000000001</v>
      </c>
      <c r="N12" s="27">
        <v>0</v>
      </c>
      <c r="O12" s="27">
        <v>0</v>
      </c>
      <c r="P12" s="27">
        <v>0</v>
      </c>
      <c r="Q12" s="27">
        <v>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</row>
    <row r="13" spans="1:143" x14ac:dyDescent="0.25">
      <c r="C13" s="27" t="s">
        <v>77</v>
      </c>
      <c r="L13" s="27">
        <v>101.789</v>
      </c>
      <c r="M13" s="27">
        <v>32.308999999999997</v>
      </c>
      <c r="N13" s="27">
        <v>0</v>
      </c>
      <c r="O13" s="27">
        <v>0</v>
      </c>
      <c r="P13" s="27">
        <v>0</v>
      </c>
      <c r="Q13" s="27">
        <v>0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v>0</v>
      </c>
      <c r="X13" s="27">
        <v>0</v>
      </c>
    </row>
    <row r="14" spans="1:143" x14ac:dyDescent="0.25">
      <c r="C14" s="27" t="s">
        <v>78</v>
      </c>
      <c r="L14" s="27">
        <f>SUM(L10:L13)</f>
        <v>1151.9129999999996</v>
      </c>
      <c r="M14" s="27">
        <f>SUM(M10:M13)</f>
        <v>1068.9760000000001</v>
      </c>
      <c r="N14" s="27">
        <f>SUM(N10:N13)</f>
        <v>1061</v>
      </c>
      <c r="O14" s="27">
        <f t="shared" ref="O14:X14" si="7">SUM(O10:O13)</f>
        <v>1191.2000000000007</v>
      </c>
      <c r="P14" s="27">
        <f t="shared" si="7"/>
        <v>1191.2000000000007</v>
      </c>
      <c r="Q14" s="27">
        <f t="shared" si="7"/>
        <v>1191.2000000000007</v>
      </c>
      <c r="R14" s="27">
        <f t="shared" si="7"/>
        <v>1191.2000000000007</v>
      </c>
      <c r="S14" s="27">
        <f t="shared" si="7"/>
        <v>1191.2000000000007</v>
      </c>
      <c r="T14" s="27">
        <f t="shared" si="7"/>
        <v>1191.2000000000007</v>
      </c>
      <c r="U14" s="27">
        <f t="shared" si="7"/>
        <v>1191.2000000000007</v>
      </c>
      <c r="V14" s="27">
        <f t="shared" si="7"/>
        <v>1191.2000000000007</v>
      </c>
      <c r="W14" s="27">
        <f t="shared" si="7"/>
        <v>1191.2000000000007</v>
      </c>
      <c r="X14" s="27">
        <f t="shared" si="7"/>
        <v>1191.2000000000007</v>
      </c>
    </row>
    <row r="15" spans="1:143" x14ac:dyDescent="0.25">
      <c r="C15" s="27" t="s">
        <v>79</v>
      </c>
      <c r="L15" s="27">
        <v>-243.06</v>
      </c>
      <c r="M15" s="27">
        <v>-230.94</v>
      </c>
      <c r="N15" s="27">
        <v>-246</v>
      </c>
      <c r="O15" s="27">
        <f>O14*-0.22</f>
        <v>-262.06400000000014</v>
      </c>
      <c r="P15" s="27">
        <f t="shared" ref="P15:X15" si="8">P14*-0.22</f>
        <v>-262.06400000000014</v>
      </c>
      <c r="Q15" s="27">
        <f t="shared" si="8"/>
        <v>-262.06400000000014</v>
      </c>
      <c r="R15" s="27">
        <f t="shared" si="8"/>
        <v>-262.06400000000014</v>
      </c>
      <c r="S15" s="27">
        <f t="shared" si="8"/>
        <v>-262.06400000000014</v>
      </c>
      <c r="T15" s="27">
        <f t="shared" si="8"/>
        <v>-262.06400000000014</v>
      </c>
      <c r="U15" s="27">
        <f t="shared" si="8"/>
        <v>-262.06400000000014</v>
      </c>
      <c r="V15" s="27">
        <f t="shared" si="8"/>
        <v>-262.06400000000014</v>
      </c>
      <c r="W15" s="27">
        <f t="shared" si="8"/>
        <v>-262.06400000000014</v>
      </c>
      <c r="X15" s="27">
        <f t="shared" si="8"/>
        <v>-262.06400000000014</v>
      </c>
    </row>
    <row r="16" spans="1:143" x14ac:dyDescent="0.25">
      <c r="C16" s="26" t="s">
        <v>80</v>
      </c>
      <c r="L16" s="26">
        <f>SUM(L14:L15)</f>
        <v>908.85299999999961</v>
      </c>
      <c r="M16" s="26">
        <f>SUM(M14:M15)</f>
        <v>838.03600000000006</v>
      </c>
      <c r="N16" s="26">
        <f>SUM(N14:N15)</f>
        <v>815</v>
      </c>
      <c r="O16" s="26">
        <f t="shared" ref="O16:X16" si="9">SUM(O14:O15)</f>
        <v>929.13600000000065</v>
      </c>
      <c r="P16" s="26">
        <f t="shared" si="9"/>
        <v>929.13600000000065</v>
      </c>
      <c r="Q16" s="26">
        <f t="shared" si="9"/>
        <v>929.13600000000065</v>
      </c>
      <c r="R16" s="26">
        <f t="shared" si="9"/>
        <v>929.13600000000065</v>
      </c>
      <c r="S16" s="26">
        <f t="shared" si="9"/>
        <v>929.13600000000065</v>
      </c>
      <c r="T16" s="26">
        <f t="shared" si="9"/>
        <v>929.13600000000065</v>
      </c>
      <c r="U16" s="26">
        <f t="shared" si="9"/>
        <v>929.13600000000065</v>
      </c>
      <c r="V16" s="26">
        <f t="shared" si="9"/>
        <v>929.13600000000065</v>
      </c>
      <c r="W16" s="26">
        <f t="shared" si="9"/>
        <v>929.13600000000065</v>
      </c>
      <c r="X16" s="26">
        <f t="shared" si="9"/>
        <v>929.13600000000065</v>
      </c>
      <c r="Y16" s="26">
        <f>X16*(1+$AA$20)</f>
        <v>919.8446400000006</v>
      </c>
      <c r="Z16" s="26">
        <f t="shared" ref="Z16:CK16" si="10">Y16*(1+$AA$20)</f>
        <v>910.64619360000063</v>
      </c>
      <c r="AA16" s="26">
        <f t="shared" si="10"/>
        <v>901.53973166400067</v>
      </c>
      <c r="AB16" s="26">
        <f t="shared" si="10"/>
        <v>892.52433434736065</v>
      </c>
      <c r="AC16" s="26">
        <f t="shared" si="10"/>
        <v>883.599091003887</v>
      </c>
      <c r="AD16" s="26">
        <f t="shared" si="10"/>
        <v>874.76310009384815</v>
      </c>
      <c r="AE16" s="26">
        <f t="shared" si="10"/>
        <v>866.01546909290971</v>
      </c>
      <c r="AF16" s="26">
        <f t="shared" si="10"/>
        <v>857.35531440198065</v>
      </c>
      <c r="AG16" s="26">
        <f t="shared" si="10"/>
        <v>848.78176125796085</v>
      </c>
      <c r="AH16" s="26">
        <f t="shared" si="10"/>
        <v>840.2939436453812</v>
      </c>
      <c r="AI16" s="26">
        <f t="shared" si="10"/>
        <v>831.89100420892737</v>
      </c>
      <c r="AJ16" s="26">
        <f t="shared" si="10"/>
        <v>823.57209416683804</v>
      </c>
      <c r="AK16" s="26">
        <f t="shared" si="10"/>
        <v>815.33637322516961</v>
      </c>
      <c r="AL16" s="26">
        <f t="shared" si="10"/>
        <v>807.1830094929179</v>
      </c>
      <c r="AM16" s="26">
        <f t="shared" si="10"/>
        <v>799.11117939798874</v>
      </c>
      <c r="AN16" s="26">
        <f t="shared" si="10"/>
        <v>791.1200676040088</v>
      </c>
      <c r="AO16" s="26">
        <f t="shared" si="10"/>
        <v>783.20886692796876</v>
      </c>
      <c r="AP16" s="26">
        <f t="shared" si="10"/>
        <v>775.37677825868911</v>
      </c>
      <c r="AQ16" s="26">
        <f t="shared" si="10"/>
        <v>767.62301047610219</v>
      </c>
      <c r="AR16" s="26">
        <f t="shared" si="10"/>
        <v>759.94678037134122</v>
      </c>
      <c r="AS16" s="26">
        <f t="shared" si="10"/>
        <v>752.3473125676278</v>
      </c>
      <c r="AT16" s="26">
        <f t="shared" si="10"/>
        <v>744.82383944195146</v>
      </c>
      <c r="AU16" s="26">
        <f t="shared" si="10"/>
        <v>737.37560104753197</v>
      </c>
      <c r="AV16" s="26">
        <f t="shared" si="10"/>
        <v>730.00184503705668</v>
      </c>
      <c r="AW16" s="26">
        <f t="shared" si="10"/>
        <v>722.70182658668614</v>
      </c>
      <c r="AX16" s="26">
        <f t="shared" si="10"/>
        <v>715.47480832081931</v>
      </c>
      <c r="AY16" s="26">
        <f t="shared" si="10"/>
        <v>708.32006023761107</v>
      </c>
      <c r="AZ16" s="26">
        <f t="shared" si="10"/>
        <v>701.23685963523496</v>
      </c>
      <c r="BA16" s="26">
        <f t="shared" si="10"/>
        <v>694.22449103888266</v>
      </c>
      <c r="BB16" s="26">
        <f t="shared" si="10"/>
        <v>687.28224612849385</v>
      </c>
      <c r="BC16" s="26">
        <f t="shared" si="10"/>
        <v>680.4094236672089</v>
      </c>
      <c r="BD16" s="26">
        <f t="shared" si="10"/>
        <v>673.60532943053681</v>
      </c>
      <c r="BE16" s="26">
        <f t="shared" si="10"/>
        <v>666.86927613623141</v>
      </c>
      <c r="BF16" s="26">
        <f t="shared" si="10"/>
        <v>660.2005833748691</v>
      </c>
      <c r="BG16" s="26">
        <f t="shared" si="10"/>
        <v>653.59857754112045</v>
      </c>
      <c r="BH16" s="26">
        <f t="shared" si="10"/>
        <v>647.06259176570927</v>
      </c>
      <c r="BI16" s="26">
        <f t="shared" si="10"/>
        <v>640.59196584805215</v>
      </c>
      <c r="BJ16" s="26">
        <f t="shared" si="10"/>
        <v>634.18604618957158</v>
      </c>
      <c r="BK16" s="26">
        <f t="shared" si="10"/>
        <v>627.84418572767584</v>
      </c>
      <c r="BL16" s="26">
        <f t="shared" si="10"/>
        <v>621.56574387039905</v>
      </c>
      <c r="BM16" s="26">
        <f t="shared" si="10"/>
        <v>615.3500864316951</v>
      </c>
      <c r="BN16" s="26">
        <f t="shared" si="10"/>
        <v>609.19658556737818</v>
      </c>
      <c r="BO16" s="26">
        <f t="shared" si="10"/>
        <v>603.10461971170434</v>
      </c>
      <c r="BP16" s="26">
        <f t="shared" si="10"/>
        <v>597.07357351458734</v>
      </c>
      <c r="BQ16" s="26">
        <f t="shared" si="10"/>
        <v>591.10283777944142</v>
      </c>
      <c r="BR16" s="26">
        <f t="shared" si="10"/>
        <v>585.19180940164699</v>
      </c>
      <c r="BS16" s="26">
        <f t="shared" si="10"/>
        <v>579.33989130763052</v>
      </c>
      <c r="BT16" s="26">
        <f t="shared" si="10"/>
        <v>573.54649239455421</v>
      </c>
      <c r="BU16" s="26">
        <f t="shared" si="10"/>
        <v>567.81102747060868</v>
      </c>
      <c r="BV16" s="26">
        <f t="shared" si="10"/>
        <v>562.13291719590256</v>
      </c>
      <c r="BW16" s="26">
        <f t="shared" si="10"/>
        <v>556.51158802394355</v>
      </c>
      <c r="BX16" s="26">
        <f t="shared" si="10"/>
        <v>550.94647214370411</v>
      </c>
      <c r="BY16" s="26">
        <f t="shared" si="10"/>
        <v>545.43700742226702</v>
      </c>
      <c r="BZ16" s="26">
        <f t="shared" si="10"/>
        <v>539.98263734804436</v>
      </c>
      <c r="CA16" s="26">
        <f t="shared" si="10"/>
        <v>534.58281097456393</v>
      </c>
      <c r="CB16" s="26">
        <f t="shared" si="10"/>
        <v>529.23698286481829</v>
      </c>
      <c r="CC16" s="26">
        <f t="shared" si="10"/>
        <v>523.94461303617015</v>
      </c>
      <c r="CD16" s="26">
        <f t="shared" si="10"/>
        <v>518.70516690580848</v>
      </c>
      <c r="CE16" s="26">
        <f t="shared" si="10"/>
        <v>513.51811523675042</v>
      </c>
      <c r="CF16" s="26">
        <f t="shared" si="10"/>
        <v>508.3829340843829</v>
      </c>
      <c r="CG16" s="26">
        <f t="shared" si="10"/>
        <v>503.29910474353909</v>
      </c>
      <c r="CH16" s="26">
        <f t="shared" si="10"/>
        <v>498.26611369610367</v>
      </c>
      <c r="CI16" s="26">
        <f t="shared" si="10"/>
        <v>493.28345255914263</v>
      </c>
      <c r="CJ16" s="26">
        <f t="shared" si="10"/>
        <v>488.3506180335512</v>
      </c>
      <c r="CK16" s="26">
        <f t="shared" si="10"/>
        <v>483.46711185321567</v>
      </c>
      <c r="CL16" s="26">
        <f t="shared" ref="CL16:EM16" si="11">CK16*(1+$AA$20)</f>
        <v>478.63244073468348</v>
      </c>
      <c r="CM16" s="26">
        <f t="shared" si="11"/>
        <v>473.84611632733663</v>
      </c>
      <c r="CN16" s="26">
        <f t="shared" si="11"/>
        <v>469.10765516406326</v>
      </c>
      <c r="CO16" s="26">
        <f t="shared" si="11"/>
        <v>464.4165786124226</v>
      </c>
      <c r="CP16" s="26">
        <f t="shared" si="11"/>
        <v>459.77241282629836</v>
      </c>
      <c r="CQ16" s="26">
        <f t="shared" si="11"/>
        <v>455.17468869803537</v>
      </c>
      <c r="CR16" s="26">
        <f t="shared" si="11"/>
        <v>450.622941811055</v>
      </c>
      <c r="CS16" s="26">
        <f t="shared" si="11"/>
        <v>446.11671239294446</v>
      </c>
      <c r="CT16" s="26">
        <f t="shared" si="11"/>
        <v>441.65554526901502</v>
      </c>
      <c r="CU16" s="26">
        <f t="shared" si="11"/>
        <v>437.23898981632487</v>
      </c>
      <c r="CV16" s="26">
        <f t="shared" si="11"/>
        <v>432.86659991816163</v>
      </c>
      <c r="CW16" s="26">
        <f t="shared" si="11"/>
        <v>428.53793391898</v>
      </c>
      <c r="CX16" s="26">
        <f t="shared" si="11"/>
        <v>424.25255457979017</v>
      </c>
      <c r="CY16" s="26">
        <f t="shared" si="11"/>
        <v>420.01002903399228</v>
      </c>
      <c r="CZ16" s="26">
        <f t="shared" si="11"/>
        <v>415.80992874365234</v>
      </c>
      <c r="DA16" s="26">
        <f t="shared" si="11"/>
        <v>411.65182945621581</v>
      </c>
      <c r="DB16" s="26">
        <f t="shared" si="11"/>
        <v>407.53531116165362</v>
      </c>
      <c r="DC16" s="26">
        <f t="shared" si="11"/>
        <v>403.45995805003707</v>
      </c>
      <c r="DD16" s="26">
        <f t="shared" si="11"/>
        <v>399.42535846953672</v>
      </c>
      <c r="DE16" s="26">
        <f t="shared" si="11"/>
        <v>395.43110488484137</v>
      </c>
      <c r="DF16" s="26">
        <f t="shared" si="11"/>
        <v>391.47679383599296</v>
      </c>
      <c r="DG16" s="26">
        <f t="shared" si="11"/>
        <v>387.56202589763302</v>
      </c>
      <c r="DH16" s="26">
        <f t="shared" si="11"/>
        <v>383.68640563865671</v>
      </c>
      <c r="DI16" s="26">
        <f t="shared" si="11"/>
        <v>379.84954158227015</v>
      </c>
      <c r="DJ16" s="26">
        <f t="shared" si="11"/>
        <v>376.05104616644746</v>
      </c>
      <c r="DK16" s="26">
        <f t="shared" si="11"/>
        <v>372.290535704783</v>
      </c>
      <c r="DL16" s="26">
        <f t="shared" si="11"/>
        <v>368.56763034773519</v>
      </c>
      <c r="DM16" s="26">
        <f t="shared" si="11"/>
        <v>364.88195404425784</v>
      </c>
      <c r="DN16" s="26">
        <f t="shared" si="11"/>
        <v>361.23313450381528</v>
      </c>
      <c r="DO16" s="26">
        <f t="shared" si="11"/>
        <v>357.62080315877711</v>
      </c>
      <c r="DP16" s="26">
        <f t="shared" si="11"/>
        <v>354.04459512718933</v>
      </c>
      <c r="DQ16" s="26">
        <f t="shared" si="11"/>
        <v>350.50414917591741</v>
      </c>
      <c r="DR16" s="26">
        <f t="shared" si="11"/>
        <v>346.99910768415822</v>
      </c>
      <c r="DS16" s="26">
        <f t="shared" si="11"/>
        <v>343.52911660731661</v>
      </c>
      <c r="DT16" s="26">
        <f t="shared" si="11"/>
        <v>340.09382544124344</v>
      </c>
      <c r="DU16" s="26">
        <f t="shared" si="11"/>
        <v>336.692887186831</v>
      </c>
      <c r="DV16" s="26">
        <f t="shared" si="11"/>
        <v>333.32595831496269</v>
      </c>
      <c r="DW16" s="26">
        <f t="shared" si="11"/>
        <v>329.99269873181305</v>
      </c>
      <c r="DX16" s="26">
        <f t="shared" si="11"/>
        <v>326.69277174449491</v>
      </c>
      <c r="DY16" s="26">
        <f t="shared" si="11"/>
        <v>323.42584402704995</v>
      </c>
      <c r="DZ16" s="26">
        <f t="shared" si="11"/>
        <v>320.19158558677947</v>
      </c>
      <c r="EA16" s="26">
        <f t="shared" si="11"/>
        <v>316.98966973091166</v>
      </c>
      <c r="EB16" s="26">
        <f t="shared" si="11"/>
        <v>313.81977303360253</v>
      </c>
      <c r="EC16" s="26">
        <f t="shared" si="11"/>
        <v>310.68157530326653</v>
      </c>
      <c r="ED16" s="26">
        <f t="shared" si="11"/>
        <v>307.57475955023386</v>
      </c>
      <c r="EE16" s="26">
        <f t="shared" si="11"/>
        <v>304.49901195473154</v>
      </c>
      <c r="EF16" s="26">
        <f t="shared" si="11"/>
        <v>301.45402183518422</v>
      </c>
      <c r="EG16" s="26">
        <f t="shared" si="11"/>
        <v>298.43948161683238</v>
      </c>
      <c r="EH16" s="26">
        <f t="shared" si="11"/>
        <v>295.45508680066405</v>
      </c>
      <c r="EI16" s="26">
        <f t="shared" si="11"/>
        <v>292.50053593265739</v>
      </c>
      <c r="EJ16" s="26">
        <f t="shared" si="11"/>
        <v>289.57553057333081</v>
      </c>
      <c r="EK16" s="26">
        <f t="shared" si="11"/>
        <v>286.67977526759751</v>
      </c>
      <c r="EL16" s="26">
        <f t="shared" si="11"/>
        <v>283.81297751492156</v>
      </c>
      <c r="EM16" s="26">
        <f t="shared" si="11"/>
        <v>280.97484773977231</v>
      </c>
    </row>
    <row r="17" spans="3:27" x14ac:dyDescent="0.25">
      <c r="C17" s="1" t="s">
        <v>81</v>
      </c>
      <c r="L17" s="25">
        <v>166.96888799999999</v>
      </c>
      <c r="M17" s="25">
        <v>166.96888799999999</v>
      </c>
      <c r="N17" s="25">
        <v>166.96888799999999</v>
      </c>
      <c r="O17" s="25">
        <v>166.96888799999999</v>
      </c>
      <c r="P17" s="25">
        <v>166.96888799999999</v>
      </c>
      <c r="Q17" s="25">
        <v>166.96888799999999</v>
      </c>
      <c r="R17" s="25">
        <v>166.96888799999999</v>
      </c>
      <c r="S17" s="25">
        <v>166.96888799999999</v>
      </c>
      <c r="T17" s="25">
        <v>166.96888799999999</v>
      </c>
      <c r="U17" s="25">
        <v>166.96888799999999</v>
      </c>
      <c r="V17" s="25">
        <v>166.96888799999999</v>
      </c>
      <c r="W17" s="25">
        <v>166.96888799999999</v>
      </c>
      <c r="X17" s="25">
        <v>166.96888799999999</v>
      </c>
    </row>
    <row r="18" spans="3:27" x14ac:dyDescent="0.25">
      <c r="C18" s="1" t="s">
        <v>82</v>
      </c>
      <c r="L18" s="24">
        <f>L16/L17</f>
        <v>5.4432476067038289</v>
      </c>
      <c r="M18" s="24">
        <f>M16/M17</f>
        <v>5.0191146987814887</v>
      </c>
      <c r="N18" s="24">
        <f>N16/N17</f>
        <v>4.8811488760708528</v>
      </c>
      <c r="O18" s="24">
        <f t="shared" ref="O18:X18" si="12">O16/O17</f>
        <v>5.5647253277508844</v>
      </c>
      <c r="P18" s="24">
        <f t="shared" si="12"/>
        <v>5.5647253277508844</v>
      </c>
      <c r="Q18" s="24">
        <f t="shared" si="12"/>
        <v>5.5647253277508844</v>
      </c>
      <c r="R18" s="24">
        <f t="shared" si="12"/>
        <v>5.5647253277508844</v>
      </c>
      <c r="S18" s="24">
        <f t="shared" si="12"/>
        <v>5.5647253277508844</v>
      </c>
      <c r="T18" s="24">
        <f t="shared" si="12"/>
        <v>5.5647253277508844</v>
      </c>
      <c r="U18" s="24">
        <f t="shared" si="12"/>
        <v>5.5647253277508844</v>
      </c>
      <c r="V18" s="24">
        <f t="shared" si="12"/>
        <v>5.5647253277508844</v>
      </c>
      <c r="W18" s="24">
        <f t="shared" si="12"/>
        <v>5.5647253277508844</v>
      </c>
      <c r="X18" s="24">
        <f t="shared" si="12"/>
        <v>5.5647253277508844</v>
      </c>
    </row>
    <row r="19" spans="3:27" x14ac:dyDescent="0.25">
      <c r="Z19" s="1" t="s">
        <v>133</v>
      </c>
      <c r="AA19" s="32">
        <v>0.08</v>
      </c>
    </row>
    <row r="20" spans="3:27" x14ac:dyDescent="0.25">
      <c r="C20" s="28" t="s">
        <v>69</v>
      </c>
      <c r="D20" s="28"/>
      <c r="E20" s="28" t="e">
        <f t="shared" ref="E20:L20" si="13">(E4-D4)/D4</f>
        <v>#DIV/0!</v>
      </c>
      <c r="F20" s="28" t="e">
        <f t="shared" si="13"/>
        <v>#DIV/0!</v>
      </c>
      <c r="G20" s="28" t="e">
        <f t="shared" si="13"/>
        <v>#DIV/0!</v>
      </c>
      <c r="H20" s="28" t="e">
        <f t="shared" si="13"/>
        <v>#DIV/0!</v>
      </c>
      <c r="I20" s="28" t="e">
        <f t="shared" si="13"/>
        <v>#DIV/0!</v>
      </c>
      <c r="J20" s="28" t="e">
        <f t="shared" si="13"/>
        <v>#DIV/0!</v>
      </c>
      <c r="K20" s="28" t="e">
        <f t="shared" si="13"/>
        <v>#DIV/0!</v>
      </c>
      <c r="L20" s="28" t="e">
        <f t="shared" si="13"/>
        <v>#DIV/0!</v>
      </c>
      <c r="M20" s="28">
        <f>(M4-L4)/L4</f>
        <v>0.34682216108067232</v>
      </c>
      <c r="N20" s="28">
        <f t="shared" ref="N20:X20" si="14">(N4-M4)/M4</f>
        <v>0.16687825713971771</v>
      </c>
      <c r="O20" s="28">
        <f t="shared" si="14"/>
        <v>0</v>
      </c>
      <c r="P20" s="28">
        <f t="shared" si="14"/>
        <v>0</v>
      </c>
      <c r="Q20" s="28">
        <f t="shared" si="14"/>
        <v>0</v>
      </c>
      <c r="R20" s="28">
        <f t="shared" si="14"/>
        <v>0</v>
      </c>
      <c r="S20" s="28">
        <f t="shared" si="14"/>
        <v>0</v>
      </c>
      <c r="T20" s="28">
        <f t="shared" si="14"/>
        <v>0</v>
      </c>
      <c r="U20" s="28">
        <f t="shared" si="14"/>
        <v>0</v>
      </c>
      <c r="V20" s="28">
        <f t="shared" si="14"/>
        <v>0</v>
      </c>
      <c r="W20" s="28">
        <f t="shared" si="14"/>
        <v>0</v>
      </c>
      <c r="X20" s="28">
        <f t="shared" si="14"/>
        <v>0</v>
      </c>
      <c r="Z20" s="1" t="s">
        <v>130</v>
      </c>
      <c r="AA20" s="32">
        <v>-0.01</v>
      </c>
    </row>
    <row r="21" spans="3:27" x14ac:dyDescent="0.25">
      <c r="C21" s="28" t="s">
        <v>70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Z21" s="31" t="s">
        <v>131</v>
      </c>
      <c r="AA21" s="33">
        <f>NPV(AA19,O16:EM16)</f>
        <v>10968.494584851082</v>
      </c>
    </row>
    <row r="22" spans="3:27" x14ac:dyDescent="0.25">
      <c r="C22" s="15" t="s">
        <v>57</v>
      </c>
      <c r="D22" s="15" t="e">
        <f t="shared" ref="D22:X22" si="15">D6/D4</f>
        <v>#DIV/0!</v>
      </c>
      <c r="E22" s="15" t="e">
        <f t="shared" si="15"/>
        <v>#DIV/0!</v>
      </c>
      <c r="F22" s="15" t="e">
        <f t="shared" si="15"/>
        <v>#DIV/0!</v>
      </c>
      <c r="G22" s="15" t="e">
        <f t="shared" si="15"/>
        <v>#DIV/0!</v>
      </c>
      <c r="H22" s="15" t="e">
        <f t="shared" si="15"/>
        <v>#DIV/0!</v>
      </c>
      <c r="I22" s="15" t="e">
        <f t="shared" si="15"/>
        <v>#DIV/0!</v>
      </c>
      <c r="J22" s="15" t="e">
        <f t="shared" si="15"/>
        <v>#DIV/0!</v>
      </c>
      <c r="K22" s="15" t="e">
        <f t="shared" si="15"/>
        <v>#DIV/0!</v>
      </c>
      <c r="L22" s="15">
        <f t="shared" si="15"/>
        <v>0.44272525354336428</v>
      </c>
      <c r="M22" s="15">
        <f t="shared" si="15"/>
        <v>0.41668204543923382</v>
      </c>
      <c r="N22" s="15">
        <f t="shared" si="15"/>
        <v>0.40858986422906307</v>
      </c>
      <c r="O22" s="15">
        <f t="shared" si="15"/>
        <v>0.4</v>
      </c>
      <c r="P22" s="15">
        <f t="shared" si="15"/>
        <v>0.4</v>
      </c>
      <c r="Q22" s="15">
        <f t="shared" si="15"/>
        <v>0.4</v>
      </c>
      <c r="R22" s="15">
        <f t="shared" si="15"/>
        <v>0.4</v>
      </c>
      <c r="S22" s="15">
        <f t="shared" si="15"/>
        <v>0.4</v>
      </c>
      <c r="T22" s="15">
        <f t="shared" si="15"/>
        <v>0.4</v>
      </c>
      <c r="U22" s="15">
        <f t="shared" si="15"/>
        <v>0.4</v>
      </c>
      <c r="V22" s="15">
        <f t="shared" si="15"/>
        <v>0.4</v>
      </c>
      <c r="W22" s="15">
        <f t="shared" si="15"/>
        <v>0.4</v>
      </c>
      <c r="X22" s="15">
        <f t="shared" si="15"/>
        <v>0.4</v>
      </c>
      <c r="Z22" s="1" t="s">
        <v>2</v>
      </c>
      <c r="AA22" s="25">
        <v>166.96888799999999</v>
      </c>
    </row>
    <row r="23" spans="3:27" x14ac:dyDescent="0.25">
      <c r="C23" s="15" t="s">
        <v>64</v>
      </c>
      <c r="D23" s="15" t="e">
        <f t="shared" ref="D23:X23" si="16">D10/D4</f>
        <v>#DIV/0!</v>
      </c>
      <c r="E23" s="15" t="e">
        <f t="shared" si="16"/>
        <v>#DIV/0!</v>
      </c>
      <c r="F23" s="15" t="e">
        <f t="shared" si="16"/>
        <v>#DIV/0!</v>
      </c>
      <c r="G23" s="15" t="e">
        <f t="shared" si="16"/>
        <v>#DIV/0!</v>
      </c>
      <c r="H23" s="15" t="e">
        <f t="shared" si="16"/>
        <v>#DIV/0!</v>
      </c>
      <c r="I23" s="15" t="e">
        <f t="shared" si="16"/>
        <v>#DIV/0!</v>
      </c>
      <c r="J23" s="15" t="e">
        <f t="shared" si="16"/>
        <v>#DIV/0!</v>
      </c>
      <c r="K23" s="15" t="e">
        <f t="shared" si="16"/>
        <v>#DIV/0!</v>
      </c>
      <c r="L23" s="15">
        <f t="shared" si="16"/>
        <v>0.13680583158980619</v>
      </c>
      <c r="M23" s="15">
        <f t="shared" si="16"/>
        <v>9.7000304072254531E-2</v>
      </c>
      <c r="N23" s="15">
        <f t="shared" si="16"/>
        <v>8.8654389030783709E-2</v>
      </c>
      <c r="O23" s="15">
        <f t="shared" si="16"/>
        <v>8.0064524801720716E-2</v>
      </c>
      <c r="P23" s="15">
        <f t="shared" si="16"/>
        <v>8.0064524801720716E-2</v>
      </c>
      <c r="Q23" s="15">
        <f t="shared" si="16"/>
        <v>8.0064524801720716E-2</v>
      </c>
      <c r="R23" s="15">
        <f t="shared" si="16"/>
        <v>8.0064524801720716E-2</v>
      </c>
      <c r="S23" s="15">
        <f t="shared" si="16"/>
        <v>8.0064524801720716E-2</v>
      </c>
      <c r="T23" s="15">
        <f t="shared" si="16"/>
        <v>8.0064524801720716E-2</v>
      </c>
      <c r="U23" s="15">
        <f t="shared" si="16"/>
        <v>8.0064524801720716E-2</v>
      </c>
      <c r="V23" s="15">
        <f t="shared" si="16"/>
        <v>8.0064524801720716E-2</v>
      </c>
      <c r="W23" s="15">
        <f t="shared" si="16"/>
        <v>8.0064524801720716E-2</v>
      </c>
      <c r="X23" s="15">
        <f t="shared" si="16"/>
        <v>8.0064524801720716E-2</v>
      </c>
      <c r="Z23" s="9" t="s">
        <v>132</v>
      </c>
      <c r="AA23" s="34">
        <f>AA21/AA22</f>
        <v>65.691846644214834</v>
      </c>
    </row>
    <row r="24" spans="3:27" x14ac:dyDescent="0.25">
      <c r="Z24" s="9" t="s">
        <v>134</v>
      </c>
      <c r="AA24" s="28">
        <f>(AA23-Modell!B4)/Modell!B4</f>
        <v>-0.30558301644593194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Nedsidebergnign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2025-02-02T17:48:02Z</dcterms:created>
  <dcterms:modified xsi:type="dcterms:W3CDTF">2026-05-28T17:06:47Z</dcterms:modified>
</cp:coreProperties>
</file>