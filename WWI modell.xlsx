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C0DB24BB-BE42-C146-8D36-9063ED670046}" xr6:coauthVersionLast="47" xr6:coauthVersionMax="47" xr10:uidLastSave="{00000000-0000-0000-0000-000000000000}"/>
  <bookViews>
    <workbookView xWindow="25200" yWindow="500" windowWidth="25880" windowHeight="26500" activeTab="1" xr2:uid="{5AE0DF26-B7DD-1242-A60E-253C73A930AF}"/>
  </bookViews>
  <sheets>
    <sheet name="Info" sheetId="1" r:id="rId1"/>
    <sheet name="Modell" sheetId="2" r:id="rId2"/>
    <sheet name="Segementer" sheetId="4" r:id="rId3"/>
    <sheet name="SOTP" sheetId="5" r:id="rId4"/>
    <sheet name="Nøkkeltall" sheetId="3" r:id="rId5"/>
  </sheets>
  <definedNames>
    <definedName name="_xlchart.v1.0" hidden="1">SOTP!$A$91:$A$104</definedName>
    <definedName name="_xlchart.v1.1" hidden="1">SOTP!$B$91:$B$104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5" l="1"/>
  <c r="F6" i="3"/>
  <c r="AF26" i="2"/>
  <c r="AE26" i="2"/>
  <c r="AD26" i="2"/>
  <c r="AC26" i="2"/>
  <c r="AB26" i="2"/>
  <c r="AA26" i="2"/>
  <c r="Z26" i="2"/>
  <c r="AG4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AB57" i="2" l="1"/>
  <c r="AA57" i="2"/>
  <c r="Z57" i="2"/>
  <c r="AB46" i="2"/>
  <c r="AA46" i="2"/>
  <c r="Z46" i="2"/>
  <c r="AB41" i="2"/>
  <c r="AA41" i="2"/>
  <c r="Z41" i="2"/>
  <c r="AC57" i="2"/>
  <c r="AC46" i="2"/>
  <c r="AC41" i="2"/>
  <c r="AD57" i="2"/>
  <c r="AD46" i="2"/>
  <c r="AD41" i="2"/>
  <c r="AE57" i="2"/>
  <c r="AE46" i="2"/>
  <c r="AE41" i="2"/>
  <c r="AF57" i="2"/>
  <c r="AF46" i="2"/>
  <c r="AF31" i="2"/>
  <c r="AF41" i="2" s="1"/>
  <c r="U70" i="2"/>
  <c r="U97" i="2" s="1"/>
  <c r="T70" i="2"/>
  <c r="U93" i="2"/>
  <c r="U83" i="2"/>
  <c r="U57" i="2"/>
  <c r="U41" i="2"/>
  <c r="T41" i="2"/>
  <c r="U46" i="2"/>
  <c r="T46" i="2"/>
  <c r="T57" i="2"/>
  <c r="U6" i="2"/>
  <c r="U26" i="2" s="1"/>
  <c r="T83" i="2"/>
  <c r="T93" i="2"/>
  <c r="T6" i="2"/>
  <c r="AC58" i="2" l="1"/>
  <c r="U95" i="2"/>
  <c r="AD58" i="2"/>
  <c r="T58" i="2"/>
  <c r="U58" i="2"/>
  <c r="AA58" i="2"/>
  <c r="AF58" i="2"/>
  <c r="AE58" i="2"/>
  <c r="Z58" i="2"/>
  <c r="AB58" i="2"/>
  <c r="T95" i="2"/>
  <c r="U11" i="2"/>
  <c r="T97" i="2"/>
  <c r="T11" i="2"/>
  <c r="V13" i="4"/>
  <c r="V15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3" i="4"/>
  <c r="AA42" i="4"/>
  <c r="Z41" i="4"/>
  <c r="Y41" i="4"/>
  <c r="X41" i="4"/>
  <c r="W41" i="4"/>
  <c r="AA40" i="4"/>
  <c r="AA41" i="4" s="1"/>
  <c r="AA36" i="4"/>
  <c r="AA35" i="4"/>
  <c r="AA34" i="4"/>
  <c r="AA33" i="4"/>
  <c r="AA32" i="4"/>
  <c r="AA31" i="4"/>
  <c r="AA29" i="4"/>
  <c r="AA27" i="4"/>
  <c r="AA26" i="4"/>
  <c r="AA25" i="4"/>
  <c r="Z24" i="4"/>
  <c r="Y24" i="4"/>
  <c r="X24" i="4"/>
  <c r="W24" i="4"/>
  <c r="AA23" i="4"/>
  <c r="AA24" i="4" s="1"/>
  <c r="AA19" i="4"/>
  <c r="AA18" i="4"/>
  <c r="AA17" i="4"/>
  <c r="AA16" i="4"/>
  <c r="AA14" i="4"/>
  <c r="AA12" i="4"/>
  <c r="AA11" i="4"/>
  <c r="AA10" i="4"/>
  <c r="AA9" i="4"/>
  <c r="AA8" i="4"/>
  <c r="Z7" i="4"/>
  <c r="Y7" i="4"/>
  <c r="X7" i="4"/>
  <c r="W7" i="4"/>
  <c r="AA6" i="4"/>
  <c r="AF93" i="2"/>
  <c r="AF83" i="2"/>
  <c r="AF70" i="2"/>
  <c r="AF97" i="2" s="1"/>
  <c r="S68" i="2"/>
  <c r="G23" i="5"/>
  <c r="F20" i="5"/>
  <c r="S31" i="2"/>
  <c r="AH12" i="2"/>
  <c r="AI12" i="2" s="1"/>
  <c r="AJ12" i="2" s="1"/>
  <c r="AK12" i="2" s="1"/>
  <c r="AL12" i="2" s="1"/>
  <c r="AM12" i="2" s="1"/>
  <c r="AN12" i="2" s="1"/>
  <c r="AO12" i="2" s="1"/>
  <c r="AP12" i="2" s="1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U24" i="4"/>
  <c r="T24" i="4"/>
  <c r="S24" i="4"/>
  <c r="R24" i="4"/>
  <c r="P24" i="4"/>
  <c r="O24" i="4"/>
  <c r="N24" i="4"/>
  <c r="M24" i="4"/>
  <c r="K24" i="4"/>
  <c r="J24" i="4"/>
  <c r="I24" i="4"/>
  <c r="H24" i="4"/>
  <c r="V6" i="4"/>
  <c r="H7" i="4"/>
  <c r="I7" i="4"/>
  <c r="J7" i="4"/>
  <c r="K7" i="4"/>
  <c r="M7" i="4"/>
  <c r="N7" i="4"/>
  <c r="O7" i="4"/>
  <c r="P7" i="4"/>
  <c r="R7" i="4"/>
  <c r="S7" i="4"/>
  <c r="T7" i="4"/>
  <c r="U7" i="4"/>
  <c r="F16" i="5"/>
  <c r="G16" i="5" s="1"/>
  <c r="B98" i="5" s="1"/>
  <c r="F14" i="5"/>
  <c r="G14" i="5" s="1"/>
  <c r="B96" i="5" s="1"/>
  <c r="E15" i="5"/>
  <c r="F15" i="5" s="1"/>
  <c r="G15" i="5" s="1"/>
  <c r="B97" i="5" s="1"/>
  <c r="F10" i="5"/>
  <c r="G10" i="5" s="1"/>
  <c r="B93" i="5" s="1"/>
  <c r="F9" i="5"/>
  <c r="G9" i="5" s="1"/>
  <c r="B92" i="5" s="1"/>
  <c r="F8" i="5"/>
  <c r="G8" i="5" s="1"/>
  <c r="B91" i="5" s="1"/>
  <c r="AA37" i="4" l="1"/>
  <c r="U23" i="2"/>
  <c r="U16" i="2"/>
  <c r="T23" i="2"/>
  <c r="T16" i="2"/>
  <c r="B94" i="5"/>
  <c r="AA28" i="4"/>
  <c r="AA30" i="4"/>
  <c r="AA13" i="4"/>
  <c r="AA15" i="4"/>
  <c r="AA7" i="4"/>
  <c r="AA20" i="4"/>
  <c r="B99" i="5"/>
  <c r="AF95" i="2"/>
  <c r="G20" i="5"/>
  <c r="B101" i="5" s="1"/>
  <c r="B102" i="5"/>
  <c r="G17" i="5"/>
  <c r="G11" i="5"/>
  <c r="T18" i="2" l="1"/>
  <c r="T19" i="2" s="1"/>
  <c r="T61" i="2"/>
  <c r="U18" i="2"/>
  <c r="U19" i="2" s="1"/>
  <c r="U61" i="2"/>
  <c r="B104" i="5"/>
  <c r="F26" i="5"/>
  <c r="G26" i="5" s="1"/>
  <c r="B4" i="5" l="1"/>
  <c r="B21" i="2"/>
  <c r="B23" i="2" s="1"/>
  <c r="B17" i="2"/>
  <c r="B19" i="2" s="1"/>
  <c r="B13" i="2"/>
  <c r="V56" i="4"/>
  <c r="V55" i="4"/>
  <c r="V54" i="4"/>
  <c r="V53" i="4"/>
  <c r="V52" i="4"/>
  <c r="V51" i="4"/>
  <c r="V50" i="4"/>
  <c r="V49" i="4"/>
  <c r="V48" i="4"/>
  <c r="V47" i="4"/>
  <c r="V46" i="4"/>
  <c r="V45" i="4"/>
  <c r="V43" i="4"/>
  <c r="V42" i="4"/>
  <c r="V40" i="4"/>
  <c r="V41" i="4" s="1"/>
  <c r="Q56" i="4"/>
  <c r="Q55" i="4"/>
  <c r="Q54" i="4"/>
  <c r="Q53" i="4"/>
  <c r="Q52" i="4"/>
  <c r="Q51" i="4"/>
  <c r="Q50" i="4"/>
  <c r="Q49" i="4"/>
  <c r="Q48" i="4"/>
  <c r="Q47" i="4"/>
  <c r="Q46" i="4"/>
  <c r="Q45" i="4"/>
  <c r="Q43" i="4"/>
  <c r="Q42" i="4"/>
  <c r="Q40" i="4"/>
  <c r="L56" i="4"/>
  <c r="L55" i="4"/>
  <c r="L54" i="4"/>
  <c r="L53" i="4"/>
  <c r="L52" i="4"/>
  <c r="L51" i="4"/>
  <c r="L50" i="4"/>
  <c r="L49" i="4"/>
  <c r="L48" i="4"/>
  <c r="L47" i="4"/>
  <c r="L46" i="4"/>
  <c r="L45" i="4"/>
  <c r="L43" i="4"/>
  <c r="L42" i="4"/>
  <c r="L40" i="4"/>
  <c r="G56" i="4"/>
  <c r="G55" i="4"/>
  <c r="G54" i="4"/>
  <c r="G53" i="4"/>
  <c r="G52" i="4"/>
  <c r="G51" i="4"/>
  <c r="G50" i="4"/>
  <c r="G49" i="4"/>
  <c r="G48" i="4"/>
  <c r="G47" i="4"/>
  <c r="G46" i="4"/>
  <c r="G45" i="4"/>
  <c r="G43" i="4"/>
  <c r="G42" i="4"/>
  <c r="G40" i="4"/>
  <c r="V36" i="4"/>
  <c r="V35" i="4"/>
  <c r="V34" i="4"/>
  <c r="V33" i="4"/>
  <c r="V32" i="4"/>
  <c r="V31" i="4"/>
  <c r="V29" i="4"/>
  <c r="V27" i="4"/>
  <c r="V26" i="4"/>
  <c r="V25" i="4"/>
  <c r="V23" i="4"/>
  <c r="V24" i="4" s="1"/>
  <c r="Q36" i="4"/>
  <c r="Q35" i="4"/>
  <c r="Q34" i="4"/>
  <c r="Q33" i="4"/>
  <c r="Q32" i="4"/>
  <c r="Q31" i="4"/>
  <c r="Q29" i="4"/>
  <c r="Q30" i="4" s="1"/>
  <c r="Q27" i="4"/>
  <c r="Q26" i="4"/>
  <c r="Q25" i="4"/>
  <c r="Q23" i="4"/>
  <c r="L36" i="4"/>
  <c r="L35" i="4"/>
  <c r="L34" i="4"/>
  <c r="L33" i="4"/>
  <c r="L32" i="4"/>
  <c r="L31" i="4"/>
  <c r="L29" i="4"/>
  <c r="L27" i="4"/>
  <c r="L26" i="4"/>
  <c r="L25" i="4"/>
  <c r="L23" i="4"/>
  <c r="G36" i="4"/>
  <c r="G37" i="4" s="1"/>
  <c r="G35" i="4"/>
  <c r="G34" i="4"/>
  <c r="G33" i="4"/>
  <c r="G32" i="4"/>
  <c r="G31" i="4"/>
  <c r="G29" i="4"/>
  <c r="G30" i="4" s="1"/>
  <c r="G27" i="4"/>
  <c r="G26" i="4"/>
  <c r="G25" i="4"/>
  <c r="G23" i="4"/>
  <c r="Q19" i="4"/>
  <c r="V19" i="4"/>
  <c r="V18" i="4"/>
  <c r="V17" i="4"/>
  <c r="V16" i="4"/>
  <c r="V14" i="4"/>
  <c r="V12" i="4"/>
  <c r="V11" i="4"/>
  <c r="V10" i="4"/>
  <c r="V9" i="4"/>
  <c r="V8" i="4"/>
  <c r="Q18" i="4"/>
  <c r="Q17" i="4"/>
  <c r="Q16" i="4"/>
  <c r="Q14" i="4"/>
  <c r="Q12" i="4"/>
  <c r="Q11" i="4"/>
  <c r="Q10" i="4"/>
  <c r="Q9" i="4"/>
  <c r="Q8" i="4"/>
  <c r="Q6" i="4"/>
  <c r="L19" i="4"/>
  <c r="L18" i="4"/>
  <c r="L17" i="4"/>
  <c r="L16" i="4"/>
  <c r="L14" i="4"/>
  <c r="L12" i="4"/>
  <c r="L11" i="4"/>
  <c r="L10" i="4"/>
  <c r="L9" i="4"/>
  <c r="L8" i="4"/>
  <c r="L6" i="4"/>
  <c r="G19" i="4"/>
  <c r="G18" i="4"/>
  <c r="G17" i="4"/>
  <c r="G16" i="4"/>
  <c r="G14" i="4"/>
  <c r="G12" i="4"/>
  <c r="G13" i="4" s="1"/>
  <c r="G11" i="4"/>
  <c r="G10" i="4"/>
  <c r="G9" i="4"/>
  <c r="G8" i="4"/>
  <c r="G6" i="4"/>
  <c r="R68" i="2"/>
  <c r="R70" i="2" s="1"/>
  <c r="R31" i="2"/>
  <c r="R41" i="2" s="1"/>
  <c r="AH8" i="2"/>
  <c r="AI8" i="2" s="1"/>
  <c r="AJ8" i="2" s="1"/>
  <c r="AK8" i="2" s="1"/>
  <c r="AL8" i="2" s="1"/>
  <c r="AM8" i="2" s="1"/>
  <c r="AN8" i="2" s="1"/>
  <c r="AO8" i="2" s="1"/>
  <c r="AP8" i="2" s="1"/>
  <c r="AH9" i="2"/>
  <c r="AI9" i="2" s="1"/>
  <c r="AJ9" i="2" s="1"/>
  <c r="AK9" i="2" s="1"/>
  <c r="AL9" i="2" s="1"/>
  <c r="AM9" i="2" s="1"/>
  <c r="AN9" i="2" s="1"/>
  <c r="AO9" i="2" s="1"/>
  <c r="AP9" i="2" s="1"/>
  <c r="AH10" i="2"/>
  <c r="AI10" i="2" s="1"/>
  <c r="AJ10" i="2" s="1"/>
  <c r="AK10" i="2" s="1"/>
  <c r="AL10" i="2" s="1"/>
  <c r="AM10" i="2" s="1"/>
  <c r="AN10" i="2" s="1"/>
  <c r="AO10" i="2" s="1"/>
  <c r="AP10" i="2" s="1"/>
  <c r="AH7" i="2"/>
  <c r="AI7" i="2" s="1"/>
  <c r="AJ7" i="2" s="1"/>
  <c r="AK7" i="2" s="1"/>
  <c r="AL7" i="2" s="1"/>
  <c r="AM7" i="2" s="1"/>
  <c r="AN7" i="2" s="1"/>
  <c r="AO7" i="2" s="1"/>
  <c r="AP7" i="2" s="1"/>
  <c r="Q93" i="2"/>
  <c r="R93" i="2"/>
  <c r="S93" i="2"/>
  <c r="Q83" i="2"/>
  <c r="R83" i="2"/>
  <c r="S83" i="2"/>
  <c r="Q70" i="2"/>
  <c r="S70" i="2"/>
  <c r="S97" i="2" s="1"/>
  <c r="Q57" i="2"/>
  <c r="R57" i="2"/>
  <c r="S57" i="2"/>
  <c r="Q46" i="2"/>
  <c r="R46" i="2"/>
  <c r="S46" i="2"/>
  <c r="Q41" i="2"/>
  <c r="S41" i="2"/>
  <c r="Q6" i="2"/>
  <c r="R6" i="2"/>
  <c r="R11" i="2" s="1"/>
  <c r="R16" i="2" s="1"/>
  <c r="S6" i="2"/>
  <c r="S11" i="2" s="1"/>
  <c r="S23" i="2" s="1"/>
  <c r="P68" i="2"/>
  <c r="P70" i="2" s="1"/>
  <c r="P6" i="2"/>
  <c r="P93" i="2"/>
  <c r="P83" i="2"/>
  <c r="P57" i="2"/>
  <c r="P46" i="2"/>
  <c r="P41" i="2"/>
  <c r="AS23" i="2"/>
  <c r="AF6" i="2"/>
  <c r="AP20" i="2"/>
  <c r="AO20" i="2"/>
  <c r="AN20" i="2"/>
  <c r="AM20" i="2"/>
  <c r="AL20" i="2"/>
  <c r="AK20" i="2"/>
  <c r="AJ20" i="2"/>
  <c r="AI20" i="2"/>
  <c r="AH20" i="2"/>
  <c r="AG20" i="2"/>
  <c r="AF20" i="2"/>
  <c r="Z68" i="2"/>
  <c r="Z70" i="2" s="1"/>
  <c r="AA68" i="2"/>
  <c r="AA70" i="2" s="1"/>
  <c r="Z93" i="2"/>
  <c r="AA93" i="2"/>
  <c r="Z83" i="2"/>
  <c r="AA83" i="2"/>
  <c r="AA20" i="2"/>
  <c r="Z20" i="2"/>
  <c r="AB68" i="2"/>
  <c r="AB70" i="2" s="1"/>
  <c r="AC68" i="2"/>
  <c r="AB20" i="2"/>
  <c r="AC20" i="2"/>
  <c r="Z6" i="2"/>
  <c r="Z11" i="2" s="1"/>
  <c r="AA6" i="2"/>
  <c r="AB6" i="2"/>
  <c r="AB11" i="2" s="1"/>
  <c r="AB16" i="2" s="1"/>
  <c r="AB18" i="2" s="1"/>
  <c r="AC6" i="2"/>
  <c r="AC11" i="2" s="1"/>
  <c r="AC16" i="2" s="1"/>
  <c r="P11" i="2" l="1"/>
  <c r="P16" i="2" s="1"/>
  <c r="P18" i="2" s="1"/>
  <c r="P19" i="2" s="1"/>
  <c r="T22" i="2"/>
  <c r="Q11" i="2"/>
  <c r="Q23" i="2" s="1"/>
  <c r="U22" i="2"/>
  <c r="S58" i="2"/>
  <c r="L28" i="4"/>
  <c r="L24" i="4"/>
  <c r="Q24" i="4"/>
  <c r="G15" i="4"/>
  <c r="V28" i="4"/>
  <c r="Q7" i="4"/>
  <c r="V7" i="4"/>
  <c r="V30" i="4"/>
  <c r="G20" i="4"/>
  <c r="L7" i="4"/>
  <c r="Q13" i="4"/>
  <c r="G28" i="4"/>
  <c r="L30" i="4"/>
  <c r="L37" i="4"/>
  <c r="V37" i="4"/>
  <c r="Q28" i="4"/>
  <c r="Q37" i="4"/>
  <c r="V20" i="4"/>
  <c r="L13" i="4"/>
  <c r="L15" i="4"/>
  <c r="Q15" i="4"/>
  <c r="Q20" i="4"/>
  <c r="L20" i="4"/>
  <c r="R58" i="2"/>
  <c r="Q95" i="2"/>
  <c r="Q58" i="2"/>
  <c r="AG6" i="2"/>
  <c r="AG11" i="2" s="1"/>
  <c r="AG23" i="2" s="1"/>
  <c r="Q97" i="2"/>
  <c r="R95" i="2"/>
  <c r="R61" i="2"/>
  <c r="R18" i="2"/>
  <c r="R19" i="2" s="1"/>
  <c r="R97" i="2"/>
  <c r="Z95" i="2"/>
  <c r="R23" i="2"/>
  <c r="S95" i="2"/>
  <c r="S16" i="2"/>
  <c r="AB19" i="2"/>
  <c r="Q16" i="2"/>
  <c r="P61" i="2"/>
  <c r="P95" i="2"/>
  <c r="P23" i="2"/>
  <c r="AF11" i="2"/>
  <c r="AF23" i="2" s="1"/>
  <c r="AB23" i="2"/>
  <c r="P97" i="2"/>
  <c r="P58" i="2"/>
  <c r="Z97" i="2"/>
  <c r="AA95" i="2"/>
  <c r="AA97" i="2"/>
  <c r="Z23" i="2"/>
  <c r="Z16" i="2"/>
  <c r="AA22" i="2"/>
  <c r="AB22" i="2"/>
  <c r="AA11" i="2"/>
  <c r="AC18" i="2"/>
  <c r="AC19" i="2" s="1"/>
  <c r="D68" i="2"/>
  <c r="D6" i="2"/>
  <c r="D11" i="2" s="1"/>
  <c r="D16" i="2" s="1"/>
  <c r="D18" i="2" s="1"/>
  <c r="E68" i="2"/>
  <c r="E41" i="2"/>
  <c r="E6" i="2"/>
  <c r="E11" i="2" s="1"/>
  <c r="E16" i="2" s="1"/>
  <c r="E18" i="2" s="1"/>
  <c r="F68" i="2"/>
  <c r="F6" i="2"/>
  <c r="F11" i="2" s="1"/>
  <c r="F16" i="2" s="1"/>
  <c r="F18" i="2" s="1"/>
  <c r="G68" i="2"/>
  <c r="G6" i="2"/>
  <c r="G11" i="2" s="1"/>
  <c r="H68" i="2"/>
  <c r="L68" i="2"/>
  <c r="H6" i="2"/>
  <c r="H11" i="2" s="1"/>
  <c r="H16" i="2" s="1"/>
  <c r="H18" i="2" s="1"/>
  <c r="L20" i="2"/>
  <c r="L6" i="2"/>
  <c r="AF16" i="2" l="1"/>
  <c r="AH4" i="2"/>
  <c r="AG22" i="2"/>
  <c r="S18" i="2"/>
  <c r="S19" i="2" s="1"/>
  <c r="S61" i="2"/>
  <c r="Q61" i="2"/>
  <c r="Q18" i="2"/>
  <c r="Q19" i="2" s="1"/>
  <c r="L11" i="2"/>
  <c r="L16" i="2" s="1"/>
  <c r="L18" i="2" s="1"/>
  <c r="L19" i="2" s="1"/>
  <c r="P22" i="2"/>
  <c r="AH6" i="2"/>
  <c r="AI4" i="2"/>
  <c r="AG16" i="2"/>
  <c r="AG17" i="2" s="1"/>
  <c r="AG18" i="2" s="1"/>
  <c r="AG19" i="2" s="1"/>
  <c r="D6" i="3" s="1"/>
  <c r="Z18" i="2"/>
  <c r="Z19" i="2" s="1"/>
  <c r="Z61" i="2"/>
  <c r="AA16" i="2"/>
  <c r="AA23" i="2"/>
  <c r="G16" i="2"/>
  <c r="G18" i="2" s="1"/>
  <c r="I68" i="2"/>
  <c r="M68" i="2"/>
  <c r="I6" i="2"/>
  <c r="I11" i="2" s="1"/>
  <c r="I16" i="2" s="1"/>
  <c r="I18" i="2" s="1"/>
  <c r="J6" i="2"/>
  <c r="J11" i="2" s="1"/>
  <c r="J16" i="2" s="1"/>
  <c r="J18" i="2" s="1"/>
  <c r="M20" i="2"/>
  <c r="M6" i="2"/>
  <c r="Q22" i="2" s="1"/>
  <c r="J68" i="2"/>
  <c r="N68" i="2"/>
  <c r="D57" i="2"/>
  <c r="E57" i="2"/>
  <c r="F57" i="2"/>
  <c r="G57" i="2"/>
  <c r="H57" i="2"/>
  <c r="I57" i="2"/>
  <c r="J57" i="2"/>
  <c r="K57" i="2"/>
  <c r="L57" i="2"/>
  <c r="M57" i="2"/>
  <c r="N57" i="2"/>
  <c r="D46" i="2"/>
  <c r="E46" i="2"/>
  <c r="F46" i="2"/>
  <c r="G46" i="2"/>
  <c r="H46" i="2"/>
  <c r="I46" i="2"/>
  <c r="J46" i="2"/>
  <c r="K46" i="2"/>
  <c r="L46" i="2"/>
  <c r="M46" i="2"/>
  <c r="N46" i="2"/>
  <c r="D41" i="2"/>
  <c r="F41" i="2"/>
  <c r="G41" i="2"/>
  <c r="H41" i="2"/>
  <c r="I41" i="2"/>
  <c r="J41" i="2"/>
  <c r="K41" i="2"/>
  <c r="L41" i="2"/>
  <c r="M41" i="2"/>
  <c r="N41" i="2"/>
  <c r="N20" i="2"/>
  <c r="N6" i="2"/>
  <c r="AC23" i="2"/>
  <c r="AC22" i="2"/>
  <c r="D23" i="2"/>
  <c r="E23" i="2"/>
  <c r="F23" i="2"/>
  <c r="G23" i="2"/>
  <c r="H22" i="2"/>
  <c r="L22" i="2"/>
  <c r="AF18" i="2" l="1"/>
  <c r="AF19" i="2" s="1"/>
  <c r="AF61" i="2"/>
  <c r="N11" i="2"/>
  <c r="N16" i="2" s="1"/>
  <c r="N18" i="2" s="1"/>
  <c r="N19" i="2" s="1"/>
  <c r="R22" i="2"/>
  <c r="AI6" i="2"/>
  <c r="AJ4" i="2"/>
  <c r="AH22" i="2"/>
  <c r="AH11" i="2"/>
  <c r="AA18" i="2"/>
  <c r="AA19" i="2" s="1"/>
  <c r="AA61" i="2"/>
  <c r="N58" i="2"/>
  <c r="J22" i="2"/>
  <c r="I22" i="2"/>
  <c r="K58" i="2"/>
  <c r="M22" i="2"/>
  <c r="M58" i="2"/>
  <c r="D58" i="2"/>
  <c r="E58" i="2"/>
  <c r="F58" i="2"/>
  <c r="G58" i="2"/>
  <c r="J58" i="2"/>
  <c r="H58" i="2"/>
  <c r="L58" i="2"/>
  <c r="I58" i="2"/>
  <c r="M11" i="2"/>
  <c r="M23" i="2" s="1"/>
  <c r="N22" i="2"/>
  <c r="K68" i="2"/>
  <c r="K70" i="2" s="1"/>
  <c r="K97" i="2" s="1"/>
  <c r="D70" i="2"/>
  <c r="D97" i="2" s="1"/>
  <c r="E70" i="2"/>
  <c r="E97" i="2" s="1"/>
  <c r="F70" i="2"/>
  <c r="F97" i="2" s="1"/>
  <c r="G70" i="2"/>
  <c r="G97" i="2" s="1"/>
  <c r="H70" i="2"/>
  <c r="H97" i="2" s="1"/>
  <c r="I70" i="2"/>
  <c r="I97" i="2" s="1"/>
  <c r="J70" i="2"/>
  <c r="J97" i="2" s="1"/>
  <c r="L70" i="2"/>
  <c r="L97" i="2" s="1"/>
  <c r="M70" i="2"/>
  <c r="N70" i="2"/>
  <c r="N97" i="2" s="1"/>
  <c r="D83" i="2"/>
  <c r="E83" i="2"/>
  <c r="F83" i="2"/>
  <c r="G83" i="2"/>
  <c r="H83" i="2"/>
  <c r="I83" i="2"/>
  <c r="J83" i="2"/>
  <c r="K83" i="2"/>
  <c r="L83" i="2"/>
  <c r="M83" i="2"/>
  <c r="N83" i="2"/>
  <c r="D93" i="2"/>
  <c r="E93" i="2"/>
  <c r="F93" i="2"/>
  <c r="G93" i="2"/>
  <c r="H93" i="2"/>
  <c r="I93" i="2"/>
  <c r="J93" i="2"/>
  <c r="K93" i="2"/>
  <c r="L93" i="2"/>
  <c r="M93" i="2"/>
  <c r="N93" i="2"/>
  <c r="O93" i="2"/>
  <c r="O83" i="2"/>
  <c r="O68" i="2"/>
  <c r="O70" i="2" s="1"/>
  <c r="D61" i="2"/>
  <c r="E61" i="2"/>
  <c r="F61" i="2"/>
  <c r="G61" i="2"/>
  <c r="H61" i="2"/>
  <c r="I61" i="2"/>
  <c r="J61" i="2"/>
  <c r="L61" i="2"/>
  <c r="N61" i="2"/>
  <c r="O57" i="2"/>
  <c r="O46" i="2"/>
  <c r="O41" i="2"/>
  <c r="N23" i="2"/>
  <c r="L23" i="2"/>
  <c r="J23" i="2"/>
  <c r="I23" i="2"/>
  <c r="H23" i="2"/>
  <c r="K20" i="2"/>
  <c r="K6" i="2"/>
  <c r="O20" i="2"/>
  <c r="O6" i="2"/>
  <c r="S22" i="2" s="1"/>
  <c r="AD68" i="2"/>
  <c r="AD70" i="2" s="1"/>
  <c r="AD97" i="2" s="1"/>
  <c r="AB93" i="2"/>
  <c r="AC93" i="2"/>
  <c r="AD93" i="2"/>
  <c r="AB83" i="2"/>
  <c r="AC83" i="2"/>
  <c r="AD83" i="2"/>
  <c r="AE93" i="2"/>
  <c r="AE83" i="2"/>
  <c r="AC70" i="2"/>
  <c r="AC97" i="2" s="1"/>
  <c r="AE68" i="2"/>
  <c r="AE70" i="2" s="1"/>
  <c r="AE97" i="2" s="1"/>
  <c r="AB61" i="2"/>
  <c r="AC61" i="2"/>
  <c r="AE95" i="2" l="1"/>
  <c r="AH16" i="2"/>
  <c r="AH17" i="2" s="1"/>
  <c r="AH18" i="2" s="1"/>
  <c r="AH19" i="2" s="1"/>
  <c r="E6" i="3" s="1"/>
  <c r="AH23" i="2"/>
  <c r="AK4" i="2"/>
  <c r="AJ6" i="2"/>
  <c r="AI11" i="2"/>
  <c r="AI22" i="2"/>
  <c r="O22" i="2"/>
  <c r="O58" i="2"/>
  <c r="AB95" i="2"/>
  <c r="O97" i="2"/>
  <c r="O95" i="2"/>
  <c r="AB97" i="2"/>
  <c r="K11" i="2"/>
  <c r="K22" i="2"/>
  <c r="M16" i="2"/>
  <c r="M61" i="2" s="1"/>
  <c r="O11" i="2"/>
  <c r="D95" i="2"/>
  <c r="F95" i="2"/>
  <c r="G95" i="2"/>
  <c r="H95" i="2"/>
  <c r="E95" i="2"/>
  <c r="L95" i="2"/>
  <c r="M95" i="2"/>
  <c r="M97" i="2"/>
  <c r="N95" i="2"/>
  <c r="J95" i="2"/>
  <c r="K95" i="2"/>
  <c r="I95" i="2"/>
  <c r="AC95" i="2"/>
  <c r="AD95" i="2"/>
  <c r="AI23" i="2" l="1"/>
  <c r="AI16" i="2"/>
  <c r="AI17" i="2" s="1"/>
  <c r="AI18" i="2" s="1"/>
  <c r="AJ11" i="2"/>
  <c r="AJ22" i="2"/>
  <c r="AL4" i="2"/>
  <c r="AK6" i="2"/>
  <c r="M18" i="2"/>
  <c r="M19" i="2" s="1"/>
  <c r="K16" i="2"/>
  <c r="K61" i="2" s="1"/>
  <c r="K23" i="2"/>
  <c r="O23" i="2"/>
  <c r="O16" i="2"/>
  <c r="AD20" i="2"/>
  <c r="AD6" i="2"/>
  <c r="AE20" i="2"/>
  <c r="AE6" i="2"/>
  <c r="AF22" i="2" s="1"/>
  <c r="B5" i="2"/>
  <c r="B6" i="2" s="1"/>
  <c r="B15" i="2" s="1"/>
  <c r="B9" i="2" l="1"/>
  <c r="F5" i="3" s="1"/>
  <c r="AJ23" i="2"/>
  <c r="AJ16" i="2"/>
  <c r="AJ17" i="2" s="1"/>
  <c r="AJ18" i="2" s="1"/>
  <c r="AJ19" i="2" s="1"/>
  <c r="AM4" i="2"/>
  <c r="AL6" i="2"/>
  <c r="AI19" i="2"/>
  <c r="AK22" i="2"/>
  <c r="AK11" i="2"/>
  <c r="D5" i="3"/>
  <c r="E5" i="3"/>
  <c r="AD11" i="2"/>
  <c r="AD22" i="2"/>
  <c r="AE22" i="2"/>
  <c r="O61" i="2"/>
  <c r="O18" i="2"/>
  <c r="O19" i="2" s="1"/>
  <c r="AE11" i="2"/>
  <c r="K18" i="2"/>
  <c r="K19" i="2" s="1"/>
  <c r="AK23" i="2" l="1"/>
  <c r="AK16" i="2"/>
  <c r="AK17" i="2" s="1"/>
  <c r="AK18" i="2" s="1"/>
  <c r="AN4" i="2"/>
  <c r="AM6" i="2"/>
  <c r="AL22" i="2"/>
  <c r="AL11" i="2"/>
  <c r="AE16" i="2"/>
  <c r="AE23" i="2"/>
  <c r="AD16" i="2"/>
  <c r="AD23" i="2"/>
  <c r="AL23" i="2" l="1"/>
  <c r="AL16" i="2"/>
  <c r="AL17" i="2" s="1"/>
  <c r="AL18" i="2" s="1"/>
  <c r="AL19" i="2" s="1"/>
  <c r="AM11" i="2"/>
  <c r="AM22" i="2"/>
  <c r="AN6" i="2"/>
  <c r="AO4" i="2"/>
  <c r="AK19" i="2"/>
  <c r="AD18" i="2"/>
  <c r="AD19" i="2" s="1"/>
  <c r="AD61" i="2"/>
  <c r="AE18" i="2"/>
  <c r="AE19" i="2" s="1"/>
  <c r="AE61" i="2"/>
  <c r="AO6" i="2" l="1"/>
  <c r="AP4" i="2"/>
  <c r="AP6" i="2" s="1"/>
  <c r="AN11" i="2"/>
  <c r="AN22" i="2"/>
  <c r="AM23" i="2"/>
  <c r="AM16" i="2"/>
  <c r="AM17" i="2" s="1"/>
  <c r="AM18" i="2" s="1"/>
  <c r="AP22" i="2" l="1"/>
  <c r="AP11" i="2"/>
  <c r="AM19" i="2"/>
  <c r="AN16" i="2"/>
  <c r="AN17" i="2" s="1"/>
  <c r="AN18" i="2" s="1"/>
  <c r="AN19" i="2" s="1"/>
  <c r="AN23" i="2"/>
  <c r="AO11" i="2"/>
  <c r="AO22" i="2"/>
  <c r="AO16" i="2" l="1"/>
  <c r="AO17" i="2" s="1"/>
  <c r="AO18" i="2" s="1"/>
  <c r="AO19" i="2" s="1"/>
  <c r="AO23" i="2"/>
  <c r="AP16" i="2"/>
  <c r="AP17" i="2" s="1"/>
  <c r="AP18" i="2" s="1"/>
  <c r="AP23" i="2"/>
  <c r="AQ18" i="2" l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AS22" i="2" s="1"/>
  <c r="AS24" i="2" s="1"/>
  <c r="AS25" i="2" s="1"/>
  <c r="AP19" i="2"/>
  <c r="AA44" i="4" l="1"/>
  <c r="Q44" i="4"/>
  <c r="G44" i="4"/>
  <c r="V44" i="4"/>
  <c r="L4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tc={148F3D44-4235-FA43-B3A7-1C07134A98B0}</author>
  </authors>
  <commentList>
    <comment ref="C72" authorId="0" shapeId="0" xr:uid="{148F3D44-4235-FA43-B3A7-1C07134A98B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WAWi betaler sine utbytter i Q2-4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tc={CB10B9EA-17D6-044A-8A10-AE09EA22A704}</author>
  </authors>
  <commentList>
    <comment ref="X31" authorId="0" shapeId="0" xr:uid="{CB10B9EA-17D6-044A-8A10-AE09EA22A704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Deler av salget av Edda Wind sin flåte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tc={497AD875-116E-CB4F-BEF1-73CEBC085E43}</author>
    <author>tc={6AD86246-E159-1A45-AC67-543E41EE0750}</author>
    <author>tc={20F1C7FC-3F42-E847-B5D1-93663C07858E}</author>
  </authors>
  <commentList>
    <comment ref="A15" authorId="0" shapeId="0" xr:uid="{497AD875-116E-CB4F-BEF1-73CEBC085E43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Kjøpt av børs november 25
</t>
      </text>
    </comment>
    <comment ref="D23" authorId="1" shapeId="0" xr:uid="{6AD86246-E159-1A45-AC67-543E41EE0750}">
      <text>
        <t>[Kommentartråd]
Din versjon av Excel lar deg lese denne kommentartråden. Eventuelle endringer i den vil imidlertid bli fjernet hvis filen åpnes i en nyere versjon av Excel. Finn ut mer: https://go.microsoft.com/fwlink/?linkid=870924
Kommentar:
    Salg av QUBE</t>
      </text>
    </comment>
    <comment ref="A97" authorId="2" shapeId="0" xr:uid="{20F1C7FC-3F42-E847-B5D1-93663C07858E}">
      <text>
        <t xml:space="preserve">[Kommentartråd]
Din versjon av Excel lar deg lese denne kommentartråden. Eventuelle endringer i den vil imidlertid bli fjernet hvis filen åpnes i en nyere versjon av Excel. Finn ut mer: https://go.microsoft.com/fwlink/?linkid=870924
Kommentar:
    Kjøpt av børs november 25
</t>
      </text>
    </comment>
  </commentList>
</comments>
</file>

<file path=xl/sharedStrings.xml><?xml version="1.0" encoding="utf-8"?>
<sst xmlns="http://schemas.openxmlformats.org/spreadsheetml/2006/main" count="278" uniqueCount="206">
  <si>
    <t>Kapitalstruktur</t>
  </si>
  <si>
    <t>Price</t>
  </si>
  <si>
    <t>S/O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</si>
  <si>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</si>
  <si>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</si>
  <si>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</si>
  <si>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</si>
  <si>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</si>
  <si>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</si>
  <si>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</si>
  <si>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</si>
  <si>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</si>
  <si>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</si>
  <si>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</si>
  <si>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</si>
  <si>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</si>
  <si>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</si>
  <si>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</si>
  <si>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</si>
  <si>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</si>
  <si>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</si>
  <si>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</si>
  <si>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</si>
  <si>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</si>
  <si>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</si>
  <si>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</si>
  <si>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</si>
  <si>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</si>
  <si>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</si>
  <si>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</si>
  <si>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EBIT margin</t>
  </si>
  <si>
    <t>CFFO</t>
  </si>
  <si>
    <t>CFFF</t>
  </si>
  <si>
    <t>CFFI</t>
  </si>
  <si>
    <t>EV/EBIT</t>
  </si>
  <si>
    <t>P/E</t>
  </si>
  <si>
    <t>MC NOKm</t>
  </si>
  <si>
    <t>Cash NOKm</t>
  </si>
  <si>
    <t>Debt NOKm</t>
  </si>
  <si>
    <t>EV NOKm</t>
  </si>
  <si>
    <t>Operating revenue</t>
  </si>
  <si>
    <t>Other gain</t>
  </si>
  <si>
    <t>Total income</t>
  </si>
  <si>
    <t>USD million</t>
  </si>
  <si>
    <t>COGS</t>
  </si>
  <si>
    <t>Employee benefits</t>
  </si>
  <si>
    <t>Other expenses</t>
  </si>
  <si>
    <t>D/A/I</t>
  </si>
  <si>
    <t>Operating profits EBIT</t>
  </si>
  <si>
    <t xml:space="preserve">Share of profit from JV </t>
  </si>
  <si>
    <t>Change in fair value</t>
  </si>
  <si>
    <t>Other financial income</t>
  </si>
  <si>
    <t>Other financial expense</t>
  </si>
  <si>
    <t>PTP</t>
  </si>
  <si>
    <t>Tax</t>
  </si>
  <si>
    <t>Net income</t>
  </si>
  <si>
    <t>Share</t>
  </si>
  <si>
    <t>USD/NOK</t>
  </si>
  <si>
    <t>Model PTP</t>
  </si>
  <si>
    <t>Reported PTP</t>
  </si>
  <si>
    <t>Share of (profit)loss from JV</t>
  </si>
  <si>
    <t>Change in fair value financial assets</t>
  </si>
  <si>
    <t>Financial income/expense</t>
  </si>
  <si>
    <t>Other gains/loss</t>
  </si>
  <si>
    <t>WC</t>
  </si>
  <si>
    <t>Tax paid</t>
  </si>
  <si>
    <t>Dividends from JV</t>
  </si>
  <si>
    <t>Proceeds from sale of fixed assets</t>
  </si>
  <si>
    <t>Capex</t>
  </si>
  <si>
    <t xml:space="preserve">Net proceeds from sale </t>
  </si>
  <si>
    <t>Investmets in subsidiaries</t>
  </si>
  <si>
    <t>Loan repayment received from sale of subs</t>
  </si>
  <si>
    <t>Loans granted to JV</t>
  </si>
  <si>
    <t>Dividend received/sale of financial assets</t>
  </si>
  <si>
    <t>Change in other investments</t>
  </si>
  <si>
    <t>Net proceeds from issue of debt</t>
  </si>
  <si>
    <t>Repayment of debt</t>
  </si>
  <si>
    <t>Repayment of lease</t>
  </si>
  <si>
    <t>Interst paid including interst derivates</t>
  </si>
  <si>
    <t>Cash from/(to) financial derivates</t>
  </si>
  <si>
    <t xml:space="preserve">Purchase of non-controlling interst </t>
  </si>
  <si>
    <t>(invesments)disposal own shares</t>
  </si>
  <si>
    <t>Dividend to shareholders</t>
  </si>
  <si>
    <t>CIC</t>
  </si>
  <si>
    <t>FCF</t>
  </si>
  <si>
    <t>Interest received</t>
  </si>
  <si>
    <t>EPS (NOK)</t>
  </si>
  <si>
    <t>Deferred tax</t>
  </si>
  <si>
    <t>Goodwill and other intangible assets</t>
  </si>
  <si>
    <t>property and other tangible assets</t>
  </si>
  <si>
    <t>Right of use assets</t>
  </si>
  <si>
    <t>Financial assets to fair value</t>
  </si>
  <si>
    <t>Other non current assets</t>
  </si>
  <si>
    <t>Inventory</t>
  </si>
  <si>
    <t>Current financial investments</t>
  </si>
  <si>
    <t>Other current assets</t>
  </si>
  <si>
    <t>Cash</t>
  </si>
  <si>
    <t>Total Assets</t>
  </si>
  <si>
    <t>Paid in capital</t>
  </si>
  <si>
    <t>Own shares</t>
  </si>
  <si>
    <t>Retained earnings</t>
  </si>
  <si>
    <t>Non-controlling interest</t>
  </si>
  <si>
    <t>Total Equity</t>
  </si>
  <si>
    <t>Pension liabilties</t>
  </si>
  <si>
    <t>Non-current lease liability</t>
  </si>
  <si>
    <t>Other non-current liabilties</t>
  </si>
  <si>
    <t>Current income tax</t>
  </si>
  <si>
    <t>Public duties payable</t>
  </si>
  <si>
    <t>Current IB debt</t>
  </si>
  <si>
    <t>Current lease liability</t>
  </si>
  <si>
    <t>Other current liabilties</t>
  </si>
  <si>
    <t>Total Debt</t>
  </si>
  <si>
    <t>Total E/D</t>
  </si>
  <si>
    <t>Balanse USDm</t>
  </si>
  <si>
    <t>Cash flow USDm</t>
  </si>
  <si>
    <t>Non-current interest bearing debt</t>
  </si>
  <si>
    <t>Q125</t>
  </si>
  <si>
    <t>Q225</t>
  </si>
  <si>
    <t>Q325</t>
  </si>
  <si>
    <t>Q425</t>
  </si>
  <si>
    <t>FY 2020</t>
  </si>
  <si>
    <t>FY 2021</t>
  </si>
  <si>
    <t>FY 2019</t>
  </si>
  <si>
    <t>P/NAV</t>
  </si>
  <si>
    <t>Discount</t>
  </si>
  <si>
    <t>TV</t>
  </si>
  <si>
    <t>NPV</t>
  </si>
  <si>
    <t>NPV/share</t>
  </si>
  <si>
    <t>Opp/nedside</t>
  </si>
  <si>
    <t xml:space="preserve">Press releases: </t>
  </si>
  <si>
    <t>EBITDA</t>
  </si>
  <si>
    <t>Holding</t>
  </si>
  <si>
    <t>New energy</t>
  </si>
  <si>
    <t>Total</t>
  </si>
  <si>
    <t>Maritme service</t>
  </si>
  <si>
    <t>Of which other activities/eliminations</t>
  </si>
  <si>
    <t>EBITDA margin</t>
  </si>
  <si>
    <t>Operating profit/EBIT</t>
  </si>
  <si>
    <t>Share of profit(loss) from associates</t>
  </si>
  <si>
    <t>Tax income/(expense)</t>
  </si>
  <si>
    <t>Profit/(loss)</t>
  </si>
  <si>
    <t>Profit margin</t>
  </si>
  <si>
    <t>New Energy</t>
  </si>
  <si>
    <t>Financial items</t>
  </si>
  <si>
    <t>Of which Ship managment</t>
  </si>
  <si>
    <t>Maritme service:</t>
  </si>
  <si>
    <t>Of which Ships serivce</t>
  </si>
  <si>
    <t>Of which port serivce</t>
  </si>
  <si>
    <t>Of which NorSea (energy infrastructure)</t>
  </si>
  <si>
    <t xml:space="preserve">New Energy: </t>
  </si>
  <si>
    <t>Strategic holdings and investments</t>
  </si>
  <si>
    <t>Of which operating revenue</t>
  </si>
  <si>
    <t>Of which other gains/(loss)</t>
  </si>
  <si>
    <t>Of which WAWI</t>
  </si>
  <si>
    <t>Of which Hyundai Glovis</t>
  </si>
  <si>
    <t>Of which other /eliminations</t>
  </si>
  <si>
    <t>Other fincancial income/(expense)</t>
  </si>
  <si>
    <t>Of which investment mangement</t>
  </si>
  <si>
    <t>Of which financial income from group comp</t>
  </si>
  <si>
    <t>Of which other financial income/(expense)</t>
  </si>
  <si>
    <t>Profit/loss</t>
  </si>
  <si>
    <t>29.04.25: Geveran, Wilhelmsen og EPS ventures kjøper Edda av børs for 23 kroner</t>
  </si>
  <si>
    <t>27.02.25: WWI kjøper tilbake 875 000 akjser</t>
  </si>
  <si>
    <t>01.11.24: CFO kjøper aksjer 600 WWIB</t>
  </si>
  <si>
    <t>14.10.24: WWI kjøper 150 000 aksjer i Treasure, eier nå 84,16%</t>
  </si>
  <si>
    <t>11.10.24: WWI kjøper 7 061 352 aksjer i Treasure, Eier nå 84,09%</t>
  </si>
  <si>
    <t>21.08.24: WWI kjøper 875 000 aksjer</t>
  </si>
  <si>
    <t>Investments in JV and associates</t>
  </si>
  <si>
    <t>02.06.25: WWI skal kjøpe tilbake 400 000 aksjer</t>
  </si>
  <si>
    <t>Purchase of current financial investmetns</t>
  </si>
  <si>
    <t>Business</t>
  </si>
  <si>
    <t>Stratetic holdings</t>
  </si>
  <si>
    <t>Wallenius wilhelmsen</t>
  </si>
  <si>
    <t>Treasure/Hyundai Glovis</t>
  </si>
  <si>
    <t>Reach Subsea</t>
  </si>
  <si>
    <t>Debt</t>
  </si>
  <si>
    <t>Antall aksjer</t>
  </si>
  <si>
    <t>Valutakurs</t>
  </si>
  <si>
    <t>Aksjekurs</t>
  </si>
  <si>
    <t>Per aksje</t>
  </si>
  <si>
    <t>Multippel</t>
  </si>
  <si>
    <t>Verdi NOK</t>
  </si>
  <si>
    <t>Total shares</t>
  </si>
  <si>
    <t>Valuta</t>
  </si>
  <si>
    <t>KRW/NOK</t>
  </si>
  <si>
    <t>AUD/NOK</t>
  </si>
  <si>
    <t>EBITDA 26E USD</t>
  </si>
  <si>
    <t>SUM NOK</t>
  </si>
  <si>
    <t>Maritime services</t>
  </si>
  <si>
    <t>y/y</t>
  </si>
  <si>
    <t>04.03.26: Wilhelmsen med flere selger hele flåten sin i Edda Wind</t>
  </si>
  <si>
    <t>Q126</t>
  </si>
  <si>
    <t>Q226</t>
  </si>
  <si>
    <t>Q326</t>
  </si>
  <si>
    <t>Q426</t>
  </si>
  <si>
    <t>Strategic holdings</t>
  </si>
  <si>
    <t>29.04.26: WWI fullfører salget av Edda Wind flåten. WWI vil generer net cash flow på 55 USDm</t>
  </si>
  <si>
    <t>11.10.24: WWI kjøper 4 021 523 aksjer i Treasure, eier nå 80,64%</t>
  </si>
  <si>
    <t>11.05.26: WWI kjøper tilbake 847 000 aksjer</t>
  </si>
  <si>
    <t>P/B</t>
  </si>
  <si>
    <t>EBITDA LTM</t>
  </si>
  <si>
    <t>EBITDA Margin</t>
  </si>
  <si>
    <t>0,8 NAV</t>
  </si>
  <si>
    <t>% to 0,8</t>
  </si>
  <si>
    <t>0,7 NAV</t>
  </si>
  <si>
    <t>% to 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</si>
</sst>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kr&quot;\ #,##0_);[Red]\(&quot;kr&quot;\ #,##0\)"/>
    <numFmt numFmtId="8" formatCode="&quot;kr&quot;\ #,##0.00_);[Red]\(&quot;kr&quot;\ #,##0.00\)"/>
    <numFmt numFmtId="164" formatCode="#,##0.0"/>
    <numFmt numFmtId="165" formatCode="0.0"/>
    <numFmt numFmtId="166" formatCode="0.0\ %"/>
  </numFmts>
  <fonts count="1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/>
    <xf numFmtId="166" fontId="2" fillId="0" borderId="0" xfId="0" applyNumberFormat="1" applyFont="1"/>
    <xf numFmtId="0" fontId="4" fillId="0" borderId="0" xfId="0" applyFont="1"/>
    <xf numFmtId="3" fontId="1" fillId="0" borderId="1" xfId="0" applyNumberFormat="1" applyFont="1" applyBorder="1"/>
    <xf numFmtId="3" fontId="2" fillId="0" borderId="0" xfId="0" applyNumberFormat="1" applyFont="1"/>
    <xf numFmtId="3" fontId="2" fillId="0" borderId="1" xfId="0" applyNumberFormat="1" applyFont="1" applyBorder="1"/>
    <xf numFmtId="3" fontId="4" fillId="0" borderId="0" xfId="0" applyNumberFormat="1" applyFont="1"/>
    <xf numFmtId="3" fontId="1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" fontId="1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0" fontId="2" fillId="0" borderId="1" xfId="0" applyNumberFormat="1" applyFont="1" applyBorder="1"/>
    <xf numFmtId="10" fontId="1" fillId="0" borderId="1" xfId="0" applyNumberFormat="1" applyFont="1" applyBorder="1"/>
    <xf numFmtId="10" fontId="1" fillId="0" borderId="0" xfId="0" applyNumberFormat="1" applyFont="1"/>
    <xf numFmtId="3" fontId="7" fillId="0" borderId="0" xfId="0" applyNumberFormat="1" applyFont="1"/>
    <xf numFmtId="1" fontId="7" fillId="0" borderId="0" xfId="0" applyNumberFormat="1" applyFont="1"/>
    <xf numFmtId="1" fontId="8" fillId="0" borderId="0" xfId="0" applyNumberFormat="1" applyFont="1"/>
    <xf numFmtId="2" fontId="7" fillId="0" borderId="0" xfId="0" applyNumberFormat="1" applyFont="1"/>
    <xf numFmtId="0" fontId="7" fillId="0" borderId="0" xfId="0" applyFont="1"/>
    <xf numFmtId="0" fontId="5" fillId="0" borderId="2" xfId="0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6" fontId="1" fillId="0" borderId="0" xfId="0" applyNumberFormat="1" applyFont="1"/>
    <xf numFmtId="165" fontId="6" fillId="0" borderId="2" xfId="0" applyNumberFormat="1" applyFont="1" applyBorder="1"/>
    <xf numFmtId="9" fontId="1" fillId="0" borderId="0" xfId="0" applyNumberFormat="1" applyFont="1"/>
    <xf numFmtId="0" fontId="2" fillId="0" borderId="4" xfId="0" applyFont="1" applyBorder="1"/>
    <xf numFmtId="0" fontId="4" fillId="0" borderId="3" xfId="0" applyFont="1" applyBorder="1"/>
    <xf numFmtId="0" fontId="4" fillId="0" borderId="0" xfId="0" applyFont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1" fillId="0" borderId="3" xfId="0" applyFont="1" applyBorder="1"/>
    <xf numFmtId="0" fontId="2" fillId="0" borderId="3" xfId="0" applyFont="1" applyBorder="1" applyAlignment="1">
      <alignment horizontal="right"/>
    </xf>
    <xf numFmtId="9" fontId="2" fillId="0" borderId="3" xfId="0" applyNumberFormat="1" applyFont="1" applyBorder="1"/>
    <xf numFmtId="0" fontId="10" fillId="0" borderId="0" xfId="0" applyFont="1"/>
    <xf numFmtId="0" fontId="1" fillId="0" borderId="0" xfId="0" applyFont="1" applyAlignment="1">
      <alignment horizontal="left"/>
    </xf>
    <xf numFmtId="0" fontId="1" fillId="0" borderId="4" xfId="0" applyFont="1" applyBorder="1"/>
    <xf numFmtId="14" fontId="2" fillId="0" borderId="0" xfId="0" applyNumberFormat="1" applyFont="1"/>
    <xf numFmtId="1" fontId="2" fillId="0" borderId="1" xfId="0" applyNumberFormat="1" applyFont="1" applyBorder="1"/>
    <xf numFmtId="0" fontId="2" fillId="0" borderId="5" xfId="0" applyFont="1" applyBorder="1"/>
    <xf numFmtId="0" fontId="1" fillId="0" borderId="5" xfId="0" applyFont="1" applyBorder="1"/>
    <xf numFmtId="0" fontId="4" fillId="0" borderId="5" xfId="0" applyFont="1" applyBorder="1"/>
    <xf numFmtId="0" fontId="4" fillId="0" borderId="6" xfId="0" applyFont="1" applyBorder="1"/>
    <xf numFmtId="9" fontId="2" fillId="0" borderId="6" xfId="0" applyNumberFormat="1" applyFont="1" applyBorder="1"/>
    <xf numFmtId="9" fontId="2" fillId="0" borderId="5" xfId="0" applyNumberFormat="1" applyFont="1" applyBorder="1"/>
    <xf numFmtId="0" fontId="2" fillId="0" borderId="7" xfId="0" applyFont="1" applyBorder="1"/>
    <xf numFmtId="0" fontId="2" fillId="0" borderId="6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0" fontId="4" fillId="0" borderId="0" xfId="0" applyNumberFormat="1" applyFont="1"/>
    <xf numFmtId="10" fontId="4" fillId="0" borderId="5" xfId="0" applyNumberFormat="1" applyFont="1" applyBorder="1"/>
    <xf numFmtId="0" fontId="11" fillId="0" borderId="0" xfId="0" applyFont="1"/>
    <xf numFmtId="2" fontId="12" fillId="0" borderId="0" xfId="0" applyNumberFormat="1" applyFont="1"/>
    <xf numFmtId="0" fontId="12" fillId="0" borderId="0" xfId="0" applyFont="1"/>
    <xf numFmtId="0" fontId="12" fillId="2" borderId="0" xfId="0" applyFont="1" applyFill="1"/>
    <xf numFmtId="3" fontId="11" fillId="0" borderId="0" xfId="0" applyNumberFormat="1" applyFont="1"/>
    <xf numFmtId="1" fontId="11" fillId="0" borderId="0" xfId="0" applyNumberFormat="1" applyFont="1"/>
    <xf numFmtId="0" fontId="11" fillId="0" borderId="3" xfId="0" applyFont="1" applyBorder="1"/>
    <xf numFmtId="3" fontId="11" fillId="0" borderId="3" xfId="0" applyNumberFormat="1" applyFont="1" applyBorder="1"/>
    <xf numFmtId="1" fontId="11" fillId="0" borderId="3" xfId="0" applyNumberFormat="1" applyFont="1" applyBorder="1"/>
    <xf numFmtId="1" fontId="12" fillId="0" borderId="0" xfId="0" applyNumberFormat="1" applyFont="1"/>
    <xf numFmtId="0" fontId="12" fillId="3" borderId="0" xfId="0" applyFont="1" applyFill="1"/>
    <xf numFmtId="0" fontId="12" fillId="4" borderId="0" xfId="0" applyFont="1" applyFill="1"/>
    <xf numFmtId="0" fontId="11" fillId="4" borderId="0" xfId="0" applyFont="1" applyFill="1"/>
    <xf numFmtId="0" fontId="12" fillId="5" borderId="0" xfId="0" applyFont="1" applyFill="1"/>
    <xf numFmtId="0" fontId="11" fillId="5" borderId="0" xfId="0" applyFont="1" applyFill="1"/>
    <xf numFmtId="0" fontId="12" fillId="6" borderId="0" xfId="0" applyFont="1" applyFill="1"/>
    <xf numFmtId="0" fontId="11" fillId="6" borderId="0" xfId="0" applyFont="1" applyFill="1"/>
    <xf numFmtId="3" fontId="11" fillId="6" borderId="0" xfId="0" applyNumberFormat="1" applyFont="1" applyFill="1"/>
    <xf numFmtId="3" fontId="12" fillId="0" borderId="0" xfId="0" applyNumberFormat="1" applyFont="1"/>
    <xf numFmtId="10" fontId="4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NAV WWI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>
              <a:solidFill>
                <a:schemeClr val="tx1"/>
              </a:solidFill>
            </a:defRPr>
          </a:pPr>
          <a:r>
            <a:rPr lang="nb-NO" sz="2400" b="0" i="0" u="none" strike="noStrike" baseline="0">
              <a:solidFill>
                <a:schemeClr val="tx1"/>
              </a:solidFill>
              <a:latin typeface="Calibri" panose="020F0502020204030204"/>
            </a:rPr>
            <a:t>NAV WWI</a:t>
          </a:r>
        </a:p>
      </cx:txPr>
    </cx:title>
    <cx:plotArea>
      <cx:plotAreaRegion>
        <cx:series layoutId="waterfall" uniqueId="{D65D754A-0EC6-7645-B19C-A95AF4F9DB4B}"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E7E6E6">
                  <a:lumMod val="50000"/>
                </a:srgbClr>
              </a:solidFill>
            </cx:spPr>
          </cx:dataPt>
          <cx:dataPt idx="5"/>
          <cx:dataPt idx="8">
            <cx:spPr>
              <a:solidFill>
                <a:srgbClr val="E7E6E6">
                  <a:lumMod val="50000"/>
                </a:srgbClr>
              </a:solidFill>
            </cx:spPr>
          </cx:dataPt>
          <cx:dataPt idx="10">
            <cx:spPr>
              <a:solidFill>
                <a:srgbClr val="FF0000"/>
              </a:solidFill>
            </cx:spPr>
          </cx:dataPt>
          <cx:dataPt idx="13">
            <cx:spPr>
              <a:solidFill>
                <a:srgbClr val="E7E6E6">
                  <a:lumMod val="50000"/>
                </a:srgb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/>
                </a:pPr>
                <a:endParaRPr lang="nb-NO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800"/>
            </a:pPr>
            <a:endParaRPr lang="nb-NO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NOK/Share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/>
              </a:pPr>
              <a:r>
                <a:rPr lang="nb-NO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NOK/Share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endParaRPr lang="nb-NO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63500</xdr:rowOff>
    </xdr:from>
    <xdr:to>
      <xdr:col>4</xdr:col>
      <xdr:colOff>812800</xdr:colOff>
      <xdr:row>4</xdr:row>
      <xdr:rowOff>165100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B538FF46-40D6-1D4D-8C1F-367F671B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6100"/>
          <a:ext cx="4114800" cy="584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63500</xdr:rowOff>
    </xdr:from>
    <xdr:to>
      <xdr:col>5</xdr:col>
      <xdr:colOff>0</xdr:colOff>
      <xdr:row>10</xdr:row>
      <xdr:rowOff>63500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881B9E53-6008-474C-8D4B-81B03B0A3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2600"/>
          <a:ext cx="4127500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152400</xdr:rowOff>
    </xdr:from>
    <xdr:to>
      <xdr:col>4</xdr:col>
      <xdr:colOff>774700</xdr:colOff>
      <xdr:row>7</xdr:row>
      <xdr:rowOff>50800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D4A70027-6626-1C40-B75E-D5FDA3DAE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17600"/>
          <a:ext cx="4076700" cy="62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152400</xdr:rowOff>
    </xdr:from>
    <xdr:to>
      <xdr:col>5</xdr:col>
      <xdr:colOff>0</xdr:colOff>
      <xdr:row>14</xdr:row>
      <xdr:rowOff>152400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0D2F1250-6456-DB4F-9075-8CB0CD6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65400"/>
          <a:ext cx="4127500" cy="96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70556</xdr:rowOff>
    </xdr:from>
    <xdr:to>
      <xdr:col>4</xdr:col>
      <xdr:colOff>695678</xdr:colOff>
      <xdr:row>19</xdr:row>
      <xdr:rowOff>200378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B8BD761C-C1D8-4926-6E16-7D8F56EF8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48667"/>
          <a:ext cx="4025900" cy="60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155223</xdr:rowOff>
    </xdr:from>
    <xdr:to>
      <xdr:col>4</xdr:col>
      <xdr:colOff>771878</xdr:colOff>
      <xdr:row>38</xdr:row>
      <xdr:rowOff>197556</xdr:rowOff>
    </xdr:to>
    <xdr:pic>
      <xdr:nvPicPr>
        <xdr:cNvPr id="9" name="Bilde 8">
          <a:extLst>
            <a:ext uri="{FF2B5EF4-FFF2-40B4-BE49-F238E27FC236}">
              <a16:creationId xmlns:a16="http://schemas.microsoft.com/office/drawing/2014/main" id="{675B0F44-8970-DDAF-37E2-41CB1392E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8551334"/>
          <a:ext cx="4102100" cy="76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112888</xdr:rowOff>
    </xdr:from>
    <xdr:to>
      <xdr:col>4</xdr:col>
      <xdr:colOff>733778</xdr:colOff>
      <xdr:row>30</xdr:row>
      <xdr:rowOff>80432</xdr:rowOff>
    </xdr:to>
    <xdr:pic>
      <xdr:nvPicPr>
        <xdr:cNvPr id="10" name="Bilde 9">
          <a:extLst>
            <a:ext uri="{FF2B5EF4-FFF2-40B4-BE49-F238E27FC236}">
              <a16:creationId xmlns:a16="http://schemas.microsoft.com/office/drawing/2014/main" id="{84963EAE-A4EE-C845-4CDF-258E6D1D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349999"/>
          <a:ext cx="4064000" cy="927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762000</xdr:colOff>
      <xdr:row>24</xdr:row>
      <xdr:rowOff>100499</xdr:rowOff>
    </xdr:to>
    <xdr:pic>
      <xdr:nvPicPr>
        <xdr:cNvPr id="11" name="Bilde 10">
          <a:extLst>
            <a:ext uri="{FF2B5EF4-FFF2-40B4-BE49-F238E27FC236}">
              <a16:creationId xmlns:a16="http://schemas.microsoft.com/office/drawing/2014/main" id="{89142A9E-D7E6-5011-2AA0-8347F4B6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797778"/>
          <a:ext cx="3259667" cy="10600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112888</xdr:rowOff>
    </xdr:from>
    <xdr:to>
      <xdr:col>4</xdr:col>
      <xdr:colOff>344888</xdr:colOff>
      <xdr:row>34</xdr:row>
      <xdr:rowOff>141110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959D7B32-E37D-97FC-E66D-7D68BCE35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309555"/>
          <a:ext cx="3675110" cy="9877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409221</xdr:colOff>
      <xdr:row>100</xdr:row>
      <xdr:rowOff>0</xdr:rowOff>
    </xdr:from>
    <xdr:to>
      <xdr:col>85</xdr:col>
      <xdr:colOff>373943</xdr:colOff>
      <xdr:row>104</xdr:row>
      <xdr:rowOff>5644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CCBAA101-E958-F8D1-00DA-FD43DD645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44888" y="23269222"/>
          <a:ext cx="4127500" cy="965200"/>
        </a:xfrm>
        <a:prstGeom prst="rect">
          <a:avLst/>
        </a:prstGeom>
      </xdr:spPr>
    </xdr:pic>
    <xdr:clientData/>
  </xdr:twoCellAnchor>
  <xdr:twoCellAnchor editAs="oneCell">
    <xdr:from>
      <xdr:col>60</xdr:col>
      <xdr:colOff>536221</xdr:colOff>
      <xdr:row>74</xdr:row>
      <xdr:rowOff>14111</xdr:rowOff>
    </xdr:from>
    <xdr:to>
      <xdr:col>65</xdr:col>
      <xdr:colOff>500943</xdr:colOff>
      <xdr:row>77</xdr:row>
      <xdr:rowOff>18345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36DA7DBC-A0F6-4B2A-1A1D-D27DCAD64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20777" y="17046222"/>
          <a:ext cx="4127500" cy="723900"/>
        </a:xfrm>
        <a:prstGeom prst="rect">
          <a:avLst/>
        </a:prstGeom>
      </xdr:spPr>
    </xdr:pic>
    <xdr:clientData/>
  </xdr:twoCellAnchor>
  <xdr:twoCellAnchor editAs="oneCell">
    <xdr:from>
      <xdr:col>40</xdr:col>
      <xdr:colOff>663222</xdr:colOff>
      <xdr:row>48</xdr:row>
      <xdr:rowOff>28222</xdr:rowOff>
    </xdr:from>
    <xdr:to>
      <xdr:col>45</xdr:col>
      <xdr:colOff>577144</xdr:colOff>
      <xdr:row>50</xdr:row>
      <xdr:rowOff>170744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9A396F04-1877-EE3D-7907-068FEA52C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596666" y="10823222"/>
          <a:ext cx="4076700" cy="62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10582</xdr:colOff>
      <xdr:row>5</xdr:row>
      <xdr:rowOff>321733</xdr:rowOff>
    </xdr:from>
    <xdr:to>
      <xdr:col>25</xdr:col>
      <xdr:colOff>444500</xdr:colOff>
      <xdr:row>33</xdr:row>
      <xdr:rowOff>84667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Diagram 4">
              <a:extLst>
                <a:ext uri="{FF2B5EF4-FFF2-40B4-BE49-F238E27FC236}">
                  <a16:creationId xmlns:a16="http://schemas.microsoft.com/office/drawing/2014/main" id="{D5F09D3B-D706-31D4-75C6-E410E2DB5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74482" y="2480733"/>
              <a:ext cx="14467418" cy="119549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5D3E8F5D-13CA-C04A-82AC-CF14A5DC590D}" userId="a530012ce760c12d" providerId="Windows Live"/>
  <person displayName="(Student) Hodt, August" id="{411E0189-2EB9-8C4A-A275-C7F63F0127D4}" userId="S::s2511823@bi.no::44d2ca7c-c877-4b52-8217-c5df9fee6d96" providerId="AD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2" dT="2025-05-08T18:40:58.08" personId="{5D3E8F5D-13CA-C04A-82AC-CF14A5DC590D}" id="{148F3D44-4235-FA43-B3A7-1C07134A98B0}">
    <text>WAWi betaler sine utbytter i Q2-4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X31" dT="2026-08-12T17:32:49.19" personId="{411E0189-2EB9-8C4A-A275-C7F63F0127D4}" id="{CB10B9EA-17D6-044A-8A10-AE09EA22A704}">
    <text>Deler av salget av Edda Wind sin flåte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5" dT="2026-01-21T20:58:31.92" personId="{5D3E8F5D-13CA-C04A-82AC-CF14A5DC590D}" id="{497AD875-116E-CB4F-BEF1-73CEBC085E43}">
    <text xml:space="preserve">Kjøpt av børs november 25
</text>
  </threadedComment>
  <threadedComment ref="D23" dT="2026-09-10T06:47:55.64" personId="{5D3E8F5D-13CA-C04A-82AC-CF14A5DC590D}" id="{6AD86246-E159-1A45-AC67-543E41EE0750}">
    <text>Salg av QUBE</text>
  </threadedComment>
  <threadedComment ref="A97" dT="2026-01-21T20:58:31.92" personId="{5D3E8F5D-13CA-C04A-82AC-CF14A5DC590D}" id="{20F1C7FC-3F42-E847-B5D1-93663C07858E}">
    <text xml:space="preserve">Kjøpt av børs november 25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44B340-7F83-744B-93BB-FEB81200CCB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5f182a7-6b66-4dce-8311-d0e68d6b43a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2:H26"/>
  <sheetViews>
    <sheetView showGridLines="0" zoomScale="90" zoomScaleNormal="90" workbookViewId="0">
      <selection activeCell="G37" sqref="G37"/>
    </sheetView>
  </sheetViews>
  <sheetFormatPr baseColWidth="10" defaultRowHeight="19" x14ac:dyDescent="0.25"/>
  <cols>
    <col min="1" max="7" width="10.83203125" style="2"/>
    <col min="8" max="8" width="12.83203125" style="2" bestFit="1" customWidth="1"/>
    <col min="9" max="16384" width="10.83203125" style="2"/>
  </cols>
  <sheetData>
    <row r="2" spans="1:8" x14ac:dyDescent="0.25">
      <c r="A2" s="44" t="s">
        <v>145</v>
      </c>
    </row>
    <row r="3" spans="1:8" x14ac:dyDescent="0.25">
      <c r="H3" s="1" t="s">
        <v>129</v>
      </c>
    </row>
    <row r="4" spans="1:8" x14ac:dyDescent="0.25">
      <c r="H4" s="2" t="s">
        <v>198</v>
      </c>
    </row>
    <row r="5" spans="1:8" x14ac:dyDescent="0.25">
      <c r="A5" s="1"/>
      <c r="H5" s="2" t="s">
        <v>196</v>
      </c>
    </row>
    <row r="6" spans="1:8" x14ac:dyDescent="0.25">
      <c r="A6" s="1"/>
      <c r="H6" s="2" t="s">
        <v>190</v>
      </c>
    </row>
    <row r="7" spans="1:8" x14ac:dyDescent="0.25">
      <c r="A7" s="1"/>
      <c r="H7" s="2" t="s">
        <v>168</v>
      </c>
    </row>
    <row r="8" spans="1:8" x14ac:dyDescent="0.25">
      <c r="A8" s="1"/>
      <c r="H8" s="2" t="s">
        <v>161</v>
      </c>
    </row>
    <row r="9" spans="1:8" x14ac:dyDescent="0.25">
      <c r="H9" s="47" t="s">
        <v>162</v>
      </c>
    </row>
    <row r="10" spans="1:8" x14ac:dyDescent="0.25">
      <c r="H10" s="47" t="s">
        <v>163</v>
      </c>
    </row>
    <row r="11" spans="1:8" x14ac:dyDescent="0.25">
      <c r="H11" s="2" t="s">
        <v>164</v>
      </c>
    </row>
    <row r="12" spans="1:8" x14ac:dyDescent="0.25">
      <c r="H12" s="2" t="s">
        <v>165</v>
      </c>
    </row>
    <row r="13" spans="1:8" x14ac:dyDescent="0.25">
      <c r="H13" s="2" t="s">
        <v>197</v>
      </c>
    </row>
    <row r="14" spans="1:8" x14ac:dyDescent="0.25">
      <c r="H14" s="2" t="s">
        <v>166</v>
      </c>
    </row>
    <row r="17" spans="1:1" x14ac:dyDescent="0.25">
      <c r="A17" s="44" t="s">
        <v>149</v>
      </c>
    </row>
    <row r="26" spans="1:1" x14ac:dyDescent="0.25">
      <c r="A26" s="44" t="s">
        <v>150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1:EQ97"/>
  <sheetViews>
    <sheetView showGridLines="0" tabSelected="1" zoomScale="90" zoomScaleNormal="90" workbookViewId="0">
      <pane xSplit="3" ySplit="3" topLeftCell="N4" activePane="bottomRight" state="frozen"/>
      <selection pane="topRight" activeCell="D1" sqref="D1"/>
      <selection pane="bottomLeft" activeCell="A4" sqref="A4"/>
      <selection pane="bottomRight" activeCell="X15" sqref="X15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44.5" style="2" customWidth="1"/>
    <col min="4" max="4" width="10.83203125" style="2"/>
    <col min="5" max="5" width="10.33203125" style="2" customWidth="1"/>
    <col min="6" max="6" width="12.5" style="2" customWidth="1"/>
    <col min="7" max="7" width="10.5" style="2" customWidth="1"/>
    <col min="8" max="8" width="12.1640625" style="2" customWidth="1"/>
    <col min="9" max="9" width="10" style="2" bestFit="1" customWidth="1"/>
    <col min="10" max="10" width="11" style="2" customWidth="1"/>
    <col min="11" max="12" width="10" style="2" customWidth="1"/>
    <col min="13" max="13" width="11.1640625" style="2" customWidth="1"/>
    <col min="14" max="14" width="11.33203125" style="2" customWidth="1"/>
    <col min="15" max="15" width="10.33203125" style="2" customWidth="1"/>
    <col min="16" max="32" width="10.83203125" style="2"/>
    <col min="33" max="33" width="10.83203125" style="4"/>
    <col min="34" max="43" width="10.83203125" style="2"/>
    <col min="44" max="44" width="14" style="2" bestFit="1" customWidth="1"/>
    <col min="45" max="45" width="16.1640625" style="2" bestFit="1" customWidth="1"/>
    <col min="46" max="16384" width="10.83203125" style="2"/>
  </cols>
  <sheetData>
    <row r="1" spans="1:42" x14ac:dyDescent="0.25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AB1" s="1"/>
    </row>
    <row r="3" spans="1:42" x14ac:dyDescent="0.25">
      <c r="A3" s="1" t="s">
        <v>0</v>
      </c>
      <c r="C3" s="2" t="s">
        <v>43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116</v>
      </c>
      <c r="Q3" s="7" t="s">
        <v>117</v>
      </c>
      <c r="R3" s="7" t="s">
        <v>118</v>
      </c>
      <c r="S3" s="7" t="s">
        <v>119</v>
      </c>
      <c r="T3" s="7" t="s">
        <v>191</v>
      </c>
      <c r="U3" s="7" t="s">
        <v>192</v>
      </c>
      <c r="V3" s="7" t="s">
        <v>193</v>
      </c>
      <c r="W3" s="7" t="s">
        <v>194</v>
      </c>
      <c r="X3" s="7"/>
      <c r="Z3" s="7" t="s">
        <v>122</v>
      </c>
      <c r="AA3" s="7" t="s">
        <v>120</v>
      </c>
      <c r="AB3" s="7" t="s">
        <v>121</v>
      </c>
      <c r="AC3" s="7" t="s">
        <v>15</v>
      </c>
      <c r="AD3" s="7" t="s">
        <v>16</v>
      </c>
      <c r="AE3" s="7" t="s">
        <v>17</v>
      </c>
      <c r="AF3" s="7" t="s">
        <v>18</v>
      </c>
      <c r="AG3" s="8" t="s">
        <v>19</v>
      </c>
      <c r="AH3" s="7" t="s">
        <v>20</v>
      </c>
      <c r="AI3" s="7" t="s">
        <v>21</v>
      </c>
      <c r="AJ3" s="7" t="s">
        <v>22</v>
      </c>
      <c r="AK3" s="7" t="s">
        <v>23</v>
      </c>
      <c r="AL3" s="7" t="s">
        <v>24</v>
      </c>
      <c r="AM3" s="7" t="s">
        <v>25</v>
      </c>
      <c r="AN3" s="7" t="s">
        <v>26</v>
      </c>
      <c r="AO3" s="7" t="s">
        <v>27</v>
      </c>
      <c r="AP3" s="7" t="s">
        <v>28</v>
      </c>
    </row>
    <row r="4" spans="1:42" x14ac:dyDescent="0.25">
      <c r="A4" s="2" t="s">
        <v>1</v>
      </c>
      <c r="B4" s="4">
        <v>943</v>
      </c>
      <c r="C4" s="2" t="s">
        <v>40</v>
      </c>
      <c r="D4" s="25">
        <v>232</v>
      </c>
      <c r="E4" s="25">
        <v>239</v>
      </c>
      <c r="F4" s="25">
        <v>236</v>
      </c>
      <c r="G4" s="25">
        <v>237</v>
      </c>
      <c r="H4" s="25">
        <v>262</v>
      </c>
      <c r="I4" s="25">
        <v>261</v>
      </c>
      <c r="J4" s="25">
        <v>254</v>
      </c>
      <c r="K4" s="13">
        <v>250</v>
      </c>
      <c r="L4" s="13">
        <v>265</v>
      </c>
      <c r="M4" s="13">
        <v>301</v>
      </c>
      <c r="N4" s="13">
        <v>296</v>
      </c>
      <c r="O4" s="13">
        <v>274</v>
      </c>
      <c r="P4" s="2">
        <v>297</v>
      </c>
      <c r="Q4" s="2">
        <v>316</v>
      </c>
      <c r="R4" s="2">
        <v>311</v>
      </c>
      <c r="S4" s="2">
        <v>310</v>
      </c>
      <c r="T4" s="2">
        <v>308</v>
      </c>
      <c r="U4" s="2">
        <v>320</v>
      </c>
      <c r="Z4" s="2">
        <v>836</v>
      </c>
      <c r="AA4" s="2">
        <v>807</v>
      </c>
      <c r="AB4" s="2">
        <v>873</v>
      </c>
      <c r="AC4" s="13">
        <v>943</v>
      </c>
      <c r="AD4" s="13">
        <v>1027</v>
      </c>
      <c r="AE4" s="13">
        <v>1136</v>
      </c>
      <c r="AF4" s="13">
        <v>1234</v>
      </c>
      <c r="AG4" s="14">
        <f>AF4*1.03</f>
        <v>1271.02</v>
      </c>
      <c r="AH4" s="13">
        <f>AG4*1.04</f>
        <v>1321.8607999999999</v>
      </c>
      <c r="AI4" s="13">
        <f t="shared" ref="AI4:AP4" si="0">AH4*1.04</f>
        <v>1374.735232</v>
      </c>
      <c r="AJ4" s="13">
        <f t="shared" si="0"/>
        <v>1429.72464128</v>
      </c>
      <c r="AK4" s="13">
        <f t="shared" si="0"/>
        <v>1486.9136269312</v>
      </c>
      <c r="AL4" s="13">
        <f t="shared" si="0"/>
        <v>1546.3901720084482</v>
      </c>
      <c r="AM4" s="13">
        <f t="shared" si="0"/>
        <v>1608.2457788887862</v>
      </c>
      <c r="AN4" s="13">
        <f t="shared" si="0"/>
        <v>1672.5756100443377</v>
      </c>
      <c r="AO4" s="13">
        <f t="shared" si="0"/>
        <v>1739.4786344461113</v>
      </c>
      <c r="AP4" s="13">
        <f t="shared" si="0"/>
        <v>1809.0577798239558</v>
      </c>
    </row>
    <row r="5" spans="1:42" x14ac:dyDescent="0.25">
      <c r="A5" s="2" t="s">
        <v>2</v>
      </c>
      <c r="B5" s="4">
        <f>34+10.58</f>
        <v>44.58</v>
      </c>
      <c r="C5" s="2" t="s">
        <v>41</v>
      </c>
      <c r="D5" s="25">
        <v>9</v>
      </c>
      <c r="E5" s="25">
        <v>-1</v>
      </c>
      <c r="F5" s="25">
        <v>-2</v>
      </c>
      <c r="G5" s="25">
        <v>9</v>
      </c>
      <c r="H5" s="25">
        <v>-1</v>
      </c>
      <c r="I5" s="25">
        <v>-2</v>
      </c>
      <c r="J5" s="25">
        <v>-1</v>
      </c>
      <c r="K5" s="13">
        <v>5</v>
      </c>
      <c r="L5" s="13">
        <v>-1</v>
      </c>
      <c r="M5" s="13">
        <v>0</v>
      </c>
      <c r="N5" s="13">
        <v>-1</v>
      </c>
      <c r="O5" s="13">
        <v>4</v>
      </c>
      <c r="P5" s="2">
        <v>-1</v>
      </c>
      <c r="Q5" s="2">
        <v>-2</v>
      </c>
      <c r="R5" s="2">
        <v>-1</v>
      </c>
      <c r="S5" s="2">
        <v>0</v>
      </c>
      <c r="T5" s="2">
        <v>0</v>
      </c>
      <c r="U5" s="2">
        <v>0</v>
      </c>
      <c r="Z5" s="2">
        <v>14</v>
      </c>
      <c r="AA5" s="2">
        <v>5</v>
      </c>
      <c r="AB5" s="2">
        <v>2</v>
      </c>
      <c r="AC5" s="13">
        <v>15</v>
      </c>
      <c r="AD5" s="13">
        <v>1</v>
      </c>
      <c r="AE5" s="13">
        <v>2</v>
      </c>
      <c r="AF5" s="13">
        <v>-4</v>
      </c>
      <c r="AG5" s="14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</row>
    <row r="6" spans="1:42" x14ac:dyDescent="0.25">
      <c r="A6" s="2" t="s">
        <v>36</v>
      </c>
      <c r="B6" s="5">
        <f>B4*B5</f>
        <v>42038.939999999995</v>
      </c>
      <c r="C6" s="1" t="s">
        <v>42</v>
      </c>
      <c r="D6" s="16">
        <f t="shared" ref="D6:S6" si="1">SUM(D4:D5)</f>
        <v>241</v>
      </c>
      <c r="E6" s="16">
        <f t="shared" si="1"/>
        <v>238</v>
      </c>
      <c r="F6" s="16">
        <f t="shared" si="1"/>
        <v>234</v>
      </c>
      <c r="G6" s="16">
        <f t="shared" si="1"/>
        <v>246</v>
      </c>
      <c r="H6" s="16">
        <f t="shared" si="1"/>
        <v>261</v>
      </c>
      <c r="I6" s="16">
        <f t="shared" si="1"/>
        <v>259</v>
      </c>
      <c r="J6" s="16">
        <f t="shared" si="1"/>
        <v>253</v>
      </c>
      <c r="K6" s="16">
        <f t="shared" si="1"/>
        <v>255</v>
      </c>
      <c r="L6" s="16">
        <f t="shared" si="1"/>
        <v>264</v>
      </c>
      <c r="M6" s="16">
        <f t="shared" si="1"/>
        <v>301</v>
      </c>
      <c r="N6" s="16">
        <f t="shared" si="1"/>
        <v>295</v>
      </c>
      <c r="O6" s="16">
        <f t="shared" si="1"/>
        <v>278</v>
      </c>
      <c r="P6" s="16">
        <f t="shared" si="1"/>
        <v>296</v>
      </c>
      <c r="Q6" s="16">
        <f t="shared" si="1"/>
        <v>314</v>
      </c>
      <c r="R6" s="16">
        <f t="shared" si="1"/>
        <v>310</v>
      </c>
      <c r="S6" s="16">
        <f t="shared" si="1"/>
        <v>310</v>
      </c>
      <c r="T6" s="16">
        <f t="shared" ref="T6:U6" si="2">SUM(T4:T5)</f>
        <v>308</v>
      </c>
      <c r="U6" s="16">
        <f t="shared" si="2"/>
        <v>320</v>
      </c>
      <c r="V6" s="16"/>
      <c r="Z6" s="16">
        <f t="shared" ref="Z6:AE6" si="3">SUM(Z4:Z5)</f>
        <v>850</v>
      </c>
      <c r="AA6" s="16">
        <f t="shared" si="3"/>
        <v>812</v>
      </c>
      <c r="AB6" s="16">
        <f t="shared" si="3"/>
        <v>875</v>
      </c>
      <c r="AC6" s="16">
        <f t="shared" si="3"/>
        <v>958</v>
      </c>
      <c r="AD6" s="16">
        <f t="shared" si="3"/>
        <v>1028</v>
      </c>
      <c r="AE6" s="16">
        <f t="shared" si="3"/>
        <v>1138</v>
      </c>
      <c r="AF6" s="16">
        <f t="shared" ref="AF6:AP6" si="4">SUM(AF4:AF5)</f>
        <v>1230</v>
      </c>
      <c r="AG6" s="12">
        <f t="shared" si="4"/>
        <v>1271.02</v>
      </c>
      <c r="AH6" s="16">
        <f t="shared" si="4"/>
        <v>1321.8607999999999</v>
      </c>
      <c r="AI6" s="16">
        <f t="shared" si="4"/>
        <v>1374.735232</v>
      </c>
      <c r="AJ6" s="16">
        <f t="shared" si="4"/>
        <v>1429.72464128</v>
      </c>
      <c r="AK6" s="16">
        <f t="shared" si="4"/>
        <v>1486.9136269312</v>
      </c>
      <c r="AL6" s="16">
        <f t="shared" si="4"/>
        <v>1546.3901720084482</v>
      </c>
      <c r="AM6" s="16">
        <f t="shared" si="4"/>
        <v>1608.2457788887862</v>
      </c>
      <c r="AN6" s="16">
        <f t="shared" si="4"/>
        <v>1672.5756100443377</v>
      </c>
      <c r="AO6" s="16">
        <f t="shared" si="4"/>
        <v>1739.4786344461113</v>
      </c>
      <c r="AP6" s="16">
        <f t="shared" si="4"/>
        <v>1809.0577798239558</v>
      </c>
    </row>
    <row r="7" spans="1:42" x14ac:dyDescent="0.25">
      <c r="A7" s="2" t="s">
        <v>37</v>
      </c>
      <c r="B7" s="5">
        <v>2573.1999999999998</v>
      </c>
      <c r="C7" s="2" t="s">
        <v>44</v>
      </c>
      <c r="D7" s="25">
        <v>-75</v>
      </c>
      <c r="E7" s="25">
        <v>-76</v>
      </c>
      <c r="F7" s="25">
        <v>-80</v>
      </c>
      <c r="G7" s="25">
        <v>-82</v>
      </c>
      <c r="H7" s="25">
        <v>-90</v>
      </c>
      <c r="I7" s="25">
        <v>-87</v>
      </c>
      <c r="J7" s="25">
        <v>-83</v>
      </c>
      <c r="K7" s="13">
        <v>-81</v>
      </c>
      <c r="L7" s="13">
        <v>-86</v>
      </c>
      <c r="M7" s="13">
        <v>-108</v>
      </c>
      <c r="N7" s="13">
        <v>-108</v>
      </c>
      <c r="O7" s="13">
        <v>-89</v>
      </c>
      <c r="P7" s="2">
        <v>-103</v>
      </c>
      <c r="Q7" s="2">
        <v>-113</v>
      </c>
      <c r="R7" s="2">
        <v>-103</v>
      </c>
      <c r="S7" s="2">
        <v>-101</v>
      </c>
      <c r="T7" s="2">
        <v>-98</v>
      </c>
      <c r="U7" s="2">
        <v>-97</v>
      </c>
      <c r="Z7" s="2">
        <v>-247</v>
      </c>
      <c r="AA7" s="2">
        <v>-243</v>
      </c>
      <c r="AB7" s="2">
        <v>-277</v>
      </c>
      <c r="AC7" s="13">
        <v>-313</v>
      </c>
      <c r="AD7" s="13">
        <v>-340</v>
      </c>
      <c r="AE7" s="13">
        <v>-391</v>
      </c>
      <c r="AF7" s="13">
        <v>-420</v>
      </c>
      <c r="AG7" s="14">
        <v>-420</v>
      </c>
      <c r="AH7" s="13">
        <f>AG7*1.04</f>
        <v>-436.8</v>
      </c>
      <c r="AI7" s="13">
        <f t="shared" ref="AI7:AP7" si="5">AH7*1.04</f>
        <v>-454.27200000000005</v>
      </c>
      <c r="AJ7" s="13">
        <f t="shared" si="5"/>
        <v>-472.44288000000006</v>
      </c>
      <c r="AK7" s="13">
        <f t="shared" si="5"/>
        <v>-491.34059520000005</v>
      </c>
      <c r="AL7" s="13">
        <f t="shared" si="5"/>
        <v>-510.99421900800007</v>
      </c>
      <c r="AM7" s="13">
        <f t="shared" si="5"/>
        <v>-531.43398776832009</v>
      </c>
      <c r="AN7" s="13">
        <f t="shared" si="5"/>
        <v>-552.69134727905293</v>
      </c>
      <c r="AO7" s="13">
        <f t="shared" si="5"/>
        <v>-574.79900117021509</v>
      </c>
      <c r="AP7" s="13">
        <f t="shared" si="5"/>
        <v>-597.79096121702366</v>
      </c>
    </row>
    <row r="8" spans="1:42" x14ac:dyDescent="0.25">
      <c r="A8" s="2" t="s">
        <v>38</v>
      </c>
      <c r="B8" s="5">
        <v>2600.77</v>
      </c>
      <c r="C8" s="2" t="s">
        <v>45</v>
      </c>
      <c r="D8" s="25">
        <v>-84</v>
      </c>
      <c r="E8" s="25">
        <v>-83</v>
      </c>
      <c r="F8" s="25">
        <v>-83</v>
      </c>
      <c r="G8" s="25">
        <v>-92</v>
      </c>
      <c r="H8" s="25">
        <v>-94</v>
      </c>
      <c r="I8" s="25">
        <v>-94</v>
      </c>
      <c r="J8" s="25">
        <v>-99</v>
      </c>
      <c r="K8" s="13">
        <v>-100</v>
      </c>
      <c r="L8" s="13">
        <v>-102</v>
      </c>
      <c r="M8" s="13">
        <v>-104</v>
      </c>
      <c r="N8" s="13">
        <v>-109</v>
      </c>
      <c r="O8" s="13">
        <v>-108</v>
      </c>
      <c r="P8" s="2">
        <v>-110</v>
      </c>
      <c r="Q8" s="2">
        <v>-112</v>
      </c>
      <c r="R8" s="2">
        <v>-117</v>
      </c>
      <c r="S8" s="2">
        <v>-117</v>
      </c>
      <c r="T8" s="2">
        <v>-116</v>
      </c>
      <c r="U8" s="2">
        <v>-117</v>
      </c>
      <c r="Z8" s="2">
        <v>-306</v>
      </c>
      <c r="AA8" s="2">
        <v>-299</v>
      </c>
      <c r="AB8" s="2">
        <v>-321</v>
      </c>
      <c r="AC8" s="13">
        <v>-341</v>
      </c>
      <c r="AD8" s="13">
        <v>-387</v>
      </c>
      <c r="AE8" s="13">
        <v>-423</v>
      </c>
      <c r="AF8" s="13">
        <v>-456</v>
      </c>
      <c r="AG8" s="14">
        <v>-466</v>
      </c>
      <c r="AH8" s="13">
        <f>AG8*1.04</f>
        <v>-484.64000000000004</v>
      </c>
      <c r="AI8" s="13">
        <f t="shared" ref="AI8:AP8" si="6">AH8*1.04</f>
        <v>-504.02560000000005</v>
      </c>
      <c r="AJ8" s="13">
        <f t="shared" si="6"/>
        <v>-524.18662400000005</v>
      </c>
      <c r="AK8" s="13">
        <f t="shared" si="6"/>
        <v>-545.15408896000008</v>
      </c>
      <c r="AL8" s="13">
        <f t="shared" si="6"/>
        <v>-566.96025251840013</v>
      </c>
      <c r="AM8" s="13">
        <f t="shared" si="6"/>
        <v>-589.6386626191362</v>
      </c>
      <c r="AN8" s="13">
        <f t="shared" si="6"/>
        <v>-613.22420912390169</v>
      </c>
      <c r="AO8" s="13">
        <f t="shared" si="6"/>
        <v>-637.75317748885777</v>
      </c>
      <c r="AP8" s="13">
        <f t="shared" si="6"/>
        <v>-663.2633045884121</v>
      </c>
    </row>
    <row r="9" spans="1:42" x14ac:dyDescent="0.25">
      <c r="A9" s="3" t="s">
        <v>39</v>
      </c>
      <c r="B9" s="6">
        <f>B6-B7+B8</f>
        <v>42066.509999999995</v>
      </c>
      <c r="C9" s="2" t="s">
        <v>46</v>
      </c>
      <c r="D9" s="25">
        <v>-38</v>
      </c>
      <c r="E9" s="25">
        <v>-40</v>
      </c>
      <c r="F9" s="25">
        <v>-34</v>
      </c>
      <c r="G9" s="25">
        <v>-39</v>
      </c>
      <c r="H9" s="25">
        <v>-38</v>
      </c>
      <c r="I9" s="25">
        <v>-39</v>
      </c>
      <c r="J9" s="25">
        <v>-35</v>
      </c>
      <c r="K9" s="13">
        <v>-42</v>
      </c>
      <c r="L9" s="13">
        <v>-38</v>
      </c>
      <c r="M9" s="13">
        <v>-43</v>
      </c>
      <c r="N9" s="13">
        <v>-40</v>
      </c>
      <c r="O9" s="13">
        <v>-44</v>
      </c>
      <c r="P9" s="2">
        <v>-38</v>
      </c>
      <c r="Q9" s="2">
        <v>-41</v>
      </c>
      <c r="R9" s="2">
        <v>-48</v>
      </c>
      <c r="S9" s="2">
        <v>-47</v>
      </c>
      <c r="T9" s="2">
        <v>-42</v>
      </c>
      <c r="U9" s="2">
        <v>-44</v>
      </c>
      <c r="Z9" s="2">
        <v>-148</v>
      </c>
      <c r="AA9" s="2">
        <v>-131</v>
      </c>
      <c r="AB9" s="2">
        <v>-136</v>
      </c>
      <c r="AC9" s="13">
        <v>-151</v>
      </c>
      <c r="AD9" s="13">
        <v>-153</v>
      </c>
      <c r="AE9" s="13">
        <v>-166</v>
      </c>
      <c r="AF9" s="13">
        <v>-174</v>
      </c>
      <c r="AG9" s="14">
        <v>-172</v>
      </c>
      <c r="AH9" s="13">
        <f>AG9*1.04</f>
        <v>-178.88</v>
      </c>
      <c r="AI9" s="13">
        <f t="shared" ref="AI9:AP9" si="7">AH9*1.04</f>
        <v>-186.0352</v>
      </c>
      <c r="AJ9" s="13">
        <f t="shared" si="7"/>
        <v>-193.476608</v>
      </c>
      <c r="AK9" s="13">
        <f t="shared" si="7"/>
        <v>-201.21567232000001</v>
      </c>
      <c r="AL9" s="13">
        <f t="shared" si="7"/>
        <v>-209.26429921280001</v>
      </c>
      <c r="AM9" s="13">
        <f t="shared" si="7"/>
        <v>-217.63487118131201</v>
      </c>
      <c r="AN9" s="13">
        <f t="shared" si="7"/>
        <v>-226.34026602856449</v>
      </c>
      <c r="AO9" s="13">
        <f t="shared" si="7"/>
        <v>-235.39387666970708</v>
      </c>
      <c r="AP9" s="13">
        <f t="shared" si="7"/>
        <v>-244.80963173649536</v>
      </c>
    </row>
    <row r="10" spans="1:42" x14ac:dyDescent="0.25">
      <c r="C10" s="2" t="s">
        <v>47</v>
      </c>
      <c r="D10" s="25">
        <v>-17</v>
      </c>
      <c r="E10" s="25">
        <v>-12</v>
      </c>
      <c r="F10" s="25">
        <v>-13</v>
      </c>
      <c r="G10" s="25">
        <v>-27</v>
      </c>
      <c r="H10" s="25">
        <v>-14</v>
      </c>
      <c r="I10" s="25">
        <v>-14</v>
      </c>
      <c r="J10" s="25">
        <v>-15</v>
      </c>
      <c r="K10" s="13">
        <v>-16</v>
      </c>
      <c r="L10" s="13">
        <v>-16</v>
      </c>
      <c r="M10" s="13">
        <v>-16</v>
      </c>
      <c r="N10" s="13">
        <v>-16</v>
      </c>
      <c r="O10" s="13">
        <v>-26</v>
      </c>
      <c r="P10" s="2">
        <v>-14</v>
      </c>
      <c r="Q10" s="2">
        <v>-20</v>
      </c>
      <c r="R10" s="2">
        <v>-22</v>
      </c>
      <c r="S10" s="2">
        <v>-18</v>
      </c>
      <c r="T10" s="2">
        <v>-19</v>
      </c>
      <c r="U10" s="2">
        <v>-21</v>
      </c>
      <c r="Z10" s="2">
        <v>-71</v>
      </c>
      <c r="AA10" s="2">
        <v>-78</v>
      </c>
      <c r="AB10" s="2">
        <v>-68</v>
      </c>
      <c r="AC10" s="13">
        <v>-69</v>
      </c>
      <c r="AD10" s="13">
        <v>-59</v>
      </c>
      <c r="AE10" s="13">
        <v>-74</v>
      </c>
      <c r="AF10" s="13">
        <v>-74</v>
      </c>
      <c r="AG10" s="14">
        <v>-80</v>
      </c>
      <c r="AH10" s="13">
        <f>AG10*1.04</f>
        <v>-83.2</v>
      </c>
      <c r="AI10" s="13">
        <f t="shared" ref="AI10:AP10" si="8">AH10*1.04</f>
        <v>-86.528000000000006</v>
      </c>
      <c r="AJ10" s="13">
        <f t="shared" si="8"/>
        <v>-89.989120000000014</v>
      </c>
      <c r="AK10" s="13">
        <f t="shared" si="8"/>
        <v>-93.588684800000024</v>
      </c>
      <c r="AL10" s="13">
        <f t="shared" si="8"/>
        <v>-97.332232192000035</v>
      </c>
      <c r="AM10" s="13">
        <f t="shared" si="8"/>
        <v>-101.22552147968004</v>
      </c>
      <c r="AN10" s="13">
        <f t="shared" si="8"/>
        <v>-105.27454233886725</v>
      </c>
      <c r="AO10" s="13">
        <f t="shared" si="8"/>
        <v>-109.48552403242195</v>
      </c>
      <c r="AP10" s="13">
        <f t="shared" si="8"/>
        <v>-113.86494499371884</v>
      </c>
    </row>
    <row r="11" spans="1:42" x14ac:dyDescent="0.25">
      <c r="A11" s="2" t="s">
        <v>57</v>
      </c>
      <c r="B11" s="4">
        <v>9.69</v>
      </c>
      <c r="C11" s="1" t="s">
        <v>48</v>
      </c>
      <c r="D11" s="16">
        <f t="shared" ref="D11:J11" si="9">SUM(D6:D10)</f>
        <v>27</v>
      </c>
      <c r="E11" s="16">
        <f t="shared" si="9"/>
        <v>27</v>
      </c>
      <c r="F11" s="16">
        <f t="shared" si="9"/>
        <v>24</v>
      </c>
      <c r="G11" s="16">
        <f t="shared" si="9"/>
        <v>6</v>
      </c>
      <c r="H11" s="16">
        <f t="shared" si="9"/>
        <v>25</v>
      </c>
      <c r="I11" s="16">
        <f t="shared" si="9"/>
        <v>25</v>
      </c>
      <c r="J11" s="16">
        <f t="shared" si="9"/>
        <v>21</v>
      </c>
      <c r="K11" s="16">
        <f t="shared" ref="K11:S11" si="10">SUM(K6:K10)</f>
        <v>16</v>
      </c>
      <c r="L11" s="16">
        <f t="shared" si="10"/>
        <v>22</v>
      </c>
      <c r="M11" s="16">
        <f t="shared" si="10"/>
        <v>30</v>
      </c>
      <c r="N11" s="16">
        <f t="shared" si="10"/>
        <v>22</v>
      </c>
      <c r="O11" s="16">
        <f t="shared" si="10"/>
        <v>11</v>
      </c>
      <c r="P11" s="16">
        <f t="shared" si="10"/>
        <v>31</v>
      </c>
      <c r="Q11" s="16">
        <f t="shared" si="10"/>
        <v>28</v>
      </c>
      <c r="R11" s="16">
        <f t="shared" si="10"/>
        <v>20</v>
      </c>
      <c r="S11" s="16">
        <f t="shared" si="10"/>
        <v>27</v>
      </c>
      <c r="T11" s="16">
        <f t="shared" ref="T11:U11" si="11">SUM(T6:T10)</f>
        <v>33</v>
      </c>
      <c r="U11" s="16">
        <f t="shared" si="11"/>
        <v>41</v>
      </c>
      <c r="V11" s="16"/>
      <c r="Z11" s="16">
        <f t="shared" ref="Z11:AE11" si="12">SUM(Z6:Z10)</f>
        <v>78</v>
      </c>
      <c r="AA11" s="16">
        <f t="shared" si="12"/>
        <v>61</v>
      </c>
      <c r="AB11" s="16">
        <f t="shared" si="12"/>
        <v>73</v>
      </c>
      <c r="AC11" s="16">
        <f t="shared" si="12"/>
        <v>84</v>
      </c>
      <c r="AD11" s="16">
        <f t="shared" si="12"/>
        <v>89</v>
      </c>
      <c r="AE11" s="16">
        <f t="shared" si="12"/>
        <v>84</v>
      </c>
      <c r="AF11" s="16">
        <f t="shared" ref="AF11:AP11" si="13">SUM(AF6:AF10)</f>
        <v>106</v>
      </c>
      <c r="AG11" s="12">
        <f t="shared" si="13"/>
        <v>133.01999999999998</v>
      </c>
      <c r="AH11" s="16">
        <f t="shared" si="13"/>
        <v>138.34079999999994</v>
      </c>
      <c r="AI11" s="16">
        <f t="shared" si="13"/>
        <v>143.8744319999999</v>
      </c>
      <c r="AJ11" s="16">
        <f t="shared" si="13"/>
        <v>149.62940927999989</v>
      </c>
      <c r="AK11" s="16">
        <f t="shared" si="13"/>
        <v>155.61458565119989</v>
      </c>
      <c r="AL11" s="16">
        <f t="shared" si="13"/>
        <v>161.83916907724796</v>
      </c>
      <c r="AM11" s="16">
        <f t="shared" si="13"/>
        <v>168.31273584033784</v>
      </c>
      <c r="AN11" s="16">
        <f t="shared" si="13"/>
        <v>175.04524527395137</v>
      </c>
      <c r="AO11" s="16">
        <f t="shared" si="13"/>
        <v>182.04705508490952</v>
      </c>
      <c r="AP11" s="16">
        <f t="shared" si="13"/>
        <v>189.32893728830595</v>
      </c>
    </row>
    <row r="12" spans="1:42" x14ac:dyDescent="0.25">
      <c r="C12" s="2" t="s">
        <v>49</v>
      </c>
      <c r="D12" s="25">
        <v>64</v>
      </c>
      <c r="E12" s="25">
        <v>45</v>
      </c>
      <c r="F12" s="25">
        <v>87</v>
      </c>
      <c r="G12" s="25">
        <v>100</v>
      </c>
      <c r="H12" s="25">
        <v>83</v>
      </c>
      <c r="I12" s="25">
        <v>141</v>
      </c>
      <c r="J12" s="25">
        <v>138</v>
      </c>
      <c r="K12" s="13">
        <v>68</v>
      </c>
      <c r="L12" s="13">
        <v>92</v>
      </c>
      <c r="M12" s="13">
        <v>146</v>
      </c>
      <c r="N12" s="13">
        <v>118</v>
      </c>
      <c r="O12" s="13">
        <v>116</v>
      </c>
      <c r="P12" s="2">
        <v>121</v>
      </c>
      <c r="Q12" s="2">
        <v>208</v>
      </c>
      <c r="R12" s="2">
        <v>133</v>
      </c>
      <c r="S12" s="2">
        <v>109</v>
      </c>
      <c r="T12" s="2">
        <v>84</v>
      </c>
      <c r="U12" s="2">
        <v>112</v>
      </c>
      <c r="Z12" s="2">
        <v>49</v>
      </c>
      <c r="AA12" s="2">
        <v>-50</v>
      </c>
      <c r="AB12" s="2">
        <v>101</v>
      </c>
      <c r="AC12" s="13">
        <v>296</v>
      </c>
      <c r="AD12" s="13">
        <v>431</v>
      </c>
      <c r="AE12" s="13">
        <v>472</v>
      </c>
      <c r="AF12" s="13">
        <v>571</v>
      </c>
      <c r="AG12" s="14">
        <v>400</v>
      </c>
      <c r="AH12" s="13">
        <f>AG12*0.95</f>
        <v>380</v>
      </c>
      <c r="AI12" s="13">
        <f>AH12*0.95</f>
        <v>361</v>
      </c>
      <c r="AJ12" s="13">
        <f>AI12*0.95</f>
        <v>342.95</v>
      </c>
      <c r="AK12" s="13">
        <f t="shared" ref="AK12:AP12" si="14">AJ12*1.01</f>
        <v>346.37950000000001</v>
      </c>
      <c r="AL12" s="13">
        <f t="shared" si="14"/>
        <v>349.84329500000001</v>
      </c>
      <c r="AM12" s="13">
        <f t="shared" si="14"/>
        <v>353.34172795000001</v>
      </c>
      <c r="AN12" s="13">
        <f t="shared" si="14"/>
        <v>356.87514522949999</v>
      </c>
      <c r="AO12" s="13">
        <f t="shared" si="14"/>
        <v>360.44389668179497</v>
      </c>
      <c r="AP12" s="13">
        <f t="shared" si="14"/>
        <v>364.04833564861292</v>
      </c>
    </row>
    <row r="13" spans="1:42" x14ac:dyDescent="0.25">
      <c r="A13" s="16" t="s">
        <v>123</v>
      </c>
      <c r="B13" s="83">
        <f>SOTP!B4</f>
        <v>0.6420850589426671</v>
      </c>
      <c r="C13" s="2" t="s">
        <v>50</v>
      </c>
      <c r="D13" s="25">
        <v>70</v>
      </c>
      <c r="E13" s="25">
        <v>0</v>
      </c>
      <c r="F13" s="25">
        <v>-106</v>
      </c>
      <c r="G13" s="25">
        <v>105</v>
      </c>
      <c r="H13" s="25">
        <v>1</v>
      </c>
      <c r="I13" s="25">
        <v>1</v>
      </c>
      <c r="J13" s="25">
        <v>4</v>
      </c>
      <c r="K13" s="13">
        <v>5</v>
      </c>
      <c r="L13" s="13">
        <v>8</v>
      </c>
      <c r="M13" s="13">
        <v>15</v>
      </c>
      <c r="N13" s="13">
        <v>3</v>
      </c>
      <c r="O13" s="13">
        <v>1</v>
      </c>
      <c r="P13" s="2">
        <v>0</v>
      </c>
      <c r="Q13" s="2">
        <v>7</v>
      </c>
      <c r="R13" s="2">
        <v>-3</v>
      </c>
      <c r="S13" s="2">
        <v>0</v>
      </c>
      <c r="T13" s="2">
        <v>1</v>
      </c>
      <c r="U13" s="2">
        <v>4</v>
      </c>
      <c r="Z13" s="2">
        <v>34</v>
      </c>
      <c r="AA13" s="2">
        <v>192</v>
      </c>
      <c r="AB13" s="2">
        <v>-107</v>
      </c>
      <c r="AC13" s="13">
        <v>-50</v>
      </c>
      <c r="AD13" s="13">
        <v>11</v>
      </c>
      <c r="AE13" s="13">
        <v>27</v>
      </c>
      <c r="AF13" s="13">
        <v>4</v>
      </c>
      <c r="AG13" s="14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</row>
    <row r="14" spans="1:42" x14ac:dyDescent="0.25">
      <c r="A14" s="1"/>
      <c r="B14" s="84"/>
      <c r="C14" s="2" t="s">
        <v>51</v>
      </c>
      <c r="D14" s="25">
        <v>4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13">
        <v>1</v>
      </c>
      <c r="L14" s="13">
        <v>0</v>
      </c>
      <c r="M14" s="13">
        <v>0</v>
      </c>
      <c r="N14" s="13">
        <v>1</v>
      </c>
      <c r="O14" s="13">
        <v>0</v>
      </c>
      <c r="P14" s="2">
        <v>-7</v>
      </c>
      <c r="Q14" s="2">
        <v>23</v>
      </c>
      <c r="R14" s="2">
        <v>2</v>
      </c>
      <c r="S14" s="2">
        <v>18</v>
      </c>
      <c r="T14" s="2">
        <v>2</v>
      </c>
      <c r="U14" s="2">
        <v>3</v>
      </c>
      <c r="Z14" s="2">
        <v>33</v>
      </c>
      <c r="AA14" s="2">
        <v>46</v>
      </c>
      <c r="AB14" s="2">
        <v>42</v>
      </c>
      <c r="AC14" s="13">
        <v>30</v>
      </c>
      <c r="AD14" s="13">
        <v>39</v>
      </c>
      <c r="AE14" s="13">
        <v>25</v>
      </c>
      <c r="AF14" s="13">
        <v>36</v>
      </c>
      <c r="AG14" s="14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</row>
    <row r="15" spans="1:42" x14ac:dyDescent="0.25">
      <c r="A15" s="1" t="s">
        <v>199</v>
      </c>
      <c r="B15" s="83">
        <f>B6/(U46*B11)</f>
        <v>1.2227688559551275</v>
      </c>
      <c r="C15" s="2" t="s">
        <v>52</v>
      </c>
      <c r="D15" s="25">
        <v>0</v>
      </c>
      <c r="E15" s="25">
        <v>-117</v>
      </c>
      <c r="F15" s="25">
        <v>-29</v>
      </c>
      <c r="G15" s="25">
        <v>0</v>
      </c>
      <c r="H15" s="25">
        <v>-2</v>
      </c>
      <c r="I15" s="25">
        <v>-3</v>
      </c>
      <c r="J15" s="25">
        <v>-6</v>
      </c>
      <c r="K15" s="13">
        <v>0</v>
      </c>
      <c r="L15" s="13">
        <v>-6</v>
      </c>
      <c r="M15" s="13">
        <v>-12</v>
      </c>
      <c r="N15" s="13">
        <v>0</v>
      </c>
      <c r="O15" s="13">
        <v>-28</v>
      </c>
      <c r="P15" s="2">
        <v>4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Z15" s="2">
        <v>-49</v>
      </c>
      <c r="AA15" s="2">
        <v>-44</v>
      </c>
      <c r="AB15" s="2">
        <v>-43</v>
      </c>
      <c r="AC15" s="13">
        <v>-55</v>
      </c>
      <c r="AD15" s="13">
        <v>-54</v>
      </c>
      <c r="AE15" s="13">
        <v>-71</v>
      </c>
      <c r="AF15" s="13">
        <v>4</v>
      </c>
      <c r="AG15" s="14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</row>
    <row r="16" spans="1:42" x14ac:dyDescent="0.25">
      <c r="C16" s="2" t="s">
        <v>53</v>
      </c>
      <c r="D16" s="25">
        <f t="shared" ref="D16:O16" si="15">SUM(D11:D15)</f>
        <v>165</v>
      </c>
      <c r="E16" s="25">
        <f t="shared" si="15"/>
        <v>-45</v>
      </c>
      <c r="F16" s="25">
        <f t="shared" si="15"/>
        <v>-24</v>
      </c>
      <c r="G16" s="25">
        <f t="shared" si="15"/>
        <v>211</v>
      </c>
      <c r="H16" s="25">
        <f t="shared" si="15"/>
        <v>107</v>
      </c>
      <c r="I16" s="25">
        <f t="shared" si="15"/>
        <v>164</v>
      </c>
      <c r="J16" s="25">
        <f t="shared" si="15"/>
        <v>157</v>
      </c>
      <c r="K16" s="13">
        <f t="shared" si="15"/>
        <v>90</v>
      </c>
      <c r="L16" s="13">
        <f t="shared" si="15"/>
        <v>116</v>
      </c>
      <c r="M16" s="13">
        <f t="shared" si="15"/>
        <v>179</v>
      </c>
      <c r="N16" s="13">
        <f t="shared" si="15"/>
        <v>144</v>
      </c>
      <c r="O16" s="13">
        <f t="shared" si="15"/>
        <v>100</v>
      </c>
      <c r="P16" s="13">
        <f t="shared" ref="P16:U16" si="16">SUM(P11:P15)</f>
        <v>149</v>
      </c>
      <c r="Q16" s="13">
        <f t="shared" si="16"/>
        <v>266</v>
      </c>
      <c r="R16" s="13">
        <f t="shared" si="16"/>
        <v>152</v>
      </c>
      <c r="S16" s="13">
        <f t="shared" si="16"/>
        <v>154</v>
      </c>
      <c r="T16" s="13">
        <f t="shared" si="16"/>
        <v>120</v>
      </c>
      <c r="U16" s="13">
        <f t="shared" si="16"/>
        <v>160</v>
      </c>
      <c r="V16" s="13"/>
      <c r="Z16" s="13">
        <f t="shared" ref="Z16:AE16" si="17">SUM(Z11:Z15)</f>
        <v>145</v>
      </c>
      <c r="AA16" s="13">
        <f t="shared" si="17"/>
        <v>205</v>
      </c>
      <c r="AB16" s="13">
        <f t="shared" si="17"/>
        <v>66</v>
      </c>
      <c r="AC16" s="13">
        <f t="shared" si="17"/>
        <v>305</v>
      </c>
      <c r="AD16" s="13">
        <f t="shared" si="17"/>
        <v>516</v>
      </c>
      <c r="AE16" s="13">
        <f t="shared" si="17"/>
        <v>537</v>
      </c>
      <c r="AF16" s="13">
        <f t="shared" ref="AF16:AP16" si="18">SUM(AF11:AF15)</f>
        <v>721</v>
      </c>
      <c r="AG16" s="14">
        <f t="shared" si="18"/>
        <v>533.02</v>
      </c>
      <c r="AH16" s="13">
        <f t="shared" si="18"/>
        <v>518.34079999999994</v>
      </c>
      <c r="AI16" s="13">
        <f t="shared" si="18"/>
        <v>504.8744319999999</v>
      </c>
      <c r="AJ16" s="13">
        <f t="shared" si="18"/>
        <v>492.57940927999988</v>
      </c>
      <c r="AK16" s="13">
        <f t="shared" si="18"/>
        <v>501.9940856511999</v>
      </c>
      <c r="AL16" s="13">
        <f t="shared" si="18"/>
        <v>511.68246407724797</v>
      </c>
      <c r="AM16" s="13">
        <f t="shared" si="18"/>
        <v>521.65446379033779</v>
      </c>
      <c r="AN16" s="13">
        <f t="shared" si="18"/>
        <v>531.92039050345136</v>
      </c>
      <c r="AO16" s="13">
        <f t="shared" si="18"/>
        <v>542.49095176670448</v>
      </c>
      <c r="AP16" s="13">
        <f t="shared" si="18"/>
        <v>553.37727293691887</v>
      </c>
    </row>
    <row r="17" spans="1:147" x14ac:dyDescent="0.25">
      <c r="A17" s="2" t="s">
        <v>202</v>
      </c>
      <c r="B17" s="4">
        <f>SOTP!G26*0.8</f>
        <v>1174.9222155118887</v>
      </c>
      <c r="C17" s="2" t="s">
        <v>54</v>
      </c>
      <c r="D17" s="26">
        <v>-5</v>
      </c>
      <c r="E17" s="26">
        <v>6</v>
      </c>
      <c r="F17" s="26">
        <v>0</v>
      </c>
      <c r="G17" s="26">
        <v>-14</v>
      </c>
      <c r="H17" s="26">
        <v>-6</v>
      </c>
      <c r="I17" s="26">
        <v>-6</v>
      </c>
      <c r="J17" s="26">
        <v>-5</v>
      </c>
      <c r="K17" s="18">
        <v>-11</v>
      </c>
      <c r="L17" s="18">
        <v>-2</v>
      </c>
      <c r="M17" s="18">
        <v>-7</v>
      </c>
      <c r="N17" s="18">
        <v>-7</v>
      </c>
      <c r="O17" s="18">
        <v>-4</v>
      </c>
      <c r="P17" s="2">
        <v>-12</v>
      </c>
      <c r="Q17" s="2">
        <v>-8</v>
      </c>
      <c r="R17" s="2">
        <v>-3</v>
      </c>
      <c r="S17" s="2">
        <v>-25</v>
      </c>
      <c r="T17" s="2">
        <v>-7</v>
      </c>
      <c r="U17" s="2">
        <v>-13</v>
      </c>
      <c r="Z17" s="2">
        <v>-15</v>
      </c>
      <c r="AA17" s="2">
        <v>-27</v>
      </c>
      <c r="AB17" s="2">
        <v>-13</v>
      </c>
      <c r="AC17" s="13">
        <v>-13</v>
      </c>
      <c r="AD17" s="13">
        <v>-27</v>
      </c>
      <c r="AE17" s="13">
        <v>-20</v>
      </c>
      <c r="AF17" s="18">
        <v>-48</v>
      </c>
      <c r="AG17" s="48">
        <f t="shared" ref="AG17:AP17" si="19">AG16*-0.05</f>
        <v>-26.651</v>
      </c>
      <c r="AH17" s="18">
        <f t="shared" si="19"/>
        <v>-25.91704</v>
      </c>
      <c r="AI17" s="18">
        <f t="shared" si="19"/>
        <v>-25.243721599999997</v>
      </c>
      <c r="AJ17" s="18">
        <f t="shared" si="19"/>
        <v>-24.628970463999995</v>
      </c>
      <c r="AK17" s="18">
        <f t="shared" si="19"/>
        <v>-25.099704282559998</v>
      </c>
      <c r="AL17" s="18">
        <f t="shared" si="19"/>
        <v>-25.584123203862401</v>
      </c>
      <c r="AM17" s="18">
        <f t="shared" si="19"/>
        <v>-26.082723189516891</v>
      </c>
      <c r="AN17" s="18">
        <f t="shared" si="19"/>
        <v>-26.596019525172569</v>
      </c>
      <c r="AO17" s="18">
        <f t="shared" si="19"/>
        <v>-27.124547588335226</v>
      </c>
      <c r="AP17" s="18">
        <f t="shared" si="19"/>
        <v>-27.668863646845946</v>
      </c>
    </row>
    <row r="18" spans="1:147" x14ac:dyDescent="0.25">
      <c r="C18" s="1" t="s">
        <v>55</v>
      </c>
      <c r="D18" s="27">
        <f t="shared" ref="D18:S18" si="20">SUM(D16:D17)</f>
        <v>160</v>
      </c>
      <c r="E18" s="27">
        <f t="shared" si="20"/>
        <v>-39</v>
      </c>
      <c r="F18" s="27">
        <f t="shared" si="20"/>
        <v>-24</v>
      </c>
      <c r="G18" s="27">
        <f t="shared" si="20"/>
        <v>197</v>
      </c>
      <c r="H18" s="27">
        <f t="shared" si="20"/>
        <v>101</v>
      </c>
      <c r="I18" s="27">
        <f t="shared" si="20"/>
        <v>158</v>
      </c>
      <c r="J18" s="27">
        <f t="shared" si="20"/>
        <v>152</v>
      </c>
      <c r="K18" s="19">
        <f t="shared" si="20"/>
        <v>79</v>
      </c>
      <c r="L18" s="19">
        <f t="shared" si="20"/>
        <v>114</v>
      </c>
      <c r="M18" s="19">
        <f t="shared" si="20"/>
        <v>172</v>
      </c>
      <c r="N18" s="19">
        <f t="shared" si="20"/>
        <v>137</v>
      </c>
      <c r="O18" s="19">
        <f t="shared" si="20"/>
        <v>96</v>
      </c>
      <c r="P18" s="19">
        <f t="shared" si="20"/>
        <v>137</v>
      </c>
      <c r="Q18" s="19">
        <f t="shared" si="20"/>
        <v>258</v>
      </c>
      <c r="R18" s="19">
        <f t="shared" si="20"/>
        <v>149</v>
      </c>
      <c r="S18" s="19">
        <f t="shared" si="20"/>
        <v>129</v>
      </c>
      <c r="T18" s="19">
        <f t="shared" ref="T18:U18" si="21">SUM(T16:T17)</f>
        <v>113</v>
      </c>
      <c r="U18" s="19">
        <f t="shared" si="21"/>
        <v>147</v>
      </c>
      <c r="V18" s="19"/>
      <c r="W18" s="18"/>
      <c r="Z18" s="16">
        <f t="shared" ref="Z18:AE18" si="22">SUM(Z16:Z17)</f>
        <v>130</v>
      </c>
      <c r="AA18" s="16">
        <f t="shared" si="22"/>
        <v>178</v>
      </c>
      <c r="AB18" s="16">
        <f t="shared" si="22"/>
        <v>53</v>
      </c>
      <c r="AC18" s="16">
        <f t="shared" si="22"/>
        <v>292</v>
      </c>
      <c r="AD18" s="16">
        <f t="shared" si="22"/>
        <v>489</v>
      </c>
      <c r="AE18" s="16">
        <f t="shared" si="22"/>
        <v>517</v>
      </c>
      <c r="AF18" s="16">
        <f t="shared" ref="AF18:AP18" si="23">SUM(AF16:AF17)</f>
        <v>673</v>
      </c>
      <c r="AG18" s="12">
        <f t="shared" si="23"/>
        <v>506.36899999999997</v>
      </c>
      <c r="AH18" s="16">
        <f t="shared" si="23"/>
        <v>492.42375999999996</v>
      </c>
      <c r="AI18" s="16">
        <f t="shared" si="23"/>
        <v>479.63071039999988</v>
      </c>
      <c r="AJ18" s="16">
        <f t="shared" si="23"/>
        <v>467.95043881599986</v>
      </c>
      <c r="AK18" s="16">
        <f t="shared" si="23"/>
        <v>476.89438136863987</v>
      </c>
      <c r="AL18" s="16">
        <f t="shared" si="23"/>
        <v>486.09834087338555</v>
      </c>
      <c r="AM18" s="16">
        <f t="shared" si="23"/>
        <v>495.57174060082087</v>
      </c>
      <c r="AN18" s="16">
        <f t="shared" si="23"/>
        <v>505.32437097827881</v>
      </c>
      <c r="AO18" s="16">
        <f t="shared" si="23"/>
        <v>515.36640417836929</v>
      </c>
      <c r="AP18" s="16">
        <f t="shared" si="23"/>
        <v>525.70840929007295</v>
      </c>
      <c r="AQ18" s="19">
        <f>AP18*(1+$AS$21)</f>
        <v>520.4513251971722</v>
      </c>
      <c r="AR18" s="19">
        <f t="shared" ref="AR18:DC18" si="24">AQ18*(1+$AS$21)</f>
        <v>515.24681194520042</v>
      </c>
      <c r="AS18" s="19">
        <f t="shared" si="24"/>
        <v>510.09434382574841</v>
      </c>
      <c r="AT18" s="19">
        <f t="shared" si="24"/>
        <v>504.99340038749091</v>
      </c>
      <c r="AU18" s="19">
        <f t="shared" si="24"/>
        <v>499.943466383616</v>
      </c>
      <c r="AV18" s="19">
        <f t="shared" si="24"/>
        <v>494.94403171977984</v>
      </c>
      <c r="AW18" s="19">
        <f t="shared" si="24"/>
        <v>489.99459140258205</v>
      </c>
      <c r="AX18" s="19">
        <f t="shared" si="24"/>
        <v>485.09464548855624</v>
      </c>
      <c r="AY18" s="19">
        <f t="shared" si="24"/>
        <v>480.24369903367068</v>
      </c>
      <c r="AZ18" s="19">
        <f t="shared" si="24"/>
        <v>475.44126204333395</v>
      </c>
      <c r="BA18" s="19">
        <f t="shared" si="24"/>
        <v>470.68684942290059</v>
      </c>
      <c r="BB18" s="19">
        <f t="shared" si="24"/>
        <v>465.97998092867158</v>
      </c>
      <c r="BC18" s="19">
        <f t="shared" si="24"/>
        <v>461.32018111938487</v>
      </c>
      <c r="BD18" s="19">
        <f t="shared" si="24"/>
        <v>456.70697930819102</v>
      </c>
      <c r="BE18" s="19">
        <f t="shared" si="24"/>
        <v>452.13990951510908</v>
      </c>
      <c r="BF18" s="19">
        <f t="shared" si="24"/>
        <v>447.618510419958</v>
      </c>
      <c r="BG18" s="19">
        <f t="shared" si="24"/>
        <v>443.1423253157584</v>
      </c>
      <c r="BH18" s="19">
        <f t="shared" si="24"/>
        <v>438.71090206260084</v>
      </c>
      <c r="BI18" s="19">
        <f t="shared" si="24"/>
        <v>434.32379304197485</v>
      </c>
      <c r="BJ18" s="19">
        <f t="shared" si="24"/>
        <v>429.98055511155508</v>
      </c>
      <c r="BK18" s="19">
        <f t="shared" si="24"/>
        <v>425.68074956043949</v>
      </c>
      <c r="BL18" s="19">
        <f t="shared" si="24"/>
        <v>421.4239420648351</v>
      </c>
      <c r="BM18" s="19">
        <f t="shared" si="24"/>
        <v>417.20970264418673</v>
      </c>
      <c r="BN18" s="19">
        <f t="shared" si="24"/>
        <v>413.03760561774487</v>
      </c>
      <c r="BO18" s="19">
        <f t="shared" si="24"/>
        <v>408.90722956156742</v>
      </c>
      <c r="BP18" s="19">
        <f t="shared" si="24"/>
        <v>404.81815726595175</v>
      </c>
      <c r="BQ18" s="19">
        <f t="shared" si="24"/>
        <v>400.76997569329222</v>
      </c>
      <c r="BR18" s="19">
        <f t="shared" si="24"/>
        <v>396.76227593635929</v>
      </c>
      <c r="BS18" s="19">
        <f t="shared" si="24"/>
        <v>392.79465317699567</v>
      </c>
      <c r="BT18" s="19">
        <f t="shared" si="24"/>
        <v>388.86670664522569</v>
      </c>
      <c r="BU18" s="19">
        <f t="shared" si="24"/>
        <v>384.97803957877341</v>
      </c>
      <c r="BV18" s="19">
        <f t="shared" si="24"/>
        <v>381.12825918298569</v>
      </c>
      <c r="BW18" s="19">
        <f t="shared" si="24"/>
        <v>377.31697659115582</v>
      </c>
      <c r="BX18" s="19">
        <f t="shared" si="24"/>
        <v>373.54380682524425</v>
      </c>
      <c r="BY18" s="19">
        <f t="shared" si="24"/>
        <v>369.8083687569918</v>
      </c>
      <c r="BZ18" s="19">
        <f t="shared" si="24"/>
        <v>366.11028506942188</v>
      </c>
      <c r="CA18" s="19">
        <f t="shared" si="24"/>
        <v>362.44918221872763</v>
      </c>
      <c r="CB18" s="19">
        <f t="shared" si="24"/>
        <v>358.82469039654035</v>
      </c>
      <c r="CC18" s="19">
        <f t="shared" si="24"/>
        <v>355.23644349257495</v>
      </c>
      <c r="CD18" s="19">
        <f t="shared" si="24"/>
        <v>351.68407905764917</v>
      </c>
      <c r="CE18" s="19">
        <f t="shared" si="24"/>
        <v>348.16723826707266</v>
      </c>
      <c r="CF18" s="19">
        <f t="shared" si="24"/>
        <v>344.68556588440191</v>
      </c>
      <c r="CG18" s="19">
        <f t="shared" si="24"/>
        <v>341.2387102255579</v>
      </c>
      <c r="CH18" s="19">
        <f t="shared" si="24"/>
        <v>337.8263231233023</v>
      </c>
      <c r="CI18" s="19">
        <f t="shared" si="24"/>
        <v>334.4480598920693</v>
      </c>
      <c r="CJ18" s="19">
        <f t="shared" si="24"/>
        <v>331.10357929314858</v>
      </c>
      <c r="CK18" s="19">
        <f t="shared" si="24"/>
        <v>327.79254350021711</v>
      </c>
      <c r="CL18" s="19">
        <f t="shared" si="24"/>
        <v>324.51461806521496</v>
      </c>
      <c r="CM18" s="19">
        <f t="shared" si="24"/>
        <v>321.26947188456279</v>
      </c>
      <c r="CN18" s="19">
        <f t="shared" si="24"/>
        <v>318.05677716571716</v>
      </c>
      <c r="CO18" s="19">
        <f t="shared" si="24"/>
        <v>314.87620939405997</v>
      </c>
      <c r="CP18" s="19">
        <f t="shared" si="24"/>
        <v>311.72744730011937</v>
      </c>
      <c r="CQ18" s="19">
        <f t="shared" si="24"/>
        <v>308.61017282711816</v>
      </c>
      <c r="CR18" s="19">
        <f t="shared" si="24"/>
        <v>305.524071098847</v>
      </c>
      <c r="CS18" s="19">
        <f t="shared" si="24"/>
        <v>302.46883038785853</v>
      </c>
      <c r="CT18" s="19">
        <f t="shared" si="24"/>
        <v>299.44414208397995</v>
      </c>
      <c r="CU18" s="19">
        <f t="shared" si="24"/>
        <v>296.44970066314016</v>
      </c>
      <c r="CV18" s="19">
        <f t="shared" si="24"/>
        <v>293.48520365650876</v>
      </c>
      <c r="CW18" s="19">
        <f t="shared" si="24"/>
        <v>290.55035161994368</v>
      </c>
      <c r="CX18" s="19">
        <f t="shared" si="24"/>
        <v>287.64484810374427</v>
      </c>
      <c r="CY18" s="19">
        <f t="shared" si="24"/>
        <v>284.7683996227068</v>
      </c>
      <c r="CZ18" s="19">
        <f t="shared" si="24"/>
        <v>281.9207156264797</v>
      </c>
      <c r="DA18" s="19">
        <f t="shared" si="24"/>
        <v>279.10150847021492</v>
      </c>
      <c r="DB18" s="19">
        <f t="shared" si="24"/>
        <v>276.31049338551276</v>
      </c>
      <c r="DC18" s="19">
        <f t="shared" si="24"/>
        <v>273.54738845165764</v>
      </c>
      <c r="DD18" s="19">
        <f t="shared" ref="DD18:EQ18" si="25">DC18*(1+$AS$21)</f>
        <v>270.81191456714106</v>
      </c>
      <c r="DE18" s="19">
        <f t="shared" si="25"/>
        <v>268.10379542146967</v>
      </c>
      <c r="DF18" s="19">
        <f t="shared" si="25"/>
        <v>265.422757467255</v>
      </c>
      <c r="DG18" s="19">
        <f t="shared" si="25"/>
        <v>262.76852989258242</v>
      </c>
      <c r="DH18" s="19">
        <f t="shared" si="25"/>
        <v>260.1408445936566</v>
      </c>
      <c r="DI18" s="19">
        <f t="shared" si="25"/>
        <v>257.53943614772004</v>
      </c>
      <c r="DJ18" s="19">
        <f t="shared" si="25"/>
        <v>254.96404178624283</v>
      </c>
      <c r="DK18" s="19">
        <f t="shared" si="25"/>
        <v>252.4144013683804</v>
      </c>
      <c r="DL18" s="19">
        <f t="shared" si="25"/>
        <v>249.89025735469659</v>
      </c>
      <c r="DM18" s="19">
        <f t="shared" si="25"/>
        <v>247.39135478114963</v>
      </c>
      <c r="DN18" s="19">
        <f t="shared" si="25"/>
        <v>244.91744123333814</v>
      </c>
      <c r="DO18" s="19">
        <f t="shared" si="25"/>
        <v>242.46826682100476</v>
      </c>
      <c r="DP18" s="19">
        <f t="shared" si="25"/>
        <v>240.04358415279472</v>
      </c>
      <c r="DQ18" s="19">
        <f t="shared" si="25"/>
        <v>237.64314831126677</v>
      </c>
      <c r="DR18" s="19">
        <f t="shared" si="25"/>
        <v>235.2667168281541</v>
      </c>
      <c r="DS18" s="19">
        <f t="shared" si="25"/>
        <v>232.91404965987255</v>
      </c>
      <c r="DT18" s="19">
        <f t="shared" si="25"/>
        <v>230.58490916327381</v>
      </c>
      <c r="DU18" s="19">
        <f t="shared" si="25"/>
        <v>228.27906007164106</v>
      </c>
      <c r="DV18" s="19">
        <f t="shared" si="25"/>
        <v>225.99626947092463</v>
      </c>
      <c r="DW18" s="19">
        <f t="shared" si="25"/>
        <v>223.73630677621537</v>
      </c>
      <c r="DX18" s="19">
        <f t="shared" si="25"/>
        <v>221.49894370845323</v>
      </c>
      <c r="DY18" s="19">
        <f t="shared" si="25"/>
        <v>219.28395427136869</v>
      </c>
      <c r="DZ18" s="19">
        <f t="shared" si="25"/>
        <v>217.09111472865499</v>
      </c>
      <c r="EA18" s="19">
        <f t="shared" si="25"/>
        <v>214.92020358136844</v>
      </c>
      <c r="EB18" s="19">
        <f t="shared" si="25"/>
        <v>212.77100154555475</v>
      </c>
      <c r="EC18" s="19">
        <f t="shared" si="25"/>
        <v>210.64329153009919</v>
      </c>
      <c r="ED18" s="19">
        <f t="shared" si="25"/>
        <v>208.53685861479821</v>
      </c>
      <c r="EE18" s="19">
        <f t="shared" si="25"/>
        <v>206.45149002865023</v>
      </c>
      <c r="EF18" s="19">
        <f t="shared" si="25"/>
        <v>204.38697512836373</v>
      </c>
      <c r="EG18" s="19">
        <f t="shared" si="25"/>
        <v>202.34310537708009</v>
      </c>
      <c r="EH18" s="19">
        <f t="shared" si="25"/>
        <v>200.3196743233093</v>
      </c>
      <c r="EI18" s="19">
        <f t="shared" si="25"/>
        <v>198.3164775800762</v>
      </c>
      <c r="EJ18" s="19">
        <f t="shared" si="25"/>
        <v>196.33331280427544</v>
      </c>
      <c r="EK18" s="19">
        <f t="shared" si="25"/>
        <v>194.36997967623267</v>
      </c>
      <c r="EL18" s="19">
        <f t="shared" si="25"/>
        <v>192.42627987947034</v>
      </c>
      <c r="EM18" s="19">
        <f t="shared" si="25"/>
        <v>190.50201708067564</v>
      </c>
      <c r="EN18" s="19">
        <f t="shared" si="25"/>
        <v>188.59699690986889</v>
      </c>
      <c r="EO18" s="19">
        <f t="shared" si="25"/>
        <v>186.71102694077021</v>
      </c>
      <c r="EP18" s="19">
        <f t="shared" si="25"/>
        <v>184.84391667136251</v>
      </c>
      <c r="EQ18" s="19">
        <f t="shared" si="25"/>
        <v>182.99547750464887</v>
      </c>
    </row>
    <row r="19" spans="1:147" x14ac:dyDescent="0.25">
      <c r="A19" s="1" t="s">
        <v>203</v>
      </c>
      <c r="B19" s="85">
        <f>(B17-B4)/B17</f>
        <v>0.19739367632166618</v>
      </c>
      <c r="C19" s="2" t="s">
        <v>86</v>
      </c>
      <c r="D19" s="28">
        <v>19.07</v>
      </c>
      <c r="E19" s="28">
        <v>19.07</v>
      </c>
      <c r="F19" s="28">
        <v>19.07</v>
      </c>
      <c r="G19" s="28">
        <v>19.07</v>
      </c>
      <c r="H19" s="28">
        <v>19.07</v>
      </c>
      <c r="I19" s="28">
        <v>19.07</v>
      </c>
      <c r="J19" s="28">
        <v>19.07</v>
      </c>
      <c r="K19" s="20">
        <f t="shared" ref="K19:P19" si="26">(K18/K20)*$B$11</f>
        <v>17.171601615074024</v>
      </c>
      <c r="L19" s="20">
        <f t="shared" si="26"/>
        <v>24.779273216689099</v>
      </c>
      <c r="M19" s="20">
        <f t="shared" si="26"/>
        <v>37.386271870794076</v>
      </c>
      <c r="N19" s="20">
        <f t="shared" si="26"/>
        <v>29.778600269179005</v>
      </c>
      <c r="O19" s="20">
        <f t="shared" si="26"/>
        <v>20.866756393001346</v>
      </c>
      <c r="P19" s="20">
        <f t="shared" si="26"/>
        <v>29.778600269179005</v>
      </c>
      <c r="Q19" s="20">
        <f>(Q18/Q20)*$B$11</f>
        <v>56.079407806191121</v>
      </c>
      <c r="R19" s="20">
        <f>(R18/R20)*$B$11</f>
        <v>32.386944818304173</v>
      </c>
      <c r="S19" s="20">
        <f>(S18/S20)*$B$11</f>
        <v>28.03970390309556</v>
      </c>
      <c r="T19" s="20">
        <f>(T18/T20)*$B$11</f>
        <v>24.561911170928667</v>
      </c>
      <c r="U19" s="20">
        <f>(U18/U20)*$B$11</f>
        <v>31.95222072678331</v>
      </c>
      <c r="V19" s="20"/>
      <c r="Z19" s="17">
        <f t="shared" ref="Z19:AE19" si="27">(Z18*$B$11)/Z20</f>
        <v>28.257065948855992</v>
      </c>
      <c r="AA19" s="17">
        <f t="shared" si="27"/>
        <v>38.690444145356665</v>
      </c>
      <c r="AB19" s="17">
        <f t="shared" si="27"/>
        <v>11.520188425302825</v>
      </c>
      <c r="AC19" s="17">
        <f t="shared" si="27"/>
        <v>63.469717362045763</v>
      </c>
      <c r="AD19" s="17">
        <f t="shared" si="27"/>
        <v>106.29004037685061</v>
      </c>
      <c r="AE19" s="17">
        <f t="shared" si="27"/>
        <v>112.37617765814267</v>
      </c>
      <c r="AF19" s="17">
        <f t="shared" ref="AF19:AP19" si="28">(AF18*$B$11)/AF20</f>
        <v>146.28465679676987</v>
      </c>
      <c r="AG19" s="9">
        <f t="shared" si="28"/>
        <v>110.06540174966351</v>
      </c>
      <c r="AH19" s="17">
        <f t="shared" si="28"/>
        <v>107.03423585464334</v>
      </c>
      <c r="AI19" s="17">
        <f t="shared" si="28"/>
        <v>104.25351242207265</v>
      </c>
      <c r="AJ19" s="17">
        <f t="shared" si="28"/>
        <v>101.71466469553698</v>
      </c>
      <c r="AK19" s="17">
        <f t="shared" si="28"/>
        <v>103.65873834594258</v>
      </c>
      <c r="AL19" s="17">
        <f t="shared" si="28"/>
        <v>105.65932981299028</v>
      </c>
      <c r="AM19" s="17">
        <f t="shared" si="28"/>
        <v>107.7184873580519</v>
      </c>
      <c r="AN19" s="17">
        <f t="shared" si="28"/>
        <v>109.8383390484415</v>
      </c>
      <c r="AO19" s="17">
        <f t="shared" si="28"/>
        <v>112.02109592840732</v>
      </c>
      <c r="AP19" s="17">
        <f t="shared" si="28"/>
        <v>114.26905531675206</v>
      </c>
    </row>
    <row r="20" spans="1:147" x14ac:dyDescent="0.25">
      <c r="C20" s="2" t="s">
        <v>56</v>
      </c>
      <c r="D20" s="29">
        <v>44.58</v>
      </c>
      <c r="E20" s="29">
        <v>44.58</v>
      </c>
      <c r="F20" s="29">
        <v>44.58</v>
      </c>
      <c r="G20" s="29">
        <v>44.58</v>
      </c>
      <c r="H20" s="29">
        <v>44.58</v>
      </c>
      <c r="I20" s="29">
        <v>44.58</v>
      </c>
      <c r="J20" s="29">
        <v>44.58</v>
      </c>
      <c r="K20" s="2">
        <f>34+10.58</f>
        <v>44.58</v>
      </c>
      <c r="L20" s="2">
        <f>34+10.58</f>
        <v>44.58</v>
      </c>
      <c r="M20" s="2">
        <f>34+10.58</f>
        <v>44.58</v>
      </c>
      <c r="N20" s="2">
        <f>34+10.58</f>
        <v>44.58</v>
      </c>
      <c r="O20" s="2">
        <f>34+10.58</f>
        <v>44.58</v>
      </c>
      <c r="P20" s="29">
        <v>44.58</v>
      </c>
      <c r="Q20" s="29">
        <v>44.58</v>
      </c>
      <c r="R20" s="29">
        <v>44.58</v>
      </c>
      <c r="S20" s="29">
        <v>44.58</v>
      </c>
      <c r="T20" s="29">
        <v>44.58</v>
      </c>
      <c r="U20" s="29">
        <v>44.58</v>
      </c>
      <c r="V20" s="29"/>
      <c r="W20" s="29"/>
      <c r="X20" s="29"/>
      <c r="Z20" s="2">
        <f t="shared" ref="Z20:AE20" si="29">34+10.58</f>
        <v>44.58</v>
      </c>
      <c r="AA20" s="2">
        <f t="shared" si="29"/>
        <v>44.58</v>
      </c>
      <c r="AB20" s="2">
        <f t="shared" si="29"/>
        <v>44.58</v>
      </c>
      <c r="AC20" s="2">
        <f t="shared" si="29"/>
        <v>44.58</v>
      </c>
      <c r="AD20" s="2">
        <f t="shared" si="29"/>
        <v>44.58</v>
      </c>
      <c r="AE20" s="2">
        <f t="shared" si="29"/>
        <v>44.58</v>
      </c>
      <c r="AF20" s="2">
        <f t="shared" ref="AF20:AP20" si="30">34+10.58</f>
        <v>44.58</v>
      </c>
      <c r="AG20" s="4">
        <f t="shared" si="30"/>
        <v>44.58</v>
      </c>
      <c r="AH20" s="2">
        <f t="shared" si="30"/>
        <v>44.58</v>
      </c>
      <c r="AI20" s="2">
        <f t="shared" si="30"/>
        <v>44.58</v>
      </c>
      <c r="AJ20" s="2">
        <f t="shared" si="30"/>
        <v>44.58</v>
      </c>
      <c r="AK20" s="2">
        <f t="shared" si="30"/>
        <v>44.58</v>
      </c>
      <c r="AL20" s="2">
        <f t="shared" si="30"/>
        <v>44.58</v>
      </c>
      <c r="AM20" s="2">
        <f t="shared" si="30"/>
        <v>44.58</v>
      </c>
      <c r="AN20" s="2">
        <f t="shared" si="30"/>
        <v>44.58</v>
      </c>
      <c r="AO20" s="2">
        <f t="shared" si="30"/>
        <v>44.58</v>
      </c>
      <c r="AP20" s="2">
        <f t="shared" si="30"/>
        <v>44.58</v>
      </c>
      <c r="AR20" s="2" t="s">
        <v>124</v>
      </c>
      <c r="AS20" s="32">
        <v>0.08</v>
      </c>
    </row>
    <row r="21" spans="1:147" x14ac:dyDescent="0.25">
      <c r="A21" s="2" t="s">
        <v>204</v>
      </c>
      <c r="B21" s="4">
        <f>SOTP!G26*0.7</f>
        <v>1028.0569385729025</v>
      </c>
      <c r="AR21" s="2" t="s">
        <v>125</v>
      </c>
      <c r="AS21" s="32">
        <v>-0.01</v>
      </c>
    </row>
    <row r="22" spans="1:147" x14ac:dyDescent="0.25">
      <c r="C22" s="1" t="s">
        <v>29</v>
      </c>
      <c r="D22" s="10"/>
      <c r="H22" s="24">
        <f t="shared" ref="H22:N22" si="31">(H6-D6)/D6</f>
        <v>8.2987551867219914E-2</v>
      </c>
      <c r="I22" s="24">
        <f t="shared" si="31"/>
        <v>8.8235294117647065E-2</v>
      </c>
      <c r="J22" s="24">
        <f t="shared" si="31"/>
        <v>8.11965811965812E-2</v>
      </c>
      <c r="K22" s="24">
        <f t="shared" si="31"/>
        <v>3.6585365853658534E-2</v>
      </c>
      <c r="L22" s="24">
        <f t="shared" si="31"/>
        <v>1.1494252873563218E-2</v>
      </c>
      <c r="M22" s="24">
        <f t="shared" si="31"/>
        <v>0.16216216216216217</v>
      </c>
      <c r="N22" s="24">
        <f t="shared" si="31"/>
        <v>0.16600790513833993</v>
      </c>
      <c r="O22" s="24">
        <f t="shared" ref="O22:U22" si="32">(O6-K6)/K6</f>
        <v>9.0196078431372548E-2</v>
      </c>
      <c r="P22" s="24">
        <f t="shared" si="32"/>
        <v>0.12121212121212122</v>
      </c>
      <c r="Q22" s="24">
        <f t="shared" si="32"/>
        <v>4.3189368770764118E-2</v>
      </c>
      <c r="R22" s="24">
        <f t="shared" si="32"/>
        <v>5.0847457627118647E-2</v>
      </c>
      <c r="S22" s="24">
        <f t="shared" si="32"/>
        <v>0.11510791366906475</v>
      </c>
      <c r="T22" s="24">
        <f t="shared" si="32"/>
        <v>4.0540540540540543E-2</v>
      </c>
      <c r="U22" s="24">
        <f t="shared" si="32"/>
        <v>1.9108280254777069E-2</v>
      </c>
      <c r="V22" s="24"/>
      <c r="W22" s="24"/>
      <c r="X22" s="24"/>
      <c r="AA22" s="24">
        <f>(AA6-Z6)/Z6</f>
        <v>-4.4705882352941179E-2</v>
      </c>
      <c r="AB22" s="24">
        <f>(AB6-AA6)/AA6</f>
        <v>7.7586206896551727E-2</v>
      </c>
      <c r="AC22" s="24">
        <f>(AC6-AB6)/AB6</f>
        <v>9.4857142857142862E-2</v>
      </c>
      <c r="AD22" s="24">
        <f>(AD6-AC6)/AC6</f>
        <v>7.3068893528183715E-2</v>
      </c>
      <c r="AE22" s="24">
        <f>(AE6-AD6)/AD6</f>
        <v>0.10700389105058365</v>
      </c>
      <c r="AF22" s="24">
        <f t="shared" ref="AF22:AP22" si="33">(AF6-AE6)/AE6</f>
        <v>8.0843585237258347E-2</v>
      </c>
      <c r="AG22" s="23">
        <f t="shared" si="33"/>
        <v>3.3349593495934943E-2</v>
      </c>
      <c r="AH22" s="24">
        <f t="shared" si="33"/>
        <v>3.9999999999999959E-2</v>
      </c>
      <c r="AI22" s="24">
        <f t="shared" si="33"/>
        <v>4.0000000000000056E-2</v>
      </c>
      <c r="AJ22" s="24">
        <f t="shared" si="33"/>
        <v>4.0000000000000015E-2</v>
      </c>
      <c r="AK22" s="24">
        <f t="shared" si="33"/>
        <v>4.0000000000000022E-2</v>
      </c>
      <c r="AL22" s="24">
        <f t="shared" si="33"/>
        <v>4.0000000000000098E-2</v>
      </c>
      <c r="AM22" s="24">
        <f t="shared" si="33"/>
        <v>4.0000000000000029E-2</v>
      </c>
      <c r="AN22" s="24">
        <f t="shared" si="33"/>
        <v>4.0000000000000077E-2</v>
      </c>
      <c r="AO22" s="24">
        <f t="shared" si="33"/>
        <v>4.0000000000000036E-2</v>
      </c>
      <c r="AP22" s="24">
        <f t="shared" si="33"/>
        <v>4.0000000000000029E-2</v>
      </c>
      <c r="AR22" s="31" t="s">
        <v>126</v>
      </c>
      <c r="AS22" s="33">
        <f>NPV(AS20,AF18:EQ18)*B11</f>
        <v>59767.388262975772</v>
      </c>
    </row>
    <row r="23" spans="1:147" x14ac:dyDescent="0.25">
      <c r="A23" s="1" t="s">
        <v>205</v>
      </c>
      <c r="B23" s="23">
        <f>(B21-B4)/B4</f>
        <v>9.0198238147298493E-2</v>
      </c>
      <c r="C23" s="2" t="s">
        <v>30</v>
      </c>
      <c r="D23" s="21">
        <f>D11/D6</f>
        <v>0.11203319502074689</v>
      </c>
      <c r="E23" s="21">
        <f>E11/E6</f>
        <v>0.1134453781512605</v>
      </c>
      <c r="F23" s="21">
        <f>F11/F6</f>
        <v>0.10256410256410256</v>
      </c>
      <c r="G23" s="21">
        <f>G11/G6</f>
        <v>2.4390243902439025E-2</v>
      </c>
      <c r="H23" s="21">
        <f t="shared" ref="H23:N23" si="34">H11/H6</f>
        <v>9.5785440613026823E-2</v>
      </c>
      <c r="I23" s="21">
        <f t="shared" si="34"/>
        <v>9.6525096525096526E-2</v>
      </c>
      <c r="J23" s="21">
        <f t="shared" si="34"/>
        <v>8.3003952569169967E-2</v>
      </c>
      <c r="K23" s="21">
        <f t="shared" si="34"/>
        <v>6.2745098039215685E-2</v>
      </c>
      <c r="L23" s="21">
        <f t="shared" si="34"/>
        <v>8.3333333333333329E-2</v>
      </c>
      <c r="M23" s="21">
        <f t="shared" si="34"/>
        <v>9.9667774086378738E-2</v>
      </c>
      <c r="N23" s="21">
        <f t="shared" si="34"/>
        <v>7.4576271186440682E-2</v>
      </c>
      <c r="O23" s="21">
        <f t="shared" ref="O23:T23" si="35">O11/O6</f>
        <v>3.9568345323741004E-2</v>
      </c>
      <c r="P23" s="21">
        <f t="shared" si="35"/>
        <v>0.10472972972972973</v>
      </c>
      <c r="Q23" s="21">
        <f t="shared" si="35"/>
        <v>8.9171974522292988E-2</v>
      </c>
      <c r="R23" s="21">
        <f t="shared" si="35"/>
        <v>6.4516129032258063E-2</v>
      </c>
      <c r="S23" s="21">
        <f t="shared" si="35"/>
        <v>8.7096774193548387E-2</v>
      </c>
      <c r="T23" s="21">
        <f t="shared" si="35"/>
        <v>0.10714285714285714</v>
      </c>
      <c r="U23" s="21">
        <f t="shared" ref="U23" si="36">U11/U6</f>
        <v>0.12812499999999999</v>
      </c>
      <c r="V23" s="21"/>
      <c r="W23" s="21"/>
      <c r="X23" s="21"/>
      <c r="Z23" s="21">
        <f t="shared" ref="Z23:AE23" si="37">Z11/Z6</f>
        <v>9.1764705882352943E-2</v>
      </c>
      <c r="AA23" s="21">
        <f t="shared" si="37"/>
        <v>7.5123152709359611E-2</v>
      </c>
      <c r="AB23" s="21">
        <f t="shared" si="37"/>
        <v>8.3428571428571435E-2</v>
      </c>
      <c r="AC23" s="21">
        <f t="shared" si="37"/>
        <v>8.7682672233820466E-2</v>
      </c>
      <c r="AD23" s="21">
        <f t="shared" si="37"/>
        <v>8.6575875486381321E-2</v>
      </c>
      <c r="AE23" s="21">
        <f t="shared" si="37"/>
        <v>7.3813708260105443E-2</v>
      </c>
      <c r="AF23" s="21">
        <f t="shared" ref="AF23:AP23" si="38">AF11/AF6</f>
        <v>8.6178861788617889E-2</v>
      </c>
      <c r="AG23" s="22">
        <f t="shared" si="38"/>
        <v>0.10465610297241584</v>
      </c>
      <c r="AH23" s="21">
        <f t="shared" si="38"/>
        <v>0.10465610297241582</v>
      </c>
      <c r="AI23" s="21">
        <f t="shared" si="38"/>
        <v>0.10465610297241579</v>
      </c>
      <c r="AJ23" s="21">
        <f t="shared" si="38"/>
        <v>0.10465610297241577</v>
      </c>
      <c r="AK23" s="21">
        <f t="shared" si="38"/>
        <v>0.10465610297241577</v>
      </c>
      <c r="AL23" s="21">
        <f t="shared" si="38"/>
        <v>0.10465610297241582</v>
      </c>
      <c r="AM23" s="21">
        <f t="shared" si="38"/>
        <v>0.10465610297241579</v>
      </c>
      <c r="AN23" s="21">
        <f t="shared" si="38"/>
        <v>0.10465610297241579</v>
      </c>
      <c r="AO23" s="21">
        <f t="shared" si="38"/>
        <v>0.10465610297241584</v>
      </c>
      <c r="AP23" s="21">
        <f t="shared" si="38"/>
        <v>0.10465610297241587</v>
      </c>
      <c r="AR23" s="2" t="s">
        <v>2</v>
      </c>
      <c r="AS23" s="2">
        <f>34+10.58</f>
        <v>44.58</v>
      </c>
    </row>
    <row r="24" spans="1:147" x14ac:dyDescent="0.25"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Z24" s="21"/>
      <c r="AA24" s="21"/>
      <c r="AB24" s="21"/>
      <c r="AC24" s="21"/>
      <c r="AD24" s="21"/>
      <c r="AE24" s="21"/>
      <c r="AF24" s="21"/>
      <c r="AG24" s="22"/>
      <c r="AH24" s="21"/>
      <c r="AI24" s="21"/>
      <c r="AJ24" s="21"/>
      <c r="AK24" s="21"/>
      <c r="AL24" s="21"/>
      <c r="AM24" s="21"/>
      <c r="AN24" s="21"/>
      <c r="AO24" s="21"/>
      <c r="AP24" s="21"/>
      <c r="AR24" s="2" t="s">
        <v>127</v>
      </c>
      <c r="AS24" s="34">
        <f>AS22/AS23</f>
        <v>1340.6771705467872</v>
      </c>
    </row>
    <row r="25" spans="1:147" x14ac:dyDescent="0.25">
      <c r="C25" s="2" t="s">
        <v>130</v>
      </c>
      <c r="D25" s="2">
        <v>44</v>
      </c>
      <c r="E25" s="2">
        <v>39</v>
      </c>
      <c r="F25" s="2">
        <v>36</v>
      </c>
      <c r="G25" s="2">
        <v>34</v>
      </c>
      <c r="H25" s="2">
        <v>39</v>
      </c>
      <c r="I25" s="2">
        <v>39</v>
      </c>
      <c r="J25" s="2">
        <v>36</v>
      </c>
      <c r="K25" s="2">
        <v>33</v>
      </c>
      <c r="L25" s="2">
        <v>38</v>
      </c>
      <c r="M25" s="2">
        <v>46</v>
      </c>
      <c r="N25" s="2">
        <v>48</v>
      </c>
      <c r="O25" s="2">
        <v>42</v>
      </c>
      <c r="P25" s="2">
        <v>45</v>
      </c>
      <c r="Q25" s="2">
        <v>50</v>
      </c>
      <c r="R25" s="2">
        <v>42</v>
      </c>
      <c r="S25" s="2">
        <v>45</v>
      </c>
      <c r="T25" s="2">
        <v>50</v>
      </c>
      <c r="U25" s="2">
        <v>62</v>
      </c>
      <c r="Z25" s="2">
        <v>149</v>
      </c>
      <c r="AA25" s="2">
        <v>138</v>
      </c>
      <c r="AB25" s="2">
        <v>141</v>
      </c>
      <c r="AC25" s="2">
        <v>153</v>
      </c>
      <c r="AD25" s="2">
        <v>147</v>
      </c>
      <c r="AE25" s="2">
        <v>159</v>
      </c>
      <c r="AF25" s="2">
        <v>180</v>
      </c>
      <c r="AR25" s="2" t="s">
        <v>128</v>
      </c>
      <c r="AS25" s="36">
        <f>(AS24-B4)/B4</f>
        <v>0.42171492104643399</v>
      </c>
    </row>
    <row r="26" spans="1:147" s="61" customFormat="1" x14ac:dyDescent="0.25">
      <c r="B26" s="82"/>
      <c r="C26" s="61" t="s">
        <v>201</v>
      </c>
      <c r="D26" s="61">
        <f t="shared" ref="D26:T26" si="39">D25/D6</f>
        <v>0.18257261410788381</v>
      </c>
      <c r="E26" s="61">
        <f t="shared" si="39"/>
        <v>0.1638655462184874</v>
      </c>
      <c r="F26" s="61">
        <f t="shared" si="39"/>
        <v>0.15384615384615385</v>
      </c>
      <c r="G26" s="61">
        <f t="shared" si="39"/>
        <v>0.13821138211382114</v>
      </c>
      <c r="H26" s="61">
        <f t="shared" si="39"/>
        <v>0.14942528735632185</v>
      </c>
      <c r="I26" s="61">
        <f t="shared" si="39"/>
        <v>0.15057915057915058</v>
      </c>
      <c r="J26" s="61">
        <f t="shared" si="39"/>
        <v>0.14229249011857709</v>
      </c>
      <c r="K26" s="61">
        <f t="shared" si="39"/>
        <v>0.12941176470588237</v>
      </c>
      <c r="L26" s="61">
        <f t="shared" si="39"/>
        <v>0.14393939393939395</v>
      </c>
      <c r="M26" s="61">
        <f t="shared" si="39"/>
        <v>0.15282392026578073</v>
      </c>
      <c r="N26" s="61">
        <f t="shared" si="39"/>
        <v>0.16271186440677965</v>
      </c>
      <c r="O26" s="61">
        <f t="shared" si="39"/>
        <v>0.15107913669064749</v>
      </c>
      <c r="P26" s="61">
        <f t="shared" si="39"/>
        <v>0.15202702702702703</v>
      </c>
      <c r="Q26" s="61">
        <f t="shared" si="39"/>
        <v>0.15923566878980891</v>
      </c>
      <c r="R26" s="61">
        <f t="shared" si="39"/>
        <v>0.13548387096774195</v>
      </c>
      <c r="S26" s="61">
        <f t="shared" si="39"/>
        <v>0.14516129032258066</v>
      </c>
      <c r="T26" s="61">
        <f t="shared" si="39"/>
        <v>0.16233766233766234</v>
      </c>
      <c r="U26" s="61">
        <f>U25/U6</f>
        <v>0.19375000000000001</v>
      </c>
      <c r="Z26" s="61">
        <f t="shared" ref="Z26:AF26" si="40">Z25/Z6</f>
        <v>0.17529411764705882</v>
      </c>
      <c r="AA26" s="61">
        <f t="shared" si="40"/>
        <v>0.16995073891625614</v>
      </c>
      <c r="AB26" s="61">
        <f t="shared" si="40"/>
        <v>0.16114285714285714</v>
      </c>
      <c r="AC26" s="61">
        <f t="shared" si="40"/>
        <v>0.15970772442588727</v>
      </c>
      <c r="AD26" s="61">
        <f t="shared" si="40"/>
        <v>0.14299610894941633</v>
      </c>
      <c r="AE26" s="61">
        <f t="shared" si="40"/>
        <v>0.13971880492091387</v>
      </c>
      <c r="AF26" s="61">
        <f t="shared" si="40"/>
        <v>0.14634146341463414</v>
      </c>
      <c r="AG26" s="82"/>
    </row>
    <row r="27" spans="1:147" x14ac:dyDescent="0.25">
      <c r="C27" s="2" t="s">
        <v>200</v>
      </c>
      <c r="G27" s="2">
        <f t="shared" ref="G27:T27" si="41">SUM(D25:G25)</f>
        <v>153</v>
      </c>
      <c r="H27" s="2">
        <f t="shared" si="41"/>
        <v>148</v>
      </c>
      <c r="I27" s="2">
        <f t="shared" si="41"/>
        <v>148</v>
      </c>
      <c r="J27" s="2">
        <f t="shared" si="41"/>
        <v>148</v>
      </c>
      <c r="K27" s="2">
        <f t="shared" si="41"/>
        <v>147</v>
      </c>
      <c r="L27" s="2">
        <f t="shared" si="41"/>
        <v>146</v>
      </c>
      <c r="M27" s="2">
        <f t="shared" si="41"/>
        <v>153</v>
      </c>
      <c r="N27" s="2">
        <f t="shared" si="41"/>
        <v>165</v>
      </c>
      <c r="O27" s="2">
        <f t="shared" si="41"/>
        <v>174</v>
      </c>
      <c r="P27" s="2">
        <f t="shared" si="41"/>
        <v>181</v>
      </c>
      <c r="Q27" s="2">
        <f t="shared" si="41"/>
        <v>185</v>
      </c>
      <c r="R27" s="2">
        <f t="shared" si="41"/>
        <v>179</v>
      </c>
      <c r="S27" s="2">
        <f t="shared" si="41"/>
        <v>182</v>
      </c>
      <c r="T27" s="2">
        <f t="shared" si="41"/>
        <v>187</v>
      </c>
      <c r="U27" s="2">
        <f>SUM(R25:U25)</f>
        <v>199</v>
      </c>
    </row>
    <row r="29" spans="1:147" x14ac:dyDescent="0.25">
      <c r="C29" s="3" t="s">
        <v>113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147" x14ac:dyDescent="0.25">
      <c r="C30" s="2" t="s">
        <v>87</v>
      </c>
      <c r="D30" s="13">
        <v>58</v>
      </c>
      <c r="E30" s="13">
        <v>64</v>
      </c>
      <c r="F30" s="13">
        <v>63</v>
      </c>
      <c r="G30" s="13">
        <v>61</v>
      </c>
      <c r="H30" s="13">
        <v>64</v>
      </c>
      <c r="I30" s="13">
        <v>54</v>
      </c>
      <c r="J30" s="13">
        <v>54</v>
      </c>
      <c r="K30" s="13">
        <v>51</v>
      </c>
      <c r="L30" s="13">
        <v>52</v>
      </c>
      <c r="M30" s="13">
        <v>45</v>
      </c>
      <c r="N30" s="13">
        <v>39</v>
      </c>
      <c r="O30" s="13">
        <v>52</v>
      </c>
      <c r="P30" s="13">
        <v>45</v>
      </c>
      <c r="Q30" s="13">
        <v>43</v>
      </c>
      <c r="R30" s="13">
        <v>42</v>
      </c>
      <c r="S30" s="13">
        <v>39</v>
      </c>
      <c r="T30" s="13">
        <v>34</v>
      </c>
      <c r="U30" s="13">
        <v>27</v>
      </c>
      <c r="V30" s="13"/>
      <c r="W30" s="13"/>
      <c r="X30" s="13"/>
      <c r="Y30" s="13"/>
      <c r="Z30" s="13">
        <v>57</v>
      </c>
      <c r="AA30" s="13">
        <v>55</v>
      </c>
      <c r="AB30" s="13">
        <v>64</v>
      </c>
      <c r="AC30" s="13">
        <v>61</v>
      </c>
      <c r="AD30" s="13">
        <v>51</v>
      </c>
      <c r="AE30" s="13">
        <v>52</v>
      </c>
      <c r="AF30" s="13">
        <v>39</v>
      </c>
      <c r="AG30" s="14"/>
      <c r="AH30" s="13"/>
      <c r="AI30" s="13"/>
    </row>
    <row r="31" spans="1:147" x14ac:dyDescent="0.25">
      <c r="C31" s="2" t="s">
        <v>88</v>
      </c>
      <c r="D31" s="13">
        <v>137</v>
      </c>
      <c r="E31" s="13">
        <v>120</v>
      </c>
      <c r="F31" s="13">
        <v>111</v>
      </c>
      <c r="G31" s="13">
        <v>129</v>
      </c>
      <c r="H31" s="13">
        <v>132</v>
      </c>
      <c r="I31" s="13">
        <v>128</v>
      </c>
      <c r="J31" s="13">
        <v>126</v>
      </c>
      <c r="K31" s="13">
        <v>132</v>
      </c>
      <c r="L31" s="13">
        <v>124</v>
      </c>
      <c r="M31" s="13">
        <v>145</v>
      </c>
      <c r="N31" s="13">
        <v>145</v>
      </c>
      <c r="O31" s="13">
        <v>125</v>
      </c>
      <c r="P31" s="13">
        <v>126</v>
      </c>
      <c r="Q31" s="13">
        <v>129</v>
      </c>
      <c r="R31" s="13">
        <f>96+32</f>
        <v>128</v>
      </c>
      <c r="S31" s="13">
        <f>95+34</f>
        <v>129</v>
      </c>
      <c r="T31" s="13">
        <v>133</v>
      </c>
      <c r="U31" s="13">
        <v>141</v>
      </c>
      <c r="V31" s="13"/>
      <c r="W31" s="13"/>
      <c r="X31" s="13"/>
      <c r="Y31" s="13"/>
      <c r="Z31" s="13">
        <v>151</v>
      </c>
      <c r="AA31" s="13">
        <v>141</v>
      </c>
      <c r="AB31" s="13">
        <v>135</v>
      </c>
      <c r="AC31" s="13">
        <v>129</v>
      </c>
      <c r="AD31" s="13">
        <v>132</v>
      </c>
      <c r="AE31" s="13">
        <v>125</v>
      </c>
      <c r="AF31" s="13">
        <f>95+34</f>
        <v>129</v>
      </c>
      <c r="AG31" s="14"/>
      <c r="AH31" s="13"/>
      <c r="AI31" s="13"/>
    </row>
    <row r="32" spans="1:147" x14ac:dyDescent="0.25">
      <c r="C32" s="2" t="s">
        <v>89</v>
      </c>
      <c r="D32" s="13">
        <v>684</v>
      </c>
      <c r="E32" s="13">
        <v>617</v>
      </c>
      <c r="F32" s="13">
        <v>575</v>
      </c>
      <c r="G32" s="13">
        <v>623</v>
      </c>
      <c r="H32" s="13">
        <v>594</v>
      </c>
      <c r="I32" s="13">
        <v>584</v>
      </c>
      <c r="J32" s="13">
        <v>587</v>
      </c>
      <c r="K32" s="13">
        <v>623</v>
      </c>
      <c r="L32" s="13">
        <v>589</v>
      </c>
      <c r="M32" s="13">
        <v>596</v>
      </c>
      <c r="N32" s="13">
        <v>608</v>
      </c>
      <c r="O32" s="13">
        <v>571</v>
      </c>
      <c r="P32" s="13">
        <v>602</v>
      </c>
      <c r="Q32" s="13">
        <v>635</v>
      </c>
      <c r="R32" s="13">
        <v>647</v>
      </c>
      <c r="S32" s="13">
        <v>662</v>
      </c>
      <c r="T32" s="13">
        <v>685</v>
      </c>
      <c r="U32" s="13">
        <v>692</v>
      </c>
      <c r="V32" s="13"/>
      <c r="W32" s="13"/>
      <c r="X32" s="13"/>
      <c r="Y32" s="13"/>
      <c r="Z32" s="13">
        <v>555</v>
      </c>
      <c r="AA32" s="13">
        <v>560</v>
      </c>
      <c r="AB32" s="13">
        <v>542</v>
      </c>
      <c r="AC32" s="13">
        <v>623</v>
      </c>
      <c r="AD32" s="13">
        <v>623</v>
      </c>
      <c r="AE32" s="13">
        <v>571</v>
      </c>
      <c r="AF32" s="13">
        <v>662</v>
      </c>
      <c r="AG32" s="14"/>
      <c r="AH32" s="13"/>
      <c r="AI32" s="13"/>
    </row>
    <row r="33" spans="3:35" x14ac:dyDescent="0.25">
      <c r="C33" s="2" t="s">
        <v>90</v>
      </c>
      <c r="D33" s="13">
        <v>146</v>
      </c>
      <c r="E33" s="13">
        <v>100</v>
      </c>
      <c r="F33" s="13">
        <v>91</v>
      </c>
      <c r="G33" s="13">
        <v>102</v>
      </c>
      <c r="H33" s="13">
        <v>96</v>
      </c>
      <c r="I33" s="13">
        <v>95</v>
      </c>
      <c r="J33" s="13">
        <v>92</v>
      </c>
      <c r="K33" s="13">
        <v>112</v>
      </c>
      <c r="L33" s="13">
        <v>116</v>
      </c>
      <c r="M33" s="13">
        <v>114</v>
      </c>
      <c r="N33" s="13">
        <v>119</v>
      </c>
      <c r="O33" s="13">
        <v>121</v>
      </c>
      <c r="P33" s="13">
        <v>134</v>
      </c>
      <c r="Q33" s="13">
        <v>135</v>
      </c>
      <c r="R33" s="13">
        <v>142</v>
      </c>
      <c r="S33" s="13">
        <v>139</v>
      </c>
      <c r="T33" s="13">
        <v>140</v>
      </c>
      <c r="U33" s="13">
        <v>140</v>
      </c>
      <c r="V33" s="13"/>
      <c r="W33" s="13"/>
      <c r="X33" s="13"/>
      <c r="Y33" s="13"/>
      <c r="Z33" s="13">
        <v>173</v>
      </c>
      <c r="AA33" s="13">
        <v>177</v>
      </c>
      <c r="AB33" s="13">
        <v>155</v>
      </c>
      <c r="AC33" s="13">
        <v>102</v>
      </c>
      <c r="AD33" s="13">
        <v>112</v>
      </c>
      <c r="AE33" s="13">
        <v>121</v>
      </c>
      <c r="AF33" s="13">
        <v>139</v>
      </c>
      <c r="AG33" s="14"/>
      <c r="AH33" s="13"/>
      <c r="AI33" s="13"/>
    </row>
    <row r="34" spans="3:35" x14ac:dyDescent="0.25">
      <c r="C34" s="2" t="s">
        <v>167</v>
      </c>
      <c r="D34" s="13">
        <v>1154</v>
      </c>
      <c r="E34" s="13">
        <v>1156</v>
      </c>
      <c r="F34" s="13">
        <v>1228</v>
      </c>
      <c r="G34" s="13">
        <v>1342</v>
      </c>
      <c r="H34" s="13">
        <v>2040</v>
      </c>
      <c r="I34" s="13">
        <v>1783</v>
      </c>
      <c r="J34" s="13">
        <v>1888</v>
      </c>
      <c r="K34" s="13">
        <v>1877</v>
      </c>
      <c r="L34" s="13">
        <v>2306</v>
      </c>
      <c r="M34" s="13">
        <v>1911</v>
      </c>
      <c r="N34" s="13">
        <v>1958</v>
      </c>
      <c r="O34" s="13">
        <v>2001</v>
      </c>
      <c r="P34" s="13">
        <v>1965</v>
      </c>
      <c r="Q34" s="13">
        <v>2233</v>
      </c>
      <c r="R34" s="13">
        <v>2172</v>
      </c>
      <c r="S34" s="13">
        <v>2274</v>
      </c>
      <c r="T34" s="13">
        <v>2171</v>
      </c>
      <c r="U34" s="13">
        <v>2266</v>
      </c>
      <c r="V34" s="13"/>
      <c r="W34" s="13"/>
      <c r="X34" s="13"/>
      <c r="Y34" s="13"/>
      <c r="Z34" s="13">
        <v>1003</v>
      </c>
      <c r="AA34" s="13">
        <v>973</v>
      </c>
      <c r="AB34" s="13">
        <v>1093</v>
      </c>
      <c r="AC34" s="13">
        <v>1342</v>
      </c>
      <c r="AD34" s="13">
        <v>1877</v>
      </c>
      <c r="AE34" s="13">
        <v>2001</v>
      </c>
      <c r="AF34" s="13">
        <v>2274</v>
      </c>
      <c r="AG34" s="14"/>
      <c r="AH34" s="13"/>
      <c r="AI34" s="13"/>
    </row>
    <row r="35" spans="3:35" x14ac:dyDescent="0.25">
      <c r="C35" s="2" t="s">
        <v>91</v>
      </c>
      <c r="D35" s="13">
        <v>761</v>
      </c>
      <c r="E35" s="13">
        <v>640</v>
      </c>
      <c r="F35" s="13">
        <v>529</v>
      </c>
      <c r="G35" s="13">
        <v>613</v>
      </c>
      <c r="H35" s="13">
        <v>74</v>
      </c>
      <c r="I35" s="13">
        <v>75</v>
      </c>
      <c r="J35" s="13">
        <v>78</v>
      </c>
      <c r="K35" s="13">
        <v>87</v>
      </c>
      <c r="L35" s="13">
        <v>92</v>
      </c>
      <c r="M35" s="13">
        <v>109</v>
      </c>
      <c r="N35" s="13">
        <v>97</v>
      </c>
      <c r="O35" s="13">
        <v>86</v>
      </c>
      <c r="P35" s="13">
        <v>87</v>
      </c>
      <c r="Q35" s="13">
        <v>97</v>
      </c>
      <c r="R35" s="13">
        <v>118</v>
      </c>
      <c r="S35" s="13">
        <v>129</v>
      </c>
      <c r="T35" s="13">
        <v>133</v>
      </c>
      <c r="U35" s="13">
        <v>139</v>
      </c>
      <c r="V35" s="13"/>
      <c r="W35" s="13"/>
      <c r="X35" s="13"/>
      <c r="Y35" s="13"/>
      <c r="Z35" s="13">
        <v>675</v>
      </c>
      <c r="AA35" s="13">
        <v>801</v>
      </c>
      <c r="AB35" s="13">
        <v>688</v>
      </c>
      <c r="AC35" s="13">
        <v>613</v>
      </c>
      <c r="AD35" s="13">
        <v>87</v>
      </c>
      <c r="AE35" s="13">
        <v>86</v>
      </c>
      <c r="AF35" s="13">
        <v>129</v>
      </c>
      <c r="AG35" s="14"/>
      <c r="AH35" s="13"/>
      <c r="AI35" s="13"/>
    </row>
    <row r="36" spans="3:35" x14ac:dyDescent="0.25">
      <c r="C36" s="2" t="s">
        <v>92</v>
      </c>
      <c r="D36" s="13">
        <v>30</v>
      </c>
      <c r="E36" s="13">
        <v>25</v>
      </c>
      <c r="F36" s="13">
        <v>25</v>
      </c>
      <c r="G36" s="13">
        <v>28</v>
      </c>
      <c r="H36" s="13">
        <v>26</v>
      </c>
      <c r="I36" s="13">
        <v>28</v>
      </c>
      <c r="J36" s="13">
        <v>28</v>
      </c>
      <c r="K36" s="13">
        <v>42</v>
      </c>
      <c r="L36" s="13">
        <v>63</v>
      </c>
      <c r="M36" s="13">
        <v>32</v>
      </c>
      <c r="N36" s="13">
        <v>39</v>
      </c>
      <c r="O36" s="13">
        <v>39</v>
      </c>
      <c r="P36" s="13">
        <v>42</v>
      </c>
      <c r="Q36" s="13">
        <v>45</v>
      </c>
      <c r="R36" s="13">
        <v>22</v>
      </c>
      <c r="S36" s="13">
        <v>28</v>
      </c>
      <c r="T36" s="13">
        <v>30</v>
      </c>
      <c r="U36" s="13">
        <v>29</v>
      </c>
      <c r="V36" s="13"/>
      <c r="W36" s="13"/>
      <c r="X36" s="13"/>
      <c r="Y36" s="13"/>
      <c r="Z36" s="13">
        <v>25</v>
      </c>
      <c r="AA36" s="13">
        <v>28</v>
      </c>
      <c r="AB36" s="13">
        <v>25</v>
      </c>
      <c r="AC36" s="13">
        <v>28</v>
      </c>
      <c r="AD36" s="13">
        <v>42</v>
      </c>
      <c r="AE36" s="13">
        <v>39</v>
      </c>
      <c r="AF36" s="13">
        <v>28</v>
      </c>
      <c r="AG36" s="14"/>
      <c r="AH36" s="13"/>
      <c r="AI36" s="13"/>
    </row>
    <row r="37" spans="3:35" x14ac:dyDescent="0.25">
      <c r="C37" s="2" t="s">
        <v>93</v>
      </c>
      <c r="D37" s="13">
        <v>94</v>
      </c>
      <c r="E37" s="13">
        <v>93</v>
      </c>
      <c r="F37" s="13">
        <v>100</v>
      </c>
      <c r="G37" s="13">
        <v>114</v>
      </c>
      <c r="H37" s="13">
        <v>117</v>
      </c>
      <c r="I37" s="13">
        <v>118</v>
      </c>
      <c r="J37" s="13">
        <v>118</v>
      </c>
      <c r="K37" s="13">
        <v>121</v>
      </c>
      <c r="L37" s="13">
        <v>114</v>
      </c>
      <c r="M37" s="13">
        <v>108</v>
      </c>
      <c r="N37" s="13">
        <v>117</v>
      </c>
      <c r="O37" s="13">
        <v>119</v>
      </c>
      <c r="P37" s="13">
        <v>121</v>
      </c>
      <c r="Q37" s="13">
        <v>128</v>
      </c>
      <c r="R37" s="13">
        <v>131</v>
      </c>
      <c r="S37" s="13">
        <v>129</v>
      </c>
      <c r="T37" s="13">
        <v>128</v>
      </c>
      <c r="U37" s="13">
        <v>133</v>
      </c>
      <c r="V37" s="13"/>
      <c r="W37" s="13"/>
      <c r="X37" s="13"/>
      <c r="Y37" s="13"/>
      <c r="Z37" s="13">
        <v>82</v>
      </c>
      <c r="AA37" s="13">
        <v>84</v>
      </c>
      <c r="AB37" s="13">
        <v>93</v>
      </c>
      <c r="AC37" s="13">
        <v>114</v>
      </c>
      <c r="AD37" s="13">
        <v>121</v>
      </c>
      <c r="AE37" s="13">
        <v>119</v>
      </c>
      <c r="AF37" s="13">
        <v>129</v>
      </c>
      <c r="AG37" s="14"/>
      <c r="AH37" s="13"/>
      <c r="AI37" s="13"/>
    </row>
    <row r="38" spans="3:35" x14ac:dyDescent="0.25">
      <c r="C38" s="2" t="s">
        <v>94</v>
      </c>
      <c r="D38" s="13">
        <v>110</v>
      </c>
      <c r="E38" s="13">
        <v>95</v>
      </c>
      <c r="F38" s="13">
        <v>82</v>
      </c>
      <c r="G38" s="13">
        <v>104</v>
      </c>
      <c r="H38" s="13">
        <v>113</v>
      </c>
      <c r="I38" s="13">
        <v>114</v>
      </c>
      <c r="J38" s="13">
        <v>111</v>
      </c>
      <c r="K38" s="13">
        <v>124</v>
      </c>
      <c r="L38" s="13">
        <v>122</v>
      </c>
      <c r="M38" s="13">
        <v>130</v>
      </c>
      <c r="N38" s="13">
        <v>138</v>
      </c>
      <c r="O38" s="13">
        <v>121</v>
      </c>
      <c r="P38" s="13">
        <v>132</v>
      </c>
      <c r="Q38" s="13">
        <v>221</v>
      </c>
      <c r="R38" s="13">
        <v>310</v>
      </c>
      <c r="S38" s="13">
        <v>257</v>
      </c>
      <c r="T38" s="13">
        <v>309</v>
      </c>
      <c r="U38" s="13">
        <v>358</v>
      </c>
      <c r="V38" s="13"/>
      <c r="W38" s="13"/>
      <c r="X38" s="13"/>
      <c r="Y38" s="13"/>
      <c r="Z38" s="13">
        <v>102</v>
      </c>
      <c r="AA38" s="13">
        <v>124</v>
      </c>
      <c r="AB38" s="13">
        <v>135</v>
      </c>
      <c r="AC38" s="13">
        <v>104</v>
      </c>
      <c r="AD38" s="13">
        <v>124</v>
      </c>
      <c r="AE38" s="13">
        <v>121</v>
      </c>
      <c r="AF38" s="13">
        <v>257</v>
      </c>
      <c r="AG38" s="14"/>
      <c r="AH38" s="13"/>
      <c r="AI38" s="13"/>
    </row>
    <row r="39" spans="3:35" x14ac:dyDescent="0.25">
      <c r="C39" s="2" t="s">
        <v>95</v>
      </c>
      <c r="D39" s="13">
        <v>344</v>
      </c>
      <c r="E39" s="13">
        <v>319</v>
      </c>
      <c r="F39" s="13">
        <v>308</v>
      </c>
      <c r="G39" s="13">
        <v>349</v>
      </c>
      <c r="H39" s="13">
        <v>377</v>
      </c>
      <c r="I39" s="13">
        <v>398</v>
      </c>
      <c r="J39" s="13">
        <v>373</v>
      </c>
      <c r="K39" s="13">
        <v>342</v>
      </c>
      <c r="L39" s="13">
        <v>348</v>
      </c>
      <c r="M39" s="13">
        <v>447</v>
      </c>
      <c r="N39" s="13">
        <v>553</v>
      </c>
      <c r="O39" s="13">
        <v>368</v>
      </c>
      <c r="P39" s="13">
        <v>599</v>
      </c>
      <c r="Q39" s="13">
        <v>419</v>
      </c>
      <c r="R39" s="13">
        <v>428</v>
      </c>
      <c r="S39" s="13">
        <v>411</v>
      </c>
      <c r="T39" s="13">
        <v>454</v>
      </c>
      <c r="U39" s="13">
        <v>556</v>
      </c>
      <c r="V39" s="13"/>
      <c r="W39" s="13"/>
      <c r="X39" s="13"/>
      <c r="Y39" s="13"/>
      <c r="Z39" s="13">
        <v>317</v>
      </c>
      <c r="AA39" s="13">
        <v>274</v>
      </c>
      <c r="AB39" s="13">
        <v>287</v>
      </c>
      <c r="AC39" s="13">
        <v>349</v>
      </c>
      <c r="AD39" s="13">
        <v>342</v>
      </c>
      <c r="AE39" s="13">
        <v>368</v>
      </c>
      <c r="AF39" s="13">
        <v>411</v>
      </c>
      <c r="AG39" s="14"/>
      <c r="AH39" s="13"/>
      <c r="AI39" s="13"/>
    </row>
    <row r="40" spans="3:35" x14ac:dyDescent="0.25">
      <c r="C40" s="2" t="s">
        <v>96</v>
      </c>
      <c r="D40" s="13">
        <v>183</v>
      </c>
      <c r="E40" s="13">
        <v>163</v>
      </c>
      <c r="F40" s="13">
        <v>159</v>
      </c>
      <c r="G40" s="13">
        <v>163</v>
      </c>
      <c r="H40" s="13">
        <v>162</v>
      </c>
      <c r="I40" s="13">
        <v>179</v>
      </c>
      <c r="J40" s="13">
        <v>186</v>
      </c>
      <c r="K40" s="13">
        <v>224</v>
      </c>
      <c r="L40" s="13">
        <v>187</v>
      </c>
      <c r="M40" s="13">
        <v>177</v>
      </c>
      <c r="N40" s="13">
        <v>154</v>
      </c>
      <c r="O40" s="13">
        <v>155</v>
      </c>
      <c r="P40" s="13">
        <v>169</v>
      </c>
      <c r="Q40" s="13">
        <v>209</v>
      </c>
      <c r="R40" s="13">
        <v>303</v>
      </c>
      <c r="S40" s="13">
        <v>214</v>
      </c>
      <c r="T40" s="13">
        <v>280</v>
      </c>
      <c r="U40" s="13">
        <v>249</v>
      </c>
      <c r="V40" s="13"/>
      <c r="W40" s="13"/>
      <c r="X40" s="13"/>
      <c r="Y40" s="13"/>
      <c r="Z40" s="13">
        <v>153</v>
      </c>
      <c r="AA40" s="13">
        <v>269</v>
      </c>
      <c r="AB40" s="13">
        <v>231</v>
      </c>
      <c r="AC40" s="13">
        <v>163</v>
      </c>
      <c r="AD40" s="13">
        <v>224</v>
      </c>
      <c r="AE40" s="13">
        <v>155</v>
      </c>
      <c r="AF40" s="13">
        <v>214</v>
      </c>
      <c r="AG40" s="14"/>
      <c r="AH40" s="13"/>
      <c r="AI40" s="13"/>
    </row>
    <row r="41" spans="3:35" x14ac:dyDescent="0.25">
      <c r="C41" s="1" t="s">
        <v>97</v>
      </c>
      <c r="D41" s="16">
        <f t="shared" ref="D41:U41" si="42">SUM(D30:D40)</f>
        <v>3701</v>
      </c>
      <c r="E41" s="16">
        <f t="shared" si="42"/>
        <v>3392</v>
      </c>
      <c r="F41" s="16">
        <f t="shared" si="42"/>
        <v>3271</v>
      </c>
      <c r="G41" s="16">
        <f t="shared" si="42"/>
        <v>3628</v>
      </c>
      <c r="H41" s="16">
        <f t="shared" si="42"/>
        <v>3795</v>
      </c>
      <c r="I41" s="16">
        <f t="shared" si="42"/>
        <v>3556</v>
      </c>
      <c r="J41" s="16">
        <f t="shared" si="42"/>
        <v>3641</v>
      </c>
      <c r="K41" s="16">
        <f t="shared" si="42"/>
        <v>3735</v>
      </c>
      <c r="L41" s="16">
        <f t="shared" si="42"/>
        <v>4113</v>
      </c>
      <c r="M41" s="16">
        <f t="shared" si="42"/>
        <v>3814</v>
      </c>
      <c r="N41" s="16">
        <f t="shared" si="42"/>
        <v>3967</v>
      </c>
      <c r="O41" s="16">
        <f t="shared" si="42"/>
        <v>3758</v>
      </c>
      <c r="P41" s="16">
        <f t="shared" si="42"/>
        <v>4022</v>
      </c>
      <c r="Q41" s="16">
        <f t="shared" si="42"/>
        <v>4294</v>
      </c>
      <c r="R41" s="16">
        <f t="shared" si="42"/>
        <v>4443</v>
      </c>
      <c r="S41" s="16">
        <f t="shared" si="42"/>
        <v>4411</v>
      </c>
      <c r="T41" s="16">
        <f t="shared" si="42"/>
        <v>4497</v>
      </c>
      <c r="U41" s="16">
        <f t="shared" si="42"/>
        <v>4730</v>
      </c>
      <c r="V41" s="16"/>
      <c r="W41" s="16"/>
      <c r="X41" s="16"/>
      <c r="Y41" s="13"/>
      <c r="Z41" s="16">
        <f t="shared" ref="Z41:AB41" si="43">SUM(Z30:Z40)</f>
        <v>3293</v>
      </c>
      <c r="AA41" s="16">
        <f t="shared" si="43"/>
        <v>3486</v>
      </c>
      <c r="AB41" s="16">
        <f t="shared" si="43"/>
        <v>3448</v>
      </c>
      <c r="AC41" s="16">
        <f t="shared" ref="AC41" si="44">SUM(AC30:AC40)</f>
        <v>3628</v>
      </c>
      <c r="AD41" s="16">
        <f t="shared" ref="AD41" si="45">SUM(AD30:AD40)</f>
        <v>3735</v>
      </c>
      <c r="AE41" s="16">
        <f t="shared" ref="AE41" si="46">SUM(AE30:AE40)</f>
        <v>3758</v>
      </c>
      <c r="AF41" s="16">
        <f t="shared" ref="AF41" si="47">SUM(AF30:AF40)</f>
        <v>4411</v>
      </c>
      <c r="AG41" s="14"/>
      <c r="AH41" s="13"/>
      <c r="AI41" s="13"/>
    </row>
    <row r="42" spans="3:35" x14ac:dyDescent="0.25">
      <c r="C42" s="2" t="s">
        <v>98</v>
      </c>
      <c r="D42" s="13">
        <v>118</v>
      </c>
      <c r="E42" s="13">
        <v>118</v>
      </c>
      <c r="F42" s="13">
        <v>118</v>
      </c>
      <c r="G42" s="13">
        <v>118</v>
      </c>
      <c r="H42" s="13">
        <v>118</v>
      </c>
      <c r="I42" s="13">
        <v>118</v>
      </c>
      <c r="J42" s="13">
        <v>118</v>
      </c>
      <c r="K42" s="13">
        <v>118</v>
      </c>
      <c r="L42" s="13">
        <v>118</v>
      </c>
      <c r="M42" s="13">
        <v>118</v>
      </c>
      <c r="N42" s="13">
        <v>118</v>
      </c>
      <c r="O42" s="13">
        <v>118</v>
      </c>
      <c r="P42" s="13">
        <v>118</v>
      </c>
      <c r="Q42" s="13">
        <v>118</v>
      </c>
      <c r="R42" s="13">
        <v>115</v>
      </c>
      <c r="S42" s="13">
        <v>115</v>
      </c>
      <c r="T42" s="13">
        <v>115</v>
      </c>
      <c r="U42" s="13">
        <v>115</v>
      </c>
      <c r="V42" s="13"/>
      <c r="W42" s="13"/>
      <c r="X42" s="13"/>
      <c r="Y42" s="13"/>
      <c r="Z42" s="13">
        <v>118</v>
      </c>
      <c r="AA42" s="13">
        <v>122</v>
      </c>
      <c r="AB42" s="13">
        <v>118</v>
      </c>
      <c r="AC42" s="13">
        <v>118</v>
      </c>
      <c r="AD42" s="13">
        <v>118</v>
      </c>
      <c r="AE42" s="13">
        <v>118</v>
      </c>
      <c r="AF42" s="13">
        <v>115</v>
      </c>
      <c r="AG42" s="14"/>
      <c r="AH42" s="13"/>
      <c r="AI42" s="13"/>
    </row>
    <row r="43" spans="3:35" x14ac:dyDescent="0.25">
      <c r="C43" s="2" t="s">
        <v>99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-1</v>
      </c>
      <c r="J43" s="13">
        <v>-1</v>
      </c>
      <c r="K43" s="13">
        <v>-1</v>
      </c>
      <c r="L43" s="13">
        <v>-1</v>
      </c>
      <c r="M43" s="13">
        <v>-2</v>
      </c>
      <c r="N43" s="13">
        <v>-3</v>
      </c>
      <c r="O43" s="13">
        <v>-3</v>
      </c>
      <c r="P43" s="13">
        <v>-4</v>
      </c>
      <c r="Q43" s="13">
        <v>-5</v>
      </c>
      <c r="R43" s="13">
        <v>-1</v>
      </c>
      <c r="S43" s="13">
        <v>-1</v>
      </c>
      <c r="T43" s="13">
        <v>-1</v>
      </c>
      <c r="U43" s="13">
        <v>-2</v>
      </c>
      <c r="V43" s="13"/>
      <c r="W43" s="13"/>
      <c r="X43" s="13"/>
      <c r="Y43" s="13"/>
      <c r="Z43" s="13">
        <v>0</v>
      </c>
      <c r="AA43" s="13">
        <v>0</v>
      </c>
      <c r="AB43" s="13">
        <v>0</v>
      </c>
      <c r="AC43" s="13">
        <v>0</v>
      </c>
      <c r="AD43" s="13">
        <v>-1</v>
      </c>
      <c r="AE43" s="13">
        <v>-3</v>
      </c>
      <c r="AF43" s="13">
        <v>-1</v>
      </c>
      <c r="AG43" s="14"/>
      <c r="AH43" s="13"/>
      <c r="AI43" s="13"/>
    </row>
    <row r="44" spans="3:35" x14ac:dyDescent="0.25">
      <c r="C44" s="2" t="s">
        <v>100</v>
      </c>
      <c r="D44" s="13">
        <v>2033</v>
      </c>
      <c r="E44" s="13">
        <v>1917</v>
      </c>
      <c r="F44" s="13">
        <v>1850</v>
      </c>
      <c r="G44" s="13">
        <v>2094</v>
      </c>
      <c r="H44" s="13">
        <v>2222</v>
      </c>
      <c r="I44" s="13">
        <v>2083</v>
      </c>
      <c r="J44" s="13">
        <v>2192</v>
      </c>
      <c r="K44" s="13">
        <v>2215</v>
      </c>
      <c r="L44" s="13">
        <v>2618</v>
      </c>
      <c r="M44" s="13">
        <v>2385</v>
      </c>
      <c r="N44" s="13">
        <v>2527</v>
      </c>
      <c r="O44" s="13">
        <v>2465</v>
      </c>
      <c r="P44" s="13">
        <v>2654</v>
      </c>
      <c r="Q44" s="13">
        <v>2939</v>
      </c>
      <c r="R44" s="13">
        <v>3082</v>
      </c>
      <c r="S44" s="13">
        <v>3147</v>
      </c>
      <c r="T44" s="13">
        <v>3259</v>
      </c>
      <c r="U44" s="13">
        <v>3422</v>
      </c>
      <c r="V44" s="13"/>
      <c r="W44" s="13"/>
      <c r="X44" s="13"/>
      <c r="Y44" s="13"/>
      <c r="Z44" s="13">
        <v>1762</v>
      </c>
      <c r="AA44" s="13">
        <v>1886</v>
      </c>
      <c r="AB44" s="13">
        <v>1891</v>
      </c>
      <c r="AC44" s="13">
        <v>2094</v>
      </c>
      <c r="AD44" s="13">
        <v>2215</v>
      </c>
      <c r="AE44" s="13">
        <v>2465</v>
      </c>
      <c r="AF44" s="13">
        <v>3147</v>
      </c>
      <c r="AG44" s="14"/>
      <c r="AH44" s="13"/>
      <c r="AI44" s="13"/>
    </row>
    <row r="45" spans="3:35" x14ac:dyDescent="0.25">
      <c r="C45" s="2" t="s">
        <v>101</v>
      </c>
      <c r="D45" s="13">
        <v>243</v>
      </c>
      <c r="E45" s="13">
        <v>152</v>
      </c>
      <c r="F45" s="13">
        <v>125</v>
      </c>
      <c r="G45" s="13">
        <v>144</v>
      </c>
      <c r="H45" s="13">
        <v>155</v>
      </c>
      <c r="I45" s="13">
        <v>147</v>
      </c>
      <c r="J45" s="13">
        <v>148</v>
      </c>
      <c r="K45" s="13">
        <v>155</v>
      </c>
      <c r="L45" s="13">
        <v>155</v>
      </c>
      <c r="M45" s="13">
        <v>153</v>
      </c>
      <c r="N45" s="13">
        <v>165</v>
      </c>
      <c r="O45" s="13">
        <v>115</v>
      </c>
      <c r="P45" s="13">
        <v>123</v>
      </c>
      <c r="Q45" s="13">
        <v>138</v>
      </c>
      <c r="R45" s="13">
        <v>139</v>
      </c>
      <c r="S45" s="13">
        <v>14</v>
      </c>
      <c r="T45" s="13">
        <v>13</v>
      </c>
      <c r="U45" s="13">
        <v>13</v>
      </c>
      <c r="V45" s="13"/>
      <c r="W45" s="13"/>
      <c r="X45" s="13"/>
      <c r="Y45" s="13"/>
      <c r="Z45" s="13">
        <v>202</v>
      </c>
      <c r="AA45" s="13">
        <v>257</v>
      </c>
      <c r="AB45" s="13">
        <v>221</v>
      </c>
      <c r="AC45" s="13">
        <v>144</v>
      </c>
      <c r="AD45" s="13">
        <v>155</v>
      </c>
      <c r="AE45" s="13">
        <v>115</v>
      </c>
      <c r="AF45" s="13">
        <v>14</v>
      </c>
      <c r="AG45" s="14"/>
      <c r="AH45" s="13"/>
      <c r="AI45" s="13"/>
    </row>
    <row r="46" spans="3:35" x14ac:dyDescent="0.25">
      <c r="C46" s="11" t="s">
        <v>102</v>
      </c>
      <c r="D46" s="15">
        <f t="shared" ref="D46:U46" si="48">SUM(D42:D45)</f>
        <v>2394</v>
      </c>
      <c r="E46" s="15">
        <f t="shared" si="48"/>
        <v>2187</v>
      </c>
      <c r="F46" s="15">
        <f t="shared" si="48"/>
        <v>2093</v>
      </c>
      <c r="G46" s="15">
        <f t="shared" si="48"/>
        <v>2356</v>
      </c>
      <c r="H46" s="15">
        <f t="shared" si="48"/>
        <v>2495</v>
      </c>
      <c r="I46" s="15">
        <f t="shared" si="48"/>
        <v>2347</v>
      </c>
      <c r="J46" s="15">
        <f t="shared" si="48"/>
        <v>2457</v>
      </c>
      <c r="K46" s="15">
        <f t="shared" si="48"/>
        <v>2487</v>
      </c>
      <c r="L46" s="15">
        <f t="shared" si="48"/>
        <v>2890</v>
      </c>
      <c r="M46" s="15">
        <f t="shared" si="48"/>
        <v>2654</v>
      </c>
      <c r="N46" s="15">
        <f t="shared" si="48"/>
        <v>2807</v>
      </c>
      <c r="O46" s="15">
        <f t="shared" si="48"/>
        <v>2695</v>
      </c>
      <c r="P46" s="15">
        <f t="shared" si="48"/>
        <v>2891</v>
      </c>
      <c r="Q46" s="15">
        <f t="shared" si="48"/>
        <v>3190</v>
      </c>
      <c r="R46" s="15">
        <f t="shared" si="48"/>
        <v>3335</v>
      </c>
      <c r="S46" s="15">
        <f t="shared" si="48"/>
        <v>3275</v>
      </c>
      <c r="T46" s="15">
        <f t="shared" si="48"/>
        <v>3386</v>
      </c>
      <c r="U46" s="15">
        <f t="shared" si="48"/>
        <v>3548</v>
      </c>
      <c r="V46" s="15"/>
      <c r="W46" s="15"/>
      <c r="X46" s="15"/>
      <c r="Y46" s="13"/>
      <c r="Z46" s="15">
        <f t="shared" ref="Z46:AB46" si="49">SUM(Z42:Z45)</f>
        <v>2082</v>
      </c>
      <c r="AA46" s="15">
        <f t="shared" si="49"/>
        <v>2265</v>
      </c>
      <c r="AB46" s="15">
        <f t="shared" si="49"/>
        <v>2230</v>
      </c>
      <c r="AC46" s="15">
        <f t="shared" ref="AC46" si="50">SUM(AC42:AC45)</f>
        <v>2356</v>
      </c>
      <c r="AD46" s="15">
        <f t="shared" ref="AD46" si="51">SUM(AD42:AD45)</f>
        <v>2487</v>
      </c>
      <c r="AE46" s="15">
        <f t="shared" ref="AE46" si="52">SUM(AE42:AE45)</f>
        <v>2695</v>
      </c>
      <c r="AF46" s="15">
        <f t="shared" ref="AF46" si="53">SUM(AF42:AF45)</f>
        <v>3275</v>
      </c>
      <c r="AG46" s="14"/>
      <c r="AH46" s="13"/>
      <c r="AI46" s="13"/>
    </row>
    <row r="47" spans="3:35" x14ac:dyDescent="0.25">
      <c r="C47" s="2" t="s">
        <v>103</v>
      </c>
      <c r="D47" s="15">
        <v>26</v>
      </c>
      <c r="E47" s="13">
        <v>24</v>
      </c>
      <c r="F47" s="13">
        <v>20</v>
      </c>
      <c r="G47" s="13">
        <v>21</v>
      </c>
      <c r="H47" s="13">
        <v>21</v>
      </c>
      <c r="I47" s="13">
        <v>21</v>
      </c>
      <c r="J47" s="13">
        <v>21</v>
      </c>
      <c r="K47" s="13">
        <v>23</v>
      </c>
      <c r="L47" s="13">
        <v>23</v>
      </c>
      <c r="M47" s="13">
        <v>23</v>
      </c>
      <c r="N47" s="13">
        <v>23</v>
      </c>
      <c r="O47" s="13">
        <v>21</v>
      </c>
      <c r="P47" s="13">
        <v>22</v>
      </c>
      <c r="Q47" s="13">
        <v>23</v>
      </c>
      <c r="R47" s="13">
        <v>23</v>
      </c>
      <c r="S47" s="13">
        <v>22</v>
      </c>
      <c r="T47" s="13">
        <v>22</v>
      </c>
      <c r="U47" s="13">
        <v>22</v>
      </c>
      <c r="V47" s="13"/>
      <c r="W47" s="13"/>
      <c r="X47" s="13"/>
      <c r="Y47" s="13"/>
      <c r="Z47" s="13">
        <v>20</v>
      </c>
      <c r="AA47" s="13">
        <v>25</v>
      </c>
      <c r="AB47" s="13">
        <v>26</v>
      </c>
      <c r="AC47" s="13">
        <v>21</v>
      </c>
      <c r="AD47" s="13">
        <v>23</v>
      </c>
      <c r="AE47" s="13">
        <v>21</v>
      </c>
      <c r="AF47" s="13">
        <v>22</v>
      </c>
      <c r="AG47" s="14"/>
      <c r="AH47" s="13"/>
      <c r="AI47" s="13"/>
    </row>
    <row r="48" spans="3:35" x14ac:dyDescent="0.25">
      <c r="C48" s="2" t="s">
        <v>87</v>
      </c>
      <c r="D48" s="13">
        <v>11</v>
      </c>
      <c r="E48" s="13">
        <v>11</v>
      </c>
      <c r="F48" s="13">
        <v>10</v>
      </c>
      <c r="G48" s="13">
        <v>17</v>
      </c>
      <c r="H48" s="13">
        <v>19</v>
      </c>
      <c r="I48" s="13">
        <v>12</v>
      </c>
      <c r="J48" s="13">
        <v>12</v>
      </c>
      <c r="K48" s="13">
        <v>12</v>
      </c>
      <c r="L48" s="13">
        <v>11</v>
      </c>
      <c r="M48" s="13">
        <v>12</v>
      </c>
      <c r="N48" s="13">
        <v>13</v>
      </c>
      <c r="O48" s="13">
        <v>12</v>
      </c>
      <c r="P48" s="13">
        <v>10</v>
      </c>
      <c r="Q48" s="13">
        <v>11</v>
      </c>
      <c r="R48" s="13">
        <v>10</v>
      </c>
      <c r="S48" s="13">
        <v>10</v>
      </c>
      <c r="T48" s="13">
        <v>10</v>
      </c>
      <c r="U48" s="13">
        <v>8</v>
      </c>
      <c r="V48" s="13"/>
      <c r="W48" s="13"/>
      <c r="X48" s="13"/>
      <c r="Y48" s="13"/>
      <c r="Z48" s="13">
        <v>11</v>
      </c>
      <c r="AA48" s="13">
        <v>12</v>
      </c>
      <c r="AB48" s="13">
        <v>11</v>
      </c>
      <c r="AC48" s="13">
        <v>17</v>
      </c>
      <c r="AD48" s="13">
        <v>12</v>
      </c>
      <c r="AE48" s="13">
        <v>12</v>
      </c>
      <c r="AF48" s="13">
        <v>10</v>
      </c>
      <c r="AG48" s="14"/>
      <c r="AH48" s="13"/>
      <c r="AI48" s="13"/>
    </row>
    <row r="49" spans="3:35" x14ac:dyDescent="0.25">
      <c r="C49" s="2" t="s">
        <v>115</v>
      </c>
      <c r="D49" s="13">
        <v>302</v>
      </c>
      <c r="E49" s="13">
        <v>461</v>
      </c>
      <c r="F49" s="13">
        <v>424</v>
      </c>
      <c r="G49" s="13">
        <v>473</v>
      </c>
      <c r="H49" s="13">
        <v>459</v>
      </c>
      <c r="I49" s="13">
        <v>474</v>
      </c>
      <c r="J49" s="13">
        <v>464</v>
      </c>
      <c r="K49" s="13">
        <v>456</v>
      </c>
      <c r="L49" s="13">
        <v>418</v>
      </c>
      <c r="M49" s="13">
        <v>385</v>
      </c>
      <c r="N49" s="13">
        <v>386</v>
      </c>
      <c r="O49" s="13">
        <v>277</v>
      </c>
      <c r="P49" s="13">
        <v>287</v>
      </c>
      <c r="Q49" s="13">
        <v>279</v>
      </c>
      <c r="R49" s="13">
        <v>263</v>
      </c>
      <c r="S49" s="13">
        <v>253</v>
      </c>
      <c r="T49" s="13">
        <v>241</v>
      </c>
      <c r="U49" s="13">
        <v>234</v>
      </c>
      <c r="V49" s="13"/>
      <c r="W49" s="13"/>
      <c r="X49" s="13"/>
      <c r="Y49" s="13"/>
      <c r="Z49" s="13">
        <v>429</v>
      </c>
      <c r="AA49" s="13">
        <v>426</v>
      </c>
      <c r="AB49" s="13">
        <v>203</v>
      </c>
      <c r="AC49" s="13">
        <v>473</v>
      </c>
      <c r="AD49" s="13">
        <v>456</v>
      </c>
      <c r="AE49" s="13">
        <v>277</v>
      </c>
      <c r="AF49" s="13">
        <v>253</v>
      </c>
      <c r="AG49" s="14"/>
      <c r="AH49" s="13"/>
      <c r="AI49" s="13"/>
    </row>
    <row r="50" spans="3:35" x14ac:dyDescent="0.25">
      <c r="C50" s="2" t="s">
        <v>104</v>
      </c>
      <c r="D50" s="13">
        <v>131</v>
      </c>
      <c r="E50" s="13">
        <v>92</v>
      </c>
      <c r="F50" s="13">
        <v>82</v>
      </c>
      <c r="G50" s="13">
        <v>93</v>
      </c>
      <c r="H50" s="13">
        <v>86</v>
      </c>
      <c r="I50" s="13">
        <v>84</v>
      </c>
      <c r="J50" s="13">
        <v>81</v>
      </c>
      <c r="K50" s="13">
        <v>101</v>
      </c>
      <c r="L50" s="13">
        <v>102</v>
      </c>
      <c r="M50" s="13">
        <v>101</v>
      </c>
      <c r="N50" s="13">
        <v>106</v>
      </c>
      <c r="O50" s="13">
        <v>108</v>
      </c>
      <c r="P50" s="13">
        <v>116</v>
      </c>
      <c r="Q50" s="13">
        <v>116</v>
      </c>
      <c r="R50" s="13">
        <v>119</v>
      </c>
      <c r="S50" s="13">
        <v>114</v>
      </c>
      <c r="T50" s="13">
        <v>115</v>
      </c>
      <c r="U50" s="13">
        <v>116</v>
      </c>
      <c r="V50" s="13"/>
      <c r="W50" s="13"/>
      <c r="X50" s="13"/>
      <c r="Y50" s="13"/>
      <c r="Z50" s="13">
        <v>154</v>
      </c>
      <c r="AA50" s="13">
        <v>161</v>
      </c>
      <c r="AB50" s="13">
        <v>139</v>
      </c>
      <c r="AC50" s="13">
        <v>93</v>
      </c>
      <c r="AD50" s="13">
        <v>101</v>
      </c>
      <c r="AE50" s="13">
        <v>108</v>
      </c>
      <c r="AF50" s="13">
        <v>114</v>
      </c>
      <c r="AG50" s="14"/>
      <c r="AH50" s="13"/>
      <c r="AI50" s="13"/>
    </row>
    <row r="51" spans="3:35" x14ac:dyDescent="0.25">
      <c r="C51" s="2" t="s">
        <v>105</v>
      </c>
      <c r="D51" s="13">
        <v>17</v>
      </c>
      <c r="E51" s="13">
        <v>14</v>
      </c>
      <c r="F51" s="13">
        <v>13</v>
      </c>
      <c r="G51" s="13">
        <v>11</v>
      </c>
      <c r="H51" s="13">
        <v>12</v>
      </c>
      <c r="I51" s="13">
        <v>12</v>
      </c>
      <c r="J51" s="13">
        <v>11</v>
      </c>
      <c r="K51" s="13">
        <v>11</v>
      </c>
      <c r="L51" s="13">
        <v>10</v>
      </c>
      <c r="M51" s="13">
        <v>10</v>
      </c>
      <c r="N51" s="13">
        <v>9</v>
      </c>
      <c r="O51" s="13">
        <v>8</v>
      </c>
      <c r="P51" s="13">
        <v>8</v>
      </c>
      <c r="Q51" s="13">
        <v>8</v>
      </c>
      <c r="R51" s="13">
        <v>8</v>
      </c>
      <c r="S51" s="13">
        <v>8</v>
      </c>
      <c r="T51" s="13">
        <v>9</v>
      </c>
      <c r="U51" s="13">
        <v>8</v>
      </c>
      <c r="V51" s="13"/>
      <c r="W51" s="13"/>
      <c r="X51" s="13"/>
      <c r="Y51" s="13"/>
      <c r="Z51" s="13">
        <v>28</v>
      </c>
      <c r="AA51" s="13">
        <v>23</v>
      </c>
      <c r="AB51" s="13">
        <v>17</v>
      </c>
      <c r="AC51" s="13">
        <v>11</v>
      </c>
      <c r="AD51" s="13">
        <v>11</v>
      </c>
      <c r="AE51" s="13">
        <v>8</v>
      </c>
      <c r="AF51" s="13">
        <v>8</v>
      </c>
      <c r="AG51" s="14"/>
      <c r="AH51" s="13"/>
      <c r="AI51" s="13"/>
    </row>
    <row r="52" spans="3:35" x14ac:dyDescent="0.25">
      <c r="C52" s="2" t="s">
        <v>106</v>
      </c>
      <c r="D52" s="13">
        <v>13</v>
      </c>
      <c r="E52" s="13">
        <v>8</v>
      </c>
      <c r="F52" s="13">
        <v>10</v>
      </c>
      <c r="G52" s="13">
        <v>10</v>
      </c>
      <c r="H52" s="13">
        <v>15</v>
      </c>
      <c r="I52" s="13">
        <v>9</v>
      </c>
      <c r="J52" s="13">
        <v>8</v>
      </c>
      <c r="K52" s="13">
        <v>10</v>
      </c>
      <c r="L52" s="13">
        <v>11</v>
      </c>
      <c r="M52" s="13">
        <v>3</v>
      </c>
      <c r="N52" s="13">
        <v>0</v>
      </c>
      <c r="O52" s="13">
        <v>12</v>
      </c>
      <c r="P52" s="13">
        <v>10</v>
      </c>
      <c r="Q52" s="13">
        <v>6</v>
      </c>
      <c r="R52" s="13">
        <v>3</v>
      </c>
      <c r="S52" s="13">
        <v>18</v>
      </c>
      <c r="T52" s="13">
        <v>16</v>
      </c>
      <c r="U52" s="13">
        <v>12</v>
      </c>
      <c r="V52" s="13"/>
      <c r="W52" s="13"/>
      <c r="X52" s="13"/>
      <c r="Y52" s="13"/>
      <c r="Z52" s="13">
        <v>9</v>
      </c>
      <c r="AA52" s="13">
        <v>14</v>
      </c>
      <c r="AB52" s="13">
        <v>13</v>
      </c>
      <c r="AC52" s="13">
        <v>10</v>
      </c>
      <c r="AD52" s="13">
        <v>10</v>
      </c>
      <c r="AE52" s="13">
        <v>12</v>
      </c>
      <c r="AF52" s="13">
        <v>18</v>
      </c>
      <c r="AG52" s="14"/>
      <c r="AH52" s="13"/>
      <c r="AI52" s="13"/>
    </row>
    <row r="53" spans="3:35" x14ac:dyDescent="0.25">
      <c r="C53" s="2" t="s">
        <v>107</v>
      </c>
      <c r="D53" s="13">
        <v>11</v>
      </c>
      <c r="E53" s="13">
        <v>14</v>
      </c>
      <c r="F53" s="13">
        <v>8</v>
      </c>
      <c r="G53" s="13">
        <v>13</v>
      </c>
      <c r="H53" s="13">
        <v>16</v>
      </c>
      <c r="I53" s="13">
        <v>14</v>
      </c>
      <c r="J53" s="13">
        <v>13</v>
      </c>
      <c r="K53" s="13">
        <v>18</v>
      </c>
      <c r="L53" s="13">
        <v>17</v>
      </c>
      <c r="M53" s="13">
        <v>15</v>
      </c>
      <c r="N53" s="13">
        <v>15</v>
      </c>
      <c r="O53" s="13">
        <v>17</v>
      </c>
      <c r="P53" s="13">
        <v>19</v>
      </c>
      <c r="Q53" s="13">
        <v>16</v>
      </c>
      <c r="R53" s="13">
        <v>13</v>
      </c>
      <c r="S53" s="13">
        <v>16</v>
      </c>
      <c r="T53" s="13">
        <v>9</v>
      </c>
      <c r="U53" s="13">
        <v>10</v>
      </c>
      <c r="V53" s="13"/>
      <c r="W53" s="13"/>
      <c r="X53" s="13"/>
      <c r="Y53" s="13"/>
      <c r="Z53" s="13">
        <v>12</v>
      </c>
      <c r="AA53" s="13">
        <v>14</v>
      </c>
      <c r="AB53" s="13">
        <v>13</v>
      </c>
      <c r="AC53" s="13">
        <v>13</v>
      </c>
      <c r="AD53" s="13">
        <v>18</v>
      </c>
      <c r="AE53" s="13">
        <v>17</v>
      </c>
      <c r="AF53" s="13">
        <v>16</v>
      </c>
      <c r="AG53" s="14"/>
      <c r="AH53" s="13"/>
      <c r="AI53" s="13"/>
    </row>
    <row r="54" spans="3:35" x14ac:dyDescent="0.25">
      <c r="C54" s="2" t="s">
        <v>108</v>
      </c>
      <c r="D54" s="13">
        <v>263</v>
      </c>
      <c r="E54" s="13">
        <v>77</v>
      </c>
      <c r="F54" s="13">
        <v>71</v>
      </c>
      <c r="G54" s="13">
        <v>65</v>
      </c>
      <c r="H54" s="13">
        <v>97</v>
      </c>
      <c r="I54" s="13">
        <v>35</v>
      </c>
      <c r="J54" s="13">
        <v>19</v>
      </c>
      <c r="K54" s="13">
        <v>27</v>
      </c>
      <c r="L54" s="13">
        <v>33</v>
      </c>
      <c r="M54" s="13">
        <v>27</v>
      </c>
      <c r="N54" s="13">
        <v>42</v>
      </c>
      <c r="O54" s="13">
        <v>23</v>
      </c>
      <c r="P54" s="13">
        <v>48</v>
      </c>
      <c r="Q54" s="13">
        <v>30</v>
      </c>
      <c r="R54" s="13">
        <v>18</v>
      </c>
      <c r="S54" s="13">
        <v>27</v>
      </c>
      <c r="T54" s="13">
        <v>42</v>
      </c>
      <c r="U54" s="13">
        <v>46</v>
      </c>
      <c r="V54" s="13"/>
      <c r="W54" s="13"/>
      <c r="X54" s="13"/>
      <c r="Y54" s="13"/>
      <c r="Z54" s="13">
        <v>65</v>
      </c>
      <c r="AA54" s="13">
        <v>38</v>
      </c>
      <c r="AB54" s="13">
        <v>270</v>
      </c>
      <c r="AC54" s="13">
        <v>65</v>
      </c>
      <c r="AD54" s="13">
        <v>27</v>
      </c>
      <c r="AE54" s="13">
        <v>23</v>
      </c>
      <c r="AF54" s="13">
        <v>27</v>
      </c>
      <c r="AG54" s="14"/>
      <c r="AH54" s="13"/>
      <c r="AI54" s="13"/>
    </row>
    <row r="55" spans="3:35" x14ac:dyDescent="0.25">
      <c r="C55" s="2" t="s">
        <v>109</v>
      </c>
      <c r="D55" s="13">
        <v>29</v>
      </c>
      <c r="E55" s="13">
        <v>20</v>
      </c>
      <c r="F55" s="13">
        <v>19</v>
      </c>
      <c r="G55" s="13">
        <v>23</v>
      </c>
      <c r="H55" s="13">
        <v>22</v>
      </c>
      <c r="I55" s="13">
        <v>23</v>
      </c>
      <c r="J55" s="13">
        <v>23</v>
      </c>
      <c r="K55" s="13">
        <v>24</v>
      </c>
      <c r="L55" s="13">
        <v>25</v>
      </c>
      <c r="M55" s="13">
        <v>25</v>
      </c>
      <c r="N55" s="13">
        <v>26</v>
      </c>
      <c r="O55" s="13">
        <v>26</v>
      </c>
      <c r="P55" s="13">
        <v>29</v>
      </c>
      <c r="Q55" s="13">
        <v>29</v>
      </c>
      <c r="R55" s="13">
        <v>32</v>
      </c>
      <c r="S55" s="13">
        <v>32</v>
      </c>
      <c r="T55" s="13">
        <v>32</v>
      </c>
      <c r="U55" s="13">
        <v>30</v>
      </c>
      <c r="V55" s="13"/>
      <c r="W55" s="13"/>
      <c r="X55" s="13"/>
      <c r="Y55" s="13"/>
      <c r="Z55" s="13">
        <v>27</v>
      </c>
      <c r="AA55" s="13">
        <v>31</v>
      </c>
      <c r="AB55" s="13">
        <v>30</v>
      </c>
      <c r="AC55" s="13">
        <v>23</v>
      </c>
      <c r="AD55" s="13">
        <v>24</v>
      </c>
      <c r="AE55" s="13">
        <v>26</v>
      </c>
      <c r="AF55" s="13">
        <v>32</v>
      </c>
      <c r="AG55" s="14"/>
      <c r="AH55" s="13"/>
      <c r="AI55" s="13"/>
    </row>
    <row r="56" spans="3:35" x14ac:dyDescent="0.25">
      <c r="C56" s="2" t="s">
        <v>110</v>
      </c>
      <c r="D56" s="13">
        <v>506</v>
      </c>
      <c r="E56" s="13">
        <v>485</v>
      </c>
      <c r="F56" s="13">
        <v>522</v>
      </c>
      <c r="G56" s="13">
        <v>547</v>
      </c>
      <c r="H56" s="13">
        <v>552</v>
      </c>
      <c r="I56" s="13">
        <v>526</v>
      </c>
      <c r="J56" s="13">
        <v>533</v>
      </c>
      <c r="K56" s="13">
        <v>567</v>
      </c>
      <c r="L56" s="13">
        <v>574</v>
      </c>
      <c r="M56" s="13">
        <v>560</v>
      </c>
      <c r="N56" s="13">
        <v>542</v>
      </c>
      <c r="O56" s="13">
        <v>559</v>
      </c>
      <c r="P56" s="13">
        <v>582</v>
      </c>
      <c r="Q56" s="13">
        <v>587</v>
      </c>
      <c r="R56" s="13">
        <v>616</v>
      </c>
      <c r="S56" s="13">
        <v>635</v>
      </c>
      <c r="T56" s="13">
        <v>615</v>
      </c>
      <c r="U56" s="13">
        <v>696</v>
      </c>
      <c r="V56" s="13"/>
      <c r="W56" s="13"/>
      <c r="X56" s="13"/>
      <c r="Y56" s="13"/>
      <c r="Z56" s="13">
        <v>455</v>
      </c>
      <c r="AA56" s="13">
        <v>478</v>
      </c>
      <c r="AB56" s="13">
        <v>495</v>
      </c>
      <c r="AC56" s="13">
        <v>547</v>
      </c>
      <c r="AD56" s="13">
        <v>567</v>
      </c>
      <c r="AE56" s="13">
        <v>559</v>
      </c>
      <c r="AF56" s="13">
        <v>635</v>
      </c>
      <c r="AG56" s="14"/>
      <c r="AH56" s="13"/>
      <c r="AI56" s="13"/>
    </row>
    <row r="57" spans="3:35" x14ac:dyDescent="0.25">
      <c r="C57" s="11" t="s">
        <v>111</v>
      </c>
      <c r="D57" s="15">
        <f t="shared" ref="D57:P57" si="54">SUM(D47:D56)</f>
        <v>1309</v>
      </c>
      <c r="E57" s="15">
        <f t="shared" si="54"/>
        <v>1206</v>
      </c>
      <c r="F57" s="15">
        <f t="shared" si="54"/>
        <v>1179</v>
      </c>
      <c r="G57" s="15">
        <f t="shared" si="54"/>
        <v>1273</v>
      </c>
      <c r="H57" s="15">
        <f t="shared" si="54"/>
        <v>1299</v>
      </c>
      <c r="I57" s="15">
        <f t="shared" si="54"/>
        <v>1210</v>
      </c>
      <c r="J57" s="15">
        <f t="shared" si="54"/>
        <v>1185</v>
      </c>
      <c r="K57" s="15">
        <f t="shared" si="54"/>
        <v>1249</v>
      </c>
      <c r="L57" s="15">
        <f t="shared" si="54"/>
        <v>1224</v>
      </c>
      <c r="M57" s="15">
        <f t="shared" si="54"/>
        <v>1161</v>
      </c>
      <c r="N57" s="15">
        <f t="shared" si="54"/>
        <v>1162</v>
      </c>
      <c r="O57" s="15">
        <f t="shared" si="54"/>
        <v>1063</v>
      </c>
      <c r="P57" s="15">
        <f t="shared" si="54"/>
        <v>1131</v>
      </c>
      <c r="Q57" s="15">
        <f>SUM(Q47:Q56)</f>
        <v>1105</v>
      </c>
      <c r="R57" s="15">
        <f>SUM(R47:R56)</f>
        <v>1105</v>
      </c>
      <c r="S57" s="15">
        <f>SUM(S47:S56)</f>
        <v>1135</v>
      </c>
      <c r="T57" s="15">
        <f>SUM(T47:T56)</f>
        <v>1111</v>
      </c>
      <c r="U57" s="15">
        <f>SUM(U47:U56)</f>
        <v>1182</v>
      </c>
      <c r="V57" s="15"/>
      <c r="W57" s="15"/>
      <c r="X57" s="15"/>
      <c r="Y57" s="13"/>
      <c r="Z57" s="15">
        <f t="shared" ref="Z57:AB57" si="55">SUM(Z47:Z56)</f>
        <v>1210</v>
      </c>
      <c r="AA57" s="15">
        <f t="shared" si="55"/>
        <v>1222</v>
      </c>
      <c r="AB57" s="15">
        <f t="shared" si="55"/>
        <v>1217</v>
      </c>
      <c r="AC57" s="15">
        <f t="shared" ref="AC57" si="56">SUM(AC47:AC56)</f>
        <v>1273</v>
      </c>
      <c r="AD57" s="15">
        <f t="shared" ref="AD57" si="57">SUM(AD47:AD56)</f>
        <v>1249</v>
      </c>
      <c r="AE57" s="15">
        <f t="shared" ref="AE57" si="58">SUM(AE47:AE56)</f>
        <v>1063</v>
      </c>
      <c r="AF57" s="15">
        <f>SUM(AF47:AF56)</f>
        <v>1135</v>
      </c>
      <c r="AG57" s="14"/>
      <c r="AH57" s="13"/>
      <c r="AI57" s="13"/>
    </row>
    <row r="58" spans="3:35" x14ac:dyDescent="0.25">
      <c r="C58" s="1" t="s">
        <v>112</v>
      </c>
      <c r="D58" s="16">
        <f t="shared" ref="D58:P58" si="59">D46+D57</f>
        <v>3703</v>
      </c>
      <c r="E58" s="16">
        <f t="shared" si="59"/>
        <v>3393</v>
      </c>
      <c r="F58" s="16">
        <f t="shared" si="59"/>
        <v>3272</v>
      </c>
      <c r="G58" s="16">
        <f t="shared" si="59"/>
        <v>3629</v>
      </c>
      <c r="H58" s="16">
        <f t="shared" si="59"/>
        <v>3794</v>
      </c>
      <c r="I58" s="16">
        <f t="shared" si="59"/>
        <v>3557</v>
      </c>
      <c r="J58" s="16">
        <f t="shared" si="59"/>
        <v>3642</v>
      </c>
      <c r="K58" s="16">
        <f t="shared" si="59"/>
        <v>3736</v>
      </c>
      <c r="L58" s="16">
        <f t="shared" si="59"/>
        <v>4114</v>
      </c>
      <c r="M58" s="16">
        <f t="shared" si="59"/>
        <v>3815</v>
      </c>
      <c r="N58" s="16">
        <f t="shared" si="59"/>
        <v>3969</v>
      </c>
      <c r="O58" s="16">
        <f t="shared" si="59"/>
        <v>3758</v>
      </c>
      <c r="P58" s="16">
        <f t="shared" si="59"/>
        <v>4022</v>
      </c>
      <c r="Q58" s="16">
        <f>Q46+Q57</f>
        <v>4295</v>
      </c>
      <c r="R58" s="16">
        <f>R46+R57</f>
        <v>4440</v>
      </c>
      <c r="S58" s="16">
        <f>S46+S57</f>
        <v>4410</v>
      </c>
      <c r="T58" s="16">
        <f>T46+T57</f>
        <v>4497</v>
      </c>
      <c r="U58" s="16">
        <f>U46+U57</f>
        <v>4730</v>
      </c>
      <c r="V58" s="16"/>
      <c r="W58" s="16"/>
      <c r="X58" s="16"/>
      <c r="Y58" s="13"/>
      <c r="Z58" s="16">
        <f t="shared" ref="Z58:AB58" si="60">Z46+Z57</f>
        <v>3292</v>
      </c>
      <c r="AA58" s="16">
        <f t="shared" si="60"/>
        <v>3487</v>
      </c>
      <c r="AB58" s="16">
        <f t="shared" si="60"/>
        <v>3447</v>
      </c>
      <c r="AC58" s="16">
        <f t="shared" ref="AC58" si="61">AC46+AC57</f>
        <v>3629</v>
      </c>
      <c r="AD58" s="16">
        <f t="shared" ref="AD58" si="62">AD46+AD57</f>
        <v>3736</v>
      </c>
      <c r="AE58" s="16">
        <f t="shared" ref="AE58" si="63">AE46+AE57</f>
        <v>3758</v>
      </c>
      <c r="AF58" s="16">
        <f>AF46+AF57</f>
        <v>4410</v>
      </c>
      <c r="AG58" s="14"/>
      <c r="AH58" s="13"/>
      <c r="AI58" s="13"/>
    </row>
    <row r="59" spans="3:35" x14ac:dyDescent="0.25">
      <c r="D59" s="13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1"/>
    </row>
    <row r="60" spans="3:35" x14ac:dyDescent="0.25">
      <c r="C60" s="3" t="s">
        <v>114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3:35" x14ac:dyDescent="0.25">
      <c r="C61" s="2" t="s">
        <v>58</v>
      </c>
      <c r="D61" s="13">
        <f t="shared" ref="D61:N61" si="64">D16</f>
        <v>165</v>
      </c>
      <c r="E61" s="13">
        <f t="shared" si="64"/>
        <v>-45</v>
      </c>
      <c r="F61" s="13">
        <f t="shared" si="64"/>
        <v>-24</v>
      </c>
      <c r="G61" s="13">
        <f t="shared" si="64"/>
        <v>211</v>
      </c>
      <c r="H61" s="13">
        <f t="shared" si="64"/>
        <v>107</v>
      </c>
      <c r="I61" s="13">
        <f t="shared" si="64"/>
        <v>164</v>
      </c>
      <c r="J61" s="13">
        <f t="shared" si="64"/>
        <v>157</v>
      </c>
      <c r="K61" s="13">
        <f t="shared" si="64"/>
        <v>90</v>
      </c>
      <c r="L61" s="13">
        <f t="shared" si="64"/>
        <v>116</v>
      </c>
      <c r="M61" s="13">
        <f t="shared" si="64"/>
        <v>179</v>
      </c>
      <c r="N61" s="13">
        <f t="shared" si="64"/>
        <v>144</v>
      </c>
      <c r="O61" s="13">
        <f t="shared" ref="O61:U61" si="65">O16</f>
        <v>100</v>
      </c>
      <c r="P61" s="13">
        <f t="shared" si="65"/>
        <v>149</v>
      </c>
      <c r="Q61" s="13">
        <f t="shared" si="65"/>
        <v>266</v>
      </c>
      <c r="R61" s="13">
        <f t="shared" si="65"/>
        <v>152</v>
      </c>
      <c r="S61" s="13">
        <f t="shared" si="65"/>
        <v>154</v>
      </c>
      <c r="T61" s="13">
        <f t="shared" si="65"/>
        <v>120</v>
      </c>
      <c r="U61" s="13">
        <f t="shared" si="65"/>
        <v>160</v>
      </c>
      <c r="V61" s="13"/>
      <c r="W61" s="13"/>
      <c r="X61" s="13"/>
      <c r="Y61" s="13"/>
      <c r="Z61" s="13">
        <f t="shared" ref="Z61:AF61" si="66">Z16</f>
        <v>145</v>
      </c>
      <c r="AA61" s="13">
        <f t="shared" si="66"/>
        <v>205</v>
      </c>
      <c r="AB61" s="13">
        <f t="shared" si="66"/>
        <v>66</v>
      </c>
      <c r="AC61" s="13">
        <f t="shared" si="66"/>
        <v>305</v>
      </c>
      <c r="AD61" s="13">
        <f t="shared" si="66"/>
        <v>516</v>
      </c>
      <c r="AE61" s="13">
        <f t="shared" si="66"/>
        <v>537</v>
      </c>
      <c r="AF61" s="13">
        <f t="shared" si="66"/>
        <v>721</v>
      </c>
    </row>
    <row r="62" spans="3:35" x14ac:dyDescent="0.25">
      <c r="C62" s="2" t="s">
        <v>59</v>
      </c>
      <c r="D62" s="13">
        <v>165</v>
      </c>
      <c r="E62" s="13">
        <v>-39</v>
      </c>
      <c r="F62" s="13">
        <v>-26</v>
      </c>
      <c r="G62" s="13">
        <v>212</v>
      </c>
      <c r="H62" s="13">
        <v>107</v>
      </c>
      <c r="I62" s="13">
        <v>164</v>
      </c>
      <c r="J62" s="13">
        <v>153</v>
      </c>
      <c r="K62" s="13">
        <v>91</v>
      </c>
      <c r="L62" s="13">
        <v>116</v>
      </c>
      <c r="M62" s="13">
        <v>180</v>
      </c>
      <c r="N62" s="13">
        <v>144</v>
      </c>
      <c r="O62" s="2">
        <v>98</v>
      </c>
      <c r="P62" s="2">
        <v>150</v>
      </c>
      <c r="Q62" s="2">
        <v>266</v>
      </c>
      <c r="R62" s="2">
        <v>151</v>
      </c>
      <c r="S62" s="2">
        <v>154</v>
      </c>
      <c r="T62" s="2">
        <v>120</v>
      </c>
      <c r="U62" s="2">
        <v>160</v>
      </c>
      <c r="W62" s="13"/>
      <c r="X62" s="13"/>
      <c r="Z62" s="2">
        <v>144</v>
      </c>
      <c r="AA62" s="2">
        <v>205</v>
      </c>
      <c r="AB62" s="2">
        <v>66</v>
      </c>
      <c r="AC62" s="2">
        <v>306</v>
      </c>
      <c r="AD62" s="2">
        <v>515</v>
      </c>
      <c r="AE62" s="2">
        <v>538</v>
      </c>
      <c r="AF62" s="2">
        <v>721</v>
      </c>
    </row>
    <row r="63" spans="3:35" x14ac:dyDescent="0.25">
      <c r="C63" s="2" t="s">
        <v>60</v>
      </c>
      <c r="D63" s="13">
        <v>-64</v>
      </c>
      <c r="E63" s="13">
        <v>-45</v>
      </c>
      <c r="F63" s="13">
        <v>-87</v>
      </c>
      <c r="G63" s="13">
        <v>-100</v>
      </c>
      <c r="H63" s="13">
        <v>-83</v>
      </c>
      <c r="I63" s="13">
        <v>-141</v>
      </c>
      <c r="J63" s="13">
        <v>-138</v>
      </c>
      <c r="K63" s="13">
        <v>-68</v>
      </c>
      <c r="L63" s="13">
        <v>-92</v>
      </c>
      <c r="M63" s="13">
        <v>-146</v>
      </c>
      <c r="N63" s="13">
        <v>-118</v>
      </c>
      <c r="O63" s="2">
        <v>-116</v>
      </c>
      <c r="P63" s="2">
        <v>-121</v>
      </c>
      <c r="Q63" s="2">
        <v>-208</v>
      </c>
      <c r="R63" s="2">
        <v>-133</v>
      </c>
      <c r="S63" s="2">
        <v>-109</v>
      </c>
      <c r="T63" s="2">
        <v>-84</v>
      </c>
      <c r="U63" s="2">
        <v>-112</v>
      </c>
      <c r="W63" s="13"/>
      <c r="X63" s="13"/>
      <c r="Z63" s="2">
        <v>-49</v>
      </c>
      <c r="AA63" s="2">
        <v>50</v>
      </c>
      <c r="AB63" s="2">
        <v>-101</v>
      </c>
      <c r="AC63" s="2">
        <v>-296</v>
      </c>
      <c r="AD63" s="2">
        <v>-431</v>
      </c>
      <c r="AE63" s="2">
        <v>-472</v>
      </c>
      <c r="AF63" s="2">
        <v>-571</v>
      </c>
    </row>
    <row r="64" spans="3:35" x14ac:dyDescent="0.25">
      <c r="C64" s="2" t="s">
        <v>61</v>
      </c>
      <c r="D64" s="13">
        <v>-70</v>
      </c>
      <c r="E64" s="13">
        <v>92</v>
      </c>
      <c r="F64" s="13">
        <v>106</v>
      </c>
      <c r="G64" s="13">
        <v>-78</v>
      </c>
      <c r="H64" s="13">
        <v>-1</v>
      </c>
      <c r="I64" s="13">
        <v>-1</v>
      </c>
      <c r="J64" s="13">
        <v>-4</v>
      </c>
      <c r="K64" s="13">
        <v>-5</v>
      </c>
      <c r="L64" s="13">
        <v>-8</v>
      </c>
      <c r="M64" s="13">
        <v>-15</v>
      </c>
      <c r="N64" s="13">
        <v>-3</v>
      </c>
      <c r="O64" s="2">
        <v>-1</v>
      </c>
      <c r="P64" s="2">
        <v>7</v>
      </c>
      <c r="Q64" s="2">
        <v>-7</v>
      </c>
      <c r="R64" s="2">
        <v>3</v>
      </c>
      <c r="S64" s="2">
        <v>-12</v>
      </c>
      <c r="T64" s="2">
        <v>-1</v>
      </c>
      <c r="U64" s="2">
        <v>-4</v>
      </c>
      <c r="W64" s="13"/>
      <c r="X64" s="13"/>
      <c r="Z64" s="2">
        <v>-34</v>
      </c>
      <c r="AA64" s="2">
        <v>-192</v>
      </c>
      <c r="AB64" s="2">
        <v>107</v>
      </c>
      <c r="AC64" s="2">
        <v>50</v>
      </c>
      <c r="AD64" s="2">
        <v>-11</v>
      </c>
      <c r="AE64" s="2">
        <v>-27</v>
      </c>
      <c r="AF64" s="2">
        <v>-9</v>
      </c>
    </row>
    <row r="65" spans="3:32" x14ac:dyDescent="0.25">
      <c r="C65" s="2" t="s">
        <v>62</v>
      </c>
      <c r="D65" s="13">
        <v>-4</v>
      </c>
      <c r="E65" s="13">
        <v>25</v>
      </c>
      <c r="F65" s="13">
        <v>29</v>
      </c>
      <c r="G65" s="13">
        <v>-27</v>
      </c>
      <c r="H65" s="13">
        <v>2</v>
      </c>
      <c r="I65" s="13">
        <v>3</v>
      </c>
      <c r="J65" s="13">
        <v>11</v>
      </c>
      <c r="K65" s="13">
        <v>-1</v>
      </c>
      <c r="L65" s="13">
        <v>6</v>
      </c>
      <c r="M65" s="13">
        <v>12</v>
      </c>
      <c r="N65" s="13">
        <v>-1</v>
      </c>
      <c r="O65" s="2">
        <v>29</v>
      </c>
      <c r="P65" s="2">
        <v>-4</v>
      </c>
      <c r="Q65" s="2">
        <v>-23</v>
      </c>
      <c r="R65" s="2">
        <v>-2</v>
      </c>
      <c r="S65" s="2">
        <v>-6</v>
      </c>
      <c r="T65" s="2">
        <v>-2</v>
      </c>
      <c r="U65" s="2">
        <v>-3</v>
      </c>
      <c r="W65" s="13"/>
      <c r="X65" s="13"/>
      <c r="Z65" s="2">
        <v>17</v>
      </c>
      <c r="AA65" s="2">
        <v>-2</v>
      </c>
      <c r="AB65" s="2">
        <v>1</v>
      </c>
      <c r="AC65" s="2">
        <v>23</v>
      </c>
      <c r="AD65" s="2">
        <v>15</v>
      </c>
      <c r="AE65" s="2">
        <v>46</v>
      </c>
      <c r="AF65" s="2">
        <v>-35</v>
      </c>
    </row>
    <row r="66" spans="3:32" x14ac:dyDescent="0.25">
      <c r="C66" s="2" t="s">
        <v>47</v>
      </c>
      <c r="D66" s="13">
        <v>17</v>
      </c>
      <c r="E66" s="13">
        <v>12</v>
      </c>
      <c r="F66" s="13">
        <v>13</v>
      </c>
      <c r="G66" s="13">
        <v>27</v>
      </c>
      <c r="H66" s="13">
        <v>14</v>
      </c>
      <c r="I66" s="13">
        <v>14</v>
      </c>
      <c r="J66" s="13">
        <v>15</v>
      </c>
      <c r="K66" s="13">
        <v>16</v>
      </c>
      <c r="L66" s="13">
        <v>16</v>
      </c>
      <c r="M66" s="13">
        <v>16</v>
      </c>
      <c r="N66" s="13">
        <v>16</v>
      </c>
      <c r="O66" s="2">
        <v>26</v>
      </c>
      <c r="P66" s="2">
        <v>14</v>
      </c>
      <c r="Q66" s="2">
        <v>20</v>
      </c>
      <c r="R66" s="2">
        <v>22</v>
      </c>
      <c r="S66" s="2">
        <v>18</v>
      </c>
      <c r="T66" s="2">
        <v>19</v>
      </c>
      <c r="U66" s="2">
        <v>21</v>
      </c>
      <c r="W66" s="13"/>
      <c r="X66" s="13"/>
      <c r="Z66" s="2">
        <v>71</v>
      </c>
      <c r="AA66" s="2">
        <v>78</v>
      </c>
      <c r="AB66" s="2">
        <v>68</v>
      </c>
      <c r="AC66" s="2">
        <v>69</v>
      </c>
      <c r="AD66" s="2">
        <v>59</v>
      </c>
      <c r="AE66" s="2">
        <v>74</v>
      </c>
      <c r="AF66" s="2">
        <v>74</v>
      </c>
    </row>
    <row r="67" spans="3:32" x14ac:dyDescent="0.25">
      <c r="C67" s="2" t="s">
        <v>63</v>
      </c>
      <c r="D67" s="13">
        <v>-9</v>
      </c>
      <c r="E67" s="13">
        <v>1</v>
      </c>
      <c r="F67" s="13">
        <v>1</v>
      </c>
      <c r="G67" s="13">
        <v>-10</v>
      </c>
      <c r="H67" s="13">
        <v>1</v>
      </c>
      <c r="I67" s="13">
        <v>2</v>
      </c>
      <c r="J67" s="13">
        <v>1</v>
      </c>
      <c r="K67" s="13">
        <v>-5</v>
      </c>
      <c r="L67" s="13">
        <v>1</v>
      </c>
      <c r="M67" s="13">
        <v>0</v>
      </c>
      <c r="N67" s="13">
        <v>1</v>
      </c>
      <c r="O67" s="2">
        <v>-4</v>
      </c>
      <c r="P67" s="2">
        <v>1</v>
      </c>
      <c r="Q67" s="2">
        <v>2</v>
      </c>
      <c r="R67" s="2">
        <v>1</v>
      </c>
      <c r="S67" s="2">
        <v>0</v>
      </c>
      <c r="T67" s="2">
        <v>0</v>
      </c>
      <c r="U67" s="2">
        <v>-6</v>
      </c>
      <c r="W67" s="13"/>
      <c r="X67" s="13"/>
      <c r="Z67" s="2">
        <v>-8</v>
      </c>
      <c r="AA67" s="2">
        <v>-5</v>
      </c>
      <c r="AB67" s="2">
        <v>-2</v>
      </c>
      <c r="AC67" s="2">
        <v>-17</v>
      </c>
      <c r="AD67" s="2">
        <v>-1</v>
      </c>
      <c r="AE67" s="2">
        <v>-2</v>
      </c>
      <c r="AF67" s="2">
        <v>4</v>
      </c>
    </row>
    <row r="68" spans="3:32" x14ac:dyDescent="0.25">
      <c r="C68" s="2" t="s">
        <v>64</v>
      </c>
      <c r="D68" s="13">
        <f>-1-30</f>
        <v>-31</v>
      </c>
      <c r="E68" s="13">
        <f>-1-5-33</f>
        <v>-39</v>
      </c>
      <c r="F68" s="13">
        <f>-3-12+14</f>
        <v>-1</v>
      </c>
      <c r="G68" s="13">
        <f>1-2+13</f>
        <v>12</v>
      </c>
      <c r="H68" s="13">
        <f>-3+8</f>
        <v>5</v>
      </c>
      <c r="I68" s="13">
        <f>-3-13</f>
        <v>-16</v>
      </c>
      <c r="J68" s="13">
        <f>1-2+36</f>
        <v>35</v>
      </c>
      <c r="K68" s="13">
        <f>-1+1+44</f>
        <v>44</v>
      </c>
      <c r="L68" s="13">
        <f>3-4</f>
        <v>-1</v>
      </c>
      <c r="M68" s="13">
        <f>5-31</f>
        <v>-26</v>
      </c>
      <c r="N68" s="13">
        <f>-5+15</f>
        <v>10</v>
      </c>
      <c r="O68" s="2">
        <f>-10-14</f>
        <v>-24</v>
      </c>
      <c r="P68" s="2">
        <f>2-7</f>
        <v>-5</v>
      </c>
      <c r="Q68" s="2">
        <v>0</v>
      </c>
      <c r="R68" s="2">
        <f>-3+19</f>
        <v>16</v>
      </c>
      <c r="S68" s="2">
        <f>49</f>
        <v>49</v>
      </c>
      <c r="T68" s="2">
        <v>-52</v>
      </c>
      <c r="U68" s="2">
        <v>5</v>
      </c>
      <c r="W68" s="13"/>
      <c r="X68" s="13"/>
      <c r="Z68" s="2">
        <f>-6-9-19</f>
        <v>-34</v>
      </c>
      <c r="AA68" s="2">
        <f>1+70</f>
        <v>71</v>
      </c>
      <c r="AB68" s="2">
        <f>1-13+8</f>
        <v>-4</v>
      </c>
      <c r="AC68" s="2">
        <f>-2-21-31</f>
        <v>-54</v>
      </c>
      <c r="AD68" s="2">
        <f>1-7+75</f>
        <v>69</v>
      </c>
      <c r="AE68" s="2">
        <f>1-7-33</f>
        <v>-39</v>
      </c>
      <c r="AF68" s="2">
        <v>60</v>
      </c>
    </row>
    <row r="69" spans="3:32" x14ac:dyDescent="0.25">
      <c r="C69" s="2" t="s">
        <v>65</v>
      </c>
      <c r="D69" s="13">
        <v>-1</v>
      </c>
      <c r="E69" s="2">
        <v>-1</v>
      </c>
      <c r="F69" s="2">
        <v>-7</v>
      </c>
      <c r="G69" s="2">
        <v>-8</v>
      </c>
      <c r="H69" s="2">
        <v>-3</v>
      </c>
      <c r="I69" s="2">
        <v>-7</v>
      </c>
      <c r="J69" s="2">
        <v>-3</v>
      </c>
      <c r="K69" s="2">
        <v>-8</v>
      </c>
      <c r="L69" s="2">
        <v>-4</v>
      </c>
      <c r="M69" s="2">
        <v>-7</v>
      </c>
      <c r="N69" s="2">
        <v>-5</v>
      </c>
      <c r="O69" s="2">
        <v>-6</v>
      </c>
      <c r="P69" s="2">
        <v>-5</v>
      </c>
      <c r="Q69" s="2">
        <v>-8</v>
      </c>
      <c r="R69" s="2">
        <v>-4</v>
      </c>
      <c r="S69" s="2">
        <v>-8</v>
      </c>
      <c r="T69" s="2">
        <v>-5</v>
      </c>
      <c r="U69" s="2">
        <v>-11</v>
      </c>
      <c r="W69" s="13"/>
      <c r="X69" s="13"/>
      <c r="Z69" s="2">
        <v>-8</v>
      </c>
      <c r="AA69" s="2">
        <v>-9</v>
      </c>
      <c r="AB69" s="2">
        <v>-14</v>
      </c>
      <c r="AC69" s="2">
        <v>-17</v>
      </c>
      <c r="AD69" s="2">
        <v>-21</v>
      </c>
      <c r="AE69" s="2">
        <v>-22</v>
      </c>
      <c r="AF69" s="2">
        <v>-25</v>
      </c>
    </row>
    <row r="70" spans="3:32" x14ac:dyDescent="0.25">
      <c r="C70" s="1" t="s">
        <v>31</v>
      </c>
      <c r="D70" s="1">
        <f t="shared" ref="D70:N70" si="67">SUM(D62:D69)</f>
        <v>3</v>
      </c>
      <c r="E70" s="1">
        <f t="shared" si="67"/>
        <v>6</v>
      </c>
      <c r="F70" s="1">
        <f t="shared" si="67"/>
        <v>28</v>
      </c>
      <c r="G70" s="1">
        <f t="shared" si="67"/>
        <v>28</v>
      </c>
      <c r="H70" s="1">
        <f t="shared" si="67"/>
        <v>42</v>
      </c>
      <c r="I70" s="1">
        <f t="shared" si="67"/>
        <v>18</v>
      </c>
      <c r="J70" s="1">
        <f t="shared" si="67"/>
        <v>70</v>
      </c>
      <c r="K70" s="1">
        <f t="shared" si="67"/>
        <v>64</v>
      </c>
      <c r="L70" s="1">
        <f t="shared" si="67"/>
        <v>34</v>
      </c>
      <c r="M70" s="1">
        <f t="shared" si="67"/>
        <v>14</v>
      </c>
      <c r="N70" s="1">
        <f t="shared" si="67"/>
        <v>44</v>
      </c>
      <c r="O70" s="1">
        <f>SUM(O62:O69)</f>
        <v>2</v>
      </c>
      <c r="P70" s="1">
        <f>SUM(P62:P69)</f>
        <v>37</v>
      </c>
      <c r="Q70" s="1">
        <f>SUM(Q62:Q69)</f>
        <v>42</v>
      </c>
      <c r="R70" s="1">
        <f>SUM(R62:R69)</f>
        <v>54</v>
      </c>
      <c r="S70" s="1">
        <f>SUM(S62:S69)</f>
        <v>86</v>
      </c>
      <c r="T70" s="1">
        <f t="shared" ref="T70:U70" si="68">SUM(T62:T69)</f>
        <v>-5</v>
      </c>
      <c r="U70" s="1">
        <f t="shared" si="68"/>
        <v>50</v>
      </c>
      <c r="V70" s="1"/>
      <c r="W70" s="13"/>
      <c r="X70" s="13"/>
      <c r="Y70" s="1"/>
      <c r="Z70" s="1">
        <f t="shared" ref="Z70:AF70" si="69">SUM(Z62:Z69)</f>
        <v>99</v>
      </c>
      <c r="AA70" s="1">
        <f t="shared" si="69"/>
        <v>196</v>
      </c>
      <c r="AB70" s="1">
        <f t="shared" si="69"/>
        <v>121</v>
      </c>
      <c r="AC70" s="1">
        <f t="shared" si="69"/>
        <v>64</v>
      </c>
      <c r="AD70" s="1">
        <f t="shared" si="69"/>
        <v>194</v>
      </c>
      <c r="AE70" s="1">
        <f t="shared" si="69"/>
        <v>96</v>
      </c>
      <c r="AF70" s="1">
        <f t="shared" si="69"/>
        <v>219</v>
      </c>
    </row>
    <row r="71" spans="3:32" x14ac:dyDescent="0.25">
      <c r="W71" s="13"/>
      <c r="X71" s="13"/>
    </row>
    <row r="72" spans="3:32" x14ac:dyDescent="0.25">
      <c r="C72" s="2" t="s">
        <v>66</v>
      </c>
      <c r="D72" s="2">
        <v>1</v>
      </c>
      <c r="E72" s="2">
        <v>24</v>
      </c>
      <c r="F72" s="2">
        <v>1</v>
      </c>
      <c r="G72" s="2">
        <v>10</v>
      </c>
      <c r="H72" s="2">
        <v>0</v>
      </c>
      <c r="I72" s="2">
        <v>89</v>
      </c>
      <c r="J72" s="2">
        <v>3</v>
      </c>
      <c r="K72" s="2">
        <v>59</v>
      </c>
      <c r="L72" s="2">
        <v>2</v>
      </c>
      <c r="M72" s="2">
        <v>132</v>
      </c>
      <c r="N72" s="2">
        <v>2</v>
      </c>
      <c r="O72" s="2">
        <v>175</v>
      </c>
      <c r="P72" s="2">
        <v>3</v>
      </c>
      <c r="Q72" s="2">
        <v>229</v>
      </c>
      <c r="R72" s="2">
        <v>177</v>
      </c>
      <c r="S72" s="2">
        <v>2</v>
      </c>
      <c r="T72" s="2">
        <v>164</v>
      </c>
      <c r="U72" s="2">
        <v>174</v>
      </c>
      <c r="W72" s="13"/>
      <c r="X72" s="13"/>
      <c r="Z72" s="2">
        <v>33</v>
      </c>
      <c r="AA72" s="2">
        <v>21</v>
      </c>
      <c r="AB72" s="2">
        <v>13</v>
      </c>
      <c r="AC72" s="2">
        <v>37</v>
      </c>
      <c r="AD72" s="2">
        <v>170</v>
      </c>
      <c r="AE72" s="2">
        <v>311</v>
      </c>
      <c r="AF72" s="2">
        <v>411</v>
      </c>
    </row>
    <row r="73" spans="3:32" x14ac:dyDescent="0.25">
      <c r="C73" s="2" t="s">
        <v>67</v>
      </c>
      <c r="D73" s="2">
        <v>1</v>
      </c>
      <c r="E73" s="2">
        <v>0</v>
      </c>
      <c r="F73" s="2">
        <v>0</v>
      </c>
      <c r="G73" s="2">
        <v>26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W73" s="13"/>
      <c r="X73" s="13"/>
      <c r="Z73" s="2">
        <v>17</v>
      </c>
      <c r="AA73" s="2">
        <v>7</v>
      </c>
      <c r="AB73" s="2">
        <v>26</v>
      </c>
      <c r="AC73" s="2">
        <v>27</v>
      </c>
      <c r="AD73" s="2">
        <v>2</v>
      </c>
      <c r="AE73" s="2">
        <v>1</v>
      </c>
      <c r="AF73" s="2">
        <v>0</v>
      </c>
    </row>
    <row r="74" spans="3:32" x14ac:dyDescent="0.25">
      <c r="C74" s="2" t="s">
        <v>68</v>
      </c>
      <c r="D74" s="2">
        <v>-9</v>
      </c>
      <c r="E74" s="2">
        <v>-6</v>
      </c>
      <c r="F74" s="2">
        <v>-12</v>
      </c>
      <c r="G74" s="2">
        <v>-23</v>
      </c>
      <c r="H74" s="2">
        <v>-8</v>
      </c>
      <c r="I74" s="2">
        <v>-11</v>
      </c>
      <c r="J74" s="2">
        <v>-11</v>
      </c>
      <c r="K74" s="2">
        <v>-13</v>
      </c>
      <c r="L74" s="2">
        <v>-9</v>
      </c>
      <c r="M74" s="2">
        <v>-13</v>
      </c>
      <c r="N74" s="2">
        <v>-8</v>
      </c>
      <c r="O74" s="2">
        <v>-9</v>
      </c>
      <c r="P74" s="2">
        <v>-10</v>
      </c>
      <c r="Q74" s="2">
        <v>-15</v>
      </c>
      <c r="R74" s="2">
        <v>-20</v>
      </c>
      <c r="S74" s="2">
        <v>-30</v>
      </c>
      <c r="T74" s="2">
        <v>-19</v>
      </c>
      <c r="U74" s="2">
        <v>-34</v>
      </c>
      <c r="W74" s="13"/>
      <c r="X74" s="13"/>
      <c r="Z74" s="2">
        <v>-40</v>
      </c>
      <c r="AA74" s="2">
        <v>-37</v>
      </c>
      <c r="AB74" s="2">
        <v>-45</v>
      </c>
      <c r="AC74" s="2">
        <v>-49</v>
      </c>
      <c r="AD74" s="2">
        <v>-43</v>
      </c>
      <c r="AE74" s="2">
        <v>-40</v>
      </c>
      <c r="AF74" s="2">
        <v>-75</v>
      </c>
    </row>
    <row r="75" spans="3:32" x14ac:dyDescent="0.25">
      <c r="C75" s="2" t="s">
        <v>69</v>
      </c>
      <c r="D75" s="2">
        <v>-48</v>
      </c>
      <c r="E75" s="2">
        <v>0</v>
      </c>
      <c r="F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  <c r="N75" s="2">
        <v>0</v>
      </c>
      <c r="O75" s="2">
        <v>7</v>
      </c>
      <c r="P75" s="2">
        <v>0</v>
      </c>
      <c r="Q75" s="2">
        <v>0</v>
      </c>
      <c r="R75" s="2">
        <v>0</v>
      </c>
      <c r="S75" s="2">
        <v>0</v>
      </c>
      <c r="T75" s="2">
        <v>-1</v>
      </c>
      <c r="U75" s="2">
        <v>0</v>
      </c>
      <c r="W75" s="13"/>
      <c r="X75" s="13"/>
      <c r="Z75" s="2">
        <v>3</v>
      </c>
      <c r="AA75" s="2">
        <v>0</v>
      </c>
      <c r="AB75" s="2">
        <v>0</v>
      </c>
      <c r="AC75" s="2">
        <v>-37</v>
      </c>
      <c r="AD75" s="2">
        <v>0</v>
      </c>
      <c r="AE75" s="2">
        <v>9</v>
      </c>
      <c r="AF75" s="2">
        <v>0</v>
      </c>
    </row>
    <row r="76" spans="3:32" x14ac:dyDescent="0.25">
      <c r="C76" s="2" t="s">
        <v>70</v>
      </c>
      <c r="D76" s="2">
        <v>0</v>
      </c>
      <c r="E76" s="2">
        <v>0</v>
      </c>
      <c r="F76" s="2">
        <v>-4</v>
      </c>
      <c r="G76" s="2">
        <v>-4</v>
      </c>
      <c r="H76" s="2">
        <v>-44</v>
      </c>
      <c r="I76" s="2">
        <v>0</v>
      </c>
      <c r="J76" s="2">
        <v>-4</v>
      </c>
      <c r="K76" s="2">
        <v>-2</v>
      </c>
      <c r="L76" s="2">
        <v>-24</v>
      </c>
      <c r="M76" s="2">
        <v>-27</v>
      </c>
      <c r="N76" s="2">
        <v>0</v>
      </c>
      <c r="O76" s="2">
        <v>-3</v>
      </c>
      <c r="P76" s="2">
        <v>-16</v>
      </c>
      <c r="Q76" s="2">
        <v>-30</v>
      </c>
      <c r="R76" s="2">
        <v>5</v>
      </c>
      <c r="S76" s="2">
        <v>-12</v>
      </c>
      <c r="T76" s="2">
        <v>-1</v>
      </c>
      <c r="U76" s="2">
        <v>0</v>
      </c>
      <c r="W76" s="13"/>
      <c r="X76" s="13"/>
      <c r="Z76" s="2">
        <v>34</v>
      </c>
      <c r="AA76" s="2">
        <v>0</v>
      </c>
      <c r="AB76" s="2">
        <v>-36</v>
      </c>
      <c r="AC76" s="2">
        <v>-18</v>
      </c>
      <c r="AD76" s="2">
        <v>-50</v>
      </c>
      <c r="AE76" s="2">
        <v>-55</v>
      </c>
      <c r="AF76" s="2">
        <v>-53</v>
      </c>
    </row>
    <row r="77" spans="3:32" x14ac:dyDescent="0.25">
      <c r="C77" s="2" t="s">
        <v>71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6</v>
      </c>
      <c r="N77" s="2">
        <v>0</v>
      </c>
      <c r="O77" s="2">
        <v>1</v>
      </c>
      <c r="P77" s="2">
        <v>0</v>
      </c>
      <c r="Q77" s="2">
        <v>0</v>
      </c>
      <c r="R77" s="2">
        <v>0</v>
      </c>
      <c r="S77" s="2">
        <v>1</v>
      </c>
      <c r="T77" s="2">
        <v>0</v>
      </c>
      <c r="U77" s="2">
        <v>0</v>
      </c>
      <c r="W77" s="13"/>
      <c r="X77" s="13"/>
      <c r="Z77" s="2">
        <v>-3</v>
      </c>
      <c r="AA77" s="2">
        <v>-34</v>
      </c>
      <c r="AB77" s="2">
        <v>-16</v>
      </c>
      <c r="AC77" s="2">
        <v>0</v>
      </c>
      <c r="AD77" s="2">
        <v>0</v>
      </c>
      <c r="AE77" s="2">
        <v>7</v>
      </c>
      <c r="AF77" s="2">
        <v>1</v>
      </c>
    </row>
    <row r="78" spans="3:32" x14ac:dyDescent="0.25">
      <c r="C78" s="2" t="s">
        <v>72</v>
      </c>
      <c r="D78" s="2">
        <v>15</v>
      </c>
      <c r="E78" s="2">
        <v>0</v>
      </c>
      <c r="F78" s="2">
        <v>0</v>
      </c>
      <c r="G78" s="2">
        <v>-1</v>
      </c>
      <c r="H78" s="2">
        <v>-1</v>
      </c>
      <c r="I78" s="2">
        <v>-1</v>
      </c>
      <c r="J78" s="2">
        <v>0</v>
      </c>
      <c r="K78" s="2">
        <v>-9</v>
      </c>
      <c r="L78" s="2">
        <v>-1</v>
      </c>
      <c r="M78" s="2">
        <v>0</v>
      </c>
      <c r="N78" s="2">
        <v>-1</v>
      </c>
      <c r="O78" s="2">
        <v>0</v>
      </c>
      <c r="P78" s="2">
        <v>-1</v>
      </c>
      <c r="Q78" s="2">
        <v>0</v>
      </c>
      <c r="R78" s="2">
        <v>0</v>
      </c>
      <c r="S78" s="2">
        <v>-9</v>
      </c>
      <c r="T78" s="2">
        <v>0</v>
      </c>
      <c r="U78" s="2">
        <v>0</v>
      </c>
      <c r="W78" s="13"/>
      <c r="X78" s="13"/>
      <c r="Z78" s="2">
        <v>6</v>
      </c>
      <c r="AA78" s="2">
        <v>0</v>
      </c>
      <c r="AB78" s="2">
        <v>2</v>
      </c>
      <c r="AC78" s="2">
        <v>-2</v>
      </c>
      <c r="AD78" s="2">
        <v>-11</v>
      </c>
      <c r="AE78" s="2">
        <v>-2</v>
      </c>
      <c r="AF78" s="2">
        <v>-10</v>
      </c>
    </row>
    <row r="79" spans="3:32" x14ac:dyDescent="0.25">
      <c r="C79" s="2" t="s">
        <v>73</v>
      </c>
      <c r="D79" s="2">
        <v>-1</v>
      </c>
      <c r="E79" s="2">
        <v>39</v>
      </c>
      <c r="F79" s="2">
        <v>9</v>
      </c>
      <c r="G79" s="2">
        <v>3</v>
      </c>
      <c r="H79" s="2">
        <v>2</v>
      </c>
      <c r="I79" s="2">
        <v>24</v>
      </c>
      <c r="J79" s="2">
        <v>8</v>
      </c>
      <c r="K79" s="2">
        <v>6</v>
      </c>
      <c r="L79" s="2">
        <v>8</v>
      </c>
      <c r="M79" s="2">
        <v>10</v>
      </c>
      <c r="N79" s="2">
        <v>1</v>
      </c>
      <c r="O79" s="2">
        <v>3</v>
      </c>
      <c r="P79" s="2">
        <v>8</v>
      </c>
      <c r="Q79" s="2">
        <v>14</v>
      </c>
      <c r="R79" s="2">
        <v>-2</v>
      </c>
      <c r="S79" s="2">
        <v>128</v>
      </c>
      <c r="T79" s="2">
        <v>3</v>
      </c>
      <c r="U79" s="2">
        <v>0</v>
      </c>
      <c r="W79" s="13"/>
      <c r="X79" s="13"/>
      <c r="Z79" s="2">
        <v>65</v>
      </c>
      <c r="AA79" s="2">
        <v>146</v>
      </c>
      <c r="AB79" s="2">
        <v>62</v>
      </c>
      <c r="AC79" s="2">
        <v>66</v>
      </c>
      <c r="AD79" s="2">
        <v>41</v>
      </c>
      <c r="AE79" s="2">
        <v>21</v>
      </c>
      <c r="AF79" s="2">
        <v>148</v>
      </c>
    </row>
    <row r="80" spans="3:32" x14ac:dyDescent="0.25">
      <c r="C80" s="2" t="s">
        <v>169</v>
      </c>
      <c r="D80" s="2">
        <v>0</v>
      </c>
      <c r="E80" s="2">
        <v>-2</v>
      </c>
      <c r="F80" s="2">
        <v>-8</v>
      </c>
      <c r="G80" s="2">
        <v>-10</v>
      </c>
      <c r="H80" s="2">
        <v>-1</v>
      </c>
      <c r="I80" s="2">
        <v>-8</v>
      </c>
      <c r="J80" s="2">
        <v>-11</v>
      </c>
      <c r="K80" s="2">
        <v>-13</v>
      </c>
      <c r="L80" s="2">
        <v>-9</v>
      </c>
      <c r="M80" s="2">
        <v>-17</v>
      </c>
      <c r="N80" s="2">
        <v>-17</v>
      </c>
      <c r="O80" s="2">
        <v>-4</v>
      </c>
      <c r="P80" s="2">
        <v>-12</v>
      </c>
      <c r="Q80" s="2">
        <v>-101</v>
      </c>
      <c r="R80" s="2">
        <v>-86</v>
      </c>
      <c r="S80" s="2">
        <v>-65</v>
      </c>
      <c r="T80" s="2">
        <v>-57</v>
      </c>
      <c r="U80" s="2">
        <v>-88</v>
      </c>
      <c r="W80" s="13"/>
      <c r="X80" s="13"/>
      <c r="Z80" s="2">
        <v>-38</v>
      </c>
      <c r="AA80" s="2">
        <v>-62</v>
      </c>
      <c r="AB80" s="2">
        <v>-54</v>
      </c>
      <c r="AC80" s="2">
        <v>-22</v>
      </c>
      <c r="AD80" s="2">
        <v>-53</v>
      </c>
      <c r="AE80" s="2">
        <v>-47</v>
      </c>
      <c r="AF80" s="2">
        <v>-264</v>
      </c>
    </row>
    <row r="81" spans="3:32" x14ac:dyDescent="0.25">
      <c r="C81" s="2" t="s">
        <v>85</v>
      </c>
      <c r="D81" s="2">
        <v>-2</v>
      </c>
      <c r="E81" s="2">
        <v>1</v>
      </c>
      <c r="F81" s="2">
        <v>1</v>
      </c>
      <c r="G81" s="2">
        <v>3</v>
      </c>
      <c r="H81" s="2">
        <v>2</v>
      </c>
      <c r="I81" s="2">
        <v>2</v>
      </c>
      <c r="J81" s="2">
        <v>2</v>
      </c>
      <c r="K81" s="2">
        <v>2</v>
      </c>
      <c r="L81" s="2">
        <v>2</v>
      </c>
      <c r="M81" s="2">
        <v>3</v>
      </c>
      <c r="N81" s="2">
        <v>2</v>
      </c>
      <c r="O81" s="2">
        <v>3</v>
      </c>
      <c r="P81" s="2">
        <v>1</v>
      </c>
      <c r="Q81" s="2">
        <v>1</v>
      </c>
      <c r="R81" s="2">
        <v>2</v>
      </c>
      <c r="S81" s="2">
        <v>2</v>
      </c>
      <c r="T81" s="2">
        <v>2</v>
      </c>
      <c r="U81" s="2">
        <v>2</v>
      </c>
      <c r="W81" s="13"/>
      <c r="X81" s="13"/>
      <c r="Z81" s="2">
        <v>4</v>
      </c>
      <c r="AA81" s="2">
        <v>1</v>
      </c>
      <c r="AB81" s="2">
        <v>1</v>
      </c>
      <c r="AC81" s="2">
        <v>4</v>
      </c>
      <c r="AD81" s="2">
        <v>8</v>
      </c>
      <c r="AE81" s="2">
        <v>9</v>
      </c>
      <c r="AF81" s="2">
        <v>6</v>
      </c>
    </row>
    <row r="82" spans="3:32" x14ac:dyDescent="0.25">
      <c r="C82" s="2" t="s">
        <v>74</v>
      </c>
      <c r="D82" s="2">
        <v>0</v>
      </c>
      <c r="E82" s="2">
        <v>0</v>
      </c>
      <c r="F82" s="2">
        <v>0</v>
      </c>
      <c r="G82" s="2">
        <v>2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2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W82" s="13"/>
      <c r="X82" s="13"/>
      <c r="Z82" s="2">
        <v>0</v>
      </c>
      <c r="AA82" s="2">
        <v>0</v>
      </c>
      <c r="AB82" s="2">
        <v>-6</v>
      </c>
      <c r="AC82" s="2">
        <v>0</v>
      </c>
      <c r="AD82" s="2">
        <v>0</v>
      </c>
      <c r="AE82" s="2">
        <v>2</v>
      </c>
      <c r="AF82" s="2">
        <v>0</v>
      </c>
    </row>
    <row r="83" spans="3:32" x14ac:dyDescent="0.25">
      <c r="C83" s="1" t="s">
        <v>33</v>
      </c>
      <c r="D83" s="1">
        <f t="shared" ref="D83:N83" si="70">SUM(D72:D82)</f>
        <v>-43</v>
      </c>
      <c r="E83" s="1">
        <f t="shared" si="70"/>
        <v>56</v>
      </c>
      <c r="F83" s="1">
        <f t="shared" si="70"/>
        <v>-13</v>
      </c>
      <c r="G83" s="1">
        <f t="shared" si="70"/>
        <v>6</v>
      </c>
      <c r="H83" s="1">
        <f t="shared" si="70"/>
        <v>-50</v>
      </c>
      <c r="I83" s="1">
        <f t="shared" si="70"/>
        <v>95</v>
      </c>
      <c r="J83" s="1">
        <f t="shared" si="70"/>
        <v>-13</v>
      </c>
      <c r="K83" s="1">
        <f t="shared" si="70"/>
        <v>31</v>
      </c>
      <c r="L83" s="1">
        <f t="shared" si="70"/>
        <v>-31</v>
      </c>
      <c r="M83" s="1">
        <f t="shared" si="70"/>
        <v>96</v>
      </c>
      <c r="N83" s="1">
        <f t="shared" si="70"/>
        <v>-21</v>
      </c>
      <c r="O83" s="1">
        <f t="shared" ref="O83:U83" si="71">SUM(O72:O82)</f>
        <v>175</v>
      </c>
      <c r="P83" s="1">
        <f t="shared" si="71"/>
        <v>-27</v>
      </c>
      <c r="Q83" s="1">
        <f t="shared" si="71"/>
        <v>98</v>
      </c>
      <c r="R83" s="1">
        <f t="shared" si="71"/>
        <v>76</v>
      </c>
      <c r="S83" s="1">
        <f t="shared" si="71"/>
        <v>17</v>
      </c>
      <c r="T83" s="1">
        <f t="shared" si="71"/>
        <v>92</v>
      </c>
      <c r="U83" s="1">
        <f t="shared" si="71"/>
        <v>54</v>
      </c>
      <c r="V83" s="1"/>
      <c r="W83" s="13"/>
      <c r="X83" s="13"/>
      <c r="Y83" s="1"/>
      <c r="Z83" s="1">
        <f t="shared" ref="Z83:AF83" si="72">SUM(Z72:Z82)</f>
        <v>81</v>
      </c>
      <c r="AA83" s="1">
        <f t="shared" si="72"/>
        <v>42</v>
      </c>
      <c r="AB83" s="1">
        <f t="shared" si="72"/>
        <v>-53</v>
      </c>
      <c r="AC83" s="1">
        <f t="shared" si="72"/>
        <v>6</v>
      </c>
      <c r="AD83" s="1">
        <f t="shared" si="72"/>
        <v>64</v>
      </c>
      <c r="AE83" s="1">
        <f t="shared" si="72"/>
        <v>216</v>
      </c>
      <c r="AF83" s="1">
        <f t="shared" si="72"/>
        <v>164</v>
      </c>
    </row>
    <row r="84" spans="3:32" x14ac:dyDescent="0.25">
      <c r="W84" s="13"/>
      <c r="X84" s="13"/>
    </row>
    <row r="85" spans="3:32" x14ac:dyDescent="0.25">
      <c r="C85" s="2" t="s">
        <v>75</v>
      </c>
      <c r="D85" s="2">
        <v>48</v>
      </c>
      <c r="E85" s="2">
        <v>259</v>
      </c>
      <c r="F85" s="2">
        <v>2</v>
      </c>
      <c r="G85" s="2">
        <v>0</v>
      </c>
      <c r="H85" s="2">
        <v>19</v>
      </c>
      <c r="I85" s="2">
        <v>28</v>
      </c>
      <c r="J85" s="2">
        <v>0</v>
      </c>
      <c r="K85" s="2">
        <v>5</v>
      </c>
      <c r="L85" s="2">
        <v>19</v>
      </c>
      <c r="M85" s="2">
        <v>26</v>
      </c>
      <c r="N85" s="2">
        <v>19</v>
      </c>
      <c r="O85" s="2">
        <v>16</v>
      </c>
      <c r="P85" s="2">
        <v>24</v>
      </c>
      <c r="Q85" s="2">
        <v>22</v>
      </c>
      <c r="R85" s="2">
        <v>0</v>
      </c>
      <c r="S85" s="2">
        <v>23</v>
      </c>
      <c r="T85" s="2">
        <v>5</v>
      </c>
      <c r="U85" s="2">
        <v>1</v>
      </c>
      <c r="W85" s="13"/>
      <c r="X85" s="13"/>
      <c r="Z85" s="2">
        <v>93</v>
      </c>
      <c r="AA85" s="2">
        <v>19</v>
      </c>
      <c r="AB85" s="2">
        <v>70</v>
      </c>
      <c r="AC85" s="2">
        <v>310</v>
      </c>
      <c r="AD85" s="2">
        <v>84</v>
      </c>
      <c r="AE85" s="2">
        <v>81</v>
      </c>
      <c r="AF85" s="2">
        <v>69</v>
      </c>
    </row>
    <row r="86" spans="3:32" x14ac:dyDescent="0.25">
      <c r="C86" s="2" t="s">
        <v>76</v>
      </c>
      <c r="D86" s="2">
        <v>-32</v>
      </c>
      <c r="E86" s="2">
        <v>-253</v>
      </c>
      <c r="F86" s="2">
        <v>-7</v>
      </c>
      <c r="G86" s="2">
        <v>0</v>
      </c>
      <c r="H86" s="2">
        <v>-43</v>
      </c>
      <c r="I86" s="2">
        <v>-72</v>
      </c>
      <c r="J86" s="2">
        <v>-28</v>
      </c>
      <c r="K86" s="2">
        <v>-28</v>
      </c>
      <c r="L86" s="2">
        <v>-43</v>
      </c>
      <c r="M86" s="2">
        <v>-68</v>
      </c>
      <c r="N86" s="2">
        <v>-18</v>
      </c>
      <c r="O86" s="2">
        <v>-118</v>
      </c>
      <c r="P86" s="2">
        <v>-1</v>
      </c>
      <c r="Q86" s="2">
        <v>-64</v>
      </c>
      <c r="R86" s="2">
        <v>-22</v>
      </c>
      <c r="S86" s="2">
        <v>-35</v>
      </c>
      <c r="T86" s="2">
        <v>-20</v>
      </c>
      <c r="U86" s="2">
        <v>-6</v>
      </c>
      <c r="W86" s="13"/>
      <c r="X86" s="13"/>
      <c r="Z86" s="2">
        <v>-136</v>
      </c>
      <c r="AA86" s="2">
        <v>-60</v>
      </c>
      <c r="AB86" s="2">
        <v>-71</v>
      </c>
      <c r="AC86" s="2">
        <v>-292</v>
      </c>
      <c r="AD86" s="2">
        <v>-157</v>
      </c>
      <c r="AE86" s="2">
        <v>-246</v>
      </c>
      <c r="AF86" s="2">
        <v>-122</v>
      </c>
    </row>
    <row r="87" spans="3:32" x14ac:dyDescent="0.25">
      <c r="C87" s="2" t="s">
        <v>77</v>
      </c>
      <c r="D87" s="2">
        <v>-11</v>
      </c>
      <c r="E87" s="2">
        <v>-7</v>
      </c>
      <c r="F87" s="2">
        <v>-6</v>
      </c>
      <c r="G87" s="2">
        <v>-4</v>
      </c>
      <c r="H87" s="2">
        <v>-9</v>
      </c>
      <c r="I87" s="2">
        <v>-7</v>
      </c>
      <c r="J87" s="2">
        <v>-7</v>
      </c>
      <c r="K87" s="2">
        <v>-6</v>
      </c>
      <c r="L87" s="2">
        <v>-9</v>
      </c>
      <c r="M87" s="2">
        <v>-8</v>
      </c>
      <c r="N87" s="2">
        <v>-8</v>
      </c>
      <c r="O87" s="2">
        <v>-7</v>
      </c>
      <c r="P87" s="2">
        <v>-9</v>
      </c>
      <c r="Q87" s="2">
        <v>-10</v>
      </c>
      <c r="R87" s="2">
        <v>-10</v>
      </c>
      <c r="S87" s="2">
        <v>-9</v>
      </c>
      <c r="T87" s="2">
        <v>-11</v>
      </c>
      <c r="U87" s="2">
        <v>-12</v>
      </c>
      <c r="W87" s="13"/>
      <c r="X87" s="13"/>
      <c r="Z87" s="2">
        <v>-24</v>
      </c>
      <c r="AA87" s="2">
        <v>-19</v>
      </c>
      <c r="AB87" s="2">
        <v>-30</v>
      </c>
      <c r="AC87" s="2">
        <v>-28</v>
      </c>
      <c r="AD87" s="2">
        <v>-28</v>
      </c>
      <c r="AE87" s="2">
        <v>-33</v>
      </c>
      <c r="AF87" s="2">
        <v>-38</v>
      </c>
    </row>
    <row r="88" spans="3:32" x14ac:dyDescent="0.25">
      <c r="C88" s="2" t="s">
        <v>78</v>
      </c>
      <c r="D88" s="2">
        <v>-4</v>
      </c>
      <c r="E88" s="2">
        <v>-5</v>
      </c>
      <c r="F88" s="2">
        <v>-5</v>
      </c>
      <c r="G88" s="2">
        <v>-8</v>
      </c>
      <c r="H88" s="2">
        <v>-8</v>
      </c>
      <c r="I88" s="2">
        <v>-8</v>
      </c>
      <c r="J88" s="2">
        <v>-9</v>
      </c>
      <c r="K88" s="2">
        <v>-8</v>
      </c>
      <c r="L88" s="2">
        <v>-8</v>
      </c>
      <c r="M88" s="2">
        <v>-8</v>
      </c>
      <c r="N88" s="2">
        <v>-7</v>
      </c>
      <c r="O88" s="2">
        <v>-6</v>
      </c>
      <c r="P88" s="2">
        <v>-5</v>
      </c>
      <c r="Q88" s="2">
        <v>-5</v>
      </c>
      <c r="R88" s="2">
        <v>-4</v>
      </c>
      <c r="S88" s="2">
        <v>-5</v>
      </c>
      <c r="T88" s="2">
        <v>-4</v>
      </c>
      <c r="U88" s="2">
        <v>-4</v>
      </c>
      <c r="W88" s="13"/>
      <c r="X88" s="13"/>
      <c r="Z88" s="2">
        <v>-25</v>
      </c>
      <c r="AA88" s="2">
        <v>-18</v>
      </c>
      <c r="AB88" s="2">
        <v>-15</v>
      </c>
      <c r="AC88" s="2">
        <v>-22</v>
      </c>
      <c r="AD88" s="2">
        <v>-33</v>
      </c>
      <c r="AE88" s="2">
        <v>-29</v>
      </c>
      <c r="AF88" s="2">
        <v>-19</v>
      </c>
    </row>
    <row r="89" spans="3:32" x14ac:dyDescent="0.25">
      <c r="C89" s="2" t="s">
        <v>79</v>
      </c>
      <c r="D89" s="2">
        <v>-1</v>
      </c>
      <c r="E89" s="2">
        <v>-1</v>
      </c>
      <c r="G89" s="2">
        <v>-1</v>
      </c>
      <c r="H89" s="2">
        <v>0</v>
      </c>
      <c r="I89" s="2">
        <v>0</v>
      </c>
      <c r="J89" s="2">
        <v>-2</v>
      </c>
      <c r="K89" s="2">
        <v>-2</v>
      </c>
      <c r="L89" s="2">
        <v>0</v>
      </c>
      <c r="M89" s="2">
        <v>0</v>
      </c>
      <c r="N89" s="2">
        <v>0</v>
      </c>
      <c r="O89" s="2">
        <v>-3</v>
      </c>
      <c r="P89" s="2">
        <v>6</v>
      </c>
      <c r="Q89" s="2">
        <v>5</v>
      </c>
      <c r="R89" s="2">
        <v>0</v>
      </c>
      <c r="S89" s="2">
        <v>-3</v>
      </c>
      <c r="T89" s="2">
        <v>9</v>
      </c>
      <c r="U89" s="2">
        <v>0</v>
      </c>
      <c r="W89" s="13"/>
      <c r="X89" s="13"/>
      <c r="Z89" s="2">
        <v>-11</v>
      </c>
      <c r="AA89" s="2">
        <v>-10</v>
      </c>
      <c r="AB89" s="2">
        <v>-9</v>
      </c>
      <c r="AC89" s="2">
        <v>-6</v>
      </c>
      <c r="AD89" s="2">
        <v>-4</v>
      </c>
      <c r="AE89" s="2">
        <v>-3</v>
      </c>
      <c r="AF89" s="2">
        <v>8</v>
      </c>
    </row>
    <row r="90" spans="3:32" x14ac:dyDescent="0.25">
      <c r="C90" s="2" t="s">
        <v>80</v>
      </c>
      <c r="D90" s="2">
        <v>-2</v>
      </c>
      <c r="E90" s="2">
        <v>-1</v>
      </c>
      <c r="F90" s="2">
        <v>-1</v>
      </c>
      <c r="G90" s="2">
        <v>-1</v>
      </c>
      <c r="H90" s="2">
        <v>0</v>
      </c>
      <c r="I90" s="2">
        <v>-2</v>
      </c>
      <c r="J90" s="2">
        <v>0</v>
      </c>
      <c r="K90" s="2">
        <v>0</v>
      </c>
      <c r="L90" s="2">
        <v>0</v>
      </c>
      <c r="M90" s="2">
        <v>-2</v>
      </c>
      <c r="N90" s="2">
        <v>0</v>
      </c>
      <c r="O90" s="2">
        <v>-30</v>
      </c>
      <c r="P90" s="2">
        <v>0</v>
      </c>
      <c r="Q90" s="2">
        <v>0</v>
      </c>
      <c r="R90" s="2">
        <v>0</v>
      </c>
      <c r="S90" s="2">
        <v>-127</v>
      </c>
      <c r="T90" s="2">
        <v>-2</v>
      </c>
      <c r="U90" s="2">
        <v>0</v>
      </c>
      <c r="W90" s="13"/>
      <c r="X90" s="13"/>
      <c r="Z90" s="2">
        <v>0</v>
      </c>
      <c r="AA90" s="2">
        <v>-14</v>
      </c>
      <c r="AB90" s="2">
        <v>7</v>
      </c>
      <c r="AC90" s="2">
        <v>-3</v>
      </c>
      <c r="AD90" s="2">
        <v>-2</v>
      </c>
      <c r="AE90" s="2">
        <v>-32</v>
      </c>
      <c r="AF90" s="2">
        <v>-127</v>
      </c>
    </row>
    <row r="91" spans="3:32" x14ac:dyDescent="0.25">
      <c r="C91" s="2" t="s">
        <v>81</v>
      </c>
      <c r="D91" s="2">
        <v>0</v>
      </c>
      <c r="E91" s="2">
        <v>-53</v>
      </c>
      <c r="F91" s="2">
        <v>0</v>
      </c>
      <c r="G91" s="2">
        <v>0</v>
      </c>
      <c r="H91" s="2">
        <v>0</v>
      </c>
      <c r="I91" s="2">
        <v>-10</v>
      </c>
      <c r="J91" s="2">
        <v>0</v>
      </c>
      <c r="K91" s="2">
        <v>0</v>
      </c>
      <c r="L91" s="2">
        <v>0</v>
      </c>
      <c r="M91" s="2">
        <v>-15</v>
      </c>
      <c r="N91" s="2">
        <v>-33</v>
      </c>
      <c r="O91" s="2">
        <v>1</v>
      </c>
      <c r="P91" s="2">
        <v>-22</v>
      </c>
      <c r="Q91" s="2">
        <v>-14</v>
      </c>
      <c r="R91" s="2">
        <v>2</v>
      </c>
      <c r="S91" s="2">
        <v>1</v>
      </c>
      <c r="T91" s="2">
        <v>0</v>
      </c>
      <c r="U91" s="2">
        <v>-36</v>
      </c>
      <c r="W91" s="13"/>
      <c r="X91" s="13"/>
      <c r="Z91" s="2">
        <v>0</v>
      </c>
      <c r="AB91" s="2">
        <v>0</v>
      </c>
      <c r="AC91" s="2">
        <v>-53</v>
      </c>
      <c r="AD91" s="2">
        <v>-11</v>
      </c>
      <c r="AE91" s="2">
        <v>-47</v>
      </c>
      <c r="AF91" s="2">
        <v>-33</v>
      </c>
    </row>
    <row r="92" spans="3:32" x14ac:dyDescent="0.25">
      <c r="C92" s="2" t="s">
        <v>82</v>
      </c>
      <c r="D92" s="2">
        <v>-5</v>
      </c>
      <c r="E92" s="2">
        <v>-22</v>
      </c>
      <c r="F92" s="2">
        <v>-4</v>
      </c>
      <c r="G92" s="2">
        <v>-15</v>
      </c>
      <c r="H92" s="2">
        <v>0</v>
      </c>
      <c r="I92" s="2">
        <v>-26</v>
      </c>
      <c r="J92" s="2">
        <v>-3</v>
      </c>
      <c r="K92" s="2">
        <v>-18</v>
      </c>
      <c r="L92" s="2">
        <v>0</v>
      </c>
      <c r="M92" s="2">
        <v>-44</v>
      </c>
      <c r="N92" s="2">
        <v>0</v>
      </c>
      <c r="O92" s="2">
        <v>-28</v>
      </c>
      <c r="P92" s="2">
        <v>0</v>
      </c>
      <c r="Q92" s="2">
        <v>-52</v>
      </c>
      <c r="R92" s="2">
        <v>0</v>
      </c>
      <c r="S92" s="2">
        <v>-30</v>
      </c>
      <c r="T92" s="2">
        <v>0</v>
      </c>
      <c r="U92" s="2">
        <v>-92</v>
      </c>
      <c r="W92" s="13"/>
      <c r="X92" s="13"/>
      <c r="Z92" s="2">
        <v>-62</v>
      </c>
      <c r="AA92" s="2">
        <v>-18</v>
      </c>
      <c r="AB92" s="2">
        <v>-58</v>
      </c>
      <c r="AC92" s="2">
        <v>-46</v>
      </c>
      <c r="AD92" s="2">
        <v>-46</v>
      </c>
      <c r="AE92" s="2">
        <v>-72</v>
      </c>
      <c r="AF92" s="2">
        <v>-82</v>
      </c>
    </row>
    <row r="93" spans="3:32" x14ac:dyDescent="0.25">
      <c r="C93" s="1" t="s">
        <v>32</v>
      </c>
      <c r="D93" s="1">
        <f t="shared" ref="D93:N93" si="73">SUM(D85:D92)</f>
        <v>-7</v>
      </c>
      <c r="E93" s="1">
        <f t="shared" si="73"/>
        <v>-83</v>
      </c>
      <c r="F93" s="1">
        <f>SUM(F85:F92)</f>
        <v>-21</v>
      </c>
      <c r="G93" s="1">
        <f t="shared" si="73"/>
        <v>-29</v>
      </c>
      <c r="H93" s="1">
        <f t="shared" si="73"/>
        <v>-41</v>
      </c>
      <c r="I93" s="1">
        <f t="shared" si="73"/>
        <v>-97</v>
      </c>
      <c r="J93" s="1">
        <f t="shared" si="73"/>
        <v>-49</v>
      </c>
      <c r="K93" s="1">
        <f t="shared" si="73"/>
        <v>-57</v>
      </c>
      <c r="L93" s="1">
        <f t="shared" si="73"/>
        <v>-41</v>
      </c>
      <c r="M93" s="1">
        <f t="shared" si="73"/>
        <v>-119</v>
      </c>
      <c r="N93" s="1">
        <f t="shared" si="73"/>
        <v>-47</v>
      </c>
      <c r="O93" s="1">
        <f t="shared" ref="O93:U93" si="74">SUM(O85:O92)</f>
        <v>-175</v>
      </c>
      <c r="P93" s="1">
        <f t="shared" si="74"/>
        <v>-7</v>
      </c>
      <c r="Q93" s="1">
        <f t="shared" si="74"/>
        <v>-118</v>
      </c>
      <c r="R93" s="1">
        <f t="shared" si="74"/>
        <v>-34</v>
      </c>
      <c r="S93" s="1">
        <f t="shared" si="74"/>
        <v>-185</v>
      </c>
      <c r="T93" s="1">
        <f t="shared" si="74"/>
        <v>-23</v>
      </c>
      <c r="U93" s="1">
        <f t="shared" si="74"/>
        <v>-149</v>
      </c>
      <c r="V93" s="1"/>
      <c r="W93" s="13"/>
      <c r="X93" s="13"/>
      <c r="Y93" s="1"/>
      <c r="Z93" s="1">
        <f t="shared" ref="Z93:AF93" si="75">SUM(Z85:Z92)</f>
        <v>-165</v>
      </c>
      <c r="AA93" s="1">
        <f t="shared" si="75"/>
        <v>-120</v>
      </c>
      <c r="AB93" s="1">
        <f t="shared" si="75"/>
        <v>-106</v>
      </c>
      <c r="AC93" s="1">
        <f t="shared" si="75"/>
        <v>-140</v>
      </c>
      <c r="AD93" s="1">
        <f t="shared" si="75"/>
        <v>-197</v>
      </c>
      <c r="AE93" s="1">
        <f t="shared" si="75"/>
        <v>-381</v>
      </c>
      <c r="AF93" s="1">
        <f t="shared" si="75"/>
        <v>-344</v>
      </c>
    </row>
    <row r="94" spans="3:32" x14ac:dyDescent="0.25">
      <c r="W94" s="13"/>
      <c r="X94" s="13"/>
    </row>
    <row r="95" spans="3:32" x14ac:dyDescent="0.25">
      <c r="C95" s="2" t="s">
        <v>83</v>
      </c>
      <c r="D95" s="2">
        <f t="shared" ref="D95:N95" si="76">D70+D83+D93</f>
        <v>-47</v>
      </c>
      <c r="E95" s="2">
        <f t="shared" si="76"/>
        <v>-21</v>
      </c>
      <c r="F95" s="2">
        <f t="shared" si="76"/>
        <v>-6</v>
      </c>
      <c r="G95" s="2">
        <f t="shared" si="76"/>
        <v>5</v>
      </c>
      <c r="H95" s="2">
        <f t="shared" si="76"/>
        <v>-49</v>
      </c>
      <c r="I95" s="2">
        <f t="shared" si="76"/>
        <v>16</v>
      </c>
      <c r="J95" s="2">
        <f t="shared" si="76"/>
        <v>8</v>
      </c>
      <c r="K95" s="2">
        <f t="shared" si="76"/>
        <v>38</v>
      </c>
      <c r="L95" s="2">
        <f t="shared" si="76"/>
        <v>-38</v>
      </c>
      <c r="M95" s="2">
        <f t="shared" si="76"/>
        <v>-9</v>
      </c>
      <c r="N95" s="2">
        <f t="shared" si="76"/>
        <v>-24</v>
      </c>
      <c r="O95" s="2">
        <f t="shared" ref="O95:T95" si="77">O70+O83+O93</f>
        <v>2</v>
      </c>
      <c r="P95" s="2">
        <f t="shared" si="77"/>
        <v>3</v>
      </c>
      <c r="Q95" s="2">
        <f t="shared" si="77"/>
        <v>22</v>
      </c>
      <c r="R95" s="2">
        <f t="shared" si="77"/>
        <v>96</v>
      </c>
      <c r="S95" s="2">
        <f t="shared" si="77"/>
        <v>-82</v>
      </c>
      <c r="T95" s="2">
        <f t="shared" si="77"/>
        <v>64</v>
      </c>
      <c r="U95" s="2">
        <f t="shared" ref="U95" si="78">U70+U83+U93</f>
        <v>-45</v>
      </c>
      <c r="W95" s="13"/>
      <c r="X95" s="13"/>
      <c r="Z95" s="2">
        <f t="shared" ref="Z95:AF95" si="79">Z70+Z83+Z93</f>
        <v>15</v>
      </c>
      <c r="AA95" s="2">
        <f t="shared" si="79"/>
        <v>118</v>
      </c>
      <c r="AB95" s="2">
        <f t="shared" si="79"/>
        <v>-38</v>
      </c>
      <c r="AC95" s="2">
        <f t="shared" si="79"/>
        <v>-70</v>
      </c>
      <c r="AD95" s="2">
        <f t="shared" si="79"/>
        <v>61</v>
      </c>
      <c r="AE95" s="2">
        <f t="shared" si="79"/>
        <v>-69</v>
      </c>
      <c r="AF95" s="2">
        <f t="shared" si="79"/>
        <v>39</v>
      </c>
    </row>
    <row r="96" spans="3:32" x14ac:dyDescent="0.25">
      <c r="W96" s="13"/>
      <c r="X96" s="13"/>
    </row>
    <row r="97" spans="3:32" x14ac:dyDescent="0.25">
      <c r="C97" s="2" t="s">
        <v>84</v>
      </c>
      <c r="D97" s="2">
        <f t="shared" ref="D97:N97" si="80">D70+D72+D74+D76</f>
        <v>-5</v>
      </c>
      <c r="E97" s="2">
        <f t="shared" si="80"/>
        <v>24</v>
      </c>
      <c r="F97" s="2">
        <f t="shared" si="80"/>
        <v>13</v>
      </c>
      <c r="G97" s="2">
        <f t="shared" si="80"/>
        <v>11</v>
      </c>
      <c r="H97" s="2">
        <f>H70+H72+H74+H76</f>
        <v>-10</v>
      </c>
      <c r="I97" s="2">
        <f>I70+I72+I74+I76</f>
        <v>96</v>
      </c>
      <c r="J97" s="2">
        <f t="shared" si="80"/>
        <v>58</v>
      </c>
      <c r="K97" s="2">
        <f t="shared" si="80"/>
        <v>108</v>
      </c>
      <c r="L97" s="2">
        <f t="shared" si="80"/>
        <v>3</v>
      </c>
      <c r="M97" s="2">
        <f t="shared" si="80"/>
        <v>106</v>
      </c>
      <c r="N97" s="2">
        <f t="shared" si="80"/>
        <v>38</v>
      </c>
      <c r="O97" s="2">
        <f t="shared" ref="O97:T97" si="81">O70+O72+O74+O76</f>
        <v>165</v>
      </c>
      <c r="P97" s="2">
        <f t="shared" si="81"/>
        <v>14</v>
      </c>
      <c r="Q97" s="2">
        <f t="shared" si="81"/>
        <v>226</v>
      </c>
      <c r="R97" s="2">
        <f t="shared" si="81"/>
        <v>216</v>
      </c>
      <c r="S97" s="2">
        <f t="shared" si="81"/>
        <v>46</v>
      </c>
      <c r="T97" s="2">
        <f t="shared" si="81"/>
        <v>139</v>
      </c>
      <c r="U97" s="2">
        <f t="shared" ref="U97" si="82">U70+U72+U74+U76</f>
        <v>190</v>
      </c>
      <c r="W97" s="13"/>
      <c r="X97" s="13"/>
      <c r="Z97" s="2">
        <f t="shared" ref="Z97:AF97" si="83">Z70+Z72+Z74+Z76</f>
        <v>126</v>
      </c>
      <c r="AA97" s="2">
        <f t="shared" si="83"/>
        <v>180</v>
      </c>
      <c r="AB97" s="2">
        <f t="shared" si="83"/>
        <v>53</v>
      </c>
      <c r="AC97" s="2">
        <f t="shared" si="83"/>
        <v>34</v>
      </c>
      <c r="AD97" s="2">
        <f t="shared" si="83"/>
        <v>271</v>
      </c>
      <c r="AE97" s="2">
        <f t="shared" si="83"/>
        <v>312</v>
      </c>
      <c r="AF97" s="2">
        <f t="shared" si="83"/>
        <v>502</v>
      </c>
    </row>
  </sheetData>
  <phoneticPr fontId="9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3:AA56"/>
  <sheetViews>
    <sheetView showGridLines="0" zoomScale="90" zoomScaleNormal="90" workbookViewId="0">
      <pane xSplit="2" ySplit="4" topLeftCell="O5" activePane="bottomRight" state="frozen"/>
      <selection pane="topRight" activeCell="C1" sqref="C1"/>
      <selection pane="bottomLeft" activeCell="A5" sqref="A5"/>
      <selection pane="bottomRight" activeCell="AD43" sqref="AD43"/>
    </sheetView>
  </sheetViews>
  <sheetFormatPr baseColWidth="10" defaultRowHeight="19" x14ac:dyDescent="0.25"/>
  <cols>
    <col min="1" max="1" width="3.6640625" style="2" customWidth="1"/>
    <col min="2" max="2" width="46" style="2" customWidth="1"/>
    <col min="3" max="7" width="10.83203125" style="2"/>
    <col min="8" max="8" width="11.83203125" style="2" customWidth="1"/>
    <col min="9" max="20" width="10.83203125" style="2"/>
    <col min="21" max="21" width="11.1640625" style="2" bestFit="1" customWidth="1"/>
    <col min="22" max="22" width="10.83203125" style="2"/>
    <col min="23" max="23" width="13" style="2" customWidth="1"/>
    <col min="24" max="24" width="13.1640625" style="2" customWidth="1"/>
    <col min="25" max="25" width="13.5" style="2" customWidth="1"/>
    <col min="26" max="27" width="12" style="2" bestFit="1" customWidth="1"/>
    <col min="28" max="16384" width="10.83203125" style="2"/>
  </cols>
  <sheetData>
    <row r="3" spans="2:27" x14ac:dyDescent="0.25">
      <c r="B3" s="1" t="s">
        <v>43</v>
      </c>
    </row>
    <row r="4" spans="2:27" x14ac:dyDescent="0.25">
      <c r="B4" s="31"/>
      <c r="C4" s="42" t="s">
        <v>3</v>
      </c>
      <c r="D4" s="42" t="s">
        <v>4</v>
      </c>
      <c r="E4" s="42" t="s">
        <v>5</v>
      </c>
      <c r="F4" s="42" t="s">
        <v>6</v>
      </c>
      <c r="G4" s="59">
        <v>2022</v>
      </c>
      <c r="H4" s="42" t="s">
        <v>7</v>
      </c>
      <c r="I4" s="42" t="s">
        <v>8</v>
      </c>
      <c r="J4" s="42" t="s">
        <v>9</v>
      </c>
      <c r="K4" s="42" t="s">
        <v>10</v>
      </c>
      <c r="L4" s="59">
        <v>2023</v>
      </c>
      <c r="M4" s="42" t="s">
        <v>11</v>
      </c>
      <c r="N4" s="42" t="s">
        <v>12</v>
      </c>
      <c r="O4" s="42" t="s">
        <v>13</v>
      </c>
      <c r="P4" s="7" t="s">
        <v>14</v>
      </c>
      <c r="Q4" s="60">
        <v>2024</v>
      </c>
      <c r="R4" s="7" t="s">
        <v>116</v>
      </c>
      <c r="S4" s="7" t="s">
        <v>117</v>
      </c>
      <c r="T4" s="7" t="s">
        <v>118</v>
      </c>
      <c r="U4" s="7" t="s">
        <v>119</v>
      </c>
      <c r="V4" s="50">
        <v>2025</v>
      </c>
      <c r="W4" s="7" t="s">
        <v>191</v>
      </c>
      <c r="X4" s="7" t="s">
        <v>192</v>
      </c>
      <c r="Y4" s="7" t="s">
        <v>193</v>
      </c>
      <c r="Z4" s="7" t="s">
        <v>194</v>
      </c>
      <c r="AA4" s="50">
        <v>2026</v>
      </c>
    </row>
    <row r="5" spans="2:27" x14ac:dyDescent="0.25">
      <c r="B5" s="44" t="s">
        <v>134</v>
      </c>
      <c r="G5" s="49"/>
      <c r="L5" s="49"/>
      <c r="Q5" s="49"/>
      <c r="V5" s="49"/>
      <c r="AA5" s="49"/>
    </row>
    <row r="6" spans="2:27" x14ac:dyDescent="0.25">
      <c r="B6" s="1" t="s">
        <v>42</v>
      </c>
      <c r="C6" s="1">
        <v>154</v>
      </c>
      <c r="D6" s="1">
        <v>156</v>
      </c>
      <c r="E6" s="1">
        <v>157</v>
      </c>
      <c r="F6" s="1">
        <v>162</v>
      </c>
      <c r="G6" s="50">
        <f t="shared" ref="G6:G12" si="0">SUM(C6:F6)</f>
        <v>629</v>
      </c>
      <c r="H6" s="1">
        <v>183</v>
      </c>
      <c r="I6" s="1">
        <v>185</v>
      </c>
      <c r="J6" s="1">
        <v>178</v>
      </c>
      <c r="K6" s="1">
        <v>187</v>
      </c>
      <c r="L6" s="50">
        <f t="shared" ref="L6:L12" si="1">SUM(H6:K6)</f>
        <v>733</v>
      </c>
      <c r="M6" s="1">
        <v>194</v>
      </c>
      <c r="N6" s="1">
        <v>220</v>
      </c>
      <c r="O6" s="1">
        <v>216</v>
      </c>
      <c r="P6" s="1">
        <v>202</v>
      </c>
      <c r="Q6" s="50">
        <f t="shared" ref="Q6:Q12" si="2">SUM(M6:P6)</f>
        <v>832</v>
      </c>
      <c r="R6" s="1">
        <v>213</v>
      </c>
      <c r="S6" s="1">
        <v>214</v>
      </c>
      <c r="T6" s="1">
        <v>222</v>
      </c>
      <c r="U6" s="1">
        <v>220</v>
      </c>
      <c r="V6" s="50">
        <f>SUM(R6:U6)</f>
        <v>869</v>
      </c>
      <c r="W6" s="1">
        <v>223</v>
      </c>
      <c r="X6" s="1">
        <v>228</v>
      </c>
      <c r="Y6" s="1"/>
      <c r="Z6" s="1"/>
      <c r="AA6" s="50">
        <f>SUM(W6:Z6)</f>
        <v>451</v>
      </c>
    </row>
    <row r="7" spans="2:27" x14ac:dyDescent="0.25">
      <c r="B7" s="11" t="s">
        <v>189</v>
      </c>
      <c r="C7" s="11"/>
      <c r="D7" s="11"/>
      <c r="E7" s="11"/>
      <c r="F7" s="11"/>
      <c r="G7" s="51"/>
      <c r="H7" s="61">
        <f t="shared" ref="H7:T7" si="3">(H6-C6)/C6</f>
        <v>0.18831168831168832</v>
      </c>
      <c r="I7" s="61">
        <f t="shared" si="3"/>
        <v>0.1858974358974359</v>
      </c>
      <c r="J7" s="61">
        <f t="shared" si="3"/>
        <v>0.13375796178343949</v>
      </c>
      <c r="K7" s="61">
        <f t="shared" si="3"/>
        <v>0.15432098765432098</v>
      </c>
      <c r="L7" s="62">
        <f t="shared" si="3"/>
        <v>0.16534181240063592</v>
      </c>
      <c r="M7" s="61">
        <f t="shared" si="3"/>
        <v>6.0109289617486336E-2</v>
      </c>
      <c r="N7" s="61">
        <f t="shared" si="3"/>
        <v>0.1891891891891892</v>
      </c>
      <c r="O7" s="61">
        <f t="shared" si="3"/>
        <v>0.21348314606741572</v>
      </c>
      <c r="P7" s="61">
        <f t="shared" si="3"/>
        <v>8.0213903743315509E-2</v>
      </c>
      <c r="Q7" s="62">
        <f t="shared" si="3"/>
        <v>0.13506139154160982</v>
      </c>
      <c r="R7" s="61">
        <f t="shared" si="3"/>
        <v>9.7938144329896906E-2</v>
      </c>
      <c r="S7" s="61">
        <f t="shared" si="3"/>
        <v>-2.7272727272727271E-2</v>
      </c>
      <c r="T7" s="61">
        <f t="shared" si="3"/>
        <v>2.7777777777777776E-2</v>
      </c>
      <c r="U7" s="61">
        <f t="shared" ref="U7:AA7" si="4">(U6-P6)/P6</f>
        <v>8.9108910891089105E-2</v>
      </c>
      <c r="V7" s="62">
        <f t="shared" si="4"/>
        <v>4.4471153846153848E-2</v>
      </c>
      <c r="W7" s="61">
        <f t="shared" si="4"/>
        <v>4.6948356807511735E-2</v>
      </c>
      <c r="X7" s="61">
        <f t="shared" si="4"/>
        <v>6.5420560747663545E-2</v>
      </c>
      <c r="Y7" s="61">
        <f t="shared" si="4"/>
        <v>-1</v>
      </c>
      <c r="Z7" s="61">
        <f t="shared" si="4"/>
        <v>-1</v>
      </c>
      <c r="AA7" s="62">
        <f t="shared" si="4"/>
        <v>-0.48101265822784811</v>
      </c>
    </row>
    <row r="8" spans="2:27" x14ac:dyDescent="0.25">
      <c r="B8" s="39" t="s">
        <v>146</v>
      </c>
      <c r="C8" s="11">
        <v>94</v>
      </c>
      <c r="D8" s="11">
        <v>99</v>
      </c>
      <c r="E8" s="11">
        <v>100</v>
      </c>
      <c r="F8" s="11">
        <v>102</v>
      </c>
      <c r="G8" s="50">
        <f t="shared" si="0"/>
        <v>395</v>
      </c>
      <c r="H8" s="11">
        <v>119</v>
      </c>
      <c r="I8" s="11">
        <v>119</v>
      </c>
      <c r="J8" s="11">
        <v>115</v>
      </c>
      <c r="K8" s="11">
        <v>115</v>
      </c>
      <c r="L8" s="50">
        <f t="shared" si="1"/>
        <v>468</v>
      </c>
      <c r="M8" s="11">
        <v>128</v>
      </c>
      <c r="N8" s="11">
        <v>128</v>
      </c>
      <c r="O8" s="11">
        <v>127</v>
      </c>
      <c r="P8" s="11">
        <v>125</v>
      </c>
      <c r="Q8" s="50">
        <f t="shared" si="2"/>
        <v>508</v>
      </c>
      <c r="R8" s="11">
        <v>125</v>
      </c>
      <c r="S8" s="11">
        <v>133</v>
      </c>
      <c r="T8" s="11">
        <v>136</v>
      </c>
      <c r="U8" s="11">
        <v>128</v>
      </c>
      <c r="V8" s="50">
        <f>SUM(R8:U8)</f>
        <v>522</v>
      </c>
      <c r="W8" s="11">
        <v>134</v>
      </c>
      <c r="X8" s="11">
        <v>134</v>
      </c>
      <c r="Y8" s="11"/>
      <c r="Z8" s="11"/>
      <c r="AA8" s="50">
        <f>SUM(W8:Z8)</f>
        <v>268</v>
      </c>
    </row>
    <row r="9" spans="2:27" x14ac:dyDescent="0.25">
      <c r="B9" s="39" t="s">
        <v>147</v>
      </c>
      <c r="C9" s="11">
        <v>33</v>
      </c>
      <c r="D9" s="11">
        <v>35</v>
      </c>
      <c r="E9" s="11">
        <v>34</v>
      </c>
      <c r="F9" s="11">
        <v>34</v>
      </c>
      <c r="G9" s="50">
        <f t="shared" si="0"/>
        <v>136</v>
      </c>
      <c r="H9" s="11">
        <v>37</v>
      </c>
      <c r="I9" s="11">
        <v>38</v>
      </c>
      <c r="J9" s="11">
        <v>37</v>
      </c>
      <c r="K9" s="11">
        <v>41</v>
      </c>
      <c r="L9" s="50">
        <f t="shared" si="1"/>
        <v>153</v>
      </c>
      <c r="M9" s="11">
        <v>40</v>
      </c>
      <c r="N9" s="11">
        <v>41</v>
      </c>
      <c r="O9" s="11">
        <v>39</v>
      </c>
      <c r="P9" s="11">
        <v>43</v>
      </c>
      <c r="Q9" s="50">
        <f t="shared" si="2"/>
        <v>163</v>
      </c>
      <c r="R9" s="11">
        <v>43</v>
      </c>
      <c r="S9" s="11">
        <v>41</v>
      </c>
      <c r="T9" s="11">
        <v>44</v>
      </c>
      <c r="U9" s="11">
        <v>47</v>
      </c>
      <c r="V9" s="50">
        <f>SUM(R9:U9)</f>
        <v>175</v>
      </c>
      <c r="W9" s="11">
        <v>44</v>
      </c>
      <c r="X9" s="11">
        <v>44</v>
      </c>
      <c r="Y9" s="11"/>
      <c r="Z9" s="11"/>
      <c r="AA9" s="50">
        <f>SUM(W9:Z9)</f>
        <v>88</v>
      </c>
    </row>
    <row r="10" spans="2:27" x14ac:dyDescent="0.25">
      <c r="B10" s="39" t="s">
        <v>144</v>
      </c>
      <c r="C10" s="11">
        <v>16</v>
      </c>
      <c r="D10" s="11">
        <v>17</v>
      </c>
      <c r="E10" s="11">
        <v>17</v>
      </c>
      <c r="F10" s="11">
        <v>19</v>
      </c>
      <c r="G10" s="50">
        <f t="shared" si="0"/>
        <v>69</v>
      </c>
      <c r="H10" s="11">
        <v>20</v>
      </c>
      <c r="I10" s="11">
        <v>22</v>
      </c>
      <c r="J10" s="11">
        <v>22</v>
      </c>
      <c r="K10" s="11">
        <v>23</v>
      </c>
      <c r="L10" s="50">
        <f t="shared" si="1"/>
        <v>87</v>
      </c>
      <c r="M10" s="11">
        <v>21</v>
      </c>
      <c r="N10" s="11">
        <v>49</v>
      </c>
      <c r="O10" s="11">
        <v>47</v>
      </c>
      <c r="P10" s="11">
        <v>30</v>
      </c>
      <c r="Q10" s="50">
        <f t="shared" si="2"/>
        <v>147</v>
      </c>
      <c r="R10" s="11">
        <v>30</v>
      </c>
      <c r="S10" s="11">
        <v>40</v>
      </c>
      <c r="T10" s="11">
        <v>41</v>
      </c>
      <c r="U10" s="11">
        <v>42</v>
      </c>
      <c r="V10" s="50">
        <f>SUM(R10:U10)</f>
        <v>153</v>
      </c>
      <c r="W10" s="11">
        <v>39</v>
      </c>
      <c r="X10" s="11">
        <v>39</v>
      </c>
      <c r="Y10" s="11"/>
      <c r="Z10" s="11"/>
      <c r="AA10" s="50">
        <f>SUM(W10:Z10)</f>
        <v>78</v>
      </c>
    </row>
    <row r="11" spans="2:27" x14ac:dyDescent="0.25">
      <c r="B11" s="40" t="s">
        <v>135</v>
      </c>
      <c r="C11" s="38">
        <v>10</v>
      </c>
      <c r="D11" s="38">
        <v>5</v>
      </c>
      <c r="E11" s="38">
        <v>6</v>
      </c>
      <c r="F11" s="38">
        <v>8</v>
      </c>
      <c r="G11" s="58">
        <f t="shared" si="0"/>
        <v>29</v>
      </c>
      <c r="H11" s="38">
        <v>7</v>
      </c>
      <c r="I11" s="38">
        <v>7</v>
      </c>
      <c r="J11" s="38">
        <v>4</v>
      </c>
      <c r="K11" s="38">
        <v>8</v>
      </c>
      <c r="L11" s="58">
        <f t="shared" si="1"/>
        <v>26</v>
      </c>
      <c r="M11" s="38">
        <v>6</v>
      </c>
      <c r="N11" s="38">
        <v>2</v>
      </c>
      <c r="O11" s="38">
        <v>2</v>
      </c>
      <c r="P11" s="38">
        <v>4</v>
      </c>
      <c r="Q11" s="58">
        <f t="shared" si="2"/>
        <v>14</v>
      </c>
      <c r="R11" s="38">
        <v>4</v>
      </c>
      <c r="S11" s="38">
        <v>-1</v>
      </c>
      <c r="T11" s="38">
        <v>1</v>
      </c>
      <c r="U11" s="38">
        <v>3</v>
      </c>
      <c r="V11" s="58">
        <f>SUM(R11:U11)</f>
        <v>7</v>
      </c>
      <c r="W11" s="38">
        <v>6</v>
      </c>
      <c r="X11" s="38">
        <v>6</v>
      </c>
      <c r="Y11" s="38"/>
      <c r="Z11" s="38"/>
      <c r="AA11" s="58">
        <f>SUM(W11:Z11)</f>
        <v>12</v>
      </c>
    </row>
    <row r="12" spans="2:27" x14ac:dyDescent="0.25">
      <c r="B12" s="45" t="s">
        <v>130</v>
      </c>
      <c r="C12" s="1">
        <v>20</v>
      </c>
      <c r="D12" s="1">
        <v>25</v>
      </c>
      <c r="E12" s="1">
        <v>24</v>
      </c>
      <c r="F12" s="1">
        <v>25</v>
      </c>
      <c r="G12" s="50">
        <f t="shared" si="0"/>
        <v>94</v>
      </c>
      <c r="H12" s="1">
        <v>28</v>
      </c>
      <c r="I12" s="1">
        <v>30</v>
      </c>
      <c r="J12" s="1">
        <v>24</v>
      </c>
      <c r="K12" s="1">
        <v>24</v>
      </c>
      <c r="L12" s="50">
        <f t="shared" si="1"/>
        <v>106</v>
      </c>
      <c r="M12" s="1">
        <v>28</v>
      </c>
      <c r="N12" s="1">
        <v>32</v>
      </c>
      <c r="O12" s="1">
        <v>26</v>
      </c>
      <c r="P12" s="1">
        <v>24</v>
      </c>
      <c r="Q12" s="50">
        <f t="shared" si="2"/>
        <v>110</v>
      </c>
      <c r="R12" s="1">
        <v>32</v>
      </c>
      <c r="S12" s="1">
        <v>28</v>
      </c>
      <c r="T12" s="1">
        <v>24</v>
      </c>
      <c r="U12" s="1">
        <v>28</v>
      </c>
      <c r="V12" s="50">
        <f>SUM(R12:U12)</f>
        <v>112</v>
      </c>
      <c r="W12" s="1">
        <v>32</v>
      </c>
      <c r="X12" s="1">
        <v>39</v>
      </c>
      <c r="Y12" s="1"/>
      <c r="Z12" s="1"/>
      <c r="AA12" s="50">
        <f>SUM(W12:Z12)</f>
        <v>71</v>
      </c>
    </row>
    <row r="13" spans="2:27" x14ac:dyDescent="0.25">
      <c r="B13" s="40" t="s">
        <v>136</v>
      </c>
      <c r="C13" s="43">
        <v>0.13</v>
      </c>
      <c r="D13" s="43">
        <v>0.16</v>
      </c>
      <c r="E13" s="43">
        <v>0.15</v>
      </c>
      <c r="F13" s="43">
        <v>0.15</v>
      </c>
      <c r="G13" s="53">
        <f>G12/G6</f>
        <v>0.1494435612082671</v>
      </c>
      <c r="H13" s="43">
        <v>0.15</v>
      </c>
      <c r="I13" s="43">
        <v>0.16</v>
      </c>
      <c r="J13" s="43">
        <v>0.13</v>
      </c>
      <c r="K13" s="43">
        <v>0.13</v>
      </c>
      <c r="L13" s="53">
        <f>L12/L6</f>
        <v>0.14461118690313779</v>
      </c>
      <c r="M13" s="43">
        <v>0.14000000000000001</v>
      </c>
      <c r="N13" s="43">
        <v>0.15</v>
      </c>
      <c r="O13" s="43">
        <v>0.12</v>
      </c>
      <c r="P13" s="43">
        <v>0.12</v>
      </c>
      <c r="Q13" s="53">
        <f>Q12/Q6</f>
        <v>0.13221153846153846</v>
      </c>
      <c r="R13" s="43">
        <v>0.15</v>
      </c>
      <c r="S13" s="43">
        <v>0.13</v>
      </c>
      <c r="T13" s="43">
        <v>0.11</v>
      </c>
      <c r="U13" s="43">
        <v>0.13</v>
      </c>
      <c r="V13" s="53">
        <f>V12/V6</f>
        <v>0.12888377445339472</v>
      </c>
      <c r="W13" s="43">
        <v>0.14000000000000001</v>
      </c>
      <c r="X13" s="43">
        <v>0.17</v>
      </c>
      <c r="Y13" s="43"/>
      <c r="Z13" s="43"/>
      <c r="AA13" s="53">
        <f>AA12/AA6</f>
        <v>0.1574279379157428</v>
      </c>
    </row>
    <row r="14" spans="2:27" x14ac:dyDescent="0.25">
      <c r="B14" s="45" t="s">
        <v>137</v>
      </c>
      <c r="C14" s="1">
        <v>14</v>
      </c>
      <c r="D14" s="1">
        <v>19</v>
      </c>
      <c r="E14" s="1">
        <v>18</v>
      </c>
      <c r="F14" s="1">
        <v>6</v>
      </c>
      <c r="G14" s="50">
        <f>SUM(C14:F14)</f>
        <v>57</v>
      </c>
      <c r="H14" s="1">
        <v>21</v>
      </c>
      <c r="I14" s="1">
        <v>23</v>
      </c>
      <c r="J14" s="1">
        <v>17</v>
      </c>
      <c r="K14" s="1">
        <v>16</v>
      </c>
      <c r="L14" s="50">
        <f>SUM(H14:K14)</f>
        <v>77</v>
      </c>
      <c r="M14" s="1">
        <v>21</v>
      </c>
      <c r="N14" s="1">
        <v>25</v>
      </c>
      <c r="O14" s="1">
        <v>18</v>
      </c>
      <c r="P14" s="1">
        <v>6</v>
      </c>
      <c r="Q14" s="50">
        <f>SUM(M14:P14)</f>
        <v>70</v>
      </c>
      <c r="R14" s="1">
        <v>25</v>
      </c>
      <c r="S14" s="1">
        <v>20</v>
      </c>
      <c r="T14" s="1">
        <v>11</v>
      </c>
      <c r="U14" s="1">
        <v>20</v>
      </c>
      <c r="V14" s="50">
        <f>SUM(R14:U14)</f>
        <v>76</v>
      </c>
      <c r="W14" s="1">
        <v>25</v>
      </c>
      <c r="X14" s="1">
        <v>30</v>
      </c>
      <c r="Y14" s="1"/>
      <c r="Z14" s="1"/>
      <c r="AA14" s="50">
        <f>SUM(W14:Z14)</f>
        <v>55</v>
      </c>
    </row>
    <row r="15" spans="2:27" x14ac:dyDescent="0.25">
      <c r="B15" s="39" t="s">
        <v>30</v>
      </c>
      <c r="C15" s="32">
        <v>0.09</v>
      </c>
      <c r="D15" s="32">
        <v>0.12</v>
      </c>
      <c r="E15" s="32">
        <v>0.12</v>
      </c>
      <c r="F15" s="32">
        <v>0.04</v>
      </c>
      <c r="G15" s="54">
        <f>G14/G6</f>
        <v>9.0620031796502382E-2</v>
      </c>
      <c r="H15" s="32">
        <v>0.12</v>
      </c>
      <c r="I15" s="32">
        <v>0.12</v>
      </c>
      <c r="J15" s="32">
        <v>0.09</v>
      </c>
      <c r="K15" s="43">
        <v>0.09</v>
      </c>
      <c r="L15" s="54">
        <f>L14/L6</f>
        <v>0.10504774897680765</v>
      </c>
      <c r="M15" s="32">
        <v>0.11</v>
      </c>
      <c r="N15" s="32">
        <v>0.11</v>
      </c>
      <c r="O15" s="32">
        <v>0.09</v>
      </c>
      <c r="P15" s="43">
        <v>0.03</v>
      </c>
      <c r="Q15" s="54">
        <f>Q14/Q6</f>
        <v>8.4134615384615391E-2</v>
      </c>
      <c r="R15" s="43">
        <v>0.12</v>
      </c>
      <c r="S15" s="43">
        <v>0.09</v>
      </c>
      <c r="T15" s="43">
        <v>0.05</v>
      </c>
      <c r="U15" s="43">
        <v>0.09</v>
      </c>
      <c r="V15" s="54">
        <f>V14/V6</f>
        <v>8.7456846950517836E-2</v>
      </c>
      <c r="W15" s="43">
        <v>0.11</v>
      </c>
      <c r="X15" s="43">
        <v>0.13</v>
      </c>
      <c r="Y15" s="43"/>
      <c r="Z15" s="43"/>
      <c r="AA15" s="54">
        <f>AA14/AA6</f>
        <v>0.12195121951219512</v>
      </c>
    </row>
    <row r="16" spans="2:27" x14ac:dyDescent="0.25">
      <c r="B16" s="37" t="s">
        <v>138</v>
      </c>
      <c r="C16" s="37">
        <v>1</v>
      </c>
      <c r="D16" s="37">
        <v>2</v>
      </c>
      <c r="E16" s="37">
        <v>2</v>
      </c>
      <c r="F16" s="37">
        <v>1</v>
      </c>
      <c r="G16" s="55">
        <f>SUM(C16:F16)</f>
        <v>6</v>
      </c>
      <c r="H16" s="37">
        <v>1</v>
      </c>
      <c r="I16" s="37">
        <v>1</v>
      </c>
      <c r="J16" s="37">
        <v>2</v>
      </c>
      <c r="K16" s="2">
        <v>2</v>
      </c>
      <c r="L16" s="55">
        <f>SUM(H16:K16)</f>
        <v>6</v>
      </c>
      <c r="M16" s="37">
        <v>0</v>
      </c>
      <c r="N16" s="37">
        <v>1</v>
      </c>
      <c r="O16" s="37">
        <v>2</v>
      </c>
      <c r="P16" s="2">
        <v>-1</v>
      </c>
      <c r="Q16" s="55">
        <f>SUM(M16:P16)</f>
        <v>2</v>
      </c>
      <c r="R16" s="2">
        <v>1</v>
      </c>
      <c r="S16" s="2">
        <v>0</v>
      </c>
      <c r="T16" s="2">
        <v>0</v>
      </c>
      <c r="U16" s="2">
        <v>0</v>
      </c>
      <c r="V16" s="55">
        <f>SUM(R16:U16)</f>
        <v>1</v>
      </c>
      <c r="W16" s="2">
        <v>0</v>
      </c>
      <c r="X16" s="2">
        <v>1</v>
      </c>
      <c r="AA16" s="55">
        <f>SUM(W16:Z16)</f>
        <v>1</v>
      </c>
    </row>
    <row r="17" spans="2:27" x14ac:dyDescent="0.25">
      <c r="B17" s="2" t="s">
        <v>143</v>
      </c>
      <c r="C17" s="2">
        <v>4</v>
      </c>
      <c r="D17" s="2">
        <v>-23</v>
      </c>
      <c r="E17" s="2">
        <v>-23</v>
      </c>
      <c r="F17" s="2">
        <v>22</v>
      </c>
      <c r="G17" s="49">
        <f>SUM(C17:F17)</f>
        <v>-20</v>
      </c>
      <c r="H17" s="2">
        <v>-9</v>
      </c>
      <c r="I17" s="2">
        <v>0</v>
      </c>
      <c r="J17" s="2">
        <v>-6</v>
      </c>
      <c r="K17" s="2">
        <v>-4</v>
      </c>
      <c r="L17" s="49">
        <f>SUM(H17:K17)</f>
        <v>-19</v>
      </c>
      <c r="M17" s="2">
        <v>-10</v>
      </c>
      <c r="N17" s="2">
        <v>-4</v>
      </c>
      <c r="O17" s="2">
        <v>3</v>
      </c>
      <c r="P17" s="2">
        <v>-26</v>
      </c>
      <c r="Q17" s="49">
        <f>SUM(M17:P17)</f>
        <v>-37</v>
      </c>
      <c r="R17" s="2">
        <v>18</v>
      </c>
      <c r="S17" s="2">
        <v>19</v>
      </c>
      <c r="T17" s="2">
        <v>-4</v>
      </c>
      <c r="U17" s="2">
        <v>-8</v>
      </c>
      <c r="V17" s="49">
        <f>SUM(R17:U17)</f>
        <v>25</v>
      </c>
      <c r="W17" s="2">
        <v>1</v>
      </c>
      <c r="X17" s="2">
        <v>-5</v>
      </c>
      <c r="AA17" s="49">
        <f>SUM(W17:Z17)</f>
        <v>-4</v>
      </c>
    </row>
    <row r="18" spans="2:27" x14ac:dyDescent="0.25">
      <c r="B18" s="31" t="s">
        <v>139</v>
      </c>
      <c r="C18" s="31">
        <v>-4</v>
      </c>
      <c r="D18" s="31">
        <v>0</v>
      </c>
      <c r="E18" s="31">
        <v>1</v>
      </c>
      <c r="F18" s="31">
        <v>-12</v>
      </c>
      <c r="G18" s="56">
        <f>SUM(C18:F18)</f>
        <v>-15</v>
      </c>
      <c r="H18" s="31">
        <v>-3</v>
      </c>
      <c r="I18" s="31">
        <v>-5</v>
      </c>
      <c r="J18" s="31">
        <v>-3</v>
      </c>
      <c r="K18" s="31">
        <v>-9</v>
      </c>
      <c r="L18" s="56">
        <f>SUM(H18:K18)</f>
        <v>-20</v>
      </c>
      <c r="M18" s="31">
        <v>-2</v>
      </c>
      <c r="N18" s="31">
        <v>-5</v>
      </c>
      <c r="O18" s="31">
        <v>-5</v>
      </c>
      <c r="P18" s="31">
        <v>1</v>
      </c>
      <c r="Q18" s="56">
        <f>SUM(M18:P18)</f>
        <v>-11</v>
      </c>
      <c r="R18" s="31">
        <v>-10</v>
      </c>
      <c r="S18" s="31">
        <v>-8</v>
      </c>
      <c r="T18" s="31">
        <v>-2</v>
      </c>
      <c r="U18" s="31">
        <v>-17</v>
      </c>
      <c r="V18" s="56">
        <f>SUM(R18:U18)</f>
        <v>-37</v>
      </c>
      <c r="W18" s="31">
        <v>-6</v>
      </c>
      <c r="X18" s="31">
        <v>-6</v>
      </c>
      <c r="Y18" s="31"/>
      <c r="Z18" s="31"/>
      <c r="AA18" s="56">
        <f>SUM(W18:Z18)</f>
        <v>-12</v>
      </c>
    </row>
    <row r="19" spans="2:27" x14ac:dyDescent="0.25">
      <c r="B19" s="1" t="s">
        <v>140</v>
      </c>
      <c r="C19" s="1">
        <v>15</v>
      </c>
      <c r="D19" s="1">
        <v>-1</v>
      </c>
      <c r="E19" s="1">
        <v>-2</v>
      </c>
      <c r="F19" s="1">
        <v>17</v>
      </c>
      <c r="G19" s="50">
        <f>SUM(C19:F19)</f>
        <v>29</v>
      </c>
      <c r="H19" s="1">
        <v>11</v>
      </c>
      <c r="I19" s="1">
        <v>19</v>
      </c>
      <c r="J19" s="1">
        <v>10</v>
      </c>
      <c r="K19" s="1">
        <v>5</v>
      </c>
      <c r="L19" s="50">
        <f>SUM(H19:K19)</f>
        <v>45</v>
      </c>
      <c r="M19" s="1">
        <v>8</v>
      </c>
      <c r="N19" s="1">
        <v>17</v>
      </c>
      <c r="O19" s="1">
        <v>19</v>
      </c>
      <c r="P19" s="1">
        <v>-21</v>
      </c>
      <c r="Q19" s="50">
        <f>SUM(M19:P19)</f>
        <v>23</v>
      </c>
      <c r="R19" s="1">
        <v>35</v>
      </c>
      <c r="S19" s="1">
        <v>31</v>
      </c>
      <c r="T19" s="1">
        <v>6</v>
      </c>
      <c r="U19" s="1">
        <v>-4</v>
      </c>
      <c r="V19" s="50">
        <f>SUM(R19:U19)</f>
        <v>68</v>
      </c>
      <c r="W19" s="1">
        <v>20</v>
      </c>
      <c r="X19" s="1">
        <v>21</v>
      </c>
      <c r="Y19" s="1"/>
      <c r="Z19" s="1"/>
      <c r="AA19" s="50">
        <f>SUM(W19:Z19)</f>
        <v>41</v>
      </c>
    </row>
    <row r="20" spans="2:27" x14ac:dyDescent="0.25">
      <c r="B20" s="39" t="s">
        <v>141</v>
      </c>
      <c r="C20" s="32">
        <v>0.09</v>
      </c>
      <c r="D20" s="32">
        <v>-0.01</v>
      </c>
      <c r="E20" s="32">
        <v>-0.01</v>
      </c>
      <c r="F20" s="32">
        <v>0.1</v>
      </c>
      <c r="G20" s="54">
        <f>G19/G6</f>
        <v>4.6104928457869634E-2</v>
      </c>
      <c r="H20" s="32">
        <v>0.06</v>
      </c>
      <c r="I20" s="32">
        <v>0.1</v>
      </c>
      <c r="J20" s="32">
        <v>0.06</v>
      </c>
      <c r="K20" s="32">
        <v>0.03</v>
      </c>
      <c r="L20" s="54">
        <f>L19/L6</f>
        <v>6.1391541609822645E-2</v>
      </c>
      <c r="M20" s="32">
        <v>0.04</v>
      </c>
      <c r="N20" s="32">
        <v>0.08</v>
      </c>
      <c r="O20" s="32">
        <v>0.09</v>
      </c>
      <c r="P20" s="32">
        <v>-0.1</v>
      </c>
      <c r="Q20" s="54">
        <f>Q19/Q6</f>
        <v>2.7644230769230768E-2</v>
      </c>
      <c r="R20" s="32">
        <v>0.16</v>
      </c>
      <c r="S20" s="32">
        <v>0.15</v>
      </c>
      <c r="T20" s="32">
        <v>0.03</v>
      </c>
      <c r="U20" s="32">
        <v>0.03</v>
      </c>
      <c r="V20" s="54">
        <f>V19/V6</f>
        <v>7.8250863060989648E-2</v>
      </c>
      <c r="W20" s="32">
        <v>0.09</v>
      </c>
      <c r="X20" s="32">
        <v>0.09</v>
      </c>
      <c r="Y20" s="32"/>
      <c r="Z20" s="32"/>
      <c r="AA20" s="54">
        <f>AA19/AA6</f>
        <v>9.0909090909090912E-2</v>
      </c>
    </row>
    <row r="21" spans="2:27" x14ac:dyDescent="0.25">
      <c r="G21" s="49"/>
      <c r="L21" s="49"/>
      <c r="Q21" s="49"/>
      <c r="V21" s="49"/>
      <c r="AA21" s="49"/>
    </row>
    <row r="22" spans="2:27" x14ac:dyDescent="0.25">
      <c r="B22" s="44" t="s">
        <v>142</v>
      </c>
      <c r="G22" s="49"/>
      <c r="L22" s="49"/>
      <c r="Q22" s="49"/>
      <c r="V22" s="49"/>
      <c r="AA22" s="49"/>
    </row>
    <row r="23" spans="2:27" x14ac:dyDescent="0.25">
      <c r="B23" s="1" t="s">
        <v>42</v>
      </c>
      <c r="C23" s="1">
        <v>93</v>
      </c>
      <c r="D23" s="1">
        <v>81</v>
      </c>
      <c r="E23" s="1">
        <v>76</v>
      </c>
      <c r="F23" s="1">
        <v>83</v>
      </c>
      <c r="G23" s="50">
        <f>SUM(C23:F23)</f>
        <v>333</v>
      </c>
      <c r="H23" s="1">
        <v>75</v>
      </c>
      <c r="I23" s="1">
        <v>74</v>
      </c>
      <c r="J23" s="1">
        <v>74</v>
      </c>
      <c r="K23" s="1">
        <v>68</v>
      </c>
      <c r="L23" s="50">
        <f>SUM(H23:K23)</f>
        <v>291</v>
      </c>
      <c r="M23" s="1">
        <v>69</v>
      </c>
      <c r="N23" s="1">
        <v>80</v>
      </c>
      <c r="O23" s="1">
        <v>78</v>
      </c>
      <c r="P23" s="1">
        <v>75</v>
      </c>
      <c r="Q23" s="50">
        <f>SUM(M23:P23)</f>
        <v>302</v>
      </c>
      <c r="R23" s="1">
        <v>82</v>
      </c>
      <c r="S23" s="1">
        <v>100</v>
      </c>
      <c r="T23" s="1">
        <v>87</v>
      </c>
      <c r="U23" s="1">
        <v>89</v>
      </c>
      <c r="V23" s="50">
        <f>SUM(R23:U23)</f>
        <v>358</v>
      </c>
      <c r="W23" s="1">
        <v>84</v>
      </c>
      <c r="X23" s="1">
        <v>91</v>
      </c>
      <c r="Y23" s="1"/>
      <c r="Z23" s="1"/>
      <c r="AA23" s="50">
        <f>SUM(W23:Z23)</f>
        <v>175</v>
      </c>
    </row>
    <row r="24" spans="2:27" x14ac:dyDescent="0.25">
      <c r="B24" s="11" t="s">
        <v>189</v>
      </c>
      <c r="C24" s="11"/>
      <c r="D24" s="11"/>
      <c r="E24" s="11"/>
      <c r="F24" s="11"/>
      <c r="G24" s="51"/>
      <c r="H24" s="61">
        <f t="shared" ref="H24:AA24" si="5">(H23-C23)/C23</f>
        <v>-0.19354838709677419</v>
      </c>
      <c r="I24" s="61">
        <f t="shared" si="5"/>
        <v>-8.6419753086419748E-2</v>
      </c>
      <c r="J24" s="61">
        <f t="shared" si="5"/>
        <v>-2.6315789473684209E-2</v>
      </c>
      <c r="K24" s="61">
        <f t="shared" si="5"/>
        <v>-0.18072289156626506</v>
      </c>
      <c r="L24" s="62">
        <f t="shared" si="5"/>
        <v>-0.12612612612612611</v>
      </c>
      <c r="M24" s="61">
        <f t="shared" si="5"/>
        <v>-0.08</v>
      </c>
      <c r="N24" s="61">
        <f t="shared" si="5"/>
        <v>8.1081081081081086E-2</v>
      </c>
      <c r="O24" s="61">
        <f t="shared" si="5"/>
        <v>5.4054054054054057E-2</v>
      </c>
      <c r="P24" s="61">
        <f t="shared" si="5"/>
        <v>0.10294117647058823</v>
      </c>
      <c r="Q24" s="62">
        <f t="shared" si="5"/>
        <v>3.7800687285223365E-2</v>
      </c>
      <c r="R24" s="61">
        <f t="shared" si="5"/>
        <v>0.18840579710144928</v>
      </c>
      <c r="S24" s="61">
        <f t="shared" si="5"/>
        <v>0.25</v>
      </c>
      <c r="T24" s="61">
        <f t="shared" si="5"/>
        <v>0.11538461538461539</v>
      </c>
      <c r="U24" s="61">
        <f t="shared" si="5"/>
        <v>0.18666666666666668</v>
      </c>
      <c r="V24" s="62">
        <f t="shared" si="5"/>
        <v>0.18543046357615894</v>
      </c>
      <c r="W24" s="61">
        <f t="shared" si="5"/>
        <v>2.4390243902439025E-2</v>
      </c>
      <c r="X24" s="61">
        <f t="shared" si="5"/>
        <v>-0.09</v>
      </c>
      <c r="Y24" s="61">
        <f t="shared" si="5"/>
        <v>-1</v>
      </c>
      <c r="Z24" s="61">
        <f t="shared" si="5"/>
        <v>-1</v>
      </c>
      <c r="AA24" s="62">
        <f t="shared" si="5"/>
        <v>-0.51117318435754189</v>
      </c>
    </row>
    <row r="25" spans="2:27" x14ac:dyDescent="0.25">
      <c r="B25" s="39" t="s">
        <v>148</v>
      </c>
      <c r="C25" s="11">
        <v>84</v>
      </c>
      <c r="D25" s="11">
        <v>70</v>
      </c>
      <c r="E25" s="11">
        <v>64</v>
      </c>
      <c r="F25" s="11">
        <v>74</v>
      </c>
      <c r="G25" s="50">
        <f>SUM(C25:F25)</f>
        <v>292</v>
      </c>
      <c r="H25" s="11">
        <v>69</v>
      </c>
      <c r="I25" s="11">
        <v>73</v>
      </c>
      <c r="J25" s="11">
        <v>74</v>
      </c>
      <c r="K25" s="2">
        <v>67</v>
      </c>
      <c r="L25" s="50">
        <f>SUM(H25:K25)</f>
        <v>283</v>
      </c>
      <c r="M25" s="11">
        <v>68</v>
      </c>
      <c r="N25" s="11">
        <v>79</v>
      </c>
      <c r="O25" s="11">
        <v>78</v>
      </c>
      <c r="P25" s="11">
        <v>75</v>
      </c>
      <c r="Q25" s="50">
        <f>SUM(M25:P25)</f>
        <v>300</v>
      </c>
      <c r="R25" s="11">
        <v>81</v>
      </c>
      <c r="S25" s="11">
        <v>99</v>
      </c>
      <c r="T25" s="11">
        <v>87</v>
      </c>
      <c r="U25" s="11">
        <v>88</v>
      </c>
      <c r="V25" s="50">
        <f>SUM(R25:U25)</f>
        <v>355</v>
      </c>
      <c r="W25" s="11">
        <v>83</v>
      </c>
      <c r="X25" s="11">
        <v>90</v>
      </c>
      <c r="Y25" s="11"/>
      <c r="Z25" s="11"/>
      <c r="AA25" s="50">
        <f>SUM(W25:Z25)</f>
        <v>173</v>
      </c>
    </row>
    <row r="26" spans="2:27" x14ac:dyDescent="0.25">
      <c r="B26" s="40" t="s">
        <v>135</v>
      </c>
      <c r="C26" s="38">
        <v>9</v>
      </c>
      <c r="D26" s="38">
        <v>11</v>
      </c>
      <c r="E26" s="38">
        <v>11</v>
      </c>
      <c r="F26" s="38">
        <v>10</v>
      </c>
      <c r="G26" s="58">
        <f>SUM(C26:F26)</f>
        <v>41</v>
      </c>
      <c r="H26" s="38">
        <v>5</v>
      </c>
      <c r="I26" s="38">
        <v>1</v>
      </c>
      <c r="J26" s="38">
        <v>0</v>
      </c>
      <c r="K26" s="31">
        <v>1</v>
      </c>
      <c r="L26" s="58">
        <f>SUM(H26:K26)</f>
        <v>7</v>
      </c>
      <c r="M26" s="38">
        <v>1</v>
      </c>
      <c r="N26" s="38">
        <v>1</v>
      </c>
      <c r="O26" s="38">
        <v>0</v>
      </c>
      <c r="P26" s="38">
        <v>0</v>
      </c>
      <c r="Q26" s="58">
        <f>SUM(M26:P26)</f>
        <v>2</v>
      </c>
      <c r="R26" s="38">
        <v>1</v>
      </c>
      <c r="S26" s="38">
        <v>1</v>
      </c>
      <c r="T26" s="38">
        <v>1</v>
      </c>
      <c r="U26" s="38">
        <v>1</v>
      </c>
      <c r="V26" s="58">
        <f>SUM(R26:U26)</f>
        <v>4</v>
      </c>
      <c r="W26" s="38">
        <v>1</v>
      </c>
      <c r="X26" s="38">
        <v>1</v>
      </c>
      <c r="Y26" s="38"/>
      <c r="Z26" s="38"/>
      <c r="AA26" s="58">
        <f>SUM(W26:Z26)</f>
        <v>2</v>
      </c>
    </row>
    <row r="27" spans="2:27" x14ac:dyDescent="0.25">
      <c r="B27" s="45" t="s">
        <v>130</v>
      </c>
      <c r="C27" s="1">
        <v>31</v>
      </c>
      <c r="D27" s="1">
        <v>15</v>
      </c>
      <c r="E27" s="1">
        <v>13</v>
      </c>
      <c r="F27" s="1">
        <v>15</v>
      </c>
      <c r="G27" s="50">
        <f>SUM(C27:F27)</f>
        <v>74</v>
      </c>
      <c r="H27" s="1">
        <v>12</v>
      </c>
      <c r="I27" s="1">
        <v>11</v>
      </c>
      <c r="J27" s="1">
        <v>14</v>
      </c>
      <c r="K27" s="1">
        <v>13</v>
      </c>
      <c r="L27" s="50">
        <f>SUM(H27:K27)</f>
        <v>50</v>
      </c>
      <c r="M27" s="1">
        <v>12</v>
      </c>
      <c r="N27" s="1">
        <v>17</v>
      </c>
      <c r="O27" s="1">
        <v>15</v>
      </c>
      <c r="P27" s="1">
        <v>16</v>
      </c>
      <c r="Q27" s="50">
        <f>SUM(M27:P27)</f>
        <v>60</v>
      </c>
      <c r="R27" s="1">
        <v>15</v>
      </c>
      <c r="S27" s="1">
        <v>21</v>
      </c>
      <c r="T27" s="1">
        <v>21</v>
      </c>
      <c r="U27" s="1">
        <v>22</v>
      </c>
      <c r="V27" s="50">
        <f>SUM(R27:U27)</f>
        <v>79</v>
      </c>
      <c r="W27" s="1">
        <v>21</v>
      </c>
      <c r="X27" s="1">
        <v>25</v>
      </c>
      <c r="Y27" s="1"/>
      <c r="Z27" s="1"/>
      <c r="AA27" s="50">
        <f>SUM(W27:Z27)</f>
        <v>46</v>
      </c>
    </row>
    <row r="28" spans="2:27" x14ac:dyDescent="0.25">
      <c r="B28" s="40" t="s">
        <v>136</v>
      </c>
      <c r="C28" s="43">
        <v>0.34</v>
      </c>
      <c r="D28" s="43">
        <v>0.18</v>
      </c>
      <c r="E28" s="43">
        <v>0.17</v>
      </c>
      <c r="F28" s="43">
        <v>0.18</v>
      </c>
      <c r="G28" s="53">
        <f>G27/G23</f>
        <v>0.22222222222222221</v>
      </c>
      <c r="H28" s="43">
        <v>0.16</v>
      </c>
      <c r="I28" s="43">
        <v>0.15</v>
      </c>
      <c r="J28" s="43">
        <v>0.19</v>
      </c>
      <c r="K28" s="43">
        <v>0.19</v>
      </c>
      <c r="L28" s="53">
        <f>L27/L23</f>
        <v>0.1718213058419244</v>
      </c>
      <c r="M28" s="43">
        <v>0.17</v>
      </c>
      <c r="N28" s="43">
        <v>0.21</v>
      </c>
      <c r="O28" s="43">
        <v>0.19</v>
      </c>
      <c r="P28" s="43">
        <v>0.21</v>
      </c>
      <c r="Q28" s="53">
        <f>Q27/Q23</f>
        <v>0.19867549668874171</v>
      </c>
      <c r="R28" s="43">
        <v>0.19</v>
      </c>
      <c r="S28" s="43">
        <v>0.21</v>
      </c>
      <c r="T28" s="43">
        <v>0.24</v>
      </c>
      <c r="U28" s="43">
        <v>0.25</v>
      </c>
      <c r="V28" s="53">
        <f>V27/V23</f>
        <v>0.2206703910614525</v>
      </c>
      <c r="W28" s="43">
        <v>0.25</v>
      </c>
      <c r="X28" s="43">
        <v>0.28000000000000003</v>
      </c>
      <c r="Y28" s="43"/>
      <c r="Z28" s="43"/>
      <c r="AA28" s="53">
        <f>AA27/AA23</f>
        <v>0.26285714285714284</v>
      </c>
    </row>
    <row r="29" spans="2:27" x14ac:dyDescent="0.25">
      <c r="B29" s="45" t="s">
        <v>137</v>
      </c>
      <c r="C29" s="1">
        <v>22</v>
      </c>
      <c r="D29" s="1">
        <v>10</v>
      </c>
      <c r="E29" s="1">
        <v>7</v>
      </c>
      <c r="F29" s="1">
        <v>8</v>
      </c>
      <c r="G29" s="50">
        <f>SUM(C29:F29)</f>
        <v>47</v>
      </c>
      <c r="H29" s="1">
        <v>6</v>
      </c>
      <c r="I29" s="1">
        <v>5</v>
      </c>
      <c r="J29" s="1">
        <v>7</v>
      </c>
      <c r="K29" s="1">
        <v>5</v>
      </c>
      <c r="L29" s="50">
        <f>SUM(H29:K29)</f>
        <v>23</v>
      </c>
      <c r="M29" s="1">
        <v>4</v>
      </c>
      <c r="N29" s="1">
        <v>9</v>
      </c>
      <c r="O29" s="1">
        <v>7</v>
      </c>
      <c r="P29" s="1">
        <v>9</v>
      </c>
      <c r="Q29" s="50">
        <f>SUM(M29:P29)</f>
        <v>29</v>
      </c>
      <c r="R29" s="1">
        <v>9</v>
      </c>
      <c r="S29" s="1">
        <v>11</v>
      </c>
      <c r="T29" s="1">
        <v>12</v>
      </c>
      <c r="U29" s="1">
        <v>12</v>
      </c>
      <c r="V29" s="50">
        <f>SUM(R29:U29)</f>
        <v>44</v>
      </c>
      <c r="W29" s="1">
        <v>10</v>
      </c>
      <c r="X29" s="1">
        <v>14</v>
      </c>
      <c r="Y29" s="1"/>
      <c r="Z29" s="1"/>
      <c r="AA29" s="50">
        <f>SUM(W29:Z29)</f>
        <v>24</v>
      </c>
    </row>
    <row r="30" spans="2:27" x14ac:dyDescent="0.25">
      <c r="B30" s="39" t="s">
        <v>30</v>
      </c>
      <c r="C30" s="32">
        <v>0.24</v>
      </c>
      <c r="D30" s="32">
        <v>0.12</v>
      </c>
      <c r="E30" s="32">
        <v>0.09</v>
      </c>
      <c r="F30" s="32">
        <v>0.1</v>
      </c>
      <c r="G30" s="54">
        <f>G29/G23</f>
        <v>0.14114114114114115</v>
      </c>
      <c r="H30" s="32">
        <v>0.08</v>
      </c>
      <c r="I30" s="32">
        <v>0.06</v>
      </c>
      <c r="J30" s="32">
        <v>0.1</v>
      </c>
      <c r="K30" s="43">
        <v>7.0000000000000007E-2</v>
      </c>
      <c r="L30" s="54">
        <f>L29/L23</f>
        <v>7.903780068728522E-2</v>
      </c>
      <c r="M30" s="32">
        <v>0.06</v>
      </c>
      <c r="N30" s="32">
        <v>0.11</v>
      </c>
      <c r="O30" s="32">
        <v>0.09</v>
      </c>
      <c r="P30" s="43">
        <v>0.11</v>
      </c>
      <c r="Q30" s="54">
        <f>Q29/Q23</f>
        <v>9.602649006622517E-2</v>
      </c>
      <c r="R30" s="43">
        <v>0.11</v>
      </c>
      <c r="S30" s="43">
        <v>0.11</v>
      </c>
      <c r="T30" s="43">
        <v>0.14000000000000001</v>
      </c>
      <c r="U30" s="43">
        <v>0.14000000000000001</v>
      </c>
      <c r="V30" s="54">
        <f>V29/V23</f>
        <v>0.12290502793296089</v>
      </c>
      <c r="W30" s="43">
        <v>0.12</v>
      </c>
      <c r="X30" s="43">
        <v>0.16</v>
      </c>
      <c r="Y30" s="43"/>
      <c r="Z30" s="43"/>
      <c r="AA30" s="54">
        <f>AA29/AA23</f>
        <v>0.13714285714285715</v>
      </c>
    </row>
    <row r="31" spans="2:27" x14ac:dyDescent="0.25">
      <c r="B31" s="37" t="s">
        <v>138</v>
      </c>
      <c r="C31" s="37">
        <v>2</v>
      </c>
      <c r="D31" s="37">
        <v>3</v>
      </c>
      <c r="E31" s="37">
        <v>3</v>
      </c>
      <c r="F31" s="37">
        <v>1</v>
      </c>
      <c r="G31" s="55">
        <f t="shared" ref="G31:G36" si="6">SUM(C31:F31)</f>
        <v>9</v>
      </c>
      <c r="H31" s="37">
        <v>2</v>
      </c>
      <c r="I31" s="37">
        <v>1</v>
      </c>
      <c r="J31" s="37">
        <v>4</v>
      </c>
      <c r="K31" s="2">
        <v>3</v>
      </c>
      <c r="L31" s="55">
        <f t="shared" ref="L31:L36" si="7">SUM(H31:K31)</f>
        <v>10</v>
      </c>
      <c r="M31" s="37">
        <v>3</v>
      </c>
      <c r="N31" s="37">
        <v>3</v>
      </c>
      <c r="O31" s="37">
        <v>1</v>
      </c>
      <c r="P31" s="2">
        <v>-1</v>
      </c>
      <c r="Q31" s="55">
        <f t="shared" ref="Q31:Q36" si="8">SUM(M31:P31)</f>
        <v>6</v>
      </c>
      <c r="R31" s="2">
        <v>4</v>
      </c>
      <c r="S31" s="2">
        <v>10</v>
      </c>
      <c r="T31" s="2">
        <v>4</v>
      </c>
      <c r="U31" s="2">
        <v>10</v>
      </c>
      <c r="V31" s="55">
        <f t="shared" ref="V31:V36" si="9">SUM(R31:U31)</f>
        <v>28</v>
      </c>
      <c r="W31" s="2">
        <v>-2</v>
      </c>
      <c r="X31" s="2">
        <v>37</v>
      </c>
      <c r="AA31" s="55">
        <f t="shared" ref="AA31:AA36" si="10">SUM(W31:Z31)</f>
        <v>35</v>
      </c>
    </row>
    <row r="32" spans="2:27" x14ac:dyDescent="0.25">
      <c r="B32" s="39" t="s">
        <v>148</v>
      </c>
      <c r="D32" s="11"/>
      <c r="E32" s="11">
        <v>2</v>
      </c>
      <c r="F32" s="11"/>
      <c r="G32" s="51">
        <f t="shared" si="6"/>
        <v>2</v>
      </c>
      <c r="H32" s="11"/>
      <c r="I32" s="11">
        <v>1</v>
      </c>
      <c r="J32" s="11">
        <v>1</v>
      </c>
      <c r="K32" s="11">
        <v>1</v>
      </c>
      <c r="L32" s="51">
        <f t="shared" si="7"/>
        <v>3</v>
      </c>
      <c r="M32" s="11">
        <v>2</v>
      </c>
      <c r="N32" s="11">
        <v>3</v>
      </c>
      <c r="O32" s="11">
        <v>2</v>
      </c>
      <c r="P32" s="11">
        <v>0</v>
      </c>
      <c r="Q32" s="51">
        <f t="shared" si="8"/>
        <v>7</v>
      </c>
      <c r="R32" s="11">
        <v>2</v>
      </c>
      <c r="S32" s="11">
        <v>2</v>
      </c>
      <c r="T32" s="11"/>
      <c r="U32" s="11"/>
      <c r="V32" s="51">
        <f t="shared" si="9"/>
        <v>4</v>
      </c>
      <c r="W32" s="11"/>
      <c r="X32" s="11"/>
      <c r="Y32" s="11"/>
      <c r="Z32" s="11"/>
      <c r="AA32" s="51">
        <f t="shared" si="10"/>
        <v>0</v>
      </c>
    </row>
    <row r="33" spans="2:27" x14ac:dyDescent="0.25">
      <c r="B33" s="39" t="s">
        <v>135</v>
      </c>
      <c r="D33" s="11"/>
      <c r="E33" s="11">
        <v>1</v>
      </c>
      <c r="F33" s="11"/>
      <c r="G33" s="51">
        <f t="shared" si="6"/>
        <v>1</v>
      </c>
      <c r="H33" s="11"/>
      <c r="I33" s="11">
        <v>0</v>
      </c>
      <c r="J33" s="11">
        <v>2</v>
      </c>
      <c r="K33" s="11">
        <v>2</v>
      </c>
      <c r="L33" s="51">
        <f t="shared" si="7"/>
        <v>4</v>
      </c>
      <c r="M33" s="11">
        <v>1</v>
      </c>
      <c r="N33" s="11">
        <v>0</v>
      </c>
      <c r="O33" s="11">
        <v>-1</v>
      </c>
      <c r="P33" s="11">
        <v>-1</v>
      </c>
      <c r="Q33" s="51">
        <f t="shared" si="8"/>
        <v>-1</v>
      </c>
      <c r="R33" s="11">
        <v>2</v>
      </c>
      <c r="S33" s="11">
        <v>8</v>
      </c>
      <c r="T33" s="11"/>
      <c r="U33" s="11"/>
      <c r="V33" s="51">
        <f t="shared" si="9"/>
        <v>10</v>
      </c>
      <c r="W33" s="11"/>
      <c r="X33" s="11"/>
      <c r="Y33" s="11"/>
      <c r="Z33" s="11"/>
      <c r="AA33" s="51">
        <f t="shared" si="10"/>
        <v>0</v>
      </c>
    </row>
    <row r="34" spans="2:27" x14ac:dyDescent="0.25">
      <c r="B34" s="2" t="s">
        <v>143</v>
      </c>
      <c r="C34" s="2">
        <v>-4</v>
      </c>
      <c r="D34" s="2">
        <v>-3</v>
      </c>
      <c r="E34" s="2">
        <v>-4</v>
      </c>
      <c r="F34" s="2">
        <v>-6</v>
      </c>
      <c r="G34" s="51">
        <f t="shared" si="6"/>
        <v>-17</v>
      </c>
      <c r="H34" s="2">
        <v>-4</v>
      </c>
      <c r="I34" s="2">
        <v>-4</v>
      </c>
      <c r="J34" s="2">
        <v>-2</v>
      </c>
      <c r="K34" s="2">
        <v>-9</v>
      </c>
      <c r="L34" s="51">
        <f t="shared" si="7"/>
        <v>-19</v>
      </c>
      <c r="M34" s="2">
        <v>0</v>
      </c>
      <c r="N34" s="2">
        <v>1</v>
      </c>
      <c r="O34" s="2">
        <v>-8</v>
      </c>
      <c r="P34" s="2">
        <v>1</v>
      </c>
      <c r="Q34" s="51">
        <f t="shared" si="8"/>
        <v>-6</v>
      </c>
      <c r="R34" s="2">
        <v>-12</v>
      </c>
      <c r="S34" s="2">
        <v>-7</v>
      </c>
      <c r="T34" s="2">
        <v>-4</v>
      </c>
      <c r="U34" s="2">
        <v>-1</v>
      </c>
      <c r="V34" s="51">
        <f t="shared" si="9"/>
        <v>-24</v>
      </c>
      <c r="W34" s="2">
        <v>-4</v>
      </c>
      <c r="X34" s="2">
        <v>-2</v>
      </c>
      <c r="AA34" s="51">
        <f t="shared" si="10"/>
        <v>-6</v>
      </c>
    </row>
    <row r="35" spans="2:27" x14ac:dyDescent="0.25">
      <c r="B35" s="31" t="s">
        <v>139</v>
      </c>
      <c r="C35" s="31">
        <v>1</v>
      </c>
      <c r="D35" s="31">
        <v>0</v>
      </c>
      <c r="E35" s="31">
        <v>0</v>
      </c>
      <c r="F35" s="31">
        <v>-3</v>
      </c>
      <c r="G35" s="56">
        <f t="shared" si="6"/>
        <v>-2</v>
      </c>
      <c r="H35" s="31">
        <v>0</v>
      </c>
      <c r="I35" s="31">
        <v>0</v>
      </c>
      <c r="J35" s="31">
        <v>-1</v>
      </c>
      <c r="K35" s="31">
        <v>-1</v>
      </c>
      <c r="L35" s="56">
        <f t="shared" si="7"/>
        <v>-2</v>
      </c>
      <c r="M35" s="31">
        <v>0</v>
      </c>
      <c r="N35" s="31">
        <v>1</v>
      </c>
      <c r="O35" s="31">
        <v>-1</v>
      </c>
      <c r="P35" s="31">
        <v>-2</v>
      </c>
      <c r="Q35" s="56">
        <f t="shared" si="8"/>
        <v>-2</v>
      </c>
      <c r="R35" s="31">
        <v>0</v>
      </c>
      <c r="S35" s="31">
        <v>0</v>
      </c>
      <c r="T35" s="31">
        <v>0</v>
      </c>
      <c r="U35" s="31">
        <v>-5</v>
      </c>
      <c r="V35" s="56">
        <f t="shared" si="9"/>
        <v>-5</v>
      </c>
      <c r="W35" s="31">
        <v>0</v>
      </c>
      <c r="X35" s="31">
        <v>-1</v>
      </c>
      <c r="Y35" s="31"/>
      <c r="Z35" s="31"/>
      <c r="AA35" s="56">
        <f t="shared" si="10"/>
        <v>-1</v>
      </c>
    </row>
    <row r="36" spans="2:27" x14ac:dyDescent="0.25">
      <c r="B36" s="1" t="s">
        <v>140</v>
      </c>
      <c r="C36" s="1">
        <v>21</v>
      </c>
      <c r="D36" s="1">
        <v>9</v>
      </c>
      <c r="E36" s="1">
        <v>6</v>
      </c>
      <c r="F36" s="1">
        <v>2</v>
      </c>
      <c r="G36" s="50">
        <f t="shared" si="6"/>
        <v>38</v>
      </c>
      <c r="H36" s="1">
        <v>3</v>
      </c>
      <c r="I36" s="1">
        <v>2</v>
      </c>
      <c r="J36" s="1">
        <v>8</v>
      </c>
      <c r="K36" s="1">
        <v>-1</v>
      </c>
      <c r="L36" s="50">
        <f t="shared" si="7"/>
        <v>12</v>
      </c>
      <c r="M36" s="1">
        <v>7</v>
      </c>
      <c r="N36" s="1">
        <v>14</v>
      </c>
      <c r="O36" s="1">
        <v>-2</v>
      </c>
      <c r="P36" s="1">
        <v>7</v>
      </c>
      <c r="Q36" s="50">
        <f t="shared" si="8"/>
        <v>26</v>
      </c>
      <c r="R36" s="1">
        <v>1</v>
      </c>
      <c r="S36" s="1">
        <v>15</v>
      </c>
      <c r="T36" s="1">
        <v>12</v>
      </c>
      <c r="U36" s="1">
        <v>16</v>
      </c>
      <c r="V36" s="50">
        <f t="shared" si="9"/>
        <v>44</v>
      </c>
      <c r="W36" s="1">
        <v>4</v>
      </c>
      <c r="X36" s="1">
        <v>48</v>
      </c>
      <c r="Y36" s="1"/>
      <c r="Z36" s="1"/>
      <c r="AA36" s="50">
        <f t="shared" si="10"/>
        <v>52</v>
      </c>
    </row>
    <row r="37" spans="2:27" x14ac:dyDescent="0.25">
      <c r="B37" s="39" t="s">
        <v>141</v>
      </c>
      <c r="C37" s="32">
        <v>0.23</v>
      </c>
      <c r="D37" s="32">
        <v>0.11</v>
      </c>
      <c r="E37" s="32">
        <v>0.08</v>
      </c>
      <c r="F37" s="32">
        <v>0.02</v>
      </c>
      <c r="G37" s="54">
        <f>G36/G23</f>
        <v>0.11411411411411411</v>
      </c>
      <c r="H37" s="32">
        <v>0.04</v>
      </c>
      <c r="I37" s="32">
        <v>0.03</v>
      </c>
      <c r="J37" s="32">
        <v>0.11</v>
      </c>
      <c r="K37" s="21">
        <v>-0.01</v>
      </c>
      <c r="L37" s="54">
        <f>L36/L23</f>
        <v>4.1237113402061855E-2</v>
      </c>
      <c r="M37" s="32">
        <v>0.1</v>
      </c>
      <c r="N37" s="32">
        <v>0.18</v>
      </c>
      <c r="O37" s="32">
        <v>-0.02</v>
      </c>
      <c r="P37" s="32">
        <v>0.1</v>
      </c>
      <c r="Q37" s="54">
        <f>Q36/Q23</f>
        <v>8.6092715231788075E-2</v>
      </c>
      <c r="R37" s="32">
        <v>0.02</v>
      </c>
      <c r="S37" s="32">
        <v>0.15</v>
      </c>
      <c r="T37" s="32">
        <v>0.14000000000000001</v>
      </c>
      <c r="U37" s="32">
        <v>0.18</v>
      </c>
      <c r="V37" s="54">
        <f>V36/V23</f>
        <v>0.12290502793296089</v>
      </c>
      <c r="W37" s="32">
        <v>0.05</v>
      </c>
      <c r="X37" s="32">
        <v>0.53</v>
      </c>
      <c r="Y37" s="32"/>
      <c r="Z37" s="32"/>
      <c r="AA37" s="54">
        <f>AA36/AA23</f>
        <v>0.29714285714285715</v>
      </c>
    </row>
    <row r="38" spans="2:27" x14ac:dyDescent="0.25">
      <c r="G38" s="49"/>
      <c r="L38" s="49"/>
      <c r="Q38" s="49"/>
      <c r="V38" s="49"/>
      <c r="AA38" s="49"/>
    </row>
    <row r="39" spans="2:27" x14ac:dyDescent="0.25">
      <c r="B39" s="44" t="s">
        <v>150</v>
      </c>
      <c r="G39" s="49"/>
      <c r="L39" s="49"/>
      <c r="Q39" s="49"/>
      <c r="V39" s="49"/>
      <c r="AA39" s="49"/>
    </row>
    <row r="40" spans="2:27" x14ac:dyDescent="0.25">
      <c r="B40" s="1" t="s">
        <v>42</v>
      </c>
      <c r="C40" s="1">
        <v>-2</v>
      </c>
      <c r="D40" s="1">
        <v>4</v>
      </c>
      <c r="E40" s="1">
        <v>4</v>
      </c>
      <c r="F40" s="1">
        <v>4</v>
      </c>
      <c r="G40" s="50">
        <f>SUM(C40:F40)</f>
        <v>10</v>
      </c>
      <c r="H40" s="1">
        <v>5</v>
      </c>
      <c r="I40" s="1">
        <v>3</v>
      </c>
      <c r="J40" s="1">
        <v>4</v>
      </c>
      <c r="K40" s="1">
        <v>3</v>
      </c>
      <c r="L40" s="50">
        <f>SUM(H40:K40)</f>
        <v>15</v>
      </c>
      <c r="M40" s="1">
        <v>5</v>
      </c>
      <c r="N40" s="1">
        <v>4</v>
      </c>
      <c r="O40" s="1">
        <v>4</v>
      </c>
      <c r="P40" s="1">
        <v>4</v>
      </c>
      <c r="Q40" s="50">
        <f>SUM(M40:P40)</f>
        <v>17</v>
      </c>
      <c r="R40" s="1">
        <v>4</v>
      </c>
      <c r="S40" s="1">
        <v>4</v>
      </c>
      <c r="T40" s="1">
        <v>4</v>
      </c>
      <c r="U40" s="1">
        <v>4</v>
      </c>
      <c r="V40" s="50">
        <f>SUM(R40:U40)</f>
        <v>16</v>
      </c>
      <c r="W40" s="1">
        <v>4</v>
      </c>
      <c r="X40" s="1">
        <v>4</v>
      </c>
      <c r="Y40" s="1"/>
      <c r="Z40" s="1"/>
      <c r="AA40" s="50">
        <f>SUM(W40:Z40)</f>
        <v>8</v>
      </c>
    </row>
    <row r="41" spans="2:27" x14ac:dyDescent="0.25">
      <c r="B41" s="11" t="s">
        <v>189</v>
      </c>
      <c r="C41" s="11"/>
      <c r="D41" s="11"/>
      <c r="E41" s="11"/>
      <c r="F41" s="11"/>
      <c r="G41" s="51"/>
      <c r="H41" s="61">
        <f t="shared" ref="H41:AA41" si="11">(H40-C40)/C40</f>
        <v>-3.5</v>
      </c>
      <c r="I41" s="61">
        <f t="shared" si="11"/>
        <v>-0.25</v>
      </c>
      <c r="J41" s="61">
        <f t="shared" si="11"/>
        <v>0</v>
      </c>
      <c r="K41" s="61">
        <f t="shared" si="11"/>
        <v>-0.25</v>
      </c>
      <c r="L41" s="62">
        <f t="shared" si="11"/>
        <v>0.5</v>
      </c>
      <c r="M41" s="61">
        <f t="shared" si="11"/>
        <v>0</v>
      </c>
      <c r="N41" s="61">
        <f t="shared" si="11"/>
        <v>0.33333333333333331</v>
      </c>
      <c r="O41" s="61">
        <f t="shared" si="11"/>
        <v>0</v>
      </c>
      <c r="P41" s="61">
        <f t="shared" si="11"/>
        <v>0.33333333333333331</v>
      </c>
      <c r="Q41" s="62">
        <f t="shared" si="11"/>
        <v>0.13333333333333333</v>
      </c>
      <c r="R41" s="61">
        <f t="shared" si="11"/>
        <v>-0.2</v>
      </c>
      <c r="S41" s="61">
        <f t="shared" si="11"/>
        <v>0</v>
      </c>
      <c r="T41" s="61">
        <f t="shared" si="11"/>
        <v>0</v>
      </c>
      <c r="U41" s="61">
        <f t="shared" si="11"/>
        <v>0</v>
      </c>
      <c r="V41" s="62">
        <f t="shared" si="11"/>
        <v>-5.8823529411764705E-2</v>
      </c>
      <c r="W41" s="61">
        <f t="shared" si="11"/>
        <v>0</v>
      </c>
      <c r="X41" s="61">
        <f t="shared" si="11"/>
        <v>0</v>
      </c>
      <c r="Y41" s="61">
        <f t="shared" si="11"/>
        <v>-1</v>
      </c>
      <c r="Z41" s="61">
        <f t="shared" si="11"/>
        <v>-1</v>
      </c>
      <c r="AA41" s="62">
        <f t="shared" si="11"/>
        <v>-0.5</v>
      </c>
    </row>
    <row r="42" spans="2:27" x14ac:dyDescent="0.25">
      <c r="B42" s="39" t="s">
        <v>151</v>
      </c>
      <c r="C42" s="11">
        <v>4</v>
      </c>
      <c r="D42" s="11">
        <v>5</v>
      </c>
      <c r="E42" s="11">
        <v>4</v>
      </c>
      <c r="F42" s="11">
        <v>4</v>
      </c>
      <c r="G42" s="50">
        <f>SUM(C42:F42)</f>
        <v>17</v>
      </c>
      <c r="H42" s="11">
        <v>5</v>
      </c>
      <c r="I42" s="11">
        <v>3</v>
      </c>
      <c r="J42" s="11">
        <v>4</v>
      </c>
      <c r="K42" s="11">
        <v>3</v>
      </c>
      <c r="L42" s="50">
        <f>SUM(H42:K42)</f>
        <v>15</v>
      </c>
      <c r="M42" s="11">
        <v>5</v>
      </c>
      <c r="N42" s="11">
        <v>4</v>
      </c>
      <c r="O42" s="11">
        <v>4</v>
      </c>
      <c r="P42" s="11">
        <v>4</v>
      </c>
      <c r="Q42" s="50">
        <f>SUM(M42:P42)</f>
        <v>17</v>
      </c>
      <c r="R42" s="11">
        <v>4</v>
      </c>
      <c r="S42" s="11">
        <v>4</v>
      </c>
      <c r="T42" s="11">
        <v>4</v>
      </c>
      <c r="U42" s="11">
        <v>4</v>
      </c>
      <c r="V42" s="50">
        <f>SUM(R42:U42)</f>
        <v>16</v>
      </c>
      <c r="W42" s="11">
        <v>4</v>
      </c>
      <c r="X42" s="11">
        <v>4</v>
      </c>
      <c r="Y42" s="11"/>
      <c r="Z42" s="11"/>
      <c r="AA42" s="50">
        <f>SUM(W42:Z42)</f>
        <v>8</v>
      </c>
    </row>
    <row r="43" spans="2:27" x14ac:dyDescent="0.25">
      <c r="B43" s="40" t="s">
        <v>152</v>
      </c>
      <c r="C43" s="38">
        <v>-7</v>
      </c>
      <c r="D43" s="38">
        <v>-1</v>
      </c>
      <c r="E43" s="38">
        <v>0</v>
      </c>
      <c r="F43" s="38">
        <v>0</v>
      </c>
      <c r="G43" s="52">
        <f>SUM(C43:F43)</f>
        <v>-8</v>
      </c>
      <c r="H43" s="38">
        <v>0</v>
      </c>
      <c r="I43" s="38">
        <v>0</v>
      </c>
      <c r="J43" s="38">
        <v>0</v>
      </c>
      <c r="K43" s="38">
        <v>0</v>
      </c>
      <c r="L43" s="52">
        <f>SUM(H43:K43)</f>
        <v>0</v>
      </c>
      <c r="M43" s="38">
        <v>0</v>
      </c>
      <c r="N43" s="38">
        <v>0</v>
      </c>
      <c r="O43" s="38">
        <v>0</v>
      </c>
      <c r="P43" s="38">
        <v>0</v>
      </c>
      <c r="Q43" s="52">
        <f>SUM(M43:P43)</f>
        <v>0</v>
      </c>
      <c r="R43" s="38">
        <v>0</v>
      </c>
      <c r="S43" s="38">
        <v>0</v>
      </c>
      <c r="T43" s="38">
        <v>0</v>
      </c>
      <c r="U43" s="38">
        <v>0</v>
      </c>
      <c r="V43" s="52">
        <f>SUM(R43:U43)</f>
        <v>0</v>
      </c>
      <c r="W43" s="38">
        <v>0</v>
      </c>
      <c r="X43" s="38">
        <v>0</v>
      </c>
      <c r="Y43" s="38"/>
      <c r="Z43" s="38"/>
      <c r="AA43" s="52">
        <f>SUM(W43:Z43)</f>
        <v>0</v>
      </c>
    </row>
    <row r="44" spans="2:27" x14ac:dyDescent="0.25">
      <c r="B44" s="45" t="s">
        <v>130</v>
      </c>
      <c r="C44" s="1">
        <v>-8</v>
      </c>
      <c r="D44" s="1">
        <v>-1</v>
      </c>
      <c r="E44" s="1">
        <v>-1</v>
      </c>
      <c r="F44" s="1">
        <v>-6</v>
      </c>
      <c r="G44" s="50">
        <f ca="1">SUM(C44:G44)</f>
        <v>0</v>
      </c>
      <c r="H44" s="1">
        <v>0</v>
      </c>
      <c r="I44" s="1">
        <v>-2</v>
      </c>
      <c r="J44" s="1">
        <v>-2</v>
      </c>
      <c r="K44" s="1">
        <v>-3</v>
      </c>
      <c r="L44" s="50">
        <f ca="1">SUM(H44:L44)</f>
        <v>0</v>
      </c>
      <c r="M44" s="1">
        <v>-1</v>
      </c>
      <c r="N44" s="1">
        <v>-2</v>
      </c>
      <c r="O44" s="1">
        <v>-2</v>
      </c>
      <c r="P44" s="1">
        <v>-3</v>
      </c>
      <c r="Q44" s="50">
        <f ca="1">SUM(M44:Q44)</f>
        <v>0</v>
      </c>
      <c r="R44" s="1">
        <v>-1</v>
      </c>
      <c r="S44" s="1">
        <v>-1</v>
      </c>
      <c r="T44" s="1">
        <v>-3</v>
      </c>
      <c r="U44" s="1">
        <v>-5</v>
      </c>
      <c r="V44" s="50">
        <f ca="1">SUM(R44:V44)</f>
        <v>0</v>
      </c>
      <c r="W44" s="1">
        <v>-2</v>
      </c>
      <c r="X44" s="1">
        <v>-2</v>
      </c>
      <c r="Y44" s="1"/>
      <c r="Z44" s="1"/>
      <c r="AA44" s="50">
        <f ca="1">SUM(W44:AA44)</f>
        <v>0</v>
      </c>
    </row>
    <row r="45" spans="2:27" x14ac:dyDescent="0.25">
      <c r="B45" s="45" t="s">
        <v>137</v>
      </c>
      <c r="C45" s="1">
        <v>-9</v>
      </c>
      <c r="D45" s="1">
        <v>-2</v>
      </c>
      <c r="E45" s="1">
        <v>-2</v>
      </c>
      <c r="F45" s="1">
        <v>-7</v>
      </c>
      <c r="G45" s="50">
        <f>SUM(C45:F45)</f>
        <v>-20</v>
      </c>
      <c r="H45" s="1">
        <v>-1</v>
      </c>
      <c r="I45" s="1">
        <v>-3</v>
      </c>
      <c r="J45" s="1">
        <v>-3</v>
      </c>
      <c r="K45" s="41">
        <v>-4</v>
      </c>
      <c r="L45" s="50">
        <f>SUM(H45:K45)</f>
        <v>-11</v>
      </c>
      <c r="M45" s="1">
        <v>-2</v>
      </c>
      <c r="N45" s="1">
        <v>-4</v>
      </c>
      <c r="O45" s="1">
        <v>-3</v>
      </c>
      <c r="P45" s="41">
        <v>-4</v>
      </c>
      <c r="Q45" s="50">
        <f>SUM(M45:P45)</f>
        <v>-13</v>
      </c>
      <c r="R45" s="41">
        <v>-2</v>
      </c>
      <c r="S45" s="41">
        <v>-2</v>
      </c>
      <c r="T45" s="41">
        <v>-4</v>
      </c>
      <c r="U45" s="41">
        <v>-6</v>
      </c>
      <c r="V45" s="50">
        <f>SUM(R45:U45)</f>
        <v>-14</v>
      </c>
      <c r="W45" s="41">
        <v>-3</v>
      </c>
      <c r="X45" s="41">
        <v>-3</v>
      </c>
      <c r="Y45" s="41"/>
      <c r="Z45" s="41"/>
      <c r="AA45" s="50">
        <f>SUM(W45:Z45)</f>
        <v>-6</v>
      </c>
    </row>
    <row r="46" spans="2:27" x14ac:dyDescent="0.25">
      <c r="B46" s="46" t="s">
        <v>138</v>
      </c>
      <c r="C46" s="46">
        <v>61</v>
      </c>
      <c r="D46" s="46">
        <v>41</v>
      </c>
      <c r="E46" s="46">
        <v>100</v>
      </c>
      <c r="F46" s="46">
        <v>98</v>
      </c>
      <c r="G46" s="57">
        <f>SUM(C46:F46)</f>
        <v>300</v>
      </c>
      <c r="H46" s="46">
        <v>56</v>
      </c>
      <c r="I46" s="46">
        <v>139</v>
      </c>
      <c r="J46" s="46">
        <v>132</v>
      </c>
      <c r="K46" s="1">
        <v>63</v>
      </c>
      <c r="L46" s="57">
        <f>SUM(H46:K46)</f>
        <v>390</v>
      </c>
      <c r="M46" s="46">
        <v>88</v>
      </c>
      <c r="N46" s="46">
        <v>142</v>
      </c>
      <c r="O46" s="46">
        <v>115</v>
      </c>
      <c r="P46" s="1">
        <v>117</v>
      </c>
      <c r="Q46" s="57">
        <f>SUM(M46:P46)</f>
        <v>462</v>
      </c>
      <c r="R46" s="1">
        <v>116</v>
      </c>
      <c r="S46" s="1">
        <v>197</v>
      </c>
      <c r="T46" s="1">
        <v>128</v>
      </c>
      <c r="U46" s="1">
        <v>99</v>
      </c>
      <c r="V46" s="57">
        <f>SUM(R46:U46)</f>
        <v>540</v>
      </c>
      <c r="W46" s="1">
        <v>86</v>
      </c>
      <c r="X46" s="1">
        <v>74</v>
      </c>
      <c r="Y46" s="1"/>
      <c r="Z46" s="1"/>
      <c r="AA46" s="57">
        <f>SUM(W46:Z46)</f>
        <v>160</v>
      </c>
    </row>
    <row r="47" spans="2:27" x14ac:dyDescent="0.25">
      <c r="B47" s="39" t="s">
        <v>153</v>
      </c>
      <c r="C47" s="11">
        <v>61</v>
      </c>
      <c r="D47" s="11">
        <v>41</v>
      </c>
      <c r="E47" s="11">
        <v>81</v>
      </c>
      <c r="F47" s="11">
        <v>98</v>
      </c>
      <c r="G47" s="51">
        <f>SUM(C46:F47)</f>
        <v>581</v>
      </c>
      <c r="H47" s="11">
        <v>56</v>
      </c>
      <c r="I47" s="11">
        <v>114</v>
      </c>
      <c r="J47" s="11">
        <v>113</v>
      </c>
      <c r="K47" s="11">
        <v>42</v>
      </c>
      <c r="L47" s="51">
        <f>SUM(H46:K47)</f>
        <v>715</v>
      </c>
      <c r="M47" s="11">
        <v>63</v>
      </c>
      <c r="N47" s="11">
        <v>118</v>
      </c>
      <c r="O47" s="11">
        <v>91</v>
      </c>
      <c r="P47" s="11">
        <v>100</v>
      </c>
      <c r="Q47" s="51">
        <f>SUM(M46:P47)</f>
        <v>834</v>
      </c>
      <c r="R47" s="11">
        <v>86</v>
      </c>
      <c r="S47" s="11">
        <v>157</v>
      </c>
      <c r="T47" s="11">
        <v>97</v>
      </c>
      <c r="U47" s="11">
        <v>66</v>
      </c>
      <c r="V47" s="51">
        <f>SUM(R46:U47)</f>
        <v>946</v>
      </c>
      <c r="W47" s="11">
        <v>61</v>
      </c>
      <c r="X47" s="11">
        <v>48</v>
      </c>
      <c r="Y47" s="11"/>
      <c r="Z47" s="11"/>
      <c r="AA47" s="51">
        <f>SUM(W46:Z47)</f>
        <v>269</v>
      </c>
    </row>
    <row r="48" spans="2:27" x14ac:dyDescent="0.25">
      <c r="B48" s="39" t="s">
        <v>154</v>
      </c>
      <c r="C48" s="11">
        <v>0</v>
      </c>
      <c r="D48" s="11">
        <v>0</v>
      </c>
      <c r="E48" s="11">
        <v>19</v>
      </c>
      <c r="F48" s="11">
        <v>0</v>
      </c>
      <c r="G48" s="51">
        <f>SUM(C47:F48)</f>
        <v>300</v>
      </c>
      <c r="H48" s="11">
        <v>0</v>
      </c>
      <c r="I48" s="11">
        <v>25</v>
      </c>
      <c r="J48" s="11">
        <v>20</v>
      </c>
      <c r="K48" s="11">
        <v>21</v>
      </c>
      <c r="L48" s="51">
        <f>SUM(H47:K48)</f>
        <v>391</v>
      </c>
      <c r="M48" s="11">
        <v>25</v>
      </c>
      <c r="N48" s="11">
        <v>24</v>
      </c>
      <c r="O48" s="11">
        <v>23</v>
      </c>
      <c r="P48" s="11">
        <v>18</v>
      </c>
      <c r="Q48" s="51">
        <f>SUM(M47:P48)</f>
        <v>462</v>
      </c>
      <c r="R48" s="11">
        <v>30</v>
      </c>
      <c r="S48" s="11">
        <v>40</v>
      </c>
      <c r="T48" s="11">
        <v>31</v>
      </c>
      <c r="U48" s="11">
        <v>33</v>
      </c>
      <c r="V48" s="51">
        <f>SUM(R47:U48)</f>
        <v>540</v>
      </c>
      <c r="W48" s="11">
        <v>25</v>
      </c>
      <c r="X48" s="11">
        <v>27</v>
      </c>
      <c r="Y48" s="11"/>
      <c r="Z48" s="11"/>
      <c r="AA48" s="51">
        <f>SUM(W47:Z48)</f>
        <v>161</v>
      </c>
    </row>
    <row r="49" spans="2:27" x14ac:dyDescent="0.25">
      <c r="B49" s="40" t="s">
        <v>155</v>
      </c>
      <c r="C49" s="38">
        <v>0</v>
      </c>
      <c r="D49" s="38">
        <v>0</v>
      </c>
      <c r="E49" s="38">
        <v>0</v>
      </c>
      <c r="F49" s="38">
        <v>0</v>
      </c>
      <c r="G49" s="52">
        <f t="shared" ref="G49:G56" si="12">SUM(C49:F49)</f>
        <v>0</v>
      </c>
      <c r="H49" s="38">
        <v>0</v>
      </c>
      <c r="I49" s="38">
        <v>0</v>
      </c>
      <c r="J49" s="38">
        <v>0</v>
      </c>
      <c r="K49" s="38">
        <v>0</v>
      </c>
      <c r="L49" s="52">
        <f t="shared" ref="L49:L56" si="13">SUM(H49:K49)</f>
        <v>0</v>
      </c>
      <c r="M49" s="38">
        <v>0</v>
      </c>
      <c r="N49" s="38">
        <v>0</v>
      </c>
      <c r="O49" s="38">
        <v>0</v>
      </c>
      <c r="P49" s="38">
        <v>0</v>
      </c>
      <c r="Q49" s="52">
        <f t="shared" ref="Q49:Q56" si="14">SUM(M49:P49)</f>
        <v>0</v>
      </c>
      <c r="R49" s="38">
        <v>0</v>
      </c>
      <c r="S49" s="38">
        <v>0</v>
      </c>
      <c r="T49" s="38">
        <v>0</v>
      </c>
      <c r="U49" s="38">
        <v>0</v>
      </c>
      <c r="V49" s="52">
        <f t="shared" ref="V49:V56" si="15">SUM(R49:U49)</f>
        <v>0</v>
      </c>
      <c r="W49" s="38">
        <v>0</v>
      </c>
      <c r="X49" s="38">
        <v>0</v>
      </c>
      <c r="Y49" s="38"/>
      <c r="Z49" s="38"/>
      <c r="AA49" s="52">
        <f t="shared" ref="AA49:AA56" si="16">SUM(W49:Z49)</f>
        <v>0</v>
      </c>
    </row>
    <row r="50" spans="2:27" x14ac:dyDescent="0.25">
      <c r="B50" s="45" t="s">
        <v>61</v>
      </c>
      <c r="C50" s="1">
        <v>70</v>
      </c>
      <c r="D50" s="1">
        <v>-92</v>
      </c>
      <c r="E50" s="1">
        <v>-3</v>
      </c>
      <c r="F50" s="1">
        <v>76</v>
      </c>
      <c r="G50" s="50">
        <f t="shared" si="12"/>
        <v>51</v>
      </c>
      <c r="H50" s="1">
        <v>-35</v>
      </c>
      <c r="I50" s="1">
        <v>-1</v>
      </c>
      <c r="J50" s="1">
        <v>1</v>
      </c>
      <c r="K50" s="1">
        <v>5</v>
      </c>
      <c r="L50" s="50">
        <f t="shared" si="13"/>
        <v>-30</v>
      </c>
      <c r="M50" s="1">
        <v>2</v>
      </c>
      <c r="N50" s="1">
        <v>4</v>
      </c>
      <c r="O50" s="1">
        <v>5</v>
      </c>
      <c r="P50" s="1">
        <v>-1</v>
      </c>
      <c r="Q50" s="50">
        <f t="shared" si="14"/>
        <v>10</v>
      </c>
      <c r="R50" s="1">
        <v>-1</v>
      </c>
      <c r="S50" s="1">
        <v>6</v>
      </c>
      <c r="T50" s="1">
        <v>-3</v>
      </c>
      <c r="U50" s="1">
        <v>12</v>
      </c>
      <c r="V50" s="50">
        <f t="shared" si="15"/>
        <v>14</v>
      </c>
      <c r="W50" s="1">
        <v>1</v>
      </c>
      <c r="X50" s="1">
        <v>4</v>
      </c>
      <c r="Y50" s="1"/>
      <c r="Z50" s="1"/>
      <c r="AA50" s="50">
        <f t="shared" si="16"/>
        <v>5</v>
      </c>
    </row>
    <row r="51" spans="2:27" x14ac:dyDescent="0.25">
      <c r="B51" s="1" t="s">
        <v>156</v>
      </c>
      <c r="C51" s="1">
        <v>4</v>
      </c>
      <c r="D51" s="1">
        <v>1</v>
      </c>
      <c r="E51" s="1">
        <v>-3</v>
      </c>
      <c r="F51" s="1">
        <v>11</v>
      </c>
      <c r="G51" s="50">
        <f t="shared" si="12"/>
        <v>13</v>
      </c>
      <c r="H51" s="1">
        <v>37</v>
      </c>
      <c r="I51" s="1">
        <v>2</v>
      </c>
      <c r="J51" s="1">
        <v>26</v>
      </c>
      <c r="K51" s="1">
        <v>19</v>
      </c>
      <c r="L51" s="50">
        <f t="shared" si="13"/>
        <v>84</v>
      </c>
      <c r="M51" s="1">
        <v>10</v>
      </c>
      <c r="N51" s="1">
        <v>3</v>
      </c>
      <c r="O51" s="1">
        <v>4</v>
      </c>
      <c r="P51" s="1">
        <v>11</v>
      </c>
      <c r="Q51" s="50">
        <f t="shared" si="14"/>
        <v>28</v>
      </c>
      <c r="R51" s="1">
        <v>-9</v>
      </c>
      <c r="S51" s="1">
        <v>18</v>
      </c>
      <c r="T51" s="1">
        <v>9</v>
      </c>
      <c r="U51" s="1">
        <v>14</v>
      </c>
      <c r="V51" s="50">
        <f t="shared" si="15"/>
        <v>32</v>
      </c>
      <c r="W51" s="1">
        <v>5</v>
      </c>
      <c r="X51" s="1">
        <v>17</v>
      </c>
      <c r="Y51" s="1"/>
      <c r="Z51" s="1"/>
      <c r="AA51" s="50">
        <f t="shared" si="16"/>
        <v>22</v>
      </c>
    </row>
    <row r="52" spans="2:27" x14ac:dyDescent="0.25">
      <c r="B52" s="39" t="s">
        <v>157</v>
      </c>
      <c r="C52" s="11">
        <v>-8</v>
      </c>
      <c r="D52" s="11">
        <v>-2</v>
      </c>
      <c r="E52" s="11">
        <v>-5</v>
      </c>
      <c r="F52" s="11">
        <v>12</v>
      </c>
      <c r="G52" s="50">
        <f t="shared" si="12"/>
        <v>-3</v>
      </c>
      <c r="H52" s="11">
        <v>7</v>
      </c>
      <c r="I52" s="11">
        <v>3</v>
      </c>
      <c r="J52" s="11">
        <v>0</v>
      </c>
      <c r="K52" s="11">
        <v>6</v>
      </c>
      <c r="L52" s="50">
        <f t="shared" si="13"/>
        <v>16</v>
      </c>
      <c r="M52" s="11">
        <v>7</v>
      </c>
      <c r="N52" s="11">
        <v>6</v>
      </c>
      <c r="O52" s="11">
        <v>3</v>
      </c>
      <c r="P52" s="11">
        <v>-5</v>
      </c>
      <c r="Q52" s="50">
        <f t="shared" si="14"/>
        <v>11</v>
      </c>
      <c r="R52" s="11">
        <v>0</v>
      </c>
      <c r="S52" s="11">
        <v>6</v>
      </c>
      <c r="T52" s="11">
        <v>6</v>
      </c>
      <c r="U52" s="11">
        <v>10</v>
      </c>
      <c r="V52" s="50">
        <f t="shared" si="15"/>
        <v>22</v>
      </c>
      <c r="W52" s="11">
        <v>4</v>
      </c>
      <c r="X52" s="11">
        <v>9</v>
      </c>
      <c r="Y52" s="11"/>
      <c r="Z52" s="11"/>
      <c r="AA52" s="50">
        <f t="shared" si="16"/>
        <v>13</v>
      </c>
    </row>
    <row r="53" spans="2:27" x14ac:dyDescent="0.25">
      <c r="B53" s="39" t="s">
        <v>158</v>
      </c>
      <c r="C53" s="11">
        <v>13</v>
      </c>
      <c r="D53" s="11">
        <v>-1</v>
      </c>
      <c r="E53" s="11">
        <v>0</v>
      </c>
      <c r="F53" s="11">
        <v>0</v>
      </c>
      <c r="G53" s="50">
        <f t="shared" si="12"/>
        <v>12</v>
      </c>
      <c r="H53" s="11">
        <v>19</v>
      </c>
      <c r="I53" s="11">
        <v>0</v>
      </c>
      <c r="J53" s="11">
        <v>26</v>
      </c>
      <c r="K53" s="11">
        <v>9</v>
      </c>
      <c r="L53" s="50">
        <f t="shared" si="13"/>
        <v>54</v>
      </c>
      <c r="M53" s="11">
        <v>1</v>
      </c>
      <c r="N53" s="11">
        <v>1</v>
      </c>
      <c r="O53" s="11">
        <v>2</v>
      </c>
      <c r="P53" s="11">
        <v>14</v>
      </c>
      <c r="Q53" s="50">
        <f t="shared" si="14"/>
        <v>18</v>
      </c>
      <c r="R53" s="11">
        <v>3</v>
      </c>
      <c r="S53" s="11">
        <v>3</v>
      </c>
      <c r="T53" s="11">
        <v>3</v>
      </c>
      <c r="U53" s="11">
        <v>2</v>
      </c>
      <c r="V53" s="50">
        <f t="shared" si="15"/>
        <v>11</v>
      </c>
      <c r="W53" s="11">
        <v>2</v>
      </c>
      <c r="X53" s="11">
        <v>1</v>
      </c>
      <c r="Y53" s="11"/>
      <c r="Z53" s="11"/>
      <c r="AA53" s="50">
        <f t="shared" si="16"/>
        <v>3</v>
      </c>
    </row>
    <row r="54" spans="2:27" x14ac:dyDescent="0.25">
      <c r="B54" s="40" t="s">
        <v>159</v>
      </c>
      <c r="C54" s="38">
        <v>-1</v>
      </c>
      <c r="D54" s="38">
        <v>3</v>
      </c>
      <c r="E54" s="38">
        <v>2</v>
      </c>
      <c r="F54" s="38">
        <v>-2</v>
      </c>
      <c r="G54" s="52">
        <f t="shared" si="12"/>
        <v>2</v>
      </c>
      <c r="H54" s="38">
        <v>11</v>
      </c>
      <c r="I54" s="38">
        <v>-1</v>
      </c>
      <c r="J54" s="38">
        <v>0</v>
      </c>
      <c r="K54" s="38">
        <v>4</v>
      </c>
      <c r="L54" s="52">
        <f t="shared" si="13"/>
        <v>14</v>
      </c>
      <c r="M54" s="38">
        <v>2</v>
      </c>
      <c r="N54" s="38">
        <v>-5</v>
      </c>
      <c r="O54" s="38">
        <v>0</v>
      </c>
      <c r="P54" s="38">
        <v>2</v>
      </c>
      <c r="Q54" s="52">
        <f t="shared" si="14"/>
        <v>-1</v>
      </c>
      <c r="R54" s="38">
        <v>-12</v>
      </c>
      <c r="S54" s="38">
        <v>8</v>
      </c>
      <c r="T54" s="38">
        <v>0</v>
      </c>
      <c r="U54" s="38">
        <v>3</v>
      </c>
      <c r="V54" s="52">
        <f t="shared" si="15"/>
        <v>-1</v>
      </c>
      <c r="W54" s="38">
        <v>0</v>
      </c>
      <c r="X54" s="38">
        <v>7</v>
      </c>
      <c r="Y54" s="38"/>
      <c r="Z54" s="38"/>
      <c r="AA54" s="52">
        <f t="shared" si="16"/>
        <v>7</v>
      </c>
    </row>
    <row r="55" spans="2:27" x14ac:dyDescent="0.25">
      <c r="B55" s="2" t="s">
        <v>139</v>
      </c>
      <c r="C55" s="2">
        <v>-2</v>
      </c>
      <c r="D55" s="2">
        <v>6</v>
      </c>
      <c r="E55" s="2">
        <v>-1</v>
      </c>
      <c r="F55" s="2">
        <v>1</v>
      </c>
      <c r="G55" s="49">
        <f t="shared" si="12"/>
        <v>4</v>
      </c>
      <c r="H55" s="2">
        <v>-3</v>
      </c>
      <c r="I55" s="2">
        <v>0</v>
      </c>
      <c r="J55" s="2">
        <v>-1</v>
      </c>
      <c r="K55" s="2">
        <v>-2</v>
      </c>
      <c r="L55" s="49">
        <f t="shared" si="13"/>
        <v>-6</v>
      </c>
      <c r="M55" s="2">
        <v>0</v>
      </c>
      <c r="N55" s="2">
        <v>-2</v>
      </c>
      <c r="O55" s="2">
        <v>-1</v>
      </c>
      <c r="P55" s="2">
        <v>-5</v>
      </c>
      <c r="Q55" s="49">
        <f t="shared" si="14"/>
        <v>-8</v>
      </c>
      <c r="R55" s="2">
        <v>-2</v>
      </c>
      <c r="S55" s="2">
        <v>-2</v>
      </c>
      <c r="T55" s="2">
        <v>-1</v>
      </c>
      <c r="U55" s="2">
        <v>-3</v>
      </c>
      <c r="V55" s="49">
        <f t="shared" si="15"/>
        <v>-8</v>
      </c>
      <c r="W55" s="2">
        <v>-1</v>
      </c>
      <c r="X55" s="2">
        <v>-8</v>
      </c>
      <c r="AA55" s="49">
        <f t="shared" si="16"/>
        <v>-9</v>
      </c>
    </row>
    <row r="56" spans="2:27" x14ac:dyDescent="0.25">
      <c r="B56" s="1" t="s">
        <v>160</v>
      </c>
      <c r="C56" s="1">
        <v>124</v>
      </c>
      <c r="D56" s="1">
        <v>-46</v>
      </c>
      <c r="E56" s="1">
        <v>91</v>
      </c>
      <c r="F56" s="1">
        <v>180</v>
      </c>
      <c r="G56" s="50">
        <f t="shared" si="12"/>
        <v>349</v>
      </c>
      <c r="H56" s="1">
        <v>54</v>
      </c>
      <c r="I56" s="1">
        <v>137</v>
      </c>
      <c r="J56" s="1">
        <v>155</v>
      </c>
      <c r="K56" s="1">
        <v>81</v>
      </c>
      <c r="L56" s="50">
        <f t="shared" si="13"/>
        <v>427</v>
      </c>
      <c r="M56" s="1">
        <v>98</v>
      </c>
      <c r="N56" s="1">
        <v>143</v>
      </c>
      <c r="O56" s="1">
        <v>119</v>
      </c>
      <c r="P56" s="1">
        <v>118</v>
      </c>
      <c r="Q56" s="50">
        <f t="shared" si="14"/>
        <v>478</v>
      </c>
      <c r="R56" s="1">
        <v>101</v>
      </c>
      <c r="S56" s="1">
        <v>217</v>
      </c>
      <c r="T56" s="1">
        <v>129</v>
      </c>
      <c r="U56" s="1">
        <v>116</v>
      </c>
      <c r="V56" s="50">
        <f t="shared" si="15"/>
        <v>563</v>
      </c>
      <c r="W56" s="1">
        <v>89</v>
      </c>
      <c r="X56" s="1">
        <v>85</v>
      </c>
      <c r="Y56" s="1"/>
      <c r="Z56" s="1"/>
      <c r="AA56" s="50">
        <f t="shared" si="16"/>
        <v>174</v>
      </c>
    </row>
  </sheetData>
  <pageMargins left="0.7" right="0.7" top="0.75" bottom="0.75" header="0.3" footer="0.3"/>
  <ignoredErrors>
    <ignoredError sqref="Q24 Q28 Q30 Q13 Q15 Q7 V7 V24 V28 V30 Q41 Q44 L28 L30 L44 L24" formula="1"/>
  </ignoredErrors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005A-D926-0A4A-83BB-6287EB4C1EBD}">
  <dimension ref="A2:G104"/>
  <sheetViews>
    <sheetView showGridLines="0" zoomScale="50" zoomScaleNormal="50" workbookViewId="0">
      <selection activeCell="D31" sqref="D31"/>
    </sheetView>
  </sheetViews>
  <sheetFormatPr baseColWidth="10" defaultRowHeight="34" x14ac:dyDescent="0.4"/>
  <cols>
    <col min="1" max="1" width="47.1640625" style="63" customWidth="1"/>
    <col min="2" max="2" width="24.83203125" style="63" bestFit="1" customWidth="1"/>
    <col min="3" max="3" width="21.33203125" style="63" customWidth="1"/>
    <col min="4" max="4" width="31.83203125" style="63" customWidth="1"/>
    <col min="5" max="5" width="24" style="63" customWidth="1"/>
    <col min="6" max="6" width="30.5" style="63" bestFit="1" customWidth="1"/>
    <col min="7" max="7" width="19" style="63" bestFit="1" customWidth="1"/>
    <col min="8" max="16384" width="10.83203125" style="63"/>
  </cols>
  <sheetData>
    <row r="2" spans="1:7" x14ac:dyDescent="0.4">
      <c r="B2" s="64"/>
    </row>
    <row r="4" spans="1:7" x14ac:dyDescent="0.4">
      <c r="A4" s="65" t="s">
        <v>123</v>
      </c>
      <c r="B4" s="64">
        <f>Modell!B4/SOTP!G26</f>
        <v>0.6420850589426671</v>
      </c>
    </row>
    <row r="5" spans="1:7" x14ac:dyDescent="0.4">
      <c r="A5" s="65"/>
      <c r="B5" s="65"/>
      <c r="C5" s="65"/>
      <c r="D5" s="65"/>
    </row>
    <row r="7" spans="1:7" x14ac:dyDescent="0.4">
      <c r="A7" s="66" t="s">
        <v>170</v>
      </c>
      <c r="B7" s="66" t="s">
        <v>186</v>
      </c>
      <c r="C7" s="66"/>
      <c r="D7" s="66" t="s">
        <v>180</v>
      </c>
      <c r="E7" s="66" t="s">
        <v>177</v>
      </c>
      <c r="F7" s="66" t="s">
        <v>181</v>
      </c>
      <c r="G7" s="66" t="s">
        <v>179</v>
      </c>
    </row>
    <row r="8" spans="1:7" x14ac:dyDescent="0.4">
      <c r="A8" s="63" t="s">
        <v>188</v>
      </c>
      <c r="B8" s="67">
        <v>140000000</v>
      </c>
      <c r="D8" s="63">
        <v>10</v>
      </c>
      <c r="E8" s="63">
        <v>9.5</v>
      </c>
      <c r="F8" s="67">
        <f>(B8*E8)*D8</f>
        <v>13300000000</v>
      </c>
      <c r="G8" s="68">
        <f>F8/$B$26</f>
        <v>298.34006280843425</v>
      </c>
    </row>
    <row r="9" spans="1:7" x14ac:dyDescent="0.4">
      <c r="A9" s="63" t="s">
        <v>132</v>
      </c>
      <c r="B9" s="67">
        <v>92000000</v>
      </c>
      <c r="D9" s="63">
        <v>12</v>
      </c>
      <c r="E9" s="63">
        <v>9.5</v>
      </c>
      <c r="F9" s="67">
        <f>(B9*E9)*D9</f>
        <v>10488000000</v>
      </c>
      <c r="G9" s="68">
        <f>F9/$B$26</f>
        <v>235.26244952893674</v>
      </c>
    </row>
    <row r="10" spans="1:7" x14ac:dyDescent="0.4">
      <c r="A10" s="69" t="s">
        <v>131</v>
      </c>
      <c r="B10" s="70">
        <v>-8000000</v>
      </c>
      <c r="C10" s="69"/>
      <c r="D10" s="69">
        <v>6</v>
      </c>
      <c r="E10" s="69">
        <v>9.5</v>
      </c>
      <c r="F10" s="70">
        <f>(B10*E10)*D10</f>
        <v>-456000000</v>
      </c>
      <c r="G10" s="71">
        <f>F10/$B$26</f>
        <v>-10.228802153432031</v>
      </c>
    </row>
    <row r="11" spans="1:7" x14ac:dyDescent="0.4">
      <c r="A11" s="65" t="s">
        <v>133</v>
      </c>
      <c r="B11" s="65"/>
      <c r="C11" s="65"/>
      <c r="D11" s="65"/>
      <c r="E11" s="65"/>
      <c r="F11" s="65"/>
      <c r="G11" s="72">
        <f>SUM(G8:G10)</f>
        <v>523.3737101839389</v>
      </c>
    </row>
    <row r="12" spans="1:7" x14ac:dyDescent="0.4">
      <c r="G12" s="68"/>
    </row>
    <row r="13" spans="1:7" x14ac:dyDescent="0.4">
      <c r="A13" s="73" t="s">
        <v>195</v>
      </c>
      <c r="B13" s="73" t="s">
        <v>176</v>
      </c>
      <c r="C13" s="73"/>
      <c r="D13" s="73" t="s">
        <v>178</v>
      </c>
      <c r="E13" s="73" t="s">
        <v>177</v>
      </c>
      <c r="F13" s="73" t="s">
        <v>181</v>
      </c>
      <c r="G13" s="73" t="s">
        <v>179</v>
      </c>
    </row>
    <row r="14" spans="1:7" x14ac:dyDescent="0.4">
      <c r="A14" s="63" t="s">
        <v>172</v>
      </c>
      <c r="B14" s="67">
        <v>160210000</v>
      </c>
      <c r="D14" s="63">
        <v>182.5</v>
      </c>
      <c r="E14" s="63">
        <v>1</v>
      </c>
      <c r="F14" s="67">
        <f>B14*D14</f>
        <v>29238325000</v>
      </c>
      <c r="G14" s="68">
        <f>F14/$B$26</f>
        <v>655.86193360251229</v>
      </c>
    </row>
    <row r="15" spans="1:7" x14ac:dyDescent="0.4">
      <c r="A15" s="63" t="s">
        <v>173</v>
      </c>
      <c r="B15" s="67">
        <v>8250000</v>
      </c>
      <c r="D15" s="67">
        <v>196900</v>
      </c>
      <c r="E15" s="63">
        <f>B30</f>
        <v>7.0000000000000001E-3</v>
      </c>
      <c r="F15" s="67">
        <f>(B15*D15)*E15</f>
        <v>11370975000</v>
      </c>
      <c r="G15" s="68">
        <f>F15/$B$26</f>
        <v>255.06897711978465</v>
      </c>
    </row>
    <row r="16" spans="1:7" x14ac:dyDescent="0.4">
      <c r="A16" s="63" t="s">
        <v>174</v>
      </c>
      <c r="B16" s="67">
        <v>96844009</v>
      </c>
      <c r="D16" s="63">
        <v>6.6</v>
      </c>
      <c r="E16" s="63">
        <v>1</v>
      </c>
      <c r="F16" s="67">
        <f>(B16*D16)</f>
        <v>639170459.39999998</v>
      </c>
      <c r="G16" s="68">
        <f>F16/$B$26</f>
        <v>14.337605639300135</v>
      </c>
    </row>
    <row r="17" spans="1:7" x14ac:dyDescent="0.4">
      <c r="A17" s="65" t="s">
        <v>133</v>
      </c>
      <c r="B17" s="65"/>
      <c r="C17" s="65"/>
      <c r="D17" s="65"/>
      <c r="E17" s="65"/>
      <c r="F17" s="65"/>
      <c r="G17" s="72">
        <f>SUM(G14:G16)</f>
        <v>925.26851636159711</v>
      </c>
    </row>
    <row r="19" spans="1:7" x14ac:dyDescent="0.4">
      <c r="A19" s="74" t="s">
        <v>175</v>
      </c>
      <c r="B19" s="75"/>
      <c r="C19" s="75"/>
      <c r="D19" s="74"/>
      <c r="E19" s="74"/>
      <c r="F19" s="74" t="s">
        <v>181</v>
      </c>
      <c r="G19" s="74" t="s">
        <v>179</v>
      </c>
    </row>
    <row r="20" spans="1:7" x14ac:dyDescent="0.4">
      <c r="D20" s="67"/>
      <c r="F20" s="67">
        <f>Modell!B7*1000000</f>
        <v>2573200000</v>
      </c>
      <c r="G20" s="72">
        <f>F20/B26</f>
        <v>57.720951099147598</v>
      </c>
    </row>
    <row r="22" spans="1:7" x14ac:dyDescent="0.4">
      <c r="A22" s="76" t="s">
        <v>96</v>
      </c>
      <c r="B22" s="77"/>
      <c r="C22" s="77"/>
      <c r="D22" s="76"/>
      <c r="E22" s="76"/>
      <c r="F22" s="76" t="s">
        <v>181</v>
      </c>
      <c r="G22" s="76" t="s">
        <v>179</v>
      </c>
    </row>
    <row r="23" spans="1:7" x14ac:dyDescent="0.4">
      <c r="D23" s="67">
        <v>864500000</v>
      </c>
      <c r="F23" s="67">
        <f>Modell!B8*1000000+D23</f>
        <v>3465270000</v>
      </c>
      <c r="G23" s="72">
        <f>F23/B26</f>
        <v>77.731493943472415</v>
      </c>
    </row>
    <row r="25" spans="1:7" x14ac:dyDescent="0.4">
      <c r="A25" s="78" t="s">
        <v>133</v>
      </c>
      <c r="B25" s="78" t="s">
        <v>182</v>
      </c>
      <c r="F25" s="65" t="s">
        <v>187</v>
      </c>
      <c r="G25" s="65" t="s">
        <v>179</v>
      </c>
    </row>
    <row r="26" spans="1:7" ht="42" customHeight="1" x14ac:dyDescent="0.4">
      <c r="A26" s="79"/>
      <c r="B26" s="80">
        <v>44580000</v>
      </c>
      <c r="F26" s="67">
        <f>SUM(F8:F10)+SUM(F14:F16)-F20+F23</f>
        <v>65472540459.400002</v>
      </c>
      <c r="G26" s="81">
        <f>F26/B26</f>
        <v>1468.6527693898609</v>
      </c>
    </row>
    <row r="27" spans="1:7" x14ac:dyDescent="0.4">
      <c r="A27" s="79"/>
      <c r="B27" s="79"/>
    </row>
    <row r="28" spans="1:7" x14ac:dyDescent="0.4">
      <c r="A28" s="78" t="s">
        <v>183</v>
      </c>
      <c r="B28" s="79"/>
    </row>
    <row r="29" spans="1:7" x14ac:dyDescent="0.4">
      <c r="A29" s="79" t="s">
        <v>57</v>
      </c>
      <c r="B29" s="79">
        <v>9.51</v>
      </c>
    </row>
    <row r="30" spans="1:7" x14ac:dyDescent="0.4">
      <c r="A30" s="79" t="s">
        <v>184</v>
      </c>
      <c r="B30" s="79">
        <v>7.0000000000000001E-3</v>
      </c>
    </row>
    <row r="31" spans="1:7" x14ac:dyDescent="0.4">
      <c r="A31" s="79" t="s">
        <v>185</v>
      </c>
      <c r="B31" s="79">
        <v>6.75</v>
      </c>
    </row>
    <row r="91" spans="1:2" x14ac:dyDescent="0.4">
      <c r="A91" s="63" t="s">
        <v>188</v>
      </c>
      <c r="B91" s="68">
        <f>G8</f>
        <v>298.34006280843425</v>
      </c>
    </row>
    <row r="92" spans="1:2" x14ac:dyDescent="0.4">
      <c r="A92" s="63" t="s">
        <v>132</v>
      </c>
      <c r="B92" s="68">
        <f>G9</f>
        <v>235.26244952893674</v>
      </c>
    </row>
    <row r="93" spans="1:2" x14ac:dyDescent="0.4">
      <c r="A93" s="69" t="s">
        <v>131</v>
      </c>
      <c r="B93" s="71">
        <f>G10</f>
        <v>-10.228802153432031</v>
      </c>
    </row>
    <row r="94" spans="1:2" x14ac:dyDescent="0.4">
      <c r="A94" s="65" t="s">
        <v>170</v>
      </c>
      <c r="B94" s="72">
        <f>SUM(B91:B93)</f>
        <v>523.3737101839389</v>
      </c>
    </row>
    <row r="96" spans="1:2" x14ac:dyDescent="0.4">
      <c r="A96" s="63" t="s">
        <v>172</v>
      </c>
      <c r="B96" s="68">
        <f>G14</f>
        <v>655.86193360251229</v>
      </c>
    </row>
    <row r="97" spans="1:2" x14ac:dyDescent="0.4">
      <c r="A97" s="63" t="s">
        <v>173</v>
      </c>
      <c r="B97" s="68">
        <f>G15</f>
        <v>255.06897711978465</v>
      </c>
    </row>
    <row r="98" spans="1:2" x14ac:dyDescent="0.4">
      <c r="A98" s="63" t="s">
        <v>174</v>
      </c>
      <c r="B98" s="68">
        <f>G16</f>
        <v>14.337605639300135</v>
      </c>
    </row>
    <row r="99" spans="1:2" x14ac:dyDescent="0.4">
      <c r="A99" s="65" t="s">
        <v>171</v>
      </c>
      <c r="B99" s="72">
        <f>SUM(B96:B98)</f>
        <v>925.26851636159711</v>
      </c>
    </row>
    <row r="101" spans="1:2" x14ac:dyDescent="0.4">
      <c r="A101" s="63" t="s">
        <v>175</v>
      </c>
      <c r="B101" s="68">
        <f>-G20</f>
        <v>-57.720951099147598</v>
      </c>
    </row>
    <row r="102" spans="1:2" x14ac:dyDescent="0.4">
      <c r="A102" s="63" t="s">
        <v>96</v>
      </c>
      <c r="B102" s="68">
        <f>G23</f>
        <v>77.731493943472415</v>
      </c>
    </row>
    <row r="104" spans="1:2" x14ac:dyDescent="0.4">
      <c r="A104" s="63" t="s">
        <v>133</v>
      </c>
      <c r="B104" s="68">
        <f>B94+B99+B101+B102</f>
        <v>1468.6527693898609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D5" sqref="D5"/>
    </sheetView>
  </sheetViews>
  <sheetFormatPr baseColWidth="10" defaultRowHeight="16" x14ac:dyDescent="0.2"/>
  <cols>
    <col min="3" max="3" width="29.5" bestFit="1" customWidth="1"/>
    <col min="4" max="6" width="28.33203125" bestFit="1" customWidth="1"/>
  </cols>
  <sheetData>
    <row r="4" spans="3:6" ht="62" x14ac:dyDescent="0.7">
      <c r="C4" s="30"/>
      <c r="D4" s="30">
        <v>2026</v>
      </c>
      <c r="E4" s="30">
        <v>2027</v>
      </c>
      <c r="F4" s="30">
        <v>2028</v>
      </c>
    </row>
    <row r="5" spans="3:6" ht="62" x14ac:dyDescent="0.7">
      <c r="C5" s="30" t="s">
        <v>34</v>
      </c>
      <c r="D5" s="35">
        <f>Modell!$B$9/(Modell!AG11*Modell!$B$11)</f>
        <v>32.635912661007239</v>
      </c>
      <c r="E5" s="35">
        <f>Modell!$B$9/(Modell!AH11*Modell!$B$11)</f>
        <v>31.380685250968504</v>
      </c>
      <c r="F5" s="35">
        <f>Modell!$B$9/(Modell!AI11*Modell!$B$11)</f>
        <v>30.173735818238956</v>
      </c>
    </row>
    <row r="6" spans="3:6" ht="62" x14ac:dyDescent="0.7">
      <c r="C6" s="30" t="s">
        <v>35</v>
      </c>
      <c r="D6" s="35">
        <f>Modell!$B$4/Modell!AG19</f>
        <v>8.5676332890220248</v>
      </c>
      <c r="E6" s="35">
        <f>Modell!$B$4/Modell!AH19</f>
        <v>8.810265168619793</v>
      </c>
      <c r="F6" s="35">
        <f>Modell!$B$4/Modell!AI19</f>
        <v>9.0452587936053774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Info</vt:lpstr>
      <vt:lpstr>Modell</vt:lpstr>
      <vt:lpstr>Segementer</vt:lpstr>
      <vt:lpstr>SOTP</vt:lpstr>
      <vt:lpstr>Nøkkeltall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2025-02-09T20:32:11Z</dcterms:created>
  <dcterms:modified xsi:type="dcterms:W3CDTF">2026-10-01T07:04:36Z</dcterms:modified>
</cp:coreProperties>
</file>