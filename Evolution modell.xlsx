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4A110ABC-F4E2-FD43-B9C6-DEE5DFA4DA18}" xr6:coauthVersionLast="47" xr6:coauthVersionMax="47" xr10:uidLastSave="{00000000-0000-0000-0000-000000000000}"/>
  <bookViews>
    <workbookView xWindow="24460" yWindow="500" windowWidth="26740" windowHeight="26740" activeTab="4" xr2:uid="{50A86B1A-47F5-9146-A8C8-01D61AEEF5D5}"/>
  </bookViews>
  <sheets>
    <sheet name="Info" sheetId="1" r:id="rId1"/>
    <sheet name="Modell" sheetId="2" r:id="rId2"/>
    <sheet name="Market" sheetId="4" r:id="rId3"/>
    <sheet name="Nøkkeltall" sheetId="3" r:id="rId4"/>
    <sheet name="Nedsideberegning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" i="4" l="1"/>
  <c r="AC12" i="4" s="1"/>
  <c r="AB15" i="4"/>
  <c r="AB14" i="4" s="1"/>
  <c r="AA15" i="4"/>
  <c r="AA12" i="4" s="1"/>
  <c r="Z15" i="4"/>
  <c r="Z6" i="4" s="1"/>
  <c r="AA14" i="4"/>
  <c r="Z14" i="4"/>
  <c r="AD13" i="4"/>
  <c r="AB12" i="4"/>
  <c r="AD11" i="4"/>
  <c r="AC10" i="4"/>
  <c r="AB10" i="4"/>
  <c r="AA10" i="4"/>
  <c r="AD9" i="4"/>
  <c r="AC8" i="4"/>
  <c r="AB8" i="4"/>
  <c r="AA8" i="4"/>
  <c r="AD7" i="4"/>
  <c r="AC6" i="4"/>
  <c r="AB6" i="4"/>
  <c r="AA6" i="4"/>
  <c r="AD5" i="4"/>
  <c r="AL9" i="2"/>
  <c r="AL8" i="2"/>
  <c r="AH4" i="2"/>
  <c r="AI4" i="2" s="1"/>
  <c r="AJ4" i="2" s="1"/>
  <c r="AK4" i="2" s="1"/>
  <c r="AL4" i="2" s="1"/>
  <c r="AM4" i="2" s="1"/>
  <c r="AN4" i="2" s="1"/>
  <c r="AO4" i="2" s="1"/>
  <c r="AP4" i="2" s="1"/>
  <c r="AG4" i="2"/>
  <c r="AE18" i="2"/>
  <c r="X53" i="5"/>
  <c r="AE90" i="2"/>
  <c r="R82" i="2"/>
  <c r="R79" i="2"/>
  <c r="R61" i="2"/>
  <c r="R23" i="2"/>
  <c r="R13" i="2"/>
  <c r="R12" i="2"/>
  <c r="O35" i="5"/>
  <c r="O36" i="5"/>
  <c r="O38" i="5"/>
  <c r="P35" i="5"/>
  <c r="Q35" i="5"/>
  <c r="R35" i="5" s="1"/>
  <c r="S35" i="5" s="1"/>
  <c r="T35" i="5" s="1"/>
  <c r="U35" i="5" s="1"/>
  <c r="V35" i="5" s="1"/>
  <c r="W35" i="5" s="1"/>
  <c r="X35" i="5" s="1"/>
  <c r="P36" i="5"/>
  <c r="Q36" i="5"/>
  <c r="R36" i="5"/>
  <c r="S36" i="5" s="1"/>
  <c r="T36" i="5" s="1"/>
  <c r="U36" i="5" s="1"/>
  <c r="V36" i="5" s="1"/>
  <c r="W36" i="5" s="1"/>
  <c r="X36" i="5" s="1"/>
  <c r="P38" i="5"/>
  <c r="Q38" i="5" s="1"/>
  <c r="R38" i="5" s="1"/>
  <c r="S38" i="5" s="1"/>
  <c r="T38" i="5" s="1"/>
  <c r="U38" i="5" s="1"/>
  <c r="V38" i="5" s="1"/>
  <c r="W38" i="5" s="1"/>
  <c r="X38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 s="1"/>
  <c r="U32" i="5" s="1"/>
  <c r="V32" i="5" s="1"/>
  <c r="W32" i="5" s="1"/>
  <c r="X32" i="5" s="1"/>
  <c r="O32" i="5"/>
  <c r="O31" i="5"/>
  <c r="K54" i="5"/>
  <c r="I54" i="5"/>
  <c r="I53" i="5"/>
  <c r="H53" i="5"/>
  <c r="N52" i="5"/>
  <c r="M52" i="5"/>
  <c r="L52" i="5"/>
  <c r="K52" i="5"/>
  <c r="J52" i="5"/>
  <c r="I52" i="5"/>
  <c r="N51" i="5"/>
  <c r="M51" i="5"/>
  <c r="L51" i="5"/>
  <c r="K51" i="5"/>
  <c r="J51" i="5"/>
  <c r="I51" i="5"/>
  <c r="K50" i="5"/>
  <c r="J50" i="5"/>
  <c r="I50" i="5"/>
  <c r="H50" i="5"/>
  <c r="G50" i="5"/>
  <c r="K45" i="5"/>
  <c r="I42" i="5"/>
  <c r="I44" i="5" s="1"/>
  <c r="I45" i="5" s="1"/>
  <c r="H42" i="5"/>
  <c r="H44" i="5" s="1"/>
  <c r="H45" i="5" s="1"/>
  <c r="J41" i="5"/>
  <c r="I41" i="5"/>
  <c r="H41" i="5"/>
  <c r="G41" i="5"/>
  <c r="K40" i="5"/>
  <c r="K42" i="5" s="1"/>
  <c r="K44" i="5" s="1"/>
  <c r="I40" i="5"/>
  <c r="H40" i="5"/>
  <c r="H54" i="5" s="1"/>
  <c r="N39" i="5"/>
  <c r="J39" i="5"/>
  <c r="J40" i="5" s="1"/>
  <c r="I39" i="5"/>
  <c r="H39" i="5"/>
  <c r="G39" i="5"/>
  <c r="F39" i="5"/>
  <c r="E39" i="5"/>
  <c r="D39" i="5"/>
  <c r="N38" i="5"/>
  <c r="M37" i="5"/>
  <c r="M53" i="5" s="1"/>
  <c r="K37" i="5"/>
  <c r="K53" i="5" s="1"/>
  <c r="J37" i="5"/>
  <c r="J53" i="5" s="1"/>
  <c r="N35" i="5"/>
  <c r="N34" i="5"/>
  <c r="M34" i="5"/>
  <c r="L34" i="5"/>
  <c r="K34" i="5"/>
  <c r="J34" i="5"/>
  <c r="I34" i="5"/>
  <c r="I37" i="5" s="1"/>
  <c r="H34" i="5"/>
  <c r="H37" i="5" s="1"/>
  <c r="G34" i="5"/>
  <c r="F34" i="5"/>
  <c r="E34" i="5"/>
  <c r="D34" i="5"/>
  <c r="D40" i="5" s="1"/>
  <c r="N32" i="5"/>
  <c r="N31" i="5"/>
  <c r="P11" i="5"/>
  <c r="Q11" i="5"/>
  <c r="R11" i="5"/>
  <c r="S11" i="5"/>
  <c r="T11" i="5"/>
  <c r="U11" i="5"/>
  <c r="V11" i="5"/>
  <c r="W11" i="5"/>
  <c r="X11" i="5" s="1"/>
  <c r="P8" i="5"/>
  <c r="Q8" i="5"/>
  <c r="R8" i="5" s="1"/>
  <c r="S8" i="5" s="1"/>
  <c r="T8" i="5" s="1"/>
  <c r="U8" i="5" s="1"/>
  <c r="V8" i="5" s="1"/>
  <c r="W8" i="5" s="1"/>
  <c r="X8" i="5" s="1"/>
  <c r="P9" i="5"/>
  <c r="Q9" i="5"/>
  <c r="R9" i="5"/>
  <c r="S9" i="5"/>
  <c r="T9" i="5"/>
  <c r="U9" i="5"/>
  <c r="V9" i="5" s="1"/>
  <c r="W9" i="5" s="1"/>
  <c r="X9" i="5" s="1"/>
  <c r="P4" i="5"/>
  <c r="Q4" i="5"/>
  <c r="R4" i="5"/>
  <c r="S4" i="5"/>
  <c r="T4" i="5"/>
  <c r="U4" i="5"/>
  <c r="V4" i="5"/>
  <c r="W4" i="5"/>
  <c r="X4" i="5" s="1"/>
  <c r="P5" i="5"/>
  <c r="Q5" i="5"/>
  <c r="R5" i="5"/>
  <c r="S5" i="5"/>
  <c r="T5" i="5"/>
  <c r="U5" i="5"/>
  <c r="V5" i="5"/>
  <c r="W5" i="5" s="1"/>
  <c r="X5" i="5" s="1"/>
  <c r="O11" i="5"/>
  <c r="O9" i="5"/>
  <c r="O8" i="5"/>
  <c r="O5" i="5"/>
  <c r="O4" i="5"/>
  <c r="E18" i="5"/>
  <c r="F18" i="5"/>
  <c r="G18" i="5"/>
  <c r="H18" i="5"/>
  <c r="I18" i="5"/>
  <c r="J18" i="5"/>
  <c r="K18" i="5"/>
  <c r="L18" i="5"/>
  <c r="M18" i="5"/>
  <c r="N18" i="5"/>
  <c r="D18" i="5"/>
  <c r="H26" i="5"/>
  <c r="M25" i="5"/>
  <c r="L25" i="5"/>
  <c r="K25" i="5"/>
  <c r="J25" i="5"/>
  <c r="I25" i="5"/>
  <c r="M24" i="5"/>
  <c r="L24" i="5"/>
  <c r="K24" i="5"/>
  <c r="J24" i="5"/>
  <c r="I24" i="5"/>
  <c r="I23" i="5"/>
  <c r="H23" i="5"/>
  <c r="G23" i="5"/>
  <c r="H15" i="5"/>
  <c r="H17" i="5" s="1"/>
  <c r="J14" i="5"/>
  <c r="I14" i="5"/>
  <c r="H14" i="5"/>
  <c r="G14" i="5"/>
  <c r="H13" i="5"/>
  <c r="H27" i="5" s="1"/>
  <c r="J12" i="5"/>
  <c r="J13" i="5" s="1"/>
  <c r="I12" i="5"/>
  <c r="H12" i="5"/>
  <c r="G12" i="5"/>
  <c r="F12" i="5"/>
  <c r="E12" i="5"/>
  <c r="D12" i="5"/>
  <c r="N11" i="5"/>
  <c r="J10" i="5"/>
  <c r="J26" i="5" s="1"/>
  <c r="H10" i="5"/>
  <c r="N8" i="5"/>
  <c r="M7" i="5"/>
  <c r="L7" i="5"/>
  <c r="L13" i="5" s="1"/>
  <c r="L15" i="5" s="1"/>
  <c r="L17" i="5" s="1"/>
  <c r="J7" i="5"/>
  <c r="J23" i="5" s="1"/>
  <c r="I7" i="5"/>
  <c r="I10" i="5" s="1"/>
  <c r="I26" i="5" s="1"/>
  <c r="H7" i="5"/>
  <c r="G7" i="5"/>
  <c r="G10" i="5" s="1"/>
  <c r="G26" i="5" s="1"/>
  <c r="F7" i="5"/>
  <c r="E7" i="5"/>
  <c r="D7" i="5"/>
  <c r="D13" i="5" s="1"/>
  <c r="D27" i="5" s="1"/>
  <c r="K7" i="5"/>
  <c r="K10" i="5" s="1"/>
  <c r="K26" i="5" s="1"/>
  <c r="N5" i="5"/>
  <c r="O25" i="5" s="1"/>
  <c r="N4" i="5"/>
  <c r="N7" i="5" s="1"/>
  <c r="AB12" i="2"/>
  <c r="AD15" i="4" l="1"/>
  <c r="Z8" i="4"/>
  <c r="Z10" i="4"/>
  <c r="AD14" i="4"/>
  <c r="AD10" i="4"/>
  <c r="AD12" i="4"/>
  <c r="Z12" i="4"/>
  <c r="AD8" i="4"/>
  <c r="AD6" i="4"/>
  <c r="AC14" i="4"/>
  <c r="P39" i="5"/>
  <c r="O34" i="5"/>
  <c r="O51" i="5"/>
  <c r="J54" i="5"/>
  <c r="J42" i="5"/>
  <c r="J44" i="5" s="1"/>
  <c r="J45" i="5" s="1"/>
  <c r="D42" i="5"/>
  <c r="D44" i="5" s="1"/>
  <c r="D45" i="5" s="1"/>
  <c r="D54" i="5"/>
  <c r="L50" i="5"/>
  <c r="L40" i="5"/>
  <c r="L37" i="5"/>
  <c r="L53" i="5" s="1"/>
  <c r="E50" i="5"/>
  <c r="E40" i="5"/>
  <c r="F50" i="5"/>
  <c r="F40" i="5"/>
  <c r="F37" i="5"/>
  <c r="F53" i="5" s="1"/>
  <c r="G40" i="5"/>
  <c r="G37" i="5"/>
  <c r="G53" i="5" s="1"/>
  <c r="O39" i="5"/>
  <c r="O52" i="5"/>
  <c r="N50" i="5"/>
  <c r="N37" i="5"/>
  <c r="N53" i="5" s="1"/>
  <c r="N40" i="5"/>
  <c r="P52" i="5"/>
  <c r="D37" i="5"/>
  <c r="D53" i="5" s="1"/>
  <c r="M50" i="5"/>
  <c r="M40" i="5"/>
  <c r="E37" i="5"/>
  <c r="E53" i="5" s="1"/>
  <c r="P12" i="5"/>
  <c r="X12" i="5"/>
  <c r="L10" i="5"/>
  <c r="L26" i="5" s="1"/>
  <c r="N23" i="5"/>
  <c r="N10" i="5"/>
  <c r="N26" i="5" s="1"/>
  <c r="J15" i="5"/>
  <c r="J17" i="5" s="1"/>
  <c r="J27" i="5"/>
  <c r="P7" i="5"/>
  <c r="P24" i="5"/>
  <c r="L27" i="5"/>
  <c r="D15" i="5"/>
  <c r="D17" i="5" s="1"/>
  <c r="E23" i="5"/>
  <c r="E10" i="5"/>
  <c r="E26" i="5" s="1"/>
  <c r="O7" i="5"/>
  <c r="N12" i="5"/>
  <c r="N13" i="5" s="1"/>
  <c r="I13" i="5"/>
  <c r="L23" i="5"/>
  <c r="P25" i="5"/>
  <c r="M23" i="5"/>
  <c r="M10" i="5"/>
  <c r="M26" i="5" s="1"/>
  <c r="N24" i="5"/>
  <c r="F23" i="5"/>
  <c r="F13" i="5"/>
  <c r="F10" i="5"/>
  <c r="F26" i="5" s="1"/>
  <c r="E13" i="5"/>
  <c r="O24" i="5"/>
  <c r="G13" i="5"/>
  <c r="D10" i="5"/>
  <c r="D26" i="5" s="1"/>
  <c r="O12" i="5"/>
  <c r="N25" i="5"/>
  <c r="K23" i="5"/>
  <c r="K13" i="5"/>
  <c r="M13" i="5"/>
  <c r="AB7" i="2"/>
  <c r="V26" i="2"/>
  <c r="W26" i="2"/>
  <c r="X26" i="2"/>
  <c r="Y26" i="2"/>
  <c r="V27" i="2"/>
  <c r="W27" i="2"/>
  <c r="X27" i="2"/>
  <c r="Y27" i="2"/>
  <c r="W23" i="2"/>
  <c r="X23" i="2"/>
  <c r="Y23" i="2"/>
  <c r="Z23" i="2"/>
  <c r="V12" i="2"/>
  <c r="V7" i="2"/>
  <c r="V13" i="2" s="1"/>
  <c r="V15" i="2" s="1"/>
  <c r="V17" i="2" s="1"/>
  <c r="V18" i="2" s="1"/>
  <c r="W12" i="2"/>
  <c r="W7" i="2"/>
  <c r="W13" i="2" s="1"/>
  <c r="W15" i="2" s="1"/>
  <c r="W17" i="2" s="1"/>
  <c r="W18" i="2" s="1"/>
  <c r="X12" i="2"/>
  <c r="X7" i="2"/>
  <c r="X13" i="2" s="1"/>
  <c r="X15" i="2" s="1"/>
  <c r="X17" i="2" s="1"/>
  <c r="X18" i="2" s="1"/>
  <c r="Y14" i="2"/>
  <c r="Y12" i="2"/>
  <c r="Y7" i="2"/>
  <c r="Y10" i="2" s="1"/>
  <c r="Q82" i="2"/>
  <c r="Q79" i="2"/>
  <c r="Q61" i="2"/>
  <c r="Q12" i="2"/>
  <c r="F42" i="5" l="1"/>
  <c r="F44" i="5" s="1"/>
  <c r="F45" i="5" s="1"/>
  <c r="F54" i="5"/>
  <c r="M42" i="5"/>
  <c r="M44" i="5" s="1"/>
  <c r="M45" i="5" s="1"/>
  <c r="M54" i="5"/>
  <c r="Q52" i="5"/>
  <c r="E54" i="5"/>
  <c r="E42" i="5"/>
  <c r="E44" i="5" s="1"/>
  <c r="E45" i="5" s="1"/>
  <c r="N42" i="5"/>
  <c r="N54" i="5"/>
  <c r="Q39" i="5"/>
  <c r="O40" i="5"/>
  <c r="O37" i="5"/>
  <c r="O53" i="5" s="1"/>
  <c r="O50" i="5"/>
  <c r="G54" i="5"/>
  <c r="G42" i="5"/>
  <c r="G44" i="5" s="1"/>
  <c r="G45" i="5" s="1"/>
  <c r="L42" i="5"/>
  <c r="L44" i="5" s="1"/>
  <c r="L45" i="5" s="1"/>
  <c r="L54" i="5"/>
  <c r="P34" i="5"/>
  <c r="P51" i="5"/>
  <c r="Q12" i="5"/>
  <c r="N15" i="5"/>
  <c r="N27" i="5"/>
  <c r="Q24" i="5"/>
  <c r="Q7" i="5"/>
  <c r="O13" i="5"/>
  <c r="O23" i="5"/>
  <c r="O10" i="5"/>
  <c r="O26" i="5" s="1"/>
  <c r="I27" i="5"/>
  <c r="I15" i="5"/>
  <c r="I17" i="5" s="1"/>
  <c r="E15" i="5"/>
  <c r="E17" i="5" s="1"/>
  <c r="E27" i="5"/>
  <c r="F15" i="5"/>
  <c r="F17" i="5" s="1"/>
  <c r="F27" i="5"/>
  <c r="P10" i="5"/>
  <c r="P26" i="5" s="1"/>
  <c r="P23" i="5"/>
  <c r="P13" i="5"/>
  <c r="G15" i="5"/>
  <c r="G17" i="5" s="1"/>
  <c r="G27" i="5"/>
  <c r="M15" i="5"/>
  <c r="M17" i="5" s="1"/>
  <c r="M27" i="5"/>
  <c r="K15" i="5"/>
  <c r="K17" i="5" s="1"/>
  <c r="K27" i="5"/>
  <c r="Q25" i="5"/>
  <c r="V10" i="2"/>
  <c r="W10" i="2"/>
  <c r="X10" i="2"/>
  <c r="Y13" i="2"/>
  <c r="Y15" i="2" s="1"/>
  <c r="Y17" i="2" s="1"/>
  <c r="Y18" i="2" s="1"/>
  <c r="J10" i="4"/>
  <c r="AB25" i="2"/>
  <c r="Q91" i="2"/>
  <c r="R91" i="2"/>
  <c r="S91" i="2"/>
  <c r="Q84" i="2"/>
  <c r="R84" i="2"/>
  <c r="S84" i="2"/>
  <c r="Q80" i="2"/>
  <c r="Q97" i="2" s="1"/>
  <c r="R80" i="2"/>
  <c r="R97" i="2" s="1"/>
  <c r="S80" i="2"/>
  <c r="S97" i="2" s="1"/>
  <c r="Q68" i="2"/>
  <c r="R68" i="2"/>
  <c r="S68" i="2"/>
  <c r="S69" i="2" s="1"/>
  <c r="Q56" i="2"/>
  <c r="R56" i="2"/>
  <c r="S56" i="2"/>
  <c r="Q49" i="2"/>
  <c r="R49" i="2"/>
  <c r="S49" i="2"/>
  <c r="Q43" i="2"/>
  <c r="R43" i="2"/>
  <c r="S43" i="2"/>
  <c r="S50" i="2" s="1"/>
  <c r="Q31" i="2"/>
  <c r="R31" i="2"/>
  <c r="S31" i="2"/>
  <c r="Q24" i="2"/>
  <c r="R24" i="2"/>
  <c r="S24" i="2"/>
  <c r="Q25" i="2"/>
  <c r="R25" i="2"/>
  <c r="S25" i="2"/>
  <c r="O7" i="2"/>
  <c r="T22" i="4"/>
  <c r="U21" i="4"/>
  <c r="V15" i="4"/>
  <c r="V14" i="4" s="1"/>
  <c r="X22" i="4"/>
  <c r="X21" i="4"/>
  <c r="W21" i="4"/>
  <c r="U12" i="4"/>
  <c r="U25" i="4"/>
  <c r="U24" i="4"/>
  <c r="S25" i="4"/>
  <c r="S24" i="4"/>
  <c r="U23" i="4"/>
  <c r="U22" i="4"/>
  <c r="O22" i="4"/>
  <c r="O21" i="4"/>
  <c r="O25" i="4"/>
  <c r="O24" i="4"/>
  <c r="O23" i="4"/>
  <c r="T25" i="4"/>
  <c r="T24" i="4"/>
  <c r="T23" i="4"/>
  <c r="T21" i="4"/>
  <c r="Y13" i="4"/>
  <c r="Y25" i="4" s="1"/>
  <c r="Y11" i="4"/>
  <c r="Y24" i="4" s="1"/>
  <c r="Y9" i="4"/>
  <c r="Y23" i="4" s="1"/>
  <c r="Y7" i="4"/>
  <c r="Y22" i="4" s="1"/>
  <c r="Y5" i="4"/>
  <c r="T14" i="4"/>
  <c r="T12" i="4"/>
  <c r="T10" i="4"/>
  <c r="T8" i="4"/>
  <c r="T6" i="4"/>
  <c r="T7" i="4"/>
  <c r="T13" i="4"/>
  <c r="T11" i="4"/>
  <c r="T9" i="4"/>
  <c r="T5" i="4"/>
  <c r="J8" i="4"/>
  <c r="J14" i="4"/>
  <c r="J12" i="4"/>
  <c r="J6" i="4"/>
  <c r="O14" i="4"/>
  <c r="O12" i="4"/>
  <c r="O10" i="4"/>
  <c r="O8" i="4"/>
  <c r="O6" i="4"/>
  <c r="O13" i="4"/>
  <c r="O11" i="4"/>
  <c r="O9" i="4"/>
  <c r="O7" i="4"/>
  <c r="O5" i="4"/>
  <c r="J7" i="4"/>
  <c r="J15" i="4"/>
  <c r="J13" i="4"/>
  <c r="J11" i="4"/>
  <c r="J9" i="4"/>
  <c r="J5" i="4"/>
  <c r="O15" i="4"/>
  <c r="AA25" i="2"/>
  <c r="P82" i="2"/>
  <c r="P84" i="2" s="1"/>
  <c r="P79" i="2"/>
  <c r="P80" i="2" s="1"/>
  <c r="P61" i="2"/>
  <c r="P49" i="2"/>
  <c r="P91" i="2"/>
  <c r="P68" i="2"/>
  <c r="P56" i="2"/>
  <c r="P43" i="2"/>
  <c r="P12" i="2"/>
  <c r="V21" i="4"/>
  <c r="V22" i="4"/>
  <c r="W22" i="4"/>
  <c r="V23" i="4"/>
  <c r="W23" i="4"/>
  <c r="X23" i="4"/>
  <c r="V24" i="4"/>
  <c r="W24" i="4"/>
  <c r="X24" i="4"/>
  <c r="V25" i="4"/>
  <c r="W25" i="4"/>
  <c r="X25" i="4"/>
  <c r="S6" i="4"/>
  <c r="T15" i="4"/>
  <c r="U15" i="4"/>
  <c r="U6" i="4" s="1"/>
  <c r="W15" i="4"/>
  <c r="X15" i="4"/>
  <c r="X14" i="4" s="1"/>
  <c r="I15" i="4"/>
  <c r="P31" i="2"/>
  <c r="P25" i="2"/>
  <c r="P24" i="2"/>
  <c r="S10" i="4"/>
  <c r="Z91" i="2"/>
  <c r="Z82" i="2"/>
  <c r="Z84" i="2" s="1"/>
  <c r="Z79" i="2"/>
  <c r="Z80" i="2" s="1"/>
  <c r="Z14" i="2"/>
  <c r="Z12" i="2"/>
  <c r="Z7" i="2"/>
  <c r="AA86" i="2"/>
  <c r="AA91" i="2" s="1"/>
  <c r="AA82" i="2"/>
  <c r="AA84" i="2" s="1"/>
  <c r="AA79" i="2"/>
  <c r="AA75" i="2"/>
  <c r="AB82" i="2"/>
  <c r="AB84" i="2" s="1"/>
  <c r="AB79" i="2"/>
  <c r="AB75" i="2"/>
  <c r="AB91" i="2"/>
  <c r="AA14" i="2"/>
  <c r="AA12" i="2"/>
  <c r="AA7" i="2"/>
  <c r="AA24" i="2"/>
  <c r="AB24" i="2"/>
  <c r="AB14" i="2"/>
  <c r="AB10" i="2"/>
  <c r="AB26" i="2" s="1"/>
  <c r="N7" i="2"/>
  <c r="AC87" i="2"/>
  <c r="AC88" i="2"/>
  <c r="AC89" i="2"/>
  <c r="AC90" i="2"/>
  <c r="AC86" i="2"/>
  <c r="AC83" i="2"/>
  <c r="AD87" i="2"/>
  <c r="AD88" i="2"/>
  <c r="AD89" i="2"/>
  <c r="AD90" i="2"/>
  <c r="AD86" i="2"/>
  <c r="AD83" i="2"/>
  <c r="AC74" i="2"/>
  <c r="AC75" i="2"/>
  <c r="AC76" i="2"/>
  <c r="AC77" i="2"/>
  <c r="AC78" i="2"/>
  <c r="AC73" i="2"/>
  <c r="AD74" i="2"/>
  <c r="AD75" i="2"/>
  <c r="AD76" i="2"/>
  <c r="AD77" i="2"/>
  <c r="AD78" i="2"/>
  <c r="AD73" i="2"/>
  <c r="AE93" i="2"/>
  <c r="AE88" i="2"/>
  <c r="AE89" i="2"/>
  <c r="AE86" i="2"/>
  <c r="AE83" i="2"/>
  <c r="AE78" i="2"/>
  <c r="AE74" i="2"/>
  <c r="AE75" i="2"/>
  <c r="AE76" i="2"/>
  <c r="AE77" i="2"/>
  <c r="AE73" i="2"/>
  <c r="D82" i="2"/>
  <c r="D79" i="2"/>
  <c r="D80" i="2" s="1"/>
  <c r="E82" i="2"/>
  <c r="E84" i="2" s="1"/>
  <c r="E79" i="2"/>
  <c r="E80" i="2" s="1"/>
  <c r="F82" i="2"/>
  <c r="F84" i="2" s="1"/>
  <c r="F79" i="2"/>
  <c r="F80" i="2" s="1"/>
  <c r="G82" i="2"/>
  <c r="G84" i="2" s="1"/>
  <c r="G79" i="2"/>
  <c r="G80" i="2" s="1"/>
  <c r="H91" i="2"/>
  <c r="H82" i="2"/>
  <c r="H84" i="2" s="1"/>
  <c r="H79" i="2"/>
  <c r="H80" i="2" s="1"/>
  <c r="L82" i="2"/>
  <c r="L79" i="2"/>
  <c r="L80" i="2" s="1"/>
  <c r="I82" i="2"/>
  <c r="I79" i="2"/>
  <c r="I80" i="2" s="1"/>
  <c r="M82" i="2"/>
  <c r="M84" i="2" s="1"/>
  <c r="M79" i="2"/>
  <c r="M80" i="2" s="1"/>
  <c r="J82" i="2"/>
  <c r="J84" i="2" s="1"/>
  <c r="J79" i="2"/>
  <c r="J80" i="2" s="1"/>
  <c r="N82" i="2"/>
  <c r="N84" i="2" s="1"/>
  <c r="N79" i="2"/>
  <c r="N80" i="2" s="1"/>
  <c r="K82" i="2"/>
  <c r="K84" i="2" s="1"/>
  <c r="K79" i="2"/>
  <c r="K80" i="2" s="1"/>
  <c r="AC6" i="2"/>
  <c r="AD6" i="2"/>
  <c r="D7" i="2"/>
  <c r="E7" i="2"/>
  <c r="F7" i="2"/>
  <c r="G7" i="2"/>
  <c r="H7" i="2"/>
  <c r="I7" i="2"/>
  <c r="J7" i="2"/>
  <c r="K7" i="2"/>
  <c r="L7" i="2"/>
  <c r="M7" i="2"/>
  <c r="D91" i="2"/>
  <c r="E91" i="2"/>
  <c r="F91" i="2"/>
  <c r="G91" i="2"/>
  <c r="I91" i="2"/>
  <c r="J91" i="2"/>
  <c r="K91" i="2"/>
  <c r="L91" i="2"/>
  <c r="M91" i="2"/>
  <c r="N91" i="2"/>
  <c r="O91" i="2"/>
  <c r="O82" i="2"/>
  <c r="O84" i="2" s="1"/>
  <c r="O79" i="2"/>
  <c r="O80" i="2" s="1"/>
  <c r="O31" i="2"/>
  <c r="S15" i="4"/>
  <c r="S8" i="4" s="1"/>
  <c r="L43" i="2"/>
  <c r="D68" i="2"/>
  <c r="E68" i="2"/>
  <c r="F68" i="2"/>
  <c r="G68" i="2"/>
  <c r="H68" i="2"/>
  <c r="I68" i="2"/>
  <c r="J68" i="2"/>
  <c r="K68" i="2"/>
  <c r="L68" i="2"/>
  <c r="M68" i="2"/>
  <c r="D61" i="2"/>
  <c r="E61" i="2"/>
  <c r="F61" i="2"/>
  <c r="G61" i="2"/>
  <c r="H61" i="2"/>
  <c r="I61" i="2"/>
  <c r="J61" i="2"/>
  <c r="K61" i="2"/>
  <c r="L61" i="2"/>
  <c r="M61" i="2"/>
  <c r="D56" i="2"/>
  <c r="E56" i="2"/>
  <c r="F56" i="2"/>
  <c r="G56" i="2"/>
  <c r="H56" i="2"/>
  <c r="I56" i="2"/>
  <c r="J56" i="2"/>
  <c r="K56" i="2"/>
  <c r="L56" i="2"/>
  <c r="M56" i="2"/>
  <c r="D49" i="2"/>
  <c r="E49" i="2"/>
  <c r="F49" i="2"/>
  <c r="G49" i="2"/>
  <c r="H49" i="2"/>
  <c r="I49" i="2"/>
  <c r="J49" i="2"/>
  <c r="K49" i="2"/>
  <c r="L49" i="2"/>
  <c r="M49" i="2"/>
  <c r="D43" i="2"/>
  <c r="E43" i="2"/>
  <c r="F43" i="2"/>
  <c r="G43" i="2"/>
  <c r="H43" i="2"/>
  <c r="I43" i="2"/>
  <c r="J43" i="2"/>
  <c r="K43" i="2"/>
  <c r="M43" i="2"/>
  <c r="G23" i="4"/>
  <c r="H24" i="4"/>
  <c r="G25" i="4"/>
  <c r="H25" i="4"/>
  <c r="I25" i="4"/>
  <c r="K25" i="4"/>
  <c r="L25" i="4"/>
  <c r="M25" i="4"/>
  <c r="N25" i="4"/>
  <c r="P25" i="4"/>
  <c r="Q25" i="4"/>
  <c r="R25" i="4"/>
  <c r="G24" i="4"/>
  <c r="I24" i="4"/>
  <c r="K24" i="4"/>
  <c r="L24" i="4"/>
  <c r="M24" i="4"/>
  <c r="N24" i="4"/>
  <c r="P24" i="4"/>
  <c r="Q24" i="4"/>
  <c r="R24" i="4"/>
  <c r="H23" i="4"/>
  <c r="I23" i="4"/>
  <c r="K23" i="4"/>
  <c r="L23" i="4"/>
  <c r="M23" i="4"/>
  <c r="N23" i="4"/>
  <c r="P23" i="4"/>
  <c r="Q23" i="4"/>
  <c r="R23" i="4"/>
  <c r="S23" i="4"/>
  <c r="G22" i="4"/>
  <c r="H22" i="4"/>
  <c r="I22" i="4"/>
  <c r="K22" i="4"/>
  <c r="L22" i="4"/>
  <c r="M22" i="4"/>
  <c r="N22" i="4"/>
  <c r="P22" i="4"/>
  <c r="Q22" i="4"/>
  <c r="R22" i="4"/>
  <c r="S22" i="4"/>
  <c r="G21" i="4"/>
  <c r="H21" i="4"/>
  <c r="I21" i="4"/>
  <c r="K21" i="4"/>
  <c r="L21" i="4"/>
  <c r="M21" i="4"/>
  <c r="N21" i="4"/>
  <c r="P21" i="4"/>
  <c r="Q21" i="4"/>
  <c r="R21" i="4"/>
  <c r="S21" i="4"/>
  <c r="F15" i="4"/>
  <c r="F14" i="4" s="1"/>
  <c r="G15" i="4"/>
  <c r="G14" i="4" s="1"/>
  <c r="H15" i="4"/>
  <c r="H14" i="4" s="1"/>
  <c r="I14" i="4"/>
  <c r="K15" i="4"/>
  <c r="K14" i="4" s="1"/>
  <c r="L15" i="4"/>
  <c r="L14" i="4" s="1"/>
  <c r="M15" i="4"/>
  <c r="M14" i="4" s="1"/>
  <c r="N15" i="4"/>
  <c r="N14" i="4" s="1"/>
  <c r="P15" i="4"/>
  <c r="P6" i="4" s="1"/>
  <c r="Q15" i="4"/>
  <c r="Q12" i="4" s="1"/>
  <c r="R15" i="4"/>
  <c r="R12" i="4" s="1"/>
  <c r="P7" i="2"/>
  <c r="Q7" i="2"/>
  <c r="Q13" i="2" s="1"/>
  <c r="Q15" i="2" s="1"/>
  <c r="Q17" i="2" s="1"/>
  <c r="Q18" i="2" s="1"/>
  <c r="R7" i="2"/>
  <c r="R15" i="2" s="1"/>
  <c r="R17" i="2" s="1"/>
  <c r="R18" i="2" s="1"/>
  <c r="S7" i="2"/>
  <c r="S13" i="2" s="1"/>
  <c r="S15" i="2" s="1"/>
  <c r="S17" i="2" s="1"/>
  <c r="S18" i="2" s="1"/>
  <c r="X6" i="4" l="1"/>
  <c r="X10" i="4"/>
  <c r="X8" i="4"/>
  <c r="X12" i="4"/>
  <c r="R50" i="2"/>
  <c r="W8" i="4"/>
  <c r="W6" i="4"/>
  <c r="W10" i="4"/>
  <c r="W12" i="4"/>
  <c r="W14" i="4"/>
  <c r="Q51" i="5"/>
  <c r="Q34" i="5"/>
  <c r="P37" i="5"/>
  <c r="P53" i="5" s="1"/>
  <c r="P50" i="5"/>
  <c r="P40" i="5"/>
  <c r="R39" i="5"/>
  <c r="R52" i="5"/>
  <c r="O54" i="5"/>
  <c r="O42" i="5"/>
  <c r="N43" i="5"/>
  <c r="N44" i="5" s="1"/>
  <c r="R12" i="5"/>
  <c r="O15" i="5"/>
  <c r="O27" i="5"/>
  <c r="Q10" i="5"/>
  <c r="Q26" i="5" s="1"/>
  <c r="Q13" i="5"/>
  <c r="Q23" i="5"/>
  <c r="R7" i="5"/>
  <c r="R24" i="5"/>
  <c r="R25" i="5"/>
  <c r="P27" i="5"/>
  <c r="P15" i="5"/>
  <c r="N17" i="5"/>
  <c r="N16" i="5"/>
  <c r="L97" i="2"/>
  <c r="R95" i="2"/>
  <c r="Z13" i="2"/>
  <c r="Z27" i="2" s="1"/>
  <c r="R69" i="2"/>
  <c r="P69" i="2"/>
  <c r="S23" i="2"/>
  <c r="Z97" i="2"/>
  <c r="AF4" i="2"/>
  <c r="O23" i="2"/>
  <c r="AB80" i="2"/>
  <c r="AB97" i="2" s="1"/>
  <c r="Q69" i="2"/>
  <c r="F97" i="2"/>
  <c r="S95" i="2"/>
  <c r="Q95" i="2"/>
  <c r="P50" i="2"/>
  <c r="R27" i="2"/>
  <c r="P97" i="2"/>
  <c r="S72" i="2"/>
  <c r="R72" i="2"/>
  <c r="AA80" i="2"/>
  <c r="AA95" i="2" s="1"/>
  <c r="S27" i="2"/>
  <c r="Q50" i="2"/>
  <c r="V8" i="4"/>
  <c r="V10" i="4"/>
  <c r="V12" i="4"/>
  <c r="Q23" i="2"/>
  <c r="Q72" i="2"/>
  <c r="Q27" i="2"/>
  <c r="Y21" i="4"/>
  <c r="V6" i="4"/>
  <c r="AD91" i="2"/>
  <c r="K97" i="2"/>
  <c r="AC82" i="2"/>
  <c r="AC84" i="2" s="1"/>
  <c r="AE91" i="2"/>
  <c r="F50" i="2"/>
  <c r="P23" i="2"/>
  <c r="P13" i="2"/>
  <c r="J97" i="2"/>
  <c r="E97" i="2"/>
  <c r="Y15" i="4"/>
  <c r="Y6" i="4" s="1"/>
  <c r="P95" i="2"/>
  <c r="U10" i="4"/>
  <c r="U8" i="4"/>
  <c r="U14" i="4"/>
  <c r="S12" i="4"/>
  <c r="R14" i="4"/>
  <c r="Z95" i="2"/>
  <c r="AA23" i="2"/>
  <c r="Z10" i="2"/>
  <c r="Z26" i="2" s="1"/>
  <c r="AA10" i="2"/>
  <c r="AA26" i="2" s="1"/>
  <c r="AA13" i="2"/>
  <c r="AA72" i="2" s="1"/>
  <c r="AB23" i="2"/>
  <c r="AB13" i="2"/>
  <c r="AD82" i="2"/>
  <c r="AD84" i="2" s="1"/>
  <c r="D84" i="2"/>
  <c r="D95" i="2" s="1"/>
  <c r="AE79" i="2"/>
  <c r="AE80" i="2" s="1"/>
  <c r="AE82" i="2"/>
  <c r="AE84" i="2" s="1"/>
  <c r="L69" i="2"/>
  <c r="AC91" i="2"/>
  <c r="D69" i="2"/>
  <c r="I84" i="2"/>
  <c r="I95" i="2" s="1"/>
  <c r="G50" i="2"/>
  <c r="O97" i="2"/>
  <c r="D97" i="2"/>
  <c r="AC79" i="2"/>
  <c r="AC80" i="2" s="1"/>
  <c r="N23" i="2"/>
  <c r="AD79" i="2"/>
  <c r="AD80" i="2" s="1"/>
  <c r="O95" i="2"/>
  <c r="G97" i="2"/>
  <c r="L84" i="2"/>
  <c r="L95" i="2" s="1"/>
  <c r="N95" i="2"/>
  <c r="H97" i="2"/>
  <c r="H95" i="2"/>
  <c r="M95" i="2"/>
  <c r="N97" i="2"/>
  <c r="G95" i="2"/>
  <c r="F95" i="2"/>
  <c r="I97" i="2"/>
  <c r="E95" i="2"/>
  <c r="K95" i="2"/>
  <c r="M97" i="2"/>
  <c r="J95" i="2"/>
  <c r="L50" i="2"/>
  <c r="E50" i="2"/>
  <c r="Q10" i="2"/>
  <c r="Q26" i="2" s="1"/>
  <c r="P10" i="2"/>
  <c r="P26" i="2" s="1"/>
  <c r="R10" i="2"/>
  <c r="R26" i="2" s="1"/>
  <c r="G69" i="2"/>
  <c r="H69" i="2"/>
  <c r="H50" i="2"/>
  <c r="F69" i="2"/>
  <c r="E69" i="2"/>
  <c r="D50" i="2"/>
  <c r="J69" i="2"/>
  <c r="K69" i="2"/>
  <c r="I69" i="2"/>
  <c r="I50" i="2"/>
  <c r="J50" i="2"/>
  <c r="K50" i="2"/>
  <c r="M69" i="2"/>
  <c r="M50" i="2"/>
  <c r="R6" i="4"/>
  <c r="R8" i="4"/>
  <c r="S14" i="4"/>
  <c r="R10" i="4"/>
  <c r="S10" i="2"/>
  <c r="S26" i="2" s="1"/>
  <c r="F6" i="4"/>
  <c r="F12" i="4"/>
  <c r="F8" i="4"/>
  <c r="F10" i="4"/>
  <c r="G10" i="4"/>
  <c r="G6" i="4"/>
  <c r="G12" i="4"/>
  <c r="G8" i="4"/>
  <c r="H8" i="4"/>
  <c r="H12" i="4"/>
  <c r="H6" i="4"/>
  <c r="H10" i="4"/>
  <c r="I6" i="4"/>
  <c r="I12" i="4"/>
  <c r="I10" i="4"/>
  <c r="I8" i="4"/>
  <c r="K12" i="4"/>
  <c r="K10" i="4"/>
  <c r="K6" i="4"/>
  <c r="K8" i="4"/>
  <c r="L12" i="4"/>
  <c r="L10" i="4"/>
  <c r="L8" i="4"/>
  <c r="L6" i="4"/>
  <c r="M12" i="4"/>
  <c r="M10" i="4"/>
  <c r="M8" i="4"/>
  <c r="M6" i="4"/>
  <c r="N6" i="4"/>
  <c r="N10" i="4"/>
  <c r="N8" i="4"/>
  <c r="N12" i="4"/>
  <c r="P8" i="4"/>
  <c r="P14" i="4"/>
  <c r="P10" i="4"/>
  <c r="P12" i="4"/>
  <c r="Q10" i="4"/>
  <c r="Q6" i="4"/>
  <c r="Q8" i="4"/>
  <c r="Q14" i="4"/>
  <c r="AG9" i="2"/>
  <c r="AH9" i="2" s="1"/>
  <c r="AI9" i="2" s="1"/>
  <c r="AJ9" i="2" s="1"/>
  <c r="AK9" i="2" s="1"/>
  <c r="AM9" i="2" s="1"/>
  <c r="AN9" i="2" s="1"/>
  <c r="AO9" i="2" s="1"/>
  <c r="AP9" i="2" s="1"/>
  <c r="H24" i="2"/>
  <c r="I24" i="2"/>
  <c r="J24" i="2"/>
  <c r="K24" i="2"/>
  <c r="L24" i="2"/>
  <c r="M24" i="2"/>
  <c r="N24" i="2"/>
  <c r="H25" i="2"/>
  <c r="I25" i="2"/>
  <c r="J25" i="2"/>
  <c r="K25" i="2"/>
  <c r="L25" i="2"/>
  <c r="M25" i="2"/>
  <c r="N25" i="2"/>
  <c r="O25" i="2"/>
  <c r="O24" i="2"/>
  <c r="AF11" i="2"/>
  <c r="AF8" i="2"/>
  <c r="O12" i="2"/>
  <c r="D12" i="2"/>
  <c r="E12" i="2"/>
  <c r="F12" i="2"/>
  <c r="G12" i="2"/>
  <c r="H12" i="2"/>
  <c r="I12" i="2"/>
  <c r="J12" i="2"/>
  <c r="K12" i="2"/>
  <c r="L12" i="2"/>
  <c r="M12" i="2"/>
  <c r="N12" i="2"/>
  <c r="O43" i="2"/>
  <c r="O68" i="2"/>
  <c r="O61" i="2"/>
  <c r="O56" i="2"/>
  <c r="O49" i="2"/>
  <c r="I31" i="2"/>
  <c r="J31" i="2"/>
  <c r="K31" i="2"/>
  <c r="L31" i="2"/>
  <c r="M31" i="2"/>
  <c r="N31" i="2"/>
  <c r="H31" i="2"/>
  <c r="N45" i="5" l="1"/>
  <c r="S39" i="5"/>
  <c r="P54" i="5"/>
  <c r="P42" i="5"/>
  <c r="S52" i="5"/>
  <c r="O43" i="5"/>
  <c r="O44" i="5" s="1"/>
  <c r="R34" i="5"/>
  <c r="R51" i="5"/>
  <c r="Q37" i="5"/>
  <c r="Q53" i="5" s="1"/>
  <c r="Q50" i="5"/>
  <c r="Q40" i="5"/>
  <c r="S12" i="5"/>
  <c r="Q27" i="5"/>
  <c r="Q15" i="5"/>
  <c r="P16" i="5"/>
  <c r="P17" i="5" s="1"/>
  <c r="P18" i="5" s="1"/>
  <c r="S25" i="5"/>
  <c r="S7" i="5"/>
  <c r="S24" i="5"/>
  <c r="O16" i="5"/>
  <c r="O17" i="5" s="1"/>
  <c r="R23" i="5"/>
  <c r="R13" i="5"/>
  <c r="R10" i="5"/>
  <c r="R26" i="5" s="1"/>
  <c r="Z72" i="2"/>
  <c r="Z15" i="2"/>
  <c r="Z17" i="2" s="1"/>
  <c r="Z18" i="2" s="1"/>
  <c r="AB95" i="2"/>
  <c r="AA97" i="2"/>
  <c r="P15" i="2"/>
  <c r="P17" i="2" s="1"/>
  <c r="P18" i="2" s="1"/>
  <c r="P72" i="2"/>
  <c r="P27" i="2"/>
  <c r="AB15" i="2"/>
  <c r="AB17" i="2" s="1"/>
  <c r="AB18" i="2" s="1"/>
  <c r="AB27" i="2"/>
  <c r="AB72" i="2"/>
  <c r="Y8" i="4"/>
  <c r="Y12" i="4"/>
  <c r="Y10" i="4"/>
  <c r="Y14" i="4"/>
  <c r="AA27" i="2"/>
  <c r="AA15" i="2"/>
  <c r="AA17" i="2" s="1"/>
  <c r="AA18" i="2" s="1"/>
  <c r="AD95" i="2"/>
  <c r="AD97" i="2"/>
  <c r="AC95" i="2"/>
  <c r="AC97" i="2"/>
  <c r="AE97" i="2"/>
  <c r="AE95" i="2"/>
  <c r="AF12" i="2"/>
  <c r="AG8" i="2"/>
  <c r="AH8" i="2" s="1"/>
  <c r="AI8" i="2" s="1"/>
  <c r="AJ8" i="2" s="1"/>
  <c r="AK8" i="2" s="1"/>
  <c r="AM8" i="2" s="1"/>
  <c r="AN8" i="2" s="1"/>
  <c r="AO8" i="2" s="1"/>
  <c r="AP8" i="2" s="1"/>
  <c r="O69" i="2"/>
  <c r="O50" i="2"/>
  <c r="O45" i="5" l="1"/>
  <c r="Q42" i="5"/>
  <c r="Q54" i="5"/>
  <c r="T52" i="5"/>
  <c r="P43" i="5"/>
  <c r="P44" i="5" s="1"/>
  <c r="S34" i="5"/>
  <c r="S51" i="5"/>
  <c r="T39" i="5"/>
  <c r="R50" i="5"/>
  <c r="R37" i="5"/>
  <c r="R53" i="5" s="1"/>
  <c r="R40" i="5"/>
  <c r="T12" i="5"/>
  <c r="O18" i="5"/>
  <c r="T24" i="5"/>
  <c r="T7" i="5"/>
  <c r="S23" i="5"/>
  <c r="S13" i="5"/>
  <c r="S10" i="5"/>
  <c r="S26" i="5" s="1"/>
  <c r="Q16" i="5"/>
  <c r="Q17" i="5" s="1"/>
  <c r="Q18" i="5" s="1"/>
  <c r="T25" i="5"/>
  <c r="R15" i="5"/>
  <c r="R27" i="5"/>
  <c r="AG24" i="2"/>
  <c r="AF24" i="2"/>
  <c r="P45" i="5" l="1"/>
  <c r="U52" i="5"/>
  <c r="R42" i="5"/>
  <c r="R54" i="5"/>
  <c r="U39" i="5"/>
  <c r="Q43" i="5"/>
  <c r="Q44" i="5" s="1"/>
  <c r="Q45" i="5" s="1"/>
  <c r="T51" i="5"/>
  <c r="T34" i="5"/>
  <c r="S50" i="5"/>
  <c r="S40" i="5"/>
  <c r="S37" i="5"/>
  <c r="S53" i="5" s="1"/>
  <c r="U12" i="5"/>
  <c r="S15" i="5"/>
  <c r="S27" i="5"/>
  <c r="R16" i="5"/>
  <c r="R17" i="5" s="1"/>
  <c r="U25" i="5"/>
  <c r="T13" i="5"/>
  <c r="T10" i="5"/>
  <c r="T26" i="5" s="1"/>
  <c r="T23" i="5"/>
  <c r="U24" i="5"/>
  <c r="U7" i="5"/>
  <c r="AH24" i="2"/>
  <c r="AI24" i="2"/>
  <c r="AF5" i="2"/>
  <c r="AF7" i="2" s="1"/>
  <c r="AC25" i="2"/>
  <c r="N68" i="2"/>
  <c r="N61" i="2"/>
  <c r="N56" i="2"/>
  <c r="N49" i="2"/>
  <c r="N43" i="2"/>
  <c r="B6" i="2"/>
  <c r="B9" i="2" s="1"/>
  <c r="R43" i="5" l="1"/>
  <c r="R44" i="5" s="1"/>
  <c r="R45" i="5" s="1"/>
  <c r="U51" i="5"/>
  <c r="U34" i="5"/>
  <c r="V52" i="5"/>
  <c r="V39" i="5"/>
  <c r="S42" i="5"/>
  <c r="S54" i="5"/>
  <c r="T50" i="5"/>
  <c r="T40" i="5"/>
  <c r="T37" i="5"/>
  <c r="T53" i="5" s="1"/>
  <c r="W12" i="5"/>
  <c r="V12" i="5"/>
  <c r="R18" i="5"/>
  <c r="V7" i="5"/>
  <c r="V24" i="5"/>
  <c r="S16" i="5"/>
  <c r="S17" i="5" s="1"/>
  <c r="S18" i="5" s="1"/>
  <c r="U23" i="5"/>
  <c r="U10" i="5"/>
  <c r="U26" i="5" s="1"/>
  <c r="U13" i="5"/>
  <c r="T27" i="5"/>
  <c r="T15" i="5"/>
  <c r="V25" i="5"/>
  <c r="AE7" i="2"/>
  <c r="AC7" i="2"/>
  <c r="AC23" i="2" s="1"/>
  <c r="AC24" i="2"/>
  <c r="AD7" i="2"/>
  <c r="AG5" i="2"/>
  <c r="N10" i="2"/>
  <c r="N26" i="2" s="1"/>
  <c r="O10" i="2"/>
  <c r="O26" i="2" s="1"/>
  <c r="O13" i="2"/>
  <c r="F10" i="2"/>
  <c r="F26" i="2" s="1"/>
  <c r="M10" i="2"/>
  <c r="M26" i="2" s="1"/>
  <c r="D10" i="2"/>
  <c r="D26" i="2" s="1"/>
  <c r="J10" i="2"/>
  <c r="J26" i="2" s="1"/>
  <c r="I10" i="2"/>
  <c r="I26" i="2" s="1"/>
  <c r="G10" i="2"/>
  <c r="G26" i="2" s="1"/>
  <c r="E10" i="2"/>
  <c r="E26" i="2" s="1"/>
  <c r="L10" i="2"/>
  <c r="L26" i="2" s="1"/>
  <c r="K10" i="2"/>
  <c r="K26" i="2" s="1"/>
  <c r="H10" i="2"/>
  <c r="H26" i="2" s="1"/>
  <c r="AD25" i="2"/>
  <c r="I23" i="2"/>
  <c r="N69" i="2"/>
  <c r="AD24" i="2"/>
  <c r="AE24" i="2"/>
  <c r="AG11" i="2"/>
  <c r="AH11" i="2" s="1"/>
  <c r="AI11" i="2" s="1"/>
  <c r="AJ11" i="2" s="1"/>
  <c r="AK11" i="2" s="1"/>
  <c r="AL11" i="2" s="1"/>
  <c r="AM11" i="2" s="1"/>
  <c r="AN11" i="2" s="1"/>
  <c r="AO11" i="2" s="1"/>
  <c r="H23" i="2"/>
  <c r="AE25" i="2"/>
  <c r="AF25" i="2"/>
  <c r="AJ24" i="2"/>
  <c r="M23" i="2"/>
  <c r="J23" i="2"/>
  <c r="L23" i="2"/>
  <c r="F13" i="2"/>
  <c r="K23" i="2"/>
  <c r="L13" i="2"/>
  <c r="N50" i="2"/>
  <c r="H13" i="2"/>
  <c r="E13" i="2"/>
  <c r="K13" i="2"/>
  <c r="D13" i="2"/>
  <c r="G13" i="2"/>
  <c r="M13" i="2"/>
  <c r="I13" i="2"/>
  <c r="I72" i="2" s="1"/>
  <c r="J13" i="2"/>
  <c r="N13" i="2"/>
  <c r="X39" i="5" l="1"/>
  <c r="W39" i="5"/>
  <c r="X52" i="5"/>
  <c r="W52" i="5"/>
  <c r="V34" i="5"/>
  <c r="V51" i="5"/>
  <c r="S43" i="5"/>
  <c r="S44" i="5" s="1"/>
  <c r="T42" i="5"/>
  <c r="T54" i="5"/>
  <c r="U50" i="5"/>
  <c r="U40" i="5"/>
  <c r="U37" i="5"/>
  <c r="U53" i="5" s="1"/>
  <c r="X25" i="5"/>
  <c r="W25" i="5"/>
  <c r="T16" i="5"/>
  <c r="T17" i="5" s="1"/>
  <c r="T18" i="5" s="1"/>
  <c r="W24" i="5"/>
  <c r="W7" i="5"/>
  <c r="U15" i="5"/>
  <c r="U27" i="5"/>
  <c r="V23" i="5"/>
  <c r="V13" i="5"/>
  <c r="V10" i="5"/>
  <c r="V26" i="5" s="1"/>
  <c r="AH5" i="2"/>
  <c r="AI5" i="2" s="1"/>
  <c r="AJ5" i="2" s="1"/>
  <c r="AK5" i="2" s="1"/>
  <c r="AL5" i="2" s="1"/>
  <c r="AM5" i="2" s="1"/>
  <c r="AN5" i="2" s="1"/>
  <c r="AO5" i="2" s="1"/>
  <c r="AP5" i="2" s="1"/>
  <c r="AG7" i="2"/>
  <c r="AC13" i="2"/>
  <c r="AC27" i="2" s="1"/>
  <c r="N15" i="2"/>
  <c r="N17" i="2" s="1"/>
  <c r="N18" i="2" s="1"/>
  <c r="N72" i="2"/>
  <c r="J15" i="2"/>
  <c r="J17" i="2" s="1"/>
  <c r="J18" i="2" s="1"/>
  <c r="J72" i="2"/>
  <c r="O27" i="2"/>
  <c r="O72" i="2"/>
  <c r="D15" i="2"/>
  <c r="D17" i="2" s="1"/>
  <c r="D18" i="2" s="1"/>
  <c r="D72" i="2"/>
  <c r="K15" i="2"/>
  <c r="K17" i="2" s="1"/>
  <c r="K18" i="2" s="1"/>
  <c r="K72" i="2"/>
  <c r="F15" i="2"/>
  <c r="F17" i="2" s="1"/>
  <c r="F18" i="2" s="1"/>
  <c r="F72" i="2"/>
  <c r="E15" i="2"/>
  <c r="E17" i="2" s="1"/>
  <c r="E18" i="2" s="1"/>
  <c r="E72" i="2"/>
  <c r="H15" i="2"/>
  <c r="H17" i="2" s="1"/>
  <c r="H18" i="2" s="1"/>
  <c r="H72" i="2"/>
  <c r="M15" i="2"/>
  <c r="M17" i="2" s="1"/>
  <c r="M18" i="2" s="1"/>
  <c r="M72" i="2"/>
  <c r="L15" i="2"/>
  <c r="L17" i="2" s="1"/>
  <c r="L18" i="2" s="1"/>
  <c r="L72" i="2"/>
  <c r="G15" i="2"/>
  <c r="G17" i="2" s="1"/>
  <c r="G18" i="2" s="1"/>
  <c r="G72" i="2"/>
  <c r="AE10" i="2"/>
  <c r="AE26" i="2" s="1"/>
  <c r="AE13" i="2"/>
  <c r="AE72" i="2" s="1"/>
  <c r="AD23" i="2"/>
  <c r="AD10" i="2"/>
  <c r="AD26" i="2" s="1"/>
  <c r="O15" i="2"/>
  <c r="O17" i="2" s="1"/>
  <c r="O18" i="2" s="1"/>
  <c r="AC10" i="2"/>
  <c r="AC26" i="2" s="1"/>
  <c r="AG12" i="2"/>
  <c r="H27" i="2"/>
  <c r="L27" i="2"/>
  <c r="AE23" i="2"/>
  <c r="AF23" i="2"/>
  <c r="AK24" i="2"/>
  <c r="K27" i="2"/>
  <c r="F27" i="2"/>
  <c r="D27" i="2"/>
  <c r="M27" i="2"/>
  <c r="G27" i="2"/>
  <c r="J27" i="2"/>
  <c r="AC15" i="2"/>
  <c r="AC17" i="2" s="1"/>
  <c r="AC18" i="2" s="1"/>
  <c r="AD13" i="2"/>
  <c r="I15" i="2"/>
  <c r="I17" i="2" s="1"/>
  <c r="I18" i="2" s="1"/>
  <c r="I27" i="2"/>
  <c r="E27" i="2"/>
  <c r="N27" i="2"/>
  <c r="S45" i="5" l="1"/>
  <c r="U42" i="5"/>
  <c r="U54" i="5"/>
  <c r="T43" i="5"/>
  <c r="T44" i="5" s="1"/>
  <c r="T45" i="5" s="1"/>
  <c r="W51" i="5"/>
  <c r="W34" i="5"/>
  <c r="V50" i="5"/>
  <c r="V40" i="5"/>
  <c r="V37" i="5"/>
  <c r="V53" i="5" s="1"/>
  <c r="X7" i="5"/>
  <c r="X24" i="5"/>
  <c r="V15" i="5"/>
  <c r="V27" i="5"/>
  <c r="U16" i="5"/>
  <c r="U17" i="5" s="1"/>
  <c r="U18" i="5" s="1"/>
  <c r="W13" i="5"/>
  <c r="W10" i="5"/>
  <c r="W26" i="5" s="1"/>
  <c r="W23" i="5"/>
  <c r="AC72" i="2"/>
  <c r="AD27" i="2"/>
  <c r="AD72" i="2"/>
  <c r="AF10" i="2"/>
  <c r="AF13" i="2"/>
  <c r="AE27" i="2"/>
  <c r="AE15" i="2"/>
  <c r="AE17" i="2" s="1"/>
  <c r="AH12" i="2"/>
  <c r="AD15" i="2"/>
  <c r="AD17" i="2" s="1"/>
  <c r="AD18" i="2" s="1"/>
  <c r="AG25" i="2"/>
  <c r="AG10" i="2"/>
  <c r="AL24" i="2"/>
  <c r="X34" i="5" l="1"/>
  <c r="X51" i="5"/>
  <c r="V42" i="5"/>
  <c r="V54" i="5"/>
  <c r="U43" i="5"/>
  <c r="U44" i="5" s="1"/>
  <c r="U45" i="5" s="1"/>
  <c r="W40" i="5"/>
  <c r="W37" i="5"/>
  <c r="W53" i="5" s="1"/>
  <c r="W50" i="5"/>
  <c r="V16" i="5"/>
  <c r="V17" i="5" s="1"/>
  <c r="X10" i="5"/>
  <c r="X26" i="5" s="1"/>
  <c r="X13" i="5"/>
  <c r="X23" i="5"/>
  <c r="W27" i="5"/>
  <c r="W15" i="5"/>
  <c r="AE28" i="2"/>
  <c r="AG26" i="2"/>
  <c r="E4" i="3"/>
  <c r="AF26" i="2"/>
  <c r="D4" i="3"/>
  <c r="AI12" i="2"/>
  <c r="D5" i="3"/>
  <c r="AF15" i="2"/>
  <c r="AF16" i="2" s="1"/>
  <c r="AF17" i="2" s="1"/>
  <c r="AF27" i="2"/>
  <c r="AG23" i="2"/>
  <c r="AG13" i="2"/>
  <c r="AH25" i="2"/>
  <c r="AH7" i="2"/>
  <c r="AM24" i="2"/>
  <c r="W54" i="5" l="1"/>
  <c r="W42" i="5"/>
  <c r="V43" i="5"/>
  <c r="V44" i="5" s="1"/>
  <c r="V45" i="5" s="1"/>
  <c r="X37" i="5"/>
  <c r="X40" i="5"/>
  <c r="X50" i="5"/>
  <c r="V18" i="5"/>
  <c r="X27" i="5"/>
  <c r="X15" i="5"/>
  <c r="W16" i="5"/>
  <c r="W17" i="5"/>
  <c r="W18" i="5" s="1"/>
  <c r="AF18" i="2"/>
  <c r="D6" i="3" s="1"/>
  <c r="AH10" i="2"/>
  <c r="AJ12" i="2"/>
  <c r="AH23" i="2"/>
  <c r="AH13" i="2"/>
  <c r="AI25" i="2"/>
  <c r="AI7" i="2"/>
  <c r="E5" i="3"/>
  <c r="AG27" i="2"/>
  <c r="AG15" i="2"/>
  <c r="AN24" i="2"/>
  <c r="X54" i="5" l="1"/>
  <c r="X42" i="5"/>
  <c r="W43" i="5"/>
  <c r="W44" i="5" s="1"/>
  <c r="W45" i="5" s="1"/>
  <c r="X16" i="5"/>
  <c r="X17" i="5" s="1"/>
  <c r="AH26" i="2"/>
  <c r="F4" i="3"/>
  <c r="AI10" i="2"/>
  <c r="AI26" i="2" s="1"/>
  <c r="AK12" i="2"/>
  <c r="AG16" i="2"/>
  <c r="AG17" i="2" s="1"/>
  <c r="AI23" i="2"/>
  <c r="AI13" i="2"/>
  <c r="AJ25" i="2"/>
  <c r="AJ7" i="2"/>
  <c r="F5" i="3"/>
  <c r="AH15" i="2"/>
  <c r="AH27" i="2"/>
  <c r="AO24" i="2"/>
  <c r="X43" i="5" l="1"/>
  <c r="X44" i="5" s="1"/>
  <c r="X18" i="5"/>
  <c r="Y17" i="5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AJ10" i="2"/>
  <c r="AJ26" i="2" s="1"/>
  <c r="AG18" i="2"/>
  <c r="E6" i="3" s="1"/>
  <c r="AL12" i="2"/>
  <c r="AJ13" i="2"/>
  <c r="AJ23" i="2"/>
  <c r="AK25" i="2"/>
  <c r="AK7" i="2"/>
  <c r="AI15" i="2"/>
  <c r="AI27" i="2"/>
  <c r="AH16" i="2"/>
  <c r="AH17" i="2" s="1"/>
  <c r="AH18" i="2" s="1"/>
  <c r="F6" i="3" s="1"/>
  <c r="AP24" i="2"/>
  <c r="X45" i="5" l="1"/>
  <c r="Y44" i="5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AM44" i="5" s="1"/>
  <c r="AN44" i="5" s="1"/>
  <c r="AO44" i="5" s="1"/>
  <c r="AP44" i="5" s="1"/>
  <c r="AQ44" i="5" s="1"/>
  <c r="AR44" i="5" s="1"/>
  <c r="AS44" i="5" s="1"/>
  <c r="AT44" i="5" s="1"/>
  <c r="AU44" i="5" s="1"/>
  <c r="AV44" i="5" s="1"/>
  <c r="AW44" i="5" s="1"/>
  <c r="AX44" i="5" s="1"/>
  <c r="AY44" i="5" s="1"/>
  <c r="AZ44" i="5" s="1"/>
  <c r="BA44" i="5" s="1"/>
  <c r="BB44" i="5" s="1"/>
  <c r="BC44" i="5" s="1"/>
  <c r="BD44" i="5" s="1"/>
  <c r="BE44" i="5" s="1"/>
  <c r="BF44" i="5" s="1"/>
  <c r="BG44" i="5" s="1"/>
  <c r="BH44" i="5" s="1"/>
  <c r="BI44" i="5" s="1"/>
  <c r="BJ44" i="5" s="1"/>
  <c r="BK44" i="5" s="1"/>
  <c r="BL44" i="5" s="1"/>
  <c r="BM44" i="5" s="1"/>
  <c r="BN44" i="5" s="1"/>
  <c r="BO44" i="5" s="1"/>
  <c r="BP44" i="5" s="1"/>
  <c r="BQ44" i="5" s="1"/>
  <c r="BR44" i="5" s="1"/>
  <c r="BS44" i="5" s="1"/>
  <c r="BT44" i="5" s="1"/>
  <c r="BU44" i="5" s="1"/>
  <c r="BV44" i="5" s="1"/>
  <c r="BW44" i="5" s="1"/>
  <c r="BX44" i="5" s="1"/>
  <c r="BY44" i="5" s="1"/>
  <c r="BZ44" i="5" s="1"/>
  <c r="CA44" i="5" s="1"/>
  <c r="CB44" i="5" s="1"/>
  <c r="CC44" i="5" s="1"/>
  <c r="CD44" i="5" s="1"/>
  <c r="CE44" i="5" s="1"/>
  <c r="CF44" i="5" s="1"/>
  <c r="CG44" i="5" s="1"/>
  <c r="CH44" i="5" s="1"/>
  <c r="CI44" i="5" s="1"/>
  <c r="CJ44" i="5" s="1"/>
  <c r="CK44" i="5" s="1"/>
  <c r="CL44" i="5" s="1"/>
  <c r="CM44" i="5" s="1"/>
  <c r="CN44" i="5" s="1"/>
  <c r="CO44" i="5" s="1"/>
  <c r="CP44" i="5" s="1"/>
  <c r="CQ44" i="5" s="1"/>
  <c r="CR44" i="5" s="1"/>
  <c r="CS44" i="5" s="1"/>
  <c r="CT44" i="5" s="1"/>
  <c r="CU44" i="5" s="1"/>
  <c r="CV44" i="5" s="1"/>
  <c r="CW44" i="5" s="1"/>
  <c r="CX44" i="5" s="1"/>
  <c r="CY44" i="5" s="1"/>
  <c r="CZ44" i="5" s="1"/>
  <c r="DA44" i="5" s="1"/>
  <c r="DB44" i="5" s="1"/>
  <c r="DC44" i="5" s="1"/>
  <c r="DD44" i="5" s="1"/>
  <c r="DE44" i="5" s="1"/>
  <c r="DF44" i="5" s="1"/>
  <c r="DG44" i="5" s="1"/>
  <c r="AA50" i="5" s="1"/>
  <c r="AA23" i="5"/>
  <c r="AA24" i="5" s="1"/>
  <c r="AA25" i="5" s="1"/>
  <c r="AK10" i="2"/>
  <c r="AK26" i="2" s="1"/>
  <c r="AM12" i="2"/>
  <c r="AI16" i="2"/>
  <c r="AI17" i="2" s="1"/>
  <c r="AI18" i="2" s="1"/>
  <c r="AK23" i="2"/>
  <c r="AK13" i="2"/>
  <c r="AL25" i="2"/>
  <c r="AL7" i="2"/>
  <c r="AJ15" i="2"/>
  <c r="AJ27" i="2"/>
  <c r="AA51" i="5" l="1"/>
  <c r="AA52" i="5" s="1"/>
  <c r="AA26" i="5"/>
  <c r="A6" i="5" s="1"/>
  <c r="A5" i="5"/>
  <c r="AL10" i="2"/>
  <c r="AL26" i="2" s="1"/>
  <c r="AN12" i="2"/>
  <c r="AL23" i="2"/>
  <c r="AL13" i="2"/>
  <c r="AJ16" i="2"/>
  <c r="AJ17" i="2" s="1"/>
  <c r="AJ18" i="2" s="1"/>
  <c r="AM25" i="2"/>
  <c r="AM7" i="2"/>
  <c r="AK27" i="2"/>
  <c r="AK15" i="2"/>
  <c r="A32" i="5" l="1"/>
  <c r="AA53" i="5"/>
  <c r="A33" i="5" s="1"/>
  <c r="AM10" i="2"/>
  <c r="AM26" i="2" s="1"/>
  <c r="AO12" i="2"/>
  <c r="AN25" i="2"/>
  <c r="AN7" i="2"/>
  <c r="AL15" i="2"/>
  <c r="AL27" i="2"/>
  <c r="AM13" i="2"/>
  <c r="AM23" i="2"/>
  <c r="AK16" i="2"/>
  <c r="AK17" i="2" s="1"/>
  <c r="AN10" i="2" l="1"/>
  <c r="AN26" i="2" s="1"/>
  <c r="AK18" i="2"/>
  <c r="AP12" i="2"/>
  <c r="AM27" i="2"/>
  <c r="AM15" i="2"/>
  <c r="AL16" i="2"/>
  <c r="AL17" i="2" s="1"/>
  <c r="AL18" i="2" s="1"/>
  <c r="AN23" i="2"/>
  <c r="AN13" i="2"/>
  <c r="AO25" i="2"/>
  <c r="AO7" i="2"/>
  <c r="AO10" i="2" l="1"/>
  <c r="AO26" i="2" s="1"/>
  <c r="AP25" i="2"/>
  <c r="AP7" i="2"/>
  <c r="AP10" i="2" s="1"/>
  <c r="AP26" i="2" s="1"/>
  <c r="AN15" i="2"/>
  <c r="AN27" i="2"/>
  <c r="AM16" i="2"/>
  <c r="AM17" i="2" s="1"/>
  <c r="AM18" i="2" s="1"/>
  <c r="AO23" i="2"/>
  <c r="AO13" i="2"/>
  <c r="AO15" i="2" l="1"/>
  <c r="AO27" i="2"/>
  <c r="AN16" i="2"/>
  <c r="AN17" i="2" s="1"/>
  <c r="AN18" i="2" s="1"/>
  <c r="AP23" i="2"/>
  <c r="AP13" i="2"/>
  <c r="AO16" i="2" l="1"/>
  <c r="AO17" i="2" s="1"/>
  <c r="AO18" i="2" s="1"/>
  <c r="AP15" i="2"/>
  <c r="AP27" i="2"/>
  <c r="AP16" i="2" l="1"/>
  <c r="AP17" i="2" s="1"/>
  <c r="AQ17" i="2" s="1"/>
  <c r="AP18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AS23" i="2" s="1"/>
  <c r="AS24" i="2" s="1"/>
  <c r="AS25" i="2" l="1"/>
  <c r="AS27" i="2" s="1"/>
</calcChain>
</file>

<file path=xl/sharedStrings.xml><?xml version="1.0" encoding="utf-8"?>
<sst xmlns="http://schemas.openxmlformats.org/spreadsheetml/2006/main" count="337" uniqueCount="209">
  <si>
    <t>Kapitalstruktur</t>
  </si>
  <si>
    <t>price</t>
  </si>
  <si>
    <t>Cash</t>
  </si>
  <si>
    <t>Debt</t>
  </si>
  <si>
    <t>Shares</t>
  </si>
  <si>
    <t>Shares (m)</t>
  </si>
  <si>
    <t>MC (SEKm)</t>
  </si>
  <si>
    <t>EUR/SEK</t>
  </si>
  <si>
    <t>Cash (SEKm)</t>
  </si>
  <si>
    <t>Q122</t>
  </si>
  <si>
    <t>Q222</t>
  </si>
  <si>
    <t>Q322</t>
  </si>
  <si>
    <t>Q422</t>
  </si>
  <si>
    <t>Q123</t>
  </si>
  <si>
    <t>Q223</t>
  </si>
  <si>
    <t>Q324</t>
  </si>
  <si>
    <t>Q323</t>
  </si>
  <si>
    <t>Q423</t>
  </si>
  <si>
    <t>Q124</t>
  </si>
  <si>
    <t>Q224</t>
  </si>
  <si>
    <t>Q424</t>
  </si>
  <si>
    <t>Live</t>
  </si>
  <si>
    <t>RNG</t>
  </si>
  <si>
    <t>Revenues</t>
  </si>
  <si>
    <t>EUR million</t>
  </si>
  <si>
    <t>Revenue y/y</t>
  </si>
  <si>
    <t>Evolution er en ledende B2B tilbyder av online casino spill, som innebærer både live og virtuelle spill. De tilbyr disse spillene under en rekke merker til 600+ operatører over hele veden</t>
  </si>
  <si>
    <t>De er involvert i utvikling, produksjon, markedsføring og lisensiering</t>
  </si>
  <si>
    <t>Personnel expense</t>
  </si>
  <si>
    <t>D/A/I</t>
  </si>
  <si>
    <t>Other operating expense</t>
  </si>
  <si>
    <t>Total Opex</t>
  </si>
  <si>
    <t>Financial items</t>
  </si>
  <si>
    <t>PTP</t>
  </si>
  <si>
    <t>Tax</t>
  </si>
  <si>
    <t>Net income</t>
  </si>
  <si>
    <t>Goodwill</t>
  </si>
  <si>
    <t>Other intangible assets</t>
  </si>
  <si>
    <t>Buildings</t>
  </si>
  <si>
    <t>Right if use assets</t>
  </si>
  <si>
    <t>PP&amp;E</t>
  </si>
  <si>
    <t>Other non-current receivables</t>
  </si>
  <si>
    <t>Deferred tax assets</t>
  </si>
  <si>
    <t>Total non-current assets</t>
  </si>
  <si>
    <t>Accounts receivables</t>
  </si>
  <si>
    <t>other receivables</t>
  </si>
  <si>
    <t>Prepaid expense and accrued income</t>
  </si>
  <si>
    <t>Total current assets</t>
  </si>
  <si>
    <t>Total assets</t>
  </si>
  <si>
    <t>Current tax receivables</t>
  </si>
  <si>
    <t>Share capital</t>
  </si>
  <si>
    <t>other capital contributed</t>
  </si>
  <si>
    <t>reserves</t>
  </si>
  <si>
    <t>Retained earnings inc profits</t>
  </si>
  <si>
    <t>Total Equity</t>
  </si>
  <si>
    <t>Defered tax liabilities</t>
  </si>
  <si>
    <t>Non-current lease liabilities</t>
  </si>
  <si>
    <t>Provision for pension</t>
  </si>
  <si>
    <t>other non-current liabilities</t>
  </si>
  <si>
    <t>Total non-current liabilities</t>
  </si>
  <si>
    <t>Accounts payable</t>
  </si>
  <si>
    <t>Provision</t>
  </si>
  <si>
    <t>Other current liabilities</t>
  </si>
  <si>
    <t>Current lease liabilities</t>
  </si>
  <si>
    <t>Accrued expenses and prepaid income</t>
  </si>
  <si>
    <t>Total current liabilities</t>
  </si>
  <si>
    <t>Total E/L</t>
  </si>
  <si>
    <t>CFFO</t>
  </si>
  <si>
    <t>CFFI</t>
  </si>
  <si>
    <t>CFFF</t>
  </si>
  <si>
    <t>EV (m)</t>
  </si>
  <si>
    <t>Employees</t>
  </si>
  <si>
    <t>FY2022</t>
  </si>
  <si>
    <t>FY2023</t>
  </si>
  <si>
    <t>FY2024</t>
  </si>
  <si>
    <t>FY2025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</si>
  <si>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</si>
  <si>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</si>
  <si>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</si>
  <si>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</si>
  <si>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</si>
  <si>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</si>
  <si>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</si>
  <si>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</si>
  <si>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</si>
  <si>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</si>
  <si>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Live y/y</t>
  </si>
  <si>
    <t>RNG y/y</t>
  </si>
  <si>
    <t>EV/EBIT</t>
  </si>
  <si>
    <t>P/E</t>
  </si>
  <si>
    <t>Discount</t>
  </si>
  <si>
    <t>TV</t>
  </si>
  <si>
    <t>NPV SEK</t>
  </si>
  <si>
    <t>NPV/Share</t>
  </si>
  <si>
    <t>NPV EUR</t>
  </si>
  <si>
    <t>Opp/nedside</t>
  </si>
  <si>
    <t>EPS (SEK)</t>
  </si>
  <si>
    <t>Operating profit (EBIT)</t>
  </si>
  <si>
    <t>Q125</t>
  </si>
  <si>
    <t>Q225</t>
  </si>
  <si>
    <t>Q425</t>
  </si>
  <si>
    <t>Q325</t>
  </si>
  <si>
    <t>Financial assets measured at amort cost</t>
  </si>
  <si>
    <t>EBITDA</t>
  </si>
  <si>
    <t>EBITDA-margin</t>
  </si>
  <si>
    <t>EBIT margin</t>
  </si>
  <si>
    <t>De operer i både Live og RNG segmentene.</t>
  </si>
  <si>
    <t>Random number generator (RNG) er spill som er styrt av datamaskinen. Her styrer en algoritme alle utfallene.</t>
  </si>
  <si>
    <t>EV/EBITDA</t>
  </si>
  <si>
    <t xml:space="preserve">Kunder: </t>
  </si>
  <si>
    <t>EURm</t>
  </si>
  <si>
    <t>Europe</t>
  </si>
  <si>
    <t>Asia</t>
  </si>
  <si>
    <t>NA</t>
  </si>
  <si>
    <t>LatAm</t>
  </si>
  <si>
    <t>Other</t>
  </si>
  <si>
    <t>Net revenues</t>
  </si>
  <si>
    <t>Share of regulated markets</t>
  </si>
  <si>
    <t>%</t>
  </si>
  <si>
    <t>Inntekter og fordeling</t>
  </si>
  <si>
    <t>Revenue q/q</t>
  </si>
  <si>
    <t>North America</t>
  </si>
  <si>
    <t>Cash flow EUR million</t>
  </si>
  <si>
    <t>Live er Evolution sitt klart største segment og derfor er personell kostnader også deres største kostnad.</t>
  </si>
  <si>
    <t>Press releases:</t>
  </si>
  <si>
    <t>Balanse EUR million</t>
  </si>
  <si>
    <t>Evolutions største kunde står for rundt 13% av inntektene. De 5 største står for nesten halvparten på 46%</t>
  </si>
  <si>
    <t>17.02.25: EVO kjøper tilbake 210 810 aksjer</t>
  </si>
  <si>
    <t>13.02.25: Lanserer live dealer spill på bet365 i New Jearsey</t>
  </si>
  <si>
    <t>10.02.25: Starter tilbakekjøp av 500 mill euro</t>
  </si>
  <si>
    <t>24.02.25: EVO kjøper tilbake 359 100 aksjer</t>
  </si>
  <si>
    <t>07.01.25: EVO får ny CFO. Jacob Kaplan går av og Joakim Andersson kommer inn</t>
  </si>
  <si>
    <t>20.12.24: Evolution Malta holding lisenser på bakgrunn av gamling act 2005. Undersøkelsen oppstår grunnet kommisjonen har identifisert Evolutions spill være tilgjengelig fra UK gjennom aktører som ikke har lisenser. EVO har 3% av sin inntekt fra UK</t>
  </si>
  <si>
    <t>14.11.24: EVO forlenger sitt partnersakap med FanDuel casino med enda 3 år. Avtalen sikrer at Evolution er FanDuels eneste tilbyder av live casino spill</t>
  </si>
  <si>
    <t>23.10.24: EVO kjøper tilbake 130 137 aksjer</t>
  </si>
  <si>
    <t>03.03.25: EVO kjøper tilbake 288 382 aksjer</t>
  </si>
  <si>
    <t>21.10.24: EVO kjøper tilbake 707 100 aksjer</t>
  </si>
  <si>
    <t>14.10.24: EVO kjøper tilbake 591 859 aksjer</t>
  </si>
  <si>
    <t>07.10.24: EVO kjøper tilbake 335 068 aksjer</t>
  </si>
  <si>
    <t>10.03.25: EVO kjøper tilbake 297 324 aksjer</t>
  </si>
  <si>
    <t>17.03.25: EVO kjøper tilbake 557 731 aksjer</t>
  </si>
  <si>
    <t>24.03.25: EVO kjøper tilbake 207 854 aksjer</t>
  </si>
  <si>
    <t>y/y</t>
  </si>
  <si>
    <t>Model OP</t>
  </si>
  <si>
    <t>Reported OP</t>
  </si>
  <si>
    <t>D/A</t>
  </si>
  <si>
    <t>Interest received</t>
  </si>
  <si>
    <t>Interest paid</t>
  </si>
  <si>
    <t>WC</t>
  </si>
  <si>
    <t>Capex</t>
  </si>
  <si>
    <t>Increase/decrease financial assets</t>
  </si>
  <si>
    <t>Repayment of lease liability</t>
  </si>
  <si>
    <t>Repurchase of own shares</t>
  </si>
  <si>
    <t>Warrents</t>
  </si>
  <si>
    <t>New share issue</t>
  </si>
  <si>
    <t>Dividend</t>
  </si>
  <si>
    <t>FX</t>
  </si>
  <si>
    <t>CIC</t>
  </si>
  <si>
    <t>FCF</t>
  </si>
  <si>
    <t>Other revenue</t>
  </si>
  <si>
    <t>FY 2021</t>
  </si>
  <si>
    <t>FY2020</t>
  </si>
  <si>
    <t>FY2019</t>
  </si>
  <si>
    <t>31.03.25: EVO kjøper tilbake 178 880 aksjer</t>
  </si>
  <si>
    <t>Y/Y</t>
  </si>
  <si>
    <t>19.05.25: EVO kjøper tilbake 135 000 aksjer</t>
  </si>
  <si>
    <t>26.05.25: EVO kjøper tilbake 259 000 aksjer</t>
  </si>
  <si>
    <t>02.06.25: EVO kjøpter tilbake 202 847 aksjer</t>
  </si>
  <si>
    <t>09.06.25: EVO kjøper tilbake 217 000 aksjer</t>
  </si>
  <si>
    <t>16.06.25: EVO kjøper tilbake 98 045 aksjer</t>
  </si>
  <si>
    <t>23.06.25: EVO kjøper tilbake 49 500 aksjer</t>
  </si>
  <si>
    <t>30.06.25: EVO kjøper tilbake 133 000 aksjer</t>
  </si>
  <si>
    <t>Live segmentet innebærer live-casino. Her streames spillet direkte fra Evolution sine studio med ekte dealere</t>
  </si>
  <si>
    <t>01.07.25: EVO inngår samarbeid med Hasbro. Dette innebærer at Evo skal være levere blant annet Monopol. Nye spill vil bli lansert fra januar 26</t>
  </si>
  <si>
    <t>07.07.25: EVO kjøper tilbake 145 000 aksjer</t>
  </si>
  <si>
    <t>14.07.25: EVO kjøper tilbake 195 700 aksjer</t>
  </si>
  <si>
    <t>Current tax liabilities</t>
  </si>
  <si>
    <t>ROE</t>
  </si>
  <si>
    <t>FY2016</t>
  </si>
  <si>
    <t>FY2017</t>
  </si>
  <si>
    <t>FY2018</t>
  </si>
  <si>
    <t>FY2015</t>
  </si>
  <si>
    <t>21.07.25: EVO kjøper tilbake 130 389 aksjer</t>
  </si>
  <si>
    <t>28.07.25: EVO kjøper tilbake 171 000 aksjer</t>
  </si>
  <si>
    <t>Nedside</t>
  </si>
  <si>
    <t>Nullvekst og konstante marginer</t>
  </si>
  <si>
    <t>3,5% vekst (Current) og konstante marginer</t>
  </si>
  <si>
    <t>04.08.25: EVO kjøper tilbake 173 767 aksjer</t>
  </si>
  <si>
    <t>03.07.25: EVO går inn i Rhode island gjennom et partnerskap med Ballys corporation</t>
  </si>
  <si>
    <t>11.08.25: EVO kjøper tilbake 169 600 aksjer</t>
  </si>
  <si>
    <t>18.08.25: EVO kjøper tilbake 248 000 aksjer</t>
  </si>
  <si>
    <t>25.08.25: EVO kjøper tilbake 124 500 aksjer</t>
  </si>
  <si>
    <t>01.09.25: EVO kjøper tilbake 219 000 aksjer</t>
  </si>
  <si>
    <t>08.09.25: EVO kjøper tilbake 377 000 aksjer</t>
  </si>
  <si>
    <t>15.09.25: EVO kjøper tilbake 205 000 aksjer</t>
  </si>
  <si>
    <t>22.09.25: EVO kjøper tilbake 234 500 aksjer</t>
  </si>
  <si>
    <t>29.09.25: EVO kjøper tilbake 129 523 aksjer</t>
  </si>
  <si>
    <t>21.10.25: EVO har gjennom rettslig oppdagelse avdekket at Playtech Software, var kunden som hyret etteretningsfirmaet Black Cube for å produsere og spre en rapport i 2021 med alvorlige, falske anklager mot EVO. EVO skal søke om erstatnign fra både Playtech og Balck Cube</t>
  </si>
  <si>
    <t>27.10.25: EVO kjøper tilbake 40 000 aksjer</t>
  </si>
  <si>
    <t>03.11.25: EVO kjøepr tilbake 279 000 aksjer</t>
  </si>
  <si>
    <t>10.11.25: EVO kjøper tilbake 324 409 aksjer</t>
  </si>
  <si>
    <t>17.11.25: EVO kjøper tilbake 191 629 aksjer</t>
  </si>
  <si>
    <t>25.11.25: EVO skal kjøpe Galaxy gaming, men de har ikke fått alle regulatirosike godkjennigner enda noe de forventer skla komme Q126. Derfor flytter de "outside date" til 17.juli 26</t>
  </si>
  <si>
    <t>01.12.25: EVO kjøper tilbake 76 000 aksjer</t>
  </si>
  <si>
    <t>08.12.25: EVO kjøepr tilbake 142 000 aksjer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</si>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</sst>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\ %"/>
    <numFmt numFmtId="166" formatCode="#,##0.0"/>
    <numFmt numFmtId="167" formatCode="_([$SEK]\ * #,##0.0_);_([$SEK]\ * \(#,##0.0\);_([$SEK]\ * &quot;-&quot;?_);_(@_)"/>
  </numFmts>
  <fonts count="9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3" fontId="1" fillId="0" borderId="0" xfId="0" applyNumberFormat="1" applyFont="1"/>
    <xf numFmtId="4" fontId="1" fillId="0" borderId="0" xfId="0" applyNumberFormat="1" applyFont="1"/>
    <xf numFmtId="0" fontId="1" fillId="0" borderId="1" xfId="0" applyFont="1" applyBorder="1"/>
    <xf numFmtId="3" fontId="1" fillId="0" borderId="1" xfId="0" applyNumberFormat="1" applyFont="1" applyBorder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left"/>
    </xf>
    <xf numFmtId="10" fontId="1" fillId="0" borderId="0" xfId="0" applyNumberFormat="1" applyFont="1"/>
    <xf numFmtId="10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3" fontId="4" fillId="0" borderId="1" xfId="0" applyNumberFormat="1" applyFont="1" applyBorder="1"/>
    <xf numFmtId="3" fontId="2" fillId="0" borderId="1" xfId="0" applyNumberFormat="1" applyFont="1" applyBorder="1"/>
    <xf numFmtId="164" fontId="1" fillId="0" borderId="0" xfId="0" applyNumberFormat="1" applyFont="1"/>
    <xf numFmtId="2" fontId="2" fillId="0" borderId="0" xfId="0" applyNumberFormat="1" applyFont="1"/>
    <xf numFmtId="164" fontId="1" fillId="0" borderId="1" xfId="0" applyNumberFormat="1" applyFont="1" applyBorder="1"/>
    <xf numFmtId="10" fontId="2" fillId="0" borderId="0" xfId="0" applyNumberFormat="1" applyFont="1"/>
    <xf numFmtId="10" fontId="2" fillId="0" borderId="1" xfId="0" applyNumberFormat="1" applyFont="1" applyBorder="1"/>
    <xf numFmtId="9" fontId="1" fillId="0" borderId="0" xfId="0" applyNumberFormat="1" applyFont="1"/>
    <xf numFmtId="0" fontId="1" fillId="0" borderId="3" xfId="0" applyFont="1" applyBorder="1"/>
    <xf numFmtId="4" fontId="1" fillId="0" borderId="3" xfId="0" applyNumberFormat="1" applyFont="1" applyBorder="1"/>
    <xf numFmtId="0" fontId="4" fillId="0" borderId="1" xfId="0" applyFont="1" applyBorder="1"/>
    <xf numFmtId="1" fontId="1" fillId="0" borderId="0" xfId="0" applyNumberFormat="1" applyFont="1"/>
    <xf numFmtId="3" fontId="2" fillId="0" borderId="0" xfId="0" applyNumberFormat="1" applyFont="1"/>
    <xf numFmtId="1" fontId="2" fillId="0" borderId="0" xfId="0" applyNumberFormat="1" applyFont="1"/>
    <xf numFmtId="3" fontId="4" fillId="0" borderId="0" xfId="0" applyNumberFormat="1" applyFont="1"/>
    <xf numFmtId="10" fontId="1" fillId="0" borderId="3" xfId="0" applyNumberFormat="1" applyFont="1" applyBorder="1"/>
    <xf numFmtId="10" fontId="1" fillId="0" borderId="6" xfId="0" applyNumberFormat="1" applyFont="1" applyBorder="1"/>
    <xf numFmtId="165" fontId="1" fillId="0" borderId="0" xfId="0" applyNumberFormat="1" applyFont="1"/>
    <xf numFmtId="165" fontId="1" fillId="0" borderId="1" xfId="0" applyNumberFormat="1" applyFont="1" applyBorder="1"/>
    <xf numFmtId="165" fontId="2" fillId="0" borderId="0" xfId="0" applyNumberFormat="1" applyFont="1"/>
    <xf numFmtId="165" fontId="2" fillId="0" borderId="1" xfId="0" applyNumberFormat="1" applyFont="1" applyBorder="1"/>
    <xf numFmtId="165" fontId="1" fillId="0" borderId="3" xfId="0" applyNumberFormat="1" applyFont="1" applyBorder="1"/>
    <xf numFmtId="0" fontId="2" fillId="0" borderId="4" xfId="0" applyFont="1" applyBorder="1"/>
    <xf numFmtId="165" fontId="2" fillId="0" borderId="5" xfId="0" applyNumberFormat="1" applyFont="1" applyBorder="1"/>
    <xf numFmtId="0" fontId="2" fillId="0" borderId="1" xfId="0" applyFont="1" applyBorder="1"/>
    <xf numFmtId="0" fontId="1" fillId="0" borderId="8" xfId="0" applyFont="1" applyBorder="1"/>
    <xf numFmtId="165" fontId="4" fillId="0" borderId="0" xfId="0" applyNumberFormat="1" applyFont="1"/>
    <xf numFmtId="0" fontId="1" fillId="0" borderId="3" xfId="0" applyFont="1" applyBorder="1" applyAlignment="1">
      <alignment horizontal="right"/>
    </xf>
    <xf numFmtId="0" fontId="2" fillId="0" borderId="6" xfId="0" applyFont="1" applyBorder="1"/>
    <xf numFmtId="165" fontId="5" fillId="0" borderId="7" xfId="0" applyNumberFormat="1" applyFont="1" applyBorder="1"/>
    <xf numFmtId="10" fontId="1" fillId="0" borderId="9" xfId="0" applyNumberFormat="1" applyFont="1" applyBorder="1"/>
    <xf numFmtId="10" fontId="1" fillId="0" borderId="7" xfId="0" applyNumberFormat="1" applyFont="1" applyBorder="1"/>
    <xf numFmtId="0" fontId="1" fillId="0" borderId="10" xfId="0" applyFont="1" applyBorder="1"/>
    <xf numFmtId="165" fontId="5" fillId="0" borderId="3" xfId="0" applyNumberFormat="1" applyFont="1" applyBorder="1"/>
    <xf numFmtId="10" fontId="5" fillId="0" borderId="6" xfId="0" applyNumberFormat="1" applyFont="1" applyBorder="1"/>
    <xf numFmtId="165" fontId="5" fillId="0" borderId="8" xfId="0" applyNumberFormat="1" applyFont="1" applyBorder="1"/>
    <xf numFmtId="0" fontId="5" fillId="0" borderId="6" xfId="0" applyFont="1" applyBorder="1"/>
    <xf numFmtId="0" fontId="1" fillId="0" borderId="6" xfId="0" applyFont="1" applyBorder="1"/>
    <xf numFmtId="0" fontId="1" fillId="0" borderId="12" xfId="0" applyFont="1" applyBorder="1"/>
    <xf numFmtId="10" fontId="1" fillId="0" borderId="11" xfId="0" applyNumberFormat="1" applyFont="1" applyBorder="1"/>
    <xf numFmtId="14" fontId="1" fillId="0" borderId="0" xfId="0" applyNumberFormat="1" applyFont="1"/>
    <xf numFmtId="0" fontId="6" fillId="0" borderId="2" xfId="0" applyFont="1" applyBorder="1"/>
    <xf numFmtId="164" fontId="7" fillId="0" borderId="2" xfId="0" applyNumberFormat="1" applyFont="1" applyBorder="1"/>
    <xf numFmtId="10" fontId="1" fillId="0" borderId="13" xfId="0" applyNumberFormat="1" applyFont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2" fillId="0" borderId="0" xfId="0" applyFont="1" applyAlignment="1">
      <alignment horizontal="center"/>
    </xf>
    <xf numFmtId="10" fontId="2" fillId="0" borderId="3" xfId="0" applyNumberFormat="1" applyFont="1" applyBorder="1"/>
    <xf numFmtId="10" fontId="2" fillId="0" borderId="11" xfId="0" applyNumberFormat="1" applyFont="1" applyBorder="1"/>
    <xf numFmtId="10" fontId="2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/>
    <xf numFmtId="0" fontId="2" fillId="0" borderId="15" xfId="0" applyFont="1" applyBorder="1"/>
    <xf numFmtId="165" fontId="5" fillId="0" borderId="15" xfId="0" applyNumberFormat="1" applyFont="1" applyBorder="1"/>
    <xf numFmtId="165" fontId="5" fillId="0" borderId="17" xfId="0" applyNumberFormat="1" applyFont="1" applyBorder="1"/>
    <xf numFmtId="0" fontId="2" fillId="0" borderId="15" xfId="0" applyFont="1" applyBorder="1" applyAlignment="1">
      <alignment horizontal="right"/>
    </xf>
    <xf numFmtId="165" fontId="1" fillId="0" borderId="6" xfId="0" applyNumberFormat="1" applyFont="1" applyBorder="1"/>
    <xf numFmtId="166" fontId="2" fillId="0" borderId="0" xfId="0" applyNumberFormat="1" applyFont="1"/>
    <xf numFmtId="167" fontId="1" fillId="0" borderId="0" xfId="0" applyNumberFormat="1" applyFont="1"/>
    <xf numFmtId="4" fontId="1" fillId="0" borderId="1" xfId="0" applyNumberFormat="1" applyFont="1" applyBorder="1"/>
    <xf numFmtId="1" fontId="1" fillId="0" borderId="5" xfId="0" applyNumberFormat="1" applyFont="1" applyBorder="1"/>
    <xf numFmtId="1" fontId="2" fillId="0" borderId="16" xfId="0" applyNumberFormat="1" applyFont="1" applyBorder="1"/>
    <xf numFmtId="3" fontId="2" fillId="0" borderId="1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698500</xdr:colOff>
      <xdr:row>9</xdr:row>
      <xdr:rowOff>12700</xdr:rowOff>
    </xdr:from>
    <xdr:to>
      <xdr:col>23</xdr:col>
      <xdr:colOff>63500</xdr:colOff>
      <xdr:row>14</xdr:row>
      <xdr:rowOff>152400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ACBECB2-9F18-3E4D-8E19-A24E7727FF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5918"/>
        <a:stretch/>
      </xdr:blipFill>
      <xdr:spPr>
        <a:xfrm>
          <a:off x="11430000" y="2184400"/>
          <a:ext cx="7620000" cy="13462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13</xdr:col>
      <xdr:colOff>749300</xdr:colOff>
      <xdr:row>17</xdr:row>
      <xdr:rowOff>152400</xdr:rowOff>
    </xdr:from>
    <xdr:to>
      <xdr:col>22</xdr:col>
      <xdr:colOff>698500</xdr:colOff>
      <xdr:row>20</xdr:row>
      <xdr:rowOff>76200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AB5CE2C9-2C4D-3D37-3A9C-93D8A2704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09400" y="4254500"/>
          <a:ext cx="7378700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</xdr:rowOff>
    </xdr:from>
    <xdr:to>
      <xdr:col>7</xdr:col>
      <xdr:colOff>301396</xdr:colOff>
      <xdr:row>19</xdr:row>
      <xdr:rowOff>14111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46F5333E-9CF8-A946-E489-F7CD65E94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98890"/>
          <a:ext cx="6404452" cy="21731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41</xdr:col>
      <xdr:colOff>501650</xdr:colOff>
      <xdr:row>18</xdr:row>
      <xdr:rowOff>152400</xdr:rowOff>
    </xdr:from>
    <xdr:ext cx="65" cy="172227"/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id="{ECE8F594-1423-9573-26CE-38B341FB3F3F}"/>
            </a:ext>
          </a:extLst>
        </xdr:cNvPr>
        <xdr:cNvSpPr txBox="1"/>
      </xdr:nvSpPr>
      <xdr:spPr>
        <a:xfrm>
          <a:off x="31845250" y="4254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501650</xdr:colOff>
      <xdr:row>18</xdr:row>
      <xdr:rowOff>152400</xdr:rowOff>
    </xdr:from>
    <xdr:ext cx="65" cy="172227"/>
    <xdr:sp macro="" textlink="">
      <xdr:nvSpPr>
        <xdr:cNvPr id="4" name="TekstSylinder 3">
          <a:extLst>
            <a:ext uri="{FF2B5EF4-FFF2-40B4-BE49-F238E27FC236}">
              <a16:creationId xmlns:a16="http://schemas.microsoft.com/office/drawing/2014/main" id="{AD326DB3-2779-4346-8799-E926A76D48F7}"/>
            </a:ext>
          </a:extLst>
        </xdr:cNvPr>
        <xdr:cNvSpPr txBox="1"/>
      </xdr:nvSpPr>
      <xdr:spPr>
        <a:xfrm>
          <a:off x="37141150" y="4495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  <xdr:oneCellAnchor>
    <xdr:from>
      <xdr:col>23</xdr:col>
      <xdr:colOff>501650</xdr:colOff>
      <xdr:row>45</xdr:row>
      <xdr:rowOff>152400</xdr:rowOff>
    </xdr:from>
    <xdr:ext cx="65" cy="172227"/>
    <xdr:sp macro="" textlink="">
      <xdr:nvSpPr>
        <xdr:cNvPr id="5" name="TekstSylinder 4">
          <a:extLst>
            <a:ext uri="{FF2B5EF4-FFF2-40B4-BE49-F238E27FC236}">
              <a16:creationId xmlns:a16="http://schemas.microsoft.com/office/drawing/2014/main" id="{6AF9E942-49B2-E44B-8D79-96863EFD3806}"/>
            </a:ext>
          </a:extLst>
        </xdr:cNvPr>
        <xdr:cNvSpPr txBox="1"/>
      </xdr:nvSpPr>
      <xdr:spPr>
        <a:xfrm>
          <a:off x="22091650" y="4495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3775-938B-2A4A-A0CC-9B13753DF355}">
  <dimension ref="A3:O66"/>
  <sheetViews>
    <sheetView showGridLines="0" zoomScaleNormal="100" workbookViewId="0">
      <selection activeCell="K19" sqref="K19"/>
    </sheetView>
  </sheetViews>
  <sheetFormatPr baseColWidth="10" defaultRowHeight="19" x14ac:dyDescent="0.25"/>
  <cols>
    <col min="1" max="1" width="11.83203125" style="1" bestFit="1" customWidth="1"/>
    <col min="2" max="4" width="10.83203125" style="1"/>
    <col min="5" max="5" width="12.83203125" style="1" bestFit="1" customWidth="1"/>
    <col min="6" max="6" width="10.83203125" style="1"/>
    <col min="7" max="7" width="11.6640625" style="1" bestFit="1" customWidth="1"/>
    <col min="8" max="8" width="10.83203125" style="1"/>
    <col min="9" max="9" width="11.6640625" style="1" bestFit="1" customWidth="1"/>
    <col min="10" max="16384" width="10.83203125" style="1"/>
  </cols>
  <sheetData>
    <row r="3" spans="1:15" x14ac:dyDescent="0.25">
      <c r="A3" s="1" t="s">
        <v>26</v>
      </c>
    </row>
    <row r="4" spans="1:15" x14ac:dyDescent="0.25">
      <c r="A4" s="1" t="s">
        <v>27</v>
      </c>
    </row>
    <row r="6" spans="1:15" x14ac:dyDescent="0.25">
      <c r="A6" s="1" t="s">
        <v>106</v>
      </c>
    </row>
    <row r="7" spans="1:15" x14ac:dyDescent="0.25">
      <c r="A7" s="1" t="s">
        <v>172</v>
      </c>
    </row>
    <row r="8" spans="1:15" x14ac:dyDescent="0.25">
      <c r="A8" s="1" t="s">
        <v>107</v>
      </c>
      <c r="O8" s="6" t="s">
        <v>109</v>
      </c>
    </row>
    <row r="9" spans="1:15" x14ac:dyDescent="0.25">
      <c r="O9" s="1" t="s">
        <v>126</v>
      </c>
    </row>
    <row r="10" spans="1:15" x14ac:dyDescent="0.25">
      <c r="A10" s="1" t="s">
        <v>123</v>
      </c>
    </row>
    <row r="16" spans="1:15" x14ac:dyDescent="0.25">
      <c r="O16" s="13" t="s">
        <v>20</v>
      </c>
    </row>
    <row r="20" spans="1:2" x14ac:dyDescent="0.25">
      <c r="A20" s="6" t="s">
        <v>124</v>
      </c>
    </row>
    <row r="21" spans="1:2" x14ac:dyDescent="0.25">
      <c r="A21" s="1" t="s">
        <v>204</v>
      </c>
    </row>
    <row r="22" spans="1:2" x14ac:dyDescent="0.25">
      <c r="A22" s="1" t="s">
        <v>203</v>
      </c>
    </row>
    <row r="23" spans="1:2" x14ac:dyDescent="0.25">
      <c r="A23" s="1" t="s">
        <v>202</v>
      </c>
    </row>
    <row r="24" spans="1:2" x14ac:dyDescent="0.25">
      <c r="A24" s="1" t="s">
        <v>201</v>
      </c>
    </row>
    <row r="25" spans="1:2" x14ac:dyDescent="0.25">
      <c r="A25" s="1" t="s">
        <v>200</v>
      </c>
    </row>
    <row r="26" spans="1:2" x14ac:dyDescent="0.25">
      <c r="A26" s="1" t="s">
        <v>199</v>
      </c>
    </row>
    <row r="27" spans="1:2" x14ac:dyDescent="0.25">
      <c r="A27" s="1" t="s">
        <v>198</v>
      </c>
    </row>
    <row r="28" spans="1:2" x14ac:dyDescent="0.25">
      <c r="A28" s="1" t="s">
        <v>197</v>
      </c>
    </row>
    <row r="29" spans="1:2" x14ac:dyDescent="0.25">
      <c r="A29" s="1" t="s">
        <v>196</v>
      </c>
    </row>
    <row r="30" spans="1:2" x14ac:dyDescent="0.25">
      <c r="A30" s="1" t="s">
        <v>195</v>
      </c>
      <c r="B30" s="13"/>
    </row>
    <row r="31" spans="1:2" x14ac:dyDescent="0.25">
      <c r="A31" s="1" t="s">
        <v>194</v>
      </c>
    </row>
    <row r="32" spans="1:2" x14ac:dyDescent="0.25">
      <c r="A32" s="1" t="s">
        <v>193</v>
      </c>
    </row>
    <row r="33" spans="1:7" x14ac:dyDescent="0.25">
      <c r="A33" s="1" t="s">
        <v>192</v>
      </c>
    </row>
    <row r="34" spans="1:7" x14ac:dyDescent="0.25">
      <c r="A34" s="1" t="s">
        <v>191</v>
      </c>
      <c r="G34" s="2"/>
    </row>
    <row r="35" spans="1:7" x14ac:dyDescent="0.25">
      <c r="A35" s="1" t="s">
        <v>190</v>
      </c>
    </row>
    <row r="36" spans="1:7" x14ac:dyDescent="0.25">
      <c r="A36" s="1" t="s">
        <v>189</v>
      </c>
    </row>
    <row r="37" spans="1:7" x14ac:dyDescent="0.25">
      <c r="A37" s="1" t="s">
        <v>187</v>
      </c>
    </row>
    <row r="38" spans="1:7" x14ac:dyDescent="0.25">
      <c r="A38" s="1" t="s">
        <v>183</v>
      </c>
    </row>
    <row r="39" spans="1:7" x14ac:dyDescent="0.25">
      <c r="A39" s="1" t="s">
        <v>182</v>
      </c>
    </row>
    <row r="40" spans="1:7" x14ac:dyDescent="0.25">
      <c r="A40" s="1" t="s">
        <v>175</v>
      </c>
    </row>
    <row r="41" spans="1:7" x14ac:dyDescent="0.25">
      <c r="A41" s="1" t="s">
        <v>174</v>
      </c>
    </row>
    <row r="42" spans="1:7" x14ac:dyDescent="0.25">
      <c r="A42" s="1" t="s">
        <v>188</v>
      </c>
    </row>
    <row r="43" spans="1:7" x14ac:dyDescent="0.25">
      <c r="A43" s="1" t="s">
        <v>173</v>
      </c>
    </row>
    <row r="44" spans="1:7" x14ac:dyDescent="0.25">
      <c r="A44" s="1" t="s">
        <v>171</v>
      </c>
    </row>
    <row r="45" spans="1:7" x14ac:dyDescent="0.25">
      <c r="A45" s="1" t="s">
        <v>170</v>
      </c>
    </row>
    <row r="46" spans="1:7" x14ac:dyDescent="0.25">
      <c r="A46" s="1" t="s">
        <v>169</v>
      </c>
    </row>
    <row r="47" spans="1:7" x14ac:dyDescent="0.25">
      <c r="A47" s="1" t="s">
        <v>168</v>
      </c>
    </row>
    <row r="48" spans="1:7" x14ac:dyDescent="0.25">
      <c r="A48" s="1" t="s">
        <v>167</v>
      </c>
    </row>
    <row r="49" spans="1:1" x14ac:dyDescent="0.25">
      <c r="A49" s="1" t="s">
        <v>166</v>
      </c>
    </row>
    <row r="50" spans="1:1" x14ac:dyDescent="0.25">
      <c r="A50" s="1" t="s">
        <v>165</v>
      </c>
    </row>
    <row r="51" spans="1:1" x14ac:dyDescent="0.25">
      <c r="A51" s="1" t="s">
        <v>163</v>
      </c>
    </row>
    <row r="52" spans="1:1" x14ac:dyDescent="0.25">
      <c r="A52" s="1" t="s">
        <v>141</v>
      </c>
    </row>
    <row r="53" spans="1:1" x14ac:dyDescent="0.25">
      <c r="A53" s="1" t="s">
        <v>140</v>
      </c>
    </row>
    <row r="54" spans="1:1" x14ac:dyDescent="0.25">
      <c r="A54" s="1" t="s">
        <v>139</v>
      </c>
    </row>
    <row r="55" spans="1:1" x14ac:dyDescent="0.25">
      <c r="A55" s="1" t="s">
        <v>135</v>
      </c>
    </row>
    <row r="56" spans="1:1" x14ac:dyDescent="0.25">
      <c r="A56" s="1" t="s">
        <v>130</v>
      </c>
    </row>
    <row r="57" spans="1:1" x14ac:dyDescent="0.25">
      <c r="A57" s="1" t="s">
        <v>127</v>
      </c>
    </row>
    <row r="58" spans="1:1" x14ac:dyDescent="0.25">
      <c r="A58" s="1" t="s">
        <v>128</v>
      </c>
    </row>
    <row r="59" spans="1:1" x14ac:dyDescent="0.25">
      <c r="A59" s="54" t="s">
        <v>129</v>
      </c>
    </row>
    <row r="60" spans="1:1" x14ac:dyDescent="0.25">
      <c r="A60" s="1" t="s">
        <v>131</v>
      </c>
    </row>
    <row r="61" spans="1:1" x14ac:dyDescent="0.25">
      <c r="A61" s="1" t="s">
        <v>132</v>
      </c>
    </row>
    <row r="62" spans="1:1" x14ac:dyDescent="0.25">
      <c r="A62" s="1" t="s">
        <v>133</v>
      </c>
    </row>
    <row r="63" spans="1:1" x14ac:dyDescent="0.25">
      <c r="A63" s="1" t="s">
        <v>134</v>
      </c>
    </row>
    <row r="64" spans="1:1" x14ac:dyDescent="0.25">
      <c r="A64" s="1" t="s">
        <v>136</v>
      </c>
    </row>
    <row r="65" spans="1:1" x14ac:dyDescent="0.25">
      <c r="A65" s="1" t="s">
        <v>137</v>
      </c>
    </row>
    <row r="66" spans="1:1" x14ac:dyDescent="0.25">
      <c r="A66" s="1" t="s">
        <v>138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89C83-AC26-2D4C-BECF-527C3F0DF123}">
  <dimension ref="A3:DY109"/>
  <sheetViews>
    <sheetView showGridLines="0" zoomScale="90" zoomScaleNormal="90" workbookViewId="0">
      <pane xSplit="3" ySplit="3" topLeftCell="Z4" activePane="bottomRight" state="frozen"/>
      <selection pane="topRight" activeCell="D1" sqref="D1"/>
      <selection pane="bottomLeft" activeCell="A4" sqref="A4"/>
      <selection pane="bottomRight" activeCell="U11" sqref="U11"/>
    </sheetView>
  </sheetViews>
  <sheetFormatPr baseColWidth="10" defaultRowHeight="19" x14ac:dyDescent="0.25"/>
  <cols>
    <col min="1" max="1" width="13" style="1" customWidth="1"/>
    <col min="2" max="2" width="12.83203125" style="4" bestFit="1" customWidth="1"/>
    <col min="3" max="3" width="39.33203125" style="1" customWidth="1"/>
    <col min="4" max="13" width="10.83203125" style="1"/>
    <col min="14" max="14" width="11.5" style="1" bestFit="1" customWidth="1"/>
    <col min="15" max="17" width="10.83203125" style="1"/>
    <col min="18" max="18" width="10.83203125" style="4"/>
    <col min="19" max="26" width="10.83203125" style="1"/>
    <col min="27" max="27" width="13.1640625" style="1" bestFit="1" customWidth="1"/>
    <col min="28" max="28" width="11.83203125" style="1" bestFit="1" customWidth="1"/>
    <col min="29" max="31" width="10.83203125" style="1"/>
    <col min="32" max="32" width="10.83203125" style="4"/>
    <col min="33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s="7" customFormat="1" x14ac:dyDescent="0.25">
      <c r="A3" s="12" t="s">
        <v>0</v>
      </c>
      <c r="B3" s="8"/>
      <c r="C3" s="9" t="s">
        <v>24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7" t="s">
        <v>16</v>
      </c>
      <c r="K3" s="7" t="s">
        <v>17</v>
      </c>
      <c r="L3" s="7" t="s">
        <v>18</v>
      </c>
      <c r="M3" s="7" t="s">
        <v>19</v>
      </c>
      <c r="N3" s="7" t="s">
        <v>15</v>
      </c>
      <c r="O3" s="7" t="s">
        <v>20</v>
      </c>
      <c r="P3" s="7" t="s">
        <v>98</v>
      </c>
      <c r="Q3" s="7" t="s">
        <v>99</v>
      </c>
      <c r="R3" s="8" t="s">
        <v>101</v>
      </c>
      <c r="S3" s="7" t="s">
        <v>100</v>
      </c>
      <c r="V3" s="7" t="s">
        <v>181</v>
      </c>
      <c r="W3" s="7" t="s">
        <v>178</v>
      </c>
      <c r="X3" s="7" t="s">
        <v>179</v>
      </c>
      <c r="Y3" s="7" t="s">
        <v>180</v>
      </c>
      <c r="Z3" s="7" t="s">
        <v>162</v>
      </c>
      <c r="AA3" s="7" t="s">
        <v>161</v>
      </c>
      <c r="AB3" s="7" t="s">
        <v>160</v>
      </c>
      <c r="AC3" s="7" t="s">
        <v>72</v>
      </c>
      <c r="AD3" s="7" t="s">
        <v>73</v>
      </c>
      <c r="AE3" s="7" t="s">
        <v>74</v>
      </c>
      <c r="AF3" s="8" t="s">
        <v>75</v>
      </c>
      <c r="AG3" s="7" t="s">
        <v>76</v>
      </c>
      <c r="AH3" s="7" t="s">
        <v>77</v>
      </c>
      <c r="AI3" s="7" t="s">
        <v>78</v>
      </c>
      <c r="AJ3" s="7" t="s">
        <v>79</v>
      </c>
      <c r="AK3" s="7" t="s">
        <v>80</v>
      </c>
      <c r="AL3" s="7" t="s">
        <v>81</v>
      </c>
      <c r="AM3" s="7" t="s">
        <v>82</v>
      </c>
      <c r="AN3" s="7" t="s">
        <v>83</v>
      </c>
      <c r="AO3" s="7" t="s">
        <v>84</v>
      </c>
      <c r="AP3" s="7" t="s">
        <v>85</v>
      </c>
    </row>
    <row r="4" spans="1:42" x14ac:dyDescent="0.25">
      <c r="A4" s="1" t="s">
        <v>1</v>
      </c>
      <c r="B4" s="73">
        <v>616</v>
      </c>
      <c r="C4" s="1" t="s">
        <v>21</v>
      </c>
      <c r="D4" s="25">
        <v>264.5</v>
      </c>
      <c r="E4" s="25">
        <v>278.5</v>
      </c>
      <c r="F4" s="25">
        <v>310.39999999999998</v>
      </c>
      <c r="G4" s="25">
        <v>334.947</v>
      </c>
      <c r="H4" s="25">
        <v>360.10399999999998</v>
      </c>
      <c r="I4" s="25">
        <v>371.8</v>
      </c>
      <c r="J4" s="25">
        <v>385.8</v>
      </c>
      <c r="K4" s="25">
        <v>405.6</v>
      </c>
      <c r="L4" s="25">
        <v>431.3</v>
      </c>
      <c r="M4" s="25">
        <v>438.1</v>
      </c>
      <c r="N4" s="25">
        <v>446.9</v>
      </c>
      <c r="O4" s="25">
        <v>459.4</v>
      </c>
      <c r="P4" s="25">
        <v>448.7</v>
      </c>
      <c r="Q4" s="2">
        <v>453.7</v>
      </c>
      <c r="R4" s="5">
        <v>431.7</v>
      </c>
      <c r="S4" s="2"/>
      <c r="T4" s="2"/>
      <c r="V4" s="2">
        <v>76.358999999999995</v>
      </c>
      <c r="W4" s="2">
        <v>115.461</v>
      </c>
      <c r="X4" s="2">
        <v>178.38499999999999</v>
      </c>
      <c r="Y4" s="2">
        <v>245.41800000000001</v>
      </c>
      <c r="Z4" s="2">
        <v>365.68700000000001</v>
      </c>
      <c r="AA4" s="2">
        <v>543</v>
      </c>
      <c r="AB4" s="2">
        <v>839.23800000000006</v>
      </c>
      <c r="AC4" s="2">
        <v>1188</v>
      </c>
      <c r="AD4" s="2">
        <v>1523</v>
      </c>
      <c r="AE4" s="2">
        <v>1776</v>
      </c>
      <c r="AF4" s="5">
        <f>AE4*1.11</f>
        <v>1971.3600000000001</v>
      </c>
      <c r="AG4" s="2">
        <f>AF4*1.08</f>
        <v>2129.0688000000005</v>
      </c>
      <c r="AH4" s="2">
        <f t="shared" ref="AH4:AP4" si="0">AG4*1.08</f>
        <v>2299.3943040000008</v>
      </c>
      <c r="AI4" s="2">
        <f t="shared" si="0"/>
        <v>2483.3458483200011</v>
      </c>
      <c r="AJ4" s="2">
        <f t="shared" si="0"/>
        <v>2682.0135161856015</v>
      </c>
      <c r="AK4" s="2">
        <f t="shared" si="0"/>
        <v>2896.5745974804499</v>
      </c>
      <c r="AL4" s="2">
        <f t="shared" si="0"/>
        <v>3128.3005652788861</v>
      </c>
      <c r="AM4" s="2">
        <f t="shared" si="0"/>
        <v>3378.5646105011974</v>
      </c>
      <c r="AN4" s="2">
        <f t="shared" si="0"/>
        <v>3648.8497793412935</v>
      </c>
      <c r="AO4" s="2">
        <f t="shared" si="0"/>
        <v>3940.7577616885974</v>
      </c>
      <c r="AP4" s="2">
        <f t="shared" si="0"/>
        <v>4256.0183826236853</v>
      </c>
    </row>
    <row r="5" spans="1:42" x14ac:dyDescent="0.25">
      <c r="A5" s="1" t="s">
        <v>5</v>
      </c>
      <c r="B5" s="18">
        <v>203.93669800000001</v>
      </c>
      <c r="C5" s="1" t="s">
        <v>22</v>
      </c>
      <c r="D5" s="25">
        <v>62.3</v>
      </c>
      <c r="E5" s="25">
        <v>65.5</v>
      </c>
      <c r="F5" s="25">
        <v>68.099999999999994</v>
      </c>
      <c r="G5" s="25">
        <v>72.533000000000001</v>
      </c>
      <c r="H5" s="25">
        <v>69.47</v>
      </c>
      <c r="I5" s="25">
        <v>69.275000000000006</v>
      </c>
      <c r="J5" s="25">
        <v>66.8</v>
      </c>
      <c r="K5" s="25">
        <v>69.8</v>
      </c>
      <c r="L5" s="25">
        <v>70.099999999999994</v>
      </c>
      <c r="M5" s="25">
        <v>70.3</v>
      </c>
      <c r="N5" s="25">
        <v>72.5</v>
      </c>
      <c r="O5" s="25">
        <v>74.400000000000006</v>
      </c>
      <c r="P5" s="25">
        <v>72.3</v>
      </c>
      <c r="Q5" s="2">
        <v>70.599999999999994</v>
      </c>
      <c r="R5" s="5">
        <v>75.5</v>
      </c>
      <c r="S5" s="2"/>
      <c r="T5" s="2"/>
      <c r="V5" s="2">
        <v>6.5000000000000002E-2</v>
      </c>
      <c r="W5" s="2">
        <v>6.5000000000000002E-2</v>
      </c>
      <c r="X5" s="2">
        <v>6.5000000000000002E-2</v>
      </c>
      <c r="Y5" s="2">
        <v>6.5000000000000002E-2</v>
      </c>
      <c r="Z5" s="2">
        <v>6.5000000000000002E-2</v>
      </c>
      <c r="AA5" s="2">
        <v>17.818999999999999</v>
      </c>
      <c r="AB5" s="2">
        <v>229.53899999999999</v>
      </c>
      <c r="AC5" s="2">
        <v>268</v>
      </c>
      <c r="AD5" s="2">
        <v>275</v>
      </c>
      <c r="AE5" s="2">
        <v>287</v>
      </c>
      <c r="AF5" s="5">
        <f>AE5*1.1</f>
        <v>315.70000000000005</v>
      </c>
      <c r="AG5" s="2">
        <f>AF5*1.06</f>
        <v>334.64200000000005</v>
      </c>
      <c r="AH5" s="2">
        <f t="shared" ref="AH5:AP5" si="1">AG5*1.06</f>
        <v>354.72052000000008</v>
      </c>
      <c r="AI5" s="2">
        <f t="shared" si="1"/>
        <v>376.00375120000012</v>
      </c>
      <c r="AJ5" s="2">
        <f t="shared" si="1"/>
        <v>398.56397627200016</v>
      </c>
      <c r="AK5" s="2">
        <f t="shared" si="1"/>
        <v>422.47781484832018</v>
      </c>
      <c r="AL5" s="2">
        <f t="shared" si="1"/>
        <v>447.82648373921938</v>
      </c>
      <c r="AM5" s="2">
        <f t="shared" si="1"/>
        <v>474.69607276357254</v>
      </c>
      <c r="AN5" s="2">
        <f t="shared" si="1"/>
        <v>503.17783712938694</v>
      </c>
      <c r="AO5" s="2">
        <f t="shared" si="1"/>
        <v>533.36850735715018</v>
      </c>
      <c r="AP5" s="2">
        <f t="shared" si="1"/>
        <v>565.37061779857925</v>
      </c>
    </row>
    <row r="6" spans="1:42" x14ac:dyDescent="0.25">
      <c r="A6" s="1" t="s">
        <v>6</v>
      </c>
      <c r="B6" s="73">
        <f>B4*B5</f>
        <v>125625.005968</v>
      </c>
      <c r="C6" s="1" t="s">
        <v>159</v>
      </c>
      <c r="D6" s="25"/>
      <c r="E6" s="25"/>
      <c r="F6" s="25"/>
      <c r="G6" s="25"/>
      <c r="H6" s="25"/>
      <c r="I6" s="25"/>
      <c r="J6" s="25"/>
      <c r="K6" s="25">
        <v>0</v>
      </c>
      <c r="L6" s="25">
        <v>0</v>
      </c>
      <c r="M6" s="25">
        <v>0</v>
      </c>
      <c r="N6" s="25">
        <v>59.65</v>
      </c>
      <c r="O6" s="25">
        <v>91.408000000000001</v>
      </c>
      <c r="P6" s="25">
        <v>0</v>
      </c>
      <c r="Q6" s="2">
        <v>0</v>
      </c>
      <c r="R6" s="5">
        <v>0</v>
      </c>
      <c r="S6" s="2"/>
      <c r="T6" s="2"/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f>SUM(D6:G6)</f>
        <v>0</v>
      </c>
      <c r="AD6" s="2">
        <f>SUM(H6:K6)</f>
        <v>0</v>
      </c>
      <c r="AE6" s="2">
        <v>151</v>
      </c>
      <c r="AF6" s="5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</row>
    <row r="7" spans="1:42" x14ac:dyDescent="0.25">
      <c r="A7" s="1" t="s">
        <v>8</v>
      </c>
      <c r="B7" s="5">
        <v>7229</v>
      </c>
      <c r="C7" s="6" t="s">
        <v>23</v>
      </c>
      <c r="D7" s="27">
        <f t="shared" ref="D7:M7" si="2">SUM(D4:D6)</f>
        <v>326.8</v>
      </c>
      <c r="E7" s="27">
        <f t="shared" si="2"/>
        <v>344</v>
      </c>
      <c r="F7" s="27">
        <f t="shared" si="2"/>
        <v>378.5</v>
      </c>
      <c r="G7" s="27">
        <f t="shared" si="2"/>
        <v>407.48</v>
      </c>
      <c r="H7" s="27">
        <f t="shared" si="2"/>
        <v>429.57399999999996</v>
      </c>
      <c r="I7" s="27">
        <f t="shared" si="2"/>
        <v>441.07500000000005</v>
      </c>
      <c r="J7" s="27">
        <f t="shared" si="2"/>
        <v>452.6</v>
      </c>
      <c r="K7" s="27">
        <f t="shared" si="2"/>
        <v>475.40000000000003</v>
      </c>
      <c r="L7" s="27">
        <f t="shared" si="2"/>
        <v>501.4</v>
      </c>
      <c r="M7" s="27">
        <f t="shared" si="2"/>
        <v>508.40000000000003</v>
      </c>
      <c r="N7" s="27">
        <f>SUM(N4:N6)</f>
        <v>579.04999999999995</v>
      </c>
      <c r="O7" s="27">
        <f>SUM(O4:O6)</f>
        <v>625.20799999999997</v>
      </c>
      <c r="P7" s="27">
        <f>SUM(P4:P5)</f>
        <v>521</v>
      </c>
      <c r="Q7" s="26">
        <f>SUM(Q4:Q5)</f>
        <v>524.29999999999995</v>
      </c>
      <c r="R7" s="15">
        <f>SUM(R4:R5)</f>
        <v>507.2</v>
      </c>
      <c r="S7" s="26">
        <f>SUM(S4:S5)</f>
        <v>0</v>
      </c>
      <c r="T7" s="26"/>
      <c r="U7" s="27"/>
      <c r="V7" s="26">
        <f t="shared" ref="V7:W7" si="3">SUM(V4:V6)</f>
        <v>76.423999999999992</v>
      </c>
      <c r="W7" s="26">
        <f t="shared" si="3"/>
        <v>115.526</v>
      </c>
      <c r="X7" s="26">
        <f t="shared" ref="X7:Y7" si="4">SUM(X4:X6)</f>
        <v>178.45</v>
      </c>
      <c r="Y7" s="26">
        <f t="shared" si="4"/>
        <v>245.483</v>
      </c>
      <c r="Z7" s="26">
        <f t="shared" ref="Z7:AD7" si="5">SUM(Z4:Z6)</f>
        <v>365.75200000000001</v>
      </c>
      <c r="AA7" s="26">
        <f t="shared" si="5"/>
        <v>560.81899999999996</v>
      </c>
      <c r="AB7" s="26">
        <f>SUM(AB4:AB6)</f>
        <v>1068.777</v>
      </c>
      <c r="AC7" s="26">
        <f t="shared" si="5"/>
        <v>1456</v>
      </c>
      <c r="AD7" s="26">
        <f t="shared" si="5"/>
        <v>1798</v>
      </c>
      <c r="AE7" s="26">
        <f>SUM(AE4:AE6)</f>
        <v>2214</v>
      </c>
      <c r="AF7" s="15">
        <f>SUM(AF4:AF5)</f>
        <v>2287.0600000000004</v>
      </c>
      <c r="AG7" s="26">
        <f>SUM(AG4:AG5)</f>
        <v>2463.7108000000007</v>
      </c>
      <c r="AH7" s="26">
        <f t="shared" ref="AH7:AP7" si="6">SUM(AH4:AH5)</f>
        <v>2654.1148240000011</v>
      </c>
      <c r="AI7" s="26">
        <f t="shared" si="6"/>
        <v>2859.349599520001</v>
      </c>
      <c r="AJ7" s="26">
        <f t="shared" si="6"/>
        <v>3080.5774924576017</v>
      </c>
      <c r="AK7" s="26">
        <f t="shared" si="6"/>
        <v>3319.0524123287701</v>
      </c>
      <c r="AL7" s="26">
        <f t="shared" si="6"/>
        <v>3576.1270490181055</v>
      </c>
      <c r="AM7" s="26">
        <f t="shared" si="6"/>
        <v>3853.2606832647698</v>
      </c>
      <c r="AN7" s="26">
        <f t="shared" si="6"/>
        <v>4152.0276164706802</v>
      </c>
      <c r="AO7" s="26">
        <f t="shared" si="6"/>
        <v>4474.1262690457479</v>
      </c>
      <c r="AP7" s="26">
        <f t="shared" si="6"/>
        <v>4821.3890004222649</v>
      </c>
    </row>
    <row r="8" spans="1:42" x14ac:dyDescent="0.25">
      <c r="A8" s="1" t="s">
        <v>3</v>
      </c>
      <c r="B8" s="5">
        <v>0</v>
      </c>
      <c r="C8" s="1" t="s">
        <v>28</v>
      </c>
      <c r="D8" s="25">
        <v>-63.468000000000004</v>
      </c>
      <c r="E8" s="25">
        <v>-68.337000000000003</v>
      </c>
      <c r="F8" s="25">
        <v>-76.254999999999995</v>
      </c>
      <c r="G8" s="25">
        <v>-81.537999999999997</v>
      </c>
      <c r="H8" s="25">
        <v>-82.933000000000007</v>
      </c>
      <c r="I8" s="25">
        <v>-87.47</v>
      </c>
      <c r="J8" s="25">
        <v>-91.037000000000006</v>
      </c>
      <c r="K8" s="25">
        <v>-93.86</v>
      </c>
      <c r="L8" s="25">
        <v>-106.771</v>
      </c>
      <c r="M8" s="25">
        <v>-111.425</v>
      </c>
      <c r="N8" s="25">
        <v>-110.593</v>
      </c>
      <c r="O8" s="25">
        <v>-109.04600000000001</v>
      </c>
      <c r="P8" s="25">
        <v>-119.949</v>
      </c>
      <c r="Q8" s="2">
        <v>-123.56</v>
      </c>
      <c r="R8" s="5">
        <v>-117.54600000000001</v>
      </c>
      <c r="S8" s="2"/>
      <c r="T8" s="2"/>
      <c r="U8" s="2"/>
      <c r="V8" s="2">
        <v>-33.527000000000001</v>
      </c>
      <c r="W8" s="2">
        <v>-53.218000000000004</v>
      </c>
      <c r="X8" s="2">
        <v>-72.122</v>
      </c>
      <c r="Y8" s="2">
        <v>-97.674000000000007</v>
      </c>
      <c r="Z8" s="2">
        <v>-126.419</v>
      </c>
      <c r="AA8" s="2">
        <v>-133.75200000000001</v>
      </c>
      <c r="AB8" s="2">
        <v>-207.16499999999999</v>
      </c>
      <c r="AC8" s="2">
        <v>-290</v>
      </c>
      <c r="AD8" s="2">
        <v>-355</v>
      </c>
      <c r="AE8" s="2">
        <v>-438</v>
      </c>
      <c r="AF8" s="5">
        <f>AE8*1.17</f>
        <v>-512.45999999999992</v>
      </c>
      <c r="AG8" s="2">
        <f>AF8*1.08</f>
        <v>-553.45679999999993</v>
      </c>
      <c r="AH8" s="2">
        <f t="shared" ref="AH8:AO8" si="7">AG8*1.08</f>
        <v>-597.73334399999999</v>
      </c>
      <c r="AI8" s="2">
        <f t="shared" si="7"/>
        <v>-645.55201152000006</v>
      </c>
      <c r="AJ8" s="2">
        <f t="shared" si="7"/>
        <v>-697.19617244160008</v>
      </c>
      <c r="AK8" s="2">
        <f t="shared" si="7"/>
        <v>-752.97186623692812</v>
      </c>
      <c r="AL8" s="2">
        <f>AK8*1.07</f>
        <v>-805.67989687351314</v>
      </c>
      <c r="AM8" s="2">
        <f t="shared" si="7"/>
        <v>-870.13428862339424</v>
      </c>
      <c r="AN8" s="2">
        <f t="shared" si="7"/>
        <v>-939.7450317132658</v>
      </c>
      <c r="AO8" s="2">
        <f t="shared" si="7"/>
        <v>-1014.9246342503271</v>
      </c>
      <c r="AP8" s="2">
        <f>AO8*1.4</f>
        <v>-1420.8944879504579</v>
      </c>
    </row>
    <row r="9" spans="1:42" x14ac:dyDescent="0.25">
      <c r="A9" s="6" t="s">
        <v>70</v>
      </c>
      <c r="B9" s="15">
        <f>B6-B7+B8</f>
        <v>118396.005968</v>
      </c>
      <c r="C9" s="1" t="s">
        <v>30</v>
      </c>
      <c r="D9" s="25">
        <v>-33.621000000000002</v>
      </c>
      <c r="E9" s="25">
        <v>-37.402999999999999</v>
      </c>
      <c r="F9" s="25">
        <v>-41.262</v>
      </c>
      <c r="G9" s="25">
        <v>-46.412999999999997</v>
      </c>
      <c r="H9" s="25">
        <v>-46.482999999999997</v>
      </c>
      <c r="I9" s="25">
        <v>-41.911999999999999</v>
      </c>
      <c r="J9" s="25">
        <v>-43.006</v>
      </c>
      <c r="K9" s="25">
        <v>-44.487000000000002</v>
      </c>
      <c r="L9" s="25">
        <v>-48.893999999999998</v>
      </c>
      <c r="M9" s="25">
        <v>-51.218000000000004</v>
      </c>
      <c r="N9" s="25">
        <v>-53.179000000000002</v>
      </c>
      <c r="O9" s="25">
        <v>-61.241999999999997</v>
      </c>
      <c r="P9" s="25">
        <v>-59.018999999999998</v>
      </c>
      <c r="Q9" s="2">
        <v>-55.442</v>
      </c>
      <c r="R9" s="5">
        <v>-52.69</v>
      </c>
      <c r="S9" s="2"/>
      <c r="T9" s="2"/>
      <c r="V9" s="2">
        <v>-15.808999999999999</v>
      </c>
      <c r="W9" s="2">
        <v>-17.600000000000001</v>
      </c>
      <c r="X9" s="2">
        <v>-25.626999999999999</v>
      </c>
      <c r="Y9" s="2">
        <v>-40.063000000000002</v>
      </c>
      <c r="Z9" s="2">
        <v>-56.384999999999998</v>
      </c>
      <c r="AA9" s="2">
        <v>-95.168999999999997</v>
      </c>
      <c r="AB9" s="2">
        <v>-126.962</v>
      </c>
      <c r="AC9" s="2">
        <v>-159</v>
      </c>
      <c r="AD9" s="2">
        <v>-176</v>
      </c>
      <c r="AE9" s="2">
        <v>-215</v>
      </c>
      <c r="AF9" s="5">
        <v>-250</v>
      </c>
      <c r="AG9" s="2">
        <f>AF9*1.05</f>
        <v>-262.5</v>
      </c>
      <c r="AH9" s="2">
        <f t="shared" ref="AH9:AP9" si="8">AG9*1.07</f>
        <v>-280.875</v>
      </c>
      <c r="AI9" s="2">
        <f t="shared" si="8"/>
        <v>-300.53625</v>
      </c>
      <c r="AJ9" s="2">
        <f t="shared" si="8"/>
        <v>-321.57378750000004</v>
      </c>
      <c r="AK9" s="2">
        <f t="shared" si="8"/>
        <v>-344.08395262500005</v>
      </c>
      <c r="AL9" s="2">
        <f>AK9*1.07</f>
        <v>-368.16982930875008</v>
      </c>
      <c r="AM9" s="2">
        <f t="shared" si="8"/>
        <v>-393.94171736036259</v>
      </c>
      <c r="AN9" s="2">
        <f t="shared" si="8"/>
        <v>-421.51763757558797</v>
      </c>
      <c r="AO9" s="2">
        <f t="shared" si="8"/>
        <v>-451.02387220587917</v>
      </c>
      <c r="AP9" s="2">
        <f t="shared" si="8"/>
        <v>-482.59554326029075</v>
      </c>
    </row>
    <row r="10" spans="1:42" x14ac:dyDescent="0.25">
      <c r="A10" s="13"/>
      <c r="B10" s="24"/>
      <c r="C10" s="6" t="s">
        <v>103</v>
      </c>
      <c r="D10" s="27">
        <f t="shared" ref="D10:M10" si="9">SUM(D7:D9)</f>
        <v>229.71099999999998</v>
      </c>
      <c r="E10" s="27">
        <f t="shared" si="9"/>
        <v>238.26000000000002</v>
      </c>
      <c r="F10" s="27">
        <f t="shared" si="9"/>
        <v>260.983</v>
      </c>
      <c r="G10" s="27">
        <f t="shared" si="9"/>
        <v>279.529</v>
      </c>
      <c r="H10" s="27">
        <f t="shared" si="9"/>
        <v>300.15799999999996</v>
      </c>
      <c r="I10" s="27">
        <f t="shared" si="9"/>
        <v>311.69300000000004</v>
      </c>
      <c r="J10" s="27">
        <f t="shared" si="9"/>
        <v>318.55700000000002</v>
      </c>
      <c r="K10" s="27">
        <f t="shared" si="9"/>
        <v>337.053</v>
      </c>
      <c r="L10" s="27">
        <f t="shared" si="9"/>
        <v>345.73499999999996</v>
      </c>
      <c r="M10" s="27">
        <f t="shared" si="9"/>
        <v>345.75700000000001</v>
      </c>
      <c r="N10" s="27">
        <f>SUM(N7:N9)</f>
        <v>415.27799999999991</v>
      </c>
      <c r="O10" s="27">
        <f>SUM(O7:O9)</f>
        <v>454.9199999999999</v>
      </c>
      <c r="P10" s="27">
        <f t="shared" ref="P10:S10" si="10">SUM(P7:P9)</f>
        <v>342.03199999999998</v>
      </c>
      <c r="Q10" s="26">
        <f t="shared" si="10"/>
        <v>345.29799999999994</v>
      </c>
      <c r="R10" s="15">
        <f t="shared" si="10"/>
        <v>336.964</v>
      </c>
      <c r="S10" s="26">
        <f t="shared" si="10"/>
        <v>0</v>
      </c>
      <c r="T10" s="26"/>
      <c r="V10" s="26">
        <f t="shared" ref="V10:W10" si="11">SUM(V7:V9)</f>
        <v>27.087999999999994</v>
      </c>
      <c r="W10" s="26">
        <f t="shared" si="11"/>
        <v>44.707999999999991</v>
      </c>
      <c r="X10" s="26">
        <f t="shared" ref="X10:Y10" si="12">SUM(X7:X9)</f>
        <v>80.700999999999993</v>
      </c>
      <c r="Y10" s="26">
        <f t="shared" si="12"/>
        <v>107.746</v>
      </c>
      <c r="Z10" s="26">
        <f t="shared" ref="Z10:AA10" si="13">SUM(Z7:Z9)</f>
        <v>182.94800000000004</v>
      </c>
      <c r="AA10" s="26">
        <f t="shared" si="13"/>
        <v>331.89799999999997</v>
      </c>
      <c r="AB10" s="26">
        <f t="shared" ref="AB10:AC10" si="14">SUM(AB7:AB9)</f>
        <v>734.65000000000009</v>
      </c>
      <c r="AC10" s="26">
        <f t="shared" si="14"/>
        <v>1007</v>
      </c>
      <c r="AD10" s="26">
        <f>SUM(AD7:AD9)</f>
        <v>1267</v>
      </c>
      <c r="AE10" s="26">
        <f>SUM(AE7:AE9)</f>
        <v>1561</v>
      </c>
      <c r="AF10" s="15">
        <f>SUM(AF7:AF9)</f>
        <v>1524.6000000000004</v>
      </c>
      <c r="AG10" s="26">
        <f t="shared" ref="AG10:AO10" si="15">SUM(AG7:AG9)</f>
        <v>1647.7540000000008</v>
      </c>
      <c r="AH10" s="26">
        <f t="shared" si="15"/>
        <v>1775.5064800000009</v>
      </c>
      <c r="AI10" s="26">
        <f t="shared" si="15"/>
        <v>1913.2613380000007</v>
      </c>
      <c r="AJ10" s="26">
        <f t="shared" si="15"/>
        <v>2061.8075325160016</v>
      </c>
      <c r="AK10" s="26">
        <f t="shared" si="15"/>
        <v>2221.9965934668417</v>
      </c>
      <c r="AL10" s="26">
        <f t="shared" si="15"/>
        <v>2402.2773228358419</v>
      </c>
      <c r="AM10" s="26">
        <f t="shared" si="15"/>
        <v>2589.1846772810131</v>
      </c>
      <c r="AN10" s="26">
        <f t="shared" si="15"/>
        <v>2790.7649471818268</v>
      </c>
      <c r="AO10" s="26">
        <f t="shared" si="15"/>
        <v>3008.1777625895415</v>
      </c>
      <c r="AP10" s="26">
        <f>SUM(AP7:AP8)</f>
        <v>3400.494512471807</v>
      </c>
    </row>
    <row r="11" spans="1:42" x14ac:dyDescent="0.25">
      <c r="A11" s="13" t="s">
        <v>7</v>
      </c>
      <c r="B11" s="24">
        <v>11.02</v>
      </c>
      <c r="C11" s="1" t="s">
        <v>29</v>
      </c>
      <c r="D11" s="25">
        <v>-22.593</v>
      </c>
      <c r="E11" s="25">
        <v>-23.638000000000002</v>
      </c>
      <c r="F11" s="25">
        <v>-24.622</v>
      </c>
      <c r="G11" s="25">
        <v>-29.524999999999999</v>
      </c>
      <c r="H11" s="25">
        <v>-28.678000000000001</v>
      </c>
      <c r="I11" s="25">
        <v>-30.178000000000001</v>
      </c>
      <c r="J11" s="25">
        <v>-31.462</v>
      </c>
      <c r="K11" s="25">
        <v>-34.365000000000002</v>
      </c>
      <c r="L11" s="25">
        <v>-34.174999999999997</v>
      </c>
      <c r="M11" s="25">
        <v>-34.637999999999998</v>
      </c>
      <c r="N11" s="25">
        <v>-36.078000000000003</v>
      </c>
      <c r="O11" s="25">
        <v>-37.331000000000003</v>
      </c>
      <c r="P11" s="25">
        <v>-38.540999999999997</v>
      </c>
      <c r="Q11" s="2">
        <v>-38.884</v>
      </c>
      <c r="R11" s="5">
        <v>-40.271999999999998</v>
      </c>
      <c r="S11" s="2"/>
      <c r="T11" s="2"/>
      <c r="V11" s="2">
        <v>-5.9</v>
      </c>
      <c r="W11" s="2">
        <v>-9.6999999999999993</v>
      </c>
      <c r="X11" s="2">
        <v>-13.754</v>
      </c>
      <c r="Y11" s="2">
        <v>-18.196999999999999</v>
      </c>
      <c r="Z11" s="2">
        <v>-25.475999999999999</v>
      </c>
      <c r="AA11" s="2">
        <v>-32.512999999999998</v>
      </c>
      <c r="AB11" s="2">
        <v>-80.646000000000001</v>
      </c>
      <c r="AC11" s="2">
        <v>-100</v>
      </c>
      <c r="AD11" s="2">
        <v>-125</v>
      </c>
      <c r="AE11" s="2">
        <v>-142</v>
      </c>
      <c r="AF11" s="5">
        <f>AE11*1.1</f>
        <v>-156.20000000000002</v>
      </c>
      <c r="AG11" s="2">
        <f>AF11*1.14</f>
        <v>-178.06800000000001</v>
      </c>
      <c r="AH11" s="2">
        <f t="shared" ref="AH11:AO11" si="16">AG11*1.1</f>
        <v>-195.87480000000002</v>
      </c>
      <c r="AI11" s="2">
        <f t="shared" si="16"/>
        <v>-215.46228000000005</v>
      </c>
      <c r="AJ11" s="2">
        <f t="shared" si="16"/>
        <v>-237.00850800000006</v>
      </c>
      <c r="AK11" s="2">
        <f t="shared" si="16"/>
        <v>-260.70935880000008</v>
      </c>
      <c r="AL11" s="2">
        <f t="shared" si="16"/>
        <v>-286.78029468000011</v>
      </c>
      <c r="AM11" s="2">
        <f t="shared" si="16"/>
        <v>-315.45832414800014</v>
      </c>
      <c r="AN11" s="2">
        <f t="shared" si="16"/>
        <v>-347.00415656280018</v>
      </c>
      <c r="AO11" s="2">
        <f t="shared" si="16"/>
        <v>-381.70457221908021</v>
      </c>
      <c r="AP11" s="2">
        <v>-150</v>
      </c>
    </row>
    <row r="12" spans="1:42" x14ac:dyDescent="0.25">
      <c r="C12" s="1" t="s">
        <v>31</v>
      </c>
      <c r="D12" s="25">
        <f t="shared" ref="D12:O12" si="17">D8+D11+D9</f>
        <v>-119.68200000000002</v>
      </c>
      <c r="E12" s="25">
        <f t="shared" si="17"/>
        <v>-129.37800000000001</v>
      </c>
      <c r="F12" s="25">
        <f t="shared" si="17"/>
        <v>-142.13900000000001</v>
      </c>
      <c r="G12" s="25">
        <f t="shared" si="17"/>
        <v>-157.476</v>
      </c>
      <c r="H12" s="25">
        <f t="shared" si="17"/>
        <v>-158.09399999999999</v>
      </c>
      <c r="I12" s="25">
        <f t="shared" si="17"/>
        <v>-159.56</v>
      </c>
      <c r="J12" s="25">
        <f t="shared" si="17"/>
        <v>-165.505</v>
      </c>
      <c r="K12" s="25">
        <f t="shared" si="17"/>
        <v>-172.71199999999999</v>
      </c>
      <c r="L12" s="25">
        <f t="shared" si="17"/>
        <v>-189.84</v>
      </c>
      <c r="M12" s="25">
        <f t="shared" si="17"/>
        <v>-197.28100000000001</v>
      </c>
      <c r="N12" s="25">
        <f t="shared" si="17"/>
        <v>-199.85</v>
      </c>
      <c r="O12" s="25">
        <f t="shared" si="17"/>
        <v>-207.619</v>
      </c>
      <c r="P12" s="25">
        <f>P8+P11+P9</f>
        <v>-217.50900000000001</v>
      </c>
      <c r="Q12" s="25">
        <f>Q8+Q11+Q9</f>
        <v>-217.88600000000002</v>
      </c>
      <c r="R12" s="64">
        <f>R8+R11+R9</f>
        <v>-210.50800000000001</v>
      </c>
      <c r="S12" s="2"/>
      <c r="T12" s="2"/>
      <c r="V12" s="2">
        <f>V8+V9+V11</f>
        <v>-55.235999999999997</v>
      </c>
      <c r="W12" s="2">
        <f>W8+W9+W11</f>
        <v>-80.518000000000015</v>
      </c>
      <c r="X12" s="2">
        <f>X8+X9+X11</f>
        <v>-111.503</v>
      </c>
      <c r="Y12" s="2">
        <f>Y8+Y9+Y11</f>
        <v>-155.93400000000003</v>
      </c>
      <c r="Z12" s="2">
        <f t="shared" ref="Z12" si="18">Z8+Z9+Z11</f>
        <v>-208.28</v>
      </c>
      <c r="AA12" s="2">
        <f t="shared" ref="AA12" si="19">AA8+AA9+AA11</f>
        <v>-261.43399999999997</v>
      </c>
      <c r="AB12" s="2">
        <f>AB8+AB9+AB11</f>
        <v>-414.77300000000002</v>
      </c>
      <c r="AC12" s="2">
        <v>-549</v>
      </c>
      <c r="AD12" s="2">
        <v>-656</v>
      </c>
      <c r="AE12" s="2">
        <v>-795</v>
      </c>
      <c r="AF12" s="5">
        <f t="shared" ref="AF12:AP12" si="20">AF8+AF9+AF11</f>
        <v>-918.66</v>
      </c>
      <c r="AG12" s="2">
        <f t="shared" si="20"/>
        <v>-994.02479999999991</v>
      </c>
      <c r="AH12" s="2">
        <f t="shared" si="20"/>
        <v>-1074.483144</v>
      </c>
      <c r="AI12" s="2">
        <f t="shared" si="20"/>
        <v>-1161.55054152</v>
      </c>
      <c r="AJ12" s="2">
        <f t="shared" si="20"/>
        <v>-1255.7784679416002</v>
      </c>
      <c r="AK12" s="2">
        <f t="shared" si="20"/>
        <v>-1357.7651776619282</v>
      </c>
      <c r="AL12" s="2">
        <f t="shared" si="20"/>
        <v>-1460.6300208622633</v>
      </c>
      <c r="AM12" s="2">
        <f t="shared" si="20"/>
        <v>-1579.5343301317571</v>
      </c>
      <c r="AN12" s="2">
        <f t="shared" si="20"/>
        <v>-1708.2668258516542</v>
      </c>
      <c r="AO12" s="2">
        <f t="shared" si="20"/>
        <v>-1847.6530786752865</v>
      </c>
      <c r="AP12" s="2">
        <f t="shared" si="20"/>
        <v>-2053.4900312107484</v>
      </c>
    </row>
    <row r="13" spans="1:42" x14ac:dyDescent="0.25">
      <c r="A13" s="2"/>
      <c r="C13" s="6" t="s">
        <v>97</v>
      </c>
      <c r="D13" s="27">
        <f t="shared" ref="D13:S13" si="21">D7+D12</f>
        <v>207.11799999999999</v>
      </c>
      <c r="E13" s="27">
        <f t="shared" si="21"/>
        <v>214.62199999999999</v>
      </c>
      <c r="F13" s="27">
        <f t="shared" si="21"/>
        <v>236.36099999999999</v>
      </c>
      <c r="G13" s="27">
        <f t="shared" si="21"/>
        <v>250.00400000000002</v>
      </c>
      <c r="H13" s="27">
        <f t="shared" si="21"/>
        <v>271.47999999999996</v>
      </c>
      <c r="I13" s="27">
        <f t="shared" si="21"/>
        <v>281.51500000000004</v>
      </c>
      <c r="J13" s="27">
        <f t="shared" si="21"/>
        <v>287.09500000000003</v>
      </c>
      <c r="K13" s="27">
        <f t="shared" si="21"/>
        <v>302.68800000000005</v>
      </c>
      <c r="L13" s="27">
        <f t="shared" si="21"/>
        <v>311.55999999999995</v>
      </c>
      <c r="M13" s="27">
        <f t="shared" si="21"/>
        <v>311.11900000000003</v>
      </c>
      <c r="N13" s="27">
        <f t="shared" si="21"/>
        <v>379.19999999999993</v>
      </c>
      <c r="O13" s="27">
        <f t="shared" si="21"/>
        <v>417.58899999999994</v>
      </c>
      <c r="P13" s="27">
        <f t="shared" si="21"/>
        <v>303.49099999999999</v>
      </c>
      <c r="Q13" s="26">
        <f t="shared" si="21"/>
        <v>306.41399999999993</v>
      </c>
      <c r="R13" s="15">
        <f t="shared" si="21"/>
        <v>296.69200000000001</v>
      </c>
      <c r="S13" s="26">
        <f t="shared" si="21"/>
        <v>0</v>
      </c>
      <c r="T13" s="26"/>
      <c r="V13" s="26">
        <f>V7+V12</f>
        <v>21.187999999999995</v>
      </c>
      <c r="W13" s="26">
        <f>W7+W12</f>
        <v>35.007999999999981</v>
      </c>
      <c r="X13" s="26">
        <f>X7+X12</f>
        <v>66.946999999999989</v>
      </c>
      <c r="Y13" s="26">
        <f>Y7+Y12</f>
        <v>89.548999999999978</v>
      </c>
      <c r="Z13" s="26">
        <f t="shared" ref="Z13" si="22">Z7+Z12</f>
        <v>157.47200000000001</v>
      </c>
      <c r="AA13" s="26">
        <f t="shared" ref="AA13:AB13" si="23">AA7+AA12</f>
        <v>299.38499999999999</v>
      </c>
      <c r="AB13" s="26">
        <f t="shared" si="23"/>
        <v>654.00400000000002</v>
      </c>
      <c r="AC13" s="26">
        <f t="shared" ref="AC13:AP13" si="24">AC7+AC12</f>
        <v>907</v>
      </c>
      <c r="AD13" s="26">
        <f t="shared" si="24"/>
        <v>1142</v>
      </c>
      <c r="AE13" s="26">
        <f t="shared" si="24"/>
        <v>1419</v>
      </c>
      <c r="AF13" s="15">
        <f t="shared" si="24"/>
        <v>1368.4000000000005</v>
      </c>
      <c r="AG13" s="26">
        <f t="shared" si="24"/>
        <v>1469.6860000000008</v>
      </c>
      <c r="AH13" s="26">
        <f t="shared" si="24"/>
        <v>1579.6316800000011</v>
      </c>
      <c r="AI13" s="26">
        <f t="shared" si="24"/>
        <v>1697.799058000001</v>
      </c>
      <c r="AJ13" s="26">
        <f t="shared" si="24"/>
        <v>1824.7990245160015</v>
      </c>
      <c r="AK13" s="26">
        <f t="shared" si="24"/>
        <v>1961.2872346668419</v>
      </c>
      <c r="AL13" s="26">
        <f t="shared" si="24"/>
        <v>2115.4970281558421</v>
      </c>
      <c r="AM13" s="26">
        <f t="shared" si="24"/>
        <v>2273.7263531330127</v>
      </c>
      <c r="AN13" s="26">
        <f t="shared" si="24"/>
        <v>2443.760790619026</v>
      </c>
      <c r="AO13" s="26">
        <f t="shared" si="24"/>
        <v>2626.4731903704615</v>
      </c>
      <c r="AP13" s="26">
        <f t="shared" si="24"/>
        <v>2767.8989692115165</v>
      </c>
    </row>
    <row r="14" spans="1:42" x14ac:dyDescent="0.25">
      <c r="C14" s="1" t="s">
        <v>32</v>
      </c>
      <c r="D14" s="25">
        <v>4.3109999999999999</v>
      </c>
      <c r="E14" s="25">
        <v>2.4129999999999998</v>
      </c>
      <c r="F14" s="25">
        <v>1.341</v>
      </c>
      <c r="G14" s="25">
        <v>-9.5340000000000007</v>
      </c>
      <c r="H14" s="25">
        <v>-1.425</v>
      </c>
      <c r="I14" s="25">
        <v>1.4930000000000001</v>
      </c>
      <c r="J14" s="25">
        <v>5.36</v>
      </c>
      <c r="K14" s="25">
        <v>0.44900000000000001</v>
      </c>
      <c r="L14" s="25">
        <v>5.8769999999999998</v>
      </c>
      <c r="M14" s="25">
        <v>6.7919999999999998</v>
      </c>
      <c r="N14" s="25">
        <v>-1.0089999999999999</v>
      </c>
      <c r="O14" s="25">
        <v>7.7110000000000003</v>
      </c>
      <c r="P14" s="25">
        <v>-1.2</v>
      </c>
      <c r="Q14" s="2">
        <v>-11.879</v>
      </c>
      <c r="R14" s="5">
        <v>0.77600000000000002</v>
      </c>
      <c r="S14" s="2">
        <v>0</v>
      </c>
      <c r="T14" s="2"/>
      <c r="V14" s="2">
        <v>-0.24399999999999999</v>
      </c>
      <c r="W14" s="2">
        <v>-0.24399999999999999</v>
      </c>
      <c r="X14" s="2">
        <v>-0.224</v>
      </c>
      <c r="Y14" s="2">
        <f>0.045-0.245</f>
        <v>-0.2</v>
      </c>
      <c r="Z14" s="2">
        <f>0.045-0.245</f>
        <v>-0.2</v>
      </c>
      <c r="AA14" s="2">
        <f>0.047-1</f>
        <v>-0.95299999999999996</v>
      </c>
      <c r="AB14" s="2">
        <f>1.317-7.83</f>
        <v>-6.5129999999999999</v>
      </c>
      <c r="AC14" s="2">
        <v>-1</v>
      </c>
      <c r="AD14" s="2">
        <v>6</v>
      </c>
      <c r="AE14" s="2">
        <v>19</v>
      </c>
      <c r="AF14" s="5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</row>
    <row r="15" spans="1:42" x14ac:dyDescent="0.25">
      <c r="C15" s="1" t="s">
        <v>33</v>
      </c>
      <c r="D15" s="25">
        <f t="shared" ref="D15:S15" si="25">SUM(D13:D14)</f>
        <v>211.429</v>
      </c>
      <c r="E15" s="25">
        <f t="shared" si="25"/>
        <v>217.035</v>
      </c>
      <c r="F15" s="25">
        <f t="shared" si="25"/>
        <v>237.702</v>
      </c>
      <c r="G15" s="25">
        <f t="shared" si="25"/>
        <v>240.47000000000003</v>
      </c>
      <c r="H15" s="25">
        <f t="shared" si="25"/>
        <v>270.05499999999995</v>
      </c>
      <c r="I15" s="25">
        <f t="shared" si="25"/>
        <v>283.00800000000004</v>
      </c>
      <c r="J15" s="25">
        <f t="shared" si="25"/>
        <v>292.45500000000004</v>
      </c>
      <c r="K15" s="25">
        <f t="shared" si="25"/>
        <v>303.13700000000006</v>
      </c>
      <c r="L15" s="25">
        <f t="shared" si="25"/>
        <v>317.43699999999995</v>
      </c>
      <c r="M15" s="25">
        <f t="shared" si="25"/>
        <v>317.911</v>
      </c>
      <c r="N15" s="25">
        <f t="shared" si="25"/>
        <v>378.19099999999992</v>
      </c>
      <c r="O15" s="25">
        <f t="shared" si="25"/>
        <v>425.29999999999995</v>
      </c>
      <c r="P15" s="25">
        <f t="shared" si="25"/>
        <v>302.291</v>
      </c>
      <c r="Q15" s="2">
        <f t="shared" si="25"/>
        <v>294.53499999999991</v>
      </c>
      <c r="R15" s="5">
        <f t="shared" si="25"/>
        <v>297.46800000000002</v>
      </c>
      <c r="S15" s="2">
        <f t="shared" si="25"/>
        <v>0</v>
      </c>
      <c r="T15" s="2"/>
      <c r="V15" s="2">
        <f t="shared" ref="V15:AC15" si="26">SUM(V13:V14)</f>
        <v>20.943999999999996</v>
      </c>
      <c r="W15" s="2">
        <f t="shared" si="26"/>
        <v>34.763999999999982</v>
      </c>
      <c r="X15" s="2">
        <f t="shared" si="26"/>
        <v>66.722999999999985</v>
      </c>
      <c r="Y15" s="2">
        <f t="shared" si="26"/>
        <v>89.348999999999975</v>
      </c>
      <c r="Z15" s="2">
        <f t="shared" si="26"/>
        <v>157.27200000000002</v>
      </c>
      <c r="AA15" s="2">
        <f t="shared" si="26"/>
        <v>298.43200000000002</v>
      </c>
      <c r="AB15" s="2">
        <f t="shared" si="26"/>
        <v>647.49099999999999</v>
      </c>
      <c r="AC15" s="2">
        <f t="shared" si="26"/>
        <v>906</v>
      </c>
      <c r="AD15" s="2">
        <f t="shared" ref="AD15:AP15" si="27">SUM(AD13:AD14)</f>
        <v>1148</v>
      </c>
      <c r="AE15" s="2">
        <f t="shared" si="27"/>
        <v>1438</v>
      </c>
      <c r="AF15" s="5">
        <f t="shared" si="27"/>
        <v>1368.4000000000005</v>
      </c>
      <c r="AG15" s="2">
        <f t="shared" si="27"/>
        <v>1469.6860000000008</v>
      </c>
      <c r="AH15" s="2">
        <f t="shared" si="27"/>
        <v>1579.6316800000011</v>
      </c>
      <c r="AI15" s="2">
        <f t="shared" si="27"/>
        <v>1697.799058000001</v>
      </c>
      <c r="AJ15" s="2">
        <f t="shared" si="27"/>
        <v>1824.7990245160015</v>
      </c>
      <c r="AK15" s="2">
        <f t="shared" si="27"/>
        <v>1961.2872346668419</v>
      </c>
      <c r="AL15" s="2">
        <f t="shared" si="27"/>
        <v>2115.4970281558421</v>
      </c>
      <c r="AM15" s="2">
        <f t="shared" si="27"/>
        <v>2273.7263531330127</v>
      </c>
      <c r="AN15" s="2">
        <f t="shared" si="27"/>
        <v>2443.760790619026</v>
      </c>
      <c r="AO15" s="2">
        <f t="shared" si="27"/>
        <v>2626.4731903704615</v>
      </c>
      <c r="AP15" s="2">
        <f t="shared" si="27"/>
        <v>2767.8989692115165</v>
      </c>
    </row>
    <row r="16" spans="1:42" x14ac:dyDescent="0.25">
      <c r="C16" s="1" t="s">
        <v>34</v>
      </c>
      <c r="D16" s="25">
        <v>-13.707000000000001</v>
      </c>
      <c r="E16" s="25">
        <v>-16.12</v>
      </c>
      <c r="F16" s="25">
        <v>-16.437000000000001</v>
      </c>
      <c r="G16" s="25">
        <v>-16.968</v>
      </c>
      <c r="H16" s="25">
        <v>-18.905000000000001</v>
      </c>
      <c r="I16" s="25">
        <v>-18.919</v>
      </c>
      <c r="J16" s="25">
        <v>-19.736999999999998</v>
      </c>
      <c r="K16" s="25">
        <v>-20.187999999999999</v>
      </c>
      <c r="L16" s="25">
        <v>-48.331000000000003</v>
      </c>
      <c r="M16" s="25">
        <v>-48.777999999999999</v>
      </c>
      <c r="N16" s="25">
        <v>-49.558999999999997</v>
      </c>
      <c r="O16" s="25">
        <v>-48.241</v>
      </c>
      <c r="P16" s="25">
        <v>-47.52</v>
      </c>
      <c r="Q16" s="2">
        <v>-46.186999999999998</v>
      </c>
      <c r="R16" s="5">
        <v>-45</v>
      </c>
      <c r="S16" s="2"/>
      <c r="T16" s="2"/>
      <c r="V16" s="2">
        <v>-1</v>
      </c>
      <c r="W16" s="2">
        <v>-2.9</v>
      </c>
      <c r="X16" s="2">
        <v>-4.5</v>
      </c>
      <c r="Y16" s="2">
        <v>-5.8</v>
      </c>
      <c r="Z16" s="2">
        <v>-7.5460000000000003</v>
      </c>
      <c r="AA16" s="2">
        <v>-14</v>
      </c>
      <c r="AB16" s="2">
        <v>-42</v>
      </c>
      <c r="AC16" s="2">
        <v>-63</v>
      </c>
      <c r="AD16" s="2">
        <v>-78</v>
      </c>
      <c r="AE16" s="2">
        <v>-195</v>
      </c>
      <c r="AF16" s="5">
        <f>AF15*-0.15</f>
        <v>-205.26000000000008</v>
      </c>
      <c r="AG16" s="2">
        <f t="shared" ref="AG16:AP16" si="28">AG15*-0.15</f>
        <v>-220.45290000000011</v>
      </c>
      <c r="AH16" s="2">
        <f t="shared" si="28"/>
        <v>-236.94475200000016</v>
      </c>
      <c r="AI16" s="2">
        <f t="shared" si="28"/>
        <v>-254.66985870000013</v>
      </c>
      <c r="AJ16" s="2">
        <f t="shared" si="28"/>
        <v>-273.71985367740024</v>
      </c>
      <c r="AK16" s="2">
        <f t="shared" si="28"/>
        <v>-294.19308520002625</v>
      </c>
      <c r="AL16" s="2">
        <f t="shared" si="28"/>
        <v>-317.32455422337631</v>
      </c>
      <c r="AM16" s="2">
        <f t="shared" si="28"/>
        <v>-341.05895296995192</v>
      </c>
      <c r="AN16" s="2">
        <f t="shared" si="28"/>
        <v>-366.5641185928539</v>
      </c>
      <c r="AO16" s="2">
        <f t="shared" si="28"/>
        <v>-393.97097855556922</v>
      </c>
      <c r="AP16" s="2">
        <f t="shared" si="28"/>
        <v>-415.18484538172748</v>
      </c>
    </row>
    <row r="17" spans="3:129" x14ac:dyDescent="0.25">
      <c r="C17" s="6" t="s">
        <v>35</v>
      </c>
      <c r="D17" s="27">
        <f t="shared" ref="D17:S17" si="29">SUM(D15:D16)</f>
        <v>197.72200000000001</v>
      </c>
      <c r="E17" s="27">
        <f t="shared" si="29"/>
        <v>200.91499999999999</v>
      </c>
      <c r="F17" s="27">
        <f t="shared" si="29"/>
        <v>221.26499999999999</v>
      </c>
      <c r="G17" s="27">
        <f t="shared" si="29"/>
        <v>223.50200000000004</v>
      </c>
      <c r="H17" s="27">
        <f t="shared" si="29"/>
        <v>251.14999999999995</v>
      </c>
      <c r="I17" s="27">
        <f t="shared" si="29"/>
        <v>264.08900000000006</v>
      </c>
      <c r="J17" s="27">
        <f t="shared" si="29"/>
        <v>272.71800000000002</v>
      </c>
      <c r="K17" s="27">
        <f t="shared" si="29"/>
        <v>282.94900000000007</v>
      </c>
      <c r="L17" s="27">
        <f t="shared" si="29"/>
        <v>269.10599999999994</v>
      </c>
      <c r="M17" s="27">
        <f t="shared" si="29"/>
        <v>269.13299999999998</v>
      </c>
      <c r="N17" s="27">
        <f t="shared" si="29"/>
        <v>328.63199999999995</v>
      </c>
      <c r="O17" s="27">
        <f t="shared" si="29"/>
        <v>377.05899999999997</v>
      </c>
      <c r="P17" s="27">
        <f t="shared" si="29"/>
        <v>254.77099999999999</v>
      </c>
      <c r="Q17" s="26">
        <f t="shared" si="29"/>
        <v>248.3479999999999</v>
      </c>
      <c r="R17" s="15">
        <f t="shared" si="29"/>
        <v>252.46800000000002</v>
      </c>
      <c r="S17" s="26">
        <f t="shared" si="29"/>
        <v>0</v>
      </c>
      <c r="T17" s="26"/>
      <c r="V17" s="26">
        <f t="shared" ref="V17:AC17" si="30">SUM(V15:V16)</f>
        <v>19.943999999999996</v>
      </c>
      <c r="W17" s="26">
        <f t="shared" si="30"/>
        <v>31.863999999999983</v>
      </c>
      <c r="X17" s="26">
        <f t="shared" si="30"/>
        <v>62.222999999999985</v>
      </c>
      <c r="Y17" s="26">
        <f t="shared" si="30"/>
        <v>83.548999999999978</v>
      </c>
      <c r="Z17" s="26">
        <f t="shared" si="30"/>
        <v>149.72600000000003</v>
      </c>
      <c r="AA17" s="26">
        <f t="shared" si="30"/>
        <v>284.43200000000002</v>
      </c>
      <c r="AB17" s="26">
        <f t="shared" si="30"/>
        <v>605.49099999999999</v>
      </c>
      <c r="AC17" s="26">
        <f t="shared" si="30"/>
        <v>843</v>
      </c>
      <c r="AD17" s="26">
        <f t="shared" ref="AD17:AP17" si="31">SUM(AD15:AD16)</f>
        <v>1070</v>
      </c>
      <c r="AE17" s="26">
        <f t="shared" si="31"/>
        <v>1243</v>
      </c>
      <c r="AF17" s="15">
        <f>SUM(AF15:AF16)</f>
        <v>1163.1400000000006</v>
      </c>
      <c r="AG17" s="26">
        <f t="shared" si="31"/>
        <v>1249.2331000000008</v>
      </c>
      <c r="AH17" s="26">
        <f t="shared" si="31"/>
        <v>1342.686928000001</v>
      </c>
      <c r="AI17" s="26">
        <f t="shared" si="31"/>
        <v>1443.1291993000009</v>
      </c>
      <c r="AJ17" s="26">
        <f t="shared" si="31"/>
        <v>1551.0791708386014</v>
      </c>
      <c r="AK17" s="26">
        <f t="shared" si="31"/>
        <v>1667.0941494668157</v>
      </c>
      <c r="AL17" s="26">
        <f t="shared" si="31"/>
        <v>1798.1724739324659</v>
      </c>
      <c r="AM17" s="26">
        <f t="shared" si="31"/>
        <v>1932.6674001630608</v>
      </c>
      <c r="AN17" s="26">
        <f t="shared" si="31"/>
        <v>2077.1966720261721</v>
      </c>
      <c r="AO17" s="26">
        <f t="shared" si="31"/>
        <v>2232.5022118148922</v>
      </c>
      <c r="AP17" s="26">
        <f t="shared" si="31"/>
        <v>2352.7141238297891</v>
      </c>
      <c r="AQ17" s="26">
        <f>AP17*(1+$AS$22)</f>
        <v>2329.186982591491</v>
      </c>
      <c r="AR17" s="26">
        <f t="shared" ref="AR17:BV17" si="32">AQ17*(1+$AS$22)</f>
        <v>2305.895112765576</v>
      </c>
      <c r="AS17" s="26">
        <f t="shared" si="32"/>
        <v>2282.8361616379202</v>
      </c>
      <c r="AT17" s="26">
        <f t="shared" si="32"/>
        <v>2260.0078000215408</v>
      </c>
      <c r="AU17" s="26">
        <f t="shared" si="32"/>
        <v>2237.4077220213253</v>
      </c>
      <c r="AV17" s="26">
        <f t="shared" si="32"/>
        <v>2215.0336448011121</v>
      </c>
      <c r="AW17" s="26">
        <f t="shared" si="32"/>
        <v>2192.8833083531008</v>
      </c>
      <c r="AX17" s="26">
        <f t="shared" si="32"/>
        <v>2170.9544752695697</v>
      </c>
      <c r="AY17" s="26">
        <f t="shared" si="32"/>
        <v>2149.2449305168739</v>
      </c>
      <c r="AZ17" s="26">
        <f t="shared" si="32"/>
        <v>2127.7524812117049</v>
      </c>
      <c r="BA17" s="26">
        <f t="shared" si="32"/>
        <v>2106.4749563995879</v>
      </c>
      <c r="BB17" s="26">
        <f t="shared" si="32"/>
        <v>2085.4102068355919</v>
      </c>
      <c r="BC17" s="26">
        <f t="shared" si="32"/>
        <v>2064.5561047672359</v>
      </c>
      <c r="BD17" s="26">
        <f t="shared" si="32"/>
        <v>2043.9105437195635</v>
      </c>
      <c r="BE17" s="26">
        <f t="shared" si="32"/>
        <v>2023.4714382823679</v>
      </c>
      <c r="BF17" s="26">
        <f t="shared" si="32"/>
        <v>2003.2367238995441</v>
      </c>
      <c r="BG17" s="26">
        <f t="shared" si="32"/>
        <v>1983.2043566605487</v>
      </c>
      <c r="BH17" s="26">
        <f t="shared" si="32"/>
        <v>1963.3723130939431</v>
      </c>
      <c r="BI17" s="26">
        <f t="shared" si="32"/>
        <v>1943.7385899630037</v>
      </c>
      <c r="BJ17" s="26">
        <f t="shared" si="32"/>
        <v>1924.3012040633737</v>
      </c>
      <c r="BK17" s="26">
        <f t="shared" si="32"/>
        <v>1905.0581920227398</v>
      </c>
      <c r="BL17" s="26">
        <f t="shared" si="32"/>
        <v>1886.0076101025124</v>
      </c>
      <c r="BM17" s="26">
        <f t="shared" si="32"/>
        <v>1867.1475340014872</v>
      </c>
      <c r="BN17" s="26">
        <f t="shared" si="32"/>
        <v>1848.4760586614723</v>
      </c>
      <c r="BO17" s="26">
        <f t="shared" si="32"/>
        <v>1829.9912980748575</v>
      </c>
      <c r="BP17" s="26">
        <f t="shared" si="32"/>
        <v>1811.6913850941089</v>
      </c>
      <c r="BQ17" s="26">
        <f t="shared" si="32"/>
        <v>1793.5744712431679</v>
      </c>
      <c r="BR17" s="26">
        <f t="shared" si="32"/>
        <v>1775.6387265307362</v>
      </c>
      <c r="BS17" s="26">
        <f t="shared" si="32"/>
        <v>1757.8823392654288</v>
      </c>
      <c r="BT17" s="26">
        <f t="shared" si="32"/>
        <v>1740.3035158727744</v>
      </c>
      <c r="BU17" s="26">
        <f t="shared" si="32"/>
        <v>1722.9004807140466</v>
      </c>
      <c r="BV17" s="26">
        <f t="shared" si="32"/>
        <v>1705.6714759069062</v>
      </c>
      <c r="BW17" s="26">
        <f t="shared" ref="BW17:DB17" si="33">BV17*(1+$AS$22)</f>
        <v>1688.614761147837</v>
      </c>
      <c r="BX17" s="26">
        <f t="shared" si="33"/>
        <v>1671.7286135363586</v>
      </c>
      <c r="BY17" s="26">
        <f t="shared" si="33"/>
        <v>1655.011327400995</v>
      </c>
      <c r="BZ17" s="26">
        <f t="shared" si="33"/>
        <v>1638.4612141269849</v>
      </c>
      <c r="CA17" s="26">
        <f t="shared" si="33"/>
        <v>1622.0766019857151</v>
      </c>
      <c r="CB17" s="26">
        <f t="shared" si="33"/>
        <v>1605.855835965858</v>
      </c>
      <c r="CC17" s="26">
        <f t="shared" si="33"/>
        <v>1589.7972776061995</v>
      </c>
      <c r="CD17" s="26">
        <f t="shared" si="33"/>
        <v>1573.8993048301375</v>
      </c>
      <c r="CE17" s="26">
        <f t="shared" si="33"/>
        <v>1558.1603117818361</v>
      </c>
      <c r="CF17" s="26">
        <f t="shared" si="33"/>
        <v>1542.5787086640178</v>
      </c>
      <c r="CG17" s="26">
        <f t="shared" si="33"/>
        <v>1527.1529215773776</v>
      </c>
      <c r="CH17" s="26">
        <f t="shared" si="33"/>
        <v>1511.8813923616037</v>
      </c>
      <c r="CI17" s="26">
        <f t="shared" si="33"/>
        <v>1496.7625784379877</v>
      </c>
      <c r="CJ17" s="26">
        <f t="shared" si="33"/>
        <v>1481.7949526536079</v>
      </c>
      <c r="CK17" s="26">
        <f t="shared" si="33"/>
        <v>1466.9770031270718</v>
      </c>
      <c r="CL17" s="26">
        <f t="shared" si="33"/>
        <v>1452.3072330958012</v>
      </c>
      <c r="CM17" s="26">
        <f t="shared" si="33"/>
        <v>1437.7841607648431</v>
      </c>
      <c r="CN17" s="26">
        <f t="shared" si="33"/>
        <v>1423.4063191571947</v>
      </c>
      <c r="CO17" s="26">
        <f t="shared" si="33"/>
        <v>1409.1722559656228</v>
      </c>
      <c r="CP17" s="26">
        <f t="shared" si="33"/>
        <v>1395.0805334059664</v>
      </c>
      <c r="CQ17" s="26">
        <f t="shared" si="33"/>
        <v>1381.1297280719068</v>
      </c>
      <c r="CR17" s="26">
        <f t="shared" si="33"/>
        <v>1367.3184307911877</v>
      </c>
      <c r="CS17" s="26">
        <f t="shared" si="33"/>
        <v>1353.6452464832757</v>
      </c>
      <c r="CT17" s="26">
        <f t="shared" si="33"/>
        <v>1340.1087940184429</v>
      </c>
      <c r="CU17" s="26">
        <f t="shared" si="33"/>
        <v>1326.7077060782585</v>
      </c>
      <c r="CV17" s="26">
        <f t="shared" si="33"/>
        <v>1313.4406290174759</v>
      </c>
      <c r="CW17" s="26">
        <f t="shared" si="33"/>
        <v>1300.306222727301</v>
      </c>
      <c r="CX17" s="26">
        <f t="shared" si="33"/>
        <v>1287.3031605000281</v>
      </c>
      <c r="CY17" s="26">
        <f t="shared" si="33"/>
        <v>1274.4301288950278</v>
      </c>
      <c r="CZ17" s="26">
        <f t="shared" si="33"/>
        <v>1261.6858276060775</v>
      </c>
      <c r="DA17" s="26">
        <f t="shared" si="33"/>
        <v>1249.0689693300167</v>
      </c>
      <c r="DB17" s="26">
        <f t="shared" si="33"/>
        <v>1236.5782796367164</v>
      </c>
      <c r="DC17" s="26">
        <f t="shared" ref="DC17:DY17" si="34">DB17*(1+$AS$22)</f>
        <v>1224.2124968403491</v>
      </c>
      <c r="DD17" s="26">
        <f t="shared" si="34"/>
        <v>1211.9703718719456</v>
      </c>
      <c r="DE17" s="26">
        <f t="shared" si="34"/>
        <v>1199.8506681532263</v>
      </c>
      <c r="DF17" s="26">
        <f t="shared" si="34"/>
        <v>1187.852161471694</v>
      </c>
      <c r="DG17" s="26">
        <f t="shared" si="34"/>
        <v>1175.9736398569771</v>
      </c>
      <c r="DH17" s="26">
        <f t="shared" si="34"/>
        <v>1164.2139034584072</v>
      </c>
      <c r="DI17" s="26">
        <f t="shared" si="34"/>
        <v>1152.5717644238232</v>
      </c>
      <c r="DJ17" s="26">
        <f t="shared" si="34"/>
        <v>1141.0460467795849</v>
      </c>
      <c r="DK17" s="26">
        <f t="shared" si="34"/>
        <v>1129.635586311789</v>
      </c>
      <c r="DL17" s="26">
        <f t="shared" si="34"/>
        <v>1118.3392304486711</v>
      </c>
      <c r="DM17" s="26">
        <f t="shared" si="34"/>
        <v>1107.1558381441844</v>
      </c>
      <c r="DN17" s="26">
        <f t="shared" si="34"/>
        <v>1096.0842797627424</v>
      </c>
      <c r="DO17" s="26">
        <f t="shared" si="34"/>
        <v>1085.1234369651149</v>
      </c>
      <c r="DP17" s="26">
        <f t="shared" si="34"/>
        <v>1074.2722025954638</v>
      </c>
      <c r="DQ17" s="26">
        <f t="shared" si="34"/>
        <v>1063.5294805695091</v>
      </c>
      <c r="DR17" s="26">
        <f t="shared" si="34"/>
        <v>1052.894185763814</v>
      </c>
      <c r="DS17" s="26">
        <f t="shared" si="34"/>
        <v>1042.3652439061759</v>
      </c>
      <c r="DT17" s="26">
        <f t="shared" si="34"/>
        <v>1031.9415914671142</v>
      </c>
      <c r="DU17" s="26">
        <f t="shared" si="34"/>
        <v>1021.6221755524431</v>
      </c>
      <c r="DV17" s="26">
        <f t="shared" si="34"/>
        <v>1011.4059537969187</v>
      </c>
      <c r="DW17" s="26">
        <f t="shared" si="34"/>
        <v>1001.2918942589495</v>
      </c>
      <c r="DX17" s="26">
        <f t="shared" si="34"/>
        <v>991.27897531635995</v>
      </c>
      <c r="DY17" s="26">
        <f t="shared" si="34"/>
        <v>981.36618556319638</v>
      </c>
    </row>
    <row r="18" spans="3:129" x14ac:dyDescent="0.25">
      <c r="C18" s="1" t="s">
        <v>96</v>
      </c>
      <c r="D18" s="16">
        <f t="shared" ref="D18:P18" si="35">(D17*$B$11)/D19</f>
        <v>10.207791318280147</v>
      </c>
      <c r="E18" s="16">
        <f t="shared" si="35"/>
        <v>10.372636290914796</v>
      </c>
      <c r="F18" s="16">
        <f t="shared" si="35"/>
        <v>11.436586575611997</v>
      </c>
      <c r="G18" s="16">
        <f t="shared" si="35"/>
        <v>11.552211026698453</v>
      </c>
      <c r="H18" s="16">
        <f t="shared" si="35"/>
        <v>12.97209613828268</v>
      </c>
      <c r="I18" s="16">
        <f t="shared" si="35"/>
        <v>13.621172212044808</v>
      </c>
      <c r="J18" s="16">
        <f t="shared" si="35"/>
        <v>14.059117782502824</v>
      </c>
      <c r="K18" s="16">
        <f t="shared" si="35"/>
        <v>14.605521841707613</v>
      </c>
      <c r="L18" s="16">
        <f t="shared" si="35"/>
        <v>14.033057997893438</v>
      </c>
      <c r="M18" s="16">
        <f t="shared" si="35"/>
        <v>14.053219297385768</v>
      </c>
      <c r="N18" s="16">
        <f t="shared" si="35"/>
        <v>17.30145862127895</v>
      </c>
      <c r="O18" s="16">
        <f t="shared" si="35"/>
        <v>20.1159230247127</v>
      </c>
      <c r="P18" s="16">
        <f t="shared" si="35"/>
        <v>13.654833169667851</v>
      </c>
      <c r="Q18" s="16">
        <f>(Q17*$B$11)/Q19</f>
        <v>13.419825793197841</v>
      </c>
      <c r="R18" s="18">
        <f t="shared" ref="R18" si="36">(R17*$B$11)/R19</f>
        <v>13.741398634189027</v>
      </c>
      <c r="S18" s="16" t="e">
        <f t="shared" ref="S18" si="37">(S17*$B$11)/S19</f>
        <v>#DIV/0!</v>
      </c>
      <c r="T18" s="16"/>
      <c r="V18" s="16">
        <f t="shared" ref="V18:AA18" si="38">(V17*$B$11)/V19</f>
        <v>6.1101077700686863</v>
      </c>
      <c r="W18" s="16">
        <f t="shared" si="38"/>
        <v>9.7619571793756794</v>
      </c>
      <c r="X18" s="16">
        <f t="shared" si="38"/>
        <v>19.062837734505806</v>
      </c>
      <c r="Y18" s="16">
        <f t="shared" si="38"/>
        <v>25.596339454546161</v>
      </c>
      <c r="Z18" s="16">
        <f t="shared" si="38"/>
        <v>9.1291641202683653</v>
      </c>
      <c r="AA18" s="16">
        <f t="shared" si="38"/>
        <v>17.041679834189388</v>
      </c>
      <c r="AB18" s="16">
        <f t="shared" ref="AB18" si="39">(AB17*$B$11)/AB19</f>
        <v>31.221599217139776</v>
      </c>
      <c r="AC18" s="16">
        <f t="shared" ref="AC18:AP18" si="40">(AC17*$B$11)/AC19</f>
        <v>43.559660989133356</v>
      </c>
      <c r="AD18" s="16">
        <f t="shared" si="40"/>
        <v>55.211843198365315</v>
      </c>
      <c r="AE18" s="16">
        <f>(AE17*$B$11)/AE19</f>
        <v>66.620445929470534</v>
      </c>
      <c r="AF18" s="18">
        <f>(AF17*$B$11)/AF19</f>
        <v>62.340229668869192</v>
      </c>
      <c r="AG18" s="16">
        <f t="shared" si="40"/>
        <v>66.954518255715954</v>
      </c>
      <c r="AH18" s="16">
        <f t="shared" si="40"/>
        <v>71.963316079670932</v>
      </c>
      <c r="AI18" s="16">
        <f t="shared" si="40"/>
        <v>77.346669984879995</v>
      </c>
      <c r="AJ18" s="16">
        <f t="shared" si="40"/>
        <v>83.13241032436126</v>
      </c>
      <c r="AK18" s="16">
        <f t="shared" si="40"/>
        <v>89.350406793154207</v>
      </c>
      <c r="AL18" s="16">
        <f t="shared" si="40"/>
        <v>96.375745833853685</v>
      </c>
      <c r="AM18" s="16">
        <f t="shared" si="40"/>
        <v>103.5842027612338</v>
      </c>
      <c r="AN18" s="16">
        <f t="shared" si="40"/>
        <v>111.33046546548333</v>
      </c>
      <c r="AO18" s="16">
        <f t="shared" si="40"/>
        <v>119.6542983826528</v>
      </c>
      <c r="AP18" s="16">
        <f t="shared" si="40"/>
        <v>126.09723577964934</v>
      </c>
    </row>
    <row r="19" spans="3:129" x14ac:dyDescent="0.25">
      <c r="C19" s="1" t="s">
        <v>4</v>
      </c>
      <c r="D19" s="16">
        <v>213.45425</v>
      </c>
      <c r="E19" s="16">
        <v>213.45425</v>
      </c>
      <c r="F19" s="16">
        <v>213.20525000000001</v>
      </c>
      <c r="G19" s="16">
        <v>213.20525000000001</v>
      </c>
      <c r="H19" s="16">
        <v>213.35588100000001</v>
      </c>
      <c r="I19" s="16">
        <v>213.65714600000001</v>
      </c>
      <c r="J19" s="16">
        <v>213.76535899999999</v>
      </c>
      <c r="K19" s="16">
        <v>213.48761200000001</v>
      </c>
      <c r="L19" s="16">
        <v>211.32586499999999</v>
      </c>
      <c r="M19" s="16">
        <v>211.04386099999999</v>
      </c>
      <c r="N19" s="16">
        <v>209.31903600000001</v>
      </c>
      <c r="O19" s="16">
        <v>206.562243</v>
      </c>
      <c r="P19" s="16">
        <v>205.61045200000001</v>
      </c>
      <c r="Q19" s="16">
        <v>203.93669800000001</v>
      </c>
      <c r="R19" s="18">
        <v>202.46828099999999</v>
      </c>
      <c r="S19" s="16"/>
      <c r="T19" s="16"/>
      <c r="V19" s="16">
        <v>35.970376999999999</v>
      </c>
      <c r="W19" s="16">
        <v>35.970376999999999</v>
      </c>
      <c r="X19" s="16">
        <v>35.970376999999999</v>
      </c>
      <c r="Y19" s="16">
        <v>35.970376999999999</v>
      </c>
      <c r="Z19" s="16">
        <v>180.73730499999999</v>
      </c>
      <c r="AA19" s="16">
        <v>183.92791500000001</v>
      </c>
      <c r="AB19" s="16">
        <v>213.7145754</v>
      </c>
      <c r="AC19" s="16">
        <v>213.26750000000001</v>
      </c>
      <c r="AD19" s="16">
        <v>213.566498</v>
      </c>
      <c r="AE19" s="16">
        <v>205.61045200000001</v>
      </c>
      <c r="AF19" s="18">
        <v>205.61045200000001</v>
      </c>
      <c r="AG19" s="16">
        <v>205.61045200000001</v>
      </c>
      <c r="AH19" s="16">
        <v>205.61045200000001</v>
      </c>
      <c r="AI19" s="16">
        <v>205.61045200000001</v>
      </c>
      <c r="AJ19" s="16">
        <v>205.61045200000001</v>
      </c>
      <c r="AK19" s="16">
        <v>205.61045200000001</v>
      </c>
      <c r="AL19" s="16">
        <v>205.61045200000001</v>
      </c>
      <c r="AM19" s="16">
        <v>205.61045200000001</v>
      </c>
      <c r="AN19" s="16">
        <v>205.61045200000001</v>
      </c>
      <c r="AO19" s="16">
        <v>205.61045200000001</v>
      </c>
      <c r="AP19" s="16">
        <v>205.61045200000001</v>
      </c>
    </row>
    <row r="21" spans="3:129" x14ac:dyDescent="0.25">
      <c r="O21" s="25"/>
      <c r="AR21" s="1" t="s">
        <v>90</v>
      </c>
      <c r="AS21" s="21">
        <v>0.1</v>
      </c>
    </row>
    <row r="22" spans="3:129" x14ac:dyDescent="0.25">
      <c r="Q22" s="17"/>
      <c r="R22" s="65"/>
      <c r="S22" s="17"/>
      <c r="T22" s="17"/>
      <c r="U22" s="6"/>
      <c r="V22" s="6"/>
      <c r="W22" s="6"/>
      <c r="X22" s="6"/>
      <c r="Y22" s="6"/>
      <c r="Z22" s="6"/>
      <c r="AA22" s="6"/>
      <c r="AB22" s="6"/>
      <c r="AR22" s="1" t="s">
        <v>91</v>
      </c>
      <c r="AS22" s="21">
        <v>-0.01</v>
      </c>
    </row>
    <row r="23" spans="3:129" x14ac:dyDescent="0.25">
      <c r="C23" s="6" t="s">
        <v>25</v>
      </c>
      <c r="D23" s="33"/>
      <c r="E23" s="33"/>
      <c r="F23" s="33"/>
      <c r="G23" s="33"/>
      <c r="H23" s="33">
        <f t="shared" ref="H23:M23" si="41">(H7-D7)/D7</f>
        <v>0.3144859241126069</v>
      </c>
      <c r="I23" s="33">
        <f t="shared" si="41"/>
        <v>0.28219476744186062</v>
      </c>
      <c r="J23" s="33">
        <f t="shared" si="41"/>
        <v>0.19577278731836201</v>
      </c>
      <c r="K23" s="33">
        <f t="shared" si="41"/>
        <v>0.16668302738784729</v>
      </c>
      <c r="L23" s="33">
        <f t="shared" si="41"/>
        <v>0.1672028567836974</v>
      </c>
      <c r="M23" s="33">
        <f t="shared" si="41"/>
        <v>0.15263844017457345</v>
      </c>
      <c r="N23" s="33">
        <f>(N7-J7)/J7</f>
        <v>0.27938577110030915</v>
      </c>
      <c r="O23" s="33">
        <f>(O7-K7)/K7</f>
        <v>0.31511989903239362</v>
      </c>
      <c r="P23" s="33">
        <f>(P7-L7)/L7</f>
        <v>3.9090546469884371E-2</v>
      </c>
      <c r="Q23" s="33">
        <f t="shared" ref="Q23:S23" si="42">(Q7-M7)/M7</f>
        <v>3.127458693941762E-2</v>
      </c>
      <c r="R23" s="34">
        <f>(R7-N7)/N7</f>
        <v>-0.12408254900267675</v>
      </c>
      <c r="S23" s="33">
        <f t="shared" si="42"/>
        <v>-1</v>
      </c>
      <c r="W23" s="19">
        <f t="shared" ref="W23" si="43">(W7-V7)/V7</f>
        <v>0.51164555636972686</v>
      </c>
      <c r="X23" s="19">
        <f t="shared" ref="X23" si="44">(X7-W7)/W7</f>
        <v>0.54467392621574362</v>
      </c>
      <c r="Y23" s="19">
        <f t="shared" ref="Y23" si="45">(Y7-X7)/X7</f>
        <v>0.37564023536004493</v>
      </c>
      <c r="Z23" s="19">
        <f t="shared" ref="Z23" si="46">(Z7-Y7)/Y7</f>
        <v>0.48992801945552239</v>
      </c>
      <c r="AA23" s="19">
        <f t="shared" ref="AA23" si="47">(AA7-Z7)/Z7</f>
        <v>0.53333132833176566</v>
      </c>
      <c r="AB23" s="19">
        <f t="shared" ref="AB23" si="48">(AB7-AA7)/AA7</f>
        <v>0.90574320770159378</v>
      </c>
      <c r="AC23" s="19">
        <f t="shared" ref="AC23" si="49">(AC7-AB7)/AB7</f>
        <v>0.3623047651661665</v>
      </c>
      <c r="AD23" s="19">
        <f t="shared" ref="AD23:AP23" si="50">(AD7-AC7)/AC7</f>
        <v>0.23489010989010989</v>
      </c>
      <c r="AE23" s="19">
        <f t="shared" si="50"/>
        <v>0.23136818687430477</v>
      </c>
      <c r="AF23" s="20">
        <f>(AF7-AE7)/AE7</f>
        <v>3.2999096657633425E-2</v>
      </c>
      <c r="AG23" s="19">
        <f t="shared" si="50"/>
        <v>7.723925039133224E-2</v>
      </c>
      <c r="AH23" s="19">
        <f t="shared" si="50"/>
        <v>7.7283431155962104E-2</v>
      </c>
      <c r="AI23" s="19">
        <f t="shared" si="50"/>
        <v>7.7327014515028297E-2</v>
      </c>
      <c r="AJ23" s="19">
        <f t="shared" si="50"/>
        <v>7.7370005044062551E-2</v>
      </c>
      <c r="AK23" s="19">
        <f t="shared" si="50"/>
        <v>7.7412407399276129E-2</v>
      </c>
      <c r="AL23" s="19">
        <f t="shared" si="50"/>
        <v>7.7454226313034433E-2</v>
      </c>
      <c r="AM23" s="19">
        <f t="shared" si="50"/>
        <v>7.7495466589408979E-2</v>
      </c>
      <c r="AN23" s="19">
        <f t="shared" si="50"/>
        <v>7.753613309981737E-2</v>
      </c>
      <c r="AO23" s="19">
        <f t="shared" si="50"/>
        <v>7.7576230778748784E-2</v>
      </c>
      <c r="AP23" s="19">
        <f t="shared" si="50"/>
        <v>7.7615764619576103E-2</v>
      </c>
      <c r="AR23" s="1" t="s">
        <v>94</v>
      </c>
      <c r="AS23" s="3">
        <f>NPV(AS21,AF17:DY17)</f>
        <v>17799.765367123691</v>
      </c>
    </row>
    <row r="24" spans="3:129" x14ac:dyDescent="0.25">
      <c r="C24" s="1" t="s">
        <v>86</v>
      </c>
      <c r="D24" s="31"/>
      <c r="E24" s="31"/>
      <c r="F24" s="31"/>
      <c r="G24" s="31"/>
      <c r="H24" s="31">
        <f t="shared" ref="H24:P25" si="51">(H4-D4)/D4</f>
        <v>0.36145179584120979</v>
      </c>
      <c r="I24" s="31">
        <f t="shared" si="51"/>
        <v>0.33500897666068225</v>
      </c>
      <c r="J24" s="31">
        <f t="shared" si="51"/>
        <v>0.24291237113402075</v>
      </c>
      <c r="K24" s="31">
        <f t="shared" si="51"/>
        <v>0.21093784986878528</v>
      </c>
      <c r="L24" s="31">
        <f t="shared" si="51"/>
        <v>0.19770955057427864</v>
      </c>
      <c r="M24" s="31">
        <f t="shared" si="51"/>
        <v>0.17832167832167833</v>
      </c>
      <c r="N24" s="31">
        <f t="shared" si="51"/>
        <v>0.15837221358216683</v>
      </c>
      <c r="O24" s="31">
        <f t="shared" si="51"/>
        <v>0.13264299802761328</v>
      </c>
      <c r="P24" s="31">
        <f t="shared" si="51"/>
        <v>4.0343148620449749E-2</v>
      </c>
      <c r="Q24" s="31">
        <f t="shared" ref="Q24:Q25" si="52">(Q4-M4)/M4</f>
        <v>3.5608308605341164E-2</v>
      </c>
      <c r="R24" s="32">
        <f t="shared" ref="R24:R25" si="53">(R4-N4)/N4</f>
        <v>-3.4012083240098433E-2</v>
      </c>
      <c r="S24" s="31">
        <f t="shared" ref="S24:S25" si="54">(S4-O4)/O4</f>
        <v>-1</v>
      </c>
      <c r="Z24" s="10"/>
      <c r="AA24" s="10">
        <f t="shared" ref="AA24:AC24" si="55">(AA4-Z4)/Z4</f>
        <v>0.48487641070095461</v>
      </c>
      <c r="AB24" s="10">
        <f t="shared" si="55"/>
        <v>0.5455580110497239</v>
      </c>
      <c r="AC24" s="10">
        <f t="shared" si="55"/>
        <v>0.41556983835336331</v>
      </c>
      <c r="AD24" s="10">
        <f t="shared" ref="AD24:AP24" si="56">(AD4-AC4)/AC4</f>
        <v>0.28198653198653201</v>
      </c>
      <c r="AE24" s="10">
        <f t="shared" si="56"/>
        <v>0.16611950098489822</v>
      </c>
      <c r="AF24" s="11">
        <f t="shared" si="56"/>
        <v>0.11000000000000007</v>
      </c>
      <c r="AG24" s="10">
        <f t="shared" si="56"/>
        <v>8.0000000000000168E-2</v>
      </c>
      <c r="AH24" s="10">
        <f t="shared" si="56"/>
        <v>8.0000000000000154E-2</v>
      </c>
      <c r="AI24" s="10">
        <f t="shared" si="56"/>
        <v>8.0000000000000085E-2</v>
      </c>
      <c r="AJ24" s="10">
        <f t="shared" si="56"/>
        <v>8.0000000000000113E-2</v>
      </c>
      <c r="AK24" s="10">
        <f t="shared" si="56"/>
        <v>8.0000000000000127E-2</v>
      </c>
      <c r="AL24" s="10">
        <f t="shared" si="56"/>
        <v>8.0000000000000057E-2</v>
      </c>
      <c r="AM24" s="10">
        <f t="shared" si="56"/>
        <v>8.000000000000014E-2</v>
      </c>
      <c r="AN24" s="10">
        <f t="shared" si="56"/>
        <v>8.0000000000000071E-2</v>
      </c>
      <c r="AO24" s="10">
        <f t="shared" si="56"/>
        <v>8.0000000000000127E-2</v>
      </c>
      <c r="AP24" s="10">
        <f t="shared" si="56"/>
        <v>8.0000000000000029E-2</v>
      </c>
      <c r="AR24" s="22" t="s">
        <v>92</v>
      </c>
      <c r="AS24" s="23">
        <f>AS23*B11</f>
        <v>196153.41434570306</v>
      </c>
    </row>
    <row r="25" spans="3:129" x14ac:dyDescent="0.25">
      <c r="C25" s="1" t="s">
        <v>87</v>
      </c>
      <c r="D25" s="31"/>
      <c r="E25" s="31"/>
      <c r="F25" s="31"/>
      <c r="G25" s="31"/>
      <c r="H25" s="31">
        <f t="shared" si="51"/>
        <v>0.11508828250401287</v>
      </c>
      <c r="I25" s="35">
        <f t="shared" si="51"/>
        <v>5.7633587786259627E-2</v>
      </c>
      <c r="J25" s="35">
        <f t="shared" si="51"/>
        <v>-1.9089574155653412E-2</v>
      </c>
      <c r="K25" s="35">
        <f t="shared" si="51"/>
        <v>-3.7679401100188935E-2</v>
      </c>
      <c r="L25" s="35">
        <f t="shared" si="51"/>
        <v>9.0686627321145165E-3</v>
      </c>
      <c r="M25" s="35">
        <f t="shared" si="51"/>
        <v>1.4796102490075661E-2</v>
      </c>
      <c r="N25" s="35">
        <f t="shared" si="51"/>
        <v>8.5329341317365318E-2</v>
      </c>
      <c r="O25" s="35">
        <f t="shared" si="51"/>
        <v>6.5902578796561723E-2</v>
      </c>
      <c r="P25" s="35">
        <f t="shared" si="51"/>
        <v>3.138373751783171E-2</v>
      </c>
      <c r="Q25" s="35">
        <f t="shared" si="52"/>
        <v>4.2674253200568587E-3</v>
      </c>
      <c r="R25" s="70">
        <f t="shared" si="53"/>
        <v>4.1379310344827586E-2</v>
      </c>
      <c r="S25" s="35">
        <f t="shared" si="54"/>
        <v>-1</v>
      </c>
      <c r="T25" s="22"/>
      <c r="U25" s="22"/>
      <c r="V25" s="22"/>
      <c r="W25" s="22"/>
      <c r="X25" s="22"/>
      <c r="Y25" s="22"/>
      <c r="Z25" s="29"/>
      <c r="AA25" s="29">
        <f>(AA5-Z5)/Z5</f>
        <v>273.13846153846151</v>
      </c>
      <c r="AB25" s="29">
        <f>(AB5-AA5)/AA5</f>
        <v>11.881699309725574</v>
      </c>
      <c r="AC25" s="29">
        <f t="shared" ref="AC25" si="57">(AC5-AB5)/AB5</f>
        <v>0.167557582807279</v>
      </c>
      <c r="AD25" s="29">
        <f t="shared" ref="AD25:AP25" si="58">(AD5-AC5)/AC5</f>
        <v>2.6119402985074626E-2</v>
      </c>
      <c r="AE25" s="29">
        <f t="shared" si="58"/>
        <v>4.363636363636364E-2</v>
      </c>
      <c r="AF25" s="30">
        <f t="shared" si="58"/>
        <v>0.10000000000000016</v>
      </c>
      <c r="AG25" s="29">
        <f t="shared" si="58"/>
        <v>6.0000000000000012E-2</v>
      </c>
      <c r="AH25" s="29">
        <f t="shared" si="58"/>
        <v>6.0000000000000067E-2</v>
      </c>
      <c r="AI25" s="29">
        <f t="shared" si="58"/>
        <v>6.0000000000000116E-2</v>
      </c>
      <c r="AJ25" s="29">
        <f t="shared" si="58"/>
        <v>6.0000000000000081E-2</v>
      </c>
      <c r="AK25" s="29">
        <f t="shared" si="58"/>
        <v>6.0000000000000019E-2</v>
      </c>
      <c r="AL25" s="29">
        <f t="shared" si="58"/>
        <v>5.9999999999999984E-2</v>
      </c>
      <c r="AM25" s="29">
        <f t="shared" si="58"/>
        <v>0.06</v>
      </c>
      <c r="AN25" s="29">
        <f t="shared" si="58"/>
        <v>6.0000000000000095E-2</v>
      </c>
      <c r="AO25" s="29">
        <f t="shared" si="58"/>
        <v>6.0000000000000039E-2</v>
      </c>
      <c r="AP25" s="29">
        <f t="shared" si="58"/>
        <v>6.0000000000000109E-2</v>
      </c>
      <c r="AR25" s="1" t="s">
        <v>93</v>
      </c>
      <c r="AS25" s="59">
        <f>AS24/AP19</f>
        <v>954.00507336904764</v>
      </c>
    </row>
    <row r="26" spans="3:129" x14ac:dyDescent="0.25">
      <c r="C26" s="36" t="s">
        <v>104</v>
      </c>
      <c r="D26" s="37">
        <f t="shared" ref="D26:O26" si="59">D10/D7</f>
        <v>0.7029100367197062</v>
      </c>
      <c r="E26" s="37">
        <f t="shared" si="59"/>
        <v>0.69261627906976753</v>
      </c>
      <c r="F26" s="37">
        <f t="shared" si="59"/>
        <v>0.68951915455746371</v>
      </c>
      <c r="G26" s="37">
        <f t="shared" si="59"/>
        <v>0.68599440463335615</v>
      </c>
      <c r="H26" s="37">
        <f t="shared" si="59"/>
        <v>0.69873409470778025</v>
      </c>
      <c r="I26" s="33">
        <f t="shared" si="59"/>
        <v>0.70666666666666667</v>
      </c>
      <c r="J26" s="33">
        <f t="shared" si="59"/>
        <v>0.7038378258948299</v>
      </c>
      <c r="K26" s="33">
        <f t="shared" si="59"/>
        <v>0.70898822044594023</v>
      </c>
      <c r="L26" s="33">
        <f t="shared" si="59"/>
        <v>0.68953928998803349</v>
      </c>
      <c r="M26" s="33">
        <f t="shared" si="59"/>
        <v>0.68008851298190398</v>
      </c>
      <c r="N26" s="33">
        <f t="shared" si="59"/>
        <v>0.71717122873672379</v>
      </c>
      <c r="O26" s="33">
        <f t="shared" si="59"/>
        <v>0.72762984478765458</v>
      </c>
      <c r="P26" s="33">
        <f t="shared" ref="P26:S26" si="60">P10/P7</f>
        <v>0.65649136276391551</v>
      </c>
      <c r="Q26" s="33">
        <f t="shared" si="60"/>
        <v>0.65858859431623107</v>
      </c>
      <c r="R26" s="34">
        <f t="shared" si="60"/>
        <v>0.66436119873817034</v>
      </c>
      <c r="S26" s="33" t="e">
        <f t="shared" si="60"/>
        <v>#DIV/0!</v>
      </c>
      <c r="T26" s="6"/>
      <c r="U26" s="6"/>
      <c r="V26" s="33">
        <f t="shared" ref="V26:Y26" si="61">V10/V7</f>
        <v>0.35444363027321257</v>
      </c>
      <c r="W26" s="33">
        <f t="shared" si="61"/>
        <v>0.38699513529421942</v>
      </c>
      <c r="X26" s="33">
        <f t="shared" si="61"/>
        <v>0.452233118520594</v>
      </c>
      <c r="Y26" s="33">
        <f t="shared" si="61"/>
        <v>0.43891430363813377</v>
      </c>
      <c r="Z26" s="33">
        <f t="shared" ref="Z26:AB26" si="62">Z10/Z7</f>
        <v>0.50019685469935926</v>
      </c>
      <c r="AA26" s="33">
        <f t="shared" si="62"/>
        <v>0.59180947863749267</v>
      </c>
      <c r="AB26" s="33">
        <f t="shared" si="62"/>
        <v>0.68737444761629418</v>
      </c>
      <c r="AC26" s="33">
        <f t="shared" ref="AC26:AP26" si="63">AC10/AC7</f>
        <v>0.69162087912087911</v>
      </c>
      <c r="AD26" s="33">
        <f t="shared" si="63"/>
        <v>0.70467185761957729</v>
      </c>
      <c r="AE26" s="33">
        <f t="shared" si="63"/>
        <v>0.70505871725383917</v>
      </c>
      <c r="AF26" s="34">
        <f t="shared" si="63"/>
        <v>0.66662002745883364</v>
      </c>
      <c r="AG26" s="33">
        <f t="shared" si="63"/>
        <v>0.66880982946537404</v>
      </c>
      <c r="AH26" s="33">
        <f t="shared" si="63"/>
        <v>0.66896370267965477</v>
      </c>
      <c r="AI26" s="33">
        <f t="shared" si="63"/>
        <v>0.66912466328747622</v>
      </c>
      <c r="AJ26" s="33">
        <f t="shared" si="63"/>
        <v>0.66929253932552335</v>
      </c>
      <c r="AK26" s="33">
        <f t="shared" si="63"/>
        <v>0.66946716032959741</v>
      </c>
      <c r="AL26" s="33">
        <f t="shared" si="63"/>
        <v>0.67175390860216599</v>
      </c>
      <c r="AM26" s="33">
        <f t="shared" si="63"/>
        <v>0.67194640853814824</v>
      </c>
      <c r="AN26" s="33">
        <f t="shared" si="63"/>
        <v>0.67214508307004994</v>
      </c>
      <c r="AO26" s="33">
        <f t="shared" si="63"/>
        <v>0.67234976880326913</v>
      </c>
      <c r="AP26" s="33">
        <f t="shared" si="63"/>
        <v>0.70529353930454197</v>
      </c>
      <c r="AS26" s="16"/>
    </row>
    <row r="27" spans="3:129" x14ac:dyDescent="0.25">
      <c r="C27" s="1" t="s">
        <v>105</v>
      </c>
      <c r="D27" s="31">
        <f t="shared" ref="D27:O27" si="64">D13/D7</f>
        <v>0.63377600979192161</v>
      </c>
      <c r="E27" s="31">
        <f t="shared" si="64"/>
        <v>0.62390116279069763</v>
      </c>
      <c r="F27" s="31">
        <f t="shared" si="64"/>
        <v>0.62446763540290617</v>
      </c>
      <c r="G27" s="31">
        <f t="shared" si="64"/>
        <v>0.61353686070481994</v>
      </c>
      <c r="H27" s="31">
        <f t="shared" si="64"/>
        <v>0.63197493330601939</v>
      </c>
      <c r="I27" s="31">
        <f t="shared" si="64"/>
        <v>0.63824746358329087</v>
      </c>
      <c r="J27" s="31">
        <f t="shared" si="64"/>
        <v>0.63432390631904556</v>
      </c>
      <c r="K27" s="31">
        <f t="shared" si="64"/>
        <v>0.63670172486327303</v>
      </c>
      <c r="L27" s="31">
        <f t="shared" si="64"/>
        <v>0.62138013562026317</v>
      </c>
      <c r="M27" s="31">
        <f t="shared" si="64"/>
        <v>0.61195712037765537</v>
      </c>
      <c r="N27" s="31">
        <f t="shared" si="64"/>
        <v>0.65486572834815637</v>
      </c>
      <c r="O27" s="31">
        <f t="shared" si="64"/>
        <v>0.66792011618533342</v>
      </c>
      <c r="P27" s="31">
        <f t="shared" ref="P27:S27" si="65">P13/P7</f>
        <v>0.58251631477927057</v>
      </c>
      <c r="Q27" s="31">
        <f t="shared" si="65"/>
        <v>0.58442494754911301</v>
      </c>
      <c r="R27" s="32">
        <f t="shared" si="65"/>
        <v>0.58496056782334382</v>
      </c>
      <c r="S27" s="31" t="e">
        <f t="shared" si="65"/>
        <v>#DIV/0!</v>
      </c>
      <c r="V27" s="31">
        <f t="shared" ref="V27:Y27" si="66">V13/V7</f>
        <v>0.27724275096828216</v>
      </c>
      <c r="W27" s="31">
        <f t="shared" si="66"/>
        <v>0.3030313522497099</v>
      </c>
      <c r="X27" s="31">
        <f t="shared" si="66"/>
        <v>0.37515830764920144</v>
      </c>
      <c r="Y27" s="31">
        <f t="shared" si="66"/>
        <v>0.36478697099188123</v>
      </c>
      <c r="Z27" s="31">
        <f t="shared" ref="Z27:AB27" si="67">Z13/Z7</f>
        <v>0.43054310024278747</v>
      </c>
      <c r="AA27" s="31">
        <f t="shared" si="67"/>
        <v>0.53383533724784649</v>
      </c>
      <c r="AB27" s="31">
        <f t="shared" si="67"/>
        <v>0.61191810826767412</v>
      </c>
      <c r="AC27" s="31">
        <f t="shared" ref="AC27:AP27" si="68">AC13/AC7</f>
        <v>0.62293956043956045</v>
      </c>
      <c r="AD27" s="31">
        <f t="shared" si="68"/>
        <v>0.63515016685205783</v>
      </c>
      <c r="AE27" s="31">
        <f t="shared" si="68"/>
        <v>0.64092140921409213</v>
      </c>
      <c r="AF27" s="32">
        <f t="shared" si="68"/>
        <v>0.59832273748830389</v>
      </c>
      <c r="AG27" s="31">
        <f t="shared" si="68"/>
        <v>0.59653348923907801</v>
      </c>
      <c r="AH27" s="31">
        <f t="shared" si="68"/>
        <v>0.59516327843696959</v>
      </c>
      <c r="AI27" s="31">
        <f t="shared" si="68"/>
        <v>0.59377106537969704</v>
      </c>
      <c r="AJ27" s="31">
        <f t="shared" si="68"/>
        <v>0.59235615042432388</v>
      </c>
      <c r="AK27" s="31">
        <f t="shared" si="68"/>
        <v>0.59091782563648343</v>
      </c>
      <c r="AL27" s="31">
        <f t="shared" si="68"/>
        <v>0.59156092587277975</v>
      </c>
      <c r="AM27" s="31">
        <f t="shared" si="68"/>
        <v>0.5900785179181135</v>
      </c>
      <c r="AN27" s="31">
        <f t="shared" si="68"/>
        <v>0.58857045673898467</v>
      </c>
      <c r="AO27" s="31">
        <f t="shared" si="68"/>
        <v>0.58703600042352888</v>
      </c>
      <c r="AP27" s="31">
        <f t="shared" si="68"/>
        <v>0.57408746088919593</v>
      </c>
      <c r="AR27" s="6" t="s">
        <v>95</v>
      </c>
      <c r="AS27" s="33">
        <f>(AS25-B4)/B4</f>
        <v>0.54870953469001238</v>
      </c>
    </row>
    <row r="28" spans="3:129" x14ac:dyDescent="0.25">
      <c r="C28" s="1" t="s">
        <v>177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2"/>
      <c r="S28" s="31"/>
      <c r="V28" s="10">
        <v>0.45700000000000002</v>
      </c>
      <c r="W28" s="10">
        <v>0.496</v>
      </c>
      <c r="X28" s="10">
        <v>0.56499999999999995</v>
      </c>
      <c r="Y28" s="10">
        <v>0.51400000000000001</v>
      </c>
      <c r="Z28" s="31">
        <v>0.53300000000000003</v>
      </c>
      <c r="AA28" s="31">
        <v>0.10440000000000001</v>
      </c>
      <c r="AB28" s="31">
        <v>0.18970000000000001</v>
      </c>
      <c r="AC28" s="31">
        <v>0.2437</v>
      </c>
      <c r="AD28" s="31">
        <v>0.26729999999999998</v>
      </c>
      <c r="AE28" s="31">
        <f>AE17/O56</f>
        <v>0.31295358442634197</v>
      </c>
      <c r="AF28" s="32"/>
      <c r="AG28" s="31"/>
      <c r="AH28" s="31"/>
      <c r="AI28" s="31"/>
      <c r="AJ28" s="31"/>
      <c r="AK28" s="31"/>
      <c r="AL28" s="31"/>
      <c r="AM28" s="31"/>
      <c r="AN28" s="31"/>
      <c r="AO28" s="31"/>
      <c r="AP28" s="31"/>
    </row>
    <row r="30" spans="3:129" x14ac:dyDescent="0.25">
      <c r="C30" s="1" t="s">
        <v>71</v>
      </c>
      <c r="D30" s="2">
        <v>14341</v>
      </c>
      <c r="E30" s="2">
        <v>15297</v>
      </c>
      <c r="F30" s="2">
        <v>15917</v>
      </c>
      <c r="G30" s="2">
        <v>17026</v>
      </c>
      <c r="H30" s="2">
        <v>17331</v>
      </c>
      <c r="I30" s="2">
        <v>17447</v>
      </c>
      <c r="J30" s="2">
        <v>17823</v>
      </c>
      <c r="K30" s="2">
        <v>19221</v>
      </c>
      <c r="L30" s="2">
        <v>20537</v>
      </c>
      <c r="M30" s="2">
        <v>21141</v>
      </c>
      <c r="N30" s="2">
        <v>20772</v>
      </c>
      <c r="O30" s="2">
        <v>21252</v>
      </c>
      <c r="P30" s="2">
        <v>22223</v>
      </c>
      <c r="Q30" s="2">
        <v>22248</v>
      </c>
      <c r="R30" s="5">
        <v>21652</v>
      </c>
      <c r="S30" s="2"/>
    </row>
    <row r="31" spans="3:129" x14ac:dyDescent="0.25">
      <c r="C31" s="1" t="s">
        <v>142</v>
      </c>
      <c r="H31" s="10">
        <f>(H30-D30)/D30</f>
        <v>0.20849313158078236</v>
      </c>
      <c r="I31" s="10">
        <f t="shared" ref="I31:N31" si="69">(I30-E30)/E30</f>
        <v>0.14055043472576323</v>
      </c>
      <c r="J31" s="10">
        <f t="shared" si="69"/>
        <v>0.11974618332600365</v>
      </c>
      <c r="K31" s="10">
        <f t="shared" si="69"/>
        <v>0.1289204745683073</v>
      </c>
      <c r="L31" s="10">
        <f t="shared" si="69"/>
        <v>0.18498644048237262</v>
      </c>
      <c r="M31" s="10">
        <f t="shared" si="69"/>
        <v>0.21172694446036569</v>
      </c>
      <c r="N31" s="10">
        <f t="shared" si="69"/>
        <v>0.16546036020871907</v>
      </c>
      <c r="O31" s="10">
        <f>(O30-K30)/K30</f>
        <v>0.10566567816450757</v>
      </c>
      <c r="P31" s="10">
        <f>(P30-L30)/L30</f>
        <v>8.2095729658664851E-2</v>
      </c>
      <c r="Q31" s="10">
        <f t="shared" ref="Q31:S31" si="70">(Q30-M30)/M30</f>
        <v>5.2362707535121331E-2</v>
      </c>
      <c r="R31" s="11">
        <f t="shared" si="70"/>
        <v>4.2364721740804932E-2</v>
      </c>
      <c r="S31" s="10">
        <f t="shared" si="70"/>
        <v>-1</v>
      </c>
    </row>
    <row r="33" spans="3:19" x14ac:dyDescent="0.25">
      <c r="C33" s="12" t="s">
        <v>125</v>
      </c>
    </row>
    <row r="35" spans="3:19" x14ac:dyDescent="0.25">
      <c r="C35" s="1" t="s">
        <v>36</v>
      </c>
      <c r="D35" s="2">
        <v>2183.203</v>
      </c>
      <c r="E35" s="2">
        <v>2233.5940000000001</v>
      </c>
      <c r="F35" s="2">
        <v>2361.4110000000001</v>
      </c>
      <c r="G35" s="2">
        <v>2315.3319999999999</v>
      </c>
      <c r="H35" s="2">
        <v>2306.5520000000001</v>
      </c>
      <c r="I35" s="2">
        <v>2233.5940000000001</v>
      </c>
      <c r="J35" s="2">
        <v>2262.373</v>
      </c>
      <c r="K35" s="2">
        <v>2324.0050000000001</v>
      </c>
      <c r="L35" s="2">
        <v>2265.5639999999999</v>
      </c>
      <c r="M35" s="2">
        <v>2293.096</v>
      </c>
      <c r="N35" s="2">
        <v>2297.9940000000001</v>
      </c>
      <c r="O35" s="2">
        <v>2276.5239999999999</v>
      </c>
      <c r="P35" s="2">
        <v>2366.1680000000001</v>
      </c>
      <c r="Q35" s="2">
        <v>2318.0729999999999</v>
      </c>
      <c r="R35" s="5">
        <v>2336.1999999999998</v>
      </c>
      <c r="S35" s="2"/>
    </row>
    <row r="36" spans="3:19" x14ac:dyDescent="0.25">
      <c r="C36" s="1" t="s">
        <v>37</v>
      </c>
      <c r="D36" s="2">
        <v>743.36699999999996</v>
      </c>
      <c r="E36" s="2">
        <v>699.30899999999997</v>
      </c>
      <c r="F36" s="2">
        <v>766.19799999999998</v>
      </c>
      <c r="G36" s="2">
        <v>742.928</v>
      </c>
      <c r="H36" s="2">
        <v>731.51199999999994</v>
      </c>
      <c r="I36" s="2">
        <v>699.30899999999997</v>
      </c>
      <c r="J36" s="2">
        <v>698.82500000000005</v>
      </c>
      <c r="K36" s="2">
        <v>714.50900000000001</v>
      </c>
      <c r="L36" s="2">
        <v>690.93100000000004</v>
      </c>
      <c r="M36" s="2">
        <v>697.63800000000003</v>
      </c>
      <c r="N36" s="2">
        <v>699.92499999999995</v>
      </c>
      <c r="O36" s="2">
        <v>692.399</v>
      </c>
      <c r="P36" s="2">
        <v>709.8</v>
      </c>
      <c r="Q36" s="2">
        <v>687.35</v>
      </c>
      <c r="R36" s="5">
        <v>681.53899999999999</v>
      </c>
      <c r="S36" s="2"/>
    </row>
    <row r="37" spans="3:19" x14ac:dyDescent="0.25">
      <c r="C37" s="1" t="s">
        <v>38</v>
      </c>
      <c r="D37" s="2">
        <v>11.353999999999999</v>
      </c>
      <c r="E37" s="2">
        <v>11</v>
      </c>
      <c r="F37" s="2">
        <v>11.242000000000001</v>
      </c>
      <c r="G37" s="2">
        <v>11.186999999999999</v>
      </c>
      <c r="H37" s="2">
        <v>11.132999999999999</v>
      </c>
      <c r="I37" s="2">
        <v>11.077999999999999</v>
      </c>
      <c r="J37" s="2">
        <v>11.023</v>
      </c>
      <c r="K37" s="2">
        <v>10.968</v>
      </c>
      <c r="L37" s="2">
        <v>20.486999999999998</v>
      </c>
      <c r="M37" s="2">
        <v>20.073</v>
      </c>
      <c r="N37" s="2">
        <v>19.864999999999998</v>
      </c>
      <c r="O37" s="2">
        <v>20.126000000000001</v>
      </c>
      <c r="P37" s="2">
        <v>19.875</v>
      </c>
      <c r="Q37" s="2">
        <v>19.233000000000001</v>
      </c>
      <c r="R37" s="5">
        <v>19.192</v>
      </c>
      <c r="S37" s="2"/>
    </row>
    <row r="38" spans="3:19" x14ac:dyDescent="0.25">
      <c r="C38" s="1" t="s">
        <v>39</v>
      </c>
      <c r="D38" s="2">
        <v>52.741</v>
      </c>
      <c r="E38" s="2">
        <v>68.849000000000004</v>
      </c>
      <c r="F38" s="2">
        <v>59.518000000000001</v>
      </c>
      <c r="G38" s="2">
        <v>67.900000000000006</v>
      </c>
      <c r="H38" s="2">
        <v>69.025999999999996</v>
      </c>
      <c r="I38" s="2">
        <v>68.849000000000004</v>
      </c>
      <c r="J38" s="2">
        <v>69.753</v>
      </c>
      <c r="K38" s="2">
        <v>70.382000000000005</v>
      </c>
      <c r="L38" s="2">
        <v>70.474999999999994</v>
      </c>
      <c r="M38" s="2">
        <v>69.221999999999994</v>
      </c>
      <c r="N38" s="2">
        <v>72.058000000000007</v>
      </c>
      <c r="O38" s="2">
        <v>83.673000000000002</v>
      </c>
      <c r="P38" s="2">
        <v>83.45</v>
      </c>
      <c r="Q38" s="2">
        <v>80.519000000000005</v>
      </c>
      <c r="R38" s="5">
        <v>77.290000000000006</v>
      </c>
      <c r="S38" s="2"/>
    </row>
    <row r="39" spans="3:19" x14ac:dyDescent="0.25">
      <c r="C39" s="1" t="s">
        <v>40</v>
      </c>
      <c r="D39" s="2">
        <v>78.680000000000007</v>
      </c>
      <c r="E39" s="2">
        <v>119.05500000000001</v>
      </c>
      <c r="F39" s="2">
        <v>105.373</v>
      </c>
      <c r="G39" s="2">
        <v>110.996</v>
      </c>
      <c r="H39" s="2">
        <v>115.83799999999999</v>
      </c>
      <c r="I39" s="2">
        <v>119.05500000000001</v>
      </c>
      <c r="J39" s="2">
        <v>121.056</v>
      </c>
      <c r="K39" s="2">
        <v>121.10599999999999</v>
      </c>
      <c r="L39" s="2">
        <v>123.666</v>
      </c>
      <c r="M39" s="2">
        <v>132.45500000000001</v>
      </c>
      <c r="N39" s="2">
        <v>135.821</v>
      </c>
      <c r="O39" s="2">
        <v>147.49299999999999</v>
      </c>
      <c r="P39" s="2">
        <v>151.79300000000001</v>
      </c>
      <c r="Q39" s="2">
        <v>150.83600000000001</v>
      </c>
      <c r="R39" s="5">
        <v>154.89400000000001</v>
      </c>
      <c r="S39" s="2"/>
    </row>
    <row r="40" spans="3:19" x14ac:dyDescent="0.25">
      <c r="C40" s="1" t="s">
        <v>102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100.824</v>
      </c>
      <c r="P40" s="2">
        <v>101.6</v>
      </c>
      <c r="Q40" s="2">
        <v>101.548</v>
      </c>
      <c r="R40" s="5">
        <v>103.2</v>
      </c>
      <c r="S40" s="2"/>
    </row>
    <row r="41" spans="3:19" x14ac:dyDescent="0.25">
      <c r="C41" s="1" t="s">
        <v>41</v>
      </c>
      <c r="D41" s="2">
        <v>10.233000000000001</v>
      </c>
      <c r="E41" s="2">
        <v>7.742</v>
      </c>
      <c r="F41" s="2">
        <v>9.6539999999999999</v>
      </c>
      <c r="G41" s="2">
        <v>8.8680000000000003</v>
      </c>
      <c r="H41" s="2">
        <v>8.4819999999999993</v>
      </c>
      <c r="I41" s="2">
        <v>7.742</v>
      </c>
      <c r="J41" s="2">
        <v>7.5309999999999997</v>
      </c>
      <c r="K41" s="2">
        <v>6.7789999999999999</v>
      </c>
      <c r="L41" s="2">
        <v>11.507</v>
      </c>
      <c r="M41" s="2">
        <v>9.9329999999999998</v>
      </c>
      <c r="N41" s="2">
        <v>110.36199999999999</v>
      </c>
      <c r="O41" s="2">
        <v>10.537000000000001</v>
      </c>
      <c r="P41" s="2">
        <v>10.6</v>
      </c>
      <c r="Q41" s="2">
        <v>10.554</v>
      </c>
      <c r="R41" s="5">
        <v>10.1</v>
      </c>
      <c r="S41" s="2"/>
    </row>
    <row r="42" spans="3:19" x14ac:dyDescent="0.25">
      <c r="C42" s="1" t="s">
        <v>42</v>
      </c>
      <c r="D42" s="2">
        <v>2.7269999999999999</v>
      </c>
      <c r="E42" s="2">
        <v>3.069</v>
      </c>
      <c r="F42" s="2">
        <v>2.718</v>
      </c>
      <c r="G42" s="2">
        <v>2.7850000000000001</v>
      </c>
      <c r="H42" s="2">
        <v>2.6869999999999998</v>
      </c>
      <c r="I42" s="2">
        <v>3.069</v>
      </c>
      <c r="J42" s="2">
        <v>3.794</v>
      </c>
      <c r="K42" s="2">
        <v>3.4710000000000001</v>
      </c>
      <c r="L42" s="2">
        <v>5.2480000000000002</v>
      </c>
      <c r="M42" s="2">
        <v>8.1460000000000008</v>
      </c>
      <c r="N42" s="2">
        <v>10.255000000000001</v>
      </c>
      <c r="O42" s="2">
        <v>9.3019999999999996</v>
      </c>
      <c r="P42" s="2">
        <v>8.6999999999999993</v>
      </c>
      <c r="Q42" s="2">
        <v>11.2</v>
      </c>
      <c r="R42" s="5">
        <v>10.9</v>
      </c>
      <c r="S42" s="2"/>
    </row>
    <row r="43" spans="3:19" x14ac:dyDescent="0.25">
      <c r="C43" s="13" t="s">
        <v>43</v>
      </c>
      <c r="D43" s="28">
        <f t="shared" ref="D43:M43" si="71">SUM(D35:D42)</f>
        <v>3082.3049999999994</v>
      </c>
      <c r="E43" s="28">
        <f t="shared" si="71"/>
        <v>3142.6180000000004</v>
      </c>
      <c r="F43" s="28">
        <f t="shared" si="71"/>
        <v>3316.114</v>
      </c>
      <c r="G43" s="28">
        <f t="shared" si="71"/>
        <v>3259.9959999999996</v>
      </c>
      <c r="H43" s="28">
        <f>SUM(H35:H42)</f>
        <v>3245.23</v>
      </c>
      <c r="I43" s="28">
        <f>SUM(I35:I42)</f>
        <v>3142.6960000000004</v>
      </c>
      <c r="J43" s="28">
        <f>SUM(J35:J42)</f>
        <v>3174.3550000000005</v>
      </c>
      <c r="K43" s="28">
        <f>SUM(K35:K42)</f>
        <v>3251.2200000000003</v>
      </c>
      <c r="L43" s="28">
        <f>SUM(L35:L42)</f>
        <v>3187.8780000000002</v>
      </c>
      <c r="M43" s="28">
        <f t="shared" si="71"/>
        <v>3230.5630000000001</v>
      </c>
      <c r="N43" s="28">
        <f>SUM(N35:N42)</f>
        <v>3346.2799999999997</v>
      </c>
      <c r="O43" s="28">
        <f>SUM(O35:O42)</f>
        <v>3340.8779999999997</v>
      </c>
      <c r="P43" s="28">
        <f>SUM(P35:P42)</f>
        <v>3451.9859999999994</v>
      </c>
      <c r="Q43" s="28">
        <f t="shared" ref="Q43:S43" si="72">SUM(Q35:Q42)</f>
        <v>3379.3130000000001</v>
      </c>
      <c r="R43" s="14">
        <f t="shared" si="72"/>
        <v>3393.3149999999996</v>
      </c>
      <c r="S43" s="28">
        <f t="shared" si="72"/>
        <v>0</v>
      </c>
    </row>
    <row r="44" spans="3:19" x14ac:dyDescent="0.25">
      <c r="C44" s="1" t="s">
        <v>44</v>
      </c>
      <c r="D44" s="2">
        <v>234.459</v>
      </c>
      <c r="E44" s="2">
        <v>316.12599999999998</v>
      </c>
      <c r="F44" s="2">
        <v>265.41899999999998</v>
      </c>
      <c r="G44" s="2">
        <v>277.012</v>
      </c>
      <c r="H44" s="2">
        <v>287.87200000000001</v>
      </c>
      <c r="I44" s="2">
        <v>316.12599999999998</v>
      </c>
      <c r="J44" s="2">
        <v>326.56</v>
      </c>
      <c r="K44" s="2">
        <v>348.42</v>
      </c>
      <c r="L44" s="2">
        <v>396.815</v>
      </c>
      <c r="M44" s="2">
        <v>358.108</v>
      </c>
      <c r="N44" s="2">
        <v>353.685</v>
      </c>
      <c r="O44" s="2">
        <v>408.98500000000001</v>
      </c>
      <c r="P44" s="2">
        <v>390.73500000000001</v>
      </c>
      <c r="Q44" s="2">
        <v>425.37900000000002</v>
      </c>
      <c r="R44" s="5">
        <v>398.31200000000001</v>
      </c>
      <c r="S44" s="2"/>
    </row>
    <row r="45" spans="3:19" x14ac:dyDescent="0.25">
      <c r="C45" s="1" t="s">
        <v>49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231.99199999999999</v>
      </c>
      <c r="J45" s="2">
        <v>0</v>
      </c>
      <c r="K45" s="2">
        <v>0</v>
      </c>
      <c r="L45" s="2">
        <v>0</v>
      </c>
      <c r="M45" s="2">
        <v>447.77199999999999</v>
      </c>
      <c r="N45" s="2">
        <v>552.36400000000003</v>
      </c>
      <c r="O45" s="2">
        <v>726.601</v>
      </c>
      <c r="P45" s="2">
        <v>820.28700000000003</v>
      </c>
      <c r="Q45" s="2">
        <v>576.22199999999998</v>
      </c>
      <c r="R45" s="5">
        <v>658.14300000000003</v>
      </c>
      <c r="S45" s="2"/>
    </row>
    <row r="46" spans="3:19" x14ac:dyDescent="0.25">
      <c r="C46" s="1" t="s">
        <v>45</v>
      </c>
      <c r="D46" s="2">
        <v>216.92599999999999</v>
      </c>
      <c r="E46" s="2">
        <v>251.637</v>
      </c>
      <c r="F46" s="2">
        <v>262.35000000000002</v>
      </c>
      <c r="G46" s="2">
        <v>262.346</v>
      </c>
      <c r="H46" s="2">
        <v>328.49099999999999</v>
      </c>
      <c r="I46" s="2">
        <v>19.645</v>
      </c>
      <c r="J46" s="2">
        <v>328.54</v>
      </c>
      <c r="K46" s="2">
        <v>342.06599999999997</v>
      </c>
      <c r="L46" s="2">
        <v>434.983</v>
      </c>
      <c r="M46" s="2">
        <v>31.73</v>
      </c>
      <c r="N46" s="2">
        <v>32.982999999999997</v>
      </c>
      <c r="O46" s="2">
        <v>31.786999999999999</v>
      </c>
      <c r="P46" s="2">
        <v>26.5</v>
      </c>
      <c r="Q46" s="2">
        <v>27.03</v>
      </c>
      <c r="R46" s="5">
        <v>28.695</v>
      </c>
      <c r="S46" s="2"/>
    </row>
    <row r="47" spans="3:19" x14ac:dyDescent="0.25">
      <c r="C47" s="1" t="s">
        <v>46</v>
      </c>
      <c r="D47" s="2">
        <v>36.896999999999998</v>
      </c>
      <c r="E47" s="2">
        <v>33.524999999999999</v>
      </c>
      <c r="F47" s="2">
        <v>38.671999999999997</v>
      </c>
      <c r="G47" s="2">
        <v>37.463000000000001</v>
      </c>
      <c r="H47" s="2">
        <v>34.93</v>
      </c>
      <c r="I47" s="2">
        <v>33.524999999999999</v>
      </c>
      <c r="J47" s="2">
        <v>32.396000000000001</v>
      </c>
      <c r="K47" s="2">
        <v>46.021999999999998</v>
      </c>
      <c r="L47" s="2">
        <v>45.622</v>
      </c>
      <c r="M47" s="2">
        <v>42.804000000000002</v>
      </c>
      <c r="N47" s="2">
        <v>39.078000000000003</v>
      </c>
      <c r="O47" s="2">
        <v>37.046999999999997</v>
      </c>
      <c r="P47" s="2">
        <v>35.799999999999997</v>
      </c>
      <c r="Q47" s="2">
        <v>40.573999999999998</v>
      </c>
      <c r="R47" s="5">
        <v>38.610999999999997</v>
      </c>
      <c r="S47" s="2"/>
    </row>
    <row r="48" spans="3:19" x14ac:dyDescent="0.25">
      <c r="C48" s="1" t="s">
        <v>2</v>
      </c>
      <c r="D48" s="2">
        <v>439.51600000000002</v>
      </c>
      <c r="E48" s="2">
        <v>541.70699999999999</v>
      </c>
      <c r="F48" s="2">
        <v>319.666</v>
      </c>
      <c r="G48" s="2">
        <v>532.55399999999997</v>
      </c>
      <c r="H48" s="2">
        <v>759.73599999999999</v>
      </c>
      <c r="I48" s="2">
        <v>541.70699999999999</v>
      </c>
      <c r="J48" s="2">
        <v>813.32</v>
      </c>
      <c r="K48" s="2">
        <v>985.75599999999997</v>
      </c>
      <c r="L48" s="2">
        <v>974.125</v>
      </c>
      <c r="M48" s="2">
        <v>688.68700000000001</v>
      </c>
      <c r="N48" s="2">
        <v>663.73</v>
      </c>
      <c r="O48" s="2">
        <v>801.47400000000005</v>
      </c>
      <c r="P48" s="2">
        <v>969.2</v>
      </c>
      <c r="Q48" s="2">
        <v>505.255</v>
      </c>
      <c r="R48" s="5">
        <v>656.37800000000004</v>
      </c>
      <c r="S48" s="2"/>
    </row>
    <row r="49" spans="3:19" x14ac:dyDescent="0.25">
      <c r="C49" s="13" t="s">
        <v>47</v>
      </c>
      <c r="D49" s="28">
        <f t="shared" ref="D49:M49" si="73">SUM(D44:D48)</f>
        <v>927.798</v>
      </c>
      <c r="E49" s="28">
        <f t="shared" si="73"/>
        <v>1142.9949999999999</v>
      </c>
      <c r="F49" s="28">
        <f t="shared" si="73"/>
        <v>886.10699999999997</v>
      </c>
      <c r="G49" s="28">
        <f t="shared" si="73"/>
        <v>1109.375</v>
      </c>
      <c r="H49" s="28">
        <f>SUM(H44:H48)</f>
        <v>1411.029</v>
      </c>
      <c r="I49" s="28">
        <f t="shared" si="73"/>
        <v>1142.9949999999999</v>
      </c>
      <c r="J49" s="28">
        <f t="shared" si="73"/>
        <v>1500.816</v>
      </c>
      <c r="K49" s="28">
        <f t="shared" si="73"/>
        <v>1722.2640000000001</v>
      </c>
      <c r="L49" s="28">
        <f>SUM(L44:L48)</f>
        <v>1851.5450000000001</v>
      </c>
      <c r="M49" s="28">
        <f t="shared" si="73"/>
        <v>1569.1010000000001</v>
      </c>
      <c r="N49" s="28">
        <f>SUM(N44:N48)</f>
        <v>1641.84</v>
      </c>
      <c r="O49" s="28">
        <f>SUM(O44:O48)</f>
        <v>2005.8940000000002</v>
      </c>
      <c r="P49" s="28">
        <f>SUM(P44:P48)</f>
        <v>2242.5219999999999</v>
      </c>
      <c r="Q49" s="28">
        <f t="shared" ref="Q49:S49" si="74">SUM(Q44:Q48)</f>
        <v>1574.46</v>
      </c>
      <c r="R49" s="14">
        <f t="shared" si="74"/>
        <v>1780.1390000000001</v>
      </c>
      <c r="S49" s="28">
        <f t="shared" si="74"/>
        <v>0</v>
      </c>
    </row>
    <row r="50" spans="3:19" x14ac:dyDescent="0.25">
      <c r="C50" s="6" t="s">
        <v>48</v>
      </c>
      <c r="D50" s="26">
        <f t="shared" ref="D50:M50" si="75">D43+D49</f>
        <v>4010.1029999999992</v>
      </c>
      <c r="E50" s="26">
        <f t="shared" si="75"/>
        <v>4285.6130000000003</v>
      </c>
      <c r="F50" s="26">
        <f t="shared" si="75"/>
        <v>4202.2209999999995</v>
      </c>
      <c r="G50" s="26">
        <f t="shared" si="75"/>
        <v>4369.3709999999992</v>
      </c>
      <c r="H50" s="26">
        <f t="shared" si="75"/>
        <v>4656.259</v>
      </c>
      <c r="I50" s="26">
        <f t="shared" si="75"/>
        <v>4285.6910000000007</v>
      </c>
      <c r="J50" s="26">
        <f t="shared" si="75"/>
        <v>4675.1710000000003</v>
      </c>
      <c r="K50" s="26">
        <f t="shared" si="75"/>
        <v>4973.4840000000004</v>
      </c>
      <c r="L50" s="26">
        <f>L43+L49</f>
        <v>5039.4230000000007</v>
      </c>
      <c r="M50" s="26">
        <f t="shared" si="75"/>
        <v>4799.6640000000007</v>
      </c>
      <c r="N50" s="26">
        <f>N43+N49</f>
        <v>4988.12</v>
      </c>
      <c r="O50" s="26">
        <f>O43+O49</f>
        <v>5346.7719999999999</v>
      </c>
      <c r="P50" s="26">
        <f>P43+P49</f>
        <v>5694.5079999999998</v>
      </c>
      <c r="Q50" s="26">
        <f t="shared" ref="Q50:S50" si="76">Q43+Q49</f>
        <v>4953.7730000000001</v>
      </c>
      <c r="R50" s="15">
        <f t="shared" si="76"/>
        <v>5173.4539999999997</v>
      </c>
      <c r="S50" s="26">
        <f t="shared" si="76"/>
        <v>0</v>
      </c>
    </row>
    <row r="51" spans="3:19" x14ac:dyDescent="0.25"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5"/>
      <c r="S51" s="2"/>
    </row>
    <row r="52" spans="3:19" x14ac:dyDescent="0.25">
      <c r="C52" s="1" t="s">
        <v>50</v>
      </c>
      <c r="D52" s="2">
        <v>0.64700000000000002</v>
      </c>
      <c r="E52" s="2">
        <v>0.64800000000000002</v>
      </c>
      <c r="F52" s="2">
        <v>0.64700000000000002</v>
      </c>
      <c r="G52" s="2">
        <v>0.64700000000000002</v>
      </c>
      <c r="H52" s="2">
        <v>0.64800000000000002</v>
      </c>
      <c r="I52" s="2">
        <v>0.64800000000000002</v>
      </c>
      <c r="J52" s="2">
        <v>0.64800000000000002</v>
      </c>
      <c r="K52" s="2">
        <v>0.64800000000000002</v>
      </c>
      <c r="L52" s="2">
        <v>0.65</v>
      </c>
      <c r="M52" s="2">
        <v>0.65</v>
      </c>
      <c r="N52" s="2">
        <v>0.65</v>
      </c>
      <c r="O52" s="2">
        <v>0.65</v>
      </c>
      <c r="P52" s="2">
        <v>1</v>
      </c>
      <c r="Q52" s="2">
        <v>0.65</v>
      </c>
      <c r="R52" s="5">
        <v>0.65</v>
      </c>
      <c r="S52" s="2"/>
    </row>
    <row r="53" spans="3:19" x14ac:dyDescent="0.25">
      <c r="C53" s="1" t="s">
        <v>51</v>
      </c>
      <c r="D53" s="2">
        <v>2404.6089999999999</v>
      </c>
      <c r="E53" s="2">
        <v>2382.078</v>
      </c>
      <c r="F53" s="2">
        <v>2404.2069999999999</v>
      </c>
      <c r="G53" s="2">
        <v>2403.9630000000002</v>
      </c>
      <c r="H53" s="2">
        <v>2379.9749999999999</v>
      </c>
      <c r="I53" s="2">
        <v>2382.078</v>
      </c>
      <c r="J53" s="2">
        <v>2401.92</v>
      </c>
      <c r="K53" s="2">
        <v>2411.607</v>
      </c>
      <c r="L53" s="2">
        <v>2429.2739999999999</v>
      </c>
      <c r="M53" s="2">
        <v>2429.2669999999998</v>
      </c>
      <c r="N53" s="2">
        <v>2429.0770000000002</v>
      </c>
      <c r="O53" s="2">
        <v>2429.0529999999999</v>
      </c>
      <c r="P53" s="2">
        <v>2429.0529999999999</v>
      </c>
      <c r="Q53" s="2">
        <v>2430.89</v>
      </c>
      <c r="R53" s="5">
        <v>2432.527</v>
      </c>
      <c r="S53" s="2"/>
    </row>
    <row r="54" spans="3:19" x14ac:dyDescent="0.25">
      <c r="C54" s="1" t="s">
        <v>52</v>
      </c>
      <c r="D54" s="2">
        <v>-37.752000000000002</v>
      </c>
      <c r="E54" s="2">
        <v>-325.47199999999998</v>
      </c>
      <c r="F54" s="2">
        <v>-145.20099999999999</v>
      </c>
      <c r="G54" s="2">
        <v>-215.27799999999999</v>
      </c>
      <c r="H54" s="2">
        <v>-226.63399999999999</v>
      </c>
      <c r="I54" s="2">
        <v>-325.47199999999998</v>
      </c>
      <c r="J54" s="2">
        <v>-285.94299999999998</v>
      </c>
      <c r="K54" s="2">
        <v>-206.952</v>
      </c>
      <c r="L54" s="2">
        <v>-283.31900000000002</v>
      </c>
      <c r="M54" s="2">
        <v>-248.01400000000001</v>
      </c>
      <c r="N54" s="2">
        <v>-243.816</v>
      </c>
      <c r="O54" s="2">
        <v>-267.30099999999999</v>
      </c>
      <c r="P54" s="2">
        <v>-155.15299999999999</v>
      </c>
      <c r="Q54" s="2">
        <v>-223.9</v>
      </c>
      <c r="R54" s="5">
        <v>-200.16120000000001</v>
      </c>
      <c r="S54" s="2"/>
    </row>
    <row r="55" spans="3:19" x14ac:dyDescent="0.25">
      <c r="C55" s="1" t="s">
        <v>53</v>
      </c>
      <c r="D55" s="2">
        <v>925.78</v>
      </c>
      <c r="E55" s="2">
        <v>1359.7809999999999</v>
      </c>
      <c r="F55" s="2">
        <v>1046.674</v>
      </c>
      <c r="G55" s="2">
        <v>1270.9490000000001</v>
      </c>
      <c r="H55" s="2">
        <v>1522.64</v>
      </c>
      <c r="I55" s="2">
        <v>1359.7809999999999</v>
      </c>
      <c r="J55" s="2">
        <v>1633.17</v>
      </c>
      <c r="K55" s="2">
        <v>1800.912</v>
      </c>
      <c r="L55" s="2">
        <v>1786.6780000000001</v>
      </c>
      <c r="M55" s="2">
        <v>1496.924</v>
      </c>
      <c r="N55" s="2">
        <v>1582.3019999999999</v>
      </c>
      <c r="O55" s="2">
        <v>1809.433</v>
      </c>
      <c r="P55" s="2">
        <v>1910.4190000000001</v>
      </c>
      <c r="Q55" s="2">
        <v>1521.22</v>
      </c>
      <c r="R55" s="5">
        <v>1587.1220000000001</v>
      </c>
      <c r="S55" s="2"/>
    </row>
    <row r="56" spans="3:19" x14ac:dyDescent="0.25">
      <c r="C56" s="13" t="s">
        <v>54</v>
      </c>
      <c r="D56" s="28">
        <f t="shared" ref="D56:M56" si="77">SUM(D52:D55)</f>
        <v>3293.2839999999997</v>
      </c>
      <c r="E56" s="28">
        <f t="shared" si="77"/>
        <v>3417.0349999999999</v>
      </c>
      <c r="F56" s="28">
        <f t="shared" si="77"/>
        <v>3306.3269999999998</v>
      </c>
      <c r="G56" s="28">
        <f t="shared" si="77"/>
        <v>3460.2810000000004</v>
      </c>
      <c r="H56" s="28">
        <f t="shared" si="77"/>
        <v>3676.6289999999999</v>
      </c>
      <c r="I56" s="28">
        <f t="shared" si="77"/>
        <v>3417.0349999999999</v>
      </c>
      <c r="J56" s="28">
        <f t="shared" si="77"/>
        <v>3749.7950000000001</v>
      </c>
      <c r="K56" s="28">
        <f t="shared" si="77"/>
        <v>4006.2150000000001</v>
      </c>
      <c r="L56" s="28">
        <f t="shared" si="77"/>
        <v>3933.2830000000004</v>
      </c>
      <c r="M56" s="28">
        <f t="shared" si="77"/>
        <v>3678.8269999999998</v>
      </c>
      <c r="N56" s="28">
        <f>SUM(N52:N55)</f>
        <v>3768.2130000000006</v>
      </c>
      <c r="O56" s="28">
        <f>SUM(O52:O55)</f>
        <v>3971.835</v>
      </c>
      <c r="P56" s="28">
        <f>SUM(P52:P55)</f>
        <v>4185.3190000000004</v>
      </c>
      <c r="Q56" s="28">
        <f t="shared" ref="Q56:S56" si="78">SUM(Q52:Q55)</f>
        <v>3728.8599999999997</v>
      </c>
      <c r="R56" s="14">
        <f t="shared" si="78"/>
        <v>3820.1378000000004</v>
      </c>
      <c r="S56" s="28">
        <f t="shared" si="78"/>
        <v>0</v>
      </c>
    </row>
    <row r="57" spans="3:19" x14ac:dyDescent="0.25">
      <c r="C57" s="1" t="s">
        <v>55</v>
      </c>
      <c r="D57" s="2">
        <v>56.8</v>
      </c>
      <c r="E57" s="2">
        <v>61.238999999999997</v>
      </c>
      <c r="F57" s="2">
        <v>59.914000000000001</v>
      </c>
      <c r="G57" s="2">
        <v>66.113</v>
      </c>
      <c r="H57" s="2">
        <v>64.337000000000003</v>
      </c>
      <c r="I57" s="2">
        <v>61.238999999999997</v>
      </c>
      <c r="J57" s="2">
        <v>60.844999999999999</v>
      </c>
      <c r="K57" s="2">
        <v>61.393000000000001</v>
      </c>
      <c r="L57" s="2">
        <v>59.295999999999999</v>
      </c>
      <c r="M57" s="2">
        <v>60.192999999999998</v>
      </c>
      <c r="N57" s="2">
        <v>62.040999999999997</v>
      </c>
      <c r="O57" s="2">
        <v>62.975999999999999</v>
      </c>
      <c r="P57" s="2">
        <v>63.9</v>
      </c>
      <c r="Q57" s="2">
        <v>62</v>
      </c>
      <c r="R57" s="5">
        <v>61.6</v>
      </c>
      <c r="S57" s="2"/>
    </row>
    <row r="58" spans="3:19" x14ac:dyDescent="0.25">
      <c r="C58" s="1" t="s">
        <v>56</v>
      </c>
      <c r="D58" s="2">
        <v>50.164000000000001</v>
      </c>
      <c r="E58" s="2">
        <v>65.575999999999993</v>
      </c>
      <c r="F58" s="2">
        <v>52.036000000000001</v>
      </c>
      <c r="G58" s="2">
        <v>65.158000000000001</v>
      </c>
      <c r="H58" s="2">
        <v>65.769000000000005</v>
      </c>
      <c r="I58" s="2">
        <v>0</v>
      </c>
      <c r="J58" s="2">
        <v>65.704999999999998</v>
      </c>
      <c r="K58" s="2">
        <v>65.534000000000006</v>
      </c>
      <c r="L58" s="2">
        <v>65.289000000000001</v>
      </c>
      <c r="M58" s="2">
        <v>1.6040000000000001</v>
      </c>
      <c r="N58" s="2">
        <v>67.576999999999998</v>
      </c>
      <c r="O58" s="2">
        <v>77.394000000000005</v>
      </c>
      <c r="P58" s="2">
        <v>76.289000000000001</v>
      </c>
      <c r="Q58" s="2">
        <v>73.72</v>
      </c>
      <c r="R58" s="5">
        <v>1.67</v>
      </c>
      <c r="S58" s="2"/>
    </row>
    <row r="59" spans="3:19" x14ac:dyDescent="0.25">
      <c r="C59" s="1" t="s">
        <v>57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65.575999999999993</v>
      </c>
      <c r="J59" s="2">
        <v>0</v>
      </c>
      <c r="K59" s="2"/>
      <c r="L59" s="2">
        <v>0</v>
      </c>
      <c r="M59" s="2">
        <v>63.62</v>
      </c>
      <c r="N59" s="2">
        <v>1.609</v>
      </c>
      <c r="O59" s="2">
        <v>1.61</v>
      </c>
      <c r="P59" s="2">
        <v>2</v>
      </c>
      <c r="Q59" s="2">
        <v>1.6519999999999999</v>
      </c>
      <c r="R59" s="5">
        <v>70.7</v>
      </c>
      <c r="S59" s="2"/>
    </row>
    <row r="60" spans="3:19" x14ac:dyDescent="0.25">
      <c r="C60" s="1" t="s">
        <v>58</v>
      </c>
      <c r="D60" s="2">
        <v>230</v>
      </c>
      <c r="E60" s="2">
        <v>352.75599999999997</v>
      </c>
      <c r="F60" s="2">
        <v>365.83499999999998</v>
      </c>
      <c r="G60" s="2">
        <v>351.92599999999999</v>
      </c>
      <c r="H60" s="2">
        <v>352.34100000000001</v>
      </c>
      <c r="I60" s="2">
        <v>352.75599999999997</v>
      </c>
      <c r="J60" s="2">
        <v>285.54899999999998</v>
      </c>
      <c r="K60" s="2">
        <v>279.01900000000001</v>
      </c>
      <c r="L60" s="2">
        <v>279.43400000000003</v>
      </c>
      <c r="M60" s="2">
        <v>279.84800000000001</v>
      </c>
      <c r="N60" s="2">
        <v>232.97</v>
      </c>
      <c r="O60" s="2">
        <v>129.869</v>
      </c>
      <c r="P60" s="2">
        <v>129.79900000000001</v>
      </c>
      <c r="Q60" s="2">
        <v>118.23399999999999</v>
      </c>
      <c r="R60" s="5">
        <v>16.899999999999999</v>
      </c>
      <c r="S60" s="2"/>
    </row>
    <row r="61" spans="3:19" x14ac:dyDescent="0.25">
      <c r="C61" s="13" t="s">
        <v>59</v>
      </c>
      <c r="D61" s="28">
        <f t="shared" ref="D61:M61" si="79">SUM(D57:D60)</f>
        <v>336.964</v>
      </c>
      <c r="E61" s="28">
        <f t="shared" si="79"/>
        <v>479.57099999999997</v>
      </c>
      <c r="F61" s="28">
        <f t="shared" si="79"/>
        <v>477.78499999999997</v>
      </c>
      <c r="G61" s="28">
        <f t="shared" si="79"/>
        <v>483.197</v>
      </c>
      <c r="H61" s="28">
        <f>SUM(H57:H60)</f>
        <v>482.447</v>
      </c>
      <c r="I61" s="28">
        <f t="shared" si="79"/>
        <v>479.57099999999997</v>
      </c>
      <c r="J61" s="28">
        <f t="shared" si="79"/>
        <v>412.09899999999999</v>
      </c>
      <c r="K61" s="28">
        <f>SUM(K57:K60)</f>
        <v>405.94600000000003</v>
      </c>
      <c r="L61" s="28">
        <f>SUM(L57:L60)</f>
        <v>404.01900000000001</v>
      </c>
      <c r="M61" s="28">
        <f t="shared" si="79"/>
        <v>405.26499999999999</v>
      </c>
      <c r="N61" s="28">
        <f>SUM(N57:N60)</f>
        <v>364.197</v>
      </c>
      <c r="O61" s="28">
        <f>SUM(O57:O60)</f>
        <v>271.84900000000005</v>
      </c>
      <c r="P61" s="28">
        <f>SUM(P57:P60)</f>
        <v>271.988</v>
      </c>
      <c r="Q61" s="28">
        <f>SUM(Q57:Q60)</f>
        <v>255.60599999999999</v>
      </c>
      <c r="R61" s="14">
        <f>SUM(R57:R60)</f>
        <v>150.87</v>
      </c>
      <c r="S61" s="2"/>
    </row>
    <row r="62" spans="3:19" x14ac:dyDescent="0.25">
      <c r="C62" s="1" t="s">
        <v>60</v>
      </c>
      <c r="D62" s="2">
        <v>14.573</v>
      </c>
      <c r="E62" s="2">
        <v>12.661</v>
      </c>
      <c r="F62" s="2">
        <v>10.871</v>
      </c>
      <c r="G62" s="2">
        <v>10.093999999999999</v>
      </c>
      <c r="H62" s="2">
        <v>7.4210000000000003</v>
      </c>
      <c r="I62" s="2">
        <v>12.661</v>
      </c>
      <c r="J62" s="2">
        <v>9.2149999999999999</v>
      </c>
      <c r="K62" s="2">
        <v>13.063000000000001</v>
      </c>
      <c r="L62" s="2">
        <v>15.103999999999999</v>
      </c>
      <c r="M62" s="2">
        <v>16.148</v>
      </c>
      <c r="N62" s="2">
        <v>13.906000000000001</v>
      </c>
      <c r="O62" s="2">
        <v>16.053000000000001</v>
      </c>
      <c r="P62" s="2">
        <v>17.79</v>
      </c>
      <c r="Q62" s="2">
        <v>13.695</v>
      </c>
      <c r="R62" s="5">
        <v>12.74</v>
      </c>
      <c r="S62" s="2"/>
    </row>
    <row r="63" spans="3:19" x14ac:dyDescent="0.25">
      <c r="C63" s="1" t="s">
        <v>61</v>
      </c>
      <c r="D63" s="2">
        <v>1.9950000000000001</v>
      </c>
      <c r="E63" s="2">
        <v>0.18</v>
      </c>
      <c r="F63" s="2">
        <v>0.48799999999999999</v>
      </c>
      <c r="G63" s="2">
        <v>0.38</v>
      </c>
      <c r="H63" s="2">
        <v>0.28299999999999997</v>
      </c>
      <c r="I63" s="2">
        <v>0.18</v>
      </c>
      <c r="J63" s="2">
        <v>9.0999999999999998E-2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5">
        <v>0</v>
      </c>
      <c r="S63" s="2"/>
    </row>
    <row r="64" spans="3:19" x14ac:dyDescent="0.25">
      <c r="C64" s="1" t="s">
        <v>176</v>
      </c>
      <c r="D64" s="2">
        <v>258.53199999999998</v>
      </c>
      <c r="E64" s="2">
        <v>273.52499999999998</v>
      </c>
      <c r="F64" s="2">
        <v>302.036</v>
      </c>
      <c r="G64" s="2">
        <v>312.67700000000002</v>
      </c>
      <c r="H64" s="2">
        <v>383.32299999999998</v>
      </c>
      <c r="I64" s="2">
        <v>273.52499999999998</v>
      </c>
      <c r="J64" s="2">
        <v>394.73899999999998</v>
      </c>
      <c r="K64" s="2">
        <v>418.95699999999999</v>
      </c>
      <c r="L64" s="2">
        <v>557.85699999999997</v>
      </c>
      <c r="M64" s="2">
        <v>586.26900000000001</v>
      </c>
      <c r="N64" s="2">
        <v>736.23400000000004</v>
      </c>
      <c r="O64" s="2">
        <v>957.24099999999999</v>
      </c>
      <c r="P64" s="2">
        <v>1094.2570000000001</v>
      </c>
      <c r="Q64" s="2">
        <v>833.45500000000004</v>
      </c>
      <c r="R64" s="5">
        <v>960.6</v>
      </c>
      <c r="S64" s="2"/>
    </row>
    <row r="65" spans="3:31" x14ac:dyDescent="0.25">
      <c r="C65" s="1" t="s">
        <v>62</v>
      </c>
      <c r="D65" s="2">
        <v>43.911999999999999</v>
      </c>
      <c r="E65" s="2">
        <v>34.064999999999998</v>
      </c>
      <c r="F65" s="2">
        <v>43.183999999999997</v>
      </c>
      <c r="G65" s="2">
        <v>43.320999999999998</v>
      </c>
      <c r="H65" s="2">
        <v>41.177</v>
      </c>
      <c r="I65" s="2">
        <v>34.064999999999998</v>
      </c>
      <c r="J65" s="2">
        <v>36.869</v>
      </c>
      <c r="K65" s="2">
        <v>62.029000000000003</v>
      </c>
      <c r="L65" s="2">
        <v>64.158000000000001</v>
      </c>
      <c r="M65" s="2">
        <v>48.234999999999999</v>
      </c>
      <c r="N65" s="2">
        <v>40.738999999999997</v>
      </c>
      <c r="O65" s="2">
        <v>61.01</v>
      </c>
      <c r="P65" s="2">
        <v>58.35</v>
      </c>
      <c r="Q65" s="1">
        <v>47</v>
      </c>
      <c r="R65" s="5">
        <v>16.600000000000001</v>
      </c>
      <c r="S65" s="2"/>
    </row>
    <row r="66" spans="3:31" x14ac:dyDescent="0.25">
      <c r="C66" s="1" t="s">
        <v>63</v>
      </c>
      <c r="D66" s="2">
        <v>15.927</v>
      </c>
      <c r="E66" s="2">
        <v>14.122</v>
      </c>
      <c r="F66" s="2">
        <v>17.172999999999998</v>
      </c>
      <c r="G66" s="2">
        <v>14.395</v>
      </c>
      <c r="H66" s="2">
        <v>14.116</v>
      </c>
      <c r="I66" s="2">
        <v>14.122</v>
      </c>
      <c r="J66" s="2">
        <v>14.423</v>
      </c>
      <c r="K66" s="2">
        <v>13.923</v>
      </c>
      <c r="L66" s="2">
        <v>14.436999999999999</v>
      </c>
      <c r="M66" s="2">
        <v>15.506</v>
      </c>
      <c r="N66" s="2">
        <v>14.499000000000001</v>
      </c>
      <c r="O66" s="2">
        <v>16.268000000000001</v>
      </c>
      <c r="P66" s="2">
        <v>16.600000000000001</v>
      </c>
      <c r="Q66" s="2">
        <v>16.164000000000001</v>
      </c>
      <c r="R66" s="5">
        <v>155.5</v>
      </c>
      <c r="S66" s="2"/>
    </row>
    <row r="67" spans="3:31" x14ac:dyDescent="0.25">
      <c r="C67" s="1" t="s">
        <v>64</v>
      </c>
      <c r="D67" s="2">
        <v>44.915999999999997</v>
      </c>
      <c r="E67" s="2">
        <v>54.531999999999996</v>
      </c>
      <c r="F67" s="2">
        <v>44.356999999999999</v>
      </c>
      <c r="G67" s="2">
        <v>45.026000000000003</v>
      </c>
      <c r="H67" s="2">
        <v>50.863</v>
      </c>
      <c r="I67" s="2">
        <v>54.531999999999996</v>
      </c>
      <c r="J67" s="2">
        <v>57.94</v>
      </c>
      <c r="K67" s="2">
        <v>53.350999999999999</v>
      </c>
      <c r="L67" s="2">
        <v>50.564999999999998</v>
      </c>
      <c r="M67" s="2">
        <v>49.514000000000003</v>
      </c>
      <c r="N67" s="2">
        <v>50.332000000000001</v>
      </c>
      <c r="O67" s="2">
        <v>52.515999999999998</v>
      </c>
      <c r="P67" s="2">
        <v>51.029000000000003</v>
      </c>
      <c r="Q67" s="2">
        <v>58.959000000000003</v>
      </c>
      <c r="R67" s="5">
        <v>57.564</v>
      </c>
      <c r="S67" s="2"/>
    </row>
    <row r="68" spans="3:31" x14ac:dyDescent="0.25">
      <c r="C68" s="13" t="s">
        <v>65</v>
      </c>
      <c r="D68" s="28">
        <f t="shared" ref="D68:M68" si="80">SUM(D62:D67)</f>
        <v>379.85499999999996</v>
      </c>
      <c r="E68" s="28">
        <f t="shared" si="80"/>
        <v>389.08499999999998</v>
      </c>
      <c r="F68" s="28">
        <f t="shared" si="80"/>
        <v>418.10899999999992</v>
      </c>
      <c r="G68" s="28">
        <f t="shared" si="80"/>
        <v>425.89299999999997</v>
      </c>
      <c r="H68" s="28">
        <f t="shared" si="80"/>
        <v>497.18299999999999</v>
      </c>
      <c r="I68" s="28">
        <f t="shared" si="80"/>
        <v>389.08499999999998</v>
      </c>
      <c r="J68" s="28">
        <f t="shared" si="80"/>
        <v>513.27700000000004</v>
      </c>
      <c r="K68" s="28">
        <f t="shared" si="80"/>
        <v>561.32299999999998</v>
      </c>
      <c r="L68" s="28">
        <f t="shared" si="80"/>
        <v>702.12100000000009</v>
      </c>
      <c r="M68" s="28">
        <f t="shared" si="80"/>
        <v>715.67200000000003</v>
      </c>
      <c r="N68" s="28">
        <f>SUM(N62:N67)</f>
        <v>855.71</v>
      </c>
      <c r="O68" s="28">
        <f>SUM(O62:O67)</f>
        <v>1103.0880000000002</v>
      </c>
      <c r="P68" s="28">
        <f>SUM(P62:P67)</f>
        <v>1238.0259999999998</v>
      </c>
      <c r="Q68" s="28">
        <f>SUM(Q62:Q67)</f>
        <v>969.27300000000014</v>
      </c>
      <c r="R68" s="14">
        <f t="shared" ref="R68:S68" si="81">SUM(R62:R67)</f>
        <v>1203.0040000000001</v>
      </c>
      <c r="S68" s="28">
        <f t="shared" si="81"/>
        <v>0</v>
      </c>
    </row>
    <row r="69" spans="3:31" x14ac:dyDescent="0.25">
      <c r="C69" s="6" t="s">
        <v>66</v>
      </c>
      <c r="D69" s="26">
        <f t="shared" ref="D69:M69" si="82">D56+D61+D68</f>
        <v>4010.1029999999996</v>
      </c>
      <c r="E69" s="26">
        <f t="shared" si="82"/>
        <v>4285.6909999999998</v>
      </c>
      <c r="F69" s="26">
        <f t="shared" si="82"/>
        <v>4202.2209999999995</v>
      </c>
      <c r="G69" s="26">
        <f t="shared" si="82"/>
        <v>4369.3710000000001</v>
      </c>
      <c r="H69" s="26">
        <f t="shared" si="82"/>
        <v>4656.259</v>
      </c>
      <c r="I69" s="26">
        <f t="shared" si="82"/>
        <v>4285.6909999999998</v>
      </c>
      <c r="J69" s="26">
        <f t="shared" si="82"/>
        <v>4675.1710000000003</v>
      </c>
      <c r="K69" s="26">
        <f t="shared" si="82"/>
        <v>4973.4840000000004</v>
      </c>
      <c r="L69" s="26">
        <f t="shared" si="82"/>
        <v>5039.4230000000007</v>
      </c>
      <c r="M69" s="26">
        <f t="shared" si="82"/>
        <v>4799.7639999999992</v>
      </c>
      <c r="N69" s="26">
        <f>N56+N61+N68</f>
        <v>4988.1200000000008</v>
      </c>
      <c r="O69" s="26">
        <f>O56+O61+O68</f>
        <v>5346.7720000000008</v>
      </c>
      <c r="P69" s="26">
        <f>P56+P61+P68</f>
        <v>5695.3330000000005</v>
      </c>
      <c r="Q69" s="26">
        <f t="shared" ref="Q69:S69" si="83">Q56+Q61+Q68</f>
        <v>4953.7389999999996</v>
      </c>
      <c r="R69" s="15">
        <f t="shared" si="83"/>
        <v>5174.0118000000002</v>
      </c>
      <c r="S69" s="26">
        <f t="shared" si="83"/>
        <v>0</v>
      </c>
    </row>
    <row r="70" spans="3:31" x14ac:dyDescent="0.25"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P70" s="2"/>
    </row>
    <row r="71" spans="3:31" x14ac:dyDescent="0.25">
      <c r="C71" s="12" t="s">
        <v>122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P71" s="2"/>
    </row>
    <row r="72" spans="3:31" x14ac:dyDescent="0.25">
      <c r="C72" s="1" t="s">
        <v>143</v>
      </c>
      <c r="D72" s="2">
        <f t="shared" ref="D72:S72" si="84">D13</f>
        <v>207.11799999999999</v>
      </c>
      <c r="E72" s="2">
        <f t="shared" si="84"/>
        <v>214.62199999999999</v>
      </c>
      <c r="F72" s="2">
        <f t="shared" si="84"/>
        <v>236.36099999999999</v>
      </c>
      <c r="G72" s="2">
        <f t="shared" si="84"/>
        <v>250.00400000000002</v>
      </c>
      <c r="H72" s="2">
        <f t="shared" si="84"/>
        <v>271.47999999999996</v>
      </c>
      <c r="I72" s="2">
        <f t="shared" si="84"/>
        <v>281.51500000000004</v>
      </c>
      <c r="J72" s="2">
        <f t="shared" si="84"/>
        <v>287.09500000000003</v>
      </c>
      <c r="K72" s="2">
        <f t="shared" si="84"/>
        <v>302.68800000000005</v>
      </c>
      <c r="L72" s="2">
        <f t="shared" si="84"/>
        <v>311.55999999999995</v>
      </c>
      <c r="M72" s="2">
        <f t="shared" si="84"/>
        <v>311.11900000000003</v>
      </c>
      <c r="N72" s="2">
        <f t="shared" si="84"/>
        <v>379.19999999999993</v>
      </c>
      <c r="O72" s="2">
        <f t="shared" si="84"/>
        <v>417.58899999999994</v>
      </c>
      <c r="P72" s="2">
        <f t="shared" si="84"/>
        <v>303.49099999999999</v>
      </c>
      <c r="Q72" s="2">
        <f t="shared" si="84"/>
        <v>306.41399999999993</v>
      </c>
      <c r="R72" s="5">
        <f t="shared" si="84"/>
        <v>296.69200000000001</v>
      </c>
      <c r="S72" s="2">
        <f t="shared" si="84"/>
        <v>0</v>
      </c>
      <c r="Z72" s="2">
        <f t="shared" ref="Z72:AE72" si="85">Z13</f>
        <v>157.47200000000001</v>
      </c>
      <c r="AA72" s="2">
        <f t="shared" si="85"/>
        <v>299.38499999999999</v>
      </c>
      <c r="AB72" s="2">
        <f t="shared" si="85"/>
        <v>654.00400000000002</v>
      </c>
      <c r="AC72" s="2">
        <f t="shared" si="85"/>
        <v>907</v>
      </c>
      <c r="AD72" s="2">
        <f t="shared" si="85"/>
        <v>1142</v>
      </c>
      <c r="AE72" s="2">
        <f t="shared" si="85"/>
        <v>1419</v>
      </c>
    </row>
    <row r="73" spans="3:31" x14ac:dyDescent="0.25">
      <c r="C73" s="1" t="s">
        <v>144</v>
      </c>
      <c r="D73" s="2">
        <v>207</v>
      </c>
      <c r="E73" s="2">
        <v>215</v>
      </c>
      <c r="F73" s="2">
        <v>236.393</v>
      </c>
      <c r="G73" s="2">
        <v>250</v>
      </c>
      <c r="H73" s="2">
        <v>271</v>
      </c>
      <c r="I73" s="2">
        <v>282</v>
      </c>
      <c r="J73" s="25">
        <v>287.137</v>
      </c>
      <c r="K73" s="2">
        <v>302.59800000000001</v>
      </c>
      <c r="L73" s="2">
        <v>312</v>
      </c>
      <c r="M73" s="2">
        <v>311</v>
      </c>
      <c r="N73" s="2">
        <v>379.17899999999997</v>
      </c>
      <c r="O73" s="2">
        <v>417.63400000000001</v>
      </c>
      <c r="P73" s="2">
        <v>303.39999999999998</v>
      </c>
      <c r="Q73" s="2">
        <v>306</v>
      </c>
      <c r="R73" s="5">
        <v>296.60000000000002</v>
      </c>
      <c r="S73" s="2"/>
      <c r="Z73" s="2">
        <v>157</v>
      </c>
      <c r="AA73" s="1">
        <v>299</v>
      </c>
      <c r="AB73" s="2">
        <v>654</v>
      </c>
      <c r="AC73" s="2">
        <f t="shared" ref="AC73:AC79" si="86">SUM(D73:G73)</f>
        <v>908.39300000000003</v>
      </c>
      <c r="AD73" s="2">
        <f t="shared" ref="AD73:AD79" si="87">SUM(H73:K73)</f>
        <v>1142.7349999999999</v>
      </c>
      <c r="AE73" s="2">
        <f t="shared" ref="AE73:AE79" si="88">SUM(L73:O73)</f>
        <v>1419.8130000000001</v>
      </c>
    </row>
    <row r="74" spans="3:31" x14ac:dyDescent="0.25">
      <c r="C74" s="1" t="s">
        <v>145</v>
      </c>
      <c r="D74" s="2">
        <v>22.593</v>
      </c>
      <c r="E74" s="2">
        <v>23.6</v>
      </c>
      <c r="F74" s="2">
        <v>24.622</v>
      </c>
      <c r="G74" s="2">
        <v>29.524999999999999</v>
      </c>
      <c r="H74" s="2">
        <v>28.678000000000001</v>
      </c>
      <c r="I74" s="2">
        <v>30.178000000000001</v>
      </c>
      <c r="J74" s="2">
        <v>31.462</v>
      </c>
      <c r="K74" s="2">
        <v>34.365000000000002</v>
      </c>
      <c r="L74" s="2">
        <v>34.174999999999997</v>
      </c>
      <c r="M74" s="2">
        <v>34.637999999999998</v>
      </c>
      <c r="N74" s="2">
        <v>36</v>
      </c>
      <c r="O74" s="2">
        <v>37.331000000000003</v>
      </c>
      <c r="P74" s="2">
        <v>38.5</v>
      </c>
      <c r="Q74" s="2">
        <v>38.884</v>
      </c>
      <c r="R74" s="5">
        <v>40.271999999999998</v>
      </c>
      <c r="S74" s="2"/>
      <c r="Z74" s="2">
        <v>25.475999999999999</v>
      </c>
      <c r="AA74" s="2">
        <v>32.512999999999998</v>
      </c>
      <c r="AB74" s="2">
        <v>80.646000000000001</v>
      </c>
      <c r="AC74" s="2">
        <f t="shared" si="86"/>
        <v>100.34</v>
      </c>
      <c r="AD74" s="2">
        <f t="shared" si="87"/>
        <v>124.68299999999999</v>
      </c>
      <c r="AE74" s="2">
        <f t="shared" si="88"/>
        <v>142.14400000000001</v>
      </c>
    </row>
    <row r="75" spans="3:31" x14ac:dyDescent="0.25">
      <c r="C75" s="1" t="s">
        <v>115</v>
      </c>
      <c r="D75" s="2">
        <v>1.6</v>
      </c>
      <c r="E75" s="2">
        <v>-1.4</v>
      </c>
      <c r="F75" s="2">
        <v>-1</v>
      </c>
      <c r="G75" s="2">
        <v>-2.5230000000000001</v>
      </c>
      <c r="H75" s="2">
        <v>-0.35399999999999998</v>
      </c>
      <c r="I75" s="2">
        <v>0.32100000000000001</v>
      </c>
      <c r="J75" s="2">
        <v>2.2970000000000002</v>
      </c>
      <c r="K75" s="2">
        <v>-1.129</v>
      </c>
      <c r="L75" s="2">
        <v>-0.14499999999999999</v>
      </c>
      <c r="M75" s="2">
        <v>0.84199999999999997</v>
      </c>
      <c r="N75" s="2">
        <v>-60.749000000000002</v>
      </c>
      <c r="O75" s="2">
        <v>-88</v>
      </c>
      <c r="P75" s="2">
        <v>-3.4</v>
      </c>
      <c r="Q75" s="2">
        <v>-10</v>
      </c>
      <c r="R75" s="5">
        <v>-0.56699999999999995</v>
      </c>
      <c r="S75" s="2"/>
      <c r="Z75" s="2">
        <v>1.2</v>
      </c>
      <c r="AA75" s="2">
        <f>9.9+13.8</f>
        <v>23.700000000000003</v>
      </c>
      <c r="AB75" s="2">
        <f>-7.7-2.84</f>
        <v>-10.54</v>
      </c>
      <c r="AC75" s="2">
        <f t="shared" si="86"/>
        <v>-3.323</v>
      </c>
      <c r="AD75" s="2">
        <f t="shared" si="87"/>
        <v>1.1350000000000002</v>
      </c>
      <c r="AE75" s="2">
        <f t="shared" si="88"/>
        <v>-148.05199999999999</v>
      </c>
    </row>
    <row r="76" spans="3:31" x14ac:dyDescent="0.25">
      <c r="C76" s="1" t="s">
        <v>146</v>
      </c>
      <c r="D76" s="2">
        <v>0</v>
      </c>
      <c r="E76" s="2">
        <v>0</v>
      </c>
      <c r="F76" s="2">
        <v>4.2000000000000003E-2</v>
      </c>
      <c r="G76" s="2">
        <v>0.22</v>
      </c>
      <c r="H76" s="2">
        <v>1.4219999999999999</v>
      </c>
      <c r="I76" s="2">
        <v>1</v>
      </c>
      <c r="J76" s="2">
        <v>4.452</v>
      </c>
      <c r="K76" s="2">
        <v>7.3719999999999999</v>
      </c>
      <c r="L76" s="2">
        <v>7</v>
      </c>
      <c r="M76" s="2">
        <v>6.32</v>
      </c>
      <c r="N76" s="2">
        <v>3.738</v>
      </c>
      <c r="O76" s="2">
        <v>3.8940000000000001</v>
      </c>
      <c r="P76" s="2">
        <v>4.7</v>
      </c>
      <c r="Q76" s="2">
        <v>3</v>
      </c>
      <c r="R76" s="5">
        <v>2.5</v>
      </c>
      <c r="S76" s="2"/>
      <c r="Z76" s="2">
        <v>2.3E-2</v>
      </c>
      <c r="AA76" s="2">
        <v>2.468</v>
      </c>
      <c r="AB76" s="2">
        <v>0</v>
      </c>
      <c r="AC76" s="2">
        <f t="shared" si="86"/>
        <v>0.26200000000000001</v>
      </c>
      <c r="AD76" s="2">
        <f t="shared" si="87"/>
        <v>14.245999999999999</v>
      </c>
      <c r="AE76" s="2">
        <f t="shared" si="88"/>
        <v>20.951999999999998</v>
      </c>
    </row>
    <row r="77" spans="3:31" x14ac:dyDescent="0.25">
      <c r="C77" s="1" t="s">
        <v>147</v>
      </c>
      <c r="D77" s="2">
        <v>0</v>
      </c>
      <c r="E77" s="2">
        <v>-0.29799999999999999</v>
      </c>
      <c r="F77" s="2">
        <v>-0.27100000000000002</v>
      </c>
      <c r="G77" s="2">
        <v>0</v>
      </c>
      <c r="H77" s="2">
        <v>-0.59099999999999997</v>
      </c>
      <c r="I77" s="2">
        <v>0.14299999999999999</v>
      </c>
      <c r="J77" s="2">
        <v>0.432</v>
      </c>
      <c r="K77" s="2">
        <v>-2.3E-2</v>
      </c>
      <c r="L77" s="2">
        <v>-0.68799999999999994</v>
      </c>
      <c r="M77" s="2">
        <v>0.54500000000000004</v>
      </c>
      <c r="N77" s="2">
        <v>-6.7000000000000004E-2</v>
      </c>
      <c r="O77" s="2">
        <v>-0.161</v>
      </c>
      <c r="P77" s="2">
        <v>0</v>
      </c>
      <c r="Q77" s="2">
        <v>-0.33400000000000002</v>
      </c>
      <c r="R77" s="5">
        <v>-0.108</v>
      </c>
      <c r="S77" s="2"/>
      <c r="Z77" s="2">
        <v>-0.245</v>
      </c>
      <c r="AA77" s="2">
        <v>-1</v>
      </c>
      <c r="AB77" s="2">
        <v>-3.3</v>
      </c>
      <c r="AC77" s="2">
        <f t="shared" si="86"/>
        <v>-0.56899999999999995</v>
      </c>
      <c r="AD77" s="2">
        <f t="shared" si="87"/>
        <v>-3.8999999999999958E-2</v>
      </c>
      <c r="AE77" s="2">
        <f t="shared" si="88"/>
        <v>-0.37099999999999989</v>
      </c>
    </row>
    <row r="78" spans="3:31" x14ac:dyDescent="0.25">
      <c r="C78" s="1" t="s">
        <v>34</v>
      </c>
      <c r="D78" s="2">
        <v>-3.8</v>
      </c>
      <c r="E78" s="2">
        <v>-33.192999999999998</v>
      </c>
      <c r="F78" s="2">
        <v>-4</v>
      </c>
      <c r="G78" s="2">
        <v>-5.5620000000000003</v>
      </c>
      <c r="H78" s="2">
        <v>-16</v>
      </c>
      <c r="I78" s="2">
        <v>-55.1</v>
      </c>
      <c r="J78" s="2">
        <v>25.446999999999999</v>
      </c>
      <c r="K78" s="2">
        <v>-4.0629999999999997</v>
      </c>
      <c r="L78" s="2">
        <v>-6</v>
      </c>
      <c r="M78" s="2">
        <v>-63.168999999999997</v>
      </c>
      <c r="N78" s="2">
        <v>-5.7190000000000003</v>
      </c>
      <c r="O78" s="2">
        <v>0.42699999999999999</v>
      </c>
      <c r="P78" s="2">
        <v>-4.0999999999999996</v>
      </c>
      <c r="Q78" s="2">
        <v>-65.718999999999994</v>
      </c>
      <c r="R78" s="5">
        <v>-2</v>
      </c>
      <c r="S78" s="2"/>
      <c r="Z78" s="2">
        <v>-5.2930000000000001</v>
      </c>
      <c r="AA78" s="2">
        <v>-6.5</v>
      </c>
      <c r="AB78" s="2">
        <v>-26.794</v>
      </c>
      <c r="AC78" s="2">
        <f t="shared" si="86"/>
        <v>-46.554999999999993</v>
      </c>
      <c r="AD78" s="2">
        <f t="shared" si="87"/>
        <v>-49.715999999999994</v>
      </c>
      <c r="AE78" s="2">
        <f t="shared" si="88"/>
        <v>-74.460999999999984</v>
      </c>
    </row>
    <row r="79" spans="3:31" x14ac:dyDescent="0.25">
      <c r="C79" s="1" t="s">
        <v>148</v>
      </c>
      <c r="D79" s="2">
        <f>-33.464+6-5</f>
        <v>-32.463999999999999</v>
      </c>
      <c r="E79" s="2">
        <f>-10.272+2.956-8.811</f>
        <v>-16.127000000000002</v>
      </c>
      <c r="F79" s="2">
        <f>-15.655-7.12+4.2</f>
        <v>-18.574999999999999</v>
      </c>
      <c r="G79" s="2">
        <f>-12.684-0.574+2.241</f>
        <v>-11.016999999999999</v>
      </c>
      <c r="H79" s="2">
        <f>-11.1-2.656+6.547</f>
        <v>-7.2090000000000005</v>
      </c>
      <c r="I79" s="2">
        <f>-28.512+5.209-1</f>
        <v>-24.303000000000001</v>
      </c>
      <c r="J79" s="2">
        <f>-10.293-3.441+5.373</f>
        <v>-8.3609999999999971</v>
      </c>
      <c r="K79" s="2">
        <f>-22.456+3.932-6.181</f>
        <v>-24.705000000000002</v>
      </c>
      <c r="L79" s="2">
        <f>-48.283+1.967+2.125</f>
        <v>-44.191000000000003</v>
      </c>
      <c r="M79" s="2">
        <f>38.929+0.952-17.413</f>
        <v>22.468</v>
      </c>
      <c r="N79" s="2">
        <f>4.214-2+2.26</f>
        <v>4.4740000000000002</v>
      </c>
      <c r="O79" s="2">
        <f>-55.204+1.585+12</f>
        <v>-41.619</v>
      </c>
      <c r="P79" s="2">
        <f>18+1.9+2.3</f>
        <v>22.2</v>
      </c>
      <c r="Q79" s="2">
        <f>-35.2-3.7-7.8</f>
        <v>-46.7</v>
      </c>
      <c r="R79" s="5">
        <f>27.1-1+9</f>
        <v>35.1</v>
      </c>
      <c r="S79" s="2"/>
      <c r="Z79" s="2">
        <f>-17.276+1.358+13</f>
        <v>-2.9179999999999993</v>
      </c>
      <c r="AA79" s="2">
        <f>-32.345-0-2.2</f>
        <v>-34.545000000000002</v>
      </c>
      <c r="AB79" s="2">
        <f>-70.442-7-17.7</f>
        <v>-95.141999999999996</v>
      </c>
      <c r="AC79" s="2">
        <f t="shared" si="86"/>
        <v>-78.182999999999993</v>
      </c>
      <c r="AD79" s="2">
        <f t="shared" si="87"/>
        <v>-64.578000000000003</v>
      </c>
      <c r="AE79" s="2">
        <f t="shared" si="88"/>
        <v>-58.868000000000002</v>
      </c>
    </row>
    <row r="80" spans="3:31" x14ac:dyDescent="0.25">
      <c r="C80" s="6" t="s">
        <v>67</v>
      </c>
      <c r="D80" s="26">
        <f t="shared" ref="D80:N80" si="89">SUM(D73:D79)</f>
        <v>194.92899999999997</v>
      </c>
      <c r="E80" s="26">
        <f t="shared" si="89"/>
        <v>187.58199999999999</v>
      </c>
      <c r="F80" s="26">
        <f t="shared" si="89"/>
        <v>237.21099999999996</v>
      </c>
      <c r="G80" s="26">
        <f t="shared" si="89"/>
        <v>260.64299999999997</v>
      </c>
      <c r="H80" s="26">
        <f>SUM(H73:H79)</f>
        <v>276.94600000000003</v>
      </c>
      <c r="I80" s="26">
        <f>SUM(I73:I79)</f>
        <v>234.23899999999998</v>
      </c>
      <c r="J80" s="26">
        <f>SUM(J73:J79)</f>
        <v>342.86600000000004</v>
      </c>
      <c r="K80" s="26">
        <f>SUM(K73:K79)</f>
        <v>314.41500000000002</v>
      </c>
      <c r="L80" s="26">
        <f t="shared" si="89"/>
        <v>302.15100000000007</v>
      </c>
      <c r="M80" s="26">
        <f t="shared" si="89"/>
        <v>312.64400000000001</v>
      </c>
      <c r="N80" s="26">
        <f t="shared" si="89"/>
        <v>356.85599999999994</v>
      </c>
      <c r="O80" s="26">
        <f>SUM(O73:O79)</f>
        <v>329.50600000000009</v>
      </c>
      <c r="P80" s="26">
        <f>SUM(P73:P79)</f>
        <v>361.29999999999995</v>
      </c>
      <c r="Q80" s="26">
        <f t="shared" ref="Q80:S80" si="90">SUM(Q73:Q79)</f>
        <v>225.13100000000003</v>
      </c>
      <c r="R80" s="15">
        <f t="shared" si="90"/>
        <v>371.79700000000003</v>
      </c>
      <c r="S80" s="26">
        <f t="shared" si="90"/>
        <v>0</v>
      </c>
      <c r="V80" s="2"/>
      <c r="Z80" s="26">
        <f t="shared" ref="Z80" si="91">SUM(Z73:Z79)</f>
        <v>175.24299999999997</v>
      </c>
      <c r="AA80" s="26">
        <f t="shared" ref="AA80:AB80" si="92">SUM(AA73:AA79)</f>
        <v>315.63599999999997</v>
      </c>
      <c r="AB80" s="26">
        <f t="shared" si="92"/>
        <v>598.87000000000012</v>
      </c>
      <c r="AC80" s="26">
        <f t="shared" ref="AC80:AD80" si="93">SUM(AC73:AC79)</f>
        <v>880.36500000000012</v>
      </c>
      <c r="AD80" s="26">
        <f t="shared" si="93"/>
        <v>1168.4660000000001</v>
      </c>
      <c r="AE80" s="26">
        <f>SUM(AE73:AE79)</f>
        <v>1301.1570000000002</v>
      </c>
    </row>
    <row r="81" spans="3:34" x14ac:dyDescent="0.25"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5"/>
      <c r="S81" s="2"/>
      <c r="Z81" s="2"/>
      <c r="AA81" s="2"/>
      <c r="AB81" s="2"/>
    </row>
    <row r="82" spans="3:34" x14ac:dyDescent="0.25">
      <c r="C82" s="1" t="s">
        <v>149</v>
      </c>
      <c r="D82" s="2">
        <f>-7.135-14.016-74</f>
        <v>-95.150999999999996</v>
      </c>
      <c r="E82" s="2">
        <f>-9.629-14.796</f>
        <v>-24.424999999999997</v>
      </c>
      <c r="F82" s="2">
        <f>-9.555-13.866-184.729</f>
        <v>-208.15</v>
      </c>
      <c r="G82" s="2">
        <f>-9.959-17.983-14.322</f>
        <v>-42.263999999999996</v>
      </c>
      <c r="H82" s="2">
        <f>-10.664-11.477</f>
        <v>-22.140999999999998</v>
      </c>
      <c r="I82" s="2">
        <f>-12.149-10.629</f>
        <v>-22.777999999999999</v>
      </c>
      <c r="J82" s="2">
        <f>-10.991-7.972-47.536</f>
        <v>-66.498999999999995</v>
      </c>
      <c r="K82" s="2">
        <f>-18.169-12.141</f>
        <v>-30.310000000000002</v>
      </c>
      <c r="L82" s="2">
        <f>-17-19.345</f>
        <v>-36.344999999999999</v>
      </c>
      <c r="M82" s="2">
        <f>-16.392-16.153-4.328</f>
        <v>-36.873000000000005</v>
      </c>
      <c r="N82" s="2">
        <f>-17.939-14.326-0.001</f>
        <v>-32.265999999999998</v>
      </c>
      <c r="O82" s="2">
        <f>-19.984-15.494-3.254</f>
        <v>-38.731999999999999</v>
      </c>
      <c r="P82" s="2">
        <f>-16.635-16.974</f>
        <v>-33.609000000000002</v>
      </c>
      <c r="Q82" s="2">
        <f>-18.6-14.4-11.1-0.06</f>
        <v>-44.160000000000004</v>
      </c>
      <c r="R82" s="5">
        <f>-15.863-13.893+0.598</f>
        <v>-29.158000000000001</v>
      </c>
      <c r="S82" s="2"/>
      <c r="Z82" s="2">
        <f>-11.158-18.95-11.812</f>
        <v>-41.919999999999995</v>
      </c>
      <c r="AA82" s="2">
        <f>-13.635-23.251+46</f>
        <v>9.1139999999999972</v>
      </c>
      <c r="AB82" s="2">
        <f>-28.285-33.307-92.23</f>
        <v>-153.822</v>
      </c>
      <c r="AC82" s="2">
        <f>SUM(D82:G82)</f>
        <v>-369.99</v>
      </c>
      <c r="AD82" s="2">
        <f>SUM(H82:K82)</f>
        <v>-141.72800000000001</v>
      </c>
      <c r="AE82" s="2">
        <f>SUM(L82:O82)</f>
        <v>-144.21600000000001</v>
      </c>
      <c r="AF82" s="4">
        <v>140</v>
      </c>
    </row>
    <row r="83" spans="3:34" x14ac:dyDescent="0.25">
      <c r="C83" s="1" t="s">
        <v>150</v>
      </c>
      <c r="D83" s="2">
        <v>-1</v>
      </c>
      <c r="E83" s="2">
        <v>-2.4</v>
      </c>
      <c r="F83" s="2">
        <v>1.2</v>
      </c>
      <c r="G83" s="2">
        <v>0</v>
      </c>
      <c r="H83" s="2">
        <v>0</v>
      </c>
      <c r="I83" s="2">
        <v>1</v>
      </c>
      <c r="J83" s="2">
        <v>-0.19500000000000001</v>
      </c>
      <c r="K83" s="2">
        <v>1.117</v>
      </c>
      <c r="L83" s="2">
        <v>-6.3159999999999998</v>
      </c>
      <c r="M83" s="2">
        <v>1.5</v>
      </c>
      <c r="N83" s="2">
        <v>-100.127</v>
      </c>
      <c r="O83" s="2">
        <v>1.2350000000000001</v>
      </c>
      <c r="P83" s="2">
        <v>0.42699999999999999</v>
      </c>
      <c r="Q83" s="2">
        <v>-1</v>
      </c>
      <c r="R83" s="5">
        <v>-1.2</v>
      </c>
      <c r="S83" s="2"/>
      <c r="Z83" s="2">
        <v>-1</v>
      </c>
      <c r="AA83" s="2">
        <v>-2.2999999999999998</v>
      </c>
      <c r="AB83" s="2">
        <v>-1.1000000000000001</v>
      </c>
      <c r="AC83" s="2">
        <f>SUM(D83:G83)</f>
        <v>-2.2000000000000002</v>
      </c>
      <c r="AD83" s="2">
        <f>SUM(H83:K83)</f>
        <v>1.9219999999999999</v>
      </c>
      <c r="AE83" s="2">
        <f>SUM(L83:O83)</f>
        <v>-103.708</v>
      </c>
    </row>
    <row r="84" spans="3:34" x14ac:dyDescent="0.25">
      <c r="C84" s="6" t="s">
        <v>68</v>
      </c>
      <c r="D84" s="26">
        <f t="shared" ref="D84:N84" si="94">SUM(D82:D83)</f>
        <v>-96.150999999999996</v>
      </c>
      <c r="E84" s="26">
        <f t="shared" si="94"/>
        <v>-26.824999999999996</v>
      </c>
      <c r="F84" s="26">
        <f t="shared" si="94"/>
        <v>-206.95000000000002</v>
      </c>
      <c r="G84" s="26">
        <f t="shared" si="94"/>
        <v>-42.263999999999996</v>
      </c>
      <c r="H84" s="26">
        <f t="shared" si="94"/>
        <v>-22.140999999999998</v>
      </c>
      <c r="I84" s="26">
        <f t="shared" si="94"/>
        <v>-21.777999999999999</v>
      </c>
      <c r="J84" s="26">
        <f t="shared" si="94"/>
        <v>-66.693999999999988</v>
      </c>
      <c r="K84" s="26">
        <f t="shared" si="94"/>
        <v>-29.193000000000001</v>
      </c>
      <c r="L84" s="26">
        <f t="shared" si="94"/>
        <v>-42.661000000000001</v>
      </c>
      <c r="M84" s="26">
        <f t="shared" si="94"/>
        <v>-35.373000000000005</v>
      </c>
      <c r="N84" s="26">
        <f t="shared" si="94"/>
        <v>-132.393</v>
      </c>
      <c r="O84" s="26">
        <f>SUM(O82:O83)</f>
        <v>-37.497</v>
      </c>
      <c r="P84" s="26">
        <f>SUM(P82:P83)</f>
        <v>-33.182000000000002</v>
      </c>
      <c r="Q84" s="26">
        <f t="shared" ref="Q84:S84" si="95">SUM(Q82:Q83)</f>
        <v>-45.160000000000004</v>
      </c>
      <c r="R84" s="15">
        <f t="shared" si="95"/>
        <v>-30.358000000000001</v>
      </c>
      <c r="S84" s="26">
        <f t="shared" si="95"/>
        <v>0</v>
      </c>
      <c r="Z84" s="26">
        <f t="shared" ref="Z84" si="96">SUM(Z82:Z83)</f>
        <v>-42.919999999999995</v>
      </c>
      <c r="AA84" s="26">
        <f t="shared" ref="AA84" si="97">SUM(AA82:AA83)</f>
        <v>6.8139999999999974</v>
      </c>
      <c r="AB84" s="26">
        <f t="shared" ref="AB84" si="98">SUM(AB82:AB83)</f>
        <v>-154.922</v>
      </c>
      <c r="AC84" s="26">
        <f t="shared" ref="AC84:AD84" si="99">SUM(AC82:AC83)</f>
        <v>-372.19</v>
      </c>
      <c r="AD84" s="26">
        <f t="shared" si="99"/>
        <v>-139.80600000000001</v>
      </c>
      <c r="AE84" s="26">
        <f>SUM(AE82:AE83)</f>
        <v>-247.92400000000001</v>
      </c>
    </row>
    <row r="85" spans="3:34" x14ac:dyDescent="0.25"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5"/>
      <c r="S85" s="2"/>
      <c r="Z85" s="2"/>
      <c r="AA85" s="2"/>
      <c r="AB85" s="2"/>
    </row>
    <row r="86" spans="3:34" x14ac:dyDescent="0.25">
      <c r="C86" s="1" t="s">
        <v>151</v>
      </c>
      <c r="D86" s="2">
        <v>-3.48</v>
      </c>
      <c r="E86" s="2">
        <v>-3.7210000000000001</v>
      </c>
      <c r="F86" s="2">
        <v>-5</v>
      </c>
      <c r="G86" s="2">
        <v>-2</v>
      </c>
      <c r="H86" s="2">
        <v>-3.8980000000000001</v>
      </c>
      <c r="I86" s="2">
        <v>-3.839</v>
      </c>
      <c r="J86" s="2">
        <v>-5</v>
      </c>
      <c r="K86" s="2">
        <v>-6</v>
      </c>
      <c r="L86" s="2">
        <v>-4.3979999999999997</v>
      </c>
      <c r="M86" s="2">
        <v>-3.4169999999999998</v>
      </c>
      <c r="N86" s="2">
        <v>-4.7110000000000003</v>
      </c>
      <c r="O86" s="2">
        <v>-5.7460000000000004</v>
      </c>
      <c r="P86" s="2">
        <v>-5</v>
      </c>
      <c r="Q86" s="2">
        <v>-5</v>
      </c>
      <c r="R86" s="5">
        <v>-5</v>
      </c>
      <c r="S86" s="2"/>
      <c r="Z86" s="2">
        <v>-0.95</v>
      </c>
      <c r="AA86" s="2">
        <f>-190+0.351-5</f>
        <v>-194.649</v>
      </c>
      <c r="AB86" s="2">
        <v>-12.8</v>
      </c>
      <c r="AC86" s="2">
        <f>SUM(D86:G86)</f>
        <v>-14.201000000000001</v>
      </c>
      <c r="AD86" s="2">
        <f>SUM(H86:K86)</f>
        <v>-18.737000000000002</v>
      </c>
      <c r="AE86" s="2">
        <f>SUM(L86:O86)</f>
        <v>-18.271999999999998</v>
      </c>
    </row>
    <row r="87" spans="3:34" x14ac:dyDescent="0.25">
      <c r="C87" s="1" t="s">
        <v>152</v>
      </c>
      <c r="D87" s="2">
        <v>-75.590999999999994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-115.758</v>
      </c>
      <c r="L87" s="2">
        <v>-284.03300000000002</v>
      </c>
      <c r="M87" s="2">
        <v>0</v>
      </c>
      <c r="N87" s="2">
        <v>-243.59899999999999</v>
      </c>
      <c r="O87" s="2">
        <v>-150.35599999999999</v>
      </c>
      <c r="P87" s="2">
        <v>-154</v>
      </c>
      <c r="Q87" s="2">
        <v>-65.381</v>
      </c>
      <c r="R87" s="5">
        <v>-187</v>
      </c>
      <c r="S87" s="2"/>
      <c r="Z87" s="2">
        <v>-3.5</v>
      </c>
      <c r="AA87" s="2">
        <v>-9.8000000000000007</v>
      </c>
      <c r="AB87" s="25">
        <v>-123.315</v>
      </c>
      <c r="AC87" s="2">
        <f>SUM(D87:G87)</f>
        <v>-75.590999999999994</v>
      </c>
      <c r="AD87" s="2">
        <f>SUM(H87:K87)</f>
        <v>-115.758</v>
      </c>
      <c r="AE87" s="2">
        <v>-677.98800000000006</v>
      </c>
    </row>
    <row r="88" spans="3:34" x14ac:dyDescent="0.25">
      <c r="C88" s="1" t="s">
        <v>153</v>
      </c>
      <c r="D88" s="2">
        <v>-1</v>
      </c>
      <c r="E88" s="2">
        <v>0</v>
      </c>
      <c r="F88" s="2">
        <v>-0.16600000000000001</v>
      </c>
      <c r="G88" s="2">
        <v>-0.29899999999999999</v>
      </c>
      <c r="H88" s="2">
        <v>-56.689</v>
      </c>
      <c r="I88" s="2">
        <v>-0.94399999999999995</v>
      </c>
      <c r="J88" s="2">
        <v>-0.24099999999999999</v>
      </c>
      <c r="K88" s="2">
        <v>9.6869999999999994</v>
      </c>
      <c r="L88" s="2">
        <v>-59.319000000000003</v>
      </c>
      <c r="M88" s="2">
        <v>-0.126</v>
      </c>
      <c r="N88" s="25">
        <v>0.09</v>
      </c>
      <c r="O88" s="2">
        <v>-2.4E-2</v>
      </c>
      <c r="P88" s="2">
        <v>0</v>
      </c>
      <c r="Q88" s="2">
        <v>1.8</v>
      </c>
      <c r="R88" s="5">
        <v>1.6</v>
      </c>
      <c r="S88" s="2"/>
      <c r="U88" s="2"/>
      <c r="Z88" s="1">
        <v>0</v>
      </c>
      <c r="AA88" s="2">
        <v>4.5</v>
      </c>
      <c r="AB88" s="2">
        <v>8.8000000000000007</v>
      </c>
      <c r="AC88" s="2">
        <f>SUM(D88:G88)</f>
        <v>-1.4649999999999999</v>
      </c>
      <c r="AD88" s="2">
        <f>SUM(H88:K88)</f>
        <v>-48.187000000000005</v>
      </c>
      <c r="AE88" s="2">
        <f>SUM(L88:O88)</f>
        <v>-59.378999999999998</v>
      </c>
      <c r="AG88" s="2"/>
      <c r="AH88" s="2"/>
    </row>
    <row r="89" spans="3:34" x14ac:dyDescent="0.25">
      <c r="C89" s="1" t="s">
        <v>154</v>
      </c>
      <c r="D89" s="2">
        <v>0</v>
      </c>
      <c r="E89" s="2">
        <v>0</v>
      </c>
      <c r="F89" s="2">
        <v>0</v>
      </c>
      <c r="G89" s="2">
        <v>0</v>
      </c>
      <c r="H89" s="2">
        <v>32.700000000000003</v>
      </c>
      <c r="I89" s="2">
        <v>3</v>
      </c>
      <c r="J89" s="2">
        <v>0</v>
      </c>
      <c r="K89" s="2">
        <v>0</v>
      </c>
      <c r="L89" s="2">
        <v>76.988</v>
      </c>
      <c r="M89" s="2">
        <v>1.9E-2</v>
      </c>
      <c r="N89" s="2">
        <v>0</v>
      </c>
      <c r="O89" s="2">
        <v>0</v>
      </c>
      <c r="P89" s="2">
        <v>0</v>
      </c>
      <c r="Q89" s="2">
        <v>0</v>
      </c>
      <c r="R89" s="5">
        <v>0</v>
      </c>
      <c r="S89" s="2"/>
      <c r="Z89" s="2">
        <v>11.72</v>
      </c>
      <c r="AA89" s="2">
        <v>-76.14</v>
      </c>
      <c r="AB89" s="2">
        <v>23.1</v>
      </c>
      <c r="AC89" s="2">
        <f>SUM(D89:G89)</f>
        <v>0</v>
      </c>
      <c r="AD89" s="2">
        <f>SUM(H89:K89)</f>
        <v>35.700000000000003</v>
      </c>
      <c r="AE89" s="2">
        <f>SUM(L89:O89)</f>
        <v>77.007000000000005</v>
      </c>
      <c r="AH89" s="2"/>
    </row>
    <row r="90" spans="3:34" x14ac:dyDescent="0.25">
      <c r="C90" s="1" t="s">
        <v>155</v>
      </c>
      <c r="D90" s="2">
        <v>0</v>
      </c>
      <c r="E90" s="2">
        <v>-303.16699999999997</v>
      </c>
      <c r="F90" s="2">
        <v>0</v>
      </c>
      <c r="G90" s="2">
        <v>0</v>
      </c>
      <c r="H90" s="2">
        <v>0</v>
      </c>
      <c r="I90" s="2">
        <v>-427.39800000000002</v>
      </c>
      <c r="J90" s="2">
        <v>0</v>
      </c>
      <c r="K90" s="2">
        <v>0</v>
      </c>
      <c r="L90" s="2">
        <v>0</v>
      </c>
      <c r="M90" s="2">
        <v>-559.26599999999996</v>
      </c>
      <c r="N90" s="2">
        <v>0</v>
      </c>
      <c r="O90" s="2">
        <v>0</v>
      </c>
      <c r="P90" s="2">
        <v>0</v>
      </c>
      <c r="Q90" s="2">
        <v>-572.49400000000003</v>
      </c>
      <c r="R90" s="5">
        <v>0</v>
      </c>
      <c r="S90" s="2"/>
      <c r="V90" s="2"/>
      <c r="Z90" s="2">
        <v>-43.164000000000001</v>
      </c>
      <c r="AA90" s="2">
        <v>-3</v>
      </c>
      <c r="AB90" s="2">
        <v>-144.38200000000001</v>
      </c>
      <c r="AC90" s="2">
        <f>SUM(D90:G90)</f>
        <v>-303.16699999999997</v>
      </c>
      <c r="AD90" s="2">
        <f>SUM(H90:K90)</f>
        <v>-427.39800000000002</v>
      </c>
      <c r="AE90" s="2">
        <f>SUM(L90:O90)</f>
        <v>-559.26599999999996</v>
      </c>
      <c r="AH90" s="2"/>
    </row>
    <row r="91" spans="3:34" x14ac:dyDescent="0.25">
      <c r="C91" s="6" t="s">
        <v>69</v>
      </c>
      <c r="D91" s="26">
        <f t="shared" ref="D91:M91" si="100">SUM(D86:D90)</f>
        <v>-80.070999999999998</v>
      </c>
      <c r="E91" s="26">
        <f t="shared" si="100"/>
        <v>-306.88799999999998</v>
      </c>
      <c r="F91" s="26">
        <f t="shared" si="100"/>
        <v>-5.1660000000000004</v>
      </c>
      <c r="G91" s="26">
        <f t="shared" si="100"/>
        <v>-2.2989999999999999</v>
      </c>
      <c r="H91" s="26">
        <f>SUM(H86:H90)</f>
        <v>-27.887</v>
      </c>
      <c r="I91" s="26">
        <f t="shared" si="100"/>
        <v>-429.18100000000004</v>
      </c>
      <c r="J91" s="26">
        <f t="shared" si="100"/>
        <v>-5.2409999999999997</v>
      </c>
      <c r="K91" s="26">
        <f t="shared" si="100"/>
        <v>-112.071</v>
      </c>
      <c r="L91" s="26">
        <f t="shared" si="100"/>
        <v>-270.76200000000006</v>
      </c>
      <c r="M91" s="26">
        <f t="shared" si="100"/>
        <v>-562.79</v>
      </c>
      <c r="N91" s="26">
        <f>SUM(N86:N90)</f>
        <v>-248.22</v>
      </c>
      <c r="O91" s="26">
        <f>SUM(O86:O90)</f>
        <v>-156.126</v>
      </c>
      <c r="P91" s="26">
        <f>SUM(P86:P90)</f>
        <v>-159</v>
      </c>
      <c r="Q91" s="26">
        <f t="shared" ref="Q91:S91" si="101">SUM(Q86:Q90)</f>
        <v>-641.07500000000005</v>
      </c>
      <c r="R91" s="15">
        <f t="shared" si="101"/>
        <v>-190.4</v>
      </c>
      <c r="S91" s="26">
        <f t="shared" si="101"/>
        <v>0</v>
      </c>
      <c r="V91" s="2"/>
      <c r="Z91" s="26">
        <f>SUM(Z86:Z90)</f>
        <v>-35.893999999999998</v>
      </c>
      <c r="AA91" s="26">
        <f t="shared" ref="AA91" si="102">SUM(AA86:AA90)</f>
        <v>-279.089</v>
      </c>
      <c r="AB91" s="26">
        <f>SUM(AB86:AB90)</f>
        <v>-248.59700000000001</v>
      </c>
      <c r="AC91" s="26">
        <f>SUM(AC86:AC90)</f>
        <v>-394.42399999999998</v>
      </c>
      <c r="AD91" s="26">
        <f>SUM(AD86:AD90)</f>
        <v>-574.38000000000011</v>
      </c>
      <c r="AE91" s="26">
        <f>SUM(AE86:AE90)</f>
        <v>-1237.8980000000001</v>
      </c>
      <c r="AH91" s="2"/>
    </row>
    <row r="92" spans="3:34" x14ac:dyDescent="0.25"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5"/>
      <c r="S92" s="2"/>
      <c r="Z92" s="2"/>
      <c r="AA92" s="2"/>
      <c r="AB92" s="2"/>
    </row>
    <row r="93" spans="3:34" x14ac:dyDescent="0.25">
      <c r="C93" s="1" t="s">
        <v>156</v>
      </c>
      <c r="D93" s="2">
        <v>0</v>
      </c>
      <c r="E93" s="2">
        <v>2</v>
      </c>
      <c r="F93" s="2">
        <v>0</v>
      </c>
      <c r="G93" s="2">
        <v>0</v>
      </c>
      <c r="H93" s="2">
        <v>0</v>
      </c>
      <c r="I93" s="2">
        <v>0</v>
      </c>
      <c r="J93" s="2">
        <v>0.748</v>
      </c>
      <c r="K93" s="2">
        <v>-0.621</v>
      </c>
      <c r="L93" s="2">
        <v>0</v>
      </c>
      <c r="M93" s="2">
        <v>0</v>
      </c>
      <c r="N93" s="2">
        <v>-1</v>
      </c>
      <c r="O93" s="2">
        <v>1.86</v>
      </c>
      <c r="P93" s="2">
        <v>-1.2</v>
      </c>
      <c r="Q93" s="2">
        <v>-3</v>
      </c>
      <c r="R93" s="5">
        <v>0</v>
      </c>
      <c r="S93" s="2"/>
      <c r="Z93" s="2">
        <v>0</v>
      </c>
      <c r="AA93" s="2">
        <v>0</v>
      </c>
      <c r="AB93" s="2">
        <v>0</v>
      </c>
      <c r="AC93" s="1">
        <v>0</v>
      </c>
      <c r="AD93" s="1">
        <v>0</v>
      </c>
      <c r="AE93" s="2">
        <f>SUM(L93:O93)</f>
        <v>0.8600000000000001</v>
      </c>
    </row>
    <row r="94" spans="3:34" x14ac:dyDescent="0.25"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5"/>
      <c r="S94" s="2"/>
      <c r="Z94" s="2"/>
      <c r="AA94" s="2"/>
      <c r="AB94" s="2"/>
    </row>
    <row r="95" spans="3:34" x14ac:dyDescent="0.25">
      <c r="C95" s="6" t="s">
        <v>157</v>
      </c>
      <c r="D95" s="26">
        <f t="shared" ref="D95:N95" si="103">D80+D84+D91+D93</f>
        <v>18.706999999999979</v>
      </c>
      <c r="E95" s="26">
        <f t="shared" si="103"/>
        <v>-144.13099999999997</v>
      </c>
      <c r="F95" s="26">
        <f t="shared" si="103"/>
        <v>25.094999999999938</v>
      </c>
      <c r="G95" s="26">
        <f t="shared" si="103"/>
        <v>216.07999999999996</v>
      </c>
      <c r="H95" s="26">
        <f>H80+H84+H91+H93</f>
        <v>226.91800000000003</v>
      </c>
      <c r="I95" s="26">
        <f t="shared" si="103"/>
        <v>-216.72000000000006</v>
      </c>
      <c r="J95" s="26">
        <f t="shared" si="103"/>
        <v>271.67900000000003</v>
      </c>
      <c r="K95" s="26">
        <f t="shared" si="103"/>
        <v>172.53000000000003</v>
      </c>
      <c r="L95" s="26">
        <f t="shared" si="103"/>
        <v>-11.271999999999991</v>
      </c>
      <c r="M95" s="26">
        <f t="shared" si="103"/>
        <v>-285.51899999999995</v>
      </c>
      <c r="N95" s="26">
        <f t="shared" si="103"/>
        <v>-24.757000000000062</v>
      </c>
      <c r="O95" s="26">
        <f>O80+O84+O91+O93</f>
        <v>137.74300000000008</v>
      </c>
      <c r="P95" s="26">
        <f>P80+P84+P91+P93</f>
        <v>167.91799999999995</v>
      </c>
      <c r="Q95" s="26">
        <f t="shared" ref="Q95:S95" si="104">Q80+Q84+Q91+Q93</f>
        <v>-464.10400000000004</v>
      </c>
      <c r="R95" s="15">
        <f t="shared" si="104"/>
        <v>151.03900000000002</v>
      </c>
      <c r="S95" s="26">
        <f t="shared" si="104"/>
        <v>0</v>
      </c>
      <c r="Z95" s="26">
        <f t="shared" ref="Z95:AB95" si="105">Z80+Z84+Z91+Z93</f>
        <v>96.428999999999974</v>
      </c>
      <c r="AA95" s="26">
        <f t="shared" si="105"/>
        <v>43.36099999999999</v>
      </c>
      <c r="AB95" s="26">
        <f t="shared" si="105"/>
        <v>195.35100000000008</v>
      </c>
      <c r="AC95" s="26">
        <f t="shared" ref="AC95:AD95" si="106">AC80+AC84+AC91+AC93</f>
        <v>113.75100000000015</v>
      </c>
      <c r="AD95" s="26">
        <f t="shared" si="106"/>
        <v>454.28</v>
      </c>
      <c r="AE95" s="26">
        <f>AE80+AE84+AE91+AE93</f>
        <v>-183.80499999999995</v>
      </c>
    </row>
    <row r="96" spans="3:34" x14ac:dyDescent="0.25"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5"/>
      <c r="S96" s="2"/>
      <c r="V96" s="2"/>
      <c r="Z96" s="2"/>
      <c r="AA96" s="2"/>
      <c r="AB96" s="2"/>
    </row>
    <row r="97" spans="3:31" x14ac:dyDescent="0.25">
      <c r="C97" s="1" t="s">
        <v>158</v>
      </c>
      <c r="D97" s="2">
        <f t="shared" ref="D97:O97" si="107">D80+D82</f>
        <v>99.777999999999977</v>
      </c>
      <c r="E97" s="2">
        <f t="shared" si="107"/>
        <v>163.15699999999998</v>
      </c>
      <c r="F97" s="2">
        <f t="shared" si="107"/>
        <v>29.06099999999995</v>
      </c>
      <c r="G97" s="2">
        <f t="shared" si="107"/>
        <v>218.37899999999996</v>
      </c>
      <c r="H97" s="2">
        <f t="shared" si="107"/>
        <v>254.80500000000004</v>
      </c>
      <c r="I97" s="2">
        <f t="shared" si="107"/>
        <v>211.46099999999998</v>
      </c>
      <c r="J97" s="2">
        <f t="shared" si="107"/>
        <v>276.36700000000008</v>
      </c>
      <c r="K97" s="2">
        <f t="shared" si="107"/>
        <v>284.10500000000002</v>
      </c>
      <c r="L97" s="2">
        <f t="shared" si="107"/>
        <v>265.80600000000004</v>
      </c>
      <c r="M97" s="2">
        <f t="shared" si="107"/>
        <v>275.77100000000002</v>
      </c>
      <c r="N97" s="2">
        <f t="shared" si="107"/>
        <v>324.58999999999992</v>
      </c>
      <c r="O97" s="2">
        <f t="shared" si="107"/>
        <v>290.77400000000011</v>
      </c>
      <c r="P97" s="2">
        <f>P80+P82</f>
        <v>327.69099999999997</v>
      </c>
      <c r="Q97" s="2">
        <f t="shared" ref="Q97:S97" si="108">Q80+Q82</f>
        <v>180.97100000000003</v>
      </c>
      <c r="R97" s="5">
        <f t="shared" si="108"/>
        <v>342.63900000000001</v>
      </c>
      <c r="S97" s="2">
        <f t="shared" si="108"/>
        <v>0</v>
      </c>
      <c r="Z97" s="2">
        <f t="shared" ref="Z97:AB97" si="109">Z80+Z82</f>
        <v>133.32299999999998</v>
      </c>
      <c r="AA97" s="2">
        <f t="shared" si="109"/>
        <v>324.74999999999994</v>
      </c>
      <c r="AB97" s="2">
        <f t="shared" si="109"/>
        <v>445.04800000000012</v>
      </c>
      <c r="AC97" s="2">
        <f t="shared" ref="AC97:AD97" si="110">AC80+AC82</f>
        <v>510.37500000000011</v>
      </c>
      <c r="AD97" s="2">
        <f t="shared" si="110"/>
        <v>1026.7380000000001</v>
      </c>
      <c r="AE97" s="2">
        <f>AE80+AE82</f>
        <v>1156.9410000000003</v>
      </c>
    </row>
    <row r="98" spans="3:31" x14ac:dyDescent="0.25"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3:31" x14ac:dyDescent="0.25"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3:31" x14ac:dyDescent="0.25"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AC100" s="2"/>
      <c r="AD100" s="2"/>
      <c r="AE100" s="2"/>
    </row>
    <row r="101" spans="3:31" x14ac:dyDescent="0.25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3:31" x14ac:dyDescent="0.25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3:31" x14ac:dyDescent="0.25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3:31" x14ac:dyDescent="0.25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3:31" x14ac:dyDescent="0.25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3:31" x14ac:dyDescent="0.25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3:31" x14ac:dyDescent="0.25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3:31" x14ac:dyDescent="0.25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3:31" x14ac:dyDescent="0.25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</sheetData>
  <phoneticPr fontId="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E4429-A0A3-E547-8E55-0B09D9392765}">
  <dimension ref="A2:AD25"/>
  <sheetViews>
    <sheetView showGridLines="0" workbookViewId="0">
      <pane xSplit="5" ySplit="4" topLeftCell="N5" activePane="bottomRight" state="frozen"/>
      <selection pane="topRight" activeCell="F1" sqref="F1"/>
      <selection pane="bottomLeft" activeCell="A5" sqref="A5"/>
      <selection pane="bottomRight" activeCell="Z20" sqref="Z20"/>
    </sheetView>
  </sheetViews>
  <sheetFormatPr baseColWidth="10" defaultRowHeight="19" x14ac:dyDescent="0.25"/>
  <cols>
    <col min="1" max="4" width="10.83203125" style="1"/>
    <col min="5" max="5" width="22.6640625" style="4" customWidth="1"/>
    <col min="6" max="18" width="10.83203125" style="1"/>
    <col min="19" max="19" width="11.1640625" style="1" bestFit="1" customWidth="1"/>
    <col min="20" max="20" width="11.1640625" style="1" customWidth="1"/>
    <col min="21" max="16384" width="10.83203125" style="1"/>
  </cols>
  <sheetData>
    <row r="2" spans="1:30" x14ac:dyDescent="0.25">
      <c r="E2" s="38" t="s">
        <v>119</v>
      </c>
    </row>
    <row r="4" spans="1:30" s="22" customFormat="1" x14ac:dyDescent="0.25">
      <c r="E4" s="42" t="s">
        <v>110</v>
      </c>
      <c r="F4" s="41" t="s">
        <v>9</v>
      </c>
      <c r="G4" s="41" t="s">
        <v>10</v>
      </c>
      <c r="H4" s="41" t="s">
        <v>11</v>
      </c>
      <c r="I4" s="41" t="s">
        <v>12</v>
      </c>
      <c r="J4" s="69">
        <v>2022</v>
      </c>
      <c r="K4" s="41" t="s">
        <v>13</v>
      </c>
      <c r="L4" s="41" t="s">
        <v>14</v>
      </c>
      <c r="M4" s="41" t="s">
        <v>16</v>
      </c>
      <c r="N4" s="41" t="s">
        <v>17</v>
      </c>
      <c r="O4" s="69">
        <v>2023</v>
      </c>
      <c r="P4" s="41" t="s">
        <v>18</v>
      </c>
      <c r="Q4" s="41" t="s">
        <v>19</v>
      </c>
      <c r="R4" s="41" t="s">
        <v>15</v>
      </c>
      <c r="S4" s="41" t="s">
        <v>20</v>
      </c>
      <c r="T4" s="69">
        <v>2024</v>
      </c>
      <c r="U4" s="41" t="s">
        <v>98</v>
      </c>
      <c r="V4" s="41" t="s">
        <v>99</v>
      </c>
      <c r="W4" s="41" t="s">
        <v>101</v>
      </c>
      <c r="X4" s="41" t="s">
        <v>100</v>
      </c>
      <c r="Y4" s="66">
        <v>2025</v>
      </c>
      <c r="Z4" s="41" t="s">
        <v>205</v>
      </c>
      <c r="AA4" s="41" t="s">
        <v>206</v>
      </c>
      <c r="AB4" s="41" t="s">
        <v>207</v>
      </c>
      <c r="AC4" s="41" t="s">
        <v>208</v>
      </c>
      <c r="AD4" s="66">
        <v>2026</v>
      </c>
    </row>
    <row r="5" spans="1:30" x14ac:dyDescent="0.25">
      <c r="E5" s="46" t="s">
        <v>111</v>
      </c>
      <c r="F5" s="74">
        <v>152.4</v>
      </c>
      <c r="G5" s="74">
        <v>151.9</v>
      </c>
      <c r="H5" s="74">
        <v>159.19999999999999</v>
      </c>
      <c r="I5" s="74">
        <v>170</v>
      </c>
      <c r="J5" s="75">
        <f>SUM(F5:I5)</f>
        <v>633.5</v>
      </c>
      <c r="K5" s="74">
        <v>173.7</v>
      </c>
      <c r="L5" s="74">
        <v>175.2</v>
      </c>
      <c r="M5" s="74">
        <v>175.1</v>
      </c>
      <c r="N5" s="74">
        <v>185.8</v>
      </c>
      <c r="O5" s="75">
        <f>SUM(K5:N5)</f>
        <v>709.8</v>
      </c>
      <c r="P5" s="74">
        <v>191</v>
      </c>
      <c r="Q5" s="74">
        <v>191.3</v>
      </c>
      <c r="R5" s="74">
        <v>194.9</v>
      </c>
      <c r="S5" s="74">
        <v>201.8</v>
      </c>
      <c r="T5" s="75">
        <f>SUM(P5:S5)</f>
        <v>779</v>
      </c>
      <c r="U5" s="25">
        <v>189.7</v>
      </c>
      <c r="V5" s="25">
        <v>180.2</v>
      </c>
      <c r="W5" s="25">
        <v>182.2</v>
      </c>
      <c r="X5" s="25"/>
      <c r="Y5" s="75">
        <f>SUM(U5:X5)</f>
        <v>552.09999999999991</v>
      </c>
      <c r="Z5" s="25"/>
      <c r="AA5" s="25"/>
      <c r="AB5" s="25"/>
      <c r="AC5" s="25"/>
      <c r="AD5" s="75">
        <f>SUM(Z5:AC5)</f>
        <v>0</v>
      </c>
    </row>
    <row r="6" spans="1:30" x14ac:dyDescent="0.25">
      <c r="E6" s="50" t="s">
        <v>118</v>
      </c>
      <c r="F6" s="47">
        <f t="shared" ref="F6:R6" si="0">F5/F15</f>
        <v>0.46619761394921994</v>
      </c>
      <c r="G6" s="47">
        <f t="shared" si="0"/>
        <v>0.44156976744186049</v>
      </c>
      <c r="H6" s="47">
        <f t="shared" si="0"/>
        <v>0.42060766182298542</v>
      </c>
      <c r="I6" s="47">
        <f t="shared" si="0"/>
        <v>0.41717791411042948</v>
      </c>
      <c r="J6" s="67">
        <f t="shared" si="0"/>
        <v>0.43482737318964931</v>
      </c>
      <c r="K6" s="47">
        <f t="shared" si="0"/>
        <v>0.40432960893854741</v>
      </c>
      <c r="L6" s="47">
        <f t="shared" si="0"/>
        <v>0.3971888460666515</v>
      </c>
      <c r="M6" s="47">
        <f t="shared" si="0"/>
        <v>0.38687582854617764</v>
      </c>
      <c r="N6" s="47">
        <f t="shared" si="0"/>
        <v>0.3909110035766884</v>
      </c>
      <c r="O6" s="67">
        <f>O5/O15</f>
        <v>0.3946402757700434</v>
      </c>
      <c r="P6" s="47">
        <f t="shared" si="0"/>
        <v>0.38085742771684938</v>
      </c>
      <c r="Q6" s="47">
        <f t="shared" si="0"/>
        <v>0.37627852084972463</v>
      </c>
      <c r="R6" s="47">
        <f t="shared" si="0"/>
        <v>0.37516843118383064</v>
      </c>
      <c r="S6" s="47">
        <f>S5/S15</f>
        <v>0.37804421131509924</v>
      </c>
      <c r="T6" s="67">
        <f>T5/T15</f>
        <v>0.3775688251260178</v>
      </c>
      <c r="U6" s="47">
        <f>U5/U15</f>
        <v>0.3641773852946823</v>
      </c>
      <c r="V6" s="47">
        <f>V5/V15</f>
        <v>0.34369635704749191</v>
      </c>
      <c r="W6" s="47">
        <f>W5/W15</f>
        <v>0.35922712933753947</v>
      </c>
      <c r="X6" s="47" t="e">
        <f t="shared" ref="X6" si="1">X5/X15</f>
        <v>#DIV/0!</v>
      </c>
      <c r="Y6" s="67">
        <f>Y5/Y15</f>
        <v>0.35564287554753926</v>
      </c>
      <c r="Z6" s="47" t="e">
        <f>Z5/Z15</f>
        <v>#DIV/0!</v>
      </c>
      <c r="AA6" s="47" t="e">
        <f>AA5/AA15</f>
        <v>#DIV/0!</v>
      </c>
      <c r="AB6" s="47" t="e">
        <f>AB5/AB15</f>
        <v>#DIV/0!</v>
      </c>
      <c r="AC6" s="47" t="e">
        <f t="shared" ref="AC6" si="2">AC5/AC15</f>
        <v>#DIV/0!</v>
      </c>
      <c r="AD6" s="67" t="e">
        <f>AD5/AD15</f>
        <v>#DIV/0!</v>
      </c>
    </row>
    <row r="7" spans="1:30" x14ac:dyDescent="0.25">
      <c r="E7" s="4" t="s">
        <v>112</v>
      </c>
      <c r="F7" s="25">
        <v>103.4</v>
      </c>
      <c r="G7" s="25">
        <v>110.9</v>
      </c>
      <c r="H7" s="25">
        <v>127.8</v>
      </c>
      <c r="I7" s="25">
        <v>136.19999999999999</v>
      </c>
      <c r="J7" s="75">
        <f>SUM(F7:I7)</f>
        <v>478.3</v>
      </c>
      <c r="K7" s="25">
        <v>154</v>
      </c>
      <c r="L7" s="25">
        <v>164.5</v>
      </c>
      <c r="M7" s="25">
        <v>172.1</v>
      </c>
      <c r="N7" s="25">
        <v>181.7</v>
      </c>
      <c r="O7" s="75">
        <f>SUM(K7:N7)</f>
        <v>672.3</v>
      </c>
      <c r="P7" s="25">
        <v>197.6</v>
      </c>
      <c r="Q7" s="25">
        <v>200.7</v>
      </c>
      <c r="R7" s="25">
        <v>202.2</v>
      </c>
      <c r="S7" s="25">
        <v>202.2</v>
      </c>
      <c r="T7" s="75">
        <f>SUM(P7:S7)</f>
        <v>802.7</v>
      </c>
      <c r="U7" s="25">
        <v>201.9</v>
      </c>
      <c r="V7" s="25">
        <v>209.1</v>
      </c>
      <c r="W7" s="25">
        <v>189.1</v>
      </c>
      <c r="X7" s="25"/>
      <c r="Y7" s="75">
        <f>SUM(U7:X7)</f>
        <v>600.1</v>
      </c>
      <c r="Z7" s="25"/>
      <c r="AA7" s="25"/>
      <c r="AB7" s="25"/>
      <c r="AC7" s="25"/>
      <c r="AD7" s="75">
        <f>SUM(Z7:AC7)</f>
        <v>0</v>
      </c>
    </row>
    <row r="8" spans="1:30" x14ac:dyDescent="0.25">
      <c r="E8" s="48" t="s">
        <v>118</v>
      </c>
      <c r="F8" s="47">
        <f t="shared" ref="F8:R8" si="3">F7/F15</f>
        <v>0.31630468033037623</v>
      </c>
      <c r="G8" s="47">
        <f t="shared" si="3"/>
        <v>0.3223837209302326</v>
      </c>
      <c r="H8" s="47">
        <f t="shared" si="3"/>
        <v>0.33764861294583881</v>
      </c>
      <c r="I8" s="47">
        <f t="shared" si="3"/>
        <v>0.33423312883435585</v>
      </c>
      <c r="J8" s="67">
        <f>J7/J15</f>
        <v>0.32829981467499492</v>
      </c>
      <c r="K8" s="47">
        <f t="shared" si="3"/>
        <v>0.35847299813780259</v>
      </c>
      <c r="L8" s="47">
        <f t="shared" si="3"/>
        <v>0.37293130809340286</v>
      </c>
      <c r="M8" s="47">
        <f t="shared" si="3"/>
        <v>0.38024745912505525</v>
      </c>
      <c r="N8" s="47">
        <f t="shared" si="3"/>
        <v>0.38228487271197131</v>
      </c>
      <c r="O8" s="67">
        <f t="shared" si="3"/>
        <v>0.37379072612031583</v>
      </c>
      <c r="P8" s="47">
        <f t="shared" si="3"/>
        <v>0.39401794616151542</v>
      </c>
      <c r="Q8" s="47">
        <f t="shared" si="3"/>
        <v>0.3947678992918961</v>
      </c>
      <c r="R8" s="47">
        <f t="shared" si="3"/>
        <v>0.38922040423484117</v>
      </c>
      <c r="S8" s="47">
        <f>S7/S15</f>
        <v>0.37879355563881595</v>
      </c>
      <c r="T8" s="67">
        <f>T7/T15</f>
        <v>0.38905583559519191</v>
      </c>
      <c r="U8" s="47">
        <f t="shared" ref="U8:X8" si="4">U7/U15</f>
        <v>0.387598387406412</v>
      </c>
      <c r="V8" s="47">
        <f t="shared" si="4"/>
        <v>0.39881747091359909</v>
      </c>
      <c r="W8" s="47">
        <f t="shared" si="4"/>
        <v>0.37283123028391169</v>
      </c>
      <c r="X8" s="47" t="e">
        <f t="shared" si="4"/>
        <v>#DIV/0!</v>
      </c>
      <c r="Y8" s="67">
        <f>Y7/Y15</f>
        <v>0.38656274156145326</v>
      </c>
      <c r="Z8" s="47" t="e">
        <f t="shared" ref="Z8:AC8" si="5">Z7/Z15</f>
        <v>#DIV/0!</v>
      </c>
      <c r="AA8" s="47" t="e">
        <f t="shared" si="5"/>
        <v>#DIV/0!</v>
      </c>
      <c r="AB8" s="47" t="e">
        <f t="shared" si="5"/>
        <v>#DIV/0!</v>
      </c>
      <c r="AC8" s="47" t="e">
        <f t="shared" si="5"/>
        <v>#DIV/0!</v>
      </c>
      <c r="AD8" s="67" t="e">
        <f>AD7/AD15</f>
        <v>#DIV/0!</v>
      </c>
    </row>
    <row r="9" spans="1:30" x14ac:dyDescent="0.25">
      <c r="E9" s="4" t="s">
        <v>121</v>
      </c>
      <c r="F9" s="25">
        <v>36.799999999999997</v>
      </c>
      <c r="G9" s="25">
        <v>46.1</v>
      </c>
      <c r="H9" s="25">
        <v>50.2</v>
      </c>
      <c r="I9" s="25">
        <v>56.2</v>
      </c>
      <c r="J9" s="75">
        <f>SUM(F9:I9)</f>
        <v>189.3</v>
      </c>
      <c r="K9" s="25">
        <v>57.3</v>
      </c>
      <c r="L9" s="25">
        <v>55.5</v>
      </c>
      <c r="M9" s="25">
        <v>54.7</v>
      </c>
      <c r="N9" s="25">
        <v>59.1</v>
      </c>
      <c r="O9" s="75">
        <f>SUM(K9:N9)</f>
        <v>226.6</v>
      </c>
      <c r="P9" s="25">
        <v>62.1</v>
      </c>
      <c r="Q9" s="25">
        <v>60.2</v>
      </c>
      <c r="R9" s="25">
        <v>64.8</v>
      </c>
      <c r="S9" s="25">
        <v>70.599999999999994</v>
      </c>
      <c r="T9" s="75">
        <f>SUM(P9:S9)</f>
        <v>257.70000000000005</v>
      </c>
      <c r="U9" s="25">
        <v>71.5</v>
      </c>
      <c r="V9" s="25">
        <v>74</v>
      </c>
      <c r="W9" s="25">
        <v>74.2</v>
      </c>
      <c r="X9" s="25"/>
      <c r="Y9" s="75">
        <f>SUM(U9:X9)</f>
        <v>219.7</v>
      </c>
      <c r="Z9" s="25"/>
      <c r="AA9" s="25"/>
      <c r="AB9" s="25"/>
      <c r="AC9" s="25"/>
      <c r="AD9" s="75">
        <f>SUM(Z9:AC9)</f>
        <v>0</v>
      </c>
    </row>
    <row r="10" spans="1:30" x14ac:dyDescent="0.25">
      <c r="E10" s="50" t="s">
        <v>118</v>
      </c>
      <c r="F10" s="47">
        <f t="shared" ref="F10:R10" si="6">F9/F15</f>
        <v>0.1125726521872132</v>
      </c>
      <c r="G10" s="47">
        <f t="shared" si="6"/>
        <v>0.13401162790697674</v>
      </c>
      <c r="H10" s="47">
        <f t="shared" si="6"/>
        <v>0.13262879788639367</v>
      </c>
      <c r="I10" s="47">
        <f t="shared" si="6"/>
        <v>0.13791411042944787</v>
      </c>
      <c r="J10" s="67">
        <f>J9/J15</f>
        <v>0.12993342027592836</v>
      </c>
      <c r="K10" s="47">
        <f t="shared" si="6"/>
        <v>0.13337988826815642</v>
      </c>
      <c r="L10" s="47">
        <f t="shared" si="6"/>
        <v>0.12582180911357968</v>
      </c>
      <c r="M10" s="47">
        <f t="shared" si="6"/>
        <v>0.12085726911179852</v>
      </c>
      <c r="N10" s="47">
        <f t="shared" si="6"/>
        <v>0.12434252051335996</v>
      </c>
      <c r="O10" s="67">
        <f t="shared" si="6"/>
        <v>0.12598687868342046</v>
      </c>
      <c r="P10" s="47">
        <f t="shared" si="6"/>
        <v>0.1238285144566301</v>
      </c>
      <c r="Q10" s="47">
        <f t="shared" si="6"/>
        <v>0.11841070023603462</v>
      </c>
      <c r="R10" s="47">
        <f t="shared" si="6"/>
        <v>0.12473532242540904</v>
      </c>
      <c r="S10" s="47">
        <f>S9/S15</f>
        <v>0.13225927313600597</v>
      </c>
      <c r="T10" s="67">
        <f>T9/T15</f>
        <v>0.12490306320279179</v>
      </c>
      <c r="U10" s="47">
        <f>U9/U15</f>
        <v>0.13726243040890768</v>
      </c>
      <c r="V10" s="47">
        <f t="shared" ref="V10:X10" si="7">V9/V15</f>
        <v>0.14114056837688346</v>
      </c>
      <c r="W10" s="47">
        <f t="shared" si="7"/>
        <v>0.1462933753943218</v>
      </c>
      <c r="X10" s="47" t="e">
        <f t="shared" si="7"/>
        <v>#DIV/0!</v>
      </c>
      <c r="Y10" s="67">
        <f>Y9/Y15</f>
        <v>0.14152280340118525</v>
      </c>
      <c r="Z10" s="47" t="e">
        <f>Z9/Z15</f>
        <v>#DIV/0!</v>
      </c>
      <c r="AA10" s="47" t="e">
        <f t="shared" ref="AA10:AC10" si="8">AA9/AA15</f>
        <v>#DIV/0!</v>
      </c>
      <c r="AB10" s="47" t="e">
        <f t="shared" si="8"/>
        <v>#DIV/0!</v>
      </c>
      <c r="AC10" s="47" t="e">
        <f t="shared" si="8"/>
        <v>#DIV/0!</v>
      </c>
      <c r="AD10" s="67" t="e">
        <f>AD9/AD15</f>
        <v>#DIV/0!</v>
      </c>
    </row>
    <row r="11" spans="1:30" x14ac:dyDescent="0.25">
      <c r="E11" s="4" t="s">
        <v>114</v>
      </c>
      <c r="F11" s="25">
        <v>17.2</v>
      </c>
      <c r="G11" s="25">
        <v>19.399999999999999</v>
      </c>
      <c r="H11" s="25">
        <v>24.8</v>
      </c>
      <c r="I11" s="25">
        <v>26.9</v>
      </c>
      <c r="J11" s="75">
        <f>SUM(F11:I11)</f>
        <v>88.299999999999983</v>
      </c>
      <c r="K11" s="25">
        <v>30</v>
      </c>
      <c r="L11" s="25">
        <v>31.3</v>
      </c>
      <c r="M11" s="25">
        <v>34.4</v>
      </c>
      <c r="N11" s="25">
        <v>32.1</v>
      </c>
      <c r="O11" s="75">
        <f>SUM(K11:N11)</f>
        <v>127.79999999999998</v>
      </c>
      <c r="P11" s="25">
        <v>33</v>
      </c>
      <c r="Q11" s="25">
        <v>36.6</v>
      </c>
      <c r="R11" s="25">
        <v>37.4</v>
      </c>
      <c r="S11" s="25">
        <v>38.5</v>
      </c>
      <c r="T11" s="75">
        <f>SUM(P11:S11)</f>
        <v>145.5</v>
      </c>
      <c r="U11" s="25">
        <v>36.200000000000003</v>
      </c>
      <c r="V11" s="25">
        <v>37.6</v>
      </c>
      <c r="W11" s="25">
        <v>39.799999999999997</v>
      </c>
      <c r="X11" s="25"/>
      <c r="Y11" s="75">
        <f>SUM(U11:X11)</f>
        <v>113.60000000000001</v>
      </c>
      <c r="Z11" s="25"/>
      <c r="AA11" s="25"/>
      <c r="AB11" s="25"/>
      <c r="AC11" s="25"/>
      <c r="AD11" s="75">
        <f>SUM(Z11:AC11)</f>
        <v>0</v>
      </c>
    </row>
    <row r="12" spans="1:30" x14ac:dyDescent="0.25">
      <c r="E12" s="50" t="s">
        <v>118</v>
      </c>
      <c r="F12" s="47">
        <f t="shared" ref="F12:R12" si="9">F11/F15</f>
        <v>5.2615478739675738E-2</v>
      </c>
      <c r="G12" s="47">
        <f t="shared" si="9"/>
        <v>5.63953488372093E-2</v>
      </c>
      <c r="H12" s="47">
        <f t="shared" si="9"/>
        <v>6.5521796565389701E-2</v>
      </c>
      <c r="I12" s="47">
        <f t="shared" si="9"/>
        <v>6.6012269938650309E-2</v>
      </c>
      <c r="J12" s="67">
        <f t="shared" si="9"/>
        <v>6.0608140572448344E-2</v>
      </c>
      <c r="K12" s="47">
        <f t="shared" si="9"/>
        <v>6.9832402234636867E-2</v>
      </c>
      <c r="L12" s="47">
        <f t="shared" si="9"/>
        <v>7.0958966220811603E-2</v>
      </c>
      <c r="M12" s="47">
        <f t="shared" si="9"/>
        <v>7.6005302695536903E-2</v>
      </c>
      <c r="N12" s="47">
        <f t="shared" si="9"/>
        <v>6.7536292867662523E-2</v>
      </c>
      <c r="O12" s="67">
        <f t="shared" si="9"/>
        <v>7.1055265206271548E-2</v>
      </c>
      <c r="P12" s="47">
        <f t="shared" si="9"/>
        <v>6.580259222333E-2</v>
      </c>
      <c r="Q12" s="47">
        <f t="shared" si="9"/>
        <v>7.1990558615263572E-2</v>
      </c>
      <c r="R12" s="47">
        <f t="shared" si="9"/>
        <v>7.1992300288739167E-2</v>
      </c>
      <c r="S12" s="47">
        <f>S11/S15</f>
        <v>7.2124391157736972E-2</v>
      </c>
      <c r="T12" s="67">
        <f>T11/T15</f>
        <v>7.052151996898022E-2</v>
      </c>
      <c r="U12" s="47">
        <f>U11/U15</f>
        <v>6.9495104626607809E-2</v>
      </c>
      <c r="V12" s="47">
        <f t="shared" ref="V12:X12" si="10">V11/V15</f>
        <v>7.1714667175281341E-2</v>
      </c>
      <c r="W12" s="47">
        <f t="shared" si="10"/>
        <v>7.8470031545741337E-2</v>
      </c>
      <c r="X12" s="47" t="e">
        <f t="shared" si="10"/>
        <v>#DIV/0!</v>
      </c>
      <c r="Y12" s="67">
        <f>Y11/Y15</f>
        <v>7.3177016232929673E-2</v>
      </c>
      <c r="Z12" s="47" t="e">
        <f>Z11/Z15</f>
        <v>#DIV/0!</v>
      </c>
      <c r="AA12" s="47" t="e">
        <f t="shared" ref="AA12:AC12" si="11">AA11/AA15</f>
        <v>#DIV/0!</v>
      </c>
      <c r="AB12" s="47" t="e">
        <f t="shared" si="11"/>
        <v>#DIV/0!</v>
      </c>
      <c r="AC12" s="47" t="e">
        <f t="shared" si="11"/>
        <v>#DIV/0!</v>
      </c>
      <c r="AD12" s="67" t="e">
        <f>AD11/AD15</f>
        <v>#DIV/0!</v>
      </c>
    </row>
    <row r="13" spans="1:30" x14ac:dyDescent="0.25">
      <c r="E13" s="4" t="s">
        <v>115</v>
      </c>
      <c r="F13" s="25">
        <v>17.100000000000001</v>
      </c>
      <c r="G13" s="25">
        <v>15.7</v>
      </c>
      <c r="H13" s="25">
        <v>16.5</v>
      </c>
      <c r="I13" s="25">
        <v>18.2</v>
      </c>
      <c r="J13" s="75">
        <f>SUM(F13:I13)</f>
        <v>67.5</v>
      </c>
      <c r="K13" s="25">
        <v>14.6</v>
      </c>
      <c r="L13" s="25">
        <v>14.6</v>
      </c>
      <c r="M13" s="25">
        <v>16.3</v>
      </c>
      <c r="N13" s="25">
        <v>16.600000000000001</v>
      </c>
      <c r="O13" s="75">
        <f>SUM(K13:N13)</f>
        <v>62.1</v>
      </c>
      <c r="P13" s="25">
        <v>17.8</v>
      </c>
      <c r="Q13" s="25">
        <v>19.600000000000001</v>
      </c>
      <c r="R13" s="25">
        <v>20.2</v>
      </c>
      <c r="S13" s="25">
        <v>20.7</v>
      </c>
      <c r="T13" s="75">
        <f>SUM(P13:S13)</f>
        <v>78.300000000000011</v>
      </c>
      <c r="U13" s="25">
        <v>21.6</v>
      </c>
      <c r="V13" s="25">
        <v>23.4</v>
      </c>
      <c r="W13" s="25">
        <v>21.9</v>
      </c>
      <c r="X13" s="25"/>
      <c r="Y13" s="75">
        <f>SUM(U13:X13)</f>
        <v>66.900000000000006</v>
      </c>
      <c r="Z13" s="25"/>
      <c r="AA13" s="25"/>
      <c r="AB13" s="25"/>
      <c r="AC13" s="25"/>
      <c r="AD13" s="75">
        <f>SUM(Z13:AC13)</f>
        <v>0</v>
      </c>
    </row>
    <row r="14" spans="1:30" ht="20" thickBot="1" x14ac:dyDescent="0.3">
      <c r="A14" s="40"/>
      <c r="B14" s="40"/>
      <c r="C14" s="40"/>
      <c r="D14" s="40"/>
      <c r="E14" s="49" t="s">
        <v>118</v>
      </c>
      <c r="F14" s="43">
        <f t="shared" ref="F14:R14" si="12">F13/F15</f>
        <v>5.2309574793514835E-2</v>
      </c>
      <c r="G14" s="43">
        <f t="shared" si="12"/>
        <v>4.5639534883720925E-2</v>
      </c>
      <c r="H14" s="43">
        <f t="shared" si="12"/>
        <v>4.3593130779392336E-2</v>
      </c>
      <c r="I14" s="43">
        <f t="shared" si="12"/>
        <v>4.4662576687116567E-2</v>
      </c>
      <c r="J14" s="68">
        <f>J13/J15</f>
        <v>4.6331251286979208E-2</v>
      </c>
      <c r="K14" s="43">
        <f t="shared" si="12"/>
        <v>3.398510242085661E-2</v>
      </c>
      <c r="L14" s="43">
        <f t="shared" si="12"/>
        <v>3.3099070505554294E-2</v>
      </c>
      <c r="M14" s="43">
        <f t="shared" si="12"/>
        <v>3.6014140521431731E-2</v>
      </c>
      <c r="N14" s="43">
        <f t="shared" si="12"/>
        <v>3.4925310330317691E-2</v>
      </c>
      <c r="O14" s="68">
        <f>O13/O15</f>
        <v>3.4526854219948853E-2</v>
      </c>
      <c r="P14" s="43">
        <f t="shared" si="12"/>
        <v>3.5493519441674976E-2</v>
      </c>
      <c r="Q14" s="43">
        <f t="shared" si="12"/>
        <v>3.8552321007081038E-2</v>
      </c>
      <c r="R14" s="43">
        <f t="shared" si="12"/>
        <v>3.8883541867179981E-2</v>
      </c>
      <c r="S14" s="43">
        <f>S13/S15</f>
        <v>3.8778568752341695E-2</v>
      </c>
      <c r="T14" s="68">
        <f>T13/T15</f>
        <v>3.7950756107018223E-2</v>
      </c>
      <c r="U14" s="43">
        <f>U13/U15</f>
        <v>4.1466692263390288E-2</v>
      </c>
      <c r="V14" s="43">
        <f t="shared" ref="V14:X14" si="13">V13/V15</f>
        <v>4.4630936486744231E-2</v>
      </c>
      <c r="W14" s="43">
        <f t="shared" si="13"/>
        <v>4.3178233438485807E-2</v>
      </c>
      <c r="X14" s="43" t="e">
        <f t="shared" si="13"/>
        <v>#DIV/0!</v>
      </c>
      <c r="Y14" s="68">
        <f>Y13/Y15</f>
        <v>4.3094563256892558E-2</v>
      </c>
      <c r="Z14" s="43" t="e">
        <f>Z13/Z15</f>
        <v>#DIV/0!</v>
      </c>
      <c r="AA14" s="43" t="e">
        <f t="shared" ref="AA14:AC14" si="14">AA13/AA15</f>
        <v>#DIV/0!</v>
      </c>
      <c r="AB14" s="43" t="e">
        <f t="shared" si="14"/>
        <v>#DIV/0!</v>
      </c>
      <c r="AC14" s="43" t="e">
        <f t="shared" si="14"/>
        <v>#DIV/0!</v>
      </c>
      <c r="AD14" s="68" t="e">
        <f>AD13/AD15</f>
        <v>#DIV/0!</v>
      </c>
    </row>
    <row r="15" spans="1:30" x14ac:dyDescent="0.25">
      <c r="E15" s="38" t="s">
        <v>116</v>
      </c>
      <c r="F15" s="26">
        <f t="shared" ref="F15:R15" si="15">F5+F7+F9+F11+F13</f>
        <v>326.90000000000003</v>
      </c>
      <c r="G15" s="26">
        <f t="shared" si="15"/>
        <v>344</v>
      </c>
      <c r="H15" s="26">
        <f t="shared" si="15"/>
        <v>378.5</v>
      </c>
      <c r="I15" s="26">
        <f>I5+I7+I9+I11+I13</f>
        <v>407.49999999999994</v>
      </c>
      <c r="J15" s="76">
        <f>J5+J7+J9+J11+J13</f>
        <v>1456.8999999999999</v>
      </c>
      <c r="K15" s="26">
        <f t="shared" si="15"/>
        <v>429.6</v>
      </c>
      <c r="L15" s="26">
        <f t="shared" si="15"/>
        <v>441.1</v>
      </c>
      <c r="M15" s="26">
        <f t="shared" si="15"/>
        <v>452.59999999999997</v>
      </c>
      <c r="N15" s="26">
        <f t="shared" si="15"/>
        <v>475.30000000000007</v>
      </c>
      <c r="O15" s="76">
        <f t="shared" si="15"/>
        <v>1798.5999999999997</v>
      </c>
      <c r="P15" s="26">
        <f t="shared" si="15"/>
        <v>501.50000000000006</v>
      </c>
      <c r="Q15" s="26">
        <f t="shared" si="15"/>
        <v>508.40000000000003</v>
      </c>
      <c r="R15" s="26">
        <f t="shared" si="15"/>
        <v>519.5</v>
      </c>
      <c r="S15" s="26">
        <f>S5+S7+S9+S11+S13</f>
        <v>533.80000000000007</v>
      </c>
      <c r="T15" s="76">
        <f t="shared" ref="T15:Y15" si="16">T5+T7+T9+T11+T13</f>
        <v>2063.2000000000003</v>
      </c>
      <c r="U15" s="26">
        <f t="shared" si="16"/>
        <v>520.9</v>
      </c>
      <c r="V15" s="26">
        <f>V5+V7+V9+V11+V13</f>
        <v>524.29999999999995</v>
      </c>
      <c r="W15" s="26">
        <f t="shared" si="16"/>
        <v>507.19999999999993</v>
      </c>
      <c r="X15" s="26">
        <f t="shared" si="16"/>
        <v>0</v>
      </c>
      <c r="Y15" s="76">
        <f t="shared" si="16"/>
        <v>1552.3999999999999</v>
      </c>
      <c r="Z15" s="26">
        <f t="shared" ref="Z15" si="17">Z5+Z7+Z9+Z11+Z13</f>
        <v>0</v>
      </c>
      <c r="AA15" s="26">
        <f>AA5+AA7+AA9+AA11+AA13</f>
        <v>0</v>
      </c>
      <c r="AB15" s="26">
        <f t="shared" ref="AB15:AD15" si="18">AB5+AB7+AB9+AB11+AB13</f>
        <v>0</v>
      </c>
      <c r="AC15" s="26">
        <f t="shared" si="18"/>
        <v>0</v>
      </c>
      <c r="AD15" s="76">
        <f t="shared" si="18"/>
        <v>0</v>
      </c>
    </row>
    <row r="17" spans="4:25" x14ac:dyDescent="0.25">
      <c r="D17" s="1" t="s">
        <v>117</v>
      </c>
      <c r="F17" s="10"/>
      <c r="G17" s="10"/>
      <c r="H17" s="10">
        <v>0.41</v>
      </c>
      <c r="I17" s="10">
        <v>0.4</v>
      </c>
      <c r="J17" s="10"/>
      <c r="K17" s="10">
        <v>0.4</v>
      </c>
      <c r="L17" s="10">
        <v>0.4</v>
      </c>
      <c r="M17" s="10">
        <v>0.4</v>
      </c>
      <c r="N17" s="10">
        <v>0.4</v>
      </c>
      <c r="O17" s="10"/>
      <c r="P17" s="10">
        <v>0.39</v>
      </c>
      <c r="Q17" s="10">
        <v>0.39</v>
      </c>
      <c r="R17" s="10">
        <v>0.39</v>
      </c>
      <c r="S17" s="10">
        <v>0.41</v>
      </c>
      <c r="T17" s="10"/>
      <c r="U17" s="10">
        <v>0.45</v>
      </c>
      <c r="V17" s="10">
        <v>0.44</v>
      </c>
      <c r="W17" s="10">
        <v>0.46</v>
      </c>
      <c r="X17" s="10"/>
    </row>
    <row r="19" spans="4:25" x14ac:dyDescent="0.25">
      <c r="E19" s="38" t="s">
        <v>120</v>
      </c>
    </row>
    <row r="20" spans="4:25" x14ac:dyDescent="0.25">
      <c r="J20" s="58"/>
      <c r="O20" s="60" t="s">
        <v>164</v>
      </c>
      <c r="T20" s="60" t="s">
        <v>164</v>
      </c>
      <c r="Y20" s="60" t="s">
        <v>164</v>
      </c>
    </row>
    <row r="21" spans="4:25" x14ac:dyDescent="0.25">
      <c r="E21" s="51" t="s">
        <v>111</v>
      </c>
      <c r="F21" s="29"/>
      <c r="G21" s="29">
        <f t="shared" ref="G21:R21" si="19">(G5-F5)/F5</f>
        <v>-3.2808398950131233E-3</v>
      </c>
      <c r="H21" s="29">
        <f t="shared" si="19"/>
        <v>4.8057932850559468E-2</v>
      </c>
      <c r="I21" s="29">
        <f t="shared" si="19"/>
        <v>6.7839195979899569E-2</v>
      </c>
      <c r="J21" s="29"/>
      <c r="K21" s="29">
        <f>(K5-I5)/I5</f>
        <v>2.1764705882352874E-2</v>
      </c>
      <c r="L21" s="29">
        <f t="shared" si="19"/>
        <v>8.6355785837651123E-3</v>
      </c>
      <c r="M21" s="29">
        <f t="shared" si="19"/>
        <v>-5.7077625570773011E-4</v>
      </c>
      <c r="N21" s="29">
        <f t="shared" si="19"/>
        <v>6.1107938320959551E-2</v>
      </c>
      <c r="O21" s="61">
        <f>(O5-J5)/J5</f>
        <v>0.12044198895027618</v>
      </c>
      <c r="P21" s="29">
        <f>(P5-N5)/N5</f>
        <v>2.7987082884822326E-2</v>
      </c>
      <c r="Q21" s="29">
        <f t="shared" si="19"/>
        <v>1.5706806282723108E-3</v>
      </c>
      <c r="R21" s="29">
        <f t="shared" si="19"/>
        <v>1.8818609513852558E-2</v>
      </c>
      <c r="S21" s="29">
        <f>(S5-R5)/R5</f>
        <v>3.540277065161624E-2</v>
      </c>
      <c r="T21" s="61">
        <f>(T5-O5)/O5</f>
        <v>9.749225133840525E-2</v>
      </c>
      <c r="U21" s="29">
        <f>(U5-S5)/S5</f>
        <v>-5.9960356788900007E-2</v>
      </c>
      <c r="V21" s="29">
        <f t="shared" ref="V21" si="20">(V5-U5)/U5</f>
        <v>-5.0079072219293627E-2</v>
      </c>
      <c r="W21" s="29">
        <f>(W5-V5)/V5</f>
        <v>1.1098779134295229E-2</v>
      </c>
      <c r="X21" s="29">
        <f>(X5-W5)/W5</f>
        <v>-1</v>
      </c>
      <c r="Y21" s="61">
        <f>(Y5-T5)/T5</f>
        <v>-0.29127086007702196</v>
      </c>
    </row>
    <row r="22" spans="4:25" x14ac:dyDescent="0.25">
      <c r="E22" s="52" t="s">
        <v>112</v>
      </c>
      <c r="F22" s="53"/>
      <c r="G22" s="53">
        <f t="shared" ref="G22:R22" si="21">(G7-F7)/F7</f>
        <v>7.2533849129593805E-2</v>
      </c>
      <c r="H22" s="53">
        <f t="shared" si="21"/>
        <v>0.15238954012623976</v>
      </c>
      <c r="I22" s="53">
        <f t="shared" si="21"/>
        <v>6.5727699530516367E-2</v>
      </c>
      <c r="J22" s="29"/>
      <c r="K22" s="53">
        <f>(K7-I7)/I7</f>
        <v>0.13069016152716603</v>
      </c>
      <c r="L22" s="53">
        <f t="shared" si="21"/>
        <v>6.8181818181818177E-2</v>
      </c>
      <c r="M22" s="53">
        <f t="shared" si="21"/>
        <v>4.620060790273553E-2</v>
      </c>
      <c r="N22" s="53">
        <f t="shared" si="21"/>
        <v>5.5781522370714667E-2</v>
      </c>
      <c r="O22" s="61">
        <f>(O7-J7)/J7</f>
        <v>0.40560317792180628</v>
      </c>
      <c r="P22" s="53">
        <f>(P7-N7)/N7</f>
        <v>8.7506879471656612E-2</v>
      </c>
      <c r="Q22" s="53">
        <f t="shared" si="21"/>
        <v>1.5688259109311712E-2</v>
      </c>
      <c r="R22" s="53">
        <f t="shared" si="21"/>
        <v>7.4738415545590438E-3</v>
      </c>
      <c r="S22" s="53">
        <f>(S7-R7)/R7</f>
        <v>0</v>
      </c>
      <c r="T22" s="61">
        <f>(T7-O7)/O7</f>
        <v>0.19396102930239492</v>
      </c>
      <c r="U22" s="29">
        <f>(U7-S7)/S7</f>
        <v>-1.4836795252224676E-3</v>
      </c>
      <c r="V22" s="53">
        <f t="shared" ref="V22:W22" si="22">(V7-U7)/U7</f>
        <v>3.5661218424962796E-2</v>
      </c>
      <c r="W22" s="53">
        <f t="shared" si="22"/>
        <v>-9.5648015303682457E-2</v>
      </c>
      <c r="X22" s="53">
        <f>(X7-W7)/W7</f>
        <v>-1</v>
      </c>
      <c r="Y22" s="61">
        <f>(Y7-T7)/T7</f>
        <v>-0.25239815622274825</v>
      </c>
    </row>
    <row r="23" spans="4:25" x14ac:dyDescent="0.25">
      <c r="E23" s="52" t="s">
        <v>113</v>
      </c>
      <c r="F23" s="53"/>
      <c r="G23" s="53">
        <f>(G9-F9)/F9</f>
        <v>0.25271739130434795</v>
      </c>
      <c r="H23" s="53">
        <f t="shared" ref="H23:R23" si="23">(H9-G9)/G9</f>
        <v>8.8937093275488099E-2</v>
      </c>
      <c r="I23" s="53">
        <f t="shared" si="23"/>
        <v>0.1195219123505976</v>
      </c>
      <c r="J23" s="53"/>
      <c r="K23" s="53">
        <f>(K9-I9)/I9</f>
        <v>1.9572953736654703E-2</v>
      </c>
      <c r="L23" s="53">
        <f t="shared" si="23"/>
        <v>-3.1413612565444976E-2</v>
      </c>
      <c r="M23" s="53">
        <f t="shared" si="23"/>
        <v>-1.4414414414414363E-2</v>
      </c>
      <c r="N23" s="53">
        <f t="shared" si="23"/>
        <v>8.0438756855575833E-2</v>
      </c>
      <c r="O23" s="62">
        <f>(O9-J9)/J9</f>
        <v>0.1970417326994188</v>
      </c>
      <c r="P23" s="53">
        <f>(P9-N9)/N9</f>
        <v>5.0761421319796954E-2</v>
      </c>
      <c r="Q23" s="53">
        <f t="shared" si="23"/>
        <v>-3.0595813204508833E-2</v>
      </c>
      <c r="R23" s="53">
        <f t="shared" si="23"/>
        <v>7.6411960132890269E-2</v>
      </c>
      <c r="S23" s="53">
        <f>(S9-R9)/R9</f>
        <v>8.9506172839506126E-2</v>
      </c>
      <c r="T23" s="62">
        <f>(T9-O9)/O9</f>
        <v>0.13724624889673456</v>
      </c>
      <c r="U23" s="29">
        <f>(U9-S9)/S9</f>
        <v>1.274787535410773E-2</v>
      </c>
      <c r="V23" s="53">
        <f t="shared" ref="V23:X23" si="24">(V9-U9)/U9</f>
        <v>3.4965034965034968E-2</v>
      </c>
      <c r="W23" s="53">
        <f t="shared" si="24"/>
        <v>2.702702702702741E-3</v>
      </c>
      <c r="X23" s="53">
        <f t="shared" si="24"/>
        <v>-1</v>
      </c>
      <c r="Y23" s="62">
        <f>(Y9-T9)/T9</f>
        <v>-0.14745828482731879</v>
      </c>
    </row>
    <row r="24" spans="4:25" x14ac:dyDescent="0.25">
      <c r="E24" s="52" t="s">
        <v>114</v>
      </c>
      <c r="F24" s="53"/>
      <c r="G24" s="53">
        <f t="shared" ref="G24:R24" si="25">(G11-F11)/F11</f>
        <v>0.12790697674418602</v>
      </c>
      <c r="H24" s="53">
        <f>(H11-G11)/G11</f>
        <v>0.27835051546391765</v>
      </c>
      <c r="I24" s="53">
        <f t="shared" si="25"/>
        <v>8.4677419354838621E-2</v>
      </c>
      <c r="J24" s="53"/>
      <c r="K24" s="53">
        <f>(K11-I11)/I11</f>
        <v>0.11524163568773241</v>
      </c>
      <c r="L24" s="53">
        <f t="shared" si="25"/>
        <v>4.3333333333333356E-2</v>
      </c>
      <c r="M24" s="53">
        <f t="shared" si="25"/>
        <v>9.9041533546325805E-2</v>
      </c>
      <c r="N24" s="53">
        <f t="shared" si="25"/>
        <v>-6.6860465116278994E-2</v>
      </c>
      <c r="O24" s="62">
        <f>(O11-J11)/J11</f>
        <v>0.44733861834654598</v>
      </c>
      <c r="P24" s="53">
        <f>(P11-N11)/N11</f>
        <v>2.8037383177570048E-2</v>
      </c>
      <c r="Q24" s="53">
        <f t="shared" si="25"/>
        <v>0.10909090909090913</v>
      </c>
      <c r="R24" s="53">
        <f t="shared" si="25"/>
        <v>2.185792349726768E-2</v>
      </c>
      <c r="S24" s="53">
        <f>(S11-R11)/R11</f>
        <v>2.9411764705882391E-2</v>
      </c>
      <c r="T24" s="62">
        <f>(T11-O11)/O11</f>
        <v>0.13849765258215976</v>
      </c>
      <c r="U24" s="29">
        <f>(U11-S11)/S11</f>
        <v>-5.9740259740259663E-2</v>
      </c>
      <c r="V24" s="53">
        <f t="shared" ref="V24:X24" si="26">(V11-U11)/U11</f>
        <v>3.8674033149171227E-2</v>
      </c>
      <c r="W24" s="53">
        <f t="shared" si="26"/>
        <v>5.8510638297872224E-2</v>
      </c>
      <c r="X24" s="53">
        <f t="shared" si="26"/>
        <v>-1</v>
      </c>
      <c r="Y24" s="62">
        <f>(Y11-T11)/T11</f>
        <v>-0.21924398625429548</v>
      </c>
    </row>
    <row r="25" spans="4:25" ht="20" thickBot="1" x14ac:dyDescent="0.3">
      <c r="E25" s="39" t="s">
        <v>115</v>
      </c>
      <c r="F25" s="44"/>
      <c r="G25" s="45">
        <f t="shared" ref="G25:R25" si="27">(G13-F13)/F13</f>
        <v>-8.1871345029239886E-2</v>
      </c>
      <c r="H25" s="45">
        <f t="shared" si="27"/>
        <v>5.0955414012738898E-2</v>
      </c>
      <c r="I25" s="45">
        <f t="shared" si="27"/>
        <v>0.10303030303030299</v>
      </c>
      <c r="J25" s="45"/>
      <c r="K25" s="45">
        <f>(K13-I13)/I13</f>
        <v>-0.19780219780219779</v>
      </c>
      <c r="L25" s="45">
        <f t="shared" si="27"/>
        <v>0</v>
      </c>
      <c r="M25" s="45">
        <f t="shared" si="27"/>
        <v>0.11643835616438364</v>
      </c>
      <c r="N25" s="45">
        <f t="shared" si="27"/>
        <v>1.8404907975460166E-2</v>
      </c>
      <c r="O25" s="63">
        <f>(O13-J13)/J13</f>
        <v>-7.9999999999999974E-2</v>
      </c>
      <c r="P25" s="45">
        <f>(P13-N13)/N13</f>
        <v>7.2289156626505979E-2</v>
      </c>
      <c r="Q25" s="45">
        <f t="shared" si="27"/>
        <v>0.10112359550561802</v>
      </c>
      <c r="R25" s="45">
        <f t="shared" si="27"/>
        <v>3.0612244897959072E-2</v>
      </c>
      <c r="S25" s="45">
        <f>(S13-R13)/R13</f>
        <v>2.4752475247524754E-2</v>
      </c>
      <c r="T25" s="63">
        <f>(T13-O13)/O13</f>
        <v>0.26086956521739146</v>
      </c>
      <c r="U25" s="57">
        <f>(U13-S13)/S13</f>
        <v>4.347826086956532E-2</v>
      </c>
      <c r="V25" s="45">
        <f t="shared" ref="V25:X25" si="28">(V13-U13)/U13</f>
        <v>8.333333333333319E-2</v>
      </c>
      <c r="W25" s="45">
        <f t="shared" si="28"/>
        <v>-6.4102564102564111E-2</v>
      </c>
      <c r="X25" s="45">
        <f t="shared" si="28"/>
        <v>-1</v>
      </c>
      <c r="Y25" s="63">
        <f>(Y13-T13)/T13</f>
        <v>-0.14559386973180083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204C-C5AC-9448-8DAA-59DF960E04B4}">
  <dimension ref="C3:F6"/>
  <sheetViews>
    <sheetView showGridLines="0" zoomScale="120" zoomScaleNormal="120" workbookViewId="0">
      <selection activeCell="E19" sqref="E19"/>
    </sheetView>
  </sheetViews>
  <sheetFormatPr baseColWidth="10" defaultRowHeight="16" x14ac:dyDescent="0.2"/>
  <cols>
    <col min="3" max="3" width="40" bestFit="1" customWidth="1"/>
    <col min="4" max="6" width="19" bestFit="1" customWidth="1"/>
  </cols>
  <sheetData>
    <row r="3" spans="3:6" ht="62" x14ac:dyDescent="0.7">
      <c r="C3" s="55"/>
      <c r="D3" s="55">
        <v>2025</v>
      </c>
      <c r="E3" s="55">
        <v>2026</v>
      </c>
      <c r="F3" s="55">
        <v>2027</v>
      </c>
    </row>
    <row r="4" spans="3:6" ht="62" x14ac:dyDescent="0.7">
      <c r="C4" s="55" t="s">
        <v>108</v>
      </c>
      <c r="D4" s="56">
        <f>Modell!$B$9/(Modell!AF10*Modell!$B$11)</f>
        <v>7.0469232576073013</v>
      </c>
      <c r="E4" s="56">
        <f>Modell!$B$9/(Modell!AG10*Modell!$B$11)</f>
        <v>6.5202325095542717</v>
      </c>
      <c r="F4" s="56">
        <f>Modell!$B$9/(Modell!AH10*Modell!$B$11)</f>
        <v>6.0510841946057488</v>
      </c>
    </row>
    <row r="5" spans="3:6" ht="62" x14ac:dyDescent="0.7">
      <c r="C5" s="55" t="s">
        <v>88</v>
      </c>
      <c r="D5" s="56">
        <f>Modell!$B$9/(Modell!AF13*Modell!$B$11)</f>
        <v>7.8513148191669764</v>
      </c>
      <c r="E5" s="56">
        <f>Modell!$B$9/(Modell!AG13*Modell!$B$11)</f>
        <v>7.3102276258657213</v>
      </c>
      <c r="F5" s="56">
        <f>Modell!$B$9/(Modell!AH13*Modell!$B$11)</f>
        <v>6.8014204415981876</v>
      </c>
    </row>
    <row r="6" spans="3:6" ht="62" x14ac:dyDescent="0.7">
      <c r="C6" s="55" t="s">
        <v>89</v>
      </c>
      <c r="D6" s="56">
        <f>Modell!$B$4/Modell!AF18</f>
        <v>9.8812597141843952</v>
      </c>
      <c r="E6" s="56">
        <f>Modell!$B$4/Modell!AG18</f>
        <v>9.2002752920623347</v>
      </c>
      <c r="F6" s="56">
        <f>Modell!$B$4/Modell!AH18</f>
        <v>8.5599168237053362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330B9-F168-794A-8189-B98D1E9BE2AB}">
  <dimension ref="A3:XEL55"/>
  <sheetViews>
    <sheetView showGridLines="0" tabSelected="1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S27" sqref="S27"/>
    </sheetView>
  </sheetViews>
  <sheetFormatPr baseColWidth="10" defaultRowHeight="19" x14ac:dyDescent="0.25"/>
  <cols>
    <col min="1" max="1" width="10.83203125" style="1"/>
    <col min="2" max="2" width="23.33203125" style="4" customWidth="1"/>
    <col min="3" max="3" width="31.5" style="1" customWidth="1"/>
    <col min="4" max="8" width="10.83203125" style="1"/>
    <col min="9" max="9" width="11.83203125" style="1" customWidth="1"/>
    <col min="10" max="25" width="10.83203125" style="1"/>
    <col min="26" max="26" width="14.1640625" style="1" bestFit="1" customWidth="1"/>
    <col min="27" max="27" width="11.5" style="1" bestFit="1" customWidth="1"/>
    <col min="28" max="16384" width="10.83203125" style="1"/>
  </cols>
  <sheetData>
    <row r="3" spans="1:16366" x14ac:dyDescent="0.25">
      <c r="A3" s="6" t="s">
        <v>184</v>
      </c>
      <c r="D3" s="7" t="s">
        <v>181</v>
      </c>
      <c r="E3" s="7" t="s">
        <v>178</v>
      </c>
      <c r="F3" s="7" t="s">
        <v>179</v>
      </c>
      <c r="G3" s="7" t="s">
        <v>180</v>
      </c>
      <c r="H3" s="7" t="s">
        <v>162</v>
      </c>
      <c r="I3" s="7" t="s">
        <v>161</v>
      </c>
      <c r="J3" s="7" t="s">
        <v>160</v>
      </c>
      <c r="K3" s="7" t="s">
        <v>72</v>
      </c>
      <c r="L3" s="7" t="s">
        <v>73</v>
      </c>
      <c r="M3" s="7" t="s">
        <v>74</v>
      </c>
      <c r="N3" s="8" t="s">
        <v>75</v>
      </c>
      <c r="O3" s="7" t="s">
        <v>76</v>
      </c>
      <c r="P3" s="7" t="s">
        <v>77</v>
      </c>
      <c r="Q3" s="7" t="s">
        <v>78</v>
      </c>
      <c r="R3" s="7" t="s">
        <v>79</v>
      </c>
      <c r="S3" s="7" t="s">
        <v>80</v>
      </c>
      <c r="T3" s="7" t="s">
        <v>81</v>
      </c>
      <c r="U3" s="7" t="s">
        <v>82</v>
      </c>
      <c r="V3" s="7" t="s">
        <v>83</v>
      </c>
      <c r="W3" s="7" t="s">
        <v>84</v>
      </c>
      <c r="X3" s="7" t="s">
        <v>85</v>
      </c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  <c r="BIO3" s="7"/>
      <c r="BIP3" s="7"/>
      <c r="BIQ3" s="7"/>
      <c r="BIR3" s="7"/>
      <c r="BIS3" s="7"/>
      <c r="BIT3" s="7"/>
      <c r="BIU3" s="7"/>
      <c r="BIV3" s="7"/>
      <c r="BIW3" s="7"/>
      <c r="BIX3" s="7"/>
      <c r="BIY3" s="7"/>
      <c r="BIZ3" s="7"/>
      <c r="BJA3" s="7"/>
      <c r="BJB3" s="7"/>
      <c r="BJC3" s="7"/>
      <c r="BJD3" s="7"/>
      <c r="BJE3" s="7"/>
      <c r="BJF3" s="7"/>
      <c r="BJG3" s="7"/>
      <c r="BJH3" s="7"/>
      <c r="BJI3" s="7"/>
      <c r="BJJ3" s="7"/>
      <c r="BJK3" s="7"/>
      <c r="BJL3" s="7"/>
      <c r="BJM3" s="7"/>
      <c r="BJN3" s="7"/>
      <c r="BJO3" s="7"/>
      <c r="BJP3" s="7"/>
      <c r="BJQ3" s="7"/>
      <c r="BJR3" s="7"/>
      <c r="BJS3" s="7"/>
      <c r="BJT3" s="7"/>
      <c r="BJU3" s="7"/>
      <c r="BJV3" s="7"/>
      <c r="BJW3" s="7"/>
      <c r="BJX3" s="7"/>
      <c r="BJY3" s="7"/>
      <c r="BJZ3" s="7"/>
      <c r="BKA3" s="7"/>
      <c r="BKB3" s="7"/>
      <c r="BKC3" s="7"/>
      <c r="BKD3" s="7"/>
      <c r="BKE3" s="7"/>
      <c r="BKF3" s="7"/>
      <c r="BKG3" s="7"/>
      <c r="BKH3" s="7"/>
      <c r="BKI3" s="7"/>
      <c r="BKJ3" s="7"/>
      <c r="BKK3" s="7"/>
      <c r="BKL3" s="7"/>
      <c r="BKM3" s="7"/>
      <c r="BKN3" s="7"/>
      <c r="BKO3" s="7"/>
      <c r="BKP3" s="7"/>
      <c r="BKQ3" s="7"/>
      <c r="BKR3" s="7"/>
      <c r="BKS3" s="7"/>
      <c r="BKT3" s="7"/>
      <c r="BKU3" s="7"/>
      <c r="BKV3" s="7"/>
      <c r="BKW3" s="7"/>
      <c r="BKX3" s="7"/>
      <c r="BKY3" s="7"/>
      <c r="BKZ3" s="7"/>
      <c r="BLA3" s="7"/>
      <c r="BLB3" s="7"/>
      <c r="BLC3" s="7"/>
      <c r="BLD3" s="7"/>
      <c r="BLE3" s="7"/>
      <c r="BLF3" s="7"/>
      <c r="BLG3" s="7"/>
      <c r="BLH3" s="7"/>
      <c r="BLI3" s="7"/>
      <c r="BLJ3" s="7"/>
      <c r="BLK3" s="7"/>
      <c r="BLL3" s="7"/>
      <c r="BLM3" s="7"/>
      <c r="BLN3" s="7"/>
      <c r="BLO3" s="7"/>
      <c r="BLP3" s="7"/>
      <c r="BLQ3" s="7"/>
      <c r="BLR3" s="7"/>
      <c r="BLS3" s="7"/>
      <c r="BLT3" s="7"/>
      <c r="BLU3" s="7"/>
      <c r="BLV3" s="7"/>
      <c r="BLW3" s="7"/>
      <c r="BLX3" s="7"/>
      <c r="BLY3" s="7"/>
      <c r="BLZ3" s="7"/>
      <c r="BMA3" s="7"/>
      <c r="BMB3" s="7"/>
      <c r="BMC3" s="7"/>
      <c r="BMD3" s="7"/>
      <c r="BME3" s="7"/>
      <c r="BMF3" s="7"/>
      <c r="BMG3" s="7"/>
      <c r="BMH3" s="7"/>
      <c r="BMI3" s="7"/>
      <c r="BMJ3" s="7"/>
      <c r="BMK3" s="7"/>
      <c r="BML3" s="7"/>
      <c r="BMM3" s="7"/>
      <c r="BMN3" s="7"/>
      <c r="BMO3" s="7"/>
      <c r="BMP3" s="7"/>
      <c r="BMQ3" s="7"/>
      <c r="BMR3" s="7"/>
      <c r="BMS3" s="7"/>
      <c r="BMT3" s="7"/>
      <c r="BMU3" s="7"/>
      <c r="BMV3" s="7"/>
      <c r="BMW3" s="7"/>
      <c r="BMX3" s="7"/>
      <c r="BMY3" s="7"/>
      <c r="BMZ3" s="7"/>
      <c r="BNA3" s="7"/>
      <c r="BNB3" s="7"/>
      <c r="BNC3" s="7"/>
      <c r="BND3" s="7"/>
      <c r="BNE3" s="7"/>
      <c r="BNF3" s="7"/>
      <c r="BNG3" s="7"/>
      <c r="BNH3" s="7"/>
      <c r="BNI3" s="7"/>
      <c r="BNJ3" s="7"/>
      <c r="BNK3" s="7"/>
      <c r="BNL3" s="7"/>
      <c r="BNM3" s="7"/>
      <c r="BNN3" s="7"/>
      <c r="BNO3" s="7"/>
      <c r="BNP3" s="7"/>
      <c r="BNQ3" s="7"/>
      <c r="BNR3" s="7"/>
      <c r="BNS3" s="7"/>
      <c r="BNT3" s="7"/>
      <c r="BNU3" s="7"/>
      <c r="BNV3" s="7"/>
      <c r="BNW3" s="7"/>
      <c r="BNX3" s="7"/>
      <c r="BNY3" s="7"/>
      <c r="BNZ3" s="7"/>
      <c r="BOA3" s="7"/>
      <c r="BOB3" s="7"/>
      <c r="BOC3" s="7"/>
      <c r="BOD3" s="7"/>
      <c r="BOE3" s="7"/>
      <c r="BOF3" s="7"/>
      <c r="BOG3" s="7"/>
      <c r="BOH3" s="7"/>
      <c r="BOI3" s="7"/>
      <c r="BOJ3" s="7"/>
      <c r="BOK3" s="7"/>
      <c r="BOL3" s="7"/>
      <c r="BOM3" s="7"/>
      <c r="BON3" s="7"/>
      <c r="BOO3" s="7"/>
      <c r="BOP3" s="7"/>
      <c r="BOQ3" s="7"/>
      <c r="BOR3" s="7"/>
      <c r="BOS3" s="7"/>
      <c r="BOT3" s="7"/>
      <c r="BOU3" s="7"/>
      <c r="BOV3" s="7"/>
      <c r="BOW3" s="7"/>
      <c r="BOX3" s="7"/>
      <c r="BOY3" s="7"/>
      <c r="BOZ3" s="7"/>
      <c r="BPA3" s="7"/>
      <c r="BPB3" s="7"/>
      <c r="BPC3" s="7"/>
      <c r="BPD3" s="7"/>
      <c r="BPE3" s="7"/>
      <c r="BPF3" s="7"/>
      <c r="BPG3" s="7"/>
      <c r="BPH3" s="7"/>
      <c r="BPI3" s="7"/>
      <c r="BPJ3" s="7"/>
      <c r="BPK3" s="7"/>
      <c r="BPL3" s="7"/>
      <c r="BPM3" s="7"/>
      <c r="BPN3" s="7"/>
      <c r="BPO3" s="7"/>
      <c r="BPP3" s="7"/>
      <c r="BPQ3" s="7"/>
      <c r="BPR3" s="7"/>
      <c r="BPS3" s="7"/>
      <c r="BPT3" s="7"/>
      <c r="BPU3" s="7"/>
      <c r="BPV3" s="7"/>
      <c r="BPW3" s="7"/>
      <c r="BPX3" s="7"/>
      <c r="BPY3" s="7"/>
      <c r="BPZ3" s="7"/>
      <c r="BQA3" s="7"/>
      <c r="BQB3" s="7"/>
      <c r="BQC3" s="7"/>
      <c r="BQD3" s="7"/>
      <c r="BQE3" s="7"/>
      <c r="BQF3" s="7"/>
      <c r="BQG3" s="7"/>
      <c r="BQH3" s="7"/>
      <c r="BQI3" s="7"/>
      <c r="BQJ3" s="7"/>
      <c r="BQK3" s="7"/>
      <c r="BQL3" s="7"/>
      <c r="BQM3" s="7"/>
      <c r="BQN3" s="7"/>
      <c r="BQO3" s="7"/>
      <c r="BQP3" s="7"/>
      <c r="BQQ3" s="7"/>
      <c r="BQR3" s="7"/>
      <c r="BQS3" s="7"/>
      <c r="BQT3" s="7"/>
      <c r="BQU3" s="7"/>
      <c r="BQV3" s="7"/>
      <c r="BQW3" s="7"/>
      <c r="BQX3" s="7"/>
      <c r="BQY3" s="7"/>
      <c r="BQZ3" s="7"/>
      <c r="BRA3" s="7"/>
      <c r="BRB3" s="7"/>
      <c r="BRC3" s="7"/>
      <c r="BRD3" s="7"/>
      <c r="BRE3" s="7"/>
      <c r="BRF3" s="7"/>
      <c r="BRG3" s="7"/>
      <c r="BRH3" s="7"/>
      <c r="BRI3" s="7"/>
      <c r="BRJ3" s="7"/>
      <c r="BRK3" s="7"/>
      <c r="BRL3" s="7"/>
      <c r="BRM3" s="7"/>
      <c r="BRN3" s="7"/>
      <c r="BRO3" s="7"/>
      <c r="BRP3" s="7"/>
      <c r="BRQ3" s="7"/>
      <c r="BRR3" s="7"/>
      <c r="BRS3" s="7"/>
      <c r="BRT3" s="7"/>
      <c r="BRU3" s="7"/>
      <c r="BRV3" s="7"/>
      <c r="BRW3" s="7"/>
      <c r="BRX3" s="7"/>
      <c r="BRY3" s="7"/>
      <c r="BRZ3" s="7"/>
      <c r="BSA3" s="7"/>
      <c r="BSB3" s="7"/>
      <c r="BSC3" s="7"/>
      <c r="BSD3" s="7"/>
      <c r="BSE3" s="7"/>
      <c r="BSF3" s="7"/>
      <c r="BSG3" s="7"/>
      <c r="BSH3" s="7"/>
      <c r="BSI3" s="7"/>
      <c r="BSJ3" s="7"/>
      <c r="BSK3" s="7"/>
      <c r="BSL3" s="7"/>
      <c r="BSM3" s="7"/>
      <c r="BSN3" s="7"/>
      <c r="BSO3" s="7"/>
      <c r="BSP3" s="7"/>
      <c r="BSQ3" s="7"/>
      <c r="BSR3" s="7"/>
      <c r="BSS3" s="7"/>
      <c r="BST3" s="7"/>
      <c r="BSU3" s="7"/>
      <c r="BSV3" s="7"/>
      <c r="BSW3" s="7"/>
      <c r="BSX3" s="7"/>
      <c r="BSY3" s="7"/>
      <c r="BSZ3" s="7"/>
      <c r="BTA3" s="7"/>
      <c r="BTB3" s="7"/>
      <c r="BTC3" s="7"/>
      <c r="BTD3" s="7"/>
      <c r="BTE3" s="7"/>
      <c r="BTF3" s="7"/>
      <c r="BTG3" s="7"/>
      <c r="BTH3" s="7"/>
      <c r="BTI3" s="7"/>
      <c r="BTJ3" s="7"/>
      <c r="BTK3" s="7"/>
      <c r="BTL3" s="7"/>
      <c r="BTM3" s="7"/>
      <c r="BTN3" s="7"/>
      <c r="BTO3" s="7"/>
      <c r="BTP3" s="7"/>
      <c r="BTQ3" s="7"/>
      <c r="BTR3" s="7"/>
      <c r="BTS3" s="7"/>
      <c r="BTT3" s="7"/>
      <c r="BTU3" s="7"/>
      <c r="BTV3" s="7"/>
      <c r="BTW3" s="7"/>
      <c r="BTX3" s="7"/>
      <c r="BTY3" s="7"/>
      <c r="BTZ3" s="7"/>
      <c r="BUA3" s="7"/>
      <c r="BUB3" s="7"/>
      <c r="BUC3" s="7"/>
      <c r="BUD3" s="7"/>
      <c r="BUE3" s="7"/>
      <c r="BUF3" s="7"/>
      <c r="BUG3" s="7"/>
      <c r="BUH3" s="7"/>
      <c r="BUI3" s="7"/>
      <c r="BUJ3" s="7"/>
      <c r="BUK3" s="7"/>
      <c r="BUL3" s="7"/>
      <c r="BUM3" s="7"/>
      <c r="BUN3" s="7"/>
      <c r="BUO3" s="7"/>
      <c r="BUP3" s="7"/>
      <c r="BUQ3" s="7"/>
      <c r="BUR3" s="7"/>
      <c r="BUS3" s="7"/>
      <c r="BUT3" s="7"/>
      <c r="BUU3" s="7"/>
      <c r="BUV3" s="7"/>
      <c r="BUW3" s="7"/>
      <c r="BUX3" s="7"/>
      <c r="BUY3" s="7"/>
      <c r="BUZ3" s="7"/>
      <c r="BVA3" s="7"/>
      <c r="BVB3" s="7"/>
      <c r="BVC3" s="7"/>
      <c r="BVD3" s="7"/>
      <c r="BVE3" s="7"/>
      <c r="BVF3" s="7"/>
      <c r="BVG3" s="7"/>
      <c r="BVH3" s="7"/>
      <c r="BVI3" s="7"/>
      <c r="BVJ3" s="7"/>
      <c r="BVK3" s="7"/>
      <c r="BVL3" s="7"/>
      <c r="BVM3" s="7"/>
      <c r="BVN3" s="7"/>
      <c r="BVO3" s="7"/>
      <c r="BVP3" s="7"/>
      <c r="BVQ3" s="7"/>
      <c r="BVR3" s="7"/>
      <c r="BVS3" s="7"/>
      <c r="BVT3" s="7"/>
      <c r="BVU3" s="7"/>
      <c r="BVV3" s="7"/>
      <c r="BVW3" s="7"/>
      <c r="BVX3" s="7"/>
      <c r="BVY3" s="7"/>
      <c r="BVZ3" s="7"/>
      <c r="BWA3" s="7"/>
      <c r="BWB3" s="7"/>
      <c r="BWC3" s="7"/>
      <c r="BWD3" s="7"/>
      <c r="BWE3" s="7"/>
      <c r="BWF3" s="7"/>
      <c r="BWG3" s="7"/>
      <c r="BWH3" s="7"/>
      <c r="BWI3" s="7"/>
      <c r="BWJ3" s="7"/>
      <c r="BWK3" s="7"/>
      <c r="BWL3" s="7"/>
      <c r="BWM3" s="7"/>
      <c r="BWN3" s="7"/>
      <c r="BWO3" s="7"/>
      <c r="BWP3" s="7"/>
      <c r="BWQ3" s="7"/>
      <c r="BWR3" s="7"/>
      <c r="BWS3" s="7"/>
      <c r="BWT3" s="7"/>
      <c r="BWU3" s="7"/>
      <c r="BWV3" s="7"/>
      <c r="BWW3" s="7"/>
      <c r="BWX3" s="7"/>
      <c r="BWY3" s="7"/>
      <c r="BWZ3" s="7"/>
      <c r="BXA3" s="7"/>
      <c r="BXB3" s="7"/>
      <c r="BXC3" s="7"/>
      <c r="BXD3" s="7"/>
      <c r="BXE3" s="7"/>
      <c r="BXF3" s="7"/>
      <c r="BXG3" s="7"/>
      <c r="BXH3" s="7"/>
      <c r="BXI3" s="7"/>
      <c r="BXJ3" s="7"/>
      <c r="BXK3" s="7"/>
      <c r="BXL3" s="7"/>
      <c r="BXM3" s="7"/>
      <c r="BXN3" s="7"/>
      <c r="BXO3" s="7"/>
      <c r="BXP3" s="7"/>
      <c r="BXQ3" s="7"/>
      <c r="BXR3" s="7"/>
      <c r="BXS3" s="7"/>
      <c r="BXT3" s="7"/>
      <c r="BXU3" s="7"/>
      <c r="BXV3" s="7"/>
      <c r="BXW3" s="7"/>
      <c r="BXX3" s="7"/>
      <c r="BXY3" s="7"/>
      <c r="BXZ3" s="7"/>
      <c r="BYA3" s="7"/>
      <c r="BYB3" s="7"/>
      <c r="BYC3" s="7"/>
      <c r="BYD3" s="7"/>
      <c r="BYE3" s="7"/>
      <c r="BYF3" s="7"/>
      <c r="BYG3" s="7"/>
      <c r="BYH3" s="7"/>
      <c r="BYI3" s="7"/>
      <c r="BYJ3" s="7"/>
      <c r="BYK3" s="7"/>
      <c r="BYL3" s="7"/>
      <c r="BYM3" s="7"/>
      <c r="BYN3" s="7"/>
      <c r="BYO3" s="7"/>
      <c r="BYP3" s="7"/>
      <c r="BYQ3" s="7"/>
      <c r="BYR3" s="7"/>
      <c r="BYS3" s="7"/>
      <c r="BYT3" s="7"/>
      <c r="BYU3" s="7"/>
      <c r="BYV3" s="7"/>
      <c r="BYW3" s="7"/>
      <c r="BYX3" s="7"/>
      <c r="BYY3" s="7"/>
      <c r="BYZ3" s="7"/>
      <c r="BZA3" s="7"/>
      <c r="BZB3" s="7"/>
      <c r="BZC3" s="7"/>
      <c r="BZD3" s="7"/>
      <c r="BZE3" s="7"/>
      <c r="BZF3" s="7"/>
      <c r="BZG3" s="7"/>
      <c r="BZH3" s="7"/>
      <c r="BZI3" s="7"/>
      <c r="BZJ3" s="7"/>
      <c r="BZK3" s="7"/>
      <c r="BZL3" s="7"/>
      <c r="BZM3" s="7"/>
      <c r="BZN3" s="7"/>
      <c r="BZO3" s="7"/>
      <c r="BZP3" s="7"/>
      <c r="BZQ3" s="7"/>
      <c r="BZR3" s="7"/>
      <c r="BZS3" s="7"/>
      <c r="BZT3" s="7"/>
      <c r="BZU3" s="7"/>
      <c r="BZV3" s="7"/>
      <c r="BZW3" s="7"/>
      <c r="BZX3" s="7"/>
      <c r="BZY3" s="7"/>
      <c r="BZZ3" s="7"/>
      <c r="CAA3" s="7"/>
      <c r="CAB3" s="7"/>
      <c r="CAC3" s="7"/>
      <c r="CAD3" s="7"/>
      <c r="CAE3" s="7"/>
      <c r="CAF3" s="7"/>
      <c r="CAG3" s="7"/>
      <c r="CAH3" s="7"/>
      <c r="CAI3" s="7"/>
      <c r="CAJ3" s="7"/>
      <c r="CAK3" s="7"/>
      <c r="CAL3" s="7"/>
      <c r="CAM3" s="7"/>
      <c r="CAN3" s="7"/>
      <c r="CAO3" s="7"/>
      <c r="CAP3" s="7"/>
      <c r="CAQ3" s="7"/>
      <c r="CAR3" s="7"/>
      <c r="CAS3" s="7"/>
      <c r="CAT3" s="7"/>
      <c r="CAU3" s="7"/>
      <c r="CAV3" s="7"/>
      <c r="CAW3" s="7"/>
      <c r="CAX3" s="7"/>
      <c r="CAY3" s="7"/>
      <c r="CAZ3" s="7"/>
      <c r="CBA3" s="7"/>
      <c r="CBB3" s="7"/>
      <c r="CBC3" s="7"/>
      <c r="CBD3" s="7"/>
      <c r="CBE3" s="7"/>
      <c r="CBF3" s="7"/>
      <c r="CBG3" s="7"/>
      <c r="CBH3" s="7"/>
      <c r="CBI3" s="7"/>
      <c r="CBJ3" s="7"/>
      <c r="CBK3" s="7"/>
      <c r="CBL3" s="7"/>
      <c r="CBM3" s="7"/>
      <c r="CBN3" s="7"/>
      <c r="CBO3" s="7"/>
      <c r="CBP3" s="7"/>
      <c r="CBQ3" s="7"/>
      <c r="CBR3" s="7"/>
      <c r="CBS3" s="7"/>
      <c r="CBT3" s="7"/>
      <c r="CBU3" s="7"/>
      <c r="CBV3" s="7"/>
      <c r="CBW3" s="7"/>
      <c r="CBX3" s="7"/>
      <c r="CBY3" s="7"/>
      <c r="CBZ3" s="7"/>
      <c r="CCA3" s="7"/>
      <c r="CCB3" s="7"/>
      <c r="CCC3" s="7"/>
      <c r="CCD3" s="7"/>
      <c r="CCE3" s="7"/>
      <c r="CCF3" s="7"/>
      <c r="CCG3" s="7"/>
      <c r="CCH3" s="7"/>
      <c r="CCI3" s="7"/>
      <c r="CCJ3" s="7"/>
      <c r="CCK3" s="7"/>
      <c r="CCL3" s="7"/>
      <c r="CCM3" s="7"/>
      <c r="CCN3" s="7"/>
      <c r="CCO3" s="7"/>
      <c r="CCP3" s="7"/>
      <c r="CCQ3" s="7"/>
      <c r="CCR3" s="7"/>
      <c r="CCS3" s="7"/>
      <c r="CCT3" s="7"/>
      <c r="CCU3" s="7"/>
      <c r="CCV3" s="7"/>
      <c r="CCW3" s="7"/>
      <c r="CCX3" s="7"/>
      <c r="CCY3" s="7"/>
      <c r="CCZ3" s="7"/>
      <c r="CDA3" s="7"/>
      <c r="CDB3" s="7"/>
      <c r="CDC3" s="7"/>
      <c r="CDD3" s="7"/>
      <c r="CDE3" s="7"/>
      <c r="CDF3" s="7"/>
      <c r="CDG3" s="7"/>
      <c r="CDH3" s="7"/>
      <c r="CDI3" s="7"/>
      <c r="CDJ3" s="7"/>
      <c r="CDK3" s="7"/>
      <c r="CDL3" s="7"/>
      <c r="CDM3" s="7"/>
      <c r="CDN3" s="7"/>
      <c r="CDO3" s="7"/>
      <c r="CDP3" s="7"/>
      <c r="CDQ3" s="7"/>
      <c r="CDR3" s="7"/>
      <c r="CDS3" s="7"/>
      <c r="CDT3" s="7"/>
      <c r="CDU3" s="7"/>
      <c r="CDV3" s="7"/>
      <c r="CDW3" s="7"/>
      <c r="CDX3" s="7"/>
      <c r="CDY3" s="7"/>
      <c r="CDZ3" s="7"/>
      <c r="CEA3" s="7"/>
      <c r="CEB3" s="7"/>
      <c r="CEC3" s="7"/>
      <c r="CED3" s="7"/>
      <c r="CEE3" s="7"/>
      <c r="CEF3" s="7"/>
      <c r="CEG3" s="7"/>
      <c r="CEH3" s="7"/>
      <c r="CEI3" s="7"/>
      <c r="CEJ3" s="7"/>
      <c r="CEK3" s="7"/>
      <c r="CEL3" s="7"/>
      <c r="CEM3" s="7"/>
      <c r="CEN3" s="7"/>
      <c r="CEO3" s="7"/>
      <c r="CEP3" s="7"/>
      <c r="CEQ3" s="7"/>
      <c r="CER3" s="7"/>
      <c r="CES3" s="7"/>
      <c r="CET3" s="7"/>
      <c r="CEU3" s="7"/>
      <c r="CEV3" s="7"/>
      <c r="CEW3" s="7"/>
      <c r="CEX3" s="7"/>
      <c r="CEY3" s="7"/>
      <c r="CEZ3" s="7"/>
      <c r="CFA3" s="7"/>
      <c r="CFB3" s="7"/>
      <c r="CFC3" s="7"/>
      <c r="CFD3" s="7"/>
      <c r="CFE3" s="7"/>
      <c r="CFF3" s="7"/>
      <c r="CFG3" s="7"/>
      <c r="CFH3" s="7"/>
      <c r="CFI3" s="7"/>
      <c r="CFJ3" s="7"/>
      <c r="CFK3" s="7"/>
      <c r="CFL3" s="7"/>
      <c r="CFM3" s="7"/>
      <c r="CFN3" s="7"/>
      <c r="CFO3" s="7"/>
      <c r="CFP3" s="7"/>
      <c r="CFQ3" s="7"/>
      <c r="CFR3" s="7"/>
      <c r="CFS3" s="7"/>
      <c r="CFT3" s="7"/>
      <c r="CFU3" s="7"/>
      <c r="CFV3" s="7"/>
      <c r="CFW3" s="7"/>
      <c r="CFX3" s="7"/>
      <c r="CFY3" s="7"/>
      <c r="CFZ3" s="7"/>
      <c r="CGA3" s="7"/>
      <c r="CGB3" s="7"/>
      <c r="CGC3" s="7"/>
      <c r="CGD3" s="7"/>
      <c r="CGE3" s="7"/>
      <c r="CGF3" s="7"/>
      <c r="CGG3" s="7"/>
      <c r="CGH3" s="7"/>
      <c r="CGI3" s="7"/>
      <c r="CGJ3" s="7"/>
      <c r="CGK3" s="7"/>
      <c r="CGL3" s="7"/>
      <c r="CGM3" s="7"/>
      <c r="CGN3" s="7"/>
      <c r="CGO3" s="7"/>
      <c r="CGP3" s="7"/>
      <c r="CGQ3" s="7"/>
      <c r="CGR3" s="7"/>
      <c r="CGS3" s="7"/>
      <c r="CGT3" s="7"/>
      <c r="CGU3" s="7"/>
      <c r="CGV3" s="7"/>
      <c r="CGW3" s="7"/>
      <c r="CGX3" s="7"/>
      <c r="CGY3" s="7"/>
      <c r="CGZ3" s="7"/>
      <c r="CHA3" s="7"/>
      <c r="CHB3" s="7"/>
      <c r="CHC3" s="7"/>
      <c r="CHD3" s="7"/>
      <c r="CHE3" s="7"/>
      <c r="CHF3" s="7"/>
      <c r="CHG3" s="7"/>
      <c r="CHH3" s="7"/>
      <c r="CHI3" s="7"/>
      <c r="CHJ3" s="7"/>
      <c r="CHK3" s="7"/>
      <c r="CHL3" s="7"/>
      <c r="CHM3" s="7"/>
      <c r="CHN3" s="7"/>
      <c r="CHO3" s="7"/>
      <c r="CHP3" s="7"/>
      <c r="CHQ3" s="7"/>
      <c r="CHR3" s="7"/>
      <c r="CHS3" s="7"/>
      <c r="CHT3" s="7"/>
      <c r="CHU3" s="7"/>
      <c r="CHV3" s="7"/>
      <c r="CHW3" s="7"/>
      <c r="CHX3" s="7"/>
      <c r="CHY3" s="7"/>
      <c r="CHZ3" s="7"/>
      <c r="CIA3" s="7"/>
      <c r="CIB3" s="7"/>
      <c r="CIC3" s="7"/>
      <c r="CID3" s="7"/>
      <c r="CIE3" s="7"/>
      <c r="CIF3" s="7"/>
      <c r="CIG3" s="7"/>
      <c r="CIH3" s="7"/>
      <c r="CII3" s="7"/>
      <c r="CIJ3" s="7"/>
      <c r="CIK3" s="7"/>
      <c r="CIL3" s="7"/>
      <c r="CIM3" s="7"/>
      <c r="CIN3" s="7"/>
      <c r="CIO3" s="7"/>
      <c r="CIP3" s="7"/>
      <c r="CIQ3" s="7"/>
      <c r="CIR3" s="7"/>
      <c r="CIS3" s="7"/>
      <c r="CIT3" s="7"/>
      <c r="CIU3" s="7"/>
      <c r="CIV3" s="7"/>
      <c r="CIW3" s="7"/>
      <c r="CIX3" s="7"/>
      <c r="CIY3" s="7"/>
      <c r="CIZ3" s="7"/>
      <c r="CJA3" s="7"/>
      <c r="CJB3" s="7"/>
      <c r="CJC3" s="7"/>
      <c r="CJD3" s="7"/>
      <c r="CJE3" s="7"/>
      <c r="CJF3" s="7"/>
      <c r="CJG3" s="7"/>
      <c r="CJH3" s="7"/>
      <c r="CJI3" s="7"/>
      <c r="CJJ3" s="7"/>
      <c r="CJK3" s="7"/>
      <c r="CJL3" s="7"/>
      <c r="CJM3" s="7"/>
      <c r="CJN3" s="7"/>
      <c r="CJO3" s="7"/>
      <c r="CJP3" s="7"/>
      <c r="CJQ3" s="7"/>
      <c r="CJR3" s="7"/>
      <c r="CJS3" s="7"/>
      <c r="CJT3" s="7"/>
      <c r="CJU3" s="7"/>
      <c r="CJV3" s="7"/>
      <c r="CJW3" s="7"/>
      <c r="CJX3" s="7"/>
      <c r="CJY3" s="7"/>
      <c r="CJZ3" s="7"/>
      <c r="CKA3" s="7"/>
      <c r="CKB3" s="7"/>
      <c r="CKC3" s="7"/>
      <c r="CKD3" s="7"/>
      <c r="CKE3" s="7"/>
      <c r="CKF3" s="7"/>
      <c r="CKG3" s="7"/>
      <c r="CKH3" s="7"/>
      <c r="CKI3" s="7"/>
      <c r="CKJ3" s="7"/>
      <c r="CKK3" s="7"/>
      <c r="CKL3" s="7"/>
      <c r="CKM3" s="7"/>
      <c r="CKN3" s="7"/>
      <c r="CKO3" s="7"/>
      <c r="CKP3" s="7"/>
      <c r="CKQ3" s="7"/>
      <c r="CKR3" s="7"/>
      <c r="CKS3" s="7"/>
      <c r="CKT3" s="7"/>
      <c r="CKU3" s="7"/>
      <c r="CKV3" s="7"/>
      <c r="CKW3" s="7"/>
      <c r="CKX3" s="7"/>
      <c r="CKY3" s="7"/>
      <c r="CKZ3" s="7"/>
      <c r="CLA3" s="7"/>
      <c r="CLB3" s="7"/>
      <c r="CLC3" s="7"/>
      <c r="CLD3" s="7"/>
      <c r="CLE3" s="7"/>
      <c r="CLF3" s="7"/>
      <c r="CLG3" s="7"/>
      <c r="CLH3" s="7"/>
      <c r="CLI3" s="7"/>
      <c r="CLJ3" s="7"/>
      <c r="CLK3" s="7"/>
      <c r="CLL3" s="7"/>
      <c r="CLM3" s="7"/>
      <c r="CLN3" s="7"/>
      <c r="CLO3" s="7"/>
      <c r="CLP3" s="7"/>
      <c r="CLQ3" s="7"/>
      <c r="CLR3" s="7"/>
      <c r="CLS3" s="7"/>
      <c r="CLT3" s="7"/>
      <c r="CLU3" s="7"/>
      <c r="CLV3" s="7"/>
      <c r="CLW3" s="7"/>
      <c r="CLX3" s="7"/>
      <c r="CLY3" s="7"/>
      <c r="CLZ3" s="7"/>
      <c r="CMA3" s="7"/>
      <c r="CMB3" s="7"/>
      <c r="CMC3" s="7"/>
      <c r="CMD3" s="7"/>
      <c r="CME3" s="7"/>
      <c r="CMF3" s="7"/>
      <c r="CMG3" s="7"/>
      <c r="CMH3" s="7"/>
      <c r="CMI3" s="7"/>
      <c r="CMJ3" s="7"/>
      <c r="CMK3" s="7"/>
      <c r="CML3" s="7"/>
      <c r="CMM3" s="7"/>
      <c r="CMN3" s="7"/>
      <c r="CMO3" s="7"/>
      <c r="CMP3" s="7"/>
      <c r="CMQ3" s="7"/>
      <c r="CMR3" s="7"/>
      <c r="CMS3" s="7"/>
      <c r="CMT3" s="7"/>
      <c r="CMU3" s="7"/>
      <c r="CMV3" s="7"/>
      <c r="CMW3" s="7"/>
      <c r="CMX3" s="7"/>
      <c r="CMY3" s="7"/>
      <c r="CMZ3" s="7"/>
      <c r="CNA3" s="7"/>
      <c r="CNB3" s="7"/>
      <c r="CNC3" s="7"/>
      <c r="CND3" s="7"/>
      <c r="CNE3" s="7"/>
      <c r="CNF3" s="7"/>
      <c r="CNG3" s="7"/>
      <c r="CNH3" s="7"/>
      <c r="CNI3" s="7"/>
      <c r="CNJ3" s="7"/>
      <c r="CNK3" s="7"/>
      <c r="CNL3" s="7"/>
      <c r="CNM3" s="7"/>
      <c r="CNN3" s="7"/>
      <c r="CNO3" s="7"/>
      <c r="CNP3" s="7"/>
      <c r="CNQ3" s="7"/>
      <c r="CNR3" s="7"/>
      <c r="CNS3" s="7"/>
      <c r="CNT3" s="7"/>
      <c r="CNU3" s="7"/>
      <c r="CNV3" s="7"/>
      <c r="CNW3" s="7"/>
      <c r="CNX3" s="7"/>
      <c r="CNY3" s="7"/>
      <c r="CNZ3" s="7"/>
      <c r="COA3" s="7"/>
      <c r="COB3" s="7"/>
      <c r="COC3" s="7"/>
      <c r="COD3" s="7"/>
      <c r="COE3" s="7"/>
      <c r="COF3" s="7"/>
      <c r="COG3" s="7"/>
      <c r="COH3" s="7"/>
      <c r="COI3" s="7"/>
      <c r="COJ3" s="7"/>
      <c r="COK3" s="7"/>
      <c r="COL3" s="7"/>
      <c r="COM3" s="7"/>
      <c r="CON3" s="7"/>
      <c r="COO3" s="7"/>
      <c r="COP3" s="7"/>
      <c r="COQ3" s="7"/>
      <c r="COR3" s="7"/>
      <c r="COS3" s="7"/>
      <c r="COT3" s="7"/>
      <c r="COU3" s="7"/>
      <c r="COV3" s="7"/>
      <c r="COW3" s="7"/>
      <c r="COX3" s="7"/>
      <c r="COY3" s="7"/>
      <c r="COZ3" s="7"/>
      <c r="CPA3" s="7"/>
      <c r="CPB3" s="7"/>
      <c r="CPC3" s="7"/>
      <c r="CPD3" s="7"/>
      <c r="CPE3" s="7"/>
      <c r="CPF3" s="7"/>
      <c r="CPG3" s="7"/>
      <c r="CPH3" s="7"/>
      <c r="CPI3" s="7"/>
      <c r="CPJ3" s="7"/>
      <c r="CPK3" s="7"/>
      <c r="CPL3" s="7"/>
      <c r="CPM3" s="7"/>
      <c r="CPN3" s="7"/>
      <c r="CPO3" s="7"/>
      <c r="CPP3" s="7"/>
      <c r="CPQ3" s="7"/>
      <c r="CPR3" s="7"/>
      <c r="CPS3" s="7"/>
      <c r="CPT3" s="7"/>
      <c r="CPU3" s="7"/>
      <c r="CPV3" s="7"/>
      <c r="CPW3" s="7"/>
      <c r="CPX3" s="7"/>
      <c r="CPY3" s="7"/>
      <c r="CPZ3" s="7"/>
      <c r="CQA3" s="7"/>
      <c r="CQB3" s="7"/>
      <c r="CQC3" s="7"/>
      <c r="CQD3" s="7"/>
      <c r="CQE3" s="7"/>
      <c r="CQF3" s="7"/>
      <c r="CQG3" s="7"/>
      <c r="CQH3" s="7"/>
      <c r="CQI3" s="7"/>
      <c r="CQJ3" s="7"/>
      <c r="CQK3" s="7"/>
      <c r="CQL3" s="7"/>
      <c r="CQM3" s="7"/>
      <c r="CQN3" s="7"/>
      <c r="CQO3" s="7"/>
      <c r="CQP3" s="7"/>
      <c r="CQQ3" s="7"/>
      <c r="CQR3" s="7"/>
      <c r="CQS3" s="7"/>
      <c r="CQT3" s="7"/>
      <c r="CQU3" s="7"/>
      <c r="CQV3" s="7"/>
      <c r="CQW3" s="7"/>
      <c r="CQX3" s="7"/>
      <c r="CQY3" s="7"/>
      <c r="CQZ3" s="7"/>
      <c r="CRA3" s="7"/>
      <c r="CRB3" s="7"/>
      <c r="CRC3" s="7"/>
      <c r="CRD3" s="7"/>
      <c r="CRE3" s="7"/>
      <c r="CRF3" s="7"/>
      <c r="CRG3" s="7"/>
      <c r="CRH3" s="7"/>
      <c r="CRI3" s="7"/>
      <c r="CRJ3" s="7"/>
      <c r="CRK3" s="7"/>
      <c r="CRL3" s="7"/>
      <c r="CRM3" s="7"/>
      <c r="CRN3" s="7"/>
      <c r="CRO3" s="7"/>
      <c r="CRP3" s="7"/>
      <c r="CRQ3" s="7"/>
      <c r="CRR3" s="7"/>
      <c r="CRS3" s="7"/>
      <c r="CRT3" s="7"/>
      <c r="CRU3" s="7"/>
      <c r="CRV3" s="7"/>
      <c r="CRW3" s="7"/>
      <c r="CRX3" s="7"/>
      <c r="CRY3" s="7"/>
      <c r="CRZ3" s="7"/>
      <c r="CSA3" s="7"/>
      <c r="CSB3" s="7"/>
      <c r="CSC3" s="7"/>
      <c r="CSD3" s="7"/>
      <c r="CSE3" s="7"/>
      <c r="CSF3" s="7"/>
      <c r="CSG3" s="7"/>
      <c r="CSH3" s="7"/>
      <c r="CSI3" s="7"/>
      <c r="CSJ3" s="7"/>
      <c r="CSK3" s="7"/>
      <c r="CSL3" s="7"/>
      <c r="CSM3" s="7"/>
      <c r="CSN3" s="7"/>
      <c r="CSO3" s="7"/>
      <c r="CSP3" s="7"/>
      <c r="CSQ3" s="7"/>
      <c r="CSR3" s="7"/>
      <c r="CSS3" s="7"/>
      <c r="CST3" s="7"/>
      <c r="CSU3" s="7"/>
      <c r="CSV3" s="7"/>
      <c r="CSW3" s="7"/>
      <c r="CSX3" s="7"/>
      <c r="CSY3" s="7"/>
      <c r="CSZ3" s="7"/>
      <c r="CTA3" s="7"/>
      <c r="CTB3" s="7"/>
      <c r="CTC3" s="7"/>
      <c r="CTD3" s="7"/>
      <c r="CTE3" s="7"/>
      <c r="CTF3" s="7"/>
      <c r="CTG3" s="7"/>
      <c r="CTH3" s="7"/>
      <c r="CTI3" s="7"/>
      <c r="CTJ3" s="7"/>
      <c r="CTK3" s="7"/>
      <c r="CTL3" s="7"/>
      <c r="CTM3" s="7"/>
      <c r="CTN3" s="7"/>
      <c r="CTO3" s="7"/>
      <c r="CTP3" s="7"/>
      <c r="CTQ3" s="7"/>
      <c r="CTR3" s="7"/>
      <c r="CTS3" s="7"/>
      <c r="CTT3" s="7"/>
      <c r="CTU3" s="7"/>
      <c r="CTV3" s="7"/>
      <c r="CTW3" s="7"/>
      <c r="CTX3" s="7"/>
      <c r="CTY3" s="7"/>
      <c r="CTZ3" s="7"/>
      <c r="CUA3" s="7"/>
      <c r="CUB3" s="7"/>
      <c r="CUC3" s="7"/>
      <c r="CUD3" s="7"/>
      <c r="CUE3" s="7"/>
      <c r="CUF3" s="7"/>
      <c r="CUG3" s="7"/>
      <c r="CUH3" s="7"/>
      <c r="CUI3" s="7"/>
      <c r="CUJ3" s="7"/>
      <c r="CUK3" s="7"/>
      <c r="CUL3" s="7"/>
      <c r="CUM3" s="7"/>
      <c r="CUN3" s="7"/>
      <c r="CUO3" s="7"/>
      <c r="CUP3" s="7"/>
      <c r="CUQ3" s="7"/>
      <c r="CUR3" s="7"/>
      <c r="CUS3" s="7"/>
      <c r="CUT3" s="7"/>
      <c r="CUU3" s="7"/>
      <c r="CUV3" s="7"/>
      <c r="CUW3" s="7"/>
      <c r="CUX3" s="7"/>
      <c r="CUY3" s="7"/>
      <c r="CUZ3" s="7"/>
      <c r="CVA3" s="7"/>
      <c r="CVB3" s="7"/>
      <c r="CVC3" s="7"/>
      <c r="CVD3" s="7"/>
      <c r="CVE3" s="7"/>
      <c r="CVF3" s="7"/>
      <c r="CVG3" s="7"/>
      <c r="CVH3" s="7"/>
      <c r="CVI3" s="7"/>
      <c r="CVJ3" s="7"/>
      <c r="CVK3" s="7"/>
      <c r="CVL3" s="7"/>
      <c r="CVM3" s="7"/>
      <c r="CVN3" s="7"/>
      <c r="CVO3" s="7"/>
      <c r="CVP3" s="7"/>
      <c r="CVQ3" s="7"/>
      <c r="CVR3" s="7"/>
      <c r="CVS3" s="7"/>
      <c r="CVT3" s="7"/>
      <c r="CVU3" s="7"/>
      <c r="CVV3" s="7"/>
      <c r="CVW3" s="7"/>
      <c r="CVX3" s="7"/>
      <c r="CVY3" s="7"/>
      <c r="CVZ3" s="7"/>
      <c r="CWA3" s="7"/>
      <c r="CWB3" s="7"/>
      <c r="CWC3" s="7"/>
      <c r="CWD3" s="7"/>
      <c r="CWE3" s="7"/>
      <c r="CWF3" s="7"/>
      <c r="CWG3" s="7"/>
      <c r="CWH3" s="7"/>
      <c r="CWI3" s="7"/>
      <c r="CWJ3" s="7"/>
      <c r="CWK3" s="7"/>
      <c r="CWL3" s="7"/>
      <c r="CWM3" s="7"/>
      <c r="CWN3" s="7"/>
      <c r="CWO3" s="7"/>
      <c r="CWP3" s="7"/>
      <c r="CWQ3" s="7"/>
      <c r="CWR3" s="7"/>
      <c r="CWS3" s="7"/>
      <c r="CWT3" s="7"/>
      <c r="CWU3" s="7"/>
      <c r="CWV3" s="7"/>
      <c r="CWW3" s="7"/>
      <c r="CWX3" s="7"/>
      <c r="CWY3" s="7"/>
      <c r="CWZ3" s="7"/>
      <c r="CXA3" s="7"/>
      <c r="CXB3" s="7"/>
      <c r="CXC3" s="7"/>
      <c r="CXD3" s="7"/>
      <c r="CXE3" s="7"/>
      <c r="CXF3" s="7"/>
      <c r="CXG3" s="7"/>
      <c r="CXH3" s="7"/>
      <c r="CXI3" s="7"/>
      <c r="CXJ3" s="7"/>
      <c r="CXK3" s="7"/>
      <c r="CXL3" s="7"/>
      <c r="CXM3" s="7"/>
      <c r="CXN3" s="7"/>
      <c r="CXO3" s="7"/>
      <c r="CXP3" s="7"/>
      <c r="CXQ3" s="7"/>
      <c r="CXR3" s="7"/>
      <c r="CXS3" s="7"/>
      <c r="CXT3" s="7"/>
      <c r="CXU3" s="7"/>
      <c r="CXV3" s="7"/>
      <c r="CXW3" s="7"/>
      <c r="CXX3" s="7"/>
      <c r="CXY3" s="7"/>
      <c r="CXZ3" s="7"/>
      <c r="CYA3" s="7"/>
      <c r="CYB3" s="7"/>
      <c r="CYC3" s="7"/>
      <c r="CYD3" s="7"/>
      <c r="CYE3" s="7"/>
      <c r="CYF3" s="7"/>
      <c r="CYG3" s="7"/>
      <c r="CYH3" s="7"/>
      <c r="CYI3" s="7"/>
      <c r="CYJ3" s="7"/>
      <c r="CYK3" s="7"/>
      <c r="CYL3" s="7"/>
      <c r="CYM3" s="7"/>
      <c r="CYN3" s="7"/>
      <c r="CYO3" s="7"/>
      <c r="CYP3" s="7"/>
      <c r="CYQ3" s="7"/>
      <c r="CYR3" s="7"/>
      <c r="CYS3" s="7"/>
      <c r="CYT3" s="7"/>
      <c r="CYU3" s="7"/>
      <c r="CYV3" s="7"/>
      <c r="CYW3" s="7"/>
      <c r="CYX3" s="7"/>
      <c r="CYY3" s="7"/>
      <c r="CYZ3" s="7"/>
      <c r="CZA3" s="7"/>
      <c r="CZB3" s="7"/>
      <c r="CZC3" s="7"/>
      <c r="CZD3" s="7"/>
      <c r="CZE3" s="7"/>
      <c r="CZF3" s="7"/>
      <c r="CZG3" s="7"/>
      <c r="CZH3" s="7"/>
      <c r="CZI3" s="7"/>
      <c r="CZJ3" s="7"/>
      <c r="CZK3" s="7"/>
      <c r="CZL3" s="7"/>
      <c r="CZM3" s="7"/>
      <c r="CZN3" s="7"/>
      <c r="CZO3" s="7"/>
      <c r="CZP3" s="7"/>
      <c r="CZQ3" s="7"/>
      <c r="CZR3" s="7"/>
      <c r="CZS3" s="7"/>
      <c r="CZT3" s="7"/>
      <c r="CZU3" s="7"/>
      <c r="CZV3" s="7"/>
      <c r="CZW3" s="7"/>
      <c r="CZX3" s="7"/>
      <c r="CZY3" s="7"/>
      <c r="CZZ3" s="7"/>
      <c r="DAA3" s="7"/>
      <c r="DAB3" s="7"/>
      <c r="DAC3" s="7"/>
      <c r="DAD3" s="7"/>
      <c r="DAE3" s="7"/>
      <c r="DAF3" s="7"/>
      <c r="DAG3" s="7"/>
      <c r="DAH3" s="7"/>
      <c r="DAI3" s="7"/>
      <c r="DAJ3" s="7"/>
      <c r="DAK3" s="7"/>
      <c r="DAL3" s="7"/>
      <c r="DAM3" s="7"/>
      <c r="DAN3" s="7"/>
      <c r="DAO3" s="7"/>
      <c r="DAP3" s="7"/>
      <c r="DAQ3" s="7"/>
      <c r="DAR3" s="7"/>
      <c r="DAS3" s="7"/>
      <c r="DAT3" s="7"/>
      <c r="DAU3" s="7"/>
      <c r="DAV3" s="7"/>
      <c r="DAW3" s="7"/>
      <c r="DAX3" s="7"/>
      <c r="DAY3" s="7"/>
      <c r="DAZ3" s="7"/>
      <c r="DBA3" s="7"/>
      <c r="DBB3" s="7"/>
      <c r="DBC3" s="7"/>
      <c r="DBD3" s="7"/>
      <c r="DBE3" s="7"/>
      <c r="DBF3" s="7"/>
      <c r="DBG3" s="7"/>
      <c r="DBH3" s="7"/>
      <c r="DBI3" s="7"/>
      <c r="DBJ3" s="7"/>
      <c r="DBK3" s="7"/>
      <c r="DBL3" s="7"/>
      <c r="DBM3" s="7"/>
      <c r="DBN3" s="7"/>
      <c r="DBO3" s="7"/>
      <c r="DBP3" s="7"/>
      <c r="DBQ3" s="7"/>
      <c r="DBR3" s="7"/>
      <c r="DBS3" s="7"/>
      <c r="DBT3" s="7"/>
      <c r="DBU3" s="7"/>
      <c r="DBV3" s="7"/>
      <c r="DBW3" s="7"/>
      <c r="DBX3" s="7"/>
      <c r="DBY3" s="7"/>
      <c r="DBZ3" s="7"/>
      <c r="DCA3" s="7"/>
      <c r="DCB3" s="7"/>
      <c r="DCC3" s="7"/>
      <c r="DCD3" s="7"/>
      <c r="DCE3" s="7"/>
      <c r="DCF3" s="7"/>
      <c r="DCG3" s="7"/>
      <c r="DCH3" s="7"/>
      <c r="DCI3" s="7"/>
      <c r="DCJ3" s="7"/>
      <c r="DCK3" s="7"/>
      <c r="DCL3" s="7"/>
      <c r="DCM3" s="7"/>
      <c r="DCN3" s="7"/>
      <c r="DCO3" s="7"/>
      <c r="DCP3" s="7"/>
      <c r="DCQ3" s="7"/>
      <c r="DCR3" s="7"/>
      <c r="DCS3" s="7"/>
      <c r="DCT3" s="7"/>
      <c r="DCU3" s="7"/>
      <c r="DCV3" s="7"/>
      <c r="DCW3" s="7"/>
      <c r="DCX3" s="7"/>
      <c r="DCY3" s="7"/>
      <c r="DCZ3" s="7"/>
      <c r="DDA3" s="7"/>
      <c r="DDB3" s="7"/>
      <c r="DDC3" s="7"/>
      <c r="DDD3" s="7"/>
      <c r="DDE3" s="7"/>
      <c r="DDF3" s="7"/>
      <c r="DDG3" s="7"/>
      <c r="DDH3" s="7"/>
      <c r="DDI3" s="7"/>
      <c r="DDJ3" s="7"/>
      <c r="DDK3" s="7"/>
      <c r="DDL3" s="7"/>
      <c r="DDM3" s="7"/>
      <c r="DDN3" s="7"/>
      <c r="DDO3" s="7"/>
      <c r="DDP3" s="7"/>
      <c r="DDQ3" s="7"/>
      <c r="DDR3" s="7"/>
      <c r="DDS3" s="7"/>
      <c r="DDT3" s="7"/>
      <c r="DDU3" s="7"/>
      <c r="DDV3" s="7"/>
      <c r="DDW3" s="7"/>
      <c r="DDX3" s="7"/>
      <c r="DDY3" s="7"/>
      <c r="DDZ3" s="7"/>
      <c r="DEA3" s="7"/>
      <c r="DEB3" s="7"/>
      <c r="DEC3" s="7"/>
      <c r="DED3" s="7"/>
      <c r="DEE3" s="7"/>
      <c r="DEF3" s="7"/>
      <c r="DEG3" s="7"/>
      <c r="DEH3" s="7"/>
      <c r="DEI3" s="7"/>
      <c r="DEJ3" s="7"/>
      <c r="DEK3" s="7"/>
      <c r="DEL3" s="7"/>
      <c r="DEM3" s="7"/>
      <c r="DEN3" s="7"/>
      <c r="DEO3" s="7"/>
      <c r="DEP3" s="7"/>
      <c r="DEQ3" s="7"/>
      <c r="DER3" s="7"/>
      <c r="DES3" s="7"/>
      <c r="DET3" s="7"/>
      <c r="DEU3" s="7"/>
      <c r="DEV3" s="7"/>
      <c r="DEW3" s="7"/>
      <c r="DEX3" s="7"/>
      <c r="DEY3" s="7"/>
      <c r="DEZ3" s="7"/>
      <c r="DFA3" s="7"/>
      <c r="DFB3" s="7"/>
      <c r="DFC3" s="7"/>
      <c r="DFD3" s="7"/>
      <c r="DFE3" s="7"/>
      <c r="DFF3" s="7"/>
      <c r="DFG3" s="7"/>
      <c r="DFH3" s="7"/>
      <c r="DFI3" s="7"/>
      <c r="DFJ3" s="7"/>
      <c r="DFK3" s="7"/>
      <c r="DFL3" s="7"/>
      <c r="DFM3" s="7"/>
      <c r="DFN3" s="7"/>
      <c r="DFO3" s="7"/>
      <c r="DFP3" s="7"/>
      <c r="DFQ3" s="7"/>
      <c r="DFR3" s="7"/>
      <c r="DFS3" s="7"/>
      <c r="DFT3" s="7"/>
      <c r="DFU3" s="7"/>
      <c r="DFV3" s="7"/>
      <c r="DFW3" s="7"/>
      <c r="DFX3" s="7"/>
      <c r="DFY3" s="7"/>
      <c r="DFZ3" s="7"/>
      <c r="DGA3" s="7"/>
      <c r="DGB3" s="7"/>
      <c r="DGC3" s="7"/>
      <c r="DGD3" s="7"/>
      <c r="DGE3" s="7"/>
      <c r="DGF3" s="7"/>
      <c r="DGG3" s="7"/>
      <c r="DGH3" s="7"/>
      <c r="DGI3" s="7"/>
      <c r="DGJ3" s="7"/>
      <c r="DGK3" s="7"/>
      <c r="DGL3" s="7"/>
      <c r="DGM3" s="7"/>
      <c r="DGN3" s="7"/>
      <c r="DGO3" s="7"/>
      <c r="DGP3" s="7"/>
      <c r="DGQ3" s="7"/>
      <c r="DGR3" s="7"/>
      <c r="DGS3" s="7"/>
      <c r="DGT3" s="7"/>
      <c r="DGU3" s="7"/>
      <c r="DGV3" s="7"/>
      <c r="DGW3" s="7"/>
      <c r="DGX3" s="7"/>
      <c r="DGY3" s="7"/>
      <c r="DGZ3" s="7"/>
      <c r="DHA3" s="7"/>
      <c r="DHB3" s="7"/>
      <c r="DHC3" s="7"/>
      <c r="DHD3" s="7"/>
      <c r="DHE3" s="7"/>
      <c r="DHF3" s="7"/>
      <c r="DHG3" s="7"/>
      <c r="DHH3" s="7"/>
      <c r="DHI3" s="7"/>
      <c r="DHJ3" s="7"/>
      <c r="DHK3" s="7"/>
      <c r="DHL3" s="7"/>
      <c r="DHM3" s="7"/>
      <c r="DHN3" s="7"/>
      <c r="DHO3" s="7"/>
      <c r="DHP3" s="7"/>
      <c r="DHQ3" s="7"/>
      <c r="DHR3" s="7"/>
      <c r="DHS3" s="7"/>
      <c r="DHT3" s="7"/>
      <c r="DHU3" s="7"/>
      <c r="DHV3" s="7"/>
      <c r="DHW3" s="7"/>
      <c r="DHX3" s="7"/>
      <c r="DHY3" s="7"/>
      <c r="DHZ3" s="7"/>
      <c r="DIA3" s="7"/>
      <c r="DIB3" s="7"/>
      <c r="DIC3" s="7"/>
      <c r="DID3" s="7"/>
      <c r="DIE3" s="7"/>
      <c r="DIF3" s="7"/>
      <c r="DIG3" s="7"/>
      <c r="DIH3" s="7"/>
      <c r="DII3" s="7"/>
      <c r="DIJ3" s="7"/>
      <c r="DIK3" s="7"/>
      <c r="DIL3" s="7"/>
      <c r="DIM3" s="7"/>
      <c r="DIN3" s="7"/>
      <c r="DIO3" s="7"/>
      <c r="DIP3" s="7"/>
      <c r="DIQ3" s="7"/>
      <c r="DIR3" s="7"/>
      <c r="DIS3" s="7"/>
      <c r="DIT3" s="7"/>
      <c r="DIU3" s="7"/>
      <c r="DIV3" s="7"/>
      <c r="DIW3" s="7"/>
      <c r="DIX3" s="7"/>
      <c r="DIY3" s="7"/>
      <c r="DIZ3" s="7"/>
      <c r="DJA3" s="7"/>
      <c r="DJB3" s="7"/>
      <c r="DJC3" s="7"/>
      <c r="DJD3" s="7"/>
      <c r="DJE3" s="7"/>
      <c r="DJF3" s="7"/>
      <c r="DJG3" s="7"/>
      <c r="DJH3" s="7"/>
      <c r="DJI3" s="7"/>
      <c r="DJJ3" s="7"/>
      <c r="DJK3" s="7"/>
      <c r="DJL3" s="7"/>
      <c r="DJM3" s="7"/>
      <c r="DJN3" s="7"/>
      <c r="DJO3" s="7"/>
      <c r="DJP3" s="7"/>
      <c r="DJQ3" s="7"/>
      <c r="DJR3" s="7"/>
      <c r="DJS3" s="7"/>
      <c r="DJT3" s="7"/>
      <c r="DJU3" s="7"/>
      <c r="DJV3" s="7"/>
      <c r="DJW3" s="7"/>
      <c r="DJX3" s="7"/>
      <c r="DJY3" s="7"/>
      <c r="DJZ3" s="7"/>
      <c r="DKA3" s="7"/>
      <c r="DKB3" s="7"/>
      <c r="DKC3" s="7"/>
      <c r="DKD3" s="7"/>
      <c r="DKE3" s="7"/>
      <c r="DKF3" s="7"/>
      <c r="DKG3" s="7"/>
      <c r="DKH3" s="7"/>
      <c r="DKI3" s="7"/>
      <c r="DKJ3" s="7"/>
      <c r="DKK3" s="7"/>
      <c r="DKL3" s="7"/>
      <c r="DKM3" s="7"/>
      <c r="DKN3" s="7"/>
      <c r="DKO3" s="7"/>
      <c r="DKP3" s="7"/>
      <c r="DKQ3" s="7"/>
      <c r="DKR3" s="7"/>
      <c r="DKS3" s="7"/>
      <c r="DKT3" s="7"/>
      <c r="DKU3" s="7"/>
      <c r="DKV3" s="7"/>
      <c r="DKW3" s="7"/>
      <c r="DKX3" s="7"/>
      <c r="DKY3" s="7"/>
      <c r="DKZ3" s="7"/>
      <c r="DLA3" s="7"/>
      <c r="DLB3" s="7"/>
      <c r="DLC3" s="7"/>
      <c r="DLD3" s="7"/>
      <c r="DLE3" s="7"/>
      <c r="DLF3" s="7"/>
      <c r="DLG3" s="7"/>
      <c r="DLH3" s="7"/>
      <c r="DLI3" s="7"/>
      <c r="DLJ3" s="7"/>
      <c r="DLK3" s="7"/>
      <c r="DLL3" s="7"/>
      <c r="DLM3" s="7"/>
      <c r="DLN3" s="7"/>
      <c r="DLO3" s="7"/>
      <c r="DLP3" s="7"/>
      <c r="DLQ3" s="7"/>
      <c r="DLR3" s="7"/>
      <c r="DLS3" s="7"/>
      <c r="DLT3" s="7"/>
      <c r="DLU3" s="7"/>
      <c r="DLV3" s="7"/>
      <c r="DLW3" s="7"/>
      <c r="DLX3" s="7"/>
      <c r="DLY3" s="7"/>
      <c r="DLZ3" s="7"/>
      <c r="DMA3" s="7"/>
      <c r="DMB3" s="7"/>
      <c r="DMC3" s="7"/>
      <c r="DMD3" s="7"/>
      <c r="DME3" s="7"/>
      <c r="DMF3" s="7"/>
      <c r="DMG3" s="7"/>
      <c r="DMH3" s="7"/>
      <c r="DMI3" s="7"/>
      <c r="DMJ3" s="7"/>
      <c r="DMK3" s="7"/>
      <c r="DML3" s="7"/>
      <c r="DMM3" s="7"/>
      <c r="DMN3" s="7"/>
      <c r="DMO3" s="7"/>
      <c r="DMP3" s="7"/>
      <c r="DMQ3" s="7"/>
      <c r="DMR3" s="7"/>
      <c r="DMS3" s="7"/>
      <c r="DMT3" s="7"/>
      <c r="DMU3" s="7"/>
      <c r="DMV3" s="7"/>
      <c r="DMW3" s="7"/>
      <c r="DMX3" s="7"/>
      <c r="DMY3" s="7"/>
      <c r="DMZ3" s="7"/>
      <c r="DNA3" s="7"/>
      <c r="DNB3" s="7"/>
      <c r="DNC3" s="7"/>
      <c r="DND3" s="7"/>
      <c r="DNE3" s="7"/>
      <c r="DNF3" s="7"/>
      <c r="DNG3" s="7"/>
      <c r="DNH3" s="7"/>
      <c r="DNI3" s="7"/>
      <c r="DNJ3" s="7"/>
      <c r="DNK3" s="7"/>
      <c r="DNL3" s="7"/>
      <c r="DNM3" s="7"/>
      <c r="DNN3" s="7"/>
      <c r="DNO3" s="7"/>
      <c r="DNP3" s="7"/>
      <c r="DNQ3" s="7"/>
      <c r="DNR3" s="7"/>
      <c r="DNS3" s="7"/>
      <c r="DNT3" s="7"/>
      <c r="DNU3" s="7"/>
      <c r="DNV3" s="7"/>
      <c r="DNW3" s="7"/>
      <c r="DNX3" s="7"/>
      <c r="DNY3" s="7"/>
      <c r="DNZ3" s="7"/>
      <c r="DOA3" s="7"/>
      <c r="DOB3" s="7"/>
      <c r="DOC3" s="7"/>
      <c r="DOD3" s="7"/>
      <c r="DOE3" s="7"/>
      <c r="DOF3" s="7"/>
      <c r="DOG3" s="7"/>
      <c r="DOH3" s="7"/>
      <c r="DOI3" s="7"/>
      <c r="DOJ3" s="7"/>
      <c r="DOK3" s="7"/>
      <c r="DOL3" s="7"/>
      <c r="DOM3" s="7"/>
      <c r="DON3" s="7"/>
      <c r="DOO3" s="7"/>
      <c r="DOP3" s="7"/>
      <c r="DOQ3" s="7"/>
      <c r="DOR3" s="7"/>
      <c r="DOS3" s="7"/>
      <c r="DOT3" s="7"/>
      <c r="DOU3" s="7"/>
      <c r="DOV3" s="7"/>
      <c r="DOW3" s="7"/>
      <c r="DOX3" s="7"/>
      <c r="DOY3" s="7"/>
      <c r="DOZ3" s="7"/>
      <c r="DPA3" s="7"/>
      <c r="DPB3" s="7"/>
      <c r="DPC3" s="7"/>
      <c r="DPD3" s="7"/>
      <c r="DPE3" s="7"/>
      <c r="DPF3" s="7"/>
      <c r="DPG3" s="7"/>
      <c r="DPH3" s="7"/>
      <c r="DPI3" s="7"/>
      <c r="DPJ3" s="7"/>
      <c r="DPK3" s="7"/>
      <c r="DPL3" s="7"/>
      <c r="DPM3" s="7"/>
      <c r="DPN3" s="7"/>
      <c r="DPO3" s="7"/>
      <c r="DPP3" s="7"/>
      <c r="DPQ3" s="7"/>
      <c r="DPR3" s="7"/>
      <c r="DPS3" s="7"/>
      <c r="DPT3" s="7"/>
      <c r="DPU3" s="7"/>
      <c r="DPV3" s="7"/>
      <c r="DPW3" s="7"/>
      <c r="DPX3" s="7"/>
      <c r="DPY3" s="7"/>
      <c r="DPZ3" s="7"/>
      <c r="DQA3" s="7"/>
      <c r="DQB3" s="7"/>
      <c r="DQC3" s="7"/>
      <c r="DQD3" s="7"/>
      <c r="DQE3" s="7"/>
      <c r="DQF3" s="7"/>
      <c r="DQG3" s="7"/>
      <c r="DQH3" s="7"/>
      <c r="DQI3" s="7"/>
      <c r="DQJ3" s="7"/>
      <c r="DQK3" s="7"/>
      <c r="DQL3" s="7"/>
      <c r="DQM3" s="7"/>
      <c r="DQN3" s="7"/>
      <c r="DQO3" s="7"/>
      <c r="DQP3" s="7"/>
      <c r="DQQ3" s="7"/>
      <c r="DQR3" s="7"/>
      <c r="DQS3" s="7"/>
      <c r="DQT3" s="7"/>
      <c r="DQU3" s="7"/>
      <c r="DQV3" s="7"/>
      <c r="DQW3" s="7"/>
      <c r="DQX3" s="7"/>
      <c r="DQY3" s="7"/>
      <c r="DQZ3" s="7"/>
      <c r="DRA3" s="7"/>
      <c r="DRB3" s="7"/>
      <c r="DRC3" s="7"/>
      <c r="DRD3" s="7"/>
      <c r="DRE3" s="7"/>
      <c r="DRF3" s="7"/>
      <c r="DRG3" s="7"/>
      <c r="DRH3" s="7"/>
      <c r="DRI3" s="7"/>
      <c r="DRJ3" s="7"/>
      <c r="DRK3" s="7"/>
      <c r="DRL3" s="7"/>
      <c r="DRM3" s="7"/>
      <c r="DRN3" s="7"/>
      <c r="DRO3" s="7"/>
      <c r="DRP3" s="7"/>
      <c r="DRQ3" s="7"/>
      <c r="DRR3" s="7"/>
      <c r="DRS3" s="7"/>
      <c r="DRT3" s="7"/>
      <c r="DRU3" s="7"/>
      <c r="DRV3" s="7"/>
      <c r="DRW3" s="7"/>
      <c r="DRX3" s="7"/>
      <c r="DRY3" s="7"/>
      <c r="DRZ3" s="7"/>
      <c r="DSA3" s="7"/>
      <c r="DSB3" s="7"/>
      <c r="DSC3" s="7"/>
      <c r="DSD3" s="7"/>
      <c r="DSE3" s="7"/>
      <c r="DSF3" s="7"/>
      <c r="DSG3" s="7"/>
      <c r="DSH3" s="7"/>
      <c r="DSI3" s="7"/>
      <c r="DSJ3" s="7"/>
      <c r="DSK3" s="7"/>
      <c r="DSL3" s="7"/>
      <c r="DSM3" s="7"/>
      <c r="DSN3" s="7"/>
      <c r="DSO3" s="7"/>
      <c r="DSP3" s="7"/>
      <c r="DSQ3" s="7"/>
      <c r="DSR3" s="7"/>
      <c r="DSS3" s="7"/>
      <c r="DST3" s="7"/>
      <c r="DSU3" s="7"/>
      <c r="DSV3" s="7"/>
      <c r="DSW3" s="7"/>
      <c r="DSX3" s="7"/>
      <c r="DSY3" s="7"/>
      <c r="DSZ3" s="7"/>
      <c r="DTA3" s="7"/>
      <c r="DTB3" s="7"/>
      <c r="DTC3" s="7"/>
      <c r="DTD3" s="7"/>
      <c r="DTE3" s="7"/>
      <c r="DTF3" s="7"/>
      <c r="DTG3" s="7"/>
      <c r="DTH3" s="7"/>
      <c r="DTI3" s="7"/>
      <c r="DTJ3" s="7"/>
      <c r="DTK3" s="7"/>
      <c r="DTL3" s="7"/>
      <c r="DTM3" s="7"/>
      <c r="DTN3" s="7"/>
      <c r="DTO3" s="7"/>
      <c r="DTP3" s="7"/>
      <c r="DTQ3" s="7"/>
      <c r="DTR3" s="7"/>
      <c r="DTS3" s="7"/>
      <c r="DTT3" s="7"/>
      <c r="DTU3" s="7"/>
      <c r="DTV3" s="7"/>
      <c r="DTW3" s="7"/>
      <c r="DTX3" s="7"/>
      <c r="DTY3" s="7"/>
      <c r="DTZ3" s="7"/>
      <c r="DUA3" s="7"/>
      <c r="DUB3" s="7"/>
      <c r="DUC3" s="7"/>
      <c r="DUD3" s="7"/>
      <c r="DUE3" s="7"/>
      <c r="DUF3" s="7"/>
      <c r="DUG3" s="7"/>
      <c r="DUH3" s="7"/>
      <c r="DUI3" s="7"/>
      <c r="DUJ3" s="7"/>
      <c r="DUK3" s="7"/>
      <c r="DUL3" s="7"/>
      <c r="DUM3" s="7"/>
      <c r="DUN3" s="7"/>
      <c r="DUO3" s="7"/>
      <c r="DUP3" s="7"/>
      <c r="DUQ3" s="7"/>
      <c r="DUR3" s="7"/>
      <c r="DUS3" s="7"/>
      <c r="DUT3" s="7"/>
      <c r="DUU3" s="7"/>
      <c r="DUV3" s="7"/>
      <c r="DUW3" s="7"/>
      <c r="DUX3" s="7"/>
      <c r="DUY3" s="7"/>
      <c r="DUZ3" s="7"/>
      <c r="DVA3" s="7"/>
      <c r="DVB3" s="7"/>
      <c r="DVC3" s="7"/>
      <c r="DVD3" s="7"/>
      <c r="DVE3" s="7"/>
      <c r="DVF3" s="7"/>
      <c r="DVG3" s="7"/>
      <c r="DVH3" s="7"/>
      <c r="DVI3" s="7"/>
      <c r="DVJ3" s="7"/>
      <c r="DVK3" s="7"/>
      <c r="DVL3" s="7"/>
      <c r="DVM3" s="7"/>
      <c r="DVN3" s="7"/>
      <c r="DVO3" s="7"/>
      <c r="DVP3" s="7"/>
      <c r="DVQ3" s="7"/>
      <c r="DVR3" s="7"/>
      <c r="DVS3" s="7"/>
      <c r="DVT3" s="7"/>
      <c r="DVU3" s="7"/>
      <c r="DVV3" s="7"/>
      <c r="DVW3" s="7"/>
      <c r="DVX3" s="7"/>
      <c r="DVY3" s="7"/>
      <c r="DVZ3" s="7"/>
      <c r="DWA3" s="7"/>
      <c r="DWB3" s="7"/>
      <c r="DWC3" s="7"/>
      <c r="DWD3" s="7"/>
      <c r="DWE3" s="7"/>
      <c r="DWF3" s="7"/>
      <c r="DWG3" s="7"/>
      <c r="DWH3" s="7"/>
      <c r="DWI3" s="7"/>
      <c r="DWJ3" s="7"/>
      <c r="DWK3" s="7"/>
      <c r="DWL3" s="7"/>
      <c r="DWM3" s="7"/>
      <c r="DWN3" s="7"/>
      <c r="DWO3" s="7"/>
      <c r="DWP3" s="7"/>
      <c r="DWQ3" s="7"/>
      <c r="DWR3" s="7"/>
      <c r="DWS3" s="7"/>
      <c r="DWT3" s="7"/>
      <c r="DWU3" s="7"/>
      <c r="DWV3" s="7"/>
      <c r="DWW3" s="7"/>
      <c r="DWX3" s="7"/>
      <c r="DWY3" s="7"/>
      <c r="DWZ3" s="7"/>
      <c r="DXA3" s="7"/>
      <c r="DXB3" s="7"/>
      <c r="DXC3" s="7"/>
      <c r="DXD3" s="7"/>
      <c r="DXE3" s="7"/>
      <c r="DXF3" s="7"/>
      <c r="DXG3" s="7"/>
      <c r="DXH3" s="7"/>
      <c r="DXI3" s="7"/>
      <c r="DXJ3" s="7"/>
      <c r="DXK3" s="7"/>
      <c r="DXL3" s="7"/>
      <c r="DXM3" s="7"/>
      <c r="DXN3" s="7"/>
      <c r="DXO3" s="7"/>
      <c r="DXP3" s="7"/>
      <c r="DXQ3" s="7"/>
      <c r="DXR3" s="7"/>
      <c r="DXS3" s="7"/>
      <c r="DXT3" s="7"/>
      <c r="DXU3" s="7"/>
      <c r="DXV3" s="7"/>
      <c r="DXW3" s="7"/>
      <c r="DXX3" s="7"/>
      <c r="DXY3" s="7"/>
      <c r="DXZ3" s="7"/>
      <c r="DYA3" s="7"/>
      <c r="DYB3" s="7"/>
      <c r="DYC3" s="7"/>
      <c r="DYD3" s="7"/>
      <c r="DYE3" s="7"/>
      <c r="DYF3" s="7"/>
      <c r="DYG3" s="7"/>
      <c r="DYH3" s="7"/>
      <c r="DYI3" s="7"/>
      <c r="DYJ3" s="7"/>
      <c r="DYK3" s="7"/>
      <c r="DYL3" s="7"/>
      <c r="DYM3" s="7"/>
      <c r="DYN3" s="7"/>
      <c r="DYO3" s="7"/>
      <c r="DYP3" s="7"/>
      <c r="DYQ3" s="7"/>
      <c r="DYR3" s="7"/>
      <c r="DYS3" s="7"/>
      <c r="DYT3" s="7"/>
      <c r="DYU3" s="7"/>
      <c r="DYV3" s="7"/>
      <c r="DYW3" s="7"/>
      <c r="DYX3" s="7"/>
      <c r="DYY3" s="7"/>
      <c r="DYZ3" s="7"/>
      <c r="DZA3" s="7"/>
      <c r="DZB3" s="7"/>
      <c r="DZC3" s="7"/>
      <c r="DZD3" s="7"/>
      <c r="DZE3" s="7"/>
      <c r="DZF3" s="7"/>
      <c r="DZG3" s="7"/>
      <c r="DZH3" s="7"/>
      <c r="DZI3" s="7"/>
      <c r="DZJ3" s="7"/>
      <c r="DZK3" s="7"/>
      <c r="DZL3" s="7"/>
      <c r="DZM3" s="7"/>
      <c r="DZN3" s="7"/>
      <c r="DZO3" s="7"/>
      <c r="DZP3" s="7"/>
      <c r="DZQ3" s="7"/>
      <c r="DZR3" s="7"/>
      <c r="DZS3" s="7"/>
      <c r="DZT3" s="7"/>
      <c r="DZU3" s="7"/>
      <c r="DZV3" s="7"/>
      <c r="DZW3" s="7"/>
      <c r="DZX3" s="7"/>
      <c r="DZY3" s="7"/>
      <c r="DZZ3" s="7"/>
      <c r="EAA3" s="7"/>
      <c r="EAB3" s="7"/>
      <c r="EAC3" s="7"/>
      <c r="EAD3" s="7"/>
      <c r="EAE3" s="7"/>
      <c r="EAF3" s="7"/>
      <c r="EAG3" s="7"/>
      <c r="EAH3" s="7"/>
      <c r="EAI3" s="7"/>
      <c r="EAJ3" s="7"/>
      <c r="EAK3" s="7"/>
      <c r="EAL3" s="7"/>
      <c r="EAM3" s="7"/>
      <c r="EAN3" s="7"/>
      <c r="EAO3" s="7"/>
      <c r="EAP3" s="7"/>
      <c r="EAQ3" s="7"/>
      <c r="EAR3" s="7"/>
      <c r="EAS3" s="7"/>
      <c r="EAT3" s="7"/>
      <c r="EAU3" s="7"/>
      <c r="EAV3" s="7"/>
      <c r="EAW3" s="7"/>
      <c r="EAX3" s="7"/>
      <c r="EAY3" s="7"/>
      <c r="EAZ3" s="7"/>
      <c r="EBA3" s="7"/>
      <c r="EBB3" s="7"/>
      <c r="EBC3" s="7"/>
      <c r="EBD3" s="7"/>
      <c r="EBE3" s="7"/>
      <c r="EBF3" s="7"/>
      <c r="EBG3" s="7"/>
      <c r="EBH3" s="7"/>
      <c r="EBI3" s="7"/>
      <c r="EBJ3" s="7"/>
      <c r="EBK3" s="7"/>
      <c r="EBL3" s="7"/>
      <c r="EBM3" s="7"/>
      <c r="EBN3" s="7"/>
      <c r="EBO3" s="7"/>
      <c r="EBP3" s="7"/>
      <c r="EBQ3" s="7"/>
      <c r="EBR3" s="7"/>
      <c r="EBS3" s="7"/>
      <c r="EBT3" s="7"/>
      <c r="EBU3" s="7"/>
      <c r="EBV3" s="7"/>
      <c r="EBW3" s="7"/>
      <c r="EBX3" s="7"/>
      <c r="EBY3" s="7"/>
      <c r="EBZ3" s="7"/>
      <c r="ECA3" s="7"/>
      <c r="ECB3" s="7"/>
      <c r="ECC3" s="7"/>
      <c r="ECD3" s="7"/>
      <c r="ECE3" s="7"/>
      <c r="ECF3" s="7"/>
      <c r="ECG3" s="7"/>
      <c r="ECH3" s="7"/>
      <c r="ECI3" s="7"/>
      <c r="ECJ3" s="7"/>
      <c r="ECK3" s="7"/>
      <c r="ECL3" s="7"/>
      <c r="ECM3" s="7"/>
      <c r="ECN3" s="7"/>
      <c r="ECO3" s="7"/>
      <c r="ECP3" s="7"/>
      <c r="ECQ3" s="7"/>
      <c r="ECR3" s="7"/>
      <c r="ECS3" s="7"/>
      <c r="ECT3" s="7"/>
      <c r="ECU3" s="7"/>
      <c r="ECV3" s="7"/>
      <c r="ECW3" s="7"/>
      <c r="ECX3" s="7"/>
      <c r="ECY3" s="7"/>
      <c r="ECZ3" s="7"/>
      <c r="EDA3" s="7"/>
      <c r="EDB3" s="7"/>
      <c r="EDC3" s="7"/>
      <c r="EDD3" s="7"/>
      <c r="EDE3" s="7"/>
      <c r="EDF3" s="7"/>
      <c r="EDG3" s="7"/>
      <c r="EDH3" s="7"/>
      <c r="EDI3" s="7"/>
      <c r="EDJ3" s="7"/>
      <c r="EDK3" s="7"/>
      <c r="EDL3" s="7"/>
      <c r="EDM3" s="7"/>
      <c r="EDN3" s="7"/>
      <c r="EDO3" s="7"/>
      <c r="EDP3" s="7"/>
      <c r="EDQ3" s="7"/>
      <c r="EDR3" s="7"/>
      <c r="EDS3" s="7"/>
      <c r="EDT3" s="7"/>
      <c r="EDU3" s="7"/>
      <c r="EDV3" s="7"/>
      <c r="EDW3" s="7"/>
      <c r="EDX3" s="7"/>
      <c r="EDY3" s="7"/>
      <c r="EDZ3" s="7"/>
      <c r="EEA3" s="7"/>
      <c r="EEB3" s="7"/>
      <c r="EEC3" s="7"/>
      <c r="EED3" s="7"/>
      <c r="EEE3" s="7"/>
      <c r="EEF3" s="7"/>
      <c r="EEG3" s="7"/>
      <c r="EEH3" s="7"/>
      <c r="EEI3" s="7"/>
      <c r="EEJ3" s="7"/>
      <c r="EEK3" s="7"/>
      <c r="EEL3" s="7"/>
      <c r="EEM3" s="7"/>
      <c r="EEN3" s="7"/>
      <c r="EEO3" s="7"/>
      <c r="EEP3" s="7"/>
      <c r="EEQ3" s="7"/>
      <c r="EER3" s="7"/>
      <c r="EES3" s="7"/>
      <c r="EET3" s="7"/>
      <c r="EEU3" s="7"/>
      <c r="EEV3" s="7"/>
      <c r="EEW3" s="7"/>
      <c r="EEX3" s="7"/>
      <c r="EEY3" s="7"/>
      <c r="EEZ3" s="7"/>
      <c r="EFA3" s="7"/>
      <c r="EFB3" s="7"/>
      <c r="EFC3" s="7"/>
      <c r="EFD3" s="7"/>
      <c r="EFE3" s="7"/>
      <c r="EFF3" s="7"/>
      <c r="EFG3" s="7"/>
      <c r="EFH3" s="7"/>
      <c r="EFI3" s="7"/>
      <c r="EFJ3" s="7"/>
      <c r="EFK3" s="7"/>
      <c r="EFL3" s="7"/>
      <c r="EFM3" s="7"/>
      <c r="EFN3" s="7"/>
      <c r="EFO3" s="7"/>
      <c r="EFP3" s="7"/>
      <c r="EFQ3" s="7"/>
      <c r="EFR3" s="7"/>
      <c r="EFS3" s="7"/>
      <c r="EFT3" s="7"/>
      <c r="EFU3" s="7"/>
      <c r="EFV3" s="7"/>
      <c r="EFW3" s="7"/>
      <c r="EFX3" s="7"/>
      <c r="EFY3" s="7"/>
      <c r="EFZ3" s="7"/>
      <c r="EGA3" s="7"/>
      <c r="EGB3" s="7"/>
      <c r="EGC3" s="7"/>
      <c r="EGD3" s="7"/>
      <c r="EGE3" s="7"/>
      <c r="EGF3" s="7"/>
      <c r="EGG3" s="7"/>
      <c r="EGH3" s="7"/>
      <c r="EGI3" s="7"/>
      <c r="EGJ3" s="7"/>
      <c r="EGK3" s="7"/>
      <c r="EGL3" s="7"/>
      <c r="EGM3" s="7"/>
      <c r="EGN3" s="7"/>
      <c r="EGO3" s="7"/>
      <c r="EGP3" s="7"/>
      <c r="EGQ3" s="7"/>
      <c r="EGR3" s="7"/>
      <c r="EGS3" s="7"/>
      <c r="EGT3" s="7"/>
      <c r="EGU3" s="7"/>
      <c r="EGV3" s="7"/>
      <c r="EGW3" s="7"/>
      <c r="EGX3" s="7"/>
      <c r="EGY3" s="7"/>
      <c r="EGZ3" s="7"/>
      <c r="EHA3" s="7"/>
      <c r="EHB3" s="7"/>
      <c r="EHC3" s="7"/>
      <c r="EHD3" s="7"/>
      <c r="EHE3" s="7"/>
      <c r="EHF3" s="7"/>
      <c r="EHG3" s="7"/>
      <c r="EHH3" s="7"/>
      <c r="EHI3" s="7"/>
      <c r="EHJ3" s="7"/>
      <c r="EHK3" s="7"/>
      <c r="EHL3" s="7"/>
      <c r="EHM3" s="7"/>
      <c r="EHN3" s="7"/>
      <c r="EHO3" s="7"/>
      <c r="EHP3" s="7"/>
      <c r="EHQ3" s="7"/>
      <c r="EHR3" s="7"/>
      <c r="EHS3" s="7"/>
      <c r="EHT3" s="7"/>
      <c r="EHU3" s="7"/>
      <c r="EHV3" s="7"/>
      <c r="EHW3" s="7"/>
      <c r="EHX3" s="7"/>
      <c r="EHY3" s="7"/>
      <c r="EHZ3" s="7"/>
      <c r="EIA3" s="7"/>
      <c r="EIB3" s="7"/>
      <c r="EIC3" s="7"/>
      <c r="EID3" s="7"/>
      <c r="EIE3" s="7"/>
      <c r="EIF3" s="7"/>
      <c r="EIG3" s="7"/>
      <c r="EIH3" s="7"/>
      <c r="EII3" s="7"/>
      <c r="EIJ3" s="7"/>
      <c r="EIK3" s="7"/>
      <c r="EIL3" s="7"/>
      <c r="EIM3" s="7"/>
      <c r="EIN3" s="7"/>
      <c r="EIO3" s="7"/>
      <c r="EIP3" s="7"/>
      <c r="EIQ3" s="7"/>
      <c r="EIR3" s="7"/>
      <c r="EIS3" s="7"/>
      <c r="EIT3" s="7"/>
      <c r="EIU3" s="7"/>
      <c r="EIV3" s="7"/>
      <c r="EIW3" s="7"/>
      <c r="EIX3" s="7"/>
      <c r="EIY3" s="7"/>
      <c r="EIZ3" s="7"/>
      <c r="EJA3" s="7"/>
      <c r="EJB3" s="7"/>
      <c r="EJC3" s="7"/>
      <c r="EJD3" s="7"/>
      <c r="EJE3" s="7"/>
      <c r="EJF3" s="7"/>
      <c r="EJG3" s="7"/>
      <c r="EJH3" s="7"/>
      <c r="EJI3" s="7"/>
      <c r="EJJ3" s="7"/>
      <c r="EJK3" s="7"/>
      <c r="EJL3" s="7"/>
      <c r="EJM3" s="7"/>
      <c r="EJN3" s="7"/>
      <c r="EJO3" s="7"/>
      <c r="EJP3" s="7"/>
      <c r="EJQ3" s="7"/>
      <c r="EJR3" s="7"/>
      <c r="EJS3" s="7"/>
      <c r="EJT3" s="7"/>
      <c r="EJU3" s="7"/>
      <c r="EJV3" s="7"/>
      <c r="EJW3" s="7"/>
      <c r="EJX3" s="7"/>
      <c r="EJY3" s="7"/>
      <c r="EJZ3" s="7"/>
      <c r="EKA3" s="7"/>
      <c r="EKB3" s="7"/>
      <c r="EKC3" s="7"/>
      <c r="EKD3" s="7"/>
      <c r="EKE3" s="7"/>
      <c r="EKF3" s="7"/>
      <c r="EKG3" s="7"/>
      <c r="EKH3" s="7"/>
      <c r="EKI3" s="7"/>
      <c r="EKJ3" s="7"/>
      <c r="EKK3" s="7"/>
      <c r="EKL3" s="7"/>
      <c r="EKM3" s="7"/>
      <c r="EKN3" s="7"/>
      <c r="EKO3" s="7"/>
      <c r="EKP3" s="7"/>
      <c r="EKQ3" s="7"/>
      <c r="EKR3" s="7"/>
      <c r="EKS3" s="7"/>
      <c r="EKT3" s="7"/>
      <c r="EKU3" s="7"/>
      <c r="EKV3" s="7"/>
      <c r="EKW3" s="7"/>
      <c r="EKX3" s="7"/>
      <c r="EKY3" s="7"/>
      <c r="EKZ3" s="7"/>
      <c r="ELA3" s="7"/>
      <c r="ELB3" s="7"/>
      <c r="ELC3" s="7"/>
      <c r="ELD3" s="7"/>
      <c r="ELE3" s="7"/>
      <c r="ELF3" s="7"/>
      <c r="ELG3" s="7"/>
      <c r="ELH3" s="7"/>
      <c r="ELI3" s="7"/>
      <c r="ELJ3" s="7"/>
      <c r="ELK3" s="7"/>
      <c r="ELL3" s="7"/>
      <c r="ELM3" s="7"/>
      <c r="ELN3" s="7"/>
      <c r="ELO3" s="7"/>
      <c r="ELP3" s="7"/>
      <c r="ELQ3" s="7"/>
      <c r="ELR3" s="7"/>
      <c r="ELS3" s="7"/>
      <c r="ELT3" s="7"/>
      <c r="ELU3" s="7"/>
      <c r="ELV3" s="7"/>
      <c r="ELW3" s="7"/>
      <c r="ELX3" s="7"/>
      <c r="ELY3" s="7"/>
      <c r="ELZ3" s="7"/>
      <c r="EMA3" s="7"/>
      <c r="EMB3" s="7"/>
      <c r="EMC3" s="7"/>
      <c r="EMD3" s="7"/>
      <c r="EME3" s="7"/>
      <c r="EMF3" s="7"/>
      <c r="EMG3" s="7"/>
      <c r="EMH3" s="7"/>
      <c r="EMI3" s="7"/>
      <c r="EMJ3" s="7"/>
      <c r="EMK3" s="7"/>
      <c r="EML3" s="7"/>
      <c r="EMM3" s="7"/>
      <c r="EMN3" s="7"/>
      <c r="EMO3" s="7"/>
      <c r="EMP3" s="7"/>
      <c r="EMQ3" s="7"/>
      <c r="EMR3" s="7"/>
      <c r="EMS3" s="7"/>
      <c r="EMT3" s="7"/>
      <c r="EMU3" s="7"/>
      <c r="EMV3" s="7"/>
      <c r="EMW3" s="7"/>
      <c r="EMX3" s="7"/>
      <c r="EMY3" s="7"/>
      <c r="EMZ3" s="7"/>
      <c r="ENA3" s="7"/>
      <c r="ENB3" s="7"/>
      <c r="ENC3" s="7"/>
      <c r="END3" s="7"/>
      <c r="ENE3" s="7"/>
      <c r="ENF3" s="7"/>
      <c r="ENG3" s="7"/>
      <c r="ENH3" s="7"/>
      <c r="ENI3" s="7"/>
      <c r="ENJ3" s="7"/>
      <c r="ENK3" s="7"/>
      <c r="ENL3" s="7"/>
      <c r="ENM3" s="7"/>
      <c r="ENN3" s="7"/>
      <c r="ENO3" s="7"/>
      <c r="ENP3" s="7"/>
      <c r="ENQ3" s="7"/>
      <c r="ENR3" s="7"/>
      <c r="ENS3" s="7"/>
      <c r="ENT3" s="7"/>
      <c r="ENU3" s="7"/>
      <c r="ENV3" s="7"/>
      <c r="ENW3" s="7"/>
      <c r="ENX3" s="7"/>
      <c r="ENY3" s="7"/>
      <c r="ENZ3" s="7"/>
      <c r="EOA3" s="7"/>
      <c r="EOB3" s="7"/>
      <c r="EOC3" s="7"/>
      <c r="EOD3" s="7"/>
      <c r="EOE3" s="7"/>
      <c r="EOF3" s="7"/>
      <c r="EOG3" s="7"/>
      <c r="EOH3" s="7"/>
      <c r="EOI3" s="7"/>
      <c r="EOJ3" s="7"/>
      <c r="EOK3" s="7"/>
      <c r="EOL3" s="7"/>
      <c r="EOM3" s="7"/>
      <c r="EON3" s="7"/>
      <c r="EOO3" s="7"/>
      <c r="EOP3" s="7"/>
      <c r="EOQ3" s="7"/>
      <c r="EOR3" s="7"/>
      <c r="EOS3" s="7"/>
      <c r="EOT3" s="7"/>
      <c r="EOU3" s="7"/>
      <c r="EOV3" s="7"/>
      <c r="EOW3" s="7"/>
      <c r="EOX3" s="7"/>
      <c r="EOY3" s="7"/>
      <c r="EOZ3" s="7"/>
      <c r="EPA3" s="7"/>
      <c r="EPB3" s="7"/>
      <c r="EPC3" s="7"/>
      <c r="EPD3" s="7"/>
      <c r="EPE3" s="7"/>
      <c r="EPF3" s="7"/>
      <c r="EPG3" s="7"/>
      <c r="EPH3" s="7"/>
      <c r="EPI3" s="7"/>
      <c r="EPJ3" s="7"/>
      <c r="EPK3" s="7"/>
      <c r="EPL3" s="7"/>
      <c r="EPM3" s="7"/>
      <c r="EPN3" s="7"/>
      <c r="EPO3" s="7"/>
      <c r="EPP3" s="7"/>
      <c r="EPQ3" s="7"/>
      <c r="EPR3" s="7"/>
      <c r="EPS3" s="7"/>
      <c r="EPT3" s="7"/>
      <c r="EPU3" s="7"/>
      <c r="EPV3" s="7"/>
      <c r="EPW3" s="7"/>
      <c r="EPX3" s="7"/>
      <c r="EPY3" s="7"/>
      <c r="EPZ3" s="7"/>
      <c r="EQA3" s="7"/>
      <c r="EQB3" s="7"/>
      <c r="EQC3" s="7"/>
      <c r="EQD3" s="7"/>
      <c r="EQE3" s="7"/>
      <c r="EQF3" s="7"/>
      <c r="EQG3" s="7"/>
      <c r="EQH3" s="7"/>
      <c r="EQI3" s="7"/>
      <c r="EQJ3" s="7"/>
      <c r="EQK3" s="7"/>
      <c r="EQL3" s="7"/>
      <c r="EQM3" s="7"/>
      <c r="EQN3" s="7"/>
      <c r="EQO3" s="7"/>
      <c r="EQP3" s="7"/>
      <c r="EQQ3" s="7"/>
      <c r="EQR3" s="7"/>
      <c r="EQS3" s="7"/>
      <c r="EQT3" s="7"/>
      <c r="EQU3" s="7"/>
      <c r="EQV3" s="7"/>
      <c r="EQW3" s="7"/>
      <c r="EQX3" s="7"/>
      <c r="EQY3" s="7"/>
      <c r="EQZ3" s="7"/>
      <c r="ERA3" s="7"/>
      <c r="ERB3" s="7"/>
      <c r="ERC3" s="7"/>
      <c r="ERD3" s="7"/>
      <c r="ERE3" s="7"/>
      <c r="ERF3" s="7"/>
      <c r="ERG3" s="7"/>
      <c r="ERH3" s="7"/>
      <c r="ERI3" s="7"/>
      <c r="ERJ3" s="7"/>
      <c r="ERK3" s="7"/>
      <c r="ERL3" s="7"/>
      <c r="ERM3" s="7"/>
      <c r="ERN3" s="7"/>
      <c r="ERO3" s="7"/>
      <c r="ERP3" s="7"/>
      <c r="ERQ3" s="7"/>
      <c r="ERR3" s="7"/>
      <c r="ERS3" s="7"/>
      <c r="ERT3" s="7"/>
      <c r="ERU3" s="7"/>
      <c r="ERV3" s="7"/>
      <c r="ERW3" s="7"/>
      <c r="ERX3" s="7"/>
      <c r="ERY3" s="7"/>
      <c r="ERZ3" s="7"/>
      <c r="ESA3" s="7"/>
      <c r="ESB3" s="7"/>
      <c r="ESC3" s="7"/>
      <c r="ESD3" s="7"/>
      <c r="ESE3" s="7"/>
      <c r="ESF3" s="7"/>
      <c r="ESG3" s="7"/>
      <c r="ESH3" s="7"/>
      <c r="ESI3" s="7"/>
      <c r="ESJ3" s="7"/>
      <c r="ESK3" s="7"/>
      <c r="ESL3" s="7"/>
      <c r="ESM3" s="7"/>
      <c r="ESN3" s="7"/>
      <c r="ESO3" s="7"/>
      <c r="ESP3" s="7"/>
      <c r="ESQ3" s="7"/>
      <c r="ESR3" s="7"/>
      <c r="ESS3" s="7"/>
      <c r="EST3" s="7"/>
      <c r="ESU3" s="7"/>
      <c r="ESV3" s="7"/>
      <c r="ESW3" s="7"/>
      <c r="ESX3" s="7"/>
      <c r="ESY3" s="7"/>
      <c r="ESZ3" s="7"/>
      <c r="ETA3" s="7"/>
      <c r="ETB3" s="7"/>
      <c r="ETC3" s="7"/>
      <c r="ETD3" s="7"/>
      <c r="ETE3" s="7"/>
      <c r="ETF3" s="7"/>
      <c r="ETG3" s="7"/>
      <c r="ETH3" s="7"/>
      <c r="ETI3" s="7"/>
      <c r="ETJ3" s="7"/>
      <c r="ETK3" s="7"/>
      <c r="ETL3" s="7"/>
      <c r="ETM3" s="7"/>
      <c r="ETN3" s="7"/>
      <c r="ETO3" s="7"/>
      <c r="ETP3" s="7"/>
      <c r="ETQ3" s="7"/>
      <c r="ETR3" s="7"/>
      <c r="ETS3" s="7"/>
      <c r="ETT3" s="7"/>
      <c r="ETU3" s="7"/>
      <c r="ETV3" s="7"/>
      <c r="ETW3" s="7"/>
      <c r="ETX3" s="7"/>
      <c r="ETY3" s="7"/>
      <c r="ETZ3" s="7"/>
      <c r="EUA3" s="7"/>
      <c r="EUB3" s="7"/>
      <c r="EUC3" s="7"/>
      <c r="EUD3" s="7"/>
      <c r="EUE3" s="7"/>
      <c r="EUF3" s="7"/>
      <c r="EUG3" s="7"/>
      <c r="EUH3" s="7"/>
      <c r="EUI3" s="7"/>
      <c r="EUJ3" s="7"/>
      <c r="EUK3" s="7"/>
      <c r="EUL3" s="7"/>
      <c r="EUM3" s="7"/>
      <c r="EUN3" s="7"/>
      <c r="EUO3" s="7"/>
      <c r="EUP3" s="7"/>
      <c r="EUQ3" s="7"/>
      <c r="EUR3" s="7"/>
      <c r="EUS3" s="7"/>
      <c r="EUT3" s="7"/>
      <c r="EUU3" s="7"/>
      <c r="EUV3" s="7"/>
      <c r="EUW3" s="7"/>
      <c r="EUX3" s="7"/>
      <c r="EUY3" s="7"/>
      <c r="EUZ3" s="7"/>
      <c r="EVA3" s="7"/>
      <c r="EVB3" s="7"/>
      <c r="EVC3" s="7"/>
      <c r="EVD3" s="7"/>
      <c r="EVE3" s="7"/>
      <c r="EVF3" s="7"/>
      <c r="EVG3" s="7"/>
      <c r="EVH3" s="7"/>
      <c r="EVI3" s="7"/>
      <c r="EVJ3" s="7"/>
      <c r="EVK3" s="7"/>
      <c r="EVL3" s="7"/>
      <c r="EVM3" s="7"/>
      <c r="EVN3" s="7"/>
      <c r="EVO3" s="7"/>
      <c r="EVP3" s="7"/>
      <c r="EVQ3" s="7"/>
      <c r="EVR3" s="7"/>
      <c r="EVS3" s="7"/>
      <c r="EVT3" s="7"/>
      <c r="EVU3" s="7"/>
      <c r="EVV3" s="7"/>
      <c r="EVW3" s="7"/>
      <c r="EVX3" s="7"/>
      <c r="EVY3" s="7"/>
      <c r="EVZ3" s="7"/>
      <c r="EWA3" s="7"/>
      <c r="EWB3" s="7"/>
      <c r="EWC3" s="7"/>
      <c r="EWD3" s="7"/>
      <c r="EWE3" s="7"/>
      <c r="EWF3" s="7"/>
      <c r="EWG3" s="7"/>
      <c r="EWH3" s="7"/>
      <c r="EWI3" s="7"/>
      <c r="EWJ3" s="7"/>
      <c r="EWK3" s="7"/>
      <c r="EWL3" s="7"/>
      <c r="EWM3" s="7"/>
      <c r="EWN3" s="7"/>
      <c r="EWO3" s="7"/>
      <c r="EWP3" s="7"/>
      <c r="EWQ3" s="7"/>
      <c r="EWR3" s="7"/>
      <c r="EWS3" s="7"/>
      <c r="EWT3" s="7"/>
      <c r="EWU3" s="7"/>
      <c r="EWV3" s="7"/>
      <c r="EWW3" s="7"/>
      <c r="EWX3" s="7"/>
      <c r="EWY3" s="7"/>
      <c r="EWZ3" s="7"/>
      <c r="EXA3" s="7"/>
      <c r="EXB3" s="7"/>
      <c r="EXC3" s="7"/>
      <c r="EXD3" s="7"/>
      <c r="EXE3" s="7"/>
      <c r="EXF3" s="7"/>
      <c r="EXG3" s="7"/>
      <c r="EXH3" s="7"/>
      <c r="EXI3" s="7"/>
      <c r="EXJ3" s="7"/>
      <c r="EXK3" s="7"/>
      <c r="EXL3" s="7"/>
      <c r="EXM3" s="7"/>
      <c r="EXN3" s="7"/>
      <c r="EXO3" s="7"/>
      <c r="EXP3" s="7"/>
      <c r="EXQ3" s="7"/>
      <c r="EXR3" s="7"/>
      <c r="EXS3" s="7"/>
      <c r="EXT3" s="7"/>
      <c r="EXU3" s="7"/>
      <c r="EXV3" s="7"/>
      <c r="EXW3" s="7"/>
      <c r="EXX3" s="7"/>
      <c r="EXY3" s="7"/>
      <c r="EXZ3" s="7"/>
      <c r="EYA3" s="7"/>
      <c r="EYB3" s="7"/>
      <c r="EYC3" s="7"/>
      <c r="EYD3" s="7"/>
      <c r="EYE3" s="7"/>
      <c r="EYF3" s="7"/>
      <c r="EYG3" s="7"/>
      <c r="EYH3" s="7"/>
      <c r="EYI3" s="7"/>
      <c r="EYJ3" s="7"/>
      <c r="EYK3" s="7"/>
      <c r="EYL3" s="7"/>
      <c r="EYM3" s="7"/>
      <c r="EYN3" s="7"/>
      <c r="EYO3" s="7"/>
      <c r="EYP3" s="7"/>
      <c r="EYQ3" s="7"/>
      <c r="EYR3" s="7"/>
      <c r="EYS3" s="7"/>
      <c r="EYT3" s="7"/>
      <c r="EYU3" s="7"/>
      <c r="EYV3" s="7"/>
      <c r="EYW3" s="7"/>
      <c r="EYX3" s="7"/>
      <c r="EYY3" s="7"/>
      <c r="EYZ3" s="7"/>
      <c r="EZA3" s="7"/>
      <c r="EZB3" s="7"/>
      <c r="EZC3" s="7"/>
      <c r="EZD3" s="7"/>
      <c r="EZE3" s="7"/>
      <c r="EZF3" s="7"/>
      <c r="EZG3" s="7"/>
      <c r="EZH3" s="7"/>
      <c r="EZI3" s="7"/>
      <c r="EZJ3" s="7"/>
      <c r="EZK3" s="7"/>
      <c r="EZL3" s="7"/>
      <c r="EZM3" s="7"/>
      <c r="EZN3" s="7"/>
      <c r="EZO3" s="7"/>
      <c r="EZP3" s="7"/>
      <c r="EZQ3" s="7"/>
      <c r="EZR3" s="7"/>
      <c r="EZS3" s="7"/>
      <c r="EZT3" s="7"/>
      <c r="EZU3" s="7"/>
      <c r="EZV3" s="7"/>
      <c r="EZW3" s="7"/>
      <c r="EZX3" s="7"/>
      <c r="EZY3" s="7"/>
      <c r="EZZ3" s="7"/>
      <c r="FAA3" s="7"/>
      <c r="FAB3" s="7"/>
      <c r="FAC3" s="7"/>
      <c r="FAD3" s="7"/>
      <c r="FAE3" s="7"/>
      <c r="FAF3" s="7"/>
      <c r="FAG3" s="7"/>
      <c r="FAH3" s="7"/>
      <c r="FAI3" s="7"/>
      <c r="FAJ3" s="7"/>
      <c r="FAK3" s="7"/>
      <c r="FAL3" s="7"/>
      <c r="FAM3" s="7"/>
      <c r="FAN3" s="7"/>
      <c r="FAO3" s="7"/>
      <c r="FAP3" s="7"/>
      <c r="FAQ3" s="7"/>
      <c r="FAR3" s="7"/>
      <c r="FAS3" s="7"/>
      <c r="FAT3" s="7"/>
      <c r="FAU3" s="7"/>
      <c r="FAV3" s="7"/>
      <c r="FAW3" s="7"/>
      <c r="FAX3" s="7"/>
      <c r="FAY3" s="7"/>
      <c r="FAZ3" s="7"/>
      <c r="FBA3" s="7"/>
      <c r="FBB3" s="7"/>
      <c r="FBC3" s="7"/>
      <c r="FBD3" s="7"/>
      <c r="FBE3" s="7"/>
      <c r="FBF3" s="7"/>
      <c r="FBG3" s="7"/>
      <c r="FBH3" s="7"/>
      <c r="FBI3" s="7"/>
      <c r="FBJ3" s="7"/>
      <c r="FBK3" s="7"/>
      <c r="FBL3" s="7"/>
      <c r="FBM3" s="7"/>
      <c r="FBN3" s="7"/>
      <c r="FBO3" s="7"/>
      <c r="FBP3" s="7"/>
      <c r="FBQ3" s="7"/>
      <c r="FBR3" s="7"/>
      <c r="FBS3" s="7"/>
      <c r="FBT3" s="7"/>
      <c r="FBU3" s="7"/>
      <c r="FBV3" s="7"/>
      <c r="FBW3" s="7"/>
      <c r="FBX3" s="7"/>
      <c r="FBY3" s="7"/>
      <c r="FBZ3" s="7"/>
      <c r="FCA3" s="7"/>
      <c r="FCB3" s="7"/>
      <c r="FCC3" s="7"/>
      <c r="FCD3" s="7"/>
      <c r="FCE3" s="7"/>
      <c r="FCF3" s="7"/>
      <c r="FCG3" s="7"/>
      <c r="FCH3" s="7"/>
      <c r="FCI3" s="7"/>
      <c r="FCJ3" s="7"/>
      <c r="FCK3" s="7"/>
      <c r="FCL3" s="7"/>
      <c r="FCM3" s="7"/>
      <c r="FCN3" s="7"/>
      <c r="FCO3" s="7"/>
      <c r="FCP3" s="7"/>
      <c r="FCQ3" s="7"/>
      <c r="FCR3" s="7"/>
      <c r="FCS3" s="7"/>
      <c r="FCT3" s="7"/>
      <c r="FCU3" s="7"/>
      <c r="FCV3" s="7"/>
      <c r="FCW3" s="7"/>
      <c r="FCX3" s="7"/>
      <c r="FCY3" s="7"/>
      <c r="FCZ3" s="7"/>
      <c r="FDA3" s="7"/>
      <c r="FDB3" s="7"/>
      <c r="FDC3" s="7"/>
      <c r="FDD3" s="7"/>
      <c r="FDE3" s="7"/>
      <c r="FDF3" s="7"/>
      <c r="FDG3" s="7"/>
      <c r="FDH3" s="7"/>
      <c r="FDI3" s="7"/>
      <c r="FDJ3" s="7"/>
      <c r="FDK3" s="7"/>
      <c r="FDL3" s="7"/>
      <c r="FDM3" s="7"/>
      <c r="FDN3" s="7"/>
      <c r="FDO3" s="7"/>
      <c r="FDP3" s="7"/>
      <c r="FDQ3" s="7"/>
      <c r="FDR3" s="7"/>
      <c r="FDS3" s="7"/>
      <c r="FDT3" s="7"/>
      <c r="FDU3" s="7"/>
      <c r="FDV3" s="7"/>
      <c r="FDW3" s="7"/>
      <c r="FDX3" s="7"/>
      <c r="FDY3" s="7"/>
      <c r="FDZ3" s="7"/>
      <c r="FEA3" s="7"/>
      <c r="FEB3" s="7"/>
      <c r="FEC3" s="7"/>
      <c r="FED3" s="7"/>
      <c r="FEE3" s="7"/>
      <c r="FEF3" s="7"/>
      <c r="FEG3" s="7"/>
      <c r="FEH3" s="7"/>
      <c r="FEI3" s="7"/>
      <c r="FEJ3" s="7"/>
      <c r="FEK3" s="7"/>
      <c r="FEL3" s="7"/>
      <c r="FEM3" s="7"/>
      <c r="FEN3" s="7"/>
      <c r="FEO3" s="7"/>
      <c r="FEP3" s="7"/>
      <c r="FEQ3" s="7"/>
      <c r="FER3" s="7"/>
      <c r="FES3" s="7"/>
      <c r="FET3" s="7"/>
      <c r="FEU3" s="7"/>
      <c r="FEV3" s="7"/>
      <c r="FEW3" s="7"/>
      <c r="FEX3" s="7"/>
      <c r="FEY3" s="7"/>
      <c r="FEZ3" s="7"/>
      <c r="FFA3" s="7"/>
      <c r="FFB3" s="7"/>
      <c r="FFC3" s="7"/>
      <c r="FFD3" s="7"/>
      <c r="FFE3" s="7"/>
      <c r="FFF3" s="7"/>
      <c r="FFG3" s="7"/>
      <c r="FFH3" s="7"/>
      <c r="FFI3" s="7"/>
      <c r="FFJ3" s="7"/>
      <c r="FFK3" s="7"/>
      <c r="FFL3" s="7"/>
      <c r="FFM3" s="7"/>
      <c r="FFN3" s="7"/>
      <c r="FFO3" s="7"/>
      <c r="FFP3" s="7"/>
      <c r="FFQ3" s="7"/>
      <c r="FFR3" s="7"/>
      <c r="FFS3" s="7"/>
      <c r="FFT3" s="7"/>
      <c r="FFU3" s="7"/>
      <c r="FFV3" s="7"/>
      <c r="FFW3" s="7"/>
      <c r="FFX3" s="7"/>
      <c r="FFY3" s="7"/>
      <c r="FFZ3" s="7"/>
      <c r="FGA3" s="7"/>
      <c r="FGB3" s="7"/>
      <c r="FGC3" s="7"/>
      <c r="FGD3" s="7"/>
      <c r="FGE3" s="7"/>
      <c r="FGF3" s="7"/>
      <c r="FGG3" s="7"/>
      <c r="FGH3" s="7"/>
      <c r="FGI3" s="7"/>
      <c r="FGJ3" s="7"/>
      <c r="FGK3" s="7"/>
      <c r="FGL3" s="7"/>
      <c r="FGM3" s="7"/>
      <c r="FGN3" s="7"/>
      <c r="FGO3" s="7"/>
      <c r="FGP3" s="7"/>
      <c r="FGQ3" s="7"/>
      <c r="FGR3" s="7"/>
      <c r="FGS3" s="7"/>
      <c r="FGT3" s="7"/>
      <c r="FGU3" s="7"/>
      <c r="FGV3" s="7"/>
      <c r="FGW3" s="7"/>
      <c r="FGX3" s="7"/>
      <c r="FGY3" s="7"/>
      <c r="FGZ3" s="7"/>
      <c r="FHA3" s="7"/>
      <c r="FHB3" s="7"/>
      <c r="FHC3" s="7"/>
      <c r="FHD3" s="7"/>
      <c r="FHE3" s="7"/>
      <c r="FHF3" s="7"/>
      <c r="FHG3" s="7"/>
      <c r="FHH3" s="7"/>
      <c r="FHI3" s="7"/>
      <c r="FHJ3" s="7"/>
      <c r="FHK3" s="7"/>
      <c r="FHL3" s="7"/>
      <c r="FHM3" s="7"/>
      <c r="FHN3" s="7"/>
      <c r="FHO3" s="7"/>
      <c r="FHP3" s="7"/>
      <c r="FHQ3" s="7"/>
      <c r="FHR3" s="7"/>
      <c r="FHS3" s="7"/>
      <c r="FHT3" s="7"/>
      <c r="FHU3" s="7"/>
      <c r="FHV3" s="7"/>
      <c r="FHW3" s="7"/>
      <c r="FHX3" s="7"/>
      <c r="FHY3" s="7"/>
      <c r="FHZ3" s="7"/>
      <c r="FIA3" s="7"/>
      <c r="FIB3" s="7"/>
      <c r="FIC3" s="7"/>
      <c r="FID3" s="7"/>
      <c r="FIE3" s="7"/>
      <c r="FIF3" s="7"/>
      <c r="FIG3" s="7"/>
      <c r="FIH3" s="7"/>
      <c r="FII3" s="7"/>
      <c r="FIJ3" s="7"/>
      <c r="FIK3" s="7"/>
      <c r="FIL3" s="7"/>
      <c r="FIM3" s="7"/>
      <c r="FIN3" s="7"/>
      <c r="FIO3" s="7"/>
      <c r="FIP3" s="7"/>
      <c r="FIQ3" s="7"/>
      <c r="FIR3" s="7"/>
      <c r="FIS3" s="7"/>
      <c r="FIT3" s="7"/>
      <c r="FIU3" s="7"/>
      <c r="FIV3" s="7"/>
      <c r="FIW3" s="7"/>
      <c r="FIX3" s="7"/>
      <c r="FIY3" s="7"/>
      <c r="FIZ3" s="7"/>
      <c r="FJA3" s="7"/>
      <c r="FJB3" s="7"/>
      <c r="FJC3" s="7"/>
      <c r="FJD3" s="7"/>
      <c r="FJE3" s="7"/>
      <c r="FJF3" s="7"/>
      <c r="FJG3" s="7"/>
      <c r="FJH3" s="7"/>
      <c r="FJI3" s="7"/>
      <c r="FJJ3" s="7"/>
      <c r="FJK3" s="7"/>
      <c r="FJL3" s="7"/>
      <c r="FJM3" s="7"/>
      <c r="FJN3" s="7"/>
      <c r="FJO3" s="7"/>
      <c r="FJP3" s="7"/>
      <c r="FJQ3" s="7"/>
      <c r="FJR3" s="7"/>
      <c r="FJS3" s="7"/>
      <c r="FJT3" s="7"/>
      <c r="FJU3" s="7"/>
      <c r="FJV3" s="7"/>
      <c r="FJW3" s="7"/>
      <c r="FJX3" s="7"/>
      <c r="FJY3" s="7"/>
      <c r="FJZ3" s="7"/>
      <c r="FKA3" s="7"/>
      <c r="FKB3" s="7"/>
      <c r="FKC3" s="7"/>
      <c r="FKD3" s="7"/>
      <c r="FKE3" s="7"/>
      <c r="FKF3" s="7"/>
      <c r="FKG3" s="7"/>
      <c r="FKH3" s="7"/>
      <c r="FKI3" s="7"/>
      <c r="FKJ3" s="7"/>
      <c r="FKK3" s="7"/>
      <c r="FKL3" s="7"/>
      <c r="FKM3" s="7"/>
      <c r="FKN3" s="7"/>
      <c r="FKO3" s="7"/>
      <c r="FKP3" s="7"/>
      <c r="FKQ3" s="7"/>
      <c r="FKR3" s="7"/>
      <c r="FKS3" s="7"/>
      <c r="FKT3" s="7"/>
      <c r="FKU3" s="7"/>
      <c r="FKV3" s="7"/>
      <c r="FKW3" s="7"/>
      <c r="FKX3" s="7"/>
      <c r="FKY3" s="7"/>
      <c r="FKZ3" s="7"/>
      <c r="FLA3" s="7"/>
      <c r="FLB3" s="7"/>
      <c r="FLC3" s="7"/>
      <c r="FLD3" s="7"/>
      <c r="FLE3" s="7"/>
      <c r="FLF3" s="7"/>
      <c r="FLG3" s="7"/>
      <c r="FLH3" s="7"/>
      <c r="FLI3" s="7"/>
      <c r="FLJ3" s="7"/>
      <c r="FLK3" s="7"/>
      <c r="FLL3" s="7"/>
      <c r="FLM3" s="7"/>
      <c r="FLN3" s="7"/>
      <c r="FLO3" s="7"/>
      <c r="FLP3" s="7"/>
      <c r="FLQ3" s="7"/>
      <c r="FLR3" s="7"/>
      <c r="FLS3" s="7"/>
      <c r="FLT3" s="7"/>
      <c r="FLU3" s="7"/>
      <c r="FLV3" s="7"/>
      <c r="FLW3" s="7"/>
      <c r="FLX3" s="7"/>
      <c r="FLY3" s="7"/>
      <c r="FLZ3" s="7"/>
      <c r="FMA3" s="7"/>
      <c r="FMB3" s="7"/>
      <c r="FMC3" s="7"/>
      <c r="FMD3" s="7"/>
      <c r="FME3" s="7"/>
      <c r="FMF3" s="7"/>
      <c r="FMG3" s="7"/>
      <c r="FMH3" s="7"/>
      <c r="FMI3" s="7"/>
      <c r="FMJ3" s="7"/>
      <c r="FMK3" s="7"/>
      <c r="FML3" s="7"/>
      <c r="FMM3" s="7"/>
      <c r="FMN3" s="7"/>
      <c r="FMO3" s="7"/>
      <c r="FMP3" s="7"/>
      <c r="FMQ3" s="7"/>
      <c r="FMR3" s="7"/>
      <c r="FMS3" s="7"/>
      <c r="FMT3" s="7"/>
      <c r="FMU3" s="7"/>
      <c r="FMV3" s="7"/>
      <c r="FMW3" s="7"/>
      <c r="FMX3" s="7"/>
      <c r="FMY3" s="7"/>
      <c r="FMZ3" s="7"/>
      <c r="FNA3" s="7"/>
      <c r="FNB3" s="7"/>
      <c r="FNC3" s="7"/>
      <c r="FND3" s="7"/>
      <c r="FNE3" s="7"/>
      <c r="FNF3" s="7"/>
      <c r="FNG3" s="7"/>
      <c r="FNH3" s="7"/>
      <c r="FNI3" s="7"/>
      <c r="FNJ3" s="7"/>
      <c r="FNK3" s="7"/>
      <c r="FNL3" s="7"/>
      <c r="FNM3" s="7"/>
      <c r="FNN3" s="7"/>
      <c r="FNO3" s="7"/>
      <c r="FNP3" s="7"/>
      <c r="FNQ3" s="7"/>
      <c r="FNR3" s="7"/>
      <c r="FNS3" s="7"/>
      <c r="FNT3" s="7"/>
      <c r="FNU3" s="7"/>
      <c r="FNV3" s="7"/>
      <c r="FNW3" s="7"/>
      <c r="FNX3" s="7"/>
      <c r="FNY3" s="7"/>
      <c r="FNZ3" s="7"/>
      <c r="FOA3" s="7"/>
      <c r="FOB3" s="7"/>
      <c r="FOC3" s="7"/>
      <c r="FOD3" s="7"/>
      <c r="FOE3" s="7"/>
      <c r="FOF3" s="7"/>
      <c r="FOG3" s="7"/>
      <c r="FOH3" s="7"/>
      <c r="FOI3" s="7"/>
      <c r="FOJ3" s="7"/>
      <c r="FOK3" s="7"/>
      <c r="FOL3" s="7"/>
      <c r="FOM3" s="7"/>
      <c r="FON3" s="7"/>
      <c r="FOO3" s="7"/>
      <c r="FOP3" s="7"/>
      <c r="FOQ3" s="7"/>
      <c r="FOR3" s="7"/>
      <c r="FOS3" s="7"/>
      <c r="FOT3" s="7"/>
      <c r="FOU3" s="7"/>
      <c r="FOV3" s="7"/>
      <c r="FOW3" s="7"/>
      <c r="FOX3" s="7"/>
      <c r="FOY3" s="7"/>
      <c r="FOZ3" s="7"/>
      <c r="FPA3" s="7"/>
      <c r="FPB3" s="7"/>
      <c r="FPC3" s="7"/>
      <c r="FPD3" s="7"/>
      <c r="FPE3" s="7"/>
      <c r="FPF3" s="7"/>
      <c r="FPG3" s="7"/>
      <c r="FPH3" s="7"/>
      <c r="FPI3" s="7"/>
      <c r="FPJ3" s="7"/>
      <c r="FPK3" s="7"/>
      <c r="FPL3" s="7"/>
      <c r="FPM3" s="7"/>
      <c r="FPN3" s="7"/>
      <c r="FPO3" s="7"/>
      <c r="FPP3" s="7"/>
      <c r="FPQ3" s="7"/>
      <c r="FPR3" s="7"/>
      <c r="FPS3" s="7"/>
      <c r="FPT3" s="7"/>
      <c r="FPU3" s="7"/>
      <c r="FPV3" s="7"/>
      <c r="FPW3" s="7"/>
      <c r="FPX3" s="7"/>
      <c r="FPY3" s="7"/>
      <c r="FPZ3" s="7"/>
      <c r="FQA3" s="7"/>
      <c r="FQB3" s="7"/>
      <c r="FQC3" s="7"/>
      <c r="FQD3" s="7"/>
      <c r="FQE3" s="7"/>
      <c r="FQF3" s="7"/>
      <c r="FQG3" s="7"/>
      <c r="FQH3" s="7"/>
      <c r="FQI3" s="7"/>
      <c r="FQJ3" s="7"/>
      <c r="FQK3" s="7"/>
      <c r="FQL3" s="7"/>
      <c r="FQM3" s="7"/>
      <c r="FQN3" s="7"/>
      <c r="FQO3" s="7"/>
      <c r="FQP3" s="7"/>
      <c r="FQQ3" s="7"/>
      <c r="FQR3" s="7"/>
      <c r="FQS3" s="7"/>
      <c r="FQT3" s="7"/>
      <c r="FQU3" s="7"/>
      <c r="FQV3" s="7"/>
      <c r="FQW3" s="7"/>
      <c r="FQX3" s="7"/>
      <c r="FQY3" s="7"/>
      <c r="FQZ3" s="7"/>
      <c r="FRA3" s="7"/>
      <c r="FRB3" s="7"/>
      <c r="FRC3" s="7"/>
      <c r="FRD3" s="7"/>
      <c r="FRE3" s="7"/>
      <c r="FRF3" s="7"/>
      <c r="FRG3" s="7"/>
      <c r="FRH3" s="7"/>
      <c r="FRI3" s="7"/>
      <c r="FRJ3" s="7"/>
      <c r="FRK3" s="7"/>
      <c r="FRL3" s="7"/>
      <c r="FRM3" s="7"/>
      <c r="FRN3" s="7"/>
      <c r="FRO3" s="7"/>
      <c r="FRP3" s="7"/>
      <c r="FRQ3" s="7"/>
      <c r="FRR3" s="7"/>
      <c r="FRS3" s="7"/>
      <c r="FRT3" s="7"/>
      <c r="FRU3" s="7"/>
      <c r="FRV3" s="7"/>
      <c r="FRW3" s="7"/>
      <c r="FRX3" s="7"/>
      <c r="FRY3" s="7"/>
      <c r="FRZ3" s="7"/>
      <c r="FSA3" s="7"/>
      <c r="FSB3" s="7"/>
      <c r="FSC3" s="7"/>
      <c r="FSD3" s="7"/>
      <c r="FSE3" s="7"/>
      <c r="FSF3" s="7"/>
      <c r="FSG3" s="7"/>
      <c r="FSH3" s="7"/>
      <c r="FSI3" s="7"/>
      <c r="FSJ3" s="7"/>
      <c r="FSK3" s="7"/>
      <c r="FSL3" s="7"/>
      <c r="FSM3" s="7"/>
      <c r="FSN3" s="7"/>
      <c r="FSO3" s="7"/>
      <c r="FSP3" s="7"/>
      <c r="FSQ3" s="7"/>
      <c r="FSR3" s="7"/>
      <c r="FSS3" s="7"/>
      <c r="FST3" s="7"/>
      <c r="FSU3" s="7"/>
      <c r="FSV3" s="7"/>
      <c r="FSW3" s="7"/>
      <c r="FSX3" s="7"/>
      <c r="FSY3" s="7"/>
      <c r="FSZ3" s="7"/>
      <c r="FTA3" s="7"/>
      <c r="FTB3" s="7"/>
      <c r="FTC3" s="7"/>
      <c r="FTD3" s="7"/>
      <c r="FTE3" s="7"/>
      <c r="FTF3" s="7"/>
      <c r="FTG3" s="7"/>
      <c r="FTH3" s="7"/>
      <c r="FTI3" s="7"/>
      <c r="FTJ3" s="7"/>
      <c r="FTK3" s="7"/>
      <c r="FTL3" s="7"/>
      <c r="FTM3" s="7"/>
      <c r="FTN3" s="7"/>
      <c r="FTO3" s="7"/>
      <c r="FTP3" s="7"/>
      <c r="FTQ3" s="7"/>
      <c r="FTR3" s="7"/>
      <c r="FTS3" s="7"/>
      <c r="FTT3" s="7"/>
      <c r="FTU3" s="7"/>
      <c r="FTV3" s="7"/>
      <c r="FTW3" s="7"/>
      <c r="FTX3" s="7"/>
      <c r="FTY3" s="7"/>
      <c r="FTZ3" s="7"/>
      <c r="FUA3" s="7"/>
      <c r="FUB3" s="7"/>
      <c r="FUC3" s="7"/>
      <c r="FUD3" s="7"/>
      <c r="FUE3" s="7"/>
      <c r="FUF3" s="7"/>
      <c r="FUG3" s="7"/>
      <c r="FUH3" s="7"/>
      <c r="FUI3" s="7"/>
      <c r="FUJ3" s="7"/>
      <c r="FUK3" s="7"/>
      <c r="FUL3" s="7"/>
      <c r="FUM3" s="7"/>
      <c r="FUN3" s="7"/>
      <c r="FUO3" s="7"/>
      <c r="FUP3" s="7"/>
      <c r="FUQ3" s="7"/>
      <c r="FUR3" s="7"/>
      <c r="FUS3" s="7"/>
      <c r="FUT3" s="7"/>
      <c r="FUU3" s="7"/>
      <c r="FUV3" s="7"/>
      <c r="FUW3" s="7"/>
      <c r="FUX3" s="7"/>
      <c r="FUY3" s="7"/>
      <c r="FUZ3" s="7"/>
      <c r="FVA3" s="7"/>
      <c r="FVB3" s="7"/>
      <c r="FVC3" s="7"/>
      <c r="FVD3" s="7"/>
      <c r="FVE3" s="7"/>
      <c r="FVF3" s="7"/>
      <c r="FVG3" s="7"/>
      <c r="FVH3" s="7"/>
      <c r="FVI3" s="7"/>
      <c r="FVJ3" s="7"/>
      <c r="FVK3" s="7"/>
      <c r="FVL3" s="7"/>
      <c r="FVM3" s="7"/>
      <c r="FVN3" s="7"/>
      <c r="FVO3" s="7"/>
      <c r="FVP3" s="7"/>
      <c r="FVQ3" s="7"/>
      <c r="FVR3" s="7"/>
      <c r="FVS3" s="7"/>
      <c r="FVT3" s="7"/>
      <c r="FVU3" s="7"/>
      <c r="FVV3" s="7"/>
      <c r="FVW3" s="7"/>
      <c r="FVX3" s="7"/>
      <c r="FVY3" s="7"/>
      <c r="FVZ3" s="7"/>
      <c r="FWA3" s="7"/>
      <c r="FWB3" s="7"/>
      <c r="FWC3" s="7"/>
      <c r="FWD3" s="7"/>
      <c r="FWE3" s="7"/>
      <c r="FWF3" s="7"/>
      <c r="FWG3" s="7"/>
      <c r="FWH3" s="7"/>
      <c r="FWI3" s="7"/>
      <c r="FWJ3" s="7"/>
      <c r="FWK3" s="7"/>
      <c r="FWL3" s="7"/>
      <c r="FWM3" s="7"/>
      <c r="FWN3" s="7"/>
      <c r="FWO3" s="7"/>
      <c r="FWP3" s="7"/>
      <c r="FWQ3" s="7"/>
      <c r="FWR3" s="7"/>
      <c r="FWS3" s="7"/>
      <c r="FWT3" s="7"/>
      <c r="FWU3" s="7"/>
      <c r="FWV3" s="7"/>
      <c r="FWW3" s="7"/>
      <c r="FWX3" s="7"/>
      <c r="FWY3" s="7"/>
      <c r="FWZ3" s="7"/>
      <c r="FXA3" s="7"/>
      <c r="FXB3" s="7"/>
      <c r="FXC3" s="7"/>
      <c r="FXD3" s="7"/>
      <c r="FXE3" s="7"/>
      <c r="FXF3" s="7"/>
      <c r="FXG3" s="7"/>
      <c r="FXH3" s="7"/>
      <c r="FXI3" s="7"/>
      <c r="FXJ3" s="7"/>
      <c r="FXK3" s="7"/>
      <c r="FXL3" s="7"/>
      <c r="FXM3" s="7"/>
      <c r="FXN3" s="7"/>
      <c r="FXO3" s="7"/>
      <c r="FXP3" s="7"/>
      <c r="FXQ3" s="7"/>
      <c r="FXR3" s="7"/>
      <c r="FXS3" s="7"/>
      <c r="FXT3" s="7"/>
      <c r="FXU3" s="7"/>
      <c r="FXV3" s="7"/>
      <c r="FXW3" s="7"/>
      <c r="FXX3" s="7"/>
      <c r="FXY3" s="7"/>
      <c r="FXZ3" s="7"/>
      <c r="FYA3" s="7"/>
      <c r="FYB3" s="7"/>
      <c r="FYC3" s="7"/>
      <c r="FYD3" s="7"/>
      <c r="FYE3" s="7"/>
      <c r="FYF3" s="7"/>
      <c r="FYG3" s="7"/>
      <c r="FYH3" s="7"/>
      <c r="FYI3" s="7"/>
      <c r="FYJ3" s="7"/>
      <c r="FYK3" s="7"/>
      <c r="FYL3" s="7"/>
      <c r="FYM3" s="7"/>
      <c r="FYN3" s="7"/>
      <c r="FYO3" s="7"/>
      <c r="FYP3" s="7"/>
      <c r="FYQ3" s="7"/>
      <c r="FYR3" s="7"/>
      <c r="FYS3" s="7"/>
      <c r="FYT3" s="7"/>
      <c r="FYU3" s="7"/>
      <c r="FYV3" s="7"/>
      <c r="FYW3" s="7"/>
      <c r="FYX3" s="7"/>
      <c r="FYY3" s="7"/>
      <c r="FYZ3" s="7"/>
      <c r="FZA3" s="7"/>
      <c r="FZB3" s="7"/>
      <c r="FZC3" s="7"/>
      <c r="FZD3" s="7"/>
      <c r="FZE3" s="7"/>
      <c r="FZF3" s="7"/>
      <c r="FZG3" s="7"/>
      <c r="FZH3" s="7"/>
      <c r="FZI3" s="7"/>
      <c r="FZJ3" s="7"/>
      <c r="FZK3" s="7"/>
      <c r="FZL3" s="7"/>
      <c r="FZM3" s="7"/>
      <c r="FZN3" s="7"/>
      <c r="FZO3" s="7"/>
      <c r="FZP3" s="7"/>
      <c r="FZQ3" s="7"/>
      <c r="FZR3" s="7"/>
      <c r="FZS3" s="7"/>
      <c r="FZT3" s="7"/>
      <c r="FZU3" s="7"/>
      <c r="FZV3" s="7"/>
      <c r="FZW3" s="7"/>
      <c r="FZX3" s="7"/>
      <c r="FZY3" s="7"/>
      <c r="FZZ3" s="7"/>
      <c r="GAA3" s="7"/>
      <c r="GAB3" s="7"/>
      <c r="GAC3" s="7"/>
      <c r="GAD3" s="7"/>
      <c r="GAE3" s="7"/>
      <c r="GAF3" s="7"/>
      <c r="GAG3" s="7"/>
      <c r="GAH3" s="7"/>
      <c r="GAI3" s="7"/>
      <c r="GAJ3" s="7"/>
      <c r="GAK3" s="7"/>
      <c r="GAL3" s="7"/>
      <c r="GAM3" s="7"/>
      <c r="GAN3" s="7"/>
      <c r="GAO3" s="7"/>
      <c r="GAP3" s="7"/>
      <c r="GAQ3" s="7"/>
      <c r="GAR3" s="7"/>
      <c r="GAS3" s="7"/>
      <c r="GAT3" s="7"/>
      <c r="GAU3" s="7"/>
      <c r="GAV3" s="7"/>
      <c r="GAW3" s="7"/>
      <c r="GAX3" s="7"/>
      <c r="GAY3" s="7"/>
      <c r="GAZ3" s="7"/>
      <c r="GBA3" s="7"/>
      <c r="GBB3" s="7"/>
      <c r="GBC3" s="7"/>
      <c r="GBD3" s="7"/>
      <c r="GBE3" s="7"/>
      <c r="GBF3" s="7"/>
      <c r="GBG3" s="7"/>
      <c r="GBH3" s="7"/>
      <c r="GBI3" s="7"/>
      <c r="GBJ3" s="7"/>
      <c r="GBK3" s="7"/>
      <c r="GBL3" s="7"/>
      <c r="GBM3" s="7"/>
      <c r="GBN3" s="7"/>
      <c r="GBO3" s="7"/>
      <c r="GBP3" s="7"/>
      <c r="GBQ3" s="7"/>
      <c r="GBR3" s="7"/>
      <c r="GBS3" s="7"/>
      <c r="GBT3" s="7"/>
      <c r="GBU3" s="7"/>
      <c r="GBV3" s="7"/>
      <c r="GBW3" s="7"/>
      <c r="GBX3" s="7"/>
      <c r="GBY3" s="7"/>
      <c r="GBZ3" s="7"/>
      <c r="GCA3" s="7"/>
      <c r="GCB3" s="7"/>
      <c r="GCC3" s="7"/>
      <c r="GCD3" s="7"/>
      <c r="GCE3" s="7"/>
      <c r="GCF3" s="7"/>
      <c r="GCG3" s="7"/>
      <c r="GCH3" s="7"/>
      <c r="GCI3" s="7"/>
      <c r="GCJ3" s="7"/>
      <c r="GCK3" s="7"/>
      <c r="GCL3" s="7"/>
      <c r="GCM3" s="7"/>
      <c r="GCN3" s="7"/>
      <c r="GCO3" s="7"/>
      <c r="GCP3" s="7"/>
      <c r="GCQ3" s="7"/>
      <c r="GCR3" s="7"/>
      <c r="GCS3" s="7"/>
      <c r="GCT3" s="7"/>
      <c r="GCU3" s="7"/>
      <c r="GCV3" s="7"/>
      <c r="GCW3" s="7"/>
      <c r="GCX3" s="7"/>
      <c r="GCY3" s="7"/>
      <c r="GCZ3" s="7"/>
      <c r="GDA3" s="7"/>
      <c r="GDB3" s="7"/>
      <c r="GDC3" s="7"/>
      <c r="GDD3" s="7"/>
      <c r="GDE3" s="7"/>
      <c r="GDF3" s="7"/>
      <c r="GDG3" s="7"/>
      <c r="GDH3" s="7"/>
      <c r="GDI3" s="7"/>
      <c r="GDJ3" s="7"/>
      <c r="GDK3" s="7"/>
      <c r="GDL3" s="7"/>
      <c r="GDM3" s="7"/>
      <c r="GDN3" s="7"/>
      <c r="GDO3" s="7"/>
      <c r="GDP3" s="7"/>
      <c r="GDQ3" s="7"/>
      <c r="GDR3" s="7"/>
      <c r="GDS3" s="7"/>
      <c r="GDT3" s="7"/>
      <c r="GDU3" s="7"/>
      <c r="GDV3" s="7"/>
      <c r="GDW3" s="7"/>
      <c r="GDX3" s="7"/>
      <c r="GDY3" s="7"/>
      <c r="GDZ3" s="7"/>
      <c r="GEA3" s="7"/>
      <c r="GEB3" s="7"/>
      <c r="GEC3" s="7"/>
      <c r="GED3" s="7"/>
      <c r="GEE3" s="7"/>
      <c r="GEF3" s="7"/>
      <c r="GEG3" s="7"/>
      <c r="GEH3" s="7"/>
      <c r="GEI3" s="7"/>
      <c r="GEJ3" s="7"/>
      <c r="GEK3" s="7"/>
      <c r="GEL3" s="7"/>
      <c r="GEM3" s="7"/>
      <c r="GEN3" s="7"/>
      <c r="GEO3" s="7"/>
      <c r="GEP3" s="7"/>
      <c r="GEQ3" s="7"/>
      <c r="GER3" s="7"/>
      <c r="GES3" s="7"/>
      <c r="GET3" s="7"/>
      <c r="GEU3" s="7"/>
      <c r="GEV3" s="7"/>
      <c r="GEW3" s="7"/>
      <c r="GEX3" s="7"/>
      <c r="GEY3" s="7"/>
      <c r="GEZ3" s="7"/>
      <c r="GFA3" s="7"/>
      <c r="GFB3" s="7"/>
      <c r="GFC3" s="7"/>
      <c r="GFD3" s="7"/>
      <c r="GFE3" s="7"/>
      <c r="GFF3" s="7"/>
      <c r="GFG3" s="7"/>
      <c r="GFH3" s="7"/>
      <c r="GFI3" s="7"/>
      <c r="GFJ3" s="7"/>
      <c r="GFK3" s="7"/>
      <c r="GFL3" s="7"/>
      <c r="GFM3" s="7"/>
      <c r="GFN3" s="7"/>
      <c r="GFO3" s="7"/>
      <c r="GFP3" s="7"/>
      <c r="GFQ3" s="7"/>
      <c r="GFR3" s="7"/>
      <c r="GFS3" s="7"/>
      <c r="GFT3" s="7"/>
      <c r="GFU3" s="7"/>
      <c r="GFV3" s="7"/>
      <c r="GFW3" s="7"/>
      <c r="GFX3" s="7"/>
      <c r="GFY3" s="7"/>
      <c r="GFZ3" s="7"/>
      <c r="GGA3" s="7"/>
      <c r="GGB3" s="7"/>
      <c r="GGC3" s="7"/>
      <c r="GGD3" s="7"/>
      <c r="GGE3" s="7"/>
      <c r="GGF3" s="7"/>
      <c r="GGG3" s="7"/>
      <c r="GGH3" s="7"/>
      <c r="GGI3" s="7"/>
      <c r="GGJ3" s="7"/>
      <c r="GGK3" s="7"/>
      <c r="GGL3" s="7"/>
      <c r="GGM3" s="7"/>
      <c r="GGN3" s="7"/>
      <c r="GGO3" s="7"/>
      <c r="GGP3" s="7"/>
      <c r="GGQ3" s="7"/>
      <c r="GGR3" s="7"/>
      <c r="GGS3" s="7"/>
      <c r="GGT3" s="7"/>
      <c r="GGU3" s="7"/>
      <c r="GGV3" s="7"/>
      <c r="GGW3" s="7"/>
      <c r="GGX3" s="7"/>
      <c r="GGY3" s="7"/>
      <c r="GGZ3" s="7"/>
      <c r="GHA3" s="7"/>
      <c r="GHB3" s="7"/>
      <c r="GHC3" s="7"/>
      <c r="GHD3" s="7"/>
      <c r="GHE3" s="7"/>
      <c r="GHF3" s="7"/>
      <c r="GHG3" s="7"/>
      <c r="GHH3" s="7"/>
      <c r="GHI3" s="7"/>
      <c r="GHJ3" s="7"/>
      <c r="GHK3" s="7"/>
      <c r="GHL3" s="7"/>
      <c r="GHM3" s="7"/>
      <c r="GHN3" s="7"/>
      <c r="GHO3" s="7"/>
      <c r="GHP3" s="7"/>
      <c r="GHQ3" s="7"/>
      <c r="GHR3" s="7"/>
      <c r="GHS3" s="7"/>
      <c r="GHT3" s="7"/>
      <c r="GHU3" s="7"/>
      <c r="GHV3" s="7"/>
      <c r="GHW3" s="7"/>
      <c r="GHX3" s="7"/>
      <c r="GHY3" s="7"/>
      <c r="GHZ3" s="7"/>
      <c r="GIA3" s="7"/>
      <c r="GIB3" s="7"/>
      <c r="GIC3" s="7"/>
      <c r="GID3" s="7"/>
      <c r="GIE3" s="7"/>
      <c r="GIF3" s="7"/>
      <c r="GIG3" s="7"/>
      <c r="GIH3" s="7"/>
      <c r="GII3" s="7"/>
      <c r="GIJ3" s="7"/>
      <c r="GIK3" s="7"/>
      <c r="GIL3" s="7"/>
      <c r="GIM3" s="7"/>
      <c r="GIN3" s="7"/>
      <c r="GIO3" s="7"/>
      <c r="GIP3" s="7"/>
      <c r="GIQ3" s="7"/>
      <c r="GIR3" s="7"/>
      <c r="GIS3" s="7"/>
      <c r="GIT3" s="7"/>
      <c r="GIU3" s="7"/>
      <c r="GIV3" s="7"/>
      <c r="GIW3" s="7"/>
      <c r="GIX3" s="7"/>
      <c r="GIY3" s="7"/>
      <c r="GIZ3" s="7"/>
      <c r="GJA3" s="7"/>
      <c r="GJB3" s="7"/>
      <c r="GJC3" s="7"/>
      <c r="GJD3" s="7"/>
      <c r="GJE3" s="7"/>
      <c r="GJF3" s="7"/>
      <c r="GJG3" s="7"/>
      <c r="GJH3" s="7"/>
      <c r="GJI3" s="7"/>
      <c r="GJJ3" s="7"/>
      <c r="GJK3" s="7"/>
      <c r="GJL3" s="7"/>
      <c r="GJM3" s="7"/>
      <c r="GJN3" s="7"/>
      <c r="GJO3" s="7"/>
      <c r="GJP3" s="7"/>
      <c r="GJQ3" s="7"/>
      <c r="GJR3" s="7"/>
      <c r="GJS3" s="7"/>
      <c r="GJT3" s="7"/>
      <c r="GJU3" s="7"/>
      <c r="GJV3" s="7"/>
      <c r="GJW3" s="7"/>
      <c r="GJX3" s="7"/>
      <c r="GJY3" s="7"/>
      <c r="GJZ3" s="7"/>
      <c r="GKA3" s="7"/>
      <c r="GKB3" s="7"/>
      <c r="GKC3" s="7"/>
      <c r="GKD3" s="7"/>
      <c r="GKE3" s="7"/>
      <c r="GKF3" s="7"/>
      <c r="GKG3" s="7"/>
      <c r="GKH3" s="7"/>
      <c r="GKI3" s="7"/>
      <c r="GKJ3" s="7"/>
      <c r="GKK3" s="7"/>
      <c r="GKL3" s="7"/>
      <c r="GKM3" s="7"/>
      <c r="GKN3" s="7"/>
      <c r="GKO3" s="7"/>
      <c r="GKP3" s="7"/>
      <c r="GKQ3" s="7"/>
      <c r="GKR3" s="7"/>
      <c r="GKS3" s="7"/>
      <c r="GKT3" s="7"/>
      <c r="GKU3" s="7"/>
      <c r="GKV3" s="7"/>
      <c r="GKW3" s="7"/>
      <c r="GKX3" s="7"/>
      <c r="GKY3" s="7"/>
      <c r="GKZ3" s="7"/>
      <c r="GLA3" s="7"/>
      <c r="GLB3" s="7"/>
      <c r="GLC3" s="7"/>
      <c r="GLD3" s="7"/>
      <c r="GLE3" s="7"/>
      <c r="GLF3" s="7"/>
      <c r="GLG3" s="7"/>
      <c r="GLH3" s="7"/>
      <c r="GLI3" s="7"/>
      <c r="GLJ3" s="7"/>
      <c r="GLK3" s="7"/>
      <c r="GLL3" s="7"/>
      <c r="GLM3" s="7"/>
      <c r="GLN3" s="7"/>
      <c r="GLO3" s="7"/>
      <c r="GLP3" s="7"/>
      <c r="GLQ3" s="7"/>
      <c r="GLR3" s="7"/>
      <c r="GLS3" s="7"/>
      <c r="GLT3" s="7"/>
      <c r="GLU3" s="7"/>
      <c r="GLV3" s="7"/>
      <c r="GLW3" s="7"/>
      <c r="GLX3" s="7"/>
      <c r="GLY3" s="7"/>
      <c r="GLZ3" s="7"/>
      <c r="GMA3" s="7"/>
      <c r="GMB3" s="7"/>
      <c r="GMC3" s="7"/>
      <c r="GMD3" s="7"/>
      <c r="GME3" s="7"/>
      <c r="GMF3" s="7"/>
      <c r="GMG3" s="7"/>
      <c r="GMH3" s="7"/>
      <c r="GMI3" s="7"/>
      <c r="GMJ3" s="7"/>
      <c r="GMK3" s="7"/>
      <c r="GML3" s="7"/>
      <c r="GMM3" s="7"/>
      <c r="GMN3" s="7"/>
      <c r="GMO3" s="7"/>
      <c r="GMP3" s="7"/>
      <c r="GMQ3" s="7"/>
      <c r="GMR3" s="7"/>
      <c r="GMS3" s="7"/>
      <c r="GMT3" s="7"/>
      <c r="GMU3" s="7"/>
      <c r="GMV3" s="7"/>
      <c r="GMW3" s="7"/>
      <c r="GMX3" s="7"/>
      <c r="GMY3" s="7"/>
      <c r="GMZ3" s="7"/>
      <c r="GNA3" s="7"/>
      <c r="GNB3" s="7"/>
      <c r="GNC3" s="7"/>
      <c r="GND3" s="7"/>
      <c r="GNE3" s="7"/>
      <c r="GNF3" s="7"/>
      <c r="GNG3" s="7"/>
      <c r="GNH3" s="7"/>
      <c r="GNI3" s="7"/>
      <c r="GNJ3" s="7"/>
      <c r="GNK3" s="7"/>
      <c r="GNL3" s="7"/>
      <c r="GNM3" s="7"/>
      <c r="GNN3" s="7"/>
      <c r="GNO3" s="7"/>
      <c r="GNP3" s="7"/>
      <c r="GNQ3" s="7"/>
      <c r="GNR3" s="7"/>
      <c r="GNS3" s="7"/>
      <c r="GNT3" s="7"/>
      <c r="GNU3" s="7"/>
      <c r="GNV3" s="7"/>
      <c r="GNW3" s="7"/>
      <c r="GNX3" s="7"/>
      <c r="GNY3" s="7"/>
      <c r="GNZ3" s="7"/>
      <c r="GOA3" s="7"/>
      <c r="GOB3" s="7"/>
      <c r="GOC3" s="7"/>
      <c r="GOD3" s="7"/>
      <c r="GOE3" s="7"/>
      <c r="GOF3" s="7"/>
      <c r="GOG3" s="7"/>
      <c r="GOH3" s="7"/>
      <c r="GOI3" s="7"/>
      <c r="GOJ3" s="7"/>
      <c r="GOK3" s="7"/>
      <c r="GOL3" s="7"/>
      <c r="GOM3" s="7"/>
      <c r="GON3" s="7"/>
      <c r="GOO3" s="7"/>
      <c r="GOP3" s="7"/>
      <c r="GOQ3" s="7"/>
      <c r="GOR3" s="7"/>
      <c r="GOS3" s="7"/>
      <c r="GOT3" s="7"/>
      <c r="GOU3" s="7"/>
      <c r="GOV3" s="7"/>
      <c r="GOW3" s="7"/>
      <c r="GOX3" s="7"/>
      <c r="GOY3" s="7"/>
      <c r="GOZ3" s="7"/>
      <c r="GPA3" s="7"/>
      <c r="GPB3" s="7"/>
      <c r="GPC3" s="7"/>
      <c r="GPD3" s="7"/>
      <c r="GPE3" s="7"/>
      <c r="GPF3" s="7"/>
      <c r="GPG3" s="7"/>
      <c r="GPH3" s="7"/>
      <c r="GPI3" s="7"/>
      <c r="GPJ3" s="7"/>
      <c r="GPK3" s="7"/>
      <c r="GPL3" s="7"/>
      <c r="GPM3" s="7"/>
      <c r="GPN3" s="7"/>
      <c r="GPO3" s="7"/>
      <c r="GPP3" s="7"/>
      <c r="GPQ3" s="7"/>
      <c r="GPR3" s="7"/>
      <c r="GPS3" s="7"/>
      <c r="GPT3" s="7"/>
      <c r="GPU3" s="7"/>
      <c r="GPV3" s="7"/>
      <c r="GPW3" s="7"/>
      <c r="GPX3" s="7"/>
      <c r="GPY3" s="7"/>
      <c r="GPZ3" s="7"/>
      <c r="GQA3" s="7"/>
      <c r="GQB3" s="7"/>
      <c r="GQC3" s="7"/>
      <c r="GQD3" s="7"/>
      <c r="GQE3" s="7"/>
      <c r="GQF3" s="7"/>
      <c r="GQG3" s="7"/>
      <c r="GQH3" s="7"/>
      <c r="GQI3" s="7"/>
      <c r="GQJ3" s="7"/>
      <c r="GQK3" s="7"/>
      <c r="GQL3" s="7"/>
      <c r="GQM3" s="7"/>
      <c r="GQN3" s="7"/>
      <c r="GQO3" s="7"/>
      <c r="GQP3" s="7"/>
      <c r="GQQ3" s="7"/>
      <c r="GQR3" s="7"/>
      <c r="GQS3" s="7"/>
      <c r="GQT3" s="7"/>
      <c r="GQU3" s="7"/>
      <c r="GQV3" s="7"/>
      <c r="GQW3" s="7"/>
      <c r="GQX3" s="7"/>
      <c r="GQY3" s="7"/>
      <c r="GQZ3" s="7"/>
      <c r="GRA3" s="7"/>
      <c r="GRB3" s="7"/>
      <c r="GRC3" s="7"/>
      <c r="GRD3" s="7"/>
      <c r="GRE3" s="7"/>
      <c r="GRF3" s="7"/>
      <c r="GRG3" s="7"/>
      <c r="GRH3" s="7"/>
      <c r="GRI3" s="7"/>
      <c r="GRJ3" s="7"/>
      <c r="GRK3" s="7"/>
      <c r="GRL3" s="7"/>
      <c r="GRM3" s="7"/>
      <c r="GRN3" s="7"/>
      <c r="GRO3" s="7"/>
      <c r="GRP3" s="7"/>
      <c r="GRQ3" s="7"/>
      <c r="GRR3" s="7"/>
      <c r="GRS3" s="7"/>
      <c r="GRT3" s="7"/>
      <c r="GRU3" s="7"/>
      <c r="GRV3" s="7"/>
      <c r="GRW3" s="7"/>
      <c r="GRX3" s="7"/>
      <c r="GRY3" s="7"/>
      <c r="GRZ3" s="7"/>
      <c r="GSA3" s="7"/>
      <c r="GSB3" s="7"/>
      <c r="GSC3" s="7"/>
      <c r="GSD3" s="7"/>
      <c r="GSE3" s="7"/>
      <c r="GSF3" s="7"/>
      <c r="GSG3" s="7"/>
      <c r="GSH3" s="7"/>
      <c r="GSI3" s="7"/>
      <c r="GSJ3" s="7"/>
      <c r="GSK3" s="7"/>
      <c r="GSL3" s="7"/>
      <c r="GSM3" s="7"/>
      <c r="GSN3" s="7"/>
      <c r="GSO3" s="7"/>
      <c r="GSP3" s="7"/>
      <c r="GSQ3" s="7"/>
      <c r="GSR3" s="7"/>
      <c r="GSS3" s="7"/>
      <c r="GST3" s="7"/>
      <c r="GSU3" s="7"/>
      <c r="GSV3" s="7"/>
      <c r="GSW3" s="7"/>
      <c r="GSX3" s="7"/>
      <c r="GSY3" s="7"/>
      <c r="GSZ3" s="7"/>
      <c r="GTA3" s="7"/>
      <c r="GTB3" s="7"/>
      <c r="GTC3" s="7"/>
      <c r="GTD3" s="7"/>
      <c r="GTE3" s="7"/>
      <c r="GTF3" s="7"/>
      <c r="GTG3" s="7"/>
      <c r="GTH3" s="7"/>
      <c r="GTI3" s="7"/>
      <c r="GTJ3" s="7"/>
      <c r="GTK3" s="7"/>
      <c r="GTL3" s="7"/>
      <c r="GTM3" s="7"/>
      <c r="GTN3" s="7"/>
      <c r="GTO3" s="7"/>
      <c r="GTP3" s="7"/>
      <c r="GTQ3" s="7"/>
      <c r="GTR3" s="7"/>
      <c r="GTS3" s="7"/>
      <c r="GTT3" s="7"/>
      <c r="GTU3" s="7"/>
      <c r="GTV3" s="7"/>
      <c r="GTW3" s="7"/>
      <c r="GTX3" s="7"/>
      <c r="GTY3" s="7"/>
      <c r="GTZ3" s="7"/>
      <c r="GUA3" s="7"/>
      <c r="GUB3" s="7"/>
      <c r="GUC3" s="7"/>
      <c r="GUD3" s="7"/>
      <c r="GUE3" s="7"/>
      <c r="GUF3" s="7"/>
      <c r="GUG3" s="7"/>
      <c r="GUH3" s="7"/>
      <c r="GUI3" s="7"/>
      <c r="GUJ3" s="7"/>
      <c r="GUK3" s="7"/>
      <c r="GUL3" s="7"/>
      <c r="GUM3" s="7"/>
      <c r="GUN3" s="7"/>
      <c r="GUO3" s="7"/>
      <c r="GUP3" s="7"/>
      <c r="GUQ3" s="7"/>
      <c r="GUR3" s="7"/>
      <c r="GUS3" s="7"/>
      <c r="GUT3" s="7"/>
      <c r="GUU3" s="7"/>
      <c r="GUV3" s="7"/>
      <c r="GUW3" s="7"/>
      <c r="GUX3" s="7"/>
      <c r="GUY3" s="7"/>
      <c r="GUZ3" s="7"/>
      <c r="GVA3" s="7"/>
      <c r="GVB3" s="7"/>
      <c r="GVC3" s="7"/>
      <c r="GVD3" s="7"/>
      <c r="GVE3" s="7"/>
      <c r="GVF3" s="7"/>
      <c r="GVG3" s="7"/>
      <c r="GVH3" s="7"/>
      <c r="GVI3" s="7"/>
      <c r="GVJ3" s="7"/>
      <c r="GVK3" s="7"/>
      <c r="GVL3" s="7"/>
      <c r="GVM3" s="7"/>
      <c r="GVN3" s="7"/>
      <c r="GVO3" s="7"/>
      <c r="GVP3" s="7"/>
      <c r="GVQ3" s="7"/>
      <c r="GVR3" s="7"/>
      <c r="GVS3" s="7"/>
      <c r="GVT3" s="7"/>
      <c r="GVU3" s="7"/>
      <c r="GVV3" s="7"/>
      <c r="GVW3" s="7"/>
      <c r="GVX3" s="7"/>
      <c r="GVY3" s="7"/>
      <c r="GVZ3" s="7"/>
      <c r="GWA3" s="7"/>
      <c r="GWB3" s="7"/>
      <c r="GWC3" s="7"/>
      <c r="GWD3" s="7"/>
      <c r="GWE3" s="7"/>
      <c r="GWF3" s="7"/>
      <c r="GWG3" s="7"/>
      <c r="GWH3" s="7"/>
      <c r="GWI3" s="7"/>
      <c r="GWJ3" s="7"/>
      <c r="GWK3" s="7"/>
      <c r="GWL3" s="7"/>
      <c r="GWM3" s="7"/>
      <c r="GWN3" s="7"/>
      <c r="GWO3" s="7"/>
      <c r="GWP3" s="7"/>
      <c r="GWQ3" s="7"/>
      <c r="GWR3" s="7"/>
      <c r="GWS3" s="7"/>
      <c r="GWT3" s="7"/>
      <c r="GWU3" s="7"/>
      <c r="GWV3" s="7"/>
      <c r="GWW3" s="7"/>
      <c r="GWX3" s="7"/>
      <c r="GWY3" s="7"/>
      <c r="GWZ3" s="7"/>
      <c r="GXA3" s="7"/>
      <c r="GXB3" s="7"/>
      <c r="GXC3" s="7"/>
      <c r="GXD3" s="7"/>
      <c r="GXE3" s="7"/>
      <c r="GXF3" s="7"/>
      <c r="GXG3" s="7"/>
      <c r="GXH3" s="7"/>
      <c r="GXI3" s="7"/>
      <c r="GXJ3" s="7"/>
      <c r="GXK3" s="7"/>
      <c r="GXL3" s="7"/>
      <c r="GXM3" s="7"/>
      <c r="GXN3" s="7"/>
      <c r="GXO3" s="7"/>
      <c r="GXP3" s="7"/>
      <c r="GXQ3" s="7"/>
      <c r="GXR3" s="7"/>
      <c r="GXS3" s="7"/>
      <c r="GXT3" s="7"/>
      <c r="GXU3" s="7"/>
      <c r="GXV3" s="7"/>
      <c r="GXW3" s="7"/>
      <c r="GXX3" s="7"/>
      <c r="GXY3" s="7"/>
      <c r="GXZ3" s="7"/>
      <c r="GYA3" s="7"/>
      <c r="GYB3" s="7"/>
      <c r="GYC3" s="7"/>
      <c r="GYD3" s="7"/>
      <c r="GYE3" s="7"/>
      <c r="GYF3" s="7"/>
      <c r="GYG3" s="7"/>
      <c r="GYH3" s="7"/>
      <c r="GYI3" s="7"/>
      <c r="GYJ3" s="7"/>
      <c r="GYK3" s="7"/>
      <c r="GYL3" s="7"/>
      <c r="GYM3" s="7"/>
      <c r="GYN3" s="7"/>
      <c r="GYO3" s="7"/>
      <c r="GYP3" s="7"/>
      <c r="GYQ3" s="7"/>
      <c r="GYR3" s="7"/>
      <c r="GYS3" s="7"/>
      <c r="GYT3" s="7"/>
      <c r="GYU3" s="7"/>
      <c r="GYV3" s="7"/>
      <c r="GYW3" s="7"/>
      <c r="GYX3" s="7"/>
      <c r="GYY3" s="7"/>
      <c r="GYZ3" s="7"/>
      <c r="GZA3" s="7"/>
      <c r="GZB3" s="7"/>
      <c r="GZC3" s="7"/>
      <c r="GZD3" s="7"/>
      <c r="GZE3" s="7"/>
      <c r="GZF3" s="7"/>
      <c r="GZG3" s="7"/>
      <c r="GZH3" s="7"/>
      <c r="GZI3" s="7"/>
      <c r="GZJ3" s="7"/>
      <c r="GZK3" s="7"/>
      <c r="GZL3" s="7"/>
      <c r="GZM3" s="7"/>
      <c r="GZN3" s="7"/>
      <c r="GZO3" s="7"/>
      <c r="GZP3" s="7"/>
      <c r="GZQ3" s="7"/>
      <c r="GZR3" s="7"/>
      <c r="GZS3" s="7"/>
      <c r="GZT3" s="7"/>
      <c r="GZU3" s="7"/>
      <c r="GZV3" s="7"/>
      <c r="GZW3" s="7"/>
      <c r="GZX3" s="7"/>
      <c r="GZY3" s="7"/>
      <c r="GZZ3" s="7"/>
      <c r="HAA3" s="7"/>
      <c r="HAB3" s="7"/>
      <c r="HAC3" s="7"/>
      <c r="HAD3" s="7"/>
      <c r="HAE3" s="7"/>
      <c r="HAF3" s="7"/>
      <c r="HAG3" s="7"/>
      <c r="HAH3" s="7"/>
      <c r="HAI3" s="7"/>
      <c r="HAJ3" s="7"/>
      <c r="HAK3" s="7"/>
      <c r="HAL3" s="7"/>
      <c r="HAM3" s="7"/>
      <c r="HAN3" s="7"/>
      <c r="HAO3" s="7"/>
      <c r="HAP3" s="7"/>
      <c r="HAQ3" s="7"/>
      <c r="HAR3" s="7"/>
      <c r="HAS3" s="7"/>
      <c r="HAT3" s="7"/>
      <c r="HAU3" s="7"/>
      <c r="HAV3" s="7"/>
      <c r="HAW3" s="7"/>
      <c r="HAX3" s="7"/>
      <c r="HAY3" s="7"/>
      <c r="HAZ3" s="7"/>
      <c r="HBA3" s="7"/>
      <c r="HBB3" s="7"/>
      <c r="HBC3" s="7"/>
      <c r="HBD3" s="7"/>
      <c r="HBE3" s="7"/>
      <c r="HBF3" s="7"/>
      <c r="HBG3" s="7"/>
      <c r="HBH3" s="7"/>
      <c r="HBI3" s="7"/>
      <c r="HBJ3" s="7"/>
      <c r="HBK3" s="7"/>
      <c r="HBL3" s="7"/>
      <c r="HBM3" s="7"/>
      <c r="HBN3" s="7"/>
      <c r="HBO3" s="7"/>
      <c r="HBP3" s="7"/>
      <c r="HBQ3" s="7"/>
      <c r="HBR3" s="7"/>
      <c r="HBS3" s="7"/>
      <c r="HBT3" s="7"/>
      <c r="HBU3" s="7"/>
      <c r="HBV3" s="7"/>
      <c r="HBW3" s="7"/>
      <c r="HBX3" s="7"/>
      <c r="HBY3" s="7"/>
      <c r="HBZ3" s="7"/>
      <c r="HCA3" s="7"/>
      <c r="HCB3" s="7"/>
      <c r="HCC3" s="7"/>
      <c r="HCD3" s="7"/>
      <c r="HCE3" s="7"/>
      <c r="HCF3" s="7"/>
      <c r="HCG3" s="7"/>
      <c r="HCH3" s="7"/>
      <c r="HCI3" s="7"/>
      <c r="HCJ3" s="7"/>
      <c r="HCK3" s="7"/>
      <c r="HCL3" s="7"/>
      <c r="HCM3" s="7"/>
      <c r="HCN3" s="7"/>
      <c r="HCO3" s="7"/>
      <c r="HCP3" s="7"/>
      <c r="HCQ3" s="7"/>
      <c r="HCR3" s="7"/>
      <c r="HCS3" s="7"/>
      <c r="HCT3" s="7"/>
      <c r="HCU3" s="7"/>
      <c r="HCV3" s="7"/>
      <c r="HCW3" s="7"/>
      <c r="HCX3" s="7"/>
      <c r="HCY3" s="7"/>
      <c r="HCZ3" s="7"/>
      <c r="HDA3" s="7"/>
      <c r="HDB3" s="7"/>
      <c r="HDC3" s="7"/>
      <c r="HDD3" s="7"/>
      <c r="HDE3" s="7"/>
      <c r="HDF3" s="7"/>
      <c r="HDG3" s="7"/>
      <c r="HDH3" s="7"/>
      <c r="HDI3" s="7"/>
      <c r="HDJ3" s="7"/>
      <c r="HDK3" s="7"/>
      <c r="HDL3" s="7"/>
      <c r="HDM3" s="7"/>
      <c r="HDN3" s="7"/>
      <c r="HDO3" s="7"/>
      <c r="HDP3" s="7"/>
      <c r="HDQ3" s="7"/>
      <c r="HDR3" s="7"/>
      <c r="HDS3" s="7"/>
      <c r="HDT3" s="7"/>
      <c r="HDU3" s="7"/>
      <c r="HDV3" s="7"/>
      <c r="HDW3" s="7"/>
      <c r="HDX3" s="7"/>
      <c r="HDY3" s="7"/>
      <c r="HDZ3" s="7"/>
      <c r="HEA3" s="7"/>
      <c r="HEB3" s="7"/>
      <c r="HEC3" s="7"/>
      <c r="HED3" s="7"/>
      <c r="HEE3" s="7"/>
      <c r="HEF3" s="7"/>
      <c r="HEG3" s="7"/>
      <c r="HEH3" s="7"/>
      <c r="HEI3" s="7"/>
      <c r="HEJ3" s="7"/>
      <c r="HEK3" s="7"/>
      <c r="HEL3" s="7"/>
      <c r="HEM3" s="7"/>
      <c r="HEN3" s="7"/>
      <c r="HEO3" s="7"/>
      <c r="HEP3" s="7"/>
      <c r="HEQ3" s="7"/>
      <c r="HER3" s="7"/>
      <c r="HES3" s="7"/>
      <c r="HET3" s="7"/>
      <c r="HEU3" s="7"/>
      <c r="HEV3" s="7"/>
      <c r="HEW3" s="7"/>
      <c r="HEX3" s="7"/>
      <c r="HEY3" s="7"/>
      <c r="HEZ3" s="7"/>
      <c r="HFA3" s="7"/>
      <c r="HFB3" s="7"/>
      <c r="HFC3" s="7"/>
      <c r="HFD3" s="7"/>
      <c r="HFE3" s="7"/>
      <c r="HFF3" s="7"/>
      <c r="HFG3" s="7"/>
      <c r="HFH3" s="7"/>
      <c r="HFI3" s="7"/>
      <c r="HFJ3" s="7"/>
      <c r="HFK3" s="7"/>
      <c r="HFL3" s="7"/>
      <c r="HFM3" s="7"/>
      <c r="HFN3" s="7"/>
      <c r="HFO3" s="7"/>
      <c r="HFP3" s="7"/>
      <c r="HFQ3" s="7"/>
      <c r="HFR3" s="7"/>
      <c r="HFS3" s="7"/>
      <c r="HFT3" s="7"/>
      <c r="HFU3" s="7"/>
      <c r="HFV3" s="7"/>
      <c r="HFW3" s="7"/>
      <c r="HFX3" s="7"/>
      <c r="HFY3" s="7"/>
      <c r="HFZ3" s="7"/>
      <c r="HGA3" s="7"/>
      <c r="HGB3" s="7"/>
      <c r="HGC3" s="7"/>
      <c r="HGD3" s="7"/>
      <c r="HGE3" s="7"/>
      <c r="HGF3" s="7"/>
      <c r="HGG3" s="7"/>
      <c r="HGH3" s="7"/>
      <c r="HGI3" s="7"/>
      <c r="HGJ3" s="7"/>
      <c r="HGK3" s="7"/>
      <c r="HGL3" s="7"/>
      <c r="HGM3" s="7"/>
      <c r="HGN3" s="7"/>
      <c r="HGO3" s="7"/>
      <c r="HGP3" s="7"/>
      <c r="HGQ3" s="7"/>
      <c r="HGR3" s="7"/>
      <c r="HGS3" s="7"/>
      <c r="HGT3" s="7"/>
      <c r="HGU3" s="7"/>
      <c r="HGV3" s="7"/>
      <c r="HGW3" s="7"/>
      <c r="HGX3" s="7"/>
      <c r="HGY3" s="7"/>
      <c r="HGZ3" s="7"/>
      <c r="HHA3" s="7"/>
      <c r="HHB3" s="7"/>
      <c r="HHC3" s="7"/>
      <c r="HHD3" s="7"/>
      <c r="HHE3" s="7"/>
      <c r="HHF3" s="7"/>
      <c r="HHG3" s="7"/>
      <c r="HHH3" s="7"/>
      <c r="HHI3" s="7"/>
      <c r="HHJ3" s="7"/>
      <c r="HHK3" s="7"/>
      <c r="HHL3" s="7"/>
      <c r="HHM3" s="7"/>
      <c r="HHN3" s="7"/>
      <c r="HHO3" s="7"/>
      <c r="HHP3" s="7"/>
      <c r="HHQ3" s="7"/>
      <c r="HHR3" s="7"/>
      <c r="HHS3" s="7"/>
      <c r="HHT3" s="7"/>
      <c r="HHU3" s="7"/>
      <c r="HHV3" s="7"/>
      <c r="HHW3" s="7"/>
      <c r="HHX3" s="7"/>
      <c r="HHY3" s="7"/>
      <c r="HHZ3" s="7"/>
      <c r="HIA3" s="7"/>
      <c r="HIB3" s="7"/>
      <c r="HIC3" s="7"/>
      <c r="HID3" s="7"/>
      <c r="HIE3" s="7"/>
      <c r="HIF3" s="7"/>
      <c r="HIG3" s="7"/>
      <c r="HIH3" s="7"/>
      <c r="HII3" s="7"/>
      <c r="HIJ3" s="7"/>
      <c r="HIK3" s="7"/>
      <c r="HIL3" s="7"/>
      <c r="HIM3" s="7"/>
      <c r="HIN3" s="7"/>
      <c r="HIO3" s="7"/>
      <c r="HIP3" s="7"/>
      <c r="HIQ3" s="7"/>
      <c r="HIR3" s="7"/>
      <c r="HIS3" s="7"/>
      <c r="HIT3" s="7"/>
      <c r="HIU3" s="7"/>
      <c r="HIV3" s="7"/>
      <c r="HIW3" s="7"/>
      <c r="HIX3" s="7"/>
      <c r="HIY3" s="7"/>
      <c r="HIZ3" s="7"/>
      <c r="HJA3" s="7"/>
      <c r="HJB3" s="7"/>
      <c r="HJC3" s="7"/>
      <c r="HJD3" s="7"/>
      <c r="HJE3" s="7"/>
      <c r="HJF3" s="7"/>
      <c r="HJG3" s="7"/>
      <c r="HJH3" s="7"/>
      <c r="HJI3" s="7"/>
      <c r="HJJ3" s="7"/>
      <c r="HJK3" s="7"/>
      <c r="HJL3" s="7"/>
      <c r="HJM3" s="7"/>
      <c r="HJN3" s="7"/>
      <c r="HJO3" s="7"/>
      <c r="HJP3" s="7"/>
      <c r="HJQ3" s="7"/>
      <c r="HJR3" s="7"/>
      <c r="HJS3" s="7"/>
      <c r="HJT3" s="7"/>
      <c r="HJU3" s="7"/>
      <c r="HJV3" s="7"/>
      <c r="HJW3" s="7"/>
      <c r="HJX3" s="7"/>
      <c r="HJY3" s="7"/>
      <c r="HJZ3" s="7"/>
      <c r="HKA3" s="7"/>
      <c r="HKB3" s="7"/>
      <c r="HKC3" s="7"/>
      <c r="HKD3" s="7"/>
      <c r="HKE3" s="7"/>
      <c r="HKF3" s="7"/>
      <c r="HKG3" s="7"/>
      <c r="HKH3" s="7"/>
      <c r="HKI3" s="7"/>
      <c r="HKJ3" s="7"/>
      <c r="HKK3" s="7"/>
      <c r="HKL3" s="7"/>
      <c r="HKM3" s="7"/>
      <c r="HKN3" s="7"/>
      <c r="HKO3" s="7"/>
      <c r="HKP3" s="7"/>
      <c r="HKQ3" s="7"/>
      <c r="HKR3" s="7"/>
      <c r="HKS3" s="7"/>
      <c r="HKT3" s="7"/>
      <c r="HKU3" s="7"/>
      <c r="HKV3" s="7"/>
      <c r="HKW3" s="7"/>
      <c r="HKX3" s="7"/>
      <c r="HKY3" s="7"/>
      <c r="HKZ3" s="7"/>
      <c r="HLA3" s="7"/>
      <c r="HLB3" s="7"/>
      <c r="HLC3" s="7"/>
      <c r="HLD3" s="7"/>
      <c r="HLE3" s="7"/>
      <c r="HLF3" s="7"/>
      <c r="HLG3" s="7"/>
      <c r="HLH3" s="7"/>
      <c r="HLI3" s="7"/>
      <c r="HLJ3" s="7"/>
      <c r="HLK3" s="7"/>
      <c r="HLL3" s="7"/>
      <c r="HLM3" s="7"/>
      <c r="HLN3" s="7"/>
      <c r="HLO3" s="7"/>
      <c r="HLP3" s="7"/>
      <c r="HLQ3" s="7"/>
      <c r="HLR3" s="7"/>
      <c r="HLS3" s="7"/>
      <c r="HLT3" s="7"/>
      <c r="HLU3" s="7"/>
      <c r="HLV3" s="7"/>
      <c r="HLW3" s="7"/>
      <c r="HLX3" s="7"/>
      <c r="HLY3" s="7"/>
      <c r="HLZ3" s="7"/>
      <c r="HMA3" s="7"/>
      <c r="HMB3" s="7"/>
      <c r="HMC3" s="7"/>
      <c r="HMD3" s="7"/>
      <c r="HME3" s="7"/>
      <c r="HMF3" s="7"/>
      <c r="HMG3" s="7"/>
      <c r="HMH3" s="7"/>
      <c r="HMI3" s="7"/>
      <c r="HMJ3" s="7"/>
      <c r="HMK3" s="7"/>
      <c r="HML3" s="7"/>
      <c r="HMM3" s="7"/>
      <c r="HMN3" s="7"/>
      <c r="HMO3" s="7"/>
      <c r="HMP3" s="7"/>
      <c r="HMQ3" s="7"/>
      <c r="HMR3" s="7"/>
      <c r="HMS3" s="7"/>
      <c r="HMT3" s="7"/>
      <c r="HMU3" s="7"/>
      <c r="HMV3" s="7"/>
      <c r="HMW3" s="7"/>
      <c r="HMX3" s="7"/>
      <c r="HMY3" s="7"/>
      <c r="HMZ3" s="7"/>
      <c r="HNA3" s="7"/>
      <c r="HNB3" s="7"/>
      <c r="HNC3" s="7"/>
      <c r="HND3" s="7"/>
      <c r="HNE3" s="7"/>
      <c r="HNF3" s="7"/>
      <c r="HNG3" s="7"/>
      <c r="HNH3" s="7"/>
      <c r="HNI3" s="7"/>
      <c r="HNJ3" s="7"/>
      <c r="HNK3" s="7"/>
      <c r="HNL3" s="7"/>
      <c r="HNM3" s="7"/>
      <c r="HNN3" s="7"/>
      <c r="HNO3" s="7"/>
      <c r="HNP3" s="7"/>
      <c r="HNQ3" s="7"/>
      <c r="HNR3" s="7"/>
      <c r="HNS3" s="7"/>
      <c r="HNT3" s="7"/>
      <c r="HNU3" s="7"/>
      <c r="HNV3" s="7"/>
      <c r="HNW3" s="7"/>
      <c r="HNX3" s="7"/>
      <c r="HNY3" s="7"/>
      <c r="HNZ3" s="7"/>
      <c r="HOA3" s="7"/>
      <c r="HOB3" s="7"/>
      <c r="HOC3" s="7"/>
      <c r="HOD3" s="7"/>
      <c r="HOE3" s="7"/>
      <c r="HOF3" s="7"/>
      <c r="HOG3" s="7"/>
      <c r="HOH3" s="7"/>
      <c r="HOI3" s="7"/>
      <c r="HOJ3" s="7"/>
      <c r="HOK3" s="7"/>
      <c r="HOL3" s="7"/>
      <c r="HOM3" s="7"/>
      <c r="HON3" s="7"/>
      <c r="HOO3" s="7"/>
      <c r="HOP3" s="7"/>
      <c r="HOQ3" s="7"/>
      <c r="HOR3" s="7"/>
      <c r="HOS3" s="7"/>
      <c r="HOT3" s="7"/>
      <c r="HOU3" s="7"/>
      <c r="HOV3" s="7"/>
      <c r="HOW3" s="7"/>
      <c r="HOX3" s="7"/>
      <c r="HOY3" s="7"/>
      <c r="HOZ3" s="7"/>
      <c r="HPA3" s="7"/>
      <c r="HPB3" s="7"/>
      <c r="HPC3" s="7"/>
      <c r="HPD3" s="7"/>
      <c r="HPE3" s="7"/>
      <c r="HPF3" s="7"/>
      <c r="HPG3" s="7"/>
      <c r="HPH3" s="7"/>
      <c r="HPI3" s="7"/>
      <c r="HPJ3" s="7"/>
      <c r="HPK3" s="7"/>
      <c r="HPL3" s="7"/>
      <c r="HPM3" s="7"/>
      <c r="HPN3" s="7"/>
      <c r="HPO3" s="7"/>
      <c r="HPP3" s="7"/>
      <c r="HPQ3" s="7"/>
      <c r="HPR3" s="7"/>
      <c r="HPS3" s="7"/>
      <c r="HPT3" s="7"/>
      <c r="HPU3" s="7"/>
      <c r="HPV3" s="7"/>
      <c r="HPW3" s="7"/>
      <c r="HPX3" s="7"/>
      <c r="HPY3" s="7"/>
      <c r="HPZ3" s="7"/>
      <c r="HQA3" s="7"/>
      <c r="HQB3" s="7"/>
      <c r="HQC3" s="7"/>
      <c r="HQD3" s="7"/>
      <c r="HQE3" s="7"/>
      <c r="HQF3" s="7"/>
      <c r="HQG3" s="7"/>
      <c r="HQH3" s="7"/>
      <c r="HQI3" s="7"/>
      <c r="HQJ3" s="7"/>
      <c r="HQK3" s="7"/>
      <c r="HQL3" s="7"/>
      <c r="HQM3" s="7"/>
      <c r="HQN3" s="7"/>
      <c r="HQO3" s="7"/>
      <c r="HQP3" s="7"/>
      <c r="HQQ3" s="7"/>
      <c r="HQR3" s="7"/>
      <c r="HQS3" s="7"/>
      <c r="HQT3" s="7"/>
      <c r="HQU3" s="7"/>
      <c r="HQV3" s="7"/>
      <c r="HQW3" s="7"/>
      <c r="HQX3" s="7"/>
      <c r="HQY3" s="7"/>
      <c r="HQZ3" s="7"/>
      <c r="HRA3" s="7"/>
      <c r="HRB3" s="7"/>
      <c r="HRC3" s="7"/>
      <c r="HRD3" s="7"/>
      <c r="HRE3" s="7"/>
      <c r="HRF3" s="7"/>
      <c r="HRG3" s="7"/>
      <c r="HRH3" s="7"/>
      <c r="HRI3" s="7"/>
      <c r="HRJ3" s="7"/>
      <c r="HRK3" s="7"/>
      <c r="HRL3" s="7"/>
      <c r="HRM3" s="7"/>
      <c r="HRN3" s="7"/>
      <c r="HRO3" s="7"/>
      <c r="HRP3" s="7"/>
      <c r="HRQ3" s="7"/>
      <c r="HRR3" s="7"/>
      <c r="HRS3" s="7"/>
      <c r="HRT3" s="7"/>
      <c r="HRU3" s="7"/>
      <c r="HRV3" s="7"/>
      <c r="HRW3" s="7"/>
      <c r="HRX3" s="7"/>
      <c r="HRY3" s="7"/>
      <c r="HRZ3" s="7"/>
      <c r="HSA3" s="7"/>
      <c r="HSB3" s="7"/>
      <c r="HSC3" s="7"/>
      <c r="HSD3" s="7"/>
      <c r="HSE3" s="7"/>
      <c r="HSF3" s="7"/>
      <c r="HSG3" s="7"/>
      <c r="HSH3" s="7"/>
      <c r="HSI3" s="7"/>
      <c r="HSJ3" s="7"/>
      <c r="HSK3" s="7"/>
      <c r="HSL3" s="7"/>
      <c r="HSM3" s="7"/>
      <c r="HSN3" s="7"/>
      <c r="HSO3" s="7"/>
      <c r="HSP3" s="7"/>
      <c r="HSQ3" s="7"/>
      <c r="HSR3" s="7"/>
      <c r="HSS3" s="7"/>
      <c r="HST3" s="7"/>
      <c r="HSU3" s="7"/>
      <c r="HSV3" s="7"/>
      <c r="HSW3" s="7"/>
      <c r="HSX3" s="7"/>
      <c r="HSY3" s="7"/>
      <c r="HSZ3" s="7"/>
      <c r="HTA3" s="7"/>
      <c r="HTB3" s="7"/>
      <c r="HTC3" s="7"/>
      <c r="HTD3" s="7"/>
      <c r="HTE3" s="7"/>
      <c r="HTF3" s="7"/>
      <c r="HTG3" s="7"/>
      <c r="HTH3" s="7"/>
      <c r="HTI3" s="7"/>
      <c r="HTJ3" s="7"/>
      <c r="HTK3" s="7"/>
      <c r="HTL3" s="7"/>
      <c r="HTM3" s="7"/>
      <c r="HTN3" s="7"/>
      <c r="HTO3" s="7"/>
      <c r="HTP3" s="7"/>
      <c r="HTQ3" s="7"/>
      <c r="HTR3" s="7"/>
      <c r="HTS3" s="7"/>
      <c r="HTT3" s="7"/>
      <c r="HTU3" s="7"/>
      <c r="HTV3" s="7"/>
      <c r="HTW3" s="7"/>
      <c r="HTX3" s="7"/>
      <c r="HTY3" s="7"/>
      <c r="HTZ3" s="7"/>
      <c r="HUA3" s="7"/>
      <c r="HUB3" s="7"/>
      <c r="HUC3" s="7"/>
      <c r="HUD3" s="7"/>
      <c r="HUE3" s="7"/>
      <c r="HUF3" s="7"/>
      <c r="HUG3" s="7"/>
      <c r="HUH3" s="7"/>
      <c r="HUI3" s="7"/>
      <c r="HUJ3" s="7"/>
      <c r="HUK3" s="7"/>
      <c r="HUL3" s="7"/>
      <c r="HUM3" s="7"/>
      <c r="HUN3" s="7"/>
      <c r="HUO3" s="7"/>
      <c r="HUP3" s="7"/>
      <c r="HUQ3" s="7"/>
      <c r="HUR3" s="7"/>
      <c r="HUS3" s="7"/>
      <c r="HUT3" s="7"/>
      <c r="HUU3" s="7"/>
      <c r="HUV3" s="7"/>
      <c r="HUW3" s="7"/>
      <c r="HUX3" s="7"/>
      <c r="HUY3" s="7"/>
      <c r="HUZ3" s="7"/>
      <c r="HVA3" s="7"/>
      <c r="HVB3" s="7"/>
      <c r="HVC3" s="7"/>
      <c r="HVD3" s="7"/>
      <c r="HVE3" s="7"/>
      <c r="HVF3" s="7"/>
      <c r="HVG3" s="7"/>
      <c r="HVH3" s="7"/>
      <c r="HVI3" s="7"/>
      <c r="HVJ3" s="7"/>
      <c r="HVK3" s="7"/>
      <c r="HVL3" s="7"/>
      <c r="HVM3" s="7"/>
      <c r="HVN3" s="7"/>
      <c r="HVO3" s="7"/>
      <c r="HVP3" s="7"/>
      <c r="HVQ3" s="7"/>
      <c r="HVR3" s="7"/>
      <c r="HVS3" s="7"/>
      <c r="HVT3" s="7"/>
      <c r="HVU3" s="7"/>
      <c r="HVV3" s="7"/>
      <c r="HVW3" s="7"/>
      <c r="HVX3" s="7"/>
      <c r="HVY3" s="7"/>
      <c r="HVZ3" s="7"/>
      <c r="HWA3" s="7"/>
      <c r="HWB3" s="7"/>
      <c r="HWC3" s="7"/>
      <c r="HWD3" s="7"/>
      <c r="HWE3" s="7"/>
      <c r="HWF3" s="7"/>
      <c r="HWG3" s="7"/>
      <c r="HWH3" s="7"/>
      <c r="HWI3" s="7"/>
      <c r="HWJ3" s="7"/>
      <c r="HWK3" s="7"/>
      <c r="HWL3" s="7"/>
      <c r="HWM3" s="7"/>
      <c r="HWN3" s="7"/>
      <c r="HWO3" s="7"/>
      <c r="HWP3" s="7"/>
      <c r="HWQ3" s="7"/>
      <c r="HWR3" s="7"/>
      <c r="HWS3" s="7"/>
      <c r="HWT3" s="7"/>
      <c r="HWU3" s="7"/>
      <c r="HWV3" s="7"/>
      <c r="HWW3" s="7"/>
      <c r="HWX3" s="7"/>
      <c r="HWY3" s="7"/>
      <c r="HWZ3" s="7"/>
      <c r="HXA3" s="7"/>
      <c r="HXB3" s="7"/>
      <c r="HXC3" s="7"/>
      <c r="HXD3" s="7"/>
      <c r="HXE3" s="7"/>
      <c r="HXF3" s="7"/>
      <c r="HXG3" s="7"/>
      <c r="HXH3" s="7"/>
      <c r="HXI3" s="7"/>
      <c r="HXJ3" s="7"/>
      <c r="HXK3" s="7"/>
      <c r="HXL3" s="7"/>
      <c r="HXM3" s="7"/>
      <c r="HXN3" s="7"/>
      <c r="HXO3" s="7"/>
      <c r="HXP3" s="7"/>
      <c r="HXQ3" s="7"/>
      <c r="HXR3" s="7"/>
      <c r="HXS3" s="7"/>
      <c r="HXT3" s="7"/>
      <c r="HXU3" s="7"/>
      <c r="HXV3" s="7"/>
      <c r="HXW3" s="7"/>
      <c r="HXX3" s="7"/>
      <c r="HXY3" s="7"/>
      <c r="HXZ3" s="7"/>
      <c r="HYA3" s="7"/>
      <c r="HYB3" s="7"/>
      <c r="HYC3" s="7"/>
      <c r="HYD3" s="7"/>
      <c r="HYE3" s="7"/>
      <c r="HYF3" s="7"/>
      <c r="HYG3" s="7"/>
      <c r="HYH3" s="7"/>
      <c r="HYI3" s="7"/>
      <c r="HYJ3" s="7"/>
      <c r="HYK3" s="7"/>
      <c r="HYL3" s="7"/>
      <c r="HYM3" s="7"/>
      <c r="HYN3" s="7"/>
      <c r="HYO3" s="7"/>
      <c r="HYP3" s="7"/>
      <c r="HYQ3" s="7"/>
      <c r="HYR3" s="7"/>
      <c r="HYS3" s="7"/>
      <c r="HYT3" s="7"/>
      <c r="HYU3" s="7"/>
      <c r="HYV3" s="7"/>
      <c r="HYW3" s="7"/>
      <c r="HYX3" s="7"/>
      <c r="HYY3" s="7"/>
      <c r="HYZ3" s="7"/>
      <c r="HZA3" s="7"/>
      <c r="HZB3" s="7"/>
      <c r="HZC3" s="7"/>
      <c r="HZD3" s="7"/>
      <c r="HZE3" s="7"/>
      <c r="HZF3" s="7"/>
      <c r="HZG3" s="7"/>
      <c r="HZH3" s="7"/>
      <c r="HZI3" s="7"/>
      <c r="HZJ3" s="7"/>
      <c r="HZK3" s="7"/>
      <c r="HZL3" s="7"/>
      <c r="HZM3" s="7"/>
      <c r="HZN3" s="7"/>
      <c r="HZO3" s="7"/>
      <c r="HZP3" s="7"/>
      <c r="HZQ3" s="7"/>
      <c r="HZR3" s="7"/>
      <c r="HZS3" s="7"/>
      <c r="HZT3" s="7"/>
      <c r="HZU3" s="7"/>
      <c r="HZV3" s="7"/>
      <c r="HZW3" s="7"/>
      <c r="HZX3" s="7"/>
      <c r="HZY3" s="7"/>
      <c r="HZZ3" s="7"/>
      <c r="IAA3" s="7"/>
      <c r="IAB3" s="7"/>
      <c r="IAC3" s="7"/>
      <c r="IAD3" s="7"/>
      <c r="IAE3" s="7"/>
      <c r="IAF3" s="7"/>
      <c r="IAG3" s="7"/>
      <c r="IAH3" s="7"/>
      <c r="IAI3" s="7"/>
      <c r="IAJ3" s="7"/>
      <c r="IAK3" s="7"/>
      <c r="IAL3" s="7"/>
      <c r="IAM3" s="7"/>
      <c r="IAN3" s="7"/>
      <c r="IAO3" s="7"/>
      <c r="IAP3" s="7"/>
      <c r="IAQ3" s="7"/>
      <c r="IAR3" s="7"/>
      <c r="IAS3" s="7"/>
      <c r="IAT3" s="7"/>
      <c r="IAU3" s="7"/>
      <c r="IAV3" s="7"/>
      <c r="IAW3" s="7"/>
      <c r="IAX3" s="7"/>
      <c r="IAY3" s="7"/>
      <c r="IAZ3" s="7"/>
      <c r="IBA3" s="7"/>
      <c r="IBB3" s="7"/>
      <c r="IBC3" s="7"/>
      <c r="IBD3" s="7"/>
      <c r="IBE3" s="7"/>
      <c r="IBF3" s="7"/>
      <c r="IBG3" s="7"/>
      <c r="IBH3" s="7"/>
      <c r="IBI3" s="7"/>
      <c r="IBJ3" s="7"/>
      <c r="IBK3" s="7"/>
      <c r="IBL3" s="7"/>
      <c r="IBM3" s="7"/>
      <c r="IBN3" s="7"/>
      <c r="IBO3" s="7"/>
      <c r="IBP3" s="7"/>
      <c r="IBQ3" s="7"/>
      <c r="IBR3" s="7"/>
      <c r="IBS3" s="7"/>
      <c r="IBT3" s="7"/>
      <c r="IBU3" s="7"/>
      <c r="IBV3" s="7"/>
      <c r="IBW3" s="7"/>
      <c r="IBX3" s="7"/>
      <c r="IBY3" s="7"/>
      <c r="IBZ3" s="7"/>
      <c r="ICA3" s="7"/>
      <c r="ICB3" s="7"/>
      <c r="ICC3" s="7"/>
      <c r="ICD3" s="7"/>
      <c r="ICE3" s="7"/>
      <c r="ICF3" s="7"/>
      <c r="ICG3" s="7"/>
      <c r="ICH3" s="7"/>
      <c r="ICI3" s="7"/>
      <c r="ICJ3" s="7"/>
      <c r="ICK3" s="7"/>
      <c r="ICL3" s="7"/>
      <c r="ICM3" s="7"/>
      <c r="ICN3" s="7"/>
      <c r="ICO3" s="7"/>
      <c r="ICP3" s="7"/>
      <c r="ICQ3" s="7"/>
      <c r="ICR3" s="7"/>
      <c r="ICS3" s="7"/>
      <c r="ICT3" s="7"/>
      <c r="ICU3" s="7"/>
      <c r="ICV3" s="7"/>
      <c r="ICW3" s="7"/>
      <c r="ICX3" s="7"/>
      <c r="ICY3" s="7"/>
      <c r="ICZ3" s="7"/>
      <c r="IDA3" s="7"/>
      <c r="IDB3" s="7"/>
      <c r="IDC3" s="7"/>
      <c r="IDD3" s="7"/>
      <c r="IDE3" s="7"/>
      <c r="IDF3" s="7"/>
      <c r="IDG3" s="7"/>
      <c r="IDH3" s="7"/>
      <c r="IDI3" s="7"/>
      <c r="IDJ3" s="7"/>
      <c r="IDK3" s="7"/>
      <c r="IDL3" s="7"/>
      <c r="IDM3" s="7"/>
      <c r="IDN3" s="7"/>
      <c r="IDO3" s="7"/>
      <c r="IDP3" s="7"/>
      <c r="IDQ3" s="7"/>
      <c r="IDR3" s="7"/>
      <c r="IDS3" s="7"/>
      <c r="IDT3" s="7"/>
      <c r="IDU3" s="7"/>
      <c r="IDV3" s="7"/>
      <c r="IDW3" s="7"/>
      <c r="IDX3" s="7"/>
      <c r="IDY3" s="7"/>
      <c r="IDZ3" s="7"/>
      <c r="IEA3" s="7"/>
      <c r="IEB3" s="7"/>
      <c r="IEC3" s="7"/>
      <c r="IED3" s="7"/>
      <c r="IEE3" s="7"/>
      <c r="IEF3" s="7"/>
      <c r="IEG3" s="7"/>
      <c r="IEH3" s="7"/>
      <c r="IEI3" s="7"/>
      <c r="IEJ3" s="7"/>
      <c r="IEK3" s="7"/>
      <c r="IEL3" s="7"/>
      <c r="IEM3" s="7"/>
      <c r="IEN3" s="7"/>
      <c r="IEO3" s="7"/>
      <c r="IEP3" s="7"/>
      <c r="IEQ3" s="7"/>
      <c r="IER3" s="7"/>
      <c r="IES3" s="7"/>
      <c r="IET3" s="7"/>
      <c r="IEU3" s="7"/>
      <c r="IEV3" s="7"/>
      <c r="IEW3" s="7"/>
      <c r="IEX3" s="7"/>
      <c r="IEY3" s="7"/>
      <c r="IEZ3" s="7"/>
      <c r="IFA3" s="7"/>
      <c r="IFB3" s="7"/>
      <c r="IFC3" s="7"/>
      <c r="IFD3" s="7"/>
      <c r="IFE3" s="7"/>
      <c r="IFF3" s="7"/>
      <c r="IFG3" s="7"/>
      <c r="IFH3" s="7"/>
      <c r="IFI3" s="7"/>
      <c r="IFJ3" s="7"/>
      <c r="IFK3" s="7"/>
      <c r="IFL3" s="7"/>
      <c r="IFM3" s="7"/>
      <c r="IFN3" s="7"/>
      <c r="IFO3" s="7"/>
      <c r="IFP3" s="7"/>
      <c r="IFQ3" s="7"/>
      <c r="IFR3" s="7"/>
      <c r="IFS3" s="7"/>
      <c r="IFT3" s="7"/>
      <c r="IFU3" s="7"/>
      <c r="IFV3" s="7"/>
      <c r="IFW3" s="7"/>
      <c r="IFX3" s="7"/>
      <c r="IFY3" s="7"/>
      <c r="IFZ3" s="7"/>
      <c r="IGA3" s="7"/>
      <c r="IGB3" s="7"/>
      <c r="IGC3" s="7"/>
      <c r="IGD3" s="7"/>
      <c r="IGE3" s="7"/>
      <c r="IGF3" s="7"/>
      <c r="IGG3" s="7"/>
      <c r="IGH3" s="7"/>
      <c r="IGI3" s="7"/>
      <c r="IGJ3" s="7"/>
      <c r="IGK3" s="7"/>
      <c r="IGL3" s="7"/>
      <c r="IGM3" s="7"/>
      <c r="IGN3" s="7"/>
      <c r="IGO3" s="7"/>
      <c r="IGP3" s="7"/>
      <c r="IGQ3" s="7"/>
      <c r="IGR3" s="7"/>
      <c r="IGS3" s="7"/>
      <c r="IGT3" s="7"/>
      <c r="IGU3" s="7"/>
      <c r="IGV3" s="7"/>
      <c r="IGW3" s="7"/>
      <c r="IGX3" s="7"/>
      <c r="IGY3" s="7"/>
      <c r="IGZ3" s="7"/>
      <c r="IHA3" s="7"/>
      <c r="IHB3" s="7"/>
      <c r="IHC3" s="7"/>
      <c r="IHD3" s="7"/>
      <c r="IHE3" s="7"/>
      <c r="IHF3" s="7"/>
      <c r="IHG3" s="7"/>
      <c r="IHH3" s="7"/>
      <c r="IHI3" s="7"/>
      <c r="IHJ3" s="7"/>
      <c r="IHK3" s="7"/>
      <c r="IHL3" s="7"/>
      <c r="IHM3" s="7"/>
      <c r="IHN3" s="7"/>
      <c r="IHO3" s="7"/>
      <c r="IHP3" s="7"/>
      <c r="IHQ3" s="7"/>
      <c r="IHR3" s="7"/>
      <c r="IHS3" s="7"/>
      <c r="IHT3" s="7"/>
      <c r="IHU3" s="7"/>
      <c r="IHV3" s="7"/>
      <c r="IHW3" s="7"/>
      <c r="IHX3" s="7"/>
      <c r="IHY3" s="7"/>
      <c r="IHZ3" s="7"/>
      <c r="IIA3" s="7"/>
      <c r="IIB3" s="7"/>
      <c r="IIC3" s="7"/>
      <c r="IID3" s="7"/>
      <c r="IIE3" s="7"/>
      <c r="IIF3" s="7"/>
      <c r="IIG3" s="7"/>
      <c r="IIH3" s="7"/>
      <c r="III3" s="7"/>
      <c r="IIJ3" s="7"/>
      <c r="IIK3" s="7"/>
      <c r="IIL3" s="7"/>
      <c r="IIM3" s="7"/>
      <c r="IIN3" s="7"/>
      <c r="IIO3" s="7"/>
      <c r="IIP3" s="7"/>
      <c r="IIQ3" s="7"/>
      <c r="IIR3" s="7"/>
      <c r="IIS3" s="7"/>
      <c r="IIT3" s="7"/>
      <c r="IIU3" s="7"/>
      <c r="IIV3" s="7"/>
      <c r="IIW3" s="7"/>
      <c r="IIX3" s="7"/>
      <c r="IIY3" s="7"/>
      <c r="IIZ3" s="7"/>
      <c r="IJA3" s="7"/>
      <c r="IJB3" s="7"/>
      <c r="IJC3" s="7"/>
      <c r="IJD3" s="7"/>
      <c r="IJE3" s="7"/>
      <c r="IJF3" s="7"/>
      <c r="IJG3" s="7"/>
      <c r="IJH3" s="7"/>
      <c r="IJI3" s="7"/>
      <c r="IJJ3" s="7"/>
      <c r="IJK3" s="7"/>
      <c r="IJL3" s="7"/>
      <c r="IJM3" s="7"/>
      <c r="IJN3" s="7"/>
      <c r="IJO3" s="7"/>
      <c r="IJP3" s="7"/>
      <c r="IJQ3" s="7"/>
      <c r="IJR3" s="7"/>
      <c r="IJS3" s="7"/>
      <c r="IJT3" s="7"/>
      <c r="IJU3" s="7"/>
      <c r="IJV3" s="7"/>
      <c r="IJW3" s="7"/>
      <c r="IJX3" s="7"/>
      <c r="IJY3" s="7"/>
      <c r="IJZ3" s="7"/>
      <c r="IKA3" s="7"/>
      <c r="IKB3" s="7"/>
      <c r="IKC3" s="7"/>
      <c r="IKD3" s="7"/>
      <c r="IKE3" s="7"/>
      <c r="IKF3" s="7"/>
      <c r="IKG3" s="7"/>
      <c r="IKH3" s="7"/>
      <c r="IKI3" s="7"/>
      <c r="IKJ3" s="7"/>
      <c r="IKK3" s="7"/>
      <c r="IKL3" s="7"/>
      <c r="IKM3" s="7"/>
      <c r="IKN3" s="7"/>
      <c r="IKO3" s="7"/>
      <c r="IKP3" s="7"/>
      <c r="IKQ3" s="7"/>
      <c r="IKR3" s="7"/>
      <c r="IKS3" s="7"/>
      <c r="IKT3" s="7"/>
      <c r="IKU3" s="7"/>
      <c r="IKV3" s="7"/>
      <c r="IKW3" s="7"/>
      <c r="IKX3" s="7"/>
      <c r="IKY3" s="7"/>
      <c r="IKZ3" s="7"/>
      <c r="ILA3" s="7"/>
      <c r="ILB3" s="7"/>
      <c r="ILC3" s="7"/>
      <c r="ILD3" s="7"/>
      <c r="ILE3" s="7"/>
      <c r="ILF3" s="7"/>
      <c r="ILG3" s="7"/>
      <c r="ILH3" s="7"/>
      <c r="ILI3" s="7"/>
      <c r="ILJ3" s="7"/>
      <c r="ILK3" s="7"/>
      <c r="ILL3" s="7"/>
      <c r="ILM3" s="7"/>
      <c r="ILN3" s="7"/>
      <c r="ILO3" s="7"/>
      <c r="ILP3" s="7"/>
      <c r="ILQ3" s="7"/>
      <c r="ILR3" s="7"/>
      <c r="ILS3" s="7"/>
      <c r="ILT3" s="7"/>
      <c r="ILU3" s="7"/>
      <c r="ILV3" s="7"/>
      <c r="ILW3" s="7"/>
      <c r="ILX3" s="7"/>
      <c r="ILY3" s="7"/>
      <c r="ILZ3" s="7"/>
      <c r="IMA3" s="7"/>
      <c r="IMB3" s="7"/>
      <c r="IMC3" s="7"/>
      <c r="IMD3" s="7"/>
      <c r="IME3" s="7"/>
      <c r="IMF3" s="7"/>
      <c r="IMG3" s="7"/>
      <c r="IMH3" s="7"/>
      <c r="IMI3" s="7"/>
      <c r="IMJ3" s="7"/>
      <c r="IMK3" s="7"/>
      <c r="IML3" s="7"/>
      <c r="IMM3" s="7"/>
      <c r="IMN3" s="7"/>
      <c r="IMO3" s="7"/>
      <c r="IMP3" s="7"/>
      <c r="IMQ3" s="7"/>
      <c r="IMR3" s="7"/>
      <c r="IMS3" s="7"/>
      <c r="IMT3" s="7"/>
      <c r="IMU3" s="7"/>
      <c r="IMV3" s="7"/>
      <c r="IMW3" s="7"/>
      <c r="IMX3" s="7"/>
      <c r="IMY3" s="7"/>
      <c r="IMZ3" s="7"/>
      <c r="INA3" s="7"/>
      <c r="INB3" s="7"/>
      <c r="INC3" s="7"/>
      <c r="IND3" s="7"/>
      <c r="INE3" s="7"/>
      <c r="INF3" s="7"/>
      <c r="ING3" s="7"/>
      <c r="INH3" s="7"/>
      <c r="INI3" s="7"/>
      <c r="INJ3" s="7"/>
      <c r="INK3" s="7"/>
      <c r="INL3" s="7"/>
      <c r="INM3" s="7"/>
      <c r="INN3" s="7"/>
      <c r="INO3" s="7"/>
      <c r="INP3" s="7"/>
      <c r="INQ3" s="7"/>
      <c r="INR3" s="7"/>
      <c r="INS3" s="7"/>
      <c r="INT3" s="7"/>
      <c r="INU3" s="7"/>
      <c r="INV3" s="7"/>
      <c r="INW3" s="7"/>
      <c r="INX3" s="7"/>
      <c r="INY3" s="7"/>
      <c r="INZ3" s="7"/>
      <c r="IOA3" s="7"/>
      <c r="IOB3" s="7"/>
      <c r="IOC3" s="7"/>
      <c r="IOD3" s="7"/>
      <c r="IOE3" s="7"/>
      <c r="IOF3" s="7"/>
      <c r="IOG3" s="7"/>
      <c r="IOH3" s="7"/>
      <c r="IOI3" s="7"/>
      <c r="IOJ3" s="7"/>
      <c r="IOK3" s="7"/>
      <c r="IOL3" s="7"/>
      <c r="IOM3" s="7"/>
      <c r="ION3" s="7"/>
      <c r="IOO3" s="7"/>
      <c r="IOP3" s="7"/>
      <c r="IOQ3" s="7"/>
      <c r="IOR3" s="7"/>
      <c r="IOS3" s="7"/>
      <c r="IOT3" s="7"/>
      <c r="IOU3" s="7"/>
      <c r="IOV3" s="7"/>
      <c r="IOW3" s="7"/>
      <c r="IOX3" s="7"/>
      <c r="IOY3" s="7"/>
      <c r="IOZ3" s="7"/>
      <c r="IPA3" s="7"/>
      <c r="IPB3" s="7"/>
      <c r="IPC3" s="7"/>
      <c r="IPD3" s="7"/>
      <c r="IPE3" s="7"/>
      <c r="IPF3" s="7"/>
      <c r="IPG3" s="7"/>
      <c r="IPH3" s="7"/>
      <c r="IPI3" s="7"/>
      <c r="IPJ3" s="7"/>
      <c r="IPK3" s="7"/>
      <c r="IPL3" s="7"/>
      <c r="IPM3" s="7"/>
      <c r="IPN3" s="7"/>
      <c r="IPO3" s="7"/>
      <c r="IPP3" s="7"/>
      <c r="IPQ3" s="7"/>
      <c r="IPR3" s="7"/>
      <c r="IPS3" s="7"/>
      <c r="IPT3" s="7"/>
      <c r="IPU3" s="7"/>
      <c r="IPV3" s="7"/>
      <c r="IPW3" s="7"/>
      <c r="IPX3" s="7"/>
      <c r="IPY3" s="7"/>
      <c r="IPZ3" s="7"/>
      <c r="IQA3" s="7"/>
      <c r="IQB3" s="7"/>
      <c r="IQC3" s="7"/>
      <c r="IQD3" s="7"/>
      <c r="IQE3" s="7"/>
      <c r="IQF3" s="7"/>
      <c r="IQG3" s="7"/>
      <c r="IQH3" s="7"/>
      <c r="IQI3" s="7"/>
      <c r="IQJ3" s="7"/>
      <c r="IQK3" s="7"/>
      <c r="IQL3" s="7"/>
      <c r="IQM3" s="7"/>
      <c r="IQN3" s="7"/>
      <c r="IQO3" s="7"/>
      <c r="IQP3" s="7"/>
      <c r="IQQ3" s="7"/>
      <c r="IQR3" s="7"/>
      <c r="IQS3" s="7"/>
      <c r="IQT3" s="7"/>
      <c r="IQU3" s="7"/>
      <c r="IQV3" s="7"/>
      <c r="IQW3" s="7"/>
      <c r="IQX3" s="7"/>
      <c r="IQY3" s="7"/>
      <c r="IQZ3" s="7"/>
      <c r="IRA3" s="7"/>
      <c r="IRB3" s="7"/>
      <c r="IRC3" s="7"/>
      <c r="IRD3" s="7"/>
      <c r="IRE3" s="7"/>
      <c r="IRF3" s="7"/>
      <c r="IRG3" s="7"/>
      <c r="IRH3" s="7"/>
      <c r="IRI3" s="7"/>
      <c r="IRJ3" s="7"/>
      <c r="IRK3" s="7"/>
      <c r="IRL3" s="7"/>
      <c r="IRM3" s="7"/>
      <c r="IRN3" s="7"/>
      <c r="IRO3" s="7"/>
      <c r="IRP3" s="7"/>
      <c r="IRQ3" s="7"/>
      <c r="IRR3" s="7"/>
      <c r="IRS3" s="7"/>
      <c r="IRT3" s="7"/>
      <c r="IRU3" s="7"/>
      <c r="IRV3" s="7"/>
      <c r="IRW3" s="7"/>
      <c r="IRX3" s="7"/>
      <c r="IRY3" s="7"/>
      <c r="IRZ3" s="7"/>
      <c r="ISA3" s="7"/>
      <c r="ISB3" s="7"/>
      <c r="ISC3" s="7"/>
      <c r="ISD3" s="7"/>
      <c r="ISE3" s="7"/>
      <c r="ISF3" s="7"/>
      <c r="ISG3" s="7"/>
      <c r="ISH3" s="7"/>
      <c r="ISI3" s="7"/>
      <c r="ISJ3" s="7"/>
      <c r="ISK3" s="7"/>
      <c r="ISL3" s="7"/>
      <c r="ISM3" s="7"/>
      <c r="ISN3" s="7"/>
      <c r="ISO3" s="7"/>
      <c r="ISP3" s="7"/>
      <c r="ISQ3" s="7"/>
      <c r="ISR3" s="7"/>
      <c r="ISS3" s="7"/>
      <c r="IST3" s="7"/>
      <c r="ISU3" s="7"/>
      <c r="ISV3" s="7"/>
      <c r="ISW3" s="7"/>
      <c r="ISX3" s="7"/>
      <c r="ISY3" s="7"/>
      <c r="ISZ3" s="7"/>
      <c r="ITA3" s="7"/>
      <c r="ITB3" s="7"/>
      <c r="ITC3" s="7"/>
      <c r="ITD3" s="7"/>
      <c r="ITE3" s="7"/>
      <c r="ITF3" s="7"/>
      <c r="ITG3" s="7"/>
      <c r="ITH3" s="7"/>
      <c r="ITI3" s="7"/>
      <c r="ITJ3" s="7"/>
      <c r="ITK3" s="7"/>
      <c r="ITL3" s="7"/>
      <c r="ITM3" s="7"/>
      <c r="ITN3" s="7"/>
      <c r="ITO3" s="7"/>
      <c r="ITP3" s="7"/>
      <c r="ITQ3" s="7"/>
      <c r="ITR3" s="7"/>
      <c r="ITS3" s="7"/>
      <c r="ITT3" s="7"/>
      <c r="ITU3" s="7"/>
      <c r="ITV3" s="7"/>
      <c r="ITW3" s="7"/>
      <c r="ITX3" s="7"/>
      <c r="ITY3" s="7"/>
      <c r="ITZ3" s="7"/>
      <c r="IUA3" s="7"/>
      <c r="IUB3" s="7"/>
      <c r="IUC3" s="7"/>
      <c r="IUD3" s="7"/>
      <c r="IUE3" s="7"/>
      <c r="IUF3" s="7"/>
      <c r="IUG3" s="7"/>
      <c r="IUH3" s="7"/>
      <c r="IUI3" s="7"/>
      <c r="IUJ3" s="7"/>
      <c r="IUK3" s="7"/>
      <c r="IUL3" s="7"/>
      <c r="IUM3" s="7"/>
      <c r="IUN3" s="7"/>
      <c r="IUO3" s="7"/>
      <c r="IUP3" s="7"/>
      <c r="IUQ3" s="7"/>
      <c r="IUR3" s="7"/>
      <c r="IUS3" s="7"/>
      <c r="IUT3" s="7"/>
      <c r="IUU3" s="7"/>
      <c r="IUV3" s="7"/>
      <c r="IUW3" s="7"/>
      <c r="IUX3" s="7"/>
      <c r="IUY3" s="7"/>
      <c r="IUZ3" s="7"/>
      <c r="IVA3" s="7"/>
      <c r="IVB3" s="7"/>
      <c r="IVC3" s="7"/>
      <c r="IVD3" s="7"/>
      <c r="IVE3" s="7"/>
      <c r="IVF3" s="7"/>
      <c r="IVG3" s="7"/>
      <c r="IVH3" s="7"/>
      <c r="IVI3" s="7"/>
      <c r="IVJ3" s="7"/>
      <c r="IVK3" s="7"/>
      <c r="IVL3" s="7"/>
      <c r="IVM3" s="7"/>
      <c r="IVN3" s="7"/>
      <c r="IVO3" s="7"/>
      <c r="IVP3" s="7"/>
      <c r="IVQ3" s="7"/>
      <c r="IVR3" s="7"/>
      <c r="IVS3" s="7"/>
      <c r="IVT3" s="7"/>
      <c r="IVU3" s="7"/>
      <c r="IVV3" s="7"/>
      <c r="IVW3" s="7"/>
      <c r="IVX3" s="7"/>
      <c r="IVY3" s="7"/>
      <c r="IVZ3" s="7"/>
      <c r="IWA3" s="7"/>
      <c r="IWB3" s="7"/>
      <c r="IWC3" s="7"/>
      <c r="IWD3" s="7"/>
      <c r="IWE3" s="7"/>
      <c r="IWF3" s="7"/>
      <c r="IWG3" s="7"/>
      <c r="IWH3" s="7"/>
      <c r="IWI3" s="7"/>
      <c r="IWJ3" s="7"/>
      <c r="IWK3" s="7"/>
      <c r="IWL3" s="7"/>
      <c r="IWM3" s="7"/>
      <c r="IWN3" s="7"/>
      <c r="IWO3" s="7"/>
      <c r="IWP3" s="7"/>
      <c r="IWQ3" s="7"/>
      <c r="IWR3" s="7"/>
      <c r="IWS3" s="7"/>
      <c r="IWT3" s="7"/>
      <c r="IWU3" s="7"/>
      <c r="IWV3" s="7"/>
      <c r="IWW3" s="7"/>
      <c r="IWX3" s="7"/>
      <c r="IWY3" s="7"/>
      <c r="IWZ3" s="7"/>
      <c r="IXA3" s="7"/>
      <c r="IXB3" s="7"/>
      <c r="IXC3" s="7"/>
      <c r="IXD3" s="7"/>
      <c r="IXE3" s="7"/>
      <c r="IXF3" s="7"/>
      <c r="IXG3" s="7"/>
      <c r="IXH3" s="7"/>
      <c r="IXI3" s="7"/>
      <c r="IXJ3" s="7"/>
      <c r="IXK3" s="7"/>
      <c r="IXL3" s="7"/>
      <c r="IXM3" s="7"/>
      <c r="IXN3" s="7"/>
      <c r="IXO3" s="7"/>
      <c r="IXP3" s="7"/>
      <c r="IXQ3" s="7"/>
      <c r="IXR3" s="7"/>
      <c r="IXS3" s="7"/>
      <c r="IXT3" s="7"/>
      <c r="IXU3" s="7"/>
      <c r="IXV3" s="7"/>
      <c r="IXW3" s="7"/>
      <c r="IXX3" s="7"/>
      <c r="IXY3" s="7"/>
      <c r="IXZ3" s="7"/>
      <c r="IYA3" s="7"/>
      <c r="IYB3" s="7"/>
      <c r="IYC3" s="7"/>
      <c r="IYD3" s="7"/>
      <c r="IYE3" s="7"/>
      <c r="IYF3" s="7"/>
      <c r="IYG3" s="7"/>
      <c r="IYH3" s="7"/>
      <c r="IYI3" s="7"/>
      <c r="IYJ3" s="7"/>
      <c r="IYK3" s="7"/>
      <c r="IYL3" s="7"/>
      <c r="IYM3" s="7"/>
      <c r="IYN3" s="7"/>
      <c r="IYO3" s="7"/>
      <c r="IYP3" s="7"/>
      <c r="IYQ3" s="7"/>
      <c r="IYR3" s="7"/>
      <c r="IYS3" s="7"/>
      <c r="IYT3" s="7"/>
      <c r="IYU3" s="7"/>
      <c r="IYV3" s="7"/>
      <c r="IYW3" s="7"/>
      <c r="IYX3" s="7"/>
      <c r="IYY3" s="7"/>
      <c r="IYZ3" s="7"/>
      <c r="IZA3" s="7"/>
      <c r="IZB3" s="7"/>
      <c r="IZC3" s="7"/>
      <c r="IZD3" s="7"/>
      <c r="IZE3" s="7"/>
      <c r="IZF3" s="7"/>
      <c r="IZG3" s="7"/>
      <c r="IZH3" s="7"/>
      <c r="IZI3" s="7"/>
      <c r="IZJ3" s="7"/>
      <c r="IZK3" s="7"/>
      <c r="IZL3" s="7"/>
      <c r="IZM3" s="7"/>
      <c r="IZN3" s="7"/>
      <c r="IZO3" s="7"/>
      <c r="IZP3" s="7"/>
      <c r="IZQ3" s="7"/>
      <c r="IZR3" s="7"/>
      <c r="IZS3" s="7"/>
      <c r="IZT3" s="7"/>
      <c r="IZU3" s="7"/>
      <c r="IZV3" s="7"/>
      <c r="IZW3" s="7"/>
      <c r="IZX3" s="7"/>
      <c r="IZY3" s="7"/>
      <c r="IZZ3" s="7"/>
      <c r="JAA3" s="7"/>
      <c r="JAB3" s="7"/>
      <c r="JAC3" s="7"/>
      <c r="JAD3" s="7"/>
      <c r="JAE3" s="7"/>
      <c r="JAF3" s="7"/>
      <c r="JAG3" s="7"/>
      <c r="JAH3" s="7"/>
      <c r="JAI3" s="7"/>
      <c r="JAJ3" s="7"/>
      <c r="JAK3" s="7"/>
      <c r="JAL3" s="7"/>
      <c r="JAM3" s="7"/>
      <c r="JAN3" s="7"/>
      <c r="JAO3" s="7"/>
      <c r="JAP3" s="7"/>
      <c r="JAQ3" s="7"/>
      <c r="JAR3" s="7"/>
      <c r="JAS3" s="7"/>
      <c r="JAT3" s="7"/>
      <c r="JAU3" s="7"/>
      <c r="JAV3" s="7"/>
      <c r="JAW3" s="7"/>
      <c r="JAX3" s="7"/>
      <c r="JAY3" s="7"/>
      <c r="JAZ3" s="7"/>
      <c r="JBA3" s="7"/>
      <c r="JBB3" s="7"/>
      <c r="JBC3" s="7"/>
      <c r="JBD3" s="7"/>
      <c r="JBE3" s="7"/>
      <c r="JBF3" s="7"/>
      <c r="JBG3" s="7"/>
      <c r="JBH3" s="7"/>
      <c r="JBI3" s="7"/>
      <c r="JBJ3" s="7"/>
      <c r="JBK3" s="7"/>
      <c r="JBL3" s="7"/>
      <c r="JBM3" s="7"/>
      <c r="JBN3" s="7"/>
      <c r="JBO3" s="7"/>
      <c r="JBP3" s="7"/>
      <c r="JBQ3" s="7"/>
      <c r="JBR3" s="7"/>
      <c r="JBS3" s="7"/>
      <c r="JBT3" s="7"/>
      <c r="JBU3" s="7"/>
      <c r="JBV3" s="7"/>
      <c r="JBW3" s="7"/>
      <c r="JBX3" s="7"/>
      <c r="JBY3" s="7"/>
      <c r="JBZ3" s="7"/>
      <c r="JCA3" s="7"/>
      <c r="JCB3" s="7"/>
      <c r="JCC3" s="7"/>
      <c r="JCD3" s="7"/>
      <c r="JCE3" s="7"/>
      <c r="JCF3" s="7"/>
      <c r="JCG3" s="7"/>
      <c r="JCH3" s="7"/>
      <c r="JCI3" s="7"/>
      <c r="JCJ3" s="7"/>
      <c r="JCK3" s="7"/>
      <c r="JCL3" s="7"/>
      <c r="JCM3" s="7"/>
      <c r="JCN3" s="7"/>
      <c r="JCO3" s="7"/>
      <c r="JCP3" s="7"/>
      <c r="JCQ3" s="7"/>
      <c r="JCR3" s="7"/>
      <c r="JCS3" s="7"/>
      <c r="JCT3" s="7"/>
      <c r="JCU3" s="7"/>
      <c r="JCV3" s="7"/>
      <c r="JCW3" s="7"/>
      <c r="JCX3" s="7"/>
      <c r="JCY3" s="7"/>
      <c r="JCZ3" s="7"/>
      <c r="JDA3" s="7"/>
      <c r="JDB3" s="7"/>
      <c r="JDC3" s="7"/>
      <c r="JDD3" s="7"/>
      <c r="JDE3" s="7"/>
      <c r="JDF3" s="7"/>
      <c r="JDG3" s="7"/>
      <c r="JDH3" s="7"/>
      <c r="JDI3" s="7"/>
      <c r="JDJ3" s="7"/>
      <c r="JDK3" s="7"/>
      <c r="JDL3" s="7"/>
      <c r="JDM3" s="7"/>
      <c r="JDN3" s="7"/>
      <c r="JDO3" s="7"/>
      <c r="JDP3" s="7"/>
      <c r="JDQ3" s="7"/>
      <c r="JDR3" s="7"/>
      <c r="JDS3" s="7"/>
      <c r="JDT3" s="7"/>
      <c r="JDU3" s="7"/>
      <c r="JDV3" s="7"/>
      <c r="JDW3" s="7"/>
      <c r="JDX3" s="7"/>
      <c r="JDY3" s="7"/>
      <c r="JDZ3" s="7"/>
      <c r="JEA3" s="7"/>
      <c r="JEB3" s="7"/>
      <c r="JEC3" s="7"/>
      <c r="JED3" s="7"/>
      <c r="JEE3" s="7"/>
      <c r="JEF3" s="7"/>
      <c r="JEG3" s="7"/>
      <c r="JEH3" s="7"/>
      <c r="JEI3" s="7"/>
      <c r="JEJ3" s="7"/>
      <c r="JEK3" s="7"/>
      <c r="JEL3" s="7"/>
      <c r="JEM3" s="7"/>
      <c r="JEN3" s="7"/>
      <c r="JEO3" s="7"/>
      <c r="JEP3" s="7"/>
      <c r="JEQ3" s="7"/>
      <c r="JER3" s="7"/>
      <c r="JES3" s="7"/>
      <c r="JET3" s="7"/>
      <c r="JEU3" s="7"/>
      <c r="JEV3" s="7"/>
      <c r="JEW3" s="7"/>
      <c r="JEX3" s="7"/>
      <c r="JEY3" s="7"/>
      <c r="JEZ3" s="7"/>
      <c r="JFA3" s="7"/>
      <c r="JFB3" s="7"/>
      <c r="JFC3" s="7"/>
      <c r="JFD3" s="7"/>
      <c r="JFE3" s="7"/>
      <c r="JFF3" s="7"/>
      <c r="JFG3" s="7"/>
      <c r="JFH3" s="7"/>
      <c r="JFI3" s="7"/>
      <c r="JFJ3" s="7"/>
      <c r="JFK3" s="7"/>
      <c r="JFL3" s="7"/>
      <c r="JFM3" s="7"/>
      <c r="JFN3" s="7"/>
      <c r="JFO3" s="7"/>
      <c r="JFP3" s="7"/>
      <c r="JFQ3" s="7"/>
      <c r="JFR3" s="7"/>
      <c r="JFS3" s="7"/>
      <c r="JFT3" s="7"/>
      <c r="JFU3" s="7"/>
      <c r="JFV3" s="7"/>
      <c r="JFW3" s="7"/>
      <c r="JFX3" s="7"/>
      <c r="JFY3" s="7"/>
      <c r="JFZ3" s="7"/>
      <c r="JGA3" s="7"/>
      <c r="JGB3" s="7"/>
      <c r="JGC3" s="7"/>
      <c r="JGD3" s="7"/>
      <c r="JGE3" s="7"/>
      <c r="JGF3" s="7"/>
      <c r="JGG3" s="7"/>
      <c r="JGH3" s="7"/>
      <c r="JGI3" s="7"/>
      <c r="JGJ3" s="7"/>
      <c r="JGK3" s="7"/>
      <c r="JGL3" s="7"/>
      <c r="JGM3" s="7"/>
      <c r="JGN3" s="7"/>
      <c r="JGO3" s="7"/>
      <c r="JGP3" s="7"/>
      <c r="JGQ3" s="7"/>
      <c r="JGR3" s="7"/>
      <c r="JGS3" s="7"/>
      <c r="JGT3" s="7"/>
      <c r="JGU3" s="7"/>
      <c r="JGV3" s="7"/>
      <c r="JGW3" s="7"/>
      <c r="JGX3" s="7"/>
      <c r="JGY3" s="7"/>
      <c r="JGZ3" s="7"/>
      <c r="JHA3" s="7"/>
      <c r="JHB3" s="7"/>
      <c r="JHC3" s="7"/>
      <c r="JHD3" s="7"/>
      <c r="JHE3" s="7"/>
      <c r="JHF3" s="7"/>
      <c r="JHG3" s="7"/>
      <c r="JHH3" s="7"/>
      <c r="JHI3" s="7"/>
      <c r="JHJ3" s="7"/>
      <c r="JHK3" s="7"/>
      <c r="JHL3" s="7"/>
      <c r="JHM3" s="7"/>
      <c r="JHN3" s="7"/>
      <c r="JHO3" s="7"/>
      <c r="JHP3" s="7"/>
      <c r="JHQ3" s="7"/>
      <c r="JHR3" s="7"/>
      <c r="JHS3" s="7"/>
      <c r="JHT3" s="7"/>
      <c r="JHU3" s="7"/>
      <c r="JHV3" s="7"/>
      <c r="JHW3" s="7"/>
      <c r="JHX3" s="7"/>
      <c r="JHY3" s="7"/>
      <c r="JHZ3" s="7"/>
      <c r="JIA3" s="7"/>
      <c r="JIB3" s="7"/>
      <c r="JIC3" s="7"/>
      <c r="JID3" s="7"/>
      <c r="JIE3" s="7"/>
      <c r="JIF3" s="7"/>
      <c r="JIG3" s="7"/>
      <c r="JIH3" s="7"/>
      <c r="JII3" s="7"/>
      <c r="JIJ3" s="7"/>
      <c r="JIK3" s="7"/>
      <c r="JIL3" s="7"/>
      <c r="JIM3" s="7"/>
      <c r="JIN3" s="7"/>
      <c r="JIO3" s="7"/>
      <c r="JIP3" s="7"/>
      <c r="JIQ3" s="7"/>
      <c r="JIR3" s="7"/>
      <c r="JIS3" s="7"/>
      <c r="JIT3" s="7"/>
      <c r="JIU3" s="7"/>
      <c r="JIV3" s="7"/>
      <c r="JIW3" s="7"/>
      <c r="JIX3" s="7"/>
      <c r="JIY3" s="7"/>
      <c r="JIZ3" s="7"/>
      <c r="JJA3" s="7"/>
      <c r="JJB3" s="7"/>
      <c r="JJC3" s="7"/>
      <c r="JJD3" s="7"/>
      <c r="JJE3" s="7"/>
      <c r="JJF3" s="7"/>
      <c r="JJG3" s="7"/>
      <c r="JJH3" s="7"/>
      <c r="JJI3" s="7"/>
      <c r="JJJ3" s="7"/>
      <c r="JJK3" s="7"/>
      <c r="JJL3" s="7"/>
      <c r="JJM3" s="7"/>
      <c r="JJN3" s="7"/>
      <c r="JJO3" s="7"/>
      <c r="JJP3" s="7"/>
      <c r="JJQ3" s="7"/>
      <c r="JJR3" s="7"/>
      <c r="JJS3" s="7"/>
      <c r="JJT3" s="7"/>
      <c r="JJU3" s="7"/>
      <c r="JJV3" s="7"/>
      <c r="JJW3" s="7"/>
      <c r="JJX3" s="7"/>
      <c r="JJY3" s="7"/>
      <c r="JJZ3" s="7"/>
      <c r="JKA3" s="7"/>
      <c r="JKB3" s="7"/>
      <c r="JKC3" s="7"/>
      <c r="JKD3" s="7"/>
      <c r="JKE3" s="7"/>
      <c r="JKF3" s="7"/>
      <c r="JKG3" s="7"/>
      <c r="JKH3" s="7"/>
      <c r="JKI3" s="7"/>
      <c r="JKJ3" s="7"/>
      <c r="JKK3" s="7"/>
      <c r="JKL3" s="7"/>
      <c r="JKM3" s="7"/>
      <c r="JKN3" s="7"/>
      <c r="JKO3" s="7"/>
      <c r="JKP3" s="7"/>
      <c r="JKQ3" s="7"/>
      <c r="JKR3" s="7"/>
      <c r="JKS3" s="7"/>
      <c r="JKT3" s="7"/>
      <c r="JKU3" s="7"/>
      <c r="JKV3" s="7"/>
      <c r="JKW3" s="7"/>
      <c r="JKX3" s="7"/>
      <c r="JKY3" s="7"/>
      <c r="JKZ3" s="7"/>
      <c r="JLA3" s="7"/>
      <c r="JLB3" s="7"/>
      <c r="JLC3" s="7"/>
      <c r="JLD3" s="7"/>
      <c r="JLE3" s="7"/>
      <c r="JLF3" s="7"/>
      <c r="JLG3" s="7"/>
      <c r="JLH3" s="7"/>
      <c r="JLI3" s="7"/>
      <c r="JLJ3" s="7"/>
      <c r="JLK3" s="7"/>
      <c r="JLL3" s="7"/>
      <c r="JLM3" s="7"/>
      <c r="JLN3" s="7"/>
      <c r="JLO3" s="7"/>
      <c r="JLP3" s="7"/>
      <c r="JLQ3" s="7"/>
      <c r="JLR3" s="7"/>
      <c r="JLS3" s="7"/>
      <c r="JLT3" s="7"/>
      <c r="JLU3" s="7"/>
      <c r="JLV3" s="7"/>
      <c r="JLW3" s="7"/>
      <c r="JLX3" s="7"/>
      <c r="JLY3" s="7"/>
      <c r="JLZ3" s="7"/>
      <c r="JMA3" s="7"/>
      <c r="JMB3" s="7"/>
      <c r="JMC3" s="7"/>
      <c r="JMD3" s="7"/>
      <c r="JME3" s="7"/>
      <c r="JMF3" s="7"/>
      <c r="JMG3" s="7"/>
      <c r="JMH3" s="7"/>
      <c r="JMI3" s="7"/>
      <c r="JMJ3" s="7"/>
      <c r="JMK3" s="7"/>
      <c r="JML3" s="7"/>
      <c r="JMM3" s="7"/>
      <c r="JMN3" s="7"/>
      <c r="JMO3" s="7"/>
      <c r="JMP3" s="7"/>
      <c r="JMQ3" s="7"/>
      <c r="JMR3" s="7"/>
      <c r="JMS3" s="7"/>
      <c r="JMT3" s="7"/>
      <c r="JMU3" s="7"/>
      <c r="JMV3" s="7"/>
      <c r="JMW3" s="7"/>
      <c r="JMX3" s="7"/>
      <c r="JMY3" s="7"/>
      <c r="JMZ3" s="7"/>
      <c r="JNA3" s="7"/>
      <c r="JNB3" s="7"/>
      <c r="JNC3" s="7"/>
      <c r="JND3" s="7"/>
      <c r="JNE3" s="7"/>
      <c r="JNF3" s="7"/>
      <c r="JNG3" s="7"/>
      <c r="JNH3" s="7"/>
      <c r="JNI3" s="7"/>
      <c r="JNJ3" s="7"/>
      <c r="JNK3" s="7"/>
      <c r="JNL3" s="7"/>
      <c r="JNM3" s="7"/>
      <c r="JNN3" s="7"/>
      <c r="JNO3" s="7"/>
      <c r="JNP3" s="7"/>
      <c r="JNQ3" s="7"/>
      <c r="JNR3" s="7"/>
      <c r="JNS3" s="7"/>
      <c r="JNT3" s="7"/>
      <c r="JNU3" s="7"/>
      <c r="JNV3" s="7"/>
      <c r="JNW3" s="7"/>
      <c r="JNX3" s="7"/>
      <c r="JNY3" s="7"/>
      <c r="JNZ3" s="7"/>
      <c r="JOA3" s="7"/>
      <c r="JOB3" s="7"/>
      <c r="JOC3" s="7"/>
      <c r="JOD3" s="7"/>
      <c r="JOE3" s="7"/>
      <c r="JOF3" s="7"/>
      <c r="JOG3" s="7"/>
      <c r="JOH3" s="7"/>
      <c r="JOI3" s="7"/>
      <c r="JOJ3" s="7"/>
      <c r="JOK3" s="7"/>
      <c r="JOL3" s="7"/>
      <c r="JOM3" s="7"/>
      <c r="JON3" s="7"/>
      <c r="JOO3" s="7"/>
      <c r="JOP3" s="7"/>
      <c r="JOQ3" s="7"/>
      <c r="JOR3" s="7"/>
      <c r="JOS3" s="7"/>
      <c r="JOT3" s="7"/>
      <c r="JOU3" s="7"/>
      <c r="JOV3" s="7"/>
      <c r="JOW3" s="7"/>
      <c r="JOX3" s="7"/>
      <c r="JOY3" s="7"/>
      <c r="JOZ3" s="7"/>
      <c r="JPA3" s="7"/>
      <c r="JPB3" s="7"/>
      <c r="JPC3" s="7"/>
      <c r="JPD3" s="7"/>
      <c r="JPE3" s="7"/>
      <c r="JPF3" s="7"/>
      <c r="JPG3" s="7"/>
      <c r="JPH3" s="7"/>
      <c r="JPI3" s="7"/>
      <c r="JPJ3" s="7"/>
      <c r="JPK3" s="7"/>
      <c r="JPL3" s="7"/>
      <c r="JPM3" s="7"/>
      <c r="JPN3" s="7"/>
      <c r="JPO3" s="7"/>
      <c r="JPP3" s="7"/>
      <c r="JPQ3" s="7"/>
      <c r="JPR3" s="7"/>
      <c r="JPS3" s="7"/>
      <c r="JPT3" s="7"/>
      <c r="JPU3" s="7"/>
      <c r="JPV3" s="7"/>
      <c r="JPW3" s="7"/>
      <c r="JPX3" s="7"/>
      <c r="JPY3" s="7"/>
      <c r="JPZ3" s="7"/>
      <c r="JQA3" s="7"/>
      <c r="JQB3" s="7"/>
      <c r="JQC3" s="7"/>
      <c r="JQD3" s="7"/>
      <c r="JQE3" s="7"/>
      <c r="JQF3" s="7"/>
      <c r="JQG3" s="7"/>
      <c r="JQH3" s="7"/>
      <c r="JQI3" s="7"/>
      <c r="JQJ3" s="7"/>
      <c r="JQK3" s="7"/>
      <c r="JQL3" s="7"/>
      <c r="JQM3" s="7"/>
      <c r="JQN3" s="7"/>
      <c r="JQO3" s="7"/>
      <c r="JQP3" s="7"/>
      <c r="JQQ3" s="7"/>
      <c r="JQR3" s="7"/>
      <c r="JQS3" s="7"/>
      <c r="JQT3" s="7"/>
      <c r="JQU3" s="7"/>
      <c r="JQV3" s="7"/>
      <c r="JQW3" s="7"/>
      <c r="JQX3" s="7"/>
      <c r="JQY3" s="7"/>
      <c r="JQZ3" s="7"/>
      <c r="JRA3" s="7"/>
      <c r="JRB3" s="7"/>
      <c r="JRC3" s="7"/>
      <c r="JRD3" s="7"/>
      <c r="JRE3" s="7"/>
      <c r="JRF3" s="7"/>
      <c r="JRG3" s="7"/>
      <c r="JRH3" s="7"/>
      <c r="JRI3" s="7"/>
      <c r="JRJ3" s="7"/>
      <c r="JRK3" s="7"/>
      <c r="JRL3" s="7"/>
      <c r="JRM3" s="7"/>
      <c r="JRN3" s="7"/>
      <c r="JRO3" s="7"/>
      <c r="JRP3" s="7"/>
      <c r="JRQ3" s="7"/>
      <c r="JRR3" s="7"/>
      <c r="JRS3" s="7"/>
      <c r="JRT3" s="7"/>
      <c r="JRU3" s="7"/>
      <c r="JRV3" s="7"/>
      <c r="JRW3" s="7"/>
      <c r="JRX3" s="7"/>
      <c r="JRY3" s="7"/>
      <c r="JRZ3" s="7"/>
      <c r="JSA3" s="7"/>
      <c r="JSB3" s="7"/>
      <c r="JSC3" s="7"/>
      <c r="JSD3" s="7"/>
      <c r="JSE3" s="7"/>
      <c r="JSF3" s="7"/>
      <c r="JSG3" s="7"/>
      <c r="JSH3" s="7"/>
      <c r="JSI3" s="7"/>
      <c r="JSJ3" s="7"/>
      <c r="JSK3" s="7"/>
      <c r="JSL3" s="7"/>
      <c r="JSM3" s="7"/>
      <c r="JSN3" s="7"/>
      <c r="JSO3" s="7"/>
      <c r="JSP3" s="7"/>
      <c r="JSQ3" s="7"/>
      <c r="JSR3" s="7"/>
      <c r="JSS3" s="7"/>
      <c r="JST3" s="7"/>
      <c r="JSU3" s="7"/>
      <c r="JSV3" s="7"/>
      <c r="JSW3" s="7"/>
      <c r="JSX3" s="7"/>
      <c r="JSY3" s="7"/>
      <c r="JSZ3" s="7"/>
      <c r="JTA3" s="7"/>
      <c r="JTB3" s="7"/>
      <c r="JTC3" s="7"/>
      <c r="JTD3" s="7"/>
      <c r="JTE3" s="7"/>
      <c r="JTF3" s="7"/>
      <c r="JTG3" s="7"/>
      <c r="JTH3" s="7"/>
      <c r="JTI3" s="7"/>
      <c r="JTJ3" s="7"/>
      <c r="JTK3" s="7"/>
      <c r="JTL3" s="7"/>
      <c r="JTM3" s="7"/>
      <c r="JTN3" s="7"/>
      <c r="JTO3" s="7"/>
      <c r="JTP3" s="7"/>
      <c r="JTQ3" s="7"/>
      <c r="JTR3" s="7"/>
      <c r="JTS3" s="7"/>
      <c r="JTT3" s="7"/>
      <c r="JTU3" s="7"/>
      <c r="JTV3" s="7"/>
      <c r="JTW3" s="7"/>
      <c r="JTX3" s="7"/>
      <c r="JTY3" s="7"/>
      <c r="JTZ3" s="7"/>
      <c r="JUA3" s="7"/>
      <c r="JUB3" s="7"/>
      <c r="JUC3" s="7"/>
      <c r="JUD3" s="7"/>
      <c r="JUE3" s="7"/>
      <c r="JUF3" s="7"/>
      <c r="JUG3" s="7"/>
      <c r="JUH3" s="7"/>
      <c r="JUI3" s="7"/>
      <c r="JUJ3" s="7"/>
      <c r="JUK3" s="7"/>
      <c r="JUL3" s="7"/>
      <c r="JUM3" s="7"/>
      <c r="JUN3" s="7"/>
      <c r="JUO3" s="7"/>
      <c r="JUP3" s="7"/>
      <c r="JUQ3" s="7"/>
      <c r="JUR3" s="7"/>
      <c r="JUS3" s="7"/>
      <c r="JUT3" s="7"/>
      <c r="JUU3" s="7"/>
      <c r="JUV3" s="7"/>
      <c r="JUW3" s="7"/>
      <c r="JUX3" s="7"/>
      <c r="JUY3" s="7"/>
      <c r="JUZ3" s="7"/>
      <c r="JVA3" s="7"/>
      <c r="JVB3" s="7"/>
      <c r="JVC3" s="7"/>
      <c r="JVD3" s="7"/>
      <c r="JVE3" s="7"/>
      <c r="JVF3" s="7"/>
      <c r="JVG3" s="7"/>
      <c r="JVH3" s="7"/>
      <c r="JVI3" s="7"/>
      <c r="JVJ3" s="7"/>
      <c r="JVK3" s="7"/>
      <c r="JVL3" s="7"/>
      <c r="JVM3" s="7"/>
      <c r="JVN3" s="7"/>
      <c r="JVO3" s="7"/>
      <c r="JVP3" s="7"/>
      <c r="JVQ3" s="7"/>
      <c r="JVR3" s="7"/>
      <c r="JVS3" s="7"/>
      <c r="JVT3" s="7"/>
      <c r="JVU3" s="7"/>
      <c r="JVV3" s="7"/>
      <c r="JVW3" s="7"/>
      <c r="JVX3" s="7"/>
      <c r="JVY3" s="7"/>
      <c r="JVZ3" s="7"/>
      <c r="JWA3" s="7"/>
      <c r="JWB3" s="7"/>
      <c r="JWC3" s="7"/>
      <c r="JWD3" s="7"/>
      <c r="JWE3" s="7"/>
      <c r="JWF3" s="7"/>
      <c r="JWG3" s="7"/>
      <c r="JWH3" s="7"/>
      <c r="JWI3" s="7"/>
      <c r="JWJ3" s="7"/>
      <c r="JWK3" s="7"/>
      <c r="JWL3" s="7"/>
      <c r="JWM3" s="7"/>
      <c r="JWN3" s="7"/>
      <c r="JWO3" s="7"/>
      <c r="JWP3" s="7"/>
      <c r="JWQ3" s="7"/>
      <c r="JWR3" s="7"/>
      <c r="JWS3" s="7"/>
      <c r="JWT3" s="7"/>
      <c r="JWU3" s="7"/>
      <c r="JWV3" s="7"/>
      <c r="JWW3" s="7"/>
      <c r="JWX3" s="7"/>
      <c r="JWY3" s="7"/>
      <c r="JWZ3" s="7"/>
      <c r="JXA3" s="7"/>
      <c r="JXB3" s="7"/>
      <c r="JXC3" s="7"/>
      <c r="JXD3" s="7"/>
      <c r="JXE3" s="7"/>
      <c r="JXF3" s="7"/>
      <c r="JXG3" s="7"/>
      <c r="JXH3" s="7"/>
      <c r="JXI3" s="7"/>
      <c r="JXJ3" s="7"/>
      <c r="JXK3" s="7"/>
      <c r="JXL3" s="7"/>
      <c r="JXM3" s="7"/>
      <c r="JXN3" s="7"/>
      <c r="JXO3" s="7"/>
      <c r="JXP3" s="7"/>
      <c r="JXQ3" s="7"/>
      <c r="JXR3" s="7"/>
      <c r="JXS3" s="7"/>
      <c r="JXT3" s="7"/>
      <c r="JXU3" s="7"/>
      <c r="JXV3" s="7"/>
      <c r="JXW3" s="7"/>
      <c r="JXX3" s="7"/>
      <c r="JXY3" s="7"/>
      <c r="JXZ3" s="7"/>
      <c r="JYA3" s="7"/>
      <c r="JYB3" s="7"/>
      <c r="JYC3" s="7"/>
      <c r="JYD3" s="7"/>
      <c r="JYE3" s="7"/>
      <c r="JYF3" s="7"/>
      <c r="JYG3" s="7"/>
      <c r="JYH3" s="7"/>
      <c r="JYI3" s="7"/>
      <c r="JYJ3" s="7"/>
      <c r="JYK3" s="7"/>
      <c r="JYL3" s="7"/>
      <c r="JYM3" s="7"/>
      <c r="JYN3" s="7"/>
      <c r="JYO3" s="7"/>
      <c r="JYP3" s="7"/>
      <c r="JYQ3" s="7"/>
      <c r="JYR3" s="7"/>
      <c r="JYS3" s="7"/>
      <c r="JYT3" s="7"/>
      <c r="JYU3" s="7"/>
      <c r="JYV3" s="7"/>
      <c r="JYW3" s="7"/>
      <c r="JYX3" s="7"/>
      <c r="JYY3" s="7"/>
      <c r="JYZ3" s="7"/>
      <c r="JZA3" s="7"/>
      <c r="JZB3" s="7"/>
      <c r="JZC3" s="7"/>
      <c r="JZD3" s="7"/>
      <c r="JZE3" s="7"/>
      <c r="JZF3" s="7"/>
      <c r="JZG3" s="7"/>
      <c r="JZH3" s="7"/>
      <c r="JZI3" s="7"/>
      <c r="JZJ3" s="7"/>
      <c r="JZK3" s="7"/>
      <c r="JZL3" s="7"/>
      <c r="JZM3" s="7"/>
      <c r="JZN3" s="7"/>
      <c r="JZO3" s="7"/>
      <c r="JZP3" s="7"/>
      <c r="JZQ3" s="7"/>
      <c r="JZR3" s="7"/>
      <c r="JZS3" s="7"/>
      <c r="JZT3" s="7"/>
      <c r="JZU3" s="7"/>
      <c r="JZV3" s="7"/>
      <c r="JZW3" s="7"/>
      <c r="JZX3" s="7"/>
      <c r="JZY3" s="7"/>
      <c r="JZZ3" s="7"/>
      <c r="KAA3" s="7"/>
      <c r="KAB3" s="7"/>
      <c r="KAC3" s="7"/>
      <c r="KAD3" s="7"/>
      <c r="KAE3" s="7"/>
      <c r="KAF3" s="7"/>
      <c r="KAG3" s="7"/>
      <c r="KAH3" s="7"/>
      <c r="KAI3" s="7"/>
      <c r="KAJ3" s="7"/>
      <c r="KAK3" s="7"/>
      <c r="KAL3" s="7"/>
      <c r="KAM3" s="7"/>
      <c r="KAN3" s="7"/>
      <c r="KAO3" s="7"/>
      <c r="KAP3" s="7"/>
      <c r="KAQ3" s="7"/>
      <c r="KAR3" s="7"/>
      <c r="KAS3" s="7"/>
      <c r="KAT3" s="7"/>
      <c r="KAU3" s="7"/>
      <c r="KAV3" s="7"/>
      <c r="KAW3" s="7"/>
      <c r="KAX3" s="7"/>
      <c r="KAY3" s="7"/>
      <c r="KAZ3" s="7"/>
      <c r="KBA3" s="7"/>
      <c r="KBB3" s="7"/>
      <c r="KBC3" s="7"/>
      <c r="KBD3" s="7"/>
      <c r="KBE3" s="7"/>
      <c r="KBF3" s="7"/>
      <c r="KBG3" s="7"/>
      <c r="KBH3" s="7"/>
      <c r="KBI3" s="7"/>
      <c r="KBJ3" s="7"/>
      <c r="KBK3" s="7"/>
      <c r="KBL3" s="7"/>
      <c r="KBM3" s="7"/>
      <c r="KBN3" s="7"/>
      <c r="KBO3" s="7"/>
      <c r="KBP3" s="7"/>
      <c r="KBQ3" s="7"/>
      <c r="KBR3" s="7"/>
      <c r="KBS3" s="7"/>
      <c r="KBT3" s="7"/>
      <c r="KBU3" s="7"/>
      <c r="KBV3" s="7"/>
      <c r="KBW3" s="7"/>
      <c r="KBX3" s="7"/>
      <c r="KBY3" s="7"/>
      <c r="KBZ3" s="7"/>
      <c r="KCA3" s="7"/>
      <c r="KCB3" s="7"/>
      <c r="KCC3" s="7"/>
      <c r="KCD3" s="7"/>
      <c r="KCE3" s="7"/>
      <c r="KCF3" s="7"/>
      <c r="KCG3" s="7"/>
      <c r="KCH3" s="7"/>
      <c r="KCI3" s="7"/>
      <c r="KCJ3" s="7"/>
      <c r="KCK3" s="7"/>
      <c r="KCL3" s="7"/>
      <c r="KCM3" s="7"/>
      <c r="KCN3" s="7"/>
      <c r="KCO3" s="7"/>
      <c r="KCP3" s="7"/>
      <c r="KCQ3" s="7"/>
      <c r="KCR3" s="7"/>
      <c r="KCS3" s="7"/>
      <c r="KCT3" s="7"/>
      <c r="KCU3" s="7"/>
      <c r="KCV3" s="7"/>
      <c r="KCW3" s="7"/>
      <c r="KCX3" s="7"/>
      <c r="KCY3" s="7"/>
      <c r="KCZ3" s="7"/>
      <c r="KDA3" s="7"/>
      <c r="KDB3" s="7"/>
      <c r="KDC3" s="7"/>
      <c r="KDD3" s="7"/>
      <c r="KDE3" s="7"/>
      <c r="KDF3" s="7"/>
      <c r="KDG3" s="7"/>
      <c r="KDH3" s="7"/>
      <c r="KDI3" s="7"/>
      <c r="KDJ3" s="7"/>
      <c r="KDK3" s="7"/>
      <c r="KDL3" s="7"/>
      <c r="KDM3" s="7"/>
      <c r="KDN3" s="7"/>
      <c r="KDO3" s="7"/>
      <c r="KDP3" s="7"/>
      <c r="KDQ3" s="7"/>
      <c r="KDR3" s="7"/>
      <c r="KDS3" s="7"/>
      <c r="KDT3" s="7"/>
      <c r="KDU3" s="7"/>
      <c r="KDV3" s="7"/>
      <c r="KDW3" s="7"/>
      <c r="KDX3" s="7"/>
      <c r="KDY3" s="7"/>
      <c r="KDZ3" s="7"/>
      <c r="KEA3" s="7"/>
      <c r="KEB3" s="7"/>
      <c r="KEC3" s="7"/>
      <c r="KED3" s="7"/>
      <c r="KEE3" s="7"/>
      <c r="KEF3" s="7"/>
      <c r="KEG3" s="7"/>
      <c r="KEH3" s="7"/>
      <c r="KEI3" s="7"/>
      <c r="KEJ3" s="7"/>
      <c r="KEK3" s="7"/>
      <c r="KEL3" s="7"/>
      <c r="KEM3" s="7"/>
      <c r="KEN3" s="7"/>
      <c r="KEO3" s="7"/>
      <c r="KEP3" s="7"/>
      <c r="KEQ3" s="7"/>
      <c r="KER3" s="7"/>
      <c r="KES3" s="7"/>
      <c r="KET3" s="7"/>
      <c r="KEU3" s="7"/>
      <c r="KEV3" s="7"/>
      <c r="KEW3" s="7"/>
      <c r="KEX3" s="7"/>
      <c r="KEY3" s="7"/>
      <c r="KEZ3" s="7"/>
      <c r="KFA3" s="7"/>
      <c r="KFB3" s="7"/>
      <c r="KFC3" s="7"/>
      <c r="KFD3" s="7"/>
      <c r="KFE3" s="7"/>
      <c r="KFF3" s="7"/>
      <c r="KFG3" s="7"/>
      <c r="KFH3" s="7"/>
      <c r="KFI3" s="7"/>
      <c r="KFJ3" s="7"/>
      <c r="KFK3" s="7"/>
      <c r="KFL3" s="7"/>
      <c r="KFM3" s="7"/>
      <c r="KFN3" s="7"/>
      <c r="KFO3" s="7"/>
      <c r="KFP3" s="7"/>
      <c r="KFQ3" s="7"/>
      <c r="KFR3" s="7"/>
      <c r="KFS3" s="7"/>
      <c r="KFT3" s="7"/>
      <c r="KFU3" s="7"/>
      <c r="KFV3" s="7"/>
      <c r="KFW3" s="7"/>
      <c r="KFX3" s="7"/>
      <c r="KFY3" s="7"/>
      <c r="KFZ3" s="7"/>
      <c r="KGA3" s="7"/>
      <c r="KGB3" s="7"/>
      <c r="KGC3" s="7"/>
      <c r="KGD3" s="7"/>
      <c r="KGE3" s="7"/>
      <c r="KGF3" s="7"/>
      <c r="KGG3" s="7"/>
      <c r="KGH3" s="7"/>
      <c r="KGI3" s="7"/>
      <c r="KGJ3" s="7"/>
      <c r="KGK3" s="7"/>
      <c r="KGL3" s="7"/>
      <c r="KGM3" s="7"/>
      <c r="KGN3" s="7"/>
      <c r="KGO3" s="7"/>
      <c r="KGP3" s="7"/>
      <c r="KGQ3" s="7"/>
      <c r="KGR3" s="7"/>
      <c r="KGS3" s="7"/>
      <c r="KGT3" s="7"/>
      <c r="KGU3" s="7"/>
      <c r="KGV3" s="7"/>
      <c r="KGW3" s="7"/>
      <c r="KGX3" s="7"/>
      <c r="KGY3" s="7"/>
      <c r="KGZ3" s="7"/>
      <c r="KHA3" s="7"/>
      <c r="KHB3" s="7"/>
      <c r="KHC3" s="7"/>
      <c r="KHD3" s="7"/>
      <c r="KHE3" s="7"/>
      <c r="KHF3" s="7"/>
      <c r="KHG3" s="7"/>
      <c r="KHH3" s="7"/>
      <c r="KHI3" s="7"/>
      <c r="KHJ3" s="7"/>
      <c r="KHK3" s="7"/>
      <c r="KHL3" s="7"/>
      <c r="KHM3" s="7"/>
      <c r="KHN3" s="7"/>
      <c r="KHO3" s="7"/>
      <c r="KHP3" s="7"/>
      <c r="KHQ3" s="7"/>
      <c r="KHR3" s="7"/>
      <c r="KHS3" s="7"/>
      <c r="KHT3" s="7"/>
      <c r="KHU3" s="7"/>
      <c r="KHV3" s="7"/>
      <c r="KHW3" s="7"/>
      <c r="KHX3" s="7"/>
      <c r="KHY3" s="7"/>
      <c r="KHZ3" s="7"/>
      <c r="KIA3" s="7"/>
      <c r="KIB3" s="7"/>
      <c r="KIC3" s="7"/>
      <c r="KID3" s="7"/>
      <c r="KIE3" s="7"/>
      <c r="KIF3" s="7"/>
      <c r="KIG3" s="7"/>
      <c r="KIH3" s="7"/>
      <c r="KII3" s="7"/>
      <c r="KIJ3" s="7"/>
      <c r="KIK3" s="7"/>
      <c r="KIL3" s="7"/>
      <c r="KIM3" s="7"/>
      <c r="KIN3" s="7"/>
      <c r="KIO3" s="7"/>
      <c r="KIP3" s="7"/>
      <c r="KIQ3" s="7"/>
      <c r="KIR3" s="7"/>
      <c r="KIS3" s="7"/>
      <c r="KIT3" s="7"/>
      <c r="KIU3" s="7"/>
      <c r="KIV3" s="7"/>
      <c r="KIW3" s="7"/>
      <c r="KIX3" s="7"/>
      <c r="KIY3" s="7"/>
      <c r="KIZ3" s="7"/>
      <c r="KJA3" s="7"/>
      <c r="KJB3" s="7"/>
      <c r="KJC3" s="7"/>
      <c r="KJD3" s="7"/>
      <c r="KJE3" s="7"/>
      <c r="KJF3" s="7"/>
      <c r="KJG3" s="7"/>
      <c r="KJH3" s="7"/>
      <c r="KJI3" s="7"/>
      <c r="KJJ3" s="7"/>
      <c r="KJK3" s="7"/>
      <c r="KJL3" s="7"/>
      <c r="KJM3" s="7"/>
      <c r="KJN3" s="7"/>
      <c r="KJO3" s="7"/>
      <c r="KJP3" s="7"/>
      <c r="KJQ3" s="7"/>
      <c r="KJR3" s="7"/>
      <c r="KJS3" s="7"/>
      <c r="KJT3" s="7"/>
      <c r="KJU3" s="7"/>
      <c r="KJV3" s="7"/>
      <c r="KJW3" s="7"/>
      <c r="KJX3" s="7"/>
      <c r="KJY3" s="7"/>
      <c r="KJZ3" s="7"/>
      <c r="KKA3" s="7"/>
      <c r="KKB3" s="7"/>
      <c r="KKC3" s="7"/>
      <c r="KKD3" s="7"/>
      <c r="KKE3" s="7"/>
      <c r="KKF3" s="7"/>
      <c r="KKG3" s="7"/>
      <c r="KKH3" s="7"/>
      <c r="KKI3" s="7"/>
      <c r="KKJ3" s="7"/>
      <c r="KKK3" s="7"/>
      <c r="KKL3" s="7"/>
      <c r="KKM3" s="7"/>
      <c r="KKN3" s="7"/>
      <c r="KKO3" s="7"/>
      <c r="KKP3" s="7"/>
      <c r="KKQ3" s="7"/>
      <c r="KKR3" s="7"/>
      <c r="KKS3" s="7"/>
      <c r="KKT3" s="7"/>
      <c r="KKU3" s="7"/>
      <c r="KKV3" s="7"/>
      <c r="KKW3" s="7"/>
      <c r="KKX3" s="7"/>
      <c r="KKY3" s="7"/>
      <c r="KKZ3" s="7"/>
      <c r="KLA3" s="7"/>
      <c r="KLB3" s="7"/>
      <c r="KLC3" s="7"/>
      <c r="KLD3" s="7"/>
      <c r="KLE3" s="7"/>
      <c r="KLF3" s="7"/>
      <c r="KLG3" s="7"/>
      <c r="KLH3" s="7"/>
      <c r="KLI3" s="7"/>
      <c r="KLJ3" s="7"/>
      <c r="KLK3" s="7"/>
      <c r="KLL3" s="7"/>
      <c r="KLM3" s="7"/>
      <c r="KLN3" s="7"/>
      <c r="KLO3" s="7"/>
      <c r="KLP3" s="7"/>
      <c r="KLQ3" s="7"/>
      <c r="KLR3" s="7"/>
      <c r="KLS3" s="7"/>
      <c r="KLT3" s="7"/>
      <c r="KLU3" s="7"/>
      <c r="KLV3" s="7"/>
      <c r="KLW3" s="7"/>
      <c r="KLX3" s="7"/>
      <c r="KLY3" s="7"/>
      <c r="KLZ3" s="7"/>
      <c r="KMA3" s="7"/>
      <c r="KMB3" s="7"/>
      <c r="KMC3" s="7"/>
      <c r="KMD3" s="7"/>
      <c r="KME3" s="7"/>
      <c r="KMF3" s="7"/>
      <c r="KMG3" s="7"/>
      <c r="KMH3" s="7"/>
      <c r="KMI3" s="7"/>
      <c r="KMJ3" s="7"/>
      <c r="KMK3" s="7"/>
      <c r="KML3" s="7"/>
      <c r="KMM3" s="7"/>
      <c r="KMN3" s="7"/>
      <c r="KMO3" s="7"/>
      <c r="KMP3" s="7"/>
      <c r="KMQ3" s="7"/>
      <c r="KMR3" s="7"/>
      <c r="KMS3" s="7"/>
      <c r="KMT3" s="7"/>
      <c r="KMU3" s="7"/>
      <c r="KMV3" s="7"/>
      <c r="KMW3" s="7"/>
      <c r="KMX3" s="7"/>
      <c r="KMY3" s="7"/>
      <c r="KMZ3" s="7"/>
      <c r="KNA3" s="7"/>
      <c r="KNB3" s="7"/>
      <c r="KNC3" s="7"/>
      <c r="KND3" s="7"/>
      <c r="KNE3" s="7"/>
      <c r="KNF3" s="7"/>
      <c r="KNG3" s="7"/>
      <c r="KNH3" s="7"/>
      <c r="KNI3" s="7"/>
      <c r="KNJ3" s="7"/>
      <c r="KNK3" s="7"/>
      <c r="KNL3" s="7"/>
      <c r="KNM3" s="7"/>
      <c r="KNN3" s="7"/>
      <c r="KNO3" s="7"/>
      <c r="KNP3" s="7"/>
      <c r="KNQ3" s="7"/>
      <c r="KNR3" s="7"/>
      <c r="KNS3" s="7"/>
      <c r="KNT3" s="7"/>
      <c r="KNU3" s="7"/>
      <c r="KNV3" s="7"/>
      <c r="KNW3" s="7"/>
      <c r="KNX3" s="7"/>
      <c r="KNY3" s="7"/>
      <c r="KNZ3" s="7"/>
      <c r="KOA3" s="7"/>
      <c r="KOB3" s="7"/>
      <c r="KOC3" s="7"/>
      <c r="KOD3" s="7"/>
      <c r="KOE3" s="7"/>
      <c r="KOF3" s="7"/>
      <c r="KOG3" s="7"/>
      <c r="KOH3" s="7"/>
      <c r="KOI3" s="7"/>
      <c r="KOJ3" s="7"/>
      <c r="KOK3" s="7"/>
      <c r="KOL3" s="7"/>
      <c r="KOM3" s="7"/>
      <c r="KON3" s="7"/>
      <c r="KOO3" s="7"/>
      <c r="KOP3" s="7"/>
      <c r="KOQ3" s="7"/>
      <c r="KOR3" s="7"/>
      <c r="KOS3" s="7"/>
      <c r="KOT3" s="7"/>
      <c r="KOU3" s="7"/>
      <c r="KOV3" s="7"/>
      <c r="KOW3" s="7"/>
      <c r="KOX3" s="7"/>
      <c r="KOY3" s="7"/>
      <c r="KOZ3" s="7"/>
      <c r="KPA3" s="7"/>
      <c r="KPB3" s="7"/>
      <c r="KPC3" s="7"/>
      <c r="KPD3" s="7"/>
      <c r="KPE3" s="7"/>
      <c r="KPF3" s="7"/>
      <c r="KPG3" s="7"/>
      <c r="KPH3" s="7"/>
      <c r="KPI3" s="7"/>
      <c r="KPJ3" s="7"/>
      <c r="KPK3" s="7"/>
      <c r="KPL3" s="7"/>
      <c r="KPM3" s="7"/>
      <c r="KPN3" s="7"/>
      <c r="KPO3" s="7"/>
      <c r="KPP3" s="7"/>
      <c r="KPQ3" s="7"/>
      <c r="KPR3" s="7"/>
      <c r="KPS3" s="7"/>
      <c r="KPT3" s="7"/>
      <c r="KPU3" s="7"/>
      <c r="KPV3" s="7"/>
      <c r="KPW3" s="7"/>
      <c r="KPX3" s="7"/>
      <c r="KPY3" s="7"/>
      <c r="KPZ3" s="7"/>
      <c r="KQA3" s="7"/>
      <c r="KQB3" s="7"/>
      <c r="KQC3" s="7"/>
      <c r="KQD3" s="7"/>
      <c r="KQE3" s="7"/>
      <c r="KQF3" s="7"/>
      <c r="KQG3" s="7"/>
      <c r="KQH3" s="7"/>
      <c r="KQI3" s="7"/>
      <c r="KQJ3" s="7"/>
      <c r="KQK3" s="7"/>
      <c r="KQL3" s="7"/>
      <c r="KQM3" s="7"/>
      <c r="KQN3" s="7"/>
      <c r="KQO3" s="7"/>
      <c r="KQP3" s="7"/>
      <c r="KQQ3" s="7"/>
      <c r="KQR3" s="7"/>
      <c r="KQS3" s="7"/>
      <c r="KQT3" s="7"/>
      <c r="KQU3" s="7"/>
      <c r="KQV3" s="7"/>
      <c r="KQW3" s="7"/>
      <c r="KQX3" s="7"/>
      <c r="KQY3" s="7"/>
      <c r="KQZ3" s="7"/>
      <c r="KRA3" s="7"/>
      <c r="KRB3" s="7"/>
      <c r="KRC3" s="7"/>
      <c r="KRD3" s="7"/>
      <c r="KRE3" s="7"/>
      <c r="KRF3" s="7"/>
      <c r="KRG3" s="7"/>
      <c r="KRH3" s="7"/>
      <c r="KRI3" s="7"/>
      <c r="KRJ3" s="7"/>
      <c r="KRK3" s="7"/>
      <c r="KRL3" s="7"/>
      <c r="KRM3" s="7"/>
      <c r="KRN3" s="7"/>
      <c r="KRO3" s="7"/>
      <c r="KRP3" s="7"/>
      <c r="KRQ3" s="7"/>
      <c r="KRR3" s="7"/>
      <c r="KRS3" s="7"/>
      <c r="KRT3" s="7"/>
      <c r="KRU3" s="7"/>
      <c r="KRV3" s="7"/>
      <c r="KRW3" s="7"/>
      <c r="KRX3" s="7"/>
      <c r="KRY3" s="7"/>
      <c r="KRZ3" s="7"/>
      <c r="KSA3" s="7"/>
      <c r="KSB3" s="7"/>
      <c r="KSC3" s="7"/>
      <c r="KSD3" s="7"/>
      <c r="KSE3" s="7"/>
      <c r="KSF3" s="7"/>
      <c r="KSG3" s="7"/>
      <c r="KSH3" s="7"/>
      <c r="KSI3" s="7"/>
      <c r="KSJ3" s="7"/>
      <c r="KSK3" s="7"/>
      <c r="KSL3" s="7"/>
      <c r="KSM3" s="7"/>
      <c r="KSN3" s="7"/>
      <c r="KSO3" s="7"/>
      <c r="KSP3" s="7"/>
      <c r="KSQ3" s="7"/>
      <c r="KSR3" s="7"/>
      <c r="KSS3" s="7"/>
      <c r="KST3" s="7"/>
      <c r="KSU3" s="7"/>
      <c r="KSV3" s="7"/>
      <c r="KSW3" s="7"/>
      <c r="KSX3" s="7"/>
      <c r="KSY3" s="7"/>
      <c r="KSZ3" s="7"/>
      <c r="KTA3" s="7"/>
      <c r="KTB3" s="7"/>
      <c r="KTC3" s="7"/>
      <c r="KTD3" s="7"/>
      <c r="KTE3" s="7"/>
      <c r="KTF3" s="7"/>
      <c r="KTG3" s="7"/>
      <c r="KTH3" s="7"/>
      <c r="KTI3" s="7"/>
      <c r="KTJ3" s="7"/>
      <c r="KTK3" s="7"/>
      <c r="KTL3" s="7"/>
      <c r="KTM3" s="7"/>
      <c r="KTN3" s="7"/>
      <c r="KTO3" s="7"/>
      <c r="KTP3" s="7"/>
      <c r="KTQ3" s="7"/>
      <c r="KTR3" s="7"/>
      <c r="KTS3" s="7"/>
      <c r="KTT3" s="7"/>
      <c r="KTU3" s="7"/>
      <c r="KTV3" s="7"/>
      <c r="KTW3" s="7"/>
      <c r="KTX3" s="7"/>
      <c r="KTY3" s="7"/>
      <c r="KTZ3" s="7"/>
      <c r="KUA3" s="7"/>
      <c r="KUB3" s="7"/>
      <c r="KUC3" s="7"/>
      <c r="KUD3" s="7"/>
      <c r="KUE3" s="7"/>
      <c r="KUF3" s="7"/>
      <c r="KUG3" s="7"/>
      <c r="KUH3" s="7"/>
      <c r="KUI3" s="7"/>
      <c r="KUJ3" s="7"/>
      <c r="KUK3" s="7"/>
      <c r="KUL3" s="7"/>
      <c r="KUM3" s="7"/>
      <c r="KUN3" s="7"/>
      <c r="KUO3" s="7"/>
      <c r="KUP3" s="7"/>
      <c r="KUQ3" s="7"/>
      <c r="KUR3" s="7"/>
      <c r="KUS3" s="7"/>
      <c r="KUT3" s="7"/>
      <c r="KUU3" s="7"/>
      <c r="KUV3" s="7"/>
      <c r="KUW3" s="7"/>
      <c r="KUX3" s="7"/>
      <c r="KUY3" s="7"/>
      <c r="KUZ3" s="7"/>
      <c r="KVA3" s="7"/>
      <c r="KVB3" s="7"/>
      <c r="KVC3" s="7"/>
      <c r="KVD3" s="7"/>
      <c r="KVE3" s="7"/>
      <c r="KVF3" s="7"/>
      <c r="KVG3" s="7"/>
      <c r="KVH3" s="7"/>
      <c r="KVI3" s="7"/>
      <c r="KVJ3" s="7"/>
      <c r="KVK3" s="7"/>
      <c r="KVL3" s="7"/>
      <c r="KVM3" s="7"/>
      <c r="KVN3" s="7"/>
      <c r="KVO3" s="7"/>
      <c r="KVP3" s="7"/>
      <c r="KVQ3" s="7"/>
      <c r="KVR3" s="7"/>
      <c r="KVS3" s="7"/>
      <c r="KVT3" s="7"/>
      <c r="KVU3" s="7"/>
      <c r="KVV3" s="7"/>
      <c r="KVW3" s="7"/>
      <c r="KVX3" s="7"/>
      <c r="KVY3" s="7"/>
      <c r="KVZ3" s="7"/>
      <c r="KWA3" s="7"/>
      <c r="KWB3" s="7"/>
      <c r="KWC3" s="7"/>
      <c r="KWD3" s="7"/>
      <c r="KWE3" s="7"/>
      <c r="KWF3" s="7"/>
      <c r="KWG3" s="7"/>
      <c r="KWH3" s="7"/>
      <c r="KWI3" s="7"/>
      <c r="KWJ3" s="7"/>
      <c r="KWK3" s="7"/>
      <c r="KWL3" s="7"/>
      <c r="KWM3" s="7"/>
      <c r="KWN3" s="7"/>
      <c r="KWO3" s="7"/>
      <c r="KWP3" s="7"/>
      <c r="KWQ3" s="7"/>
      <c r="KWR3" s="7"/>
      <c r="KWS3" s="7"/>
      <c r="KWT3" s="7"/>
      <c r="KWU3" s="7"/>
      <c r="KWV3" s="7"/>
      <c r="KWW3" s="7"/>
      <c r="KWX3" s="7"/>
      <c r="KWY3" s="7"/>
      <c r="KWZ3" s="7"/>
      <c r="KXA3" s="7"/>
      <c r="KXB3" s="7"/>
      <c r="KXC3" s="7"/>
      <c r="KXD3" s="7"/>
      <c r="KXE3" s="7"/>
      <c r="KXF3" s="7"/>
      <c r="KXG3" s="7"/>
      <c r="KXH3" s="7"/>
      <c r="KXI3" s="7"/>
      <c r="KXJ3" s="7"/>
      <c r="KXK3" s="7"/>
      <c r="KXL3" s="7"/>
      <c r="KXM3" s="7"/>
      <c r="KXN3" s="7"/>
      <c r="KXO3" s="7"/>
      <c r="KXP3" s="7"/>
      <c r="KXQ3" s="7"/>
      <c r="KXR3" s="7"/>
      <c r="KXS3" s="7"/>
      <c r="KXT3" s="7"/>
      <c r="KXU3" s="7"/>
      <c r="KXV3" s="7"/>
      <c r="KXW3" s="7"/>
      <c r="KXX3" s="7"/>
      <c r="KXY3" s="7"/>
      <c r="KXZ3" s="7"/>
      <c r="KYA3" s="7"/>
      <c r="KYB3" s="7"/>
      <c r="KYC3" s="7"/>
      <c r="KYD3" s="7"/>
      <c r="KYE3" s="7"/>
      <c r="KYF3" s="7"/>
      <c r="KYG3" s="7"/>
      <c r="KYH3" s="7"/>
      <c r="KYI3" s="7"/>
      <c r="KYJ3" s="7"/>
      <c r="KYK3" s="7"/>
      <c r="KYL3" s="7"/>
      <c r="KYM3" s="7"/>
      <c r="KYN3" s="7"/>
      <c r="KYO3" s="7"/>
      <c r="KYP3" s="7"/>
      <c r="KYQ3" s="7"/>
      <c r="KYR3" s="7"/>
      <c r="KYS3" s="7"/>
      <c r="KYT3" s="7"/>
      <c r="KYU3" s="7"/>
      <c r="KYV3" s="7"/>
      <c r="KYW3" s="7"/>
      <c r="KYX3" s="7"/>
      <c r="KYY3" s="7"/>
      <c r="KYZ3" s="7"/>
      <c r="KZA3" s="7"/>
      <c r="KZB3" s="7"/>
      <c r="KZC3" s="7"/>
      <c r="KZD3" s="7"/>
      <c r="KZE3" s="7"/>
      <c r="KZF3" s="7"/>
      <c r="KZG3" s="7"/>
      <c r="KZH3" s="7"/>
      <c r="KZI3" s="7"/>
      <c r="KZJ3" s="7"/>
      <c r="KZK3" s="7"/>
      <c r="KZL3" s="7"/>
      <c r="KZM3" s="7"/>
      <c r="KZN3" s="7"/>
      <c r="KZO3" s="7"/>
      <c r="KZP3" s="7"/>
      <c r="KZQ3" s="7"/>
      <c r="KZR3" s="7"/>
      <c r="KZS3" s="7"/>
      <c r="KZT3" s="7"/>
      <c r="KZU3" s="7"/>
      <c r="KZV3" s="7"/>
      <c r="KZW3" s="7"/>
      <c r="KZX3" s="7"/>
      <c r="KZY3" s="7"/>
      <c r="KZZ3" s="7"/>
      <c r="LAA3" s="7"/>
      <c r="LAB3" s="7"/>
      <c r="LAC3" s="7"/>
      <c r="LAD3" s="7"/>
      <c r="LAE3" s="7"/>
      <c r="LAF3" s="7"/>
      <c r="LAG3" s="7"/>
      <c r="LAH3" s="7"/>
      <c r="LAI3" s="7"/>
      <c r="LAJ3" s="7"/>
      <c r="LAK3" s="7"/>
      <c r="LAL3" s="7"/>
      <c r="LAM3" s="7"/>
      <c r="LAN3" s="7"/>
      <c r="LAO3" s="7"/>
      <c r="LAP3" s="7"/>
      <c r="LAQ3" s="7"/>
      <c r="LAR3" s="7"/>
      <c r="LAS3" s="7"/>
      <c r="LAT3" s="7"/>
      <c r="LAU3" s="7"/>
      <c r="LAV3" s="7"/>
      <c r="LAW3" s="7"/>
      <c r="LAX3" s="7"/>
      <c r="LAY3" s="7"/>
      <c r="LAZ3" s="7"/>
      <c r="LBA3" s="7"/>
      <c r="LBB3" s="7"/>
      <c r="LBC3" s="7"/>
      <c r="LBD3" s="7"/>
      <c r="LBE3" s="7"/>
      <c r="LBF3" s="7"/>
      <c r="LBG3" s="7"/>
      <c r="LBH3" s="7"/>
      <c r="LBI3" s="7"/>
      <c r="LBJ3" s="7"/>
      <c r="LBK3" s="7"/>
      <c r="LBL3" s="7"/>
      <c r="LBM3" s="7"/>
      <c r="LBN3" s="7"/>
      <c r="LBO3" s="7"/>
      <c r="LBP3" s="7"/>
      <c r="LBQ3" s="7"/>
      <c r="LBR3" s="7"/>
      <c r="LBS3" s="7"/>
      <c r="LBT3" s="7"/>
      <c r="LBU3" s="7"/>
      <c r="LBV3" s="7"/>
      <c r="LBW3" s="7"/>
      <c r="LBX3" s="7"/>
      <c r="LBY3" s="7"/>
      <c r="LBZ3" s="7"/>
      <c r="LCA3" s="7"/>
      <c r="LCB3" s="7"/>
      <c r="LCC3" s="7"/>
      <c r="LCD3" s="7"/>
      <c r="LCE3" s="7"/>
      <c r="LCF3" s="7"/>
      <c r="LCG3" s="7"/>
      <c r="LCH3" s="7"/>
      <c r="LCI3" s="7"/>
      <c r="LCJ3" s="7"/>
      <c r="LCK3" s="7"/>
      <c r="LCL3" s="7"/>
      <c r="LCM3" s="7"/>
      <c r="LCN3" s="7"/>
      <c r="LCO3" s="7"/>
      <c r="LCP3" s="7"/>
      <c r="LCQ3" s="7"/>
      <c r="LCR3" s="7"/>
      <c r="LCS3" s="7"/>
      <c r="LCT3" s="7"/>
      <c r="LCU3" s="7"/>
      <c r="LCV3" s="7"/>
      <c r="LCW3" s="7"/>
      <c r="LCX3" s="7"/>
      <c r="LCY3" s="7"/>
      <c r="LCZ3" s="7"/>
      <c r="LDA3" s="7"/>
      <c r="LDB3" s="7"/>
      <c r="LDC3" s="7"/>
      <c r="LDD3" s="7"/>
      <c r="LDE3" s="7"/>
      <c r="LDF3" s="7"/>
      <c r="LDG3" s="7"/>
      <c r="LDH3" s="7"/>
      <c r="LDI3" s="7"/>
      <c r="LDJ3" s="7"/>
      <c r="LDK3" s="7"/>
      <c r="LDL3" s="7"/>
      <c r="LDM3" s="7"/>
      <c r="LDN3" s="7"/>
      <c r="LDO3" s="7"/>
      <c r="LDP3" s="7"/>
      <c r="LDQ3" s="7"/>
      <c r="LDR3" s="7"/>
      <c r="LDS3" s="7"/>
      <c r="LDT3" s="7"/>
      <c r="LDU3" s="7"/>
      <c r="LDV3" s="7"/>
      <c r="LDW3" s="7"/>
      <c r="LDX3" s="7"/>
      <c r="LDY3" s="7"/>
      <c r="LDZ3" s="7"/>
      <c r="LEA3" s="7"/>
      <c r="LEB3" s="7"/>
      <c r="LEC3" s="7"/>
      <c r="LED3" s="7"/>
      <c r="LEE3" s="7"/>
      <c r="LEF3" s="7"/>
      <c r="LEG3" s="7"/>
      <c r="LEH3" s="7"/>
      <c r="LEI3" s="7"/>
      <c r="LEJ3" s="7"/>
      <c r="LEK3" s="7"/>
      <c r="LEL3" s="7"/>
      <c r="LEM3" s="7"/>
      <c r="LEN3" s="7"/>
      <c r="LEO3" s="7"/>
      <c r="LEP3" s="7"/>
      <c r="LEQ3" s="7"/>
      <c r="LER3" s="7"/>
      <c r="LES3" s="7"/>
      <c r="LET3" s="7"/>
      <c r="LEU3" s="7"/>
      <c r="LEV3" s="7"/>
      <c r="LEW3" s="7"/>
      <c r="LEX3" s="7"/>
      <c r="LEY3" s="7"/>
      <c r="LEZ3" s="7"/>
      <c r="LFA3" s="7"/>
      <c r="LFB3" s="7"/>
      <c r="LFC3" s="7"/>
      <c r="LFD3" s="7"/>
      <c r="LFE3" s="7"/>
      <c r="LFF3" s="7"/>
      <c r="LFG3" s="7"/>
      <c r="LFH3" s="7"/>
      <c r="LFI3" s="7"/>
      <c r="LFJ3" s="7"/>
      <c r="LFK3" s="7"/>
      <c r="LFL3" s="7"/>
      <c r="LFM3" s="7"/>
      <c r="LFN3" s="7"/>
      <c r="LFO3" s="7"/>
      <c r="LFP3" s="7"/>
      <c r="LFQ3" s="7"/>
      <c r="LFR3" s="7"/>
      <c r="LFS3" s="7"/>
      <c r="LFT3" s="7"/>
      <c r="LFU3" s="7"/>
      <c r="LFV3" s="7"/>
      <c r="LFW3" s="7"/>
      <c r="LFX3" s="7"/>
      <c r="LFY3" s="7"/>
      <c r="LFZ3" s="7"/>
      <c r="LGA3" s="7"/>
      <c r="LGB3" s="7"/>
      <c r="LGC3" s="7"/>
      <c r="LGD3" s="7"/>
      <c r="LGE3" s="7"/>
      <c r="LGF3" s="7"/>
      <c r="LGG3" s="7"/>
      <c r="LGH3" s="7"/>
      <c r="LGI3" s="7"/>
      <c r="LGJ3" s="7"/>
      <c r="LGK3" s="7"/>
      <c r="LGL3" s="7"/>
      <c r="LGM3" s="7"/>
      <c r="LGN3" s="7"/>
      <c r="LGO3" s="7"/>
      <c r="LGP3" s="7"/>
      <c r="LGQ3" s="7"/>
      <c r="LGR3" s="7"/>
      <c r="LGS3" s="7"/>
      <c r="LGT3" s="7"/>
      <c r="LGU3" s="7"/>
      <c r="LGV3" s="7"/>
      <c r="LGW3" s="7"/>
      <c r="LGX3" s="7"/>
      <c r="LGY3" s="7"/>
      <c r="LGZ3" s="7"/>
      <c r="LHA3" s="7"/>
      <c r="LHB3" s="7"/>
      <c r="LHC3" s="7"/>
      <c r="LHD3" s="7"/>
      <c r="LHE3" s="7"/>
      <c r="LHF3" s="7"/>
      <c r="LHG3" s="7"/>
      <c r="LHH3" s="7"/>
      <c r="LHI3" s="7"/>
      <c r="LHJ3" s="7"/>
      <c r="LHK3" s="7"/>
      <c r="LHL3" s="7"/>
      <c r="LHM3" s="7"/>
      <c r="LHN3" s="7"/>
      <c r="LHO3" s="7"/>
      <c r="LHP3" s="7"/>
      <c r="LHQ3" s="7"/>
      <c r="LHR3" s="7"/>
      <c r="LHS3" s="7"/>
      <c r="LHT3" s="7"/>
      <c r="LHU3" s="7"/>
      <c r="LHV3" s="7"/>
      <c r="LHW3" s="7"/>
      <c r="LHX3" s="7"/>
      <c r="LHY3" s="7"/>
      <c r="LHZ3" s="7"/>
      <c r="LIA3" s="7"/>
      <c r="LIB3" s="7"/>
      <c r="LIC3" s="7"/>
      <c r="LID3" s="7"/>
      <c r="LIE3" s="7"/>
      <c r="LIF3" s="7"/>
      <c r="LIG3" s="7"/>
      <c r="LIH3" s="7"/>
      <c r="LII3" s="7"/>
      <c r="LIJ3" s="7"/>
      <c r="LIK3" s="7"/>
      <c r="LIL3" s="7"/>
      <c r="LIM3" s="7"/>
      <c r="LIN3" s="7"/>
      <c r="LIO3" s="7"/>
      <c r="LIP3" s="7"/>
      <c r="LIQ3" s="7"/>
      <c r="LIR3" s="7"/>
      <c r="LIS3" s="7"/>
      <c r="LIT3" s="7"/>
      <c r="LIU3" s="7"/>
      <c r="LIV3" s="7"/>
      <c r="LIW3" s="7"/>
      <c r="LIX3" s="7"/>
      <c r="LIY3" s="7"/>
      <c r="LIZ3" s="7"/>
      <c r="LJA3" s="7"/>
      <c r="LJB3" s="7"/>
      <c r="LJC3" s="7"/>
      <c r="LJD3" s="7"/>
      <c r="LJE3" s="7"/>
      <c r="LJF3" s="7"/>
      <c r="LJG3" s="7"/>
      <c r="LJH3" s="7"/>
      <c r="LJI3" s="7"/>
      <c r="LJJ3" s="7"/>
      <c r="LJK3" s="7"/>
      <c r="LJL3" s="7"/>
      <c r="LJM3" s="7"/>
      <c r="LJN3" s="7"/>
      <c r="LJO3" s="7"/>
      <c r="LJP3" s="7"/>
      <c r="LJQ3" s="7"/>
      <c r="LJR3" s="7"/>
      <c r="LJS3" s="7"/>
      <c r="LJT3" s="7"/>
      <c r="LJU3" s="7"/>
      <c r="LJV3" s="7"/>
      <c r="LJW3" s="7"/>
      <c r="LJX3" s="7"/>
      <c r="LJY3" s="7"/>
      <c r="LJZ3" s="7"/>
      <c r="LKA3" s="7"/>
      <c r="LKB3" s="7"/>
      <c r="LKC3" s="7"/>
      <c r="LKD3" s="7"/>
      <c r="LKE3" s="7"/>
      <c r="LKF3" s="7"/>
      <c r="LKG3" s="7"/>
      <c r="LKH3" s="7"/>
      <c r="LKI3" s="7"/>
      <c r="LKJ3" s="7"/>
      <c r="LKK3" s="7"/>
      <c r="LKL3" s="7"/>
      <c r="LKM3" s="7"/>
      <c r="LKN3" s="7"/>
      <c r="LKO3" s="7"/>
      <c r="LKP3" s="7"/>
      <c r="LKQ3" s="7"/>
      <c r="LKR3" s="7"/>
      <c r="LKS3" s="7"/>
      <c r="LKT3" s="7"/>
      <c r="LKU3" s="7"/>
      <c r="LKV3" s="7"/>
      <c r="LKW3" s="7"/>
      <c r="LKX3" s="7"/>
      <c r="LKY3" s="7"/>
      <c r="LKZ3" s="7"/>
      <c r="LLA3" s="7"/>
      <c r="LLB3" s="7"/>
      <c r="LLC3" s="7"/>
      <c r="LLD3" s="7"/>
      <c r="LLE3" s="7"/>
      <c r="LLF3" s="7"/>
      <c r="LLG3" s="7"/>
      <c r="LLH3" s="7"/>
      <c r="LLI3" s="7"/>
      <c r="LLJ3" s="7"/>
      <c r="LLK3" s="7"/>
      <c r="LLL3" s="7"/>
      <c r="LLM3" s="7"/>
      <c r="LLN3" s="7"/>
      <c r="LLO3" s="7"/>
      <c r="LLP3" s="7"/>
      <c r="LLQ3" s="7"/>
      <c r="LLR3" s="7"/>
      <c r="LLS3" s="7"/>
      <c r="LLT3" s="7"/>
      <c r="LLU3" s="7"/>
      <c r="LLV3" s="7"/>
      <c r="LLW3" s="7"/>
      <c r="LLX3" s="7"/>
      <c r="LLY3" s="7"/>
      <c r="LLZ3" s="7"/>
      <c r="LMA3" s="7"/>
      <c r="LMB3" s="7"/>
      <c r="LMC3" s="7"/>
      <c r="LMD3" s="7"/>
      <c r="LME3" s="7"/>
      <c r="LMF3" s="7"/>
      <c r="LMG3" s="7"/>
      <c r="LMH3" s="7"/>
      <c r="LMI3" s="7"/>
      <c r="LMJ3" s="7"/>
      <c r="LMK3" s="7"/>
      <c r="LML3" s="7"/>
      <c r="LMM3" s="7"/>
      <c r="LMN3" s="7"/>
      <c r="LMO3" s="7"/>
      <c r="LMP3" s="7"/>
      <c r="LMQ3" s="7"/>
      <c r="LMR3" s="7"/>
      <c r="LMS3" s="7"/>
      <c r="LMT3" s="7"/>
      <c r="LMU3" s="7"/>
      <c r="LMV3" s="7"/>
      <c r="LMW3" s="7"/>
      <c r="LMX3" s="7"/>
      <c r="LMY3" s="7"/>
      <c r="LMZ3" s="7"/>
      <c r="LNA3" s="7"/>
      <c r="LNB3" s="7"/>
      <c r="LNC3" s="7"/>
      <c r="LND3" s="7"/>
      <c r="LNE3" s="7"/>
      <c r="LNF3" s="7"/>
      <c r="LNG3" s="7"/>
      <c r="LNH3" s="7"/>
      <c r="LNI3" s="7"/>
      <c r="LNJ3" s="7"/>
      <c r="LNK3" s="7"/>
      <c r="LNL3" s="7"/>
      <c r="LNM3" s="7"/>
      <c r="LNN3" s="7"/>
      <c r="LNO3" s="7"/>
      <c r="LNP3" s="7"/>
      <c r="LNQ3" s="7"/>
      <c r="LNR3" s="7"/>
      <c r="LNS3" s="7"/>
      <c r="LNT3" s="7"/>
      <c r="LNU3" s="7"/>
      <c r="LNV3" s="7"/>
      <c r="LNW3" s="7"/>
      <c r="LNX3" s="7"/>
      <c r="LNY3" s="7"/>
      <c r="LNZ3" s="7"/>
      <c r="LOA3" s="7"/>
      <c r="LOB3" s="7"/>
      <c r="LOC3" s="7"/>
      <c r="LOD3" s="7"/>
      <c r="LOE3" s="7"/>
      <c r="LOF3" s="7"/>
      <c r="LOG3" s="7"/>
      <c r="LOH3" s="7"/>
      <c r="LOI3" s="7"/>
      <c r="LOJ3" s="7"/>
      <c r="LOK3" s="7"/>
      <c r="LOL3" s="7"/>
      <c r="LOM3" s="7"/>
      <c r="LON3" s="7"/>
      <c r="LOO3" s="7"/>
      <c r="LOP3" s="7"/>
      <c r="LOQ3" s="7"/>
      <c r="LOR3" s="7"/>
      <c r="LOS3" s="7"/>
      <c r="LOT3" s="7"/>
      <c r="LOU3" s="7"/>
      <c r="LOV3" s="7"/>
      <c r="LOW3" s="7"/>
      <c r="LOX3" s="7"/>
      <c r="LOY3" s="7"/>
      <c r="LOZ3" s="7"/>
      <c r="LPA3" s="7"/>
      <c r="LPB3" s="7"/>
      <c r="LPC3" s="7"/>
      <c r="LPD3" s="7"/>
      <c r="LPE3" s="7"/>
      <c r="LPF3" s="7"/>
      <c r="LPG3" s="7"/>
      <c r="LPH3" s="7"/>
      <c r="LPI3" s="7"/>
      <c r="LPJ3" s="7"/>
      <c r="LPK3" s="7"/>
      <c r="LPL3" s="7"/>
      <c r="LPM3" s="7"/>
      <c r="LPN3" s="7"/>
      <c r="LPO3" s="7"/>
      <c r="LPP3" s="7"/>
      <c r="LPQ3" s="7"/>
      <c r="LPR3" s="7"/>
      <c r="LPS3" s="7"/>
      <c r="LPT3" s="7"/>
      <c r="LPU3" s="7"/>
      <c r="LPV3" s="7"/>
      <c r="LPW3" s="7"/>
      <c r="LPX3" s="7"/>
      <c r="LPY3" s="7"/>
      <c r="LPZ3" s="7"/>
      <c r="LQA3" s="7"/>
      <c r="LQB3" s="7"/>
      <c r="LQC3" s="7"/>
      <c r="LQD3" s="7"/>
      <c r="LQE3" s="7"/>
      <c r="LQF3" s="7"/>
      <c r="LQG3" s="7"/>
      <c r="LQH3" s="7"/>
      <c r="LQI3" s="7"/>
      <c r="LQJ3" s="7"/>
      <c r="LQK3" s="7"/>
      <c r="LQL3" s="7"/>
      <c r="LQM3" s="7"/>
      <c r="LQN3" s="7"/>
      <c r="LQO3" s="7"/>
      <c r="LQP3" s="7"/>
      <c r="LQQ3" s="7"/>
      <c r="LQR3" s="7"/>
      <c r="LQS3" s="7"/>
      <c r="LQT3" s="7"/>
      <c r="LQU3" s="7"/>
      <c r="LQV3" s="7"/>
      <c r="LQW3" s="7"/>
      <c r="LQX3" s="7"/>
      <c r="LQY3" s="7"/>
      <c r="LQZ3" s="7"/>
      <c r="LRA3" s="7"/>
      <c r="LRB3" s="7"/>
      <c r="LRC3" s="7"/>
      <c r="LRD3" s="7"/>
      <c r="LRE3" s="7"/>
      <c r="LRF3" s="7"/>
      <c r="LRG3" s="7"/>
      <c r="LRH3" s="7"/>
      <c r="LRI3" s="7"/>
      <c r="LRJ3" s="7"/>
      <c r="LRK3" s="7"/>
      <c r="LRL3" s="7"/>
      <c r="LRM3" s="7"/>
      <c r="LRN3" s="7"/>
      <c r="LRO3" s="7"/>
      <c r="LRP3" s="7"/>
      <c r="LRQ3" s="7"/>
      <c r="LRR3" s="7"/>
      <c r="LRS3" s="7"/>
      <c r="LRT3" s="7"/>
      <c r="LRU3" s="7"/>
      <c r="LRV3" s="7"/>
      <c r="LRW3" s="7"/>
      <c r="LRX3" s="7"/>
      <c r="LRY3" s="7"/>
      <c r="LRZ3" s="7"/>
      <c r="LSA3" s="7"/>
      <c r="LSB3" s="7"/>
      <c r="LSC3" s="7"/>
      <c r="LSD3" s="7"/>
      <c r="LSE3" s="7"/>
      <c r="LSF3" s="7"/>
      <c r="LSG3" s="7"/>
      <c r="LSH3" s="7"/>
      <c r="LSI3" s="7"/>
      <c r="LSJ3" s="7"/>
      <c r="LSK3" s="7"/>
      <c r="LSL3" s="7"/>
      <c r="LSM3" s="7"/>
      <c r="LSN3" s="7"/>
      <c r="LSO3" s="7"/>
      <c r="LSP3" s="7"/>
      <c r="LSQ3" s="7"/>
      <c r="LSR3" s="7"/>
      <c r="LSS3" s="7"/>
      <c r="LST3" s="7"/>
      <c r="LSU3" s="7"/>
      <c r="LSV3" s="7"/>
      <c r="LSW3" s="7"/>
      <c r="LSX3" s="7"/>
      <c r="LSY3" s="7"/>
      <c r="LSZ3" s="7"/>
      <c r="LTA3" s="7"/>
      <c r="LTB3" s="7"/>
      <c r="LTC3" s="7"/>
      <c r="LTD3" s="7"/>
      <c r="LTE3" s="7"/>
      <c r="LTF3" s="7"/>
      <c r="LTG3" s="7"/>
      <c r="LTH3" s="7"/>
      <c r="LTI3" s="7"/>
      <c r="LTJ3" s="7"/>
      <c r="LTK3" s="7"/>
      <c r="LTL3" s="7"/>
      <c r="LTM3" s="7"/>
      <c r="LTN3" s="7"/>
      <c r="LTO3" s="7"/>
      <c r="LTP3" s="7"/>
      <c r="LTQ3" s="7"/>
      <c r="LTR3" s="7"/>
      <c r="LTS3" s="7"/>
      <c r="LTT3" s="7"/>
      <c r="LTU3" s="7"/>
      <c r="LTV3" s="7"/>
      <c r="LTW3" s="7"/>
      <c r="LTX3" s="7"/>
      <c r="LTY3" s="7"/>
      <c r="LTZ3" s="7"/>
      <c r="LUA3" s="7"/>
      <c r="LUB3" s="7"/>
      <c r="LUC3" s="7"/>
      <c r="LUD3" s="7"/>
      <c r="LUE3" s="7"/>
      <c r="LUF3" s="7"/>
      <c r="LUG3" s="7"/>
      <c r="LUH3" s="7"/>
      <c r="LUI3" s="7"/>
      <c r="LUJ3" s="7"/>
      <c r="LUK3" s="7"/>
      <c r="LUL3" s="7"/>
      <c r="LUM3" s="7"/>
      <c r="LUN3" s="7"/>
      <c r="LUO3" s="7"/>
      <c r="LUP3" s="7"/>
      <c r="LUQ3" s="7"/>
      <c r="LUR3" s="7"/>
      <c r="LUS3" s="7"/>
      <c r="LUT3" s="7"/>
      <c r="LUU3" s="7"/>
      <c r="LUV3" s="7"/>
      <c r="LUW3" s="7"/>
      <c r="LUX3" s="7"/>
      <c r="LUY3" s="7"/>
      <c r="LUZ3" s="7"/>
      <c r="LVA3" s="7"/>
      <c r="LVB3" s="7"/>
      <c r="LVC3" s="7"/>
      <c r="LVD3" s="7"/>
      <c r="LVE3" s="7"/>
      <c r="LVF3" s="7"/>
      <c r="LVG3" s="7"/>
      <c r="LVH3" s="7"/>
      <c r="LVI3" s="7"/>
      <c r="LVJ3" s="7"/>
      <c r="LVK3" s="7"/>
      <c r="LVL3" s="7"/>
      <c r="LVM3" s="7"/>
      <c r="LVN3" s="7"/>
      <c r="LVO3" s="7"/>
      <c r="LVP3" s="7"/>
      <c r="LVQ3" s="7"/>
      <c r="LVR3" s="7"/>
      <c r="LVS3" s="7"/>
      <c r="LVT3" s="7"/>
      <c r="LVU3" s="7"/>
      <c r="LVV3" s="7"/>
      <c r="LVW3" s="7"/>
      <c r="LVX3" s="7"/>
      <c r="LVY3" s="7"/>
      <c r="LVZ3" s="7"/>
      <c r="LWA3" s="7"/>
      <c r="LWB3" s="7"/>
      <c r="LWC3" s="7"/>
      <c r="LWD3" s="7"/>
      <c r="LWE3" s="7"/>
      <c r="LWF3" s="7"/>
      <c r="LWG3" s="7"/>
      <c r="LWH3" s="7"/>
      <c r="LWI3" s="7"/>
      <c r="LWJ3" s="7"/>
      <c r="LWK3" s="7"/>
      <c r="LWL3" s="7"/>
      <c r="LWM3" s="7"/>
      <c r="LWN3" s="7"/>
      <c r="LWO3" s="7"/>
      <c r="LWP3" s="7"/>
      <c r="LWQ3" s="7"/>
      <c r="LWR3" s="7"/>
      <c r="LWS3" s="7"/>
      <c r="LWT3" s="7"/>
      <c r="LWU3" s="7"/>
      <c r="LWV3" s="7"/>
      <c r="LWW3" s="7"/>
      <c r="LWX3" s="7"/>
      <c r="LWY3" s="7"/>
      <c r="LWZ3" s="7"/>
      <c r="LXA3" s="7"/>
      <c r="LXB3" s="7"/>
      <c r="LXC3" s="7"/>
      <c r="LXD3" s="7"/>
      <c r="LXE3" s="7"/>
      <c r="LXF3" s="7"/>
      <c r="LXG3" s="7"/>
      <c r="LXH3" s="7"/>
      <c r="LXI3" s="7"/>
      <c r="LXJ3" s="7"/>
      <c r="LXK3" s="7"/>
      <c r="LXL3" s="7"/>
      <c r="LXM3" s="7"/>
      <c r="LXN3" s="7"/>
      <c r="LXO3" s="7"/>
      <c r="LXP3" s="7"/>
      <c r="LXQ3" s="7"/>
      <c r="LXR3" s="7"/>
      <c r="LXS3" s="7"/>
      <c r="LXT3" s="7"/>
      <c r="LXU3" s="7"/>
      <c r="LXV3" s="7"/>
      <c r="LXW3" s="7"/>
      <c r="LXX3" s="7"/>
      <c r="LXY3" s="7"/>
      <c r="LXZ3" s="7"/>
      <c r="LYA3" s="7"/>
      <c r="LYB3" s="7"/>
      <c r="LYC3" s="7"/>
      <c r="LYD3" s="7"/>
      <c r="LYE3" s="7"/>
      <c r="LYF3" s="7"/>
      <c r="LYG3" s="7"/>
      <c r="LYH3" s="7"/>
      <c r="LYI3" s="7"/>
      <c r="LYJ3" s="7"/>
      <c r="LYK3" s="7"/>
      <c r="LYL3" s="7"/>
      <c r="LYM3" s="7"/>
      <c r="LYN3" s="7"/>
      <c r="LYO3" s="7"/>
      <c r="LYP3" s="7"/>
      <c r="LYQ3" s="7"/>
      <c r="LYR3" s="7"/>
      <c r="LYS3" s="7"/>
      <c r="LYT3" s="7"/>
      <c r="LYU3" s="7"/>
      <c r="LYV3" s="7"/>
      <c r="LYW3" s="7"/>
      <c r="LYX3" s="7"/>
      <c r="LYY3" s="7"/>
      <c r="LYZ3" s="7"/>
      <c r="LZA3" s="7"/>
      <c r="LZB3" s="7"/>
      <c r="LZC3" s="7"/>
      <c r="LZD3" s="7"/>
      <c r="LZE3" s="7"/>
      <c r="LZF3" s="7"/>
      <c r="LZG3" s="7"/>
      <c r="LZH3" s="7"/>
      <c r="LZI3" s="7"/>
      <c r="LZJ3" s="7"/>
      <c r="LZK3" s="7"/>
      <c r="LZL3" s="7"/>
      <c r="LZM3" s="7"/>
      <c r="LZN3" s="7"/>
      <c r="LZO3" s="7"/>
      <c r="LZP3" s="7"/>
      <c r="LZQ3" s="7"/>
      <c r="LZR3" s="7"/>
      <c r="LZS3" s="7"/>
      <c r="LZT3" s="7"/>
      <c r="LZU3" s="7"/>
      <c r="LZV3" s="7"/>
      <c r="LZW3" s="7"/>
      <c r="LZX3" s="7"/>
      <c r="LZY3" s="7"/>
      <c r="LZZ3" s="7"/>
      <c r="MAA3" s="7"/>
      <c r="MAB3" s="7"/>
      <c r="MAC3" s="7"/>
      <c r="MAD3" s="7"/>
      <c r="MAE3" s="7"/>
      <c r="MAF3" s="7"/>
      <c r="MAG3" s="7"/>
      <c r="MAH3" s="7"/>
      <c r="MAI3" s="7"/>
      <c r="MAJ3" s="7"/>
      <c r="MAK3" s="7"/>
      <c r="MAL3" s="7"/>
      <c r="MAM3" s="7"/>
      <c r="MAN3" s="7"/>
      <c r="MAO3" s="7"/>
      <c r="MAP3" s="7"/>
      <c r="MAQ3" s="7"/>
      <c r="MAR3" s="7"/>
      <c r="MAS3" s="7"/>
      <c r="MAT3" s="7"/>
      <c r="MAU3" s="7"/>
      <c r="MAV3" s="7"/>
      <c r="MAW3" s="7"/>
      <c r="MAX3" s="7"/>
      <c r="MAY3" s="7"/>
      <c r="MAZ3" s="7"/>
      <c r="MBA3" s="7"/>
      <c r="MBB3" s="7"/>
      <c r="MBC3" s="7"/>
      <c r="MBD3" s="7"/>
      <c r="MBE3" s="7"/>
      <c r="MBF3" s="7"/>
      <c r="MBG3" s="7"/>
      <c r="MBH3" s="7"/>
      <c r="MBI3" s="7"/>
      <c r="MBJ3" s="7"/>
      <c r="MBK3" s="7"/>
      <c r="MBL3" s="7"/>
      <c r="MBM3" s="7"/>
      <c r="MBN3" s="7"/>
      <c r="MBO3" s="7"/>
      <c r="MBP3" s="7"/>
      <c r="MBQ3" s="7"/>
      <c r="MBR3" s="7"/>
      <c r="MBS3" s="7"/>
      <c r="MBT3" s="7"/>
      <c r="MBU3" s="7"/>
      <c r="MBV3" s="7"/>
      <c r="MBW3" s="7"/>
      <c r="MBX3" s="7"/>
      <c r="MBY3" s="7"/>
      <c r="MBZ3" s="7"/>
      <c r="MCA3" s="7"/>
      <c r="MCB3" s="7"/>
      <c r="MCC3" s="7"/>
      <c r="MCD3" s="7"/>
      <c r="MCE3" s="7"/>
      <c r="MCF3" s="7"/>
      <c r="MCG3" s="7"/>
      <c r="MCH3" s="7"/>
      <c r="MCI3" s="7"/>
      <c r="MCJ3" s="7"/>
      <c r="MCK3" s="7"/>
      <c r="MCL3" s="7"/>
      <c r="MCM3" s="7"/>
      <c r="MCN3" s="7"/>
      <c r="MCO3" s="7"/>
      <c r="MCP3" s="7"/>
      <c r="MCQ3" s="7"/>
      <c r="MCR3" s="7"/>
      <c r="MCS3" s="7"/>
      <c r="MCT3" s="7"/>
      <c r="MCU3" s="7"/>
      <c r="MCV3" s="7"/>
      <c r="MCW3" s="7"/>
      <c r="MCX3" s="7"/>
      <c r="MCY3" s="7"/>
      <c r="MCZ3" s="7"/>
      <c r="MDA3" s="7"/>
      <c r="MDB3" s="7"/>
      <c r="MDC3" s="7"/>
      <c r="MDD3" s="7"/>
      <c r="MDE3" s="7"/>
      <c r="MDF3" s="7"/>
      <c r="MDG3" s="7"/>
      <c r="MDH3" s="7"/>
      <c r="MDI3" s="7"/>
      <c r="MDJ3" s="7"/>
      <c r="MDK3" s="7"/>
      <c r="MDL3" s="7"/>
      <c r="MDM3" s="7"/>
      <c r="MDN3" s="7"/>
      <c r="MDO3" s="7"/>
      <c r="MDP3" s="7"/>
      <c r="MDQ3" s="7"/>
      <c r="MDR3" s="7"/>
      <c r="MDS3" s="7"/>
      <c r="MDT3" s="7"/>
      <c r="MDU3" s="7"/>
      <c r="MDV3" s="7"/>
      <c r="MDW3" s="7"/>
      <c r="MDX3" s="7"/>
      <c r="MDY3" s="7"/>
      <c r="MDZ3" s="7"/>
      <c r="MEA3" s="7"/>
      <c r="MEB3" s="7"/>
      <c r="MEC3" s="7"/>
      <c r="MED3" s="7"/>
      <c r="MEE3" s="7"/>
      <c r="MEF3" s="7"/>
      <c r="MEG3" s="7"/>
      <c r="MEH3" s="7"/>
      <c r="MEI3" s="7"/>
      <c r="MEJ3" s="7"/>
      <c r="MEK3" s="7"/>
      <c r="MEL3" s="7"/>
      <c r="MEM3" s="7"/>
      <c r="MEN3" s="7"/>
      <c r="MEO3" s="7"/>
      <c r="MEP3" s="7"/>
      <c r="MEQ3" s="7"/>
      <c r="MER3" s="7"/>
      <c r="MES3" s="7"/>
      <c r="MET3" s="7"/>
      <c r="MEU3" s="7"/>
      <c r="MEV3" s="7"/>
      <c r="MEW3" s="7"/>
      <c r="MEX3" s="7"/>
      <c r="MEY3" s="7"/>
      <c r="MEZ3" s="7"/>
      <c r="MFA3" s="7"/>
      <c r="MFB3" s="7"/>
      <c r="MFC3" s="7"/>
      <c r="MFD3" s="7"/>
      <c r="MFE3" s="7"/>
      <c r="MFF3" s="7"/>
      <c r="MFG3" s="7"/>
      <c r="MFH3" s="7"/>
      <c r="MFI3" s="7"/>
      <c r="MFJ3" s="7"/>
      <c r="MFK3" s="7"/>
      <c r="MFL3" s="7"/>
      <c r="MFM3" s="7"/>
      <c r="MFN3" s="7"/>
      <c r="MFO3" s="7"/>
      <c r="MFP3" s="7"/>
      <c r="MFQ3" s="7"/>
      <c r="MFR3" s="7"/>
      <c r="MFS3" s="7"/>
      <c r="MFT3" s="7"/>
      <c r="MFU3" s="7"/>
      <c r="MFV3" s="7"/>
      <c r="MFW3" s="7"/>
      <c r="MFX3" s="7"/>
      <c r="MFY3" s="7"/>
      <c r="MFZ3" s="7"/>
      <c r="MGA3" s="7"/>
      <c r="MGB3" s="7"/>
      <c r="MGC3" s="7"/>
      <c r="MGD3" s="7"/>
      <c r="MGE3" s="7"/>
      <c r="MGF3" s="7"/>
      <c r="MGG3" s="7"/>
      <c r="MGH3" s="7"/>
      <c r="MGI3" s="7"/>
      <c r="MGJ3" s="7"/>
      <c r="MGK3" s="7"/>
      <c r="MGL3" s="7"/>
      <c r="MGM3" s="7"/>
      <c r="MGN3" s="7"/>
      <c r="MGO3" s="7"/>
      <c r="MGP3" s="7"/>
      <c r="MGQ3" s="7"/>
      <c r="MGR3" s="7"/>
      <c r="MGS3" s="7"/>
      <c r="MGT3" s="7"/>
      <c r="MGU3" s="7"/>
      <c r="MGV3" s="7"/>
      <c r="MGW3" s="7"/>
      <c r="MGX3" s="7"/>
      <c r="MGY3" s="7"/>
      <c r="MGZ3" s="7"/>
      <c r="MHA3" s="7"/>
      <c r="MHB3" s="7"/>
      <c r="MHC3" s="7"/>
      <c r="MHD3" s="7"/>
      <c r="MHE3" s="7"/>
      <c r="MHF3" s="7"/>
      <c r="MHG3" s="7"/>
      <c r="MHH3" s="7"/>
      <c r="MHI3" s="7"/>
      <c r="MHJ3" s="7"/>
      <c r="MHK3" s="7"/>
      <c r="MHL3" s="7"/>
      <c r="MHM3" s="7"/>
      <c r="MHN3" s="7"/>
      <c r="MHO3" s="7"/>
      <c r="MHP3" s="7"/>
      <c r="MHQ3" s="7"/>
      <c r="MHR3" s="7"/>
      <c r="MHS3" s="7"/>
      <c r="MHT3" s="7"/>
      <c r="MHU3" s="7"/>
      <c r="MHV3" s="7"/>
      <c r="MHW3" s="7"/>
      <c r="MHX3" s="7"/>
      <c r="MHY3" s="7"/>
      <c r="MHZ3" s="7"/>
      <c r="MIA3" s="7"/>
      <c r="MIB3" s="7"/>
      <c r="MIC3" s="7"/>
      <c r="MID3" s="7"/>
      <c r="MIE3" s="7"/>
      <c r="MIF3" s="7"/>
      <c r="MIG3" s="7"/>
      <c r="MIH3" s="7"/>
      <c r="MII3" s="7"/>
      <c r="MIJ3" s="7"/>
      <c r="MIK3" s="7"/>
      <c r="MIL3" s="7"/>
      <c r="MIM3" s="7"/>
      <c r="MIN3" s="7"/>
      <c r="MIO3" s="7"/>
      <c r="MIP3" s="7"/>
      <c r="MIQ3" s="7"/>
      <c r="MIR3" s="7"/>
      <c r="MIS3" s="7"/>
      <c r="MIT3" s="7"/>
      <c r="MIU3" s="7"/>
      <c r="MIV3" s="7"/>
      <c r="MIW3" s="7"/>
      <c r="MIX3" s="7"/>
      <c r="MIY3" s="7"/>
      <c r="MIZ3" s="7"/>
      <c r="MJA3" s="7"/>
      <c r="MJB3" s="7"/>
      <c r="MJC3" s="7"/>
      <c r="MJD3" s="7"/>
      <c r="MJE3" s="7"/>
      <c r="MJF3" s="7"/>
      <c r="MJG3" s="7"/>
      <c r="MJH3" s="7"/>
      <c r="MJI3" s="7"/>
      <c r="MJJ3" s="7"/>
      <c r="MJK3" s="7"/>
      <c r="MJL3" s="7"/>
      <c r="MJM3" s="7"/>
      <c r="MJN3" s="7"/>
      <c r="MJO3" s="7"/>
      <c r="MJP3" s="7"/>
      <c r="MJQ3" s="7"/>
      <c r="MJR3" s="7"/>
      <c r="MJS3" s="7"/>
      <c r="MJT3" s="7"/>
      <c r="MJU3" s="7"/>
      <c r="MJV3" s="7"/>
      <c r="MJW3" s="7"/>
      <c r="MJX3" s="7"/>
      <c r="MJY3" s="7"/>
      <c r="MJZ3" s="7"/>
      <c r="MKA3" s="7"/>
      <c r="MKB3" s="7"/>
      <c r="MKC3" s="7"/>
      <c r="MKD3" s="7"/>
      <c r="MKE3" s="7"/>
      <c r="MKF3" s="7"/>
      <c r="MKG3" s="7"/>
      <c r="MKH3" s="7"/>
      <c r="MKI3" s="7"/>
      <c r="MKJ3" s="7"/>
      <c r="MKK3" s="7"/>
      <c r="MKL3" s="7"/>
      <c r="MKM3" s="7"/>
      <c r="MKN3" s="7"/>
      <c r="MKO3" s="7"/>
      <c r="MKP3" s="7"/>
      <c r="MKQ3" s="7"/>
      <c r="MKR3" s="7"/>
      <c r="MKS3" s="7"/>
      <c r="MKT3" s="7"/>
      <c r="MKU3" s="7"/>
      <c r="MKV3" s="7"/>
      <c r="MKW3" s="7"/>
      <c r="MKX3" s="7"/>
      <c r="MKY3" s="7"/>
      <c r="MKZ3" s="7"/>
      <c r="MLA3" s="7"/>
      <c r="MLB3" s="7"/>
      <c r="MLC3" s="7"/>
      <c r="MLD3" s="7"/>
      <c r="MLE3" s="7"/>
      <c r="MLF3" s="7"/>
      <c r="MLG3" s="7"/>
      <c r="MLH3" s="7"/>
      <c r="MLI3" s="7"/>
      <c r="MLJ3" s="7"/>
      <c r="MLK3" s="7"/>
      <c r="MLL3" s="7"/>
      <c r="MLM3" s="7"/>
      <c r="MLN3" s="7"/>
      <c r="MLO3" s="7"/>
      <c r="MLP3" s="7"/>
      <c r="MLQ3" s="7"/>
      <c r="MLR3" s="7"/>
      <c r="MLS3" s="7"/>
      <c r="MLT3" s="7"/>
      <c r="MLU3" s="7"/>
      <c r="MLV3" s="7"/>
      <c r="MLW3" s="7"/>
      <c r="MLX3" s="7"/>
      <c r="MLY3" s="7"/>
      <c r="MLZ3" s="7"/>
      <c r="MMA3" s="7"/>
      <c r="MMB3" s="7"/>
      <c r="MMC3" s="7"/>
      <c r="MMD3" s="7"/>
      <c r="MME3" s="7"/>
      <c r="MMF3" s="7"/>
      <c r="MMG3" s="7"/>
      <c r="MMH3" s="7"/>
      <c r="MMI3" s="7"/>
      <c r="MMJ3" s="7"/>
      <c r="MMK3" s="7"/>
      <c r="MML3" s="7"/>
      <c r="MMM3" s="7"/>
      <c r="MMN3" s="7"/>
      <c r="MMO3" s="7"/>
      <c r="MMP3" s="7"/>
      <c r="MMQ3" s="7"/>
      <c r="MMR3" s="7"/>
      <c r="MMS3" s="7"/>
      <c r="MMT3" s="7"/>
      <c r="MMU3" s="7"/>
      <c r="MMV3" s="7"/>
      <c r="MMW3" s="7"/>
      <c r="MMX3" s="7"/>
      <c r="MMY3" s="7"/>
      <c r="MMZ3" s="7"/>
      <c r="MNA3" s="7"/>
      <c r="MNB3" s="7"/>
      <c r="MNC3" s="7"/>
      <c r="MND3" s="7"/>
      <c r="MNE3" s="7"/>
      <c r="MNF3" s="7"/>
      <c r="MNG3" s="7"/>
      <c r="MNH3" s="7"/>
      <c r="MNI3" s="7"/>
      <c r="MNJ3" s="7"/>
      <c r="MNK3" s="7"/>
      <c r="MNL3" s="7"/>
      <c r="MNM3" s="7"/>
      <c r="MNN3" s="7"/>
      <c r="MNO3" s="7"/>
      <c r="MNP3" s="7"/>
      <c r="MNQ3" s="7"/>
      <c r="MNR3" s="7"/>
      <c r="MNS3" s="7"/>
      <c r="MNT3" s="7"/>
      <c r="MNU3" s="7"/>
      <c r="MNV3" s="7"/>
      <c r="MNW3" s="7"/>
      <c r="MNX3" s="7"/>
      <c r="MNY3" s="7"/>
      <c r="MNZ3" s="7"/>
      <c r="MOA3" s="7"/>
      <c r="MOB3" s="7"/>
      <c r="MOC3" s="7"/>
      <c r="MOD3" s="7"/>
      <c r="MOE3" s="7"/>
      <c r="MOF3" s="7"/>
      <c r="MOG3" s="7"/>
      <c r="MOH3" s="7"/>
      <c r="MOI3" s="7"/>
      <c r="MOJ3" s="7"/>
      <c r="MOK3" s="7"/>
      <c r="MOL3" s="7"/>
      <c r="MOM3" s="7"/>
      <c r="MON3" s="7"/>
      <c r="MOO3" s="7"/>
      <c r="MOP3" s="7"/>
      <c r="MOQ3" s="7"/>
      <c r="MOR3" s="7"/>
      <c r="MOS3" s="7"/>
      <c r="MOT3" s="7"/>
      <c r="MOU3" s="7"/>
      <c r="MOV3" s="7"/>
      <c r="MOW3" s="7"/>
      <c r="MOX3" s="7"/>
      <c r="MOY3" s="7"/>
      <c r="MOZ3" s="7"/>
      <c r="MPA3" s="7"/>
      <c r="MPB3" s="7"/>
      <c r="MPC3" s="7"/>
      <c r="MPD3" s="7"/>
      <c r="MPE3" s="7"/>
      <c r="MPF3" s="7"/>
      <c r="MPG3" s="7"/>
      <c r="MPH3" s="7"/>
      <c r="MPI3" s="7"/>
      <c r="MPJ3" s="7"/>
      <c r="MPK3" s="7"/>
      <c r="MPL3" s="7"/>
      <c r="MPM3" s="7"/>
      <c r="MPN3" s="7"/>
      <c r="MPO3" s="7"/>
      <c r="MPP3" s="7"/>
      <c r="MPQ3" s="7"/>
      <c r="MPR3" s="7"/>
      <c r="MPS3" s="7"/>
      <c r="MPT3" s="7"/>
      <c r="MPU3" s="7"/>
      <c r="MPV3" s="7"/>
      <c r="MPW3" s="7"/>
      <c r="MPX3" s="7"/>
      <c r="MPY3" s="7"/>
      <c r="MPZ3" s="7"/>
      <c r="MQA3" s="7"/>
      <c r="MQB3" s="7"/>
      <c r="MQC3" s="7"/>
      <c r="MQD3" s="7"/>
      <c r="MQE3" s="7"/>
      <c r="MQF3" s="7"/>
      <c r="MQG3" s="7"/>
      <c r="MQH3" s="7"/>
      <c r="MQI3" s="7"/>
      <c r="MQJ3" s="7"/>
      <c r="MQK3" s="7"/>
      <c r="MQL3" s="7"/>
      <c r="MQM3" s="7"/>
      <c r="MQN3" s="7"/>
      <c r="MQO3" s="7"/>
      <c r="MQP3" s="7"/>
      <c r="MQQ3" s="7"/>
      <c r="MQR3" s="7"/>
      <c r="MQS3" s="7"/>
      <c r="MQT3" s="7"/>
      <c r="MQU3" s="7"/>
      <c r="MQV3" s="7"/>
      <c r="MQW3" s="7"/>
      <c r="MQX3" s="7"/>
      <c r="MQY3" s="7"/>
      <c r="MQZ3" s="7"/>
      <c r="MRA3" s="7"/>
      <c r="MRB3" s="7"/>
      <c r="MRC3" s="7"/>
      <c r="MRD3" s="7"/>
      <c r="MRE3" s="7"/>
      <c r="MRF3" s="7"/>
      <c r="MRG3" s="7"/>
      <c r="MRH3" s="7"/>
      <c r="MRI3" s="7"/>
      <c r="MRJ3" s="7"/>
      <c r="MRK3" s="7"/>
      <c r="MRL3" s="7"/>
      <c r="MRM3" s="7"/>
      <c r="MRN3" s="7"/>
      <c r="MRO3" s="7"/>
      <c r="MRP3" s="7"/>
      <c r="MRQ3" s="7"/>
      <c r="MRR3" s="7"/>
      <c r="MRS3" s="7"/>
      <c r="MRT3" s="7"/>
      <c r="MRU3" s="7"/>
      <c r="MRV3" s="7"/>
      <c r="MRW3" s="7"/>
      <c r="MRX3" s="7"/>
      <c r="MRY3" s="7"/>
      <c r="MRZ3" s="7"/>
      <c r="MSA3" s="7"/>
      <c r="MSB3" s="7"/>
      <c r="MSC3" s="7"/>
      <c r="MSD3" s="7"/>
      <c r="MSE3" s="7"/>
      <c r="MSF3" s="7"/>
      <c r="MSG3" s="7"/>
      <c r="MSH3" s="7"/>
      <c r="MSI3" s="7"/>
      <c r="MSJ3" s="7"/>
      <c r="MSK3" s="7"/>
      <c r="MSL3" s="7"/>
      <c r="MSM3" s="7"/>
      <c r="MSN3" s="7"/>
      <c r="MSO3" s="7"/>
      <c r="MSP3" s="7"/>
      <c r="MSQ3" s="7"/>
      <c r="MSR3" s="7"/>
      <c r="MSS3" s="7"/>
      <c r="MST3" s="7"/>
      <c r="MSU3" s="7"/>
      <c r="MSV3" s="7"/>
      <c r="MSW3" s="7"/>
      <c r="MSX3" s="7"/>
      <c r="MSY3" s="7"/>
      <c r="MSZ3" s="7"/>
      <c r="MTA3" s="7"/>
      <c r="MTB3" s="7"/>
      <c r="MTC3" s="7"/>
      <c r="MTD3" s="7"/>
      <c r="MTE3" s="7"/>
      <c r="MTF3" s="7"/>
      <c r="MTG3" s="7"/>
      <c r="MTH3" s="7"/>
      <c r="MTI3" s="7"/>
      <c r="MTJ3" s="7"/>
      <c r="MTK3" s="7"/>
      <c r="MTL3" s="7"/>
      <c r="MTM3" s="7"/>
      <c r="MTN3" s="7"/>
      <c r="MTO3" s="7"/>
      <c r="MTP3" s="7"/>
      <c r="MTQ3" s="7"/>
      <c r="MTR3" s="7"/>
      <c r="MTS3" s="7"/>
      <c r="MTT3" s="7"/>
      <c r="MTU3" s="7"/>
      <c r="MTV3" s="7"/>
      <c r="MTW3" s="7"/>
      <c r="MTX3" s="7"/>
      <c r="MTY3" s="7"/>
      <c r="MTZ3" s="7"/>
      <c r="MUA3" s="7"/>
      <c r="MUB3" s="7"/>
      <c r="MUC3" s="7"/>
      <c r="MUD3" s="7"/>
      <c r="MUE3" s="7"/>
      <c r="MUF3" s="7"/>
      <c r="MUG3" s="7"/>
      <c r="MUH3" s="7"/>
      <c r="MUI3" s="7"/>
      <c r="MUJ3" s="7"/>
      <c r="MUK3" s="7"/>
      <c r="MUL3" s="7"/>
      <c r="MUM3" s="7"/>
      <c r="MUN3" s="7"/>
      <c r="MUO3" s="7"/>
      <c r="MUP3" s="7"/>
      <c r="MUQ3" s="7"/>
      <c r="MUR3" s="7"/>
      <c r="MUS3" s="7"/>
      <c r="MUT3" s="7"/>
      <c r="MUU3" s="7"/>
      <c r="MUV3" s="7"/>
      <c r="MUW3" s="7"/>
      <c r="MUX3" s="7"/>
      <c r="MUY3" s="7"/>
      <c r="MUZ3" s="7"/>
      <c r="MVA3" s="7"/>
      <c r="MVB3" s="7"/>
      <c r="MVC3" s="7"/>
      <c r="MVD3" s="7"/>
      <c r="MVE3" s="7"/>
      <c r="MVF3" s="7"/>
      <c r="MVG3" s="7"/>
      <c r="MVH3" s="7"/>
      <c r="MVI3" s="7"/>
      <c r="MVJ3" s="7"/>
      <c r="MVK3" s="7"/>
      <c r="MVL3" s="7"/>
      <c r="MVM3" s="7"/>
      <c r="MVN3" s="7"/>
      <c r="MVO3" s="7"/>
      <c r="MVP3" s="7"/>
      <c r="MVQ3" s="7"/>
      <c r="MVR3" s="7"/>
      <c r="MVS3" s="7"/>
      <c r="MVT3" s="7"/>
      <c r="MVU3" s="7"/>
      <c r="MVV3" s="7"/>
      <c r="MVW3" s="7"/>
      <c r="MVX3" s="7"/>
      <c r="MVY3" s="7"/>
      <c r="MVZ3" s="7"/>
      <c r="MWA3" s="7"/>
      <c r="MWB3" s="7"/>
      <c r="MWC3" s="7"/>
      <c r="MWD3" s="7"/>
      <c r="MWE3" s="7"/>
      <c r="MWF3" s="7"/>
      <c r="MWG3" s="7"/>
      <c r="MWH3" s="7"/>
      <c r="MWI3" s="7"/>
      <c r="MWJ3" s="7"/>
      <c r="MWK3" s="7"/>
      <c r="MWL3" s="7"/>
      <c r="MWM3" s="7"/>
      <c r="MWN3" s="7"/>
      <c r="MWO3" s="7"/>
      <c r="MWP3" s="7"/>
      <c r="MWQ3" s="7"/>
      <c r="MWR3" s="7"/>
      <c r="MWS3" s="7"/>
      <c r="MWT3" s="7"/>
      <c r="MWU3" s="7"/>
      <c r="MWV3" s="7"/>
      <c r="MWW3" s="7"/>
      <c r="MWX3" s="7"/>
      <c r="MWY3" s="7"/>
      <c r="MWZ3" s="7"/>
      <c r="MXA3" s="7"/>
      <c r="MXB3" s="7"/>
      <c r="MXC3" s="7"/>
      <c r="MXD3" s="7"/>
      <c r="MXE3" s="7"/>
      <c r="MXF3" s="7"/>
      <c r="MXG3" s="7"/>
      <c r="MXH3" s="7"/>
      <c r="MXI3" s="7"/>
      <c r="MXJ3" s="7"/>
      <c r="MXK3" s="7"/>
      <c r="MXL3" s="7"/>
      <c r="MXM3" s="7"/>
      <c r="MXN3" s="7"/>
      <c r="MXO3" s="7"/>
      <c r="MXP3" s="7"/>
      <c r="MXQ3" s="7"/>
      <c r="MXR3" s="7"/>
      <c r="MXS3" s="7"/>
      <c r="MXT3" s="7"/>
      <c r="MXU3" s="7"/>
      <c r="MXV3" s="7"/>
      <c r="MXW3" s="7"/>
      <c r="MXX3" s="7"/>
      <c r="MXY3" s="7"/>
      <c r="MXZ3" s="7"/>
      <c r="MYA3" s="7"/>
      <c r="MYB3" s="7"/>
      <c r="MYC3" s="7"/>
      <c r="MYD3" s="7"/>
      <c r="MYE3" s="7"/>
      <c r="MYF3" s="7"/>
      <c r="MYG3" s="7"/>
      <c r="MYH3" s="7"/>
      <c r="MYI3" s="7"/>
      <c r="MYJ3" s="7"/>
      <c r="MYK3" s="7"/>
      <c r="MYL3" s="7"/>
      <c r="MYM3" s="7"/>
      <c r="MYN3" s="7"/>
      <c r="MYO3" s="7"/>
      <c r="MYP3" s="7"/>
      <c r="MYQ3" s="7"/>
      <c r="MYR3" s="7"/>
      <c r="MYS3" s="7"/>
      <c r="MYT3" s="7"/>
      <c r="MYU3" s="7"/>
      <c r="MYV3" s="7"/>
      <c r="MYW3" s="7"/>
      <c r="MYX3" s="7"/>
      <c r="MYY3" s="7"/>
      <c r="MYZ3" s="7"/>
      <c r="MZA3" s="7"/>
      <c r="MZB3" s="7"/>
      <c r="MZC3" s="7"/>
      <c r="MZD3" s="7"/>
      <c r="MZE3" s="7"/>
      <c r="MZF3" s="7"/>
      <c r="MZG3" s="7"/>
      <c r="MZH3" s="7"/>
      <c r="MZI3" s="7"/>
      <c r="MZJ3" s="7"/>
      <c r="MZK3" s="7"/>
      <c r="MZL3" s="7"/>
      <c r="MZM3" s="7"/>
      <c r="MZN3" s="7"/>
      <c r="MZO3" s="7"/>
      <c r="MZP3" s="7"/>
      <c r="MZQ3" s="7"/>
      <c r="MZR3" s="7"/>
      <c r="MZS3" s="7"/>
      <c r="MZT3" s="7"/>
      <c r="MZU3" s="7"/>
      <c r="MZV3" s="7"/>
      <c r="MZW3" s="7"/>
      <c r="MZX3" s="7"/>
      <c r="MZY3" s="7"/>
      <c r="MZZ3" s="7"/>
      <c r="NAA3" s="7"/>
      <c r="NAB3" s="7"/>
      <c r="NAC3" s="7"/>
      <c r="NAD3" s="7"/>
      <c r="NAE3" s="7"/>
      <c r="NAF3" s="7"/>
      <c r="NAG3" s="7"/>
      <c r="NAH3" s="7"/>
      <c r="NAI3" s="7"/>
      <c r="NAJ3" s="7"/>
      <c r="NAK3" s="7"/>
      <c r="NAL3" s="7"/>
      <c r="NAM3" s="7"/>
      <c r="NAN3" s="7"/>
      <c r="NAO3" s="7"/>
      <c r="NAP3" s="7"/>
      <c r="NAQ3" s="7"/>
      <c r="NAR3" s="7"/>
      <c r="NAS3" s="7"/>
      <c r="NAT3" s="7"/>
      <c r="NAU3" s="7"/>
      <c r="NAV3" s="7"/>
      <c r="NAW3" s="7"/>
      <c r="NAX3" s="7"/>
      <c r="NAY3" s="7"/>
      <c r="NAZ3" s="7"/>
      <c r="NBA3" s="7"/>
      <c r="NBB3" s="7"/>
      <c r="NBC3" s="7"/>
      <c r="NBD3" s="7"/>
      <c r="NBE3" s="7"/>
      <c r="NBF3" s="7"/>
      <c r="NBG3" s="7"/>
      <c r="NBH3" s="7"/>
      <c r="NBI3" s="7"/>
      <c r="NBJ3" s="7"/>
      <c r="NBK3" s="7"/>
      <c r="NBL3" s="7"/>
      <c r="NBM3" s="7"/>
      <c r="NBN3" s="7"/>
      <c r="NBO3" s="7"/>
      <c r="NBP3" s="7"/>
      <c r="NBQ3" s="7"/>
      <c r="NBR3" s="7"/>
      <c r="NBS3" s="7"/>
      <c r="NBT3" s="7"/>
      <c r="NBU3" s="7"/>
      <c r="NBV3" s="7"/>
      <c r="NBW3" s="7"/>
      <c r="NBX3" s="7"/>
      <c r="NBY3" s="7"/>
      <c r="NBZ3" s="7"/>
      <c r="NCA3" s="7"/>
      <c r="NCB3" s="7"/>
      <c r="NCC3" s="7"/>
      <c r="NCD3" s="7"/>
      <c r="NCE3" s="7"/>
      <c r="NCF3" s="7"/>
      <c r="NCG3" s="7"/>
      <c r="NCH3" s="7"/>
      <c r="NCI3" s="7"/>
      <c r="NCJ3" s="7"/>
      <c r="NCK3" s="7"/>
      <c r="NCL3" s="7"/>
      <c r="NCM3" s="7"/>
      <c r="NCN3" s="7"/>
      <c r="NCO3" s="7"/>
      <c r="NCP3" s="7"/>
      <c r="NCQ3" s="7"/>
      <c r="NCR3" s="7"/>
      <c r="NCS3" s="7"/>
      <c r="NCT3" s="7"/>
      <c r="NCU3" s="7"/>
      <c r="NCV3" s="7"/>
      <c r="NCW3" s="7"/>
      <c r="NCX3" s="7"/>
      <c r="NCY3" s="7"/>
      <c r="NCZ3" s="7"/>
      <c r="NDA3" s="7"/>
      <c r="NDB3" s="7"/>
      <c r="NDC3" s="7"/>
      <c r="NDD3" s="7"/>
      <c r="NDE3" s="7"/>
      <c r="NDF3" s="7"/>
      <c r="NDG3" s="7"/>
      <c r="NDH3" s="7"/>
      <c r="NDI3" s="7"/>
      <c r="NDJ3" s="7"/>
      <c r="NDK3" s="7"/>
      <c r="NDL3" s="7"/>
      <c r="NDM3" s="7"/>
      <c r="NDN3" s="7"/>
      <c r="NDO3" s="7"/>
      <c r="NDP3" s="7"/>
      <c r="NDQ3" s="7"/>
      <c r="NDR3" s="7"/>
      <c r="NDS3" s="7"/>
      <c r="NDT3" s="7"/>
      <c r="NDU3" s="7"/>
      <c r="NDV3" s="7"/>
      <c r="NDW3" s="7"/>
      <c r="NDX3" s="7"/>
      <c r="NDY3" s="7"/>
      <c r="NDZ3" s="7"/>
      <c r="NEA3" s="7"/>
      <c r="NEB3" s="7"/>
      <c r="NEC3" s="7"/>
      <c r="NED3" s="7"/>
      <c r="NEE3" s="7"/>
      <c r="NEF3" s="7"/>
      <c r="NEG3" s="7"/>
      <c r="NEH3" s="7"/>
      <c r="NEI3" s="7"/>
      <c r="NEJ3" s="7"/>
      <c r="NEK3" s="7"/>
      <c r="NEL3" s="7"/>
      <c r="NEM3" s="7"/>
      <c r="NEN3" s="7"/>
      <c r="NEO3" s="7"/>
      <c r="NEP3" s="7"/>
      <c r="NEQ3" s="7"/>
      <c r="NER3" s="7"/>
      <c r="NES3" s="7"/>
      <c r="NET3" s="7"/>
      <c r="NEU3" s="7"/>
      <c r="NEV3" s="7"/>
      <c r="NEW3" s="7"/>
      <c r="NEX3" s="7"/>
      <c r="NEY3" s="7"/>
      <c r="NEZ3" s="7"/>
      <c r="NFA3" s="7"/>
      <c r="NFB3" s="7"/>
      <c r="NFC3" s="7"/>
      <c r="NFD3" s="7"/>
      <c r="NFE3" s="7"/>
      <c r="NFF3" s="7"/>
      <c r="NFG3" s="7"/>
      <c r="NFH3" s="7"/>
      <c r="NFI3" s="7"/>
      <c r="NFJ3" s="7"/>
      <c r="NFK3" s="7"/>
      <c r="NFL3" s="7"/>
      <c r="NFM3" s="7"/>
      <c r="NFN3" s="7"/>
      <c r="NFO3" s="7"/>
      <c r="NFP3" s="7"/>
      <c r="NFQ3" s="7"/>
      <c r="NFR3" s="7"/>
      <c r="NFS3" s="7"/>
      <c r="NFT3" s="7"/>
      <c r="NFU3" s="7"/>
      <c r="NFV3" s="7"/>
      <c r="NFW3" s="7"/>
      <c r="NFX3" s="7"/>
      <c r="NFY3" s="7"/>
      <c r="NFZ3" s="7"/>
      <c r="NGA3" s="7"/>
      <c r="NGB3" s="7"/>
      <c r="NGC3" s="7"/>
      <c r="NGD3" s="7"/>
      <c r="NGE3" s="7"/>
      <c r="NGF3" s="7"/>
      <c r="NGG3" s="7"/>
      <c r="NGH3" s="7"/>
      <c r="NGI3" s="7"/>
      <c r="NGJ3" s="7"/>
      <c r="NGK3" s="7"/>
      <c r="NGL3" s="7"/>
      <c r="NGM3" s="7"/>
      <c r="NGN3" s="7"/>
      <c r="NGO3" s="7"/>
      <c r="NGP3" s="7"/>
      <c r="NGQ3" s="7"/>
      <c r="NGR3" s="7"/>
      <c r="NGS3" s="7"/>
      <c r="NGT3" s="7"/>
      <c r="NGU3" s="7"/>
      <c r="NGV3" s="7"/>
      <c r="NGW3" s="7"/>
      <c r="NGX3" s="7"/>
      <c r="NGY3" s="7"/>
      <c r="NGZ3" s="7"/>
      <c r="NHA3" s="7"/>
      <c r="NHB3" s="7"/>
      <c r="NHC3" s="7"/>
      <c r="NHD3" s="7"/>
      <c r="NHE3" s="7"/>
      <c r="NHF3" s="7"/>
      <c r="NHG3" s="7"/>
      <c r="NHH3" s="7"/>
      <c r="NHI3" s="7"/>
      <c r="NHJ3" s="7"/>
      <c r="NHK3" s="7"/>
      <c r="NHL3" s="7"/>
      <c r="NHM3" s="7"/>
      <c r="NHN3" s="7"/>
      <c r="NHO3" s="7"/>
      <c r="NHP3" s="7"/>
      <c r="NHQ3" s="7"/>
      <c r="NHR3" s="7"/>
      <c r="NHS3" s="7"/>
      <c r="NHT3" s="7"/>
      <c r="NHU3" s="7"/>
      <c r="NHV3" s="7"/>
      <c r="NHW3" s="7"/>
      <c r="NHX3" s="7"/>
      <c r="NHY3" s="7"/>
      <c r="NHZ3" s="7"/>
      <c r="NIA3" s="7"/>
      <c r="NIB3" s="7"/>
      <c r="NIC3" s="7"/>
      <c r="NID3" s="7"/>
      <c r="NIE3" s="7"/>
      <c r="NIF3" s="7"/>
      <c r="NIG3" s="7"/>
      <c r="NIH3" s="7"/>
      <c r="NII3" s="7"/>
      <c r="NIJ3" s="7"/>
      <c r="NIK3" s="7"/>
      <c r="NIL3" s="7"/>
      <c r="NIM3" s="7"/>
      <c r="NIN3" s="7"/>
      <c r="NIO3" s="7"/>
      <c r="NIP3" s="7"/>
      <c r="NIQ3" s="7"/>
      <c r="NIR3" s="7"/>
      <c r="NIS3" s="7"/>
      <c r="NIT3" s="7"/>
      <c r="NIU3" s="7"/>
      <c r="NIV3" s="7"/>
      <c r="NIW3" s="7"/>
      <c r="NIX3" s="7"/>
      <c r="NIY3" s="7"/>
      <c r="NIZ3" s="7"/>
      <c r="NJA3" s="7"/>
      <c r="NJB3" s="7"/>
      <c r="NJC3" s="7"/>
      <c r="NJD3" s="7"/>
      <c r="NJE3" s="7"/>
      <c r="NJF3" s="7"/>
      <c r="NJG3" s="7"/>
      <c r="NJH3" s="7"/>
      <c r="NJI3" s="7"/>
      <c r="NJJ3" s="7"/>
      <c r="NJK3" s="7"/>
      <c r="NJL3" s="7"/>
      <c r="NJM3" s="7"/>
      <c r="NJN3" s="7"/>
      <c r="NJO3" s="7"/>
      <c r="NJP3" s="7"/>
      <c r="NJQ3" s="7"/>
      <c r="NJR3" s="7"/>
      <c r="NJS3" s="7"/>
      <c r="NJT3" s="7"/>
      <c r="NJU3" s="7"/>
      <c r="NJV3" s="7"/>
      <c r="NJW3" s="7"/>
      <c r="NJX3" s="7"/>
      <c r="NJY3" s="7"/>
      <c r="NJZ3" s="7"/>
      <c r="NKA3" s="7"/>
      <c r="NKB3" s="7"/>
      <c r="NKC3" s="7"/>
      <c r="NKD3" s="7"/>
      <c r="NKE3" s="7"/>
      <c r="NKF3" s="7"/>
      <c r="NKG3" s="7"/>
      <c r="NKH3" s="7"/>
      <c r="NKI3" s="7"/>
      <c r="NKJ3" s="7"/>
      <c r="NKK3" s="7"/>
      <c r="NKL3" s="7"/>
      <c r="NKM3" s="7"/>
      <c r="NKN3" s="7"/>
      <c r="NKO3" s="7"/>
      <c r="NKP3" s="7"/>
      <c r="NKQ3" s="7"/>
      <c r="NKR3" s="7"/>
      <c r="NKS3" s="7"/>
      <c r="NKT3" s="7"/>
      <c r="NKU3" s="7"/>
      <c r="NKV3" s="7"/>
      <c r="NKW3" s="7"/>
      <c r="NKX3" s="7"/>
      <c r="NKY3" s="7"/>
      <c r="NKZ3" s="7"/>
      <c r="NLA3" s="7"/>
      <c r="NLB3" s="7"/>
      <c r="NLC3" s="7"/>
      <c r="NLD3" s="7"/>
      <c r="NLE3" s="7"/>
      <c r="NLF3" s="7"/>
      <c r="NLG3" s="7"/>
      <c r="NLH3" s="7"/>
      <c r="NLI3" s="7"/>
      <c r="NLJ3" s="7"/>
      <c r="NLK3" s="7"/>
      <c r="NLL3" s="7"/>
      <c r="NLM3" s="7"/>
      <c r="NLN3" s="7"/>
      <c r="NLO3" s="7"/>
      <c r="NLP3" s="7"/>
      <c r="NLQ3" s="7"/>
      <c r="NLR3" s="7"/>
      <c r="NLS3" s="7"/>
      <c r="NLT3" s="7"/>
      <c r="NLU3" s="7"/>
      <c r="NLV3" s="7"/>
      <c r="NLW3" s="7"/>
      <c r="NLX3" s="7"/>
      <c r="NLY3" s="7"/>
      <c r="NLZ3" s="7"/>
      <c r="NMA3" s="7"/>
      <c r="NMB3" s="7"/>
      <c r="NMC3" s="7"/>
      <c r="NMD3" s="7"/>
      <c r="NME3" s="7"/>
      <c r="NMF3" s="7"/>
      <c r="NMG3" s="7"/>
      <c r="NMH3" s="7"/>
      <c r="NMI3" s="7"/>
      <c r="NMJ3" s="7"/>
      <c r="NMK3" s="7"/>
      <c r="NML3" s="7"/>
      <c r="NMM3" s="7"/>
      <c r="NMN3" s="7"/>
      <c r="NMO3" s="7"/>
      <c r="NMP3" s="7"/>
      <c r="NMQ3" s="7"/>
      <c r="NMR3" s="7"/>
      <c r="NMS3" s="7"/>
      <c r="NMT3" s="7"/>
      <c r="NMU3" s="7"/>
      <c r="NMV3" s="7"/>
      <c r="NMW3" s="7"/>
      <c r="NMX3" s="7"/>
      <c r="NMY3" s="7"/>
      <c r="NMZ3" s="7"/>
      <c r="NNA3" s="7"/>
      <c r="NNB3" s="7"/>
      <c r="NNC3" s="7"/>
      <c r="NND3" s="7"/>
      <c r="NNE3" s="7"/>
      <c r="NNF3" s="7"/>
      <c r="NNG3" s="7"/>
      <c r="NNH3" s="7"/>
      <c r="NNI3" s="7"/>
      <c r="NNJ3" s="7"/>
      <c r="NNK3" s="7"/>
      <c r="NNL3" s="7"/>
      <c r="NNM3" s="7"/>
      <c r="NNN3" s="7"/>
      <c r="NNO3" s="7"/>
      <c r="NNP3" s="7"/>
      <c r="NNQ3" s="7"/>
      <c r="NNR3" s="7"/>
      <c r="NNS3" s="7"/>
      <c r="NNT3" s="7"/>
      <c r="NNU3" s="7"/>
      <c r="NNV3" s="7"/>
      <c r="NNW3" s="7"/>
      <c r="NNX3" s="7"/>
      <c r="NNY3" s="7"/>
      <c r="NNZ3" s="7"/>
      <c r="NOA3" s="7"/>
      <c r="NOB3" s="7"/>
      <c r="NOC3" s="7"/>
      <c r="NOD3" s="7"/>
      <c r="NOE3" s="7"/>
      <c r="NOF3" s="7"/>
      <c r="NOG3" s="7"/>
      <c r="NOH3" s="7"/>
      <c r="NOI3" s="7"/>
      <c r="NOJ3" s="7"/>
      <c r="NOK3" s="7"/>
      <c r="NOL3" s="7"/>
      <c r="NOM3" s="7"/>
      <c r="NON3" s="7"/>
      <c r="NOO3" s="7"/>
      <c r="NOP3" s="7"/>
      <c r="NOQ3" s="7"/>
      <c r="NOR3" s="7"/>
      <c r="NOS3" s="7"/>
      <c r="NOT3" s="7"/>
      <c r="NOU3" s="7"/>
      <c r="NOV3" s="7"/>
      <c r="NOW3" s="7"/>
      <c r="NOX3" s="7"/>
      <c r="NOY3" s="7"/>
      <c r="NOZ3" s="7"/>
      <c r="NPA3" s="7"/>
      <c r="NPB3" s="7"/>
      <c r="NPC3" s="7"/>
      <c r="NPD3" s="7"/>
      <c r="NPE3" s="7"/>
      <c r="NPF3" s="7"/>
      <c r="NPG3" s="7"/>
      <c r="NPH3" s="7"/>
      <c r="NPI3" s="7"/>
      <c r="NPJ3" s="7"/>
      <c r="NPK3" s="7"/>
      <c r="NPL3" s="7"/>
      <c r="NPM3" s="7"/>
      <c r="NPN3" s="7"/>
      <c r="NPO3" s="7"/>
      <c r="NPP3" s="7"/>
      <c r="NPQ3" s="7"/>
      <c r="NPR3" s="7"/>
      <c r="NPS3" s="7"/>
      <c r="NPT3" s="7"/>
      <c r="NPU3" s="7"/>
      <c r="NPV3" s="7"/>
      <c r="NPW3" s="7"/>
      <c r="NPX3" s="7"/>
      <c r="NPY3" s="7"/>
      <c r="NPZ3" s="7"/>
      <c r="NQA3" s="7"/>
      <c r="NQB3" s="7"/>
      <c r="NQC3" s="7"/>
      <c r="NQD3" s="7"/>
      <c r="NQE3" s="7"/>
      <c r="NQF3" s="7"/>
      <c r="NQG3" s="7"/>
      <c r="NQH3" s="7"/>
      <c r="NQI3" s="7"/>
      <c r="NQJ3" s="7"/>
      <c r="NQK3" s="7"/>
      <c r="NQL3" s="7"/>
      <c r="NQM3" s="7"/>
      <c r="NQN3" s="7"/>
      <c r="NQO3" s="7"/>
      <c r="NQP3" s="7"/>
      <c r="NQQ3" s="7"/>
      <c r="NQR3" s="7"/>
      <c r="NQS3" s="7"/>
      <c r="NQT3" s="7"/>
      <c r="NQU3" s="7"/>
      <c r="NQV3" s="7"/>
      <c r="NQW3" s="7"/>
      <c r="NQX3" s="7"/>
      <c r="NQY3" s="7"/>
      <c r="NQZ3" s="7"/>
      <c r="NRA3" s="7"/>
      <c r="NRB3" s="7"/>
      <c r="NRC3" s="7"/>
      <c r="NRD3" s="7"/>
      <c r="NRE3" s="7"/>
      <c r="NRF3" s="7"/>
      <c r="NRG3" s="7"/>
      <c r="NRH3" s="7"/>
      <c r="NRI3" s="7"/>
      <c r="NRJ3" s="7"/>
      <c r="NRK3" s="7"/>
      <c r="NRL3" s="7"/>
      <c r="NRM3" s="7"/>
      <c r="NRN3" s="7"/>
      <c r="NRO3" s="7"/>
      <c r="NRP3" s="7"/>
      <c r="NRQ3" s="7"/>
      <c r="NRR3" s="7"/>
      <c r="NRS3" s="7"/>
      <c r="NRT3" s="7"/>
      <c r="NRU3" s="7"/>
      <c r="NRV3" s="7"/>
      <c r="NRW3" s="7"/>
      <c r="NRX3" s="7"/>
      <c r="NRY3" s="7"/>
      <c r="NRZ3" s="7"/>
      <c r="NSA3" s="7"/>
      <c r="NSB3" s="7"/>
      <c r="NSC3" s="7"/>
      <c r="NSD3" s="7"/>
      <c r="NSE3" s="7"/>
      <c r="NSF3" s="7"/>
      <c r="NSG3" s="7"/>
      <c r="NSH3" s="7"/>
      <c r="NSI3" s="7"/>
      <c r="NSJ3" s="7"/>
      <c r="NSK3" s="7"/>
      <c r="NSL3" s="7"/>
      <c r="NSM3" s="7"/>
      <c r="NSN3" s="7"/>
      <c r="NSO3" s="7"/>
      <c r="NSP3" s="7"/>
      <c r="NSQ3" s="7"/>
      <c r="NSR3" s="7"/>
      <c r="NSS3" s="7"/>
      <c r="NST3" s="7"/>
      <c r="NSU3" s="7"/>
      <c r="NSV3" s="7"/>
      <c r="NSW3" s="7"/>
      <c r="NSX3" s="7"/>
      <c r="NSY3" s="7"/>
      <c r="NSZ3" s="7"/>
      <c r="NTA3" s="7"/>
      <c r="NTB3" s="7"/>
      <c r="NTC3" s="7"/>
      <c r="NTD3" s="7"/>
      <c r="NTE3" s="7"/>
      <c r="NTF3" s="7"/>
      <c r="NTG3" s="7"/>
      <c r="NTH3" s="7"/>
      <c r="NTI3" s="7"/>
      <c r="NTJ3" s="7"/>
      <c r="NTK3" s="7"/>
      <c r="NTL3" s="7"/>
      <c r="NTM3" s="7"/>
      <c r="NTN3" s="7"/>
      <c r="NTO3" s="7"/>
      <c r="NTP3" s="7"/>
      <c r="NTQ3" s="7"/>
      <c r="NTR3" s="7"/>
      <c r="NTS3" s="7"/>
      <c r="NTT3" s="7"/>
      <c r="NTU3" s="7"/>
      <c r="NTV3" s="7"/>
      <c r="NTW3" s="7"/>
      <c r="NTX3" s="7"/>
      <c r="NTY3" s="7"/>
      <c r="NTZ3" s="7"/>
      <c r="NUA3" s="7"/>
      <c r="NUB3" s="7"/>
      <c r="NUC3" s="7"/>
      <c r="NUD3" s="7"/>
      <c r="NUE3" s="7"/>
      <c r="NUF3" s="7"/>
      <c r="NUG3" s="7"/>
      <c r="NUH3" s="7"/>
      <c r="NUI3" s="7"/>
      <c r="NUJ3" s="7"/>
      <c r="NUK3" s="7"/>
      <c r="NUL3" s="7"/>
      <c r="NUM3" s="7"/>
      <c r="NUN3" s="7"/>
      <c r="NUO3" s="7"/>
      <c r="NUP3" s="7"/>
      <c r="NUQ3" s="7"/>
      <c r="NUR3" s="7"/>
      <c r="NUS3" s="7"/>
      <c r="NUT3" s="7"/>
      <c r="NUU3" s="7"/>
      <c r="NUV3" s="7"/>
      <c r="NUW3" s="7"/>
      <c r="NUX3" s="7"/>
      <c r="NUY3" s="7"/>
      <c r="NUZ3" s="7"/>
      <c r="NVA3" s="7"/>
      <c r="NVB3" s="7"/>
      <c r="NVC3" s="7"/>
      <c r="NVD3" s="7"/>
      <c r="NVE3" s="7"/>
      <c r="NVF3" s="7"/>
      <c r="NVG3" s="7"/>
      <c r="NVH3" s="7"/>
      <c r="NVI3" s="7"/>
      <c r="NVJ3" s="7"/>
      <c r="NVK3" s="7"/>
      <c r="NVL3" s="7"/>
      <c r="NVM3" s="7"/>
      <c r="NVN3" s="7"/>
      <c r="NVO3" s="7"/>
      <c r="NVP3" s="7"/>
      <c r="NVQ3" s="7"/>
      <c r="NVR3" s="7"/>
      <c r="NVS3" s="7"/>
      <c r="NVT3" s="7"/>
      <c r="NVU3" s="7"/>
      <c r="NVV3" s="7"/>
      <c r="NVW3" s="7"/>
      <c r="NVX3" s="7"/>
      <c r="NVY3" s="7"/>
      <c r="NVZ3" s="7"/>
      <c r="NWA3" s="7"/>
      <c r="NWB3" s="7"/>
      <c r="NWC3" s="7"/>
      <c r="NWD3" s="7"/>
      <c r="NWE3" s="7"/>
      <c r="NWF3" s="7"/>
      <c r="NWG3" s="7"/>
      <c r="NWH3" s="7"/>
      <c r="NWI3" s="7"/>
      <c r="NWJ3" s="7"/>
      <c r="NWK3" s="7"/>
      <c r="NWL3" s="7"/>
      <c r="NWM3" s="7"/>
      <c r="NWN3" s="7"/>
      <c r="NWO3" s="7"/>
      <c r="NWP3" s="7"/>
      <c r="NWQ3" s="7"/>
      <c r="NWR3" s="7"/>
      <c r="NWS3" s="7"/>
      <c r="NWT3" s="7"/>
      <c r="NWU3" s="7"/>
      <c r="NWV3" s="7"/>
      <c r="NWW3" s="7"/>
      <c r="NWX3" s="7"/>
      <c r="NWY3" s="7"/>
      <c r="NWZ3" s="7"/>
      <c r="NXA3" s="7"/>
      <c r="NXB3" s="7"/>
      <c r="NXC3" s="7"/>
      <c r="NXD3" s="7"/>
      <c r="NXE3" s="7"/>
      <c r="NXF3" s="7"/>
      <c r="NXG3" s="7"/>
      <c r="NXH3" s="7"/>
      <c r="NXI3" s="7"/>
      <c r="NXJ3" s="7"/>
      <c r="NXK3" s="7"/>
      <c r="NXL3" s="7"/>
      <c r="NXM3" s="7"/>
      <c r="NXN3" s="7"/>
      <c r="NXO3" s="7"/>
      <c r="NXP3" s="7"/>
      <c r="NXQ3" s="7"/>
      <c r="NXR3" s="7"/>
      <c r="NXS3" s="7"/>
      <c r="NXT3" s="7"/>
      <c r="NXU3" s="7"/>
      <c r="NXV3" s="7"/>
      <c r="NXW3" s="7"/>
      <c r="NXX3" s="7"/>
      <c r="NXY3" s="7"/>
      <c r="NXZ3" s="7"/>
      <c r="NYA3" s="7"/>
      <c r="NYB3" s="7"/>
      <c r="NYC3" s="7"/>
      <c r="NYD3" s="7"/>
      <c r="NYE3" s="7"/>
      <c r="NYF3" s="7"/>
      <c r="NYG3" s="7"/>
      <c r="NYH3" s="7"/>
      <c r="NYI3" s="7"/>
      <c r="NYJ3" s="7"/>
      <c r="NYK3" s="7"/>
      <c r="NYL3" s="7"/>
      <c r="NYM3" s="7"/>
      <c r="NYN3" s="7"/>
      <c r="NYO3" s="7"/>
      <c r="NYP3" s="7"/>
      <c r="NYQ3" s="7"/>
      <c r="NYR3" s="7"/>
      <c r="NYS3" s="7"/>
      <c r="NYT3" s="7"/>
      <c r="NYU3" s="7"/>
      <c r="NYV3" s="7"/>
      <c r="NYW3" s="7"/>
      <c r="NYX3" s="7"/>
      <c r="NYY3" s="7"/>
      <c r="NYZ3" s="7"/>
      <c r="NZA3" s="7"/>
      <c r="NZB3" s="7"/>
      <c r="NZC3" s="7"/>
      <c r="NZD3" s="7"/>
      <c r="NZE3" s="7"/>
      <c r="NZF3" s="7"/>
      <c r="NZG3" s="7"/>
      <c r="NZH3" s="7"/>
      <c r="NZI3" s="7"/>
      <c r="NZJ3" s="7"/>
      <c r="NZK3" s="7"/>
      <c r="NZL3" s="7"/>
      <c r="NZM3" s="7"/>
      <c r="NZN3" s="7"/>
      <c r="NZO3" s="7"/>
      <c r="NZP3" s="7"/>
      <c r="NZQ3" s="7"/>
      <c r="NZR3" s="7"/>
      <c r="NZS3" s="7"/>
      <c r="NZT3" s="7"/>
      <c r="NZU3" s="7"/>
      <c r="NZV3" s="7"/>
      <c r="NZW3" s="7"/>
      <c r="NZX3" s="7"/>
      <c r="NZY3" s="7"/>
      <c r="NZZ3" s="7"/>
      <c r="OAA3" s="7"/>
      <c r="OAB3" s="7"/>
      <c r="OAC3" s="7"/>
      <c r="OAD3" s="7"/>
      <c r="OAE3" s="7"/>
      <c r="OAF3" s="7"/>
      <c r="OAG3" s="7"/>
      <c r="OAH3" s="7"/>
      <c r="OAI3" s="7"/>
      <c r="OAJ3" s="7"/>
      <c r="OAK3" s="7"/>
      <c r="OAL3" s="7"/>
      <c r="OAM3" s="7"/>
      <c r="OAN3" s="7"/>
      <c r="OAO3" s="7"/>
      <c r="OAP3" s="7"/>
      <c r="OAQ3" s="7"/>
      <c r="OAR3" s="7"/>
      <c r="OAS3" s="7"/>
      <c r="OAT3" s="7"/>
      <c r="OAU3" s="7"/>
      <c r="OAV3" s="7"/>
      <c r="OAW3" s="7"/>
      <c r="OAX3" s="7"/>
      <c r="OAY3" s="7"/>
      <c r="OAZ3" s="7"/>
      <c r="OBA3" s="7"/>
      <c r="OBB3" s="7"/>
      <c r="OBC3" s="7"/>
      <c r="OBD3" s="7"/>
      <c r="OBE3" s="7"/>
      <c r="OBF3" s="7"/>
      <c r="OBG3" s="7"/>
      <c r="OBH3" s="7"/>
      <c r="OBI3" s="7"/>
      <c r="OBJ3" s="7"/>
      <c r="OBK3" s="7"/>
      <c r="OBL3" s="7"/>
      <c r="OBM3" s="7"/>
      <c r="OBN3" s="7"/>
      <c r="OBO3" s="7"/>
      <c r="OBP3" s="7"/>
      <c r="OBQ3" s="7"/>
      <c r="OBR3" s="7"/>
      <c r="OBS3" s="7"/>
      <c r="OBT3" s="7"/>
      <c r="OBU3" s="7"/>
      <c r="OBV3" s="7"/>
      <c r="OBW3" s="7"/>
      <c r="OBX3" s="7"/>
      <c r="OBY3" s="7"/>
      <c r="OBZ3" s="7"/>
      <c r="OCA3" s="7"/>
      <c r="OCB3" s="7"/>
      <c r="OCC3" s="7"/>
      <c r="OCD3" s="7"/>
      <c r="OCE3" s="7"/>
      <c r="OCF3" s="7"/>
      <c r="OCG3" s="7"/>
      <c r="OCH3" s="7"/>
      <c r="OCI3" s="7"/>
      <c r="OCJ3" s="7"/>
      <c r="OCK3" s="7"/>
      <c r="OCL3" s="7"/>
      <c r="OCM3" s="7"/>
      <c r="OCN3" s="7"/>
      <c r="OCO3" s="7"/>
      <c r="OCP3" s="7"/>
      <c r="OCQ3" s="7"/>
      <c r="OCR3" s="7"/>
      <c r="OCS3" s="7"/>
      <c r="OCT3" s="7"/>
      <c r="OCU3" s="7"/>
      <c r="OCV3" s="7"/>
      <c r="OCW3" s="7"/>
      <c r="OCX3" s="7"/>
      <c r="OCY3" s="7"/>
      <c r="OCZ3" s="7"/>
      <c r="ODA3" s="7"/>
      <c r="ODB3" s="7"/>
      <c r="ODC3" s="7"/>
      <c r="ODD3" s="7"/>
      <c r="ODE3" s="7"/>
      <c r="ODF3" s="7"/>
      <c r="ODG3" s="7"/>
      <c r="ODH3" s="7"/>
      <c r="ODI3" s="7"/>
      <c r="ODJ3" s="7"/>
      <c r="ODK3" s="7"/>
      <c r="ODL3" s="7"/>
      <c r="ODM3" s="7"/>
      <c r="ODN3" s="7"/>
      <c r="ODO3" s="7"/>
      <c r="ODP3" s="7"/>
      <c r="ODQ3" s="7"/>
      <c r="ODR3" s="7"/>
      <c r="ODS3" s="7"/>
      <c r="ODT3" s="7"/>
      <c r="ODU3" s="7"/>
      <c r="ODV3" s="7"/>
      <c r="ODW3" s="7"/>
      <c r="ODX3" s="7"/>
      <c r="ODY3" s="7"/>
      <c r="ODZ3" s="7"/>
      <c r="OEA3" s="7"/>
      <c r="OEB3" s="7"/>
      <c r="OEC3" s="7"/>
      <c r="OED3" s="7"/>
      <c r="OEE3" s="7"/>
      <c r="OEF3" s="7"/>
      <c r="OEG3" s="7"/>
      <c r="OEH3" s="7"/>
      <c r="OEI3" s="7"/>
      <c r="OEJ3" s="7"/>
      <c r="OEK3" s="7"/>
      <c r="OEL3" s="7"/>
      <c r="OEM3" s="7"/>
      <c r="OEN3" s="7"/>
      <c r="OEO3" s="7"/>
      <c r="OEP3" s="7"/>
      <c r="OEQ3" s="7"/>
      <c r="OER3" s="7"/>
      <c r="OES3" s="7"/>
      <c r="OET3" s="7"/>
      <c r="OEU3" s="7"/>
      <c r="OEV3" s="7"/>
      <c r="OEW3" s="7"/>
      <c r="OEX3" s="7"/>
      <c r="OEY3" s="7"/>
      <c r="OEZ3" s="7"/>
      <c r="OFA3" s="7"/>
      <c r="OFB3" s="7"/>
      <c r="OFC3" s="7"/>
      <c r="OFD3" s="7"/>
      <c r="OFE3" s="7"/>
      <c r="OFF3" s="7"/>
      <c r="OFG3" s="7"/>
      <c r="OFH3" s="7"/>
      <c r="OFI3" s="7"/>
      <c r="OFJ3" s="7"/>
      <c r="OFK3" s="7"/>
      <c r="OFL3" s="7"/>
      <c r="OFM3" s="7"/>
      <c r="OFN3" s="7"/>
      <c r="OFO3" s="7"/>
      <c r="OFP3" s="7"/>
      <c r="OFQ3" s="7"/>
      <c r="OFR3" s="7"/>
      <c r="OFS3" s="7"/>
      <c r="OFT3" s="7"/>
      <c r="OFU3" s="7"/>
      <c r="OFV3" s="7"/>
      <c r="OFW3" s="7"/>
      <c r="OFX3" s="7"/>
      <c r="OFY3" s="7"/>
      <c r="OFZ3" s="7"/>
      <c r="OGA3" s="7"/>
      <c r="OGB3" s="7"/>
      <c r="OGC3" s="7"/>
      <c r="OGD3" s="7"/>
      <c r="OGE3" s="7"/>
      <c r="OGF3" s="7"/>
      <c r="OGG3" s="7"/>
      <c r="OGH3" s="7"/>
      <c r="OGI3" s="7"/>
      <c r="OGJ3" s="7"/>
      <c r="OGK3" s="7"/>
      <c r="OGL3" s="7"/>
      <c r="OGM3" s="7"/>
      <c r="OGN3" s="7"/>
      <c r="OGO3" s="7"/>
      <c r="OGP3" s="7"/>
      <c r="OGQ3" s="7"/>
      <c r="OGR3" s="7"/>
      <c r="OGS3" s="7"/>
      <c r="OGT3" s="7"/>
      <c r="OGU3" s="7"/>
      <c r="OGV3" s="7"/>
      <c r="OGW3" s="7"/>
      <c r="OGX3" s="7"/>
      <c r="OGY3" s="7"/>
      <c r="OGZ3" s="7"/>
      <c r="OHA3" s="7"/>
      <c r="OHB3" s="7"/>
      <c r="OHC3" s="7"/>
      <c r="OHD3" s="7"/>
      <c r="OHE3" s="7"/>
      <c r="OHF3" s="7"/>
      <c r="OHG3" s="7"/>
      <c r="OHH3" s="7"/>
      <c r="OHI3" s="7"/>
      <c r="OHJ3" s="7"/>
      <c r="OHK3" s="7"/>
      <c r="OHL3" s="7"/>
      <c r="OHM3" s="7"/>
      <c r="OHN3" s="7"/>
      <c r="OHO3" s="7"/>
      <c r="OHP3" s="7"/>
      <c r="OHQ3" s="7"/>
      <c r="OHR3" s="7"/>
      <c r="OHS3" s="7"/>
      <c r="OHT3" s="7"/>
      <c r="OHU3" s="7"/>
      <c r="OHV3" s="7"/>
      <c r="OHW3" s="7"/>
      <c r="OHX3" s="7"/>
      <c r="OHY3" s="7"/>
      <c r="OHZ3" s="7"/>
      <c r="OIA3" s="7"/>
      <c r="OIB3" s="7"/>
      <c r="OIC3" s="7"/>
      <c r="OID3" s="7"/>
      <c r="OIE3" s="7"/>
      <c r="OIF3" s="7"/>
      <c r="OIG3" s="7"/>
      <c r="OIH3" s="7"/>
      <c r="OII3" s="7"/>
      <c r="OIJ3" s="7"/>
      <c r="OIK3" s="7"/>
      <c r="OIL3" s="7"/>
      <c r="OIM3" s="7"/>
      <c r="OIN3" s="7"/>
      <c r="OIO3" s="7"/>
      <c r="OIP3" s="7"/>
      <c r="OIQ3" s="7"/>
      <c r="OIR3" s="7"/>
      <c r="OIS3" s="7"/>
      <c r="OIT3" s="7"/>
      <c r="OIU3" s="7"/>
      <c r="OIV3" s="7"/>
      <c r="OIW3" s="7"/>
      <c r="OIX3" s="7"/>
      <c r="OIY3" s="7"/>
      <c r="OIZ3" s="7"/>
      <c r="OJA3" s="7"/>
      <c r="OJB3" s="7"/>
      <c r="OJC3" s="7"/>
      <c r="OJD3" s="7"/>
      <c r="OJE3" s="7"/>
      <c r="OJF3" s="7"/>
      <c r="OJG3" s="7"/>
      <c r="OJH3" s="7"/>
      <c r="OJI3" s="7"/>
      <c r="OJJ3" s="7"/>
      <c r="OJK3" s="7"/>
      <c r="OJL3" s="7"/>
      <c r="OJM3" s="7"/>
      <c r="OJN3" s="7"/>
      <c r="OJO3" s="7"/>
      <c r="OJP3" s="7"/>
      <c r="OJQ3" s="7"/>
      <c r="OJR3" s="7"/>
      <c r="OJS3" s="7"/>
      <c r="OJT3" s="7"/>
      <c r="OJU3" s="7"/>
      <c r="OJV3" s="7"/>
      <c r="OJW3" s="7"/>
      <c r="OJX3" s="7"/>
      <c r="OJY3" s="7"/>
      <c r="OJZ3" s="7"/>
      <c r="OKA3" s="7"/>
      <c r="OKB3" s="7"/>
      <c r="OKC3" s="7"/>
      <c r="OKD3" s="7"/>
      <c r="OKE3" s="7"/>
      <c r="OKF3" s="7"/>
      <c r="OKG3" s="7"/>
      <c r="OKH3" s="7"/>
      <c r="OKI3" s="7"/>
      <c r="OKJ3" s="7"/>
      <c r="OKK3" s="7"/>
      <c r="OKL3" s="7"/>
      <c r="OKM3" s="7"/>
      <c r="OKN3" s="7"/>
      <c r="OKO3" s="7"/>
      <c r="OKP3" s="7"/>
      <c r="OKQ3" s="7"/>
      <c r="OKR3" s="7"/>
      <c r="OKS3" s="7"/>
      <c r="OKT3" s="7"/>
      <c r="OKU3" s="7"/>
      <c r="OKV3" s="7"/>
      <c r="OKW3" s="7"/>
      <c r="OKX3" s="7"/>
      <c r="OKY3" s="7"/>
      <c r="OKZ3" s="7"/>
      <c r="OLA3" s="7"/>
      <c r="OLB3" s="7"/>
      <c r="OLC3" s="7"/>
      <c r="OLD3" s="7"/>
      <c r="OLE3" s="7"/>
      <c r="OLF3" s="7"/>
      <c r="OLG3" s="7"/>
      <c r="OLH3" s="7"/>
      <c r="OLI3" s="7"/>
      <c r="OLJ3" s="7"/>
      <c r="OLK3" s="7"/>
      <c r="OLL3" s="7"/>
      <c r="OLM3" s="7"/>
      <c r="OLN3" s="7"/>
      <c r="OLO3" s="7"/>
      <c r="OLP3" s="7"/>
      <c r="OLQ3" s="7"/>
      <c r="OLR3" s="7"/>
      <c r="OLS3" s="7"/>
      <c r="OLT3" s="7"/>
      <c r="OLU3" s="7"/>
      <c r="OLV3" s="7"/>
      <c r="OLW3" s="7"/>
      <c r="OLX3" s="7"/>
      <c r="OLY3" s="7"/>
      <c r="OLZ3" s="7"/>
      <c r="OMA3" s="7"/>
      <c r="OMB3" s="7"/>
      <c r="OMC3" s="7"/>
      <c r="OMD3" s="7"/>
      <c r="OME3" s="7"/>
      <c r="OMF3" s="7"/>
      <c r="OMG3" s="7"/>
      <c r="OMH3" s="7"/>
      <c r="OMI3" s="7"/>
      <c r="OMJ3" s="7"/>
      <c r="OMK3" s="7"/>
      <c r="OML3" s="7"/>
      <c r="OMM3" s="7"/>
      <c r="OMN3" s="7"/>
      <c r="OMO3" s="7"/>
      <c r="OMP3" s="7"/>
      <c r="OMQ3" s="7"/>
      <c r="OMR3" s="7"/>
      <c r="OMS3" s="7"/>
      <c r="OMT3" s="7"/>
      <c r="OMU3" s="7"/>
      <c r="OMV3" s="7"/>
      <c r="OMW3" s="7"/>
      <c r="OMX3" s="7"/>
      <c r="OMY3" s="7"/>
      <c r="OMZ3" s="7"/>
      <c r="ONA3" s="7"/>
      <c r="ONB3" s="7"/>
      <c r="ONC3" s="7"/>
      <c r="OND3" s="7"/>
      <c r="ONE3" s="7"/>
      <c r="ONF3" s="7"/>
      <c r="ONG3" s="7"/>
      <c r="ONH3" s="7"/>
      <c r="ONI3" s="7"/>
      <c r="ONJ3" s="7"/>
      <c r="ONK3" s="7"/>
      <c r="ONL3" s="7"/>
      <c r="ONM3" s="7"/>
      <c r="ONN3" s="7"/>
      <c r="ONO3" s="7"/>
      <c r="ONP3" s="7"/>
      <c r="ONQ3" s="7"/>
      <c r="ONR3" s="7"/>
      <c r="ONS3" s="7"/>
      <c r="ONT3" s="7"/>
      <c r="ONU3" s="7"/>
      <c r="ONV3" s="7"/>
      <c r="ONW3" s="7"/>
      <c r="ONX3" s="7"/>
      <c r="ONY3" s="7"/>
      <c r="ONZ3" s="7"/>
      <c r="OOA3" s="7"/>
      <c r="OOB3" s="7"/>
      <c r="OOC3" s="7"/>
      <c r="OOD3" s="7"/>
      <c r="OOE3" s="7"/>
      <c r="OOF3" s="7"/>
      <c r="OOG3" s="7"/>
      <c r="OOH3" s="7"/>
      <c r="OOI3" s="7"/>
      <c r="OOJ3" s="7"/>
      <c r="OOK3" s="7"/>
      <c r="OOL3" s="7"/>
      <c r="OOM3" s="7"/>
      <c r="OON3" s="7"/>
      <c r="OOO3" s="7"/>
      <c r="OOP3" s="7"/>
      <c r="OOQ3" s="7"/>
      <c r="OOR3" s="7"/>
      <c r="OOS3" s="7"/>
      <c r="OOT3" s="7"/>
      <c r="OOU3" s="7"/>
      <c r="OOV3" s="7"/>
      <c r="OOW3" s="7"/>
      <c r="OOX3" s="7"/>
      <c r="OOY3" s="7"/>
      <c r="OOZ3" s="7"/>
      <c r="OPA3" s="7"/>
      <c r="OPB3" s="7"/>
      <c r="OPC3" s="7"/>
      <c r="OPD3" s="7"/>
      <c r="OPE3" s="7"/>
      <c r="OPF3" s="7"/>
      <c r="OPG3" s="7"/>
      <c r="OPH3" s="7"/>
      <c r="OPI3" s="7"/>
      <c r="OPJ3" s="7"/>
      <c r="OPK3" s="7"/>
      <c r="OPL3" s="7"/>
      <c r="OPM3" s="7"/>
      <c r="OPN3" s="7"/>
      <c r="OPO3" s="7"/>
      <c r="OPP3" s="7"/>
      <c r="OPQ3" s="7"/>
      <c r="OPR3" s="7"/>
      <c r="OPS3" s="7"/>
      <c r="OPT3" s="7"/>
      <c r="OPU3" s="7"/>
      <c r="OPV3" s="7"/>
      <c r="OPW3" s="7"/>
      <c r="OPX3" s="7"/>
      <c r="OPY3" s="7"/>
      <c r="OPZ3" s="7"/>
      <c r="OQA3" s="7"/>
      <c r="OQB3" s="7"/>
      <c r="OQC3" s="7"/>
      <c r="OQD3" s="7"/>
      <c r="OQE3" s="7"/>
      <c r="OQF3" s="7"/>
      <c r="OQG3" s="7"/>
      <c r="OQH3" s="7"/>
      <c r="OQI3" s="7"/>
      <c r="OQJ3" s="7"/>
      <c r="OQK3" s="7"/>
      <c r="OQL3" s="7"/>
      <c r="OQM3" s="7"/>
      <c r="OQN3" s="7"/>
      <c r="OQO3" s="7"/>
      <c r="OQP3" s="7"/>
      <c r="OQQ3" s="7"/>
      <c r="OQR3" s="7"/>
      <c r="OQS3" s="7"/>
      <c r="OQT3" s="7"/>
      <c r="OQU3" s="7"/>
      <c r="OQV3" s="7"/>
      <c r="OQW3" s="7"/>
      <c r="OQX3" s="7"/>
      <c r="OQY3" s="7"/>
      <c r="OQZ3" s="7"/>
      <c r="ORA3" s="7"/>
      <c r="ORB3" s="7"/>
      <c r="ORC3" s="7"/>
      <c r="ORD3" s="7"/>
      <c r="ORE3" s="7"/>
      <c r="ORF3" s="7"/>
      <c r="ORG3" s="7"/>
      <c r="ORH3" s="7"/>
      <c r="ORI3" s="7"/>
      <c r="ORJ3" s="7"/>
      <c r="ORK3" s="7"/>
      <c r="ORL3" s="7"/>
      <c r="ORM3" s="7"/>
      <c r="ORN3" s="7"/>
      <c r="ORO3" s="7"/>
      <c r="ORP3" s="7"/>
      <c r="ORQ3" s="7"/>
      <c r="ORR3" s="7"/>
      <c r="ORS3" s="7"/>
      <c r="ORT3" s="7"/>
      <c r="ORU3" s="7"/>
      <c r="ORV3" s="7"/>
      <c r="ORW3" s="7"/>
      <c r="ORX3" s="7"/>
      <c r="ORY3" s="7"/>
      <c r="ORZ3" s="7"/>
      <c r="OSA3" s="7"/>
      <c r="OSB3" s="7"/>
      <c r="OSC3" s="7"/>
      <c r="OSD3" s="7"/>
      <c r="OSE3" s="7"/>
      <c r="OSF3" s="7"/>
      <c r="OSG3" s="7"/>
      <c r="OSH3" s="7"/>
      <c r="OSI3" s="7"/>
      <c r="OSJ3" s="7"/>
      <c r="OSK3" s="7"/>
      <c r="OSL3" s="7"/>
      <c r="OSM3" s="7"/>
      <c r="OSN3" s="7"/>
      <c r="OSO3" s="7"/>
      <c r="OSP3" s="7"/>
      <c r="OSQ3" s="7"/>
      <c r="OSR3" s="7"/>
      <c r="OSS3" s="7"/>
      <c r="OST3" s="7"/>
      <c r="OSU3" s="7"/>
      <c r="OSV3" s="7"/>
      <c r="OSW3" s="7"/>
      <c r="OSX3" s="7"/>
      <c r="OSY3" s="7"/>
      <c r="OSZ3" s="7"/>
      <c r="OTA3" s="7"/>
      <c r="OTB3" s="7"/>
      <c r="OTC3" s="7"/>
      <c r="OTD3" s="7"/>
      <c r="OTE3" s="7"/>
      <c r="OTF3" s="7"/>
      <c r="OTG3" s="7"/>
      <c r="OTH3" s="7"/>
      <c r="OTI3" s="7"/>
      <c r="OTJ3" s="7"/>
      <c r="OTK3" s="7"/>
      <c r="OTL3" s="7"/>
      <c r="OTM3" s="7"/>
      <c r="OTN3" s="7"/>
      <c r="OTO3" s="7"/>
      <c r="OTP3" s="7"/>
      <c r="OTQ3" s="7"/>
      <c r="OTR3" s="7"/>
      <c r="OTS3" s="7"/>
      <c r="OTT3" s="7"/>
      <c r="OTU3" s="7"/>
      <c r="OTV3" s="7"/>
      <c r="OTW3" s="7"/>
      <c r="OTX3" s="7"/>
      <c r="OTY3" s="7"/>
      <c r="OTZ3" s="7"/>
      <c r="OUA3" s="7"/>
      <c r="OUB3" s="7"/>
      <c r="OUC3" s="7"/>
      <c r="OUD3" s="7"/>
      <c r="OUE3" s="7"/>
      <c r="OUF3" s="7"/>
      <c r="OUG3" s="7"/>
      <c r="OUH3" s="7"/>
      <c r="OUI3" s="7"/>
      <c r="OUJ3" s="7"/>
      <c r="OUK3" s="7"/>
      <c r="OUL3" s="7"/>
      <c r="OUM3" s="7"/>
      <c r="OUN3" s="7"/>
      <c r="OUO3" s="7"/>
      <c r="OUP3" s="7"/>
      <c r="OUQ3" s="7"/>
      <c r="OUR3" s="7"/>
      <c r="OUS3" s="7"/>
      <c r="OUT3" s="7"/>
      <c r="OUU3" s="7"/>
      <c r="OUV3" s="7"/>
      <c r="OUW3" s="7"/>
      <c r="OUX3" s="7"/>
      <c r="OUY3" s="7"/>
      <c r="OUZ3" s="7"/>
      <c r="OVA3" s="7"/>
      <c r="OVB3" s="7"/>
      <c r="OVC3" s="7"/>
      <c r="OVD3" s="7"/>
      <c r="OVE3" s="7"/>
      <c r="OVF3" s="7"/>
      <c r="OVG3" s="7"/>
      <c r="OVH3" s="7"/>
      <c r="OVI3" s="7"/>
      <c r="OVJ3" s="7"/>
      <c r="OVK3" s="7"/>
      <c r="OVL3" s="7"/>
      <c r="OVM3" s="7"/>
      <c r="OVN3" s="7"/>
      <c r="OVO3" s="7"/>
      <c r="OVP3" s="7"/>
      <c r="OVQ3" s="7"/>
      <c r="OVR3" s="7"/>
      <c r="OVS3" s="7"/>
      <c r="OVT3" s="7"/>
      <c r="OVU3" s="7"/>
      <c r="OVV3" s="7"/>
      <c r="OVW3" s="7"/>
      <c r="OVX3" s="7"/>
      <c r="OVY3" s="7"/>
      <c r="OVZ3" s="7"/>
      <c r="OWA3" s="7"/>
      <c r="OWB3" s="7"/>
      <c r="OWC3" s="7"/>
      <c r="OWD3" s="7"/>
      <c r="OWE3" s="7"/>
      <c r="OWF3" s="7"/>
      <c r="OWG3" s="7"/>
      <c r="OWH3" s="7"/>
      <c r="OWI3" s="7"/>
      <c r="OWJ3" s="7"/>
      <c r="OWK3" s="7"/>
      <c r="OWL3" s="7"/>
      <c r="OWM3" s="7"/>
      <c r="OWN3" s="7"/>
      <c r="OWO3" s="7"/>
      <c r="OWP3" s="7"/>
      <c r="OWQ3" s="7"/>
      <c r="OWR3" s="7"/>
      <c r="OWS3" s="7"/>
      <c r="OWT3" s="7"/>
      <c r="OWU3" s="7"/>
      <c r="OWV3" s="7"/>
      <c r="OWW3" s="7"/>
      <c r="OWX3" s="7"/>
      <c r="OWY3" s="7"/>
      <c r="OWZ3" s="7"/>
      <c r="OXA3" s="7"/>
      <c r="OXB3" s="7"/>
      <c r="OXC3" s="7"/>
      <c r="OXD3" s="7"/>
      <c r="OXE3" s="7"/>
      <c r="OXF3" s="7"/>
      <c r="OXG3" s="7"/>
      <c r="OXH3" s="7"/>
      <c r="OXI3" s="7"/>
      <c r="OXJ3" s="7"/>
      <c r="OXK3" s="7"/>
      <c r="OXL3" s="7"/>
      <c r="OXM3" s="7"/>
      <c r="OXN3" s="7"/>
      <c r="OXO3" s="7"/>
      <c r="OXP3" s="7"/>
      <c r="OXQ3" s="7"/>
      <c r="OXR3" s="7"/>
      <c r="OXS3" s="7"/>
      <c r="OXT3" s="7"/>
      <c r="OXU3" s="7"/>
      <c r="OXV3" s="7"/>
      <c r="OXW3" s="7"/>
      <c r="OXX3" s="7"/>
      <c r="OXY3" s="7"/>
      <c r="OXZ3" s="7"/>
      <c r="OYA3" s="7"/>
      <c r="OYB3" s="7"/>
      <c r="OYC3" s="7"/>
      <c r="OYD3" s="7"/>
      <c r="OYE3" s="7"/>
      <c r="OYF3" s="7"/>
      <c r="OYG3" s="7"/>
      <c r="OYH3" s="7"/>
      <c r="OYI3" s="7"/>
      <c r="OYJ3" s="7"/>
      <c r="OYK3" s="7"/>
      <c r="OYL3" s="7"/>
      <c r="OYM3" s="7"/>
      <c r="OYN3" s="7"/>
      <c r="OYO3" s="7"/>
      <c r="OYP3" s="7"/>
      <c r="OYQ3" s="7"/>
      <c r="OYR3" s="7"/>
      <c r="OYS3" s="7"/>
      <c r="OYT3" s="7"/>
      <c r="OYU3" s="7"/>
      <c r="OYV3" s="7"/>
      <c r="OYW3" s="7"/>
      <c r="OYX3" s="7"/>
      <c r="OYY3" s="7"/>
      <c r="OYZ3" s="7"/>
      <c r="OZA3" s="7"/>
      <c r="OZB3" s="7"/>
      <c r="OZC3" s="7"/>
      <c r="OZD3" s="7"/>
      <c r="OZE3" s="7"/>
      <c r="OZF3" s="7"/>
      <c r="OZG3" s="7"/>
      <c r="OZH3" s="7"/>
      <c r="OZI3" s="7"/>
      <c r="OZJ3" s="7"/>
      <c r="OZK3" s="7"/>
      <c r="OZL3" s="7"/>
      <c r="OZM3" s="7"/>
      <c r="OZN3" s="7"/>
      <c r="OZO3" s="7"/>
      <c r="OZP3" s="7"/>
      <c r="OZQ3" s="7"/>
      <c r="OZR3" s="7"/>
      <c r="OZS3" s="7"/>
      <c r="OZT3" s="7"/>
      <c r="OZU3" s="7"/>
      <c r="OZV3" s="7"/>
      <c r="OZW3" s="7"/>
      <c r="OZX3" s="7"/>
      <c r="OZY3" s="7"/>
      <c r="OZZ3" s="7"/>
      <c r="PAA3" s="7"/>
      <c r="PAB3" s="7"/>
      <c r="PAC3" s="7"/>
      <c r="PAD3" s="7"/>
      <c r="PAE3" s="7"/>
      <c r="PAF3" s="7"/>
      <c r="PAG3" s="7"/>
      <c r="PAH3" s="7"/>
      <c r="PAI3" s="7"/>
      <c r="PAJ3" s="7"/>
      <c r="PAK3" s="7"/>
      <c r="PAL3" s="7"/>
      <c r="PAM3" s="7"/>
      <c r="PAN3" s="7"/>
      <c r="PAO3" s="7"/>
      <c r="PAP3" s="7"/>
      <c r="PAQ3" s="7"/>
      <c r="PAR3" s="7"/>
      <c r="PAS3" s="7"/>
      <c r="PAT3" s="7"/>
      <c r="PAU3" s="7"/>
      <c r="PAV3" s="7"/>
      <c r="PAW3" s="7"/>
      <c r="PAX3" s="7"/>
      <c r="PAY3" s="7"/>
      <c r="PAZ3" s="7"/>
      <c r="PBA3" s="7"/>
      <c r="PBB3" s="7"/>
      <c r="PBC3" s="7"/>
      <c r="PBD3" s="7"/>
      <c r="PBE3" s="7"/>
      <c r="PBF3" s="7"/>
      <c r="PBG3" s="7"/>
      <c r="PBH3" s="7"/>
      <c r="PBI3" s="7"/>
      <c r="PBJ3" s="7"/>
      <c r="PBK3" s="7"/>
      <c r="PBL3" s="7"/>
      <c r="PBM3" s="7"/>
      <c r="PBN3" s="7"/>
      <c r="PBO3" s="7"/>
      <c r="PBP3" s="7"/>
      <c r="PBQ3" s="7"/>
      <c r="PBR3" s="7"/>
      <c r="PBS3" s="7"/>
      <c r="PBT3" s="7"/>
      <c r="PBU3" s="7"/>
      <c r="PBV3" s="7"/>
      <c r="PBW3" s="7"/>
      <c r="PBX3" s="7"/>
      <c r="PBY3" s="7"/>
      <c r="PBZ3" s="7"/>
      <c r="PCA3" s="7"/>
      <c r="PCB3" s="7"/>
      <c r="PCC3" s="7"/>
      <c r="PCD3" s="7"/>
      <c r="PCE3" s="7"/>
      <c r="PCF3" s="7"/>
      <c r="PCG3" s="7"/>
      <c r="PCH3" s="7"/>
      <c r="PCI3" s="7"/>
      <c r="PCJ3" s="7"/>
      <c r="PCK3" s="7"/>
      <c r="PCL3" s="7"/>
      <c r="PCM3" s="7"/>
      <c r="PCN3" s="7"/>
      <c r="PCO3" s="7"/>
      <c r="PCP3" s="7"/>
      <c r="PCQ3" s="7"/>
      <c r="PCR3" s="7"/>
      <c r="PCS3" s="7"/>
      <c r="PCT3" s="7"/>
      <c r="PCU3" s="7"/>
      <c r="PCV3" s="7"/>
      <c r="PCW3" s="7"/>
      <c r="PCX3" s="7"/>
      <c r="PCY3" s="7"/>
      <c r="PCZ3" s="7"/>
      <c r="PDA3" s="7"/>
      <c r="PDB3" s="7"/>
      <c r="PDC3" s="7"/>
      <c r="PDD3" s="7"/>
      <c r="PDE3" s="7"/>
      <c r="PDF3" s="7"/>
      <c r="PDG3" s="7"/>
      <c r="PDH3" s="7"/>
      <c r="PDI3" s="7"/>
      <c r="PDJ3" s="7"/>
      <c r="PDK3" s="7"/>
      <c r="PDL3" s="7"/>
      <c r="PDM3" s="7"/>
      <c r="PDN3" s="7"/>
      <c r="PDO3" s="7"/>
      <c r="PDP3" s="7"/>
      <c r="PDQ3" s="7"/>
      <c r="PDR3" s="7"/>
      <c r="PDS3" s="7"/>
      <c r="PDT3" s="7"/>
      <c r="PDU3" s="7"/>
      <c r="PDV3" s="7"/>
      <c r="PDW3" s="7"/>
      <c r="PDX3" s="7"/>
      <c r="PDY3" s="7"/>
      <c r="PDZ3" s="7"/>
      <c r="PEA3" s="7"/>
      <c r="PEB3" s="7"/>
      <c r="PEC3" s="7"/>
      <c r="PED3" s="7"/>
      <c r="PEE3" s="7"/>
      <c r="PEF3" s="7"/>
      <c r="PEG3" s="7"/>
      <c r="PEH3" s="7"/>
      <c r="PEI3" s="7"/>
      <c r="PEJ3" s="7"/>
      <c r="PEK3" s="7"/>
      <c r="PEL3" s="7"/>
      <c r="PEM3" s="7"/>
      <c r="PEN3" s="7"/>
      <c r="PEO3" s="7"/>
      <c r="PEP3" s="7"/>
      <c r="PEQ3" s="7"/>
      <c r="PER3" s="7"/>
      <c r="PES3" s="7"/>
      <c r="PET3" s="7"/>
      <c r="PEU3" s="7"/>
      <c r="PEV3" s="7"/>
      <c r="PEW3" s="7"/>
      <c r="PEX3" s="7"/>
      <c r="PEY3" s="7"/>
      <c r="PEZ3" s="7"/>
      <c r="PFA3" s="7"/>
      <c r="PFB3" s="7"/>
      <c r="PFC3" s="7"/>
      <c r="PFD3" s="7"/>
      <c r="PFE3" s="7"/>
      <c r="PFF3" s="7"/>
      <c r="PFG3" s="7"/>
      <c r="PFH3" s="7"/>
      <c r="PFI3" s="7"/>
      <c r="PFJ3" s="7"/>
      <c r="PFK3" s="7"/>
      <c r="PFL3" s="7"/>
      <c r="PFM3" s="7"/>
      <c r="PFN3" s="7"/>
      <c r="PFO3" s="7"/>
      <c r="PFP3" s="7"/>
      <c r="PFQ3" s="7"/>
      <c r="PFR3" s="7"/>
      <c r="PFS3" s="7"/>
      <c r="PFT3" s="7"/>
      <c r="PFU3" s="7"/>
      <c r="PFV3" s="7"/>
      <c r="PFW3" s="7"/>
      <c r="PFX3" s="7"/>
      <c r="PFY3" s="7"/>
      <c r="PFZ3" s="7"/>
      <c r="PGA3" s="7"/>
      <c r="PGB3" s="7"/>
      <c r="PGC3" s="7"/>
      <c r="PGD3" s="7"/>
      <c r="PGE3" s="7"/>
      <c r="PGF3" s="7"/>
      <c r="PGG3" s="7"/>
      <c r="PGH3" s="7"/>
      <c r="PGI3" s="7"/>
      <c r="PGJ3" s="7"/>
      <c r="PGK3" s="7"/>
      <c r="PGL3" s="7"/>
      <c r="PGM3" s="7"/>
      <c r="PGN3" s="7"/>
      <c r="PGO3" s="7"/>
      <c r="PGP3" s="7"/>
      <c r="PGQ3" s="7"/>
      <c r="PGR3" s="7"/>
      <c r="PGS3" s="7"/>
      <c r="PGT3" s="7"/>
      <c r="PGU3" s="7"/>
      <c r="PGV3" s="7"/>
      <c r="PGW3" s="7"/>
      <c r="PGX3" s="7"/>
      <c r="PGY3" s="7"/>
      <c r="PGZ3" s="7"/>
      <c r="PHA3" s="7"/>
      <c r="PHB3" s="7"/>
      <c r="PHC3" s="7"/>
      <c r="PHD3" s="7"/>
      <c r="PHE3" s="7"/>
      <c r="PHF3" s="7"/>
      <c r="PHG3" s="7"/>
      <c r="PHH3" s="7"/>
      <c r="PHI3" s="7"/>
      <c r="PHJ3" s="7"/>
      <c r="PHK3" s="7"/>
      <c r="PHL3" s="7"/>
      <c r="PHM3" s="7"/>
      <c r="PHN3" s="7"/>
      <c r="PHO3" s="7"/>
      <c r="PHP3" s="7"/>
      <c r="PHQ3" s="7"/>
      <c r="PHR3" s="7"/>
      <c r="PHS3" s="7"/>
      <c r="PHT3" s="7"/>
      <c r="PHU3" s="7"/>
      <c r="PHV3" s="7"/>
      <c r="PHW3" s="7"/>
      <c r="PHX3" s="7"/>
      <c r="PHY3" s="7"/>
      <c r="PHZ3" s="7"/>
      <c r="PIA3" s="7"/>
      <c r="PIB3" s="7"/>
      <c r="PIC3" s="7"/>
      <c r="PID3" s="7"/>
      <c r="PIE3" s="7"/>
      <c r="PIF3" s="7"/>
      <c r="PIG3" s="7"/>
      <c r="PIH3" s="7"/>
      <c r="PII3" s="7"/>
      <c r="PIJ3" s="7"/>
      <c r="PIK3" s="7"/>
      <c r="PIL3" s="7"/>
      <c r="PIM3" s="7"/>
      <c r="PIN3" s="7"/>
      <c r="PIO3" s="7"/>
      <c r="PIP3" s="7"/>
      <c r="PIQ3" s="7"/>
      <c r="PIR3" s="7"/>
      <c r="PIS3" s="7"/>
      <c r="PIT3" s="7"/>
      <c r="PIU3" s="7"/>
      <c r="PIV3" s="7"/>
      <c r="PIW3" s="7"/>
      <c r="PIX3" s="7"/>
      <c r="PIY3" s="7"/>
      <c r="PIZ3" s="7"/>
      <c r="PJA3" s="7"/>
      <c r="PJB3" s="7"/>
      <c r="PJC3" s="7"/>
      <c r="PJD3" s="7"/>
      <c r="PJE3" s="7"/>
      <c r="PJF3" s="7"/>
      <c r="PJG3" s="7"/>
      <c r="PJH3" s="7"/>
      <c r="PJI3" s="7"/>
      <c r="PJJ3" s="7"/>
      <c r="PJK3" s="7"/>
      <c r="PJL3" s="7"/>
      <c r="PJM3" s="7"/>
      <c r="PJN3" s="7"/>
      <c r="PJO3" s="7"/>
      <c r="PJP3" s="7"/>
      <c r="PJQ3" s="7"/>
      <c r="PJR3" s="7"/>
      <c r="PJS3" s="7"/>
      <c r="PJT3" s="7"/>
      <c r="PJU3" s="7"/>
      <c r="PJV3" s="7"/>
      <c r="PJW3" s="7"/>
      <c r="PJX3" s="7"/>
      <c r="PJY3" s="7"/>
      <c r="PJZ3" s="7"/>
      <c r="PKA3" s="7"/>
      <c r="PKB3" s="7"/>
      <c r="PKC3" s="7"/>
      <c r="PKD3" s="7"/>
      <c r="PKE3" s="7"/>
      <c r="PKF3" s="7"/>
      <c r="PKG3" s="7"/>
      <c r="PKH3" s="7"/>
      <c r="PKI3" s="7"/>
      <c r="PKJ3" s="7"/>
      <c r="PKK3" s="7"/>
      <c r="PKL3" s="7"/>
      <c r="PKM3" s="7"/>
      <c r="PKN3" s="7"/>
      <c r="PKO3" s="7"/>
      <c r="PKP3" s="7"/>
      <c r="PKQ3" s="7"/>
      <c r="PKR3" s="7"/>
      <c r="PKS3" s="7"/>
      <c r="PKT3" s="7"/>
      <c r="PKU3" s="7"/>
      <c r="PKV3" s="7"/>
      <c r="PKW3" s="7"/>
      <c r="PKX3" s="7"/>
      <c r="PKY3" s="7"/>
      <c r="PKZ3" s="7"/>
      <c r="PLA3" s="7"/>
      <c r="PLB3" s="7"/>
      <c r="PLC3" s="7"/>
      <c r="PLD3" s="7"/>
      <c r="PLE3" s="7"/>
      <c r="PLF3" s="7"/>
      <c r="PLG3" s="7"/>
      <c r="PLH3" s="7"/>
      <c r="PLI3" s="7"/>
      <c r="PLJ3" s="7"/>
      <c r="PLK3" s="7"/>
      <c r="PLL3" s="7"/>
      <c r="PLM3" s="7"/>
      <c r="PLN3" s="7"/>
      <c r="PLO3" s="7"/>
      <c r="PLP3" s="7"/>
      <c r="PLQ3" s="7"/>
      <c r="PLR3" s="7"/>
      <c r="PLS3" s="7"/>
      <c r="PLT3" s="7"/>
      <c r="PLU3" s="7"/>
      <c r="PLV3" s="7"/>
      <c r="PLW3" s="7"/>
      <c r="PLX3" s="7"/>
      <c r="PLY3" s="7"/>
      <c r="PLZ3" s="7"/>
      <c r="PMA3" s="7"/>
      <c r="PMB3" s="7"/>
      <c r="PMC3" s="7"/>
      <c r="PMD3" s="7"/>
      <c r="PME3" s="7"/>
      <c r="PMF3" s="7"/>
      <c r="PMG3" s="7"/>
      <c r="PMH3" s="7"/>
      <c r="PMI3" s="7"/>
      <c r="PMJ3" s="7"/>
      <c r="PMK3" s="7"/>
      <c r="PML3" s="7"/>
      <c r="PMM3" s="7"/>
      <c r="PMN3" s="7"/>
      <c r="PMO3" s="7"/>
      <c r="PMP3" s="7"/>
      <c r="PMQ3" s="7"/>
      <c r="PMR3" s="7"/>
      <c r="PMS3" s="7"/>
      <c r="PMT3" s="7"/>
      <c r="PMU3" s="7"/>
      <c r="PMV3" s="7"/>
      <c r="PMW3" s="7"/>
      <c r="PMX3" s="7"/>
      <c r="PMY3" s="7"/>
      <c r="PMZ3" s="7"/>
      <c r="PNA3" s="7"/>
      <c r="PNB3" s="7"/>
      <c r="PNC3" s="7"/>
      <c r="PND3" s="7"/>
      <c r="PNE3" s="7"/>
      <c r="PNF3" s="7"/>
      <c r="PNG3" s="7"/>
      <c r="PNH3" s="7"/>
      <c r="PNI3" s="7"/>
      <c r="PNJ3" s="7"/>
      <c r="PNK3" s="7"/>
      <c r="PNL3" s="7"/>
      <c r="PNM3" s="7"/>
      <c r="PNN3" s="7"/>
      <c r="PNO3" s="7"/>
      <c r="PNP3" s="7"/>
      <c r="PNQ3" s="7"/>
      <c r="PNR3" s="7"/>
      <c r="PNS3" s="7"/>
      <c r="PNT3" s="7"/>
      <c r="PNU3" s="7"/>
      <c r="PNV3" s="7"/>
      <c r="PNW3" s="7"/>
      <c r="PNX3" s="7"/>
      <c r="PNY3" s="7"/>
      <c r="PNZ3" s="7"/>
      <c r="POA3" s="7"/>
      <c r="POB3" s="7"/>
      <c r="POC3" s="7"/>
      <c r="POD3" s="7"/>
      <c r="POE3" s="7"/>
      <c r="POF3" s="7"/>
      <c r="POG3" s="7"/>
      <c r="POH3" s="7"/>
      <c r="POI3" s="7"/>
      <c r="POJ3" s="7"/>
      <c r="POK3" s="7"/>
      <c r="POL3" s="7"/>
      <c r="POM3" s="7"/>
      <c r="PON3" s="7"/>
      <c r="POO3" s="7"/>
      <c r="POP3" s="7"/>
      <c r="POQ3" s="7"/>
      <c r="POR3" s="7"/>
      <c r="POS3" s="7"/>
      <c r="POT3" s="7"/>
      <c r="POU3" s="7"/>
      <c r="POV3" s="7"/>
      <c r="POW3" s="7"/>
      <c r="POX3" s="7"/>
      <c r="POY3" s="7"/>
      <c r="POZ3" s="7"/>
      <c r="PPA3" s="7"/>
      <c r="PPB3" s="7"/>
      <c r="PPC3" s="7"/>
      <c r="PPD3" s="7"/>
      <c r="PPE3" s="7"/>
      <c r="PPF3" s="7"/>
      <c r="PPG3" s="7"/>
      <c r="PPH3" s="7"/>
      <c r="PPI3" s="7"/>
      <c r="PPJ3" s="7"/>
      <c r="PPK3" s="7"/>
      <c r="PPL3" s="7"/>
      <c r="PPM3" s="7"/>
      <c r="PPN3" s="7"/>
      <c r="PPO3" s="7"/>
      <c r="PPP3" s="7"/>
      <c r="PPQ3" s="7"/>
      <c r="PPR3" s="7"/>
      <c r="PPS3" s="7"/>
      <c r="PPT3" s="7"/>
      <c r="PPU3" s="7"/>
      <c r="PPV3" s="7"/>
      <c r="PPW3" s="7"/>
      <c r="PPX3" s="7"/>
      <c r="PPY3" s="7"/>
      <c r="PPZ3" s="7"/>
      <c r="PQA3" s="7"/>
      <c r="PQB3" s="7"/>
      <c r="PQC3" s="7"/>
      <c r="PQD3" s="7"/>
      <c r="PQE3" s="7"/>
      <c r="PQF3" s="7"/>
      <c r="PQG3" s="7"/>
      <c r="PQH3" s="7"/>
      <c r="PQI3" s="7"/>
      <c r="PQJ3" s="7"/>
      <c r="PQK3" s="7"/>
      <c r="PQL3" s="7"/>
      <c r="PQM3" s="7"/>
      <c r="PQN3" s="7"/>
      <c r="PQO3" s="7"/>
      <c r="PQP3" s="7"/>
      <c r="PQQ3" s="7"/>
      <c r="PQR3" s="7"/>
      <c r="PQS3" s="7"/>
      <c r="PQT3" s="7"/>
      <c r="PQU3" s="7"/>
      <c r="PQV3" s="7"/>
      <c r="PQW3" s="7"/>
      <c r="PQX3" s="7"/>
      <c r="PQY3" s="7"/>
      <c r="PQZ3" s="7"/>
      <c r="PRA3" s="7"/>
      <c r="PRB3" s="7"/>
      <c r="PRC3" s="7"/>
      <c r="PRD3" s="7"/>
      <c r="PRE3" s="7"/>
      <c r="PRF3" s="7"/>
      <c r="PRG3" s="7"/>
      <c r="PRH3" s="7"/>
      <c r="PRI3" s="7"/>
      <c r="PRJ3" s="7"/>
      <c r="PRK3" s="7"/>
      <c r="PRL3" s="7"/>
      <c r="PRM3" s="7"/>
      <c r="PRN3" s="7"/>
      <c r="PRO3" s="7"/>
      <c r="PRP3" s="7"/>
      <c r="PRQ3" s="7"/>
      <c r="PRR3" s="7"/>
      <c r="PRS3" s="7"/>
      <c r="PRT3" s="7"/>
      <c r="PRU3" s="7"/>
      <c r="PRV3" s="7"/>
      <c r="PRW3" s="7"/>
      <c r="PRX3" s="7"/>
      <c r="PRY3" s="7"/>
      <c r="PRZ3" s="7"/>
      <c r="PSA3" s="7"/>
      <c r="PSB3" s="7"/>
      <c r="PSC3" s="7"/>
      <c r="PSD3" s="7"/>
      <c r="PSE3" s="7"/>
      <c r="PSF3" s="7"/>
      <c r="PSG3" s="7"/>
      <c r="PSH3" s="7"/>
      <c r="PSI3" s="7"/>
      <c r="PSJ3" s="7"/>
      <c r="PSK3" s="7"/>
      <c r="PSL3" s="7"/>
      <c r="PSM3" s="7"/>
      <c r="PSN3" s="7"/>
      <c r="PSO3" s="7"/>
      <c r="PSP3" s="7"/>
      <c r="PSQ3" s="7"/>
      <c r="PSR3" s="7"/>
      <c r="PSS3" s="7"/>
      <c r="PST3" s="7"/>
      <c r="PSU3" s="7"/>
      <c r="PSV3" s="7"/>
      <c r="PSW3" s="7"/>
      <c r="PSX3" s="7"/>
      <c r="PSY3" s="7"/>
      <c r="PSZ3" s="7"/>
      <c r="PTA3" s="7"/>
      <c r="PTB3" s="7"/>
      <c r="PTC3" s="7"/>
      <c r="PTD3" s="7"/>
      <c r="PTE3" s="7"/>
      <c r="PTF3" s="7"/>
      <c r="PTG3" s="7"/>
      <c r="PTH3" s="7"/>
      <c r="PTI3" s="7"/>
      <c r="PTJ3" s="7"/>
      <c r="PTK3" s="7"/>
      <c r="PTL3" s="7"/>
      <c r="PTM3" s="7"/>
      <c r="PTN3" s="7"/>
      <c r="PTO3" s="7"/>
      <c r="PTP3" s="7"/>
      <c r="PTQ3" s="7"/>
      <c r="PTR3" s="7"/>
      <c r="PTS3" s="7"/>
      <c r="PTT3" s="7"/>
      <c r="PTU3" s="7"/>
      <c r="PTV3" s="7"/>
      <c r="PTW3" s="7"/>
      <c r="PTX3" s="7"/>
      <c r="PTY3" s="7"/>
      <c r="PTZ3" s="7"/>
      <c r="PUA3" s="7"/>
      <c r="PUB3" s="7"/>
      <c r="PUC3" s="7"/>
      <c r="PUD3" s="7"/>
      <c r="PUE3" s="7"/>
      <c r="PUF3" s="7"/>
      <c r="PUG3" s="7"/>
      <c r="PUH3" s="7"/>
      <c r="PUI3" s="7"/>
      <c r="PUJ3" s="7"/>
      <c r="PUK3" s="7"/>
      <c r="PUL3" s="7"/>
      <c r="PUM3" s="7"/>
      <c r="PUN3" s="7"/>
      <c r="PUO3" s="7"/>
      <c r="PUP3" s="7"/>
      <c r="PUQ3" s="7"/>
      <c r="PUR3" s="7"/>
      <c r="PUS3" s="7"/>
      <c r="PUT3" s="7"/>
      <c r="PUU3" s="7"/>
      <c r="PUV3" s="7"/>
      <c r="PUW3" s="7"/>
      <c r="PUX3" s="7"/>
      <c r="PUY3" s="7"/>
      <c r="PUZ3" s="7"/>
      <c r="PVA3" s="7"/>
      <c r="PVB3" s="7"/>
      <c r="PVC3" s="7"/>
      <c r="PVD3" s="7"/>
      <c r="PVE3" s="7"/>
      <c r="PVF3" s="7"/>
      <c r="PVG3" s="7"/>
      <c r="PVH3" s="7"/>
      <c r="PVI3" s="7"/>
      <c r="PVJ3" s="7"/>
      <c r="PVK3" s="7"/>
      <c r="PVL3" s="7"/>
      <c r="PVM3" s="7"/>
      <c r="PVN3" s="7"/>
      <c r="PVO3" s="7"/>
      <c r="PVP3" s="7"/>
      <c r="PVQ3" s="7"/>
      <c r="PVR3" s="7"/>
      <c r="PVS3" s="7"/>
      <c r="PVT3" s="7"/>
      <c r="PVU3" s="7"/>
      <c r="PVV3" s="7"/>
      <c r="PVW3" s="7"/>
      <c r="PVX3" s="7"/>
      <c r="PVY3" s="7"/>
      <c r="PVZ3" s="7"/>
      <c r="PWA3" s="7"/>
      <c r="PWB3" s="7"/>
      <c r="PWC3" s="7"/>
      <c r="PWD3" s="7"/>
      <c r="PWE3" s="7"/>
      <c r="PWF3" s="7"/>
      <c r="PWG3" s="7"/>
      <c r="PWH3" s="7"/>
      <c r="PWI3" s="7"/>
      <c r="PWJ3" s="7"/>
      <c r="PWK3" s="7"/>
      <c r="PWL3" s="7"/>
      <c r="PWM3" s="7"/>
      <c r="PWN3" s="7"/>
      <c r="PWO3" s="7"/>
      <c r="PWP3" s="7"/>
      <c r="PWQ3" s="7"/>
      <c r="PWR3" s="7"/>
      <c r="PWS3" s="7"/>
      <c r="PWT3" s="7"/>
      <c r="PWU3" s="7"/>
      <c r="PWV3" s="7"/>
      <c r="PWW3" s="7"/>
      <c r="PWX3" s="7"/>
      <c r="PWY3" s="7"/>
      <c r="PWZ3" s="7"/>
      <c r="PXA3" s="7"/>
      <c r="PXB3" s="7"/>
      <c r="PXC3" s="7"/>
      <c r="PXD3" s="7"/>
      <c r="PXE3" s="7"/>
      <c r="PXF3" s="7"/>
      <c r="PXG3" s="7"/>
      <c r="PXH3" s="7"/>
      <c r="PXI3" s="7"/>
      <c r="PXJ3" s="7"/>
      <c r="PXK3" s="7"/>
      <c r="PXL3" s="7"/>
      <c r="PXM3" s="7"/>
      <c r="PXN3" s="7"/>
      <c r="PXO3" s="7"/>
      <c r="PXP3" s="7"/>
      <c r="PXQ3" s="7"/>
      <c r="PXR3" s="7"/>
      <c r="PXS3" s="7"/>
      <c r="PXT3" s="7"/>
      <c r="PXU3" s="7"/>
      <c r="PXV3" s="7"/>
      <c r="PXW3" s="7"/>
      <c r="PXX3" s="7"/>
      <c r="PXY3" s="7"/>
      <c r="PXZ3" s="7"/>
      <c r="PYA3" s="7"/>
      <c r="PYB3" s="7"/>
      <c r="PYC3" s="7"/>
      <c r="PYD3" s="7"/>
      <c r="PYE3" s="7"/>
      <c r="PYF3" s="7"/>
      <c r="PYG3" s="7"/>
      <c r="PYH3" s="7"/>
      <c r="PYI3" s="7"/>
      <c r="PYJ3" s="7"/>
      <c r="PYK3" s="7"/>
      <c r="PYL3" s="7"/>
      <c r="PYM3" s="7"/>
      <c r="PYN3" s="7"/>
      <c r="PYO3" s="7"/>
      <c r="PYP3" s="7"/>
      <c r="PYQ3" s="7"/>
      <c r="PYR3" s="7"/>
      <c r="PYS3" s="7"/>
      <c r="PYT3" s="7"/>
      <c r="PYU3" s="7"/>
      <c r="PYV3" s="7"/>
      <c r="PYW3" s="7"/>
      <c r="PYX3" s="7"/>
      <c r="PYY3" s="7"/>
      <c r="PYZ3" s="7"/>
      <c r="PZA3" s="7"/>
      <c r="PZB3" s="7"/>
      <c r="PZC3" s="7"/>
      <c r="PZD3" s="7"/>
      <c r="PZE3" s="7"/>
      <c r="PZF3" s="7"/>
      <c r="PZG3" s="7"/>
      <c r="PZH3" s="7"/>
      <c r="PZI3" s="7"/>
      <c r="PZJ3" s="7"/>
      <c r="PZK3" s="7"/>
      <c r="PZL3" s="7"/>
      <c r="PZM3" s="7"/>
      <c r="PZN3" s="7"/>
      <c r="PZO3" s="7"/>
      <c r="PZP3" s="7"/>
      <c r="PZQ3" s="7"/>
      <c r="PZR3" s="7"/>
      <c r="PZS3" s="7"/>
      <c r="PZT3" s="7"/>
      <c r="PZU3" s="7"/>
      <c r="PZV3" s="7"/>
      <c r="PZW3" s="7"/>
      <c r="PZX3" s="7"/>
      <c r="PZY3" s="7"/>
      <c r="PZZ3" s="7"/>
      <c r="QAA3" s="7"/>
      <c r="QAB3" s="7"/>
      <c r="QAC3" s="7"/>
      <c r="QAD3" s="7"/>
      <c r="QAE3" s="7"/>
      <c r="QAF3" s="7"/>
      <c r="QAG3" s="7"/>
      <c r="QAH3" s="7"/>
      <c r="QAI3" s="7"/>
      <c r="QAJ3" s="7"/>
      <c r="QAK3" s="7"/>
      <c r="QAL3" s="7"/>
      <c r="QAM3" s="7"/>
      <c r="QAN3" s="7"/>
      <c r="QAO3" s="7"/>
      <c r="QAP3" s="7"/>
      <c r="QAQ3" s="7"/>
      <c r="QAR3" s="7"/>
      <c r="QAS3" s="7"/>
      <c r="QAT3" s="7"/>
      <c r="QAU3" s="7"/>
      <c r="QAV3" s="7"/>
      <c r="QAW3" s="7"/>
      <c r="QAX3" s="7"/>
      <c r="QAY3" s="7"/>
      <c r="QAZ3" s="7"/>
      <c r="QBA3" s="7"/>
      <c r="QBB3" s="7"/>
      <c r="QBC3" s="7"/>
      <c r="QBD3" s="7"/>
      <c r="QBE3" s="7"/>
      <c r="QBF3" s="7"/>
      <c r="QBG3" s="7"/>
      <c r="QBH3" s="7"/>
      <c r="QBI3" s="7"/>
      <c r="QBJ3" s="7"/>
      <c r="QBK3" s="7"/>
      <c r="QBL3" s="7"/>
      <c r="QBM3" s="7"/>
      <c r="QBN3" s="7"/>
      <c r="QBO3" s="7"/>
      <c r="QBP3" s="7"/>
      <c r="QBQ3" s="7"/>
      <c r="QBR3" s="7"/>
      <c r="QBS3" s="7"/>
      <c r="QBT3" s="7"/>
      <c r="QBU3" s="7"/>
      <c r="QBV3" s="7"/>
      <c r="QBW3" s="7"/>
      <c r="QBX3" s="7"/>
      <c r="QBY3" s="7"/>
      <c r="QBZ3" s="7"/>
      <c r="QCA3" s="7"/>
      <c r="QCB3" s="7"/>
      <c r="QCC3" s="7"/>
      <c r="QCD3" s="7"/>
      <c r="QCE3" s="7"/>
      <c r="QCF3" s="7"/>
      <c r="QCG3" s="7"/>
      <c r="QCH3" s="7"/>
      <c r="QCI3" s="7"/>
      <c r="QCJ3" s="7"/>
      <c r="QCK3" s="7"/>
      <c r="QCL3" s="7"/>
      <c r="QCM3" s="7"/>
      <c r="QCN3" s="7"/>
      <c r="QCO3" s="7"/>
      <c r="QCP3" s="7"/>
      <c r="QCQ3" s="7"/>
      <c r="QCR3" s="7"/>
      <c r="QCS3" s="7"/>
      <c r="QCT3" s="7"/>
      <c r="QCU3" s="7"/>
      <c r="QCV3" s="7"/>
      <c r="QCW3" s="7"/>
      <c r="QCX3" s="7"/>
      <c r="QCY3" s="7"/>
      <c r="QCZ3" s="7"/>
      <c r="QDA3" s="7"/>
      <c r="QDB3" s="7"/>
      <c r="QDC3" s="7"/>
      <c r="QDD3" s="7"/>
      <c r="QDE3" s="7"/>
      <c r="QDF3" s="7"/>
      <c r="QDG3" s="7"/>
      <c r="QDH3" s="7"/>
      <c r="QDI3" s="7"/>
      <c r="QDJ3" s="7"/>
      <c r="QDK3" s="7"/>
      <c r="QDL3" s="7"/>
      <c r="QDM3" s="7"/>
      <c r="QDN3" s="7"/>
      <c r="QDO3" s="7"/>
      <c r="QDP3" s="7"/>
      <c r="QDQ3" s="7"/>
      <c r="QDR3" s="7"/>
      <c r="QDS3" s="7"/>
      <c r="QDT3" s="7"/>
      <c r="QDU3" s="7"/>
      <c r="QDV3" s="7"/>
      <c r="QDW3" s="7"/>
      <c r="QDX3" s="7"/>
      <c r="QDY3" s="7"/>
      <c r="QDZ3" s="7"/>
      <c r="QEA3" s="7"/>
      <c r="QEB3" s="7"/>
      <c r="QEC3" s="7"/>
      <c r="QED3" s="7"/>
      <c r="QEE3" s="7"/>
      <c r="QEF3" s="7"/>
      <c r="QEG3" s="7"/>
      <c r="QEH3" s="7"/>
      <c r="QEI3" s="7"/>
      <c r="QEJ3" s="7"/>
      <c r="QEK3" s="7"/>
      <c r="QEL3" s="7"/>
      <c r="QEM3" s="7"/>
      <c r="QEN3" s="7"/>
      <c r="QEO3" s="7"/>
      <c r="QEP3" s="7"/>
      <c r="QEQ3" s="7"/>
      <c r="QER3" s="7"/>
      <c r="QES3" s="7"/>
      <c r="QET3" s="7"/>
      <c r="QEU3" s="7"/>
      <c r="QEV3" s="7"/>
      <c r="QEW3" s="7"/>
      <c r="QEX3" s="7"/>
      <c r="QEY3" s="7"/>
      <c r="QEZ3" s="7"/>
      <c r="QFA3" s="7"/>
      <c r="QFB3" s="7"/>
      <c r="QFC3" s="7"/>
      <c r="QFD3" s="7"/>
      <c r="QFE3" s="7"/>
      <c r="QFF3" s="7"/>
      <c r="QFG3" s="7"/>
      <c r="QFH3" s="7"/>
      <c r="QFI3" s="7"/>
      <c r="QFJ3" s="7"/>
      <c r="QFK3" s="7"/>
      <c r="QFL3" s="7"/>
      <c r="QFM3" s="7"/>
      <c r="QFN3" s="7"/>
      <c r="QFO3" s="7"/>
      <c r="QFP3" s="7"/>
      <c r="QFQ3" s="7"/>
      <c r="QFR3" s="7"/>
      <c r="QFS3" s="7"/>
      <c r="QFT3" s="7"/>
      <c r="QFU3" s="7"/>
      <c r="QFV3" s="7"/>
      <c r="QFW3" s="7"/>
      <c r="QFX3" s="7"/>
      <c r="QFY3" s="7"/>
      <c r="QFZ3" s="7"/>
      <c r="QGA3" s="7"/>
      <c r="QGB3" s="7"/>
      <c r="QGC3" s="7"/>
      <c r="QGD3" s="7"/>
      <c r="QGE3" s="7"/>
      <c r="QGF3" s="7"/>
      <c r="QGG3" s="7"/>
      <c r="QGH3" s="7"/>
      <c r="QGI3" s="7"/>
      <c r="QGJ3" s="7"/>
      <c r="QGK3" s="7"/>
      <c r="QGL3" s="7"/>
      <c r="QGM3" s="7"/>
      <c r="QGN3" s="7"/>
      <c r="QGO3" s="7"/>
      <c r="QGP3" s="7"/>
      <c r="QGQ3" s="7"/>
      <c r="QGR3" s="7"/>
      <c r="QGS3" s="7"/>
      <c r="QGT3" s="7"/>
      <c r="QGU3" s="7"/>
      <c r="QGV3" s="7"/>
      <c r="QGW3" s="7"/>
      <c r="QGX3" s="7"/>
      <c r="QGY3" s="7"/>
      <c r="QGZ3" s="7"/>
      <c r="QHA3" s="7"/>
      <c r="QHB3" s="7"/>
      <c r="QHC3" s="7"/>
      <c r="QHD3" s="7"/>
      <c r="QHE3" s="7"/>
      <c r="QHF3" s="7"/>
      <c r="QHG3" s="7"/>
      <c r="QHH3" s="7"/>
      <c r="QHI3" s="7"/>
      <c r="QHJ3" s="7"/>
      <c r="QHK3" s="7"/>
      <c r="QHL3" s="7"/>
      <c r="QHM3" s="7"/>
      <c r="QHN3" s="7"/>
      <c r="QHO3" s="7"/>
      <c r="QHP3" s="7"/>
      <c r="QHQ3" s="7"/>
      <c r="QHR3" s="7"/>
      <c r="QHS3" s="7"/>
      <c r="QHT3" s="7"/>
      <c r="QHU3" s="7"/>
      <c r="QHV3" s="7"/>
      <c r="QHW3" s="7"/>
      <c r="QHX3" s="7"/>
      <c r="QHY3" s="7"/>
      <c r="QHZ3" s="7"/>
      <c r="QIA3" s="7"/>
      <c r="QIB3" s="7"/>
      <c r="QIC3" s="7"/>
      <c r="QID3" s="7"/>
      <c r="QIE3" s="7"/>
      <c r="QIF3" s="7"/>
      <c r="QIG3" s="7"/>
      <c r="QIH3" s="7"/>
      <c r="QII3" s="7"/>
      <c r="QIJ3" s="7"/>
      <c r="QIK3" s="7"/>
      <c r="QIL3" s="7"/>
      <c r="QIM3" s="7"/>
      <c r="QIN3" s="7"/>
      <c r="QIO3" s="7"/>
      <c r="QIP3" s="7"/>
      <c r="QIQ3" s="7"/>
      <c r="QIR3" s="7"/>
      <c r="QIS3" s="7"/>
      <c r="QIT3" s="7"/>
      <c r="QIU3" s="7"/>
      <c r="QIV3" s="7"/>
      <c r="QIW3" s="7"/>
      <c r="QIX3" s="7"/>
      <c r="QIY3" s="7"/>
      <c r="QIZ3" s="7"/>
      <c r="QJA3" s="7"/>
      <c r="QJB3" s="7"/>
      <c r="QJC3" s="7"/>
      <c r="QJD3" s="7"/>
      <c r="QJE3" s="7"/>
      <c r="QJF3" s="7"/>
      <c r="QJG3" s="7"/>
      <c r="QJH3" s="7"/>
      <c r="QJI3" s="7"/>
      <c r="QJJ3" s="7"/>
      <c r="QJK3" s="7"/>
      <c r="QJL3" s="7"/>
      <c r="QJM3" s="7"/>
      <c r="QJN3" s="7"/>
      <c r="QJO3" s="7"/>
      <c r="QJP3" s="7"/>
      <c r="QJQ3" s="7"/>
      <c r="QJR3" s="7"/>
      <c r="QJS3" s="7"/>
      <c r="QJT3" s="7"/>
      <c r="QJU3" s="7"/>
      <c r="QJV3" s="7"/>
      <c r="QJW3" s="7"/>
      <c r="QJX3" s="7"/>
      <c r="QJY3" s="7"/>
      <c r="QJZ3" s="7"/>
      <c r="QKA3" s="7"/>
      <c r="QKB3" s="7"/>
      <c r="QKC3" s="7"/>
      <c r="QKD3" s="7"/>
      <c r="QKE3" s="7"/>
      <c r="QKF3" s="7"/>
      <c r="QKG3" s="7"/>
      <c r="QKH3" s="7"/>
      <c r="QKI3" s="7"/>
      <c r="QKJ3" s="7"/>
      <c r="QKK3" s="7"/>
      <c r="QKL3" s="7"/>
      <c r="QKM3" s="7"/>
      <c r="QKN3" s="7"/>
      <c r="QKO3" s="7"/>
      <c r="QKP3" s="7"/>
      <c r="QKQ3" s="7"/>
      <c r="QKR3" s="7"/>
      <c r="QKS3" s="7"/>
      <c r="QKT3" s="7"/>
      <c r="QKU3" s="7"/>
      <c r="QKV3" s="7"/>
      <c r="QKW3" s="7"/>
      <c r="QKX3" s="7"/>
      <c r="QKY3" s="7"/>
      <c r="QKZ3" s="7"/>
      <c r="QLA3" s="7"/>
      <c r="QLB3" s="7"/>
      <c r="QLC3" s="7"/>
      <c r="QLD3" s="7"/>
      <c r="QLE3" s="7"/>
      <c r="QLF3" s="7"/>
      <c r="QLG3" s="7"/>
      <c r="QLH3" s="7"/>
      <c r="QLI3" s="7"/>
      <c r="QLJ3" s="7"/>
      <c r="QLK3" s="7"/>
      <c r="QLL3" s="7"/>
      <c r="QLM3" s="7"/>
      <c r="QLN3" s="7"/>
      <c r="QLO3" s="7"/>
      <c r="QLP3" s="7"/>
      <c r="QLQ3" s="7"/>
      <c r="QLR3" s="7"/>
      <c r="QLS3" s="7"/>
      <c r="QLT3" s="7"/>
      <c r="QLU3" s="7"/>
      <c r="QLV3" s="7"/>
      <c r="QLW3" s="7"/>
      <c r="QLX3" s="7"/>
      <c r="QLY3" s="7"/>
      <c r="QLZ3" s="7"/>
      <c r="QMA3" s="7"/>
      <c r="QMB3" s="7"/>
      <c r="QMC3" s="7"/>
      <c r="QMD3" s="7"/>
      <c r="QME3" s="7"/>
      <c r="QMF3" s="7"/>
      <c r="QMG3" s="7"/>
      <c r="QMH3" s="7"/>
      <c r="QMI3" s="7"/>
      <c r="QMJ3" s="7"/>
      <c r="QMK3" s="7"/>
      <c r="QML3" s="7"/>
      <c r="QMM3" s="7"/>
      <c r="QMN3" s="7"/>
      <c r="QMO3" s="7"/>
      <c r="QMP3" s="7"/>
      <c r="QMQ3" s="7"/>
      <c r="QMR3" s="7"/>
      <c r="QMS3" s="7"/>
      <c r="QMT3" s="7"/>
      <c r="QMU3" s="7"/>
      <c r="QMV3" s="7"/>
      <c r="QMW3" s="7"/>
      <c r="QMX3" s="7"/>
      <c r="QMY3" s="7"/>
      <c r="QMZ3" s="7"/>
      <c r="QNA3" s="7"/>
      <c r="QNB3" s="7"/>
      <c r="QNC3" s="7"/>
      <c r="QND3" s="7"/>
      <c r="QNE3" s="7"/>
      <c r="QNF3" s="7"/>
      <c r="QNG3" s="7"/>
      <c r="QNH3" s="7"/>
      <c r="QNI3" s="7"/>
      <c r="QNJ3" s="7"/>
      <c r="QNK3" s="7"/>
      <c r="QNL3" s="7"/>
      <c r="QNM3" s="7"/>
      <c r="QNN3" s="7"/>
      <c r="QNO3" s="7"/>
      <c r="QNP3" s="7"/>
      <c r="QNQ3" s="7"/>
      <c r="QNR3" s="7"/>
      <c r="QNS3" s="7"/>
      <c r="QNT3" s="7"/>
      <c r="QNU3" s="7"/>
      <c r="QNV3" s="7"/>
      <c r="QNW3" s="7"/>
      <c r="QNX3" s="7"/>
      <c r="QNY3" s="7"/>
      <c r="QNZ3" s="7"/>
      <c r="QOA3" s="7"/>
      <c r="QOB3" s="7"/>
      <c r="QOC3" s="7"/>
      <c r="QOD3" s="7"/>
      <c r="QOE3" s="7"/>
      <c r="QOF3" s="7"/>
      <c r="QOG3" s="7"/>
      <c r="QOH3" s="7"/>
      <c r="QOI3" s="7"/>
      <c r="QOJ3" s="7"/>
      <c r="QOK3" s="7"/>
      <c r="QOL3" s="7"/>
      <c r="QOM3" s="7"/>
      <c r="QON3" s="7"/>
      <c r="QOO3" s="7"/>
      <c r="QOP3" s="7"/>
      <c r="QOQ3" s="7"/>
      <c r="QOR3" s="7"/>
      <c r="QOS3" s="7"/>
      <c r="QOT3" s="7"/>
      <c r="QOU3" s="7"/>
      <c r="QOV3" s="7"/>
      <c r="QOW3" s="7"/>
      <c r="QOX3" s="7"/>
      <c r="QOY3" s="7"/>
      <c r="QOZ3" s="7"/>
      <c r="QPA3" s="7"/>
      <c r="QPB3" s="7"/>
      <c r="QPC3" s="7"/>
      <c r="QPD3" s="7"/>
      <c r="QPE3" s="7"/>
      <c r="QPF3" s="7"/>
      <c r="QPG3" s="7"/>
      <c r="QPH3" s="7"/>
      <c r="QPI3" s="7"/>
      <c r="QPJ3" s="7"/>
      <c r="QPK3" s="7"/>
      <c r="QPL3" s="7"/>
      <c r="QPM3" s="7"/>
      <c r="QPN3" s="7"/>
      <c r="QPO3" s="7"/>
      <c r="QPP3" s="7"/>
      <c r="QPQ3" s="7"/>
      <c r="QPR3" s="7"/>
      <c r="QPS3" s="7"/>
      <c r="QPT3" s="7"/>
      <c r="QPU3" s="7"/>
      <c r="QPV3" s="7"/>
      <c r="QPW3" s="7"/>
      <c r="QPX3" s="7"/>
      <c r="QPY3" s="7"/>
      <c r="QPZ3" s="7"/>
      <c r="QQA3" s="7"/>
      <c r="QQB3" s="7"/>
      <c r="QQC3" s="7"/>
      <c r="QQD3" s="7"/>
      <c r="QQE3" s="7"/>
      <c r="QQF3" s="7"/>
      <c r="QQG3" s="7"/>
      <c r="QQH3" s="7"/>
      <c r="QQI3" s="7"/>
      <c r="QQJ3" s="7"/>
      <c r="QQK3" s="7"/>
      <c r="QQL3" s="7"/>
      <c r="QQM3" s="7"/>
      <c r="QQN3" s="7"/>
      <c r="QQO3" s="7"/>
      <c r="QQP3" s="7"/>
      <c r="QQQ3" s="7"/>
      <c r="QQR3" s="7"/>
      <c r="QQS3" s="7"/>
      <c r="QQT3" s="7"/>
      <c r="QQU3" s="7"/>
      <c r="QQV3" s="7"/>
      <c r="QQW3" s="7"/>
      <c r="QQX3" s="7"/>
      <c r="QQY3" s="7"/>
      <c r="QQZ3" s="7"/>
      <c r="QRA3" s="7"/>
      <c r="QRB3" s="7"/>
      <c r="QRC3" s="7"/>
      <c r="QRD3" s="7"/>
      <c r="QRE3" s="7"/>
      <c r="QRF3" s="7"/>
      <c r="QRG3" s="7"/>
      <c r="QRH3" s="7"/>
      <c r="QRI3" s="7"/>
      <c r="QRJ3" s="7"/>
      <c r="QRK3" s="7"/>
      <c r="QRL3" s="7"/>
      <c r="QRM3" s="7"/>
      <c r="QRN3" s="7"/>
      <c r="QRO3" s="7"/>
      <c r="QRP3" s="7"/>
      <c r="QRQ3" s="7"/>
      <c r="QRR3" s="7"/>
      <c r="QRS3" s="7"/>
      <c r="QRT3" s="7"/>
      <c r="QRU3" s="7"/>
      <c r="QRV3" s="7"/>
      <c r="QRW3" s="7"/>
      <c r="QRX3" s="7"/>
      <c r="QRY3" s="7"/>
      <c r="QRZ3" s="7"/>
      <c r="QSA3" s="7"/>
      <c r="QSB3" s="7"/>
      <c r="QSC3" s="7"/>
      <c r="QSD3" s="7"/>
      <c r="QSE3" s="7"/>
      <c r="QSF3" s="7"/>
      <c r="QSG3" s="7"/>
      <c r="QSH3" s="7"/>
      <c r="QSI3" s="7"/>
      <c r="QSJ3" s="7"/>
      <c r="QSK3" s="7"/>
      <c r="QSL3" s="7"/>
      <c r="QSM3" s="7"/>
      <c r="QSN3" s="7"/>
      <c r="QSO3" s="7"/>
      <c r="QSP3" s="7"/>
      <c r="QSQ3" s="7"/>
      <c r="QSR3" s="7"/>
      <c r="QSS3" s="7"/>
      <c r="QST3" s="7"/>
      <c r="QSU3" s="7"/>
      <c r="QSV3" s="7"/>
      <c r="QSW3" s="7"/>
      <c r="QSX3" s="7"/>
      <c r="QSY3" s="7"/>
      <c r="QSZ3" s="7"/>
      <c r="QTA3" s="7"/>
      <c r="QTB3" s="7"/>
      <c r="QTC3" s="7"/>
      <c r="QTD3" s="7"/>
      <c r="QTE3" s="7"/>
      <c r="QTF3" s="7"/>
      <c r="QTG3" s="7"/>
      <c r="QTH3" s="7"/>
      <c r="QTI3" s="7"/>
      <c r="QTJ3" s="7"/>
      <c r="QTK3" s="7"/>
      <c r="QTL3" s="7"/>
      <c r="QTM3" s="7"/>
      <c r="QTN3" s="7"/>
      <c r="QTO3" s="7"/>
      <c r="QTP3" s="7"/>
      <c r="QTQ3" s="7"/>
      <c r="QTR3" s="7"/>
      <c r="QTS3" s="7"/>
      <c r="QTT3" s="7"/>
      <c r="QTU3" s="7"/>
      <c r="QTV3" s="7"/>
      <c r="QTW3" s="7"/>
      <c r="QTX3" s="7"/>
      <c r="QTY3" s="7"/>
      <c r="QTZ3" s="7"/>
      <c r="QUA3" s="7"/>
      <c r="QUB3" s="7"/>
      <c r="QUC3" s="7"/>
      <c r="QUD3" s="7"/>
      <c r="QUE3" s="7"/>
      <c r="QUF3" s="7"/>
      <c r="QUG3" s="7"/>
      <c r="QUH3" s="7"/>
      <c r="QUI3" s="7"/>
      <c r="QUJ3" s="7"/>
      <c r="QUK3" s="7"/>
      <c r="QUL3" s="7"/>
      <c r="QUM3" s="7"/>
      <c r="QUN3" s="7"/>
      <c r="QUO3" s="7"/>
      <c r="QUP3" s="7"/>
      <c r="QUQ3" s="7"/>
      <c r="QUR3" s="7"/>
      <c r="QUS3" s="7"/>
      <c r="QUT3" s="7"/>
      <c r="QUU3" s="7"/>
      <c r="QUV3" s="7"/>
      <c r="QUW3" s="7"/>
      <c r="QUX3" s="7"/>
      <c r="QUY3" s="7"/>
      <c r="QUZ3" s="7"/>
      <c r="QVA3" s="7"/>
      <c r="QVB3" s="7"/>
      <c r="QVC3" s="7"/>
      <c r="QVD3" s="7"/>
      <c r="QVE3" s="7"/>
      <c r="QVF3" s="7"/>
      <c r="QVG3" s="7"/>
      <c r="QVH3" s="7"/>
      <c r="QVI3" s="7"/>
      <c r="QVJ3" s="7"/>
      <c r="QVK3" s="7"/>
      <c r="QVL3" s="7"/>
      <c r="QVM3" s="7"/>
      <c r="QVN3" s="7"/>
      <c r="QVO3" s="7"/>
      <c r="QVP3" s="7"/>
      <c r="QVQ3" s="7"/>
      <c r="QVR3" s="7"/>
      <c r="QVS3" s="7"/>
      <c r="QVT3" s="7"/>
      <c r="QVU3" s="7"/>
      <c r="QVV3" s="7"/>
      <c r="QVW3" s="7"/>
      <c r="QVX3" s="7"/>
      <c r="QVY3" s="7"/>
      <c r="QVZ3" s="7"/>
      <c r="QWA3" s="7"/>
      <c r="QWB3" s="7"/>
      <c r="QWC3" s="7"/>
      <c r="QWD3" s="7"/>
      <c r="QWE3" s="7"/>
      <c r="QWF3" s="7"/>
      <c r="QWG3" s="7"/>
      <c r="QWH3" s="7"/>
      <c r="QWI3" s="7"/>
      <c r="QWJ3" s="7"/>
      <c r="QWK3" s="7"/>
      <c r="QWL3" s="7"/>
      <c r="QWM3" s="7"/>
      <c r="QWN3" s="7"/>
      <c r="QWO3" s="7"/>
      <c r="QWP3" s="7"/>
      <c r="QWQ3" s="7"/>
      <c r="QWR3" s="7"/>
      <c r="QWS3" s="7"/>
      <c r="QWT3" s="7"/>
      <c r="QWU3" s="7"/>
      <c r="QWV3" s="7"/>
      <c r="QWW3" s="7"/>
      <c r="QWX3" s="7"/>
      <c r="QWY3" s="7"/>
      <c r="QWZ3" s="7"/>
      <c r="QXA3" s="7"/>
      <c r="QXB3" s="7"/>
      <c r="QXC3" s="7"/>
      <c r="QXD3" s="7"/>
      <c r="QXE3" s="7"/>
      <c r="QXF3" s="7"/>
      <c r="QXG3" s="7"/>
      <c r="QXH3" s="7"/>
      <c r="QXI3" s="7"/>
      <c r="QXJ3" s="7"/>
      <c r="QXK3" s="7"/>
      <c r="QXL3" s="7"/>
      <c r="QXM3" s="7"/>
      <c r="QXN3" s="7"/>
      <c r="QXO3" s="7"/>
      <c r="QXP3" s="7"/>
      <c r="QXQ3" s="7"/>
      <c r="QXR3" s="7"/>
      <c r="QXS3" s="7"/>
      <c r="QXT3" s="7"/>
      <c r="QXU3" s="7"/>
      <c r="QXV3" s="7"/>
      <c r="QXW3" s="7"/>
      <c r="QXX3" s="7"/>
      <c r="QXY3" s="7"/>
      <c r="QXZ3" s="7"/>
      <c r="QYA3" s="7"/>
      <c r="QYB3" s="7"/>
      <c r="QYC3" s="7"/>
      <c r="QYD3" s="7"/>
      <c r="QYE3" s="7"/>
      <c r="QYF3" s="7"/>
      <c r="QYG3" s="7"/>
      <c r="QYH3" s="7"/>
      <c r="QYI3" s="7"/>
      <c r="QYJ3" s="7"/>
      <c r="QYK3" s="7"/>
      <c r="QYL3" s="7"/>
      <c r="QYM3" s="7"/>
      <c r="QYN3" s="7"/>
      <c r="QYO3" s="7"/>
      <c r="QYP3" s="7"/>
      <c r="QYQ3" s="7"/>
      <c r="QYR3" s="7"/>
      <c r="QYS3" s="7"/>
      <c r="QYT3" s="7"/>
      <c r="QYU3" s="7"/>
      <c r="QYV3" s="7"/>
      <c r="QYW3" s="7"/>
      <c r="QYX3" s="7"/>
      <c r="QYY3" s="7"/>
      <c r="QYZ3" s="7"/>
      <c r="QZA3" s="7"/>
      <c r="QZB3" s="7"/>
      <c r="QZC3" s="7"/>
      <c r="QZD3" s="7"/>
      <c r="QZE3" s="7"/>
      <c r="QZF3" s="7"/>
      <c r="QZG3" s="7"/>
      <c r="QZH3" s="7"/>
      <c r="QZI3" s="7"/>
      <c r="QZJ3" s="7"/>
      <c r="QZK3" s="7"/>
      <c r="QZL3" s="7"/>
      <c r="QZM3" s="7"/>
      <c r="QZN3" s="7"/>
      <c r="QZO3" s="7"/>
      <c r="QZP3" s="7"/>
      <c r="QZQ3" s="7"/>
      <c r="QZR3" s="7"/>
      <c r="QZS3" s="7"/>
      <c r="QZT3" s="7"/>
      <c r="QZU3" s="7"/>
      <c r="QZV3" s="7"/>
      <c r="QZW3" s="7"/>
      <c r="QZX3" s="7"/>
      <c r="QZY3" s="7"/>
      <c r="QZZ3" s="7"/>
      <c r="RAA3" s="7"/>
      <c r="RAB3" s="7"/>
      <c r="RAC3" s="7"/>
      <c r="RAD3" s="7"/>
      <c r="RAE3" s="7"/>
      <c r="RAF3" s="7"/>
      <c r="RAG3" s="7"/>
      <c r="RAH3" s="7"/>
      <c r="RAI3" s="7"/>
      <c r="RAJ3" s="7"/>
      <c r="RAK3" s="7"/>
      <c r="RAL3" s="7"/>
      <c r="RAM3" s="7"/>
      <c r="RAN3" s="7"/>
      <c r="RAO3" s="7"/>
      <c r="RAP3" s="7"/>
      <c r="RAQ3" s="7"/>
      <c r="RAR3" s="7"/>
      <c r="RAS3" s="7"/>
      <c r="RAT3" s="7"/>
      <c r="RAU3" s="7"/>
      <c r="RAV3" s="7"/>
      <c r="RAW3" s="7"/>
      <c r="RAX3" s="7"/>
      <c r="RAY3" s="7"/>
      <c r="RAZ3" s="7"/>
      <c r="RBA3" s="7"/>
      <c r="RBB3" s="7"/>
      <c r="RBC3" s="7"/>
      <c r="RBD3" s="7"/>
      <c r="RBE3" s="7"/>
      <c r="RBF3" s="7"/>
      <c r="RBG3" s="7"/>
      <c r="RBH3" s="7"/>
      <c r="RBI3" s="7"/>
      <c r="RBJ3" s="7"/>
      <c r="RBK3" s="7"/>
      <c r="RBL3" s="7"/>
      <c r="RBM3" s="7"/>
      <c r="RBN3" s="7"/>
      <c r="RBO3" s="7"/>
      <c r="RBP3" s="7"/>
      <c r="RBQ3" s="7"/>
      <c r="RBR3" s="7"/>
      <c r="RBS3" s="7"/>
      <c r="RBT3" s="7"/>
      <c r="RBU3" s="7"/>
      <c r="RBV3" s="7"/>
      <c r="RBW3" s="7"/>
      <c r="RBX3" s="7"/>
      <c r="RBY3" s="7"/>
      <c r="RBZ3" s="7"/>
      <c r="RCA3" s="7"/>
      <c r="RCB3" s="7"/>
      <c r="RCC3" s="7"/>
      <c r="RCD3" s="7"/>
      <c r="RCE3" s="7"/>
      <c r="RCF3" s="7"/>
      <c r="RCG3" s="7"/>
      <c r="RCH3" s="7"/>
      <c r="RCI3" s="7"/>
      <c r="RCJ3" s="7"/>
      <c r="RCK3" s="7"/>
      <c r="RCL3" s="7"/>
      <c r="RCM3" s="7"/>
      <c r="RCN3" s="7"/>
      <c r="RCO3" s="7"/>
      <c r="RCP3" s="7"/>
      <c r="RCQ3" s="7"/>
      <c r="RCR3" s="7"/>
      <c r="RCS3" s="7"/>
      <c r="RCT3" s="7"/>
      <c r="RCU3" s="7"/>
      <c r="RCV3" s="7"/>
      <c r="RCW3" s="7"/>
      <c r="RCX3" s="7"/>
      <c r="RCY3" s="7"/>
      <c r="RCZ3" s="7"/>
      <c r="RDA3" s="7"/>
      <c r="RDB3" s="7"/>
      <c r="RDC3" s="7"/>
      <c r="RDD3" s="7"/>
      <c r="RDE3" s="7"/>
      <c r="RDF3" s="7"/>
      <c r="RDG3" s="7"/>
      <c r="RDH3" s="7"/>
      <c r="RDI3" s="7"/>
      <c r="RDJ3" s="7"/>
      <c r="RDK3" s="7"/>
      <c r="RDL3" s="7"/>
      <c r="RDM3" s="7"/>
      <c r="RDN3" s="7"/>
      <c r="RDO3" s="7"/>
      <c r="RDP3" s="7"/>
      <c r="RDQ3" s="7"/>
      <c r="RDR3" s="7"/>
      <c r="RDS3" s="7"/>
      <c r="RDT3" s="7"/>
      <c r="RDU3" s="7"/>
      <c r="RDV3" s="7"/>
      <c r="RDW3" s="7"/>
      <c r="RDX3" s="7"/>
      <c r="RDY3" s="7"/>
      <c r="RDZ3" s="7"/>
      <c r="REA3" s="7"/>
      <c r="REB3" s="7"/>
      <c r="REC3" s="7"/>
      <c r="RED3" s="7"/>
      <c r="REE3" s="7"/>
      <c r="REF3" s="7"/>
      <c r="REG3" s="7"/>
      <c r="REH3" s="7"/>
      <c r="REI3" s="7"/>
      <c r="REJ3" s="7"/>
      <c r="REK3" s="7"/>
      <c r="REL3" s="7"/>
      <c r="REM3" s="7"/>
      <c r="REN3" s="7"/>
      <c r="REO3" s="7"/>
      <c r="REP3" s="7"/>
      <c r="REQ3" s="7"/>
      <c r="RER3" s="7"/>
      <c r="RES3" s="7"/>
      <c r="RET3" s="7"/>
      <c r="REU3" s="7"/>
      <c r="REV3" s="7"/>
      <c r="REW3" s="7"/>
      <c r="REX3" s="7"/>
      <c r="REY3" s="7"/>
      <c r="REZ3" s="7"/>
      <c r="RFA3" s="7"/>
      <c r="RFB3" s="7"/>
      <c r="RFC3" s="7"/>
      <c r="RFD3" s="7"/>
      <c r="RFE3" s="7"/>
      <c r="RFF3" s="7"/>
      <c r="RFG3" s="7"/>
      <c r="RFH3" s="7"/>
      <c r="RFI3" s="7"/>
      <c r="RFJ3" s="7"/>
      <c r="RFK3" s="7"/>
      <c r="RFL3" s="7"/>
      <c r="RFM3" s="7"/>
      <c r="RFN3" s="7"/>
      <c r="RFO3" s="7"/>
      <c r="RFP3" s="7"/>
      <c r="RFQ3" s="7"/>
      <c r="RFR3" s="7"/>
      <c r="RFS3" s="7"/>
      <c r="RFT3" s="7"/>
      <c r="RFU3" s="7"/>
      <c r="RFV3" s="7"/>
      <c r="RFW3" s="7"/>
      <c r="RFX3" s="7"/>
      <c r="RFY3" s="7"/>
      <c r="RFZ3" s="7"/>
      <c r="RGA3" s="7"/>
      <c r="RGB3" s="7"/>
      <c r="RGC3" s="7"/>
      <c r="RGD3" s="7"/>
      <c r="RGE3" s="7"/>
      <c r="RGF3" s="7"/>
      <c r="RGG3" s="7"/>
      <c r="RGH3" s="7"/>
      <c r="RGI3" s="7"/>
      <c r="RGJ3" s="7"/>
      <c r="RGK3" s="7"/>
      <c r="RGL3" s="7"/>
      <c r="RGM3" s="7"/>
      <c r="RGN3" s="7"/>
      <c r="RGO3" s="7"/>
      <c r="RGP3" s="7"/>
      <c r="RGQ3" s="7"/>
      <c r="RGR3" s="7"/>
      <c r="RGS3" s="7"/>
      <c r="RGT3" s="7"/>
      <c r="RGU3" s="7"/>
      <c r="RGV3" s="7"/>
      <c r="RGW3" s="7"/>
      <c r="RGX3" s="7"/>
      <c r="RGY3" s="7"/>
      <c r="RGZ3" s="7"/>
      <c r="RHA3" s="7"/>
      <c r="RHB3" s="7"/>
      <c r="RHC3" s="7"/>
      <c r="RHD3" s="7"/>
      <c r="RHE3" s="7"/>
      <c r="RHF3" s="7"/>
      <c r="RHG3" s="7"/>
      <c r="RHH3" s="7"/>
      <c r="RHI3" s="7"/>
      <c r="RHJ3" s="7"/>
      <c r="RHK3" s="7"/>
      <c r="RHL3" s="7"/>
      <c r="RHM3" s="7"/>
      <c r="RHN3" s="7"/>
      <c r="RHO3" s="7"/>
      <c r="RHP3" s="7"/>
      <c r="RHQ3" s="7"/>
      <c r="RHR3" s="7"/>
      <c r="RHS3" s="7"/>
      <c r="RHT3" s="7"/>
      <c r="RHU3" s="7"/>
      <c r="RHV3" s="7"/>
      <c r="RHW3" s="7"/>
      <c r="RHX3" s="7"/>
      <c r="RHY3" s="7"/>
      <c r="RHZ3" s="7"/>
      <c r="RIA3" s="7"/>
      <c r="RIB3" s="7"/>
      <c r="RIC3" s="7"/>
      <c r="RID3" s="7"/>
      <c r="RIE3" s="7"/>
      <c r="RIF3" s="7"/>
      <c r="RIG3" s="7"/>
      <c r="RIH3" s="7"/>
      <c r="RII3" s="7"/>
      <c r="RIJ3" s="7"/>
      <c r="RIK3" s="7"/>
      <c r="RIL3" s="7"/>
      <c r="RIM3" s="7"/>
      <c r="RIN3" s="7"/>
      <c r="RIO3" s="7"/>
      <c r="RIP3" s="7"/>
      <c r="RIQ3" s="7"/>
      <c r="RIR3" s="7"/>
      <c r="RIS3" s="7"/>
      <c r="RIT3" s="7"/>
      <c r="RIU3" s="7"/>
      <c r="RIV3" s="7"/>
      <c r="RIW3" s="7"/>
      <c r="RIX3" s="7"/>
      <c r="RIY3" s="7"/>
      <c r="RIZ3" s="7"/>
      <c r="RJA3" s="7"/>
      <c r="RJB3" s="7"/>
      <c r="RJC3" s="7"/>
      <c r="RJD3" s="7"/>
      <c r="RJE3" s="7"/>
      <c r="RJF3" s="7"/>
      <c r="RJG3" s="7"/>
      <c r="RJH3" s="7"/>
      <c r="RJI3" s="7"/>
      <c r="RJJ3" s="7"/>
      <c r="RJK3" s="7"/>
      <c r="RJL3" s="7"/>
      <c r="RJM3" s="7"/>
      <c r="RJN3" s="7"/>
      <c r="RJO3" s="7"/>
      <c r="RJP3" s="7"/>
      <c r="RJQ3" s="7"/>
      <c r="RJR3" s="7"/>
      <c r="RJS3" s="7"/>
      <c r="RJT3" s="7"/>
      <c r="RJU3" s="7"/>
      <c r="RJV3" s="7"/>
      <c r="RJW3" s="7"/>
      <c r="RJX3" s="7"/>
      <c r="RJY3" s="7"/>
      <c r="RJZ3" s="7"/>
      <c r="RKA3" s="7"/>
      <c r="RKB3" s="7"/>
      <c r="RKC3" s="7"/>
      <c r="RKD3" s="7"/>
      <c r="RKE3" s="7"/>
      <c r="RKF3" s="7"/>
      <c r="RKG3" s="7"/>
      <c r="RKH3" s="7"/>
      <c r="RKI3" s="7"/>
      <c r="RKJ3" s="7"/>
      <c r="RKK3" s="7"/>
      <c r="RKL3" s="7"/>
      <c r="RKM3" s="7"/>
      <c r="RKN3" s="7"/>
      <c r="RKO3" s="7"/>
      <c r="RKP3" s="7"/>
      <c r="RKQ3" s="7"/>
      <c r="RKR3" s="7"/>
      <c r="RKS3" s="7"/>
      <c r="RKT3" s="7"/>
      <c r="RKU3" s="7"/>
      <c r="RKV3" s="7"/>
      <c r="RKW3" s="7"/>
      <c r="RKX3" s="7"/>
      <c r="RKY3" s="7"/>
      <c r="RKZ3" s="7"/>
      <c r="RLA3" s="7"/>
      <c r="RLB3" s="7"/>
      <c r="RLC3" s="7"/>
      <c r="RLD3" s="7"/>
      <c r="RLE3" s="7"/>
      <c r="RLF3" s="7"/>
      <c r="RLG3" s="7"/>
      <c r="RLH3" s="7"/>
      <c r="RLI3" s="7"/>
      <c r="RLJ3" s="7"/>
      <c r="RLK3" s="7"/>
      <c r="RLL3" s="7"/>
      <c r="RLM3" s="7"/>
      <c r="RLN3" s="7"/>
      <c r="RLO3" s="7"/>
      <c r="RLP3" s="7"/>
      <c r="RLQ3" s="7"/>
      <c r="RLR3" s="7"/>
      <c r="RLS3" s="7"/>
      <c r="RLT3" s="7"/>
      <c r="RLU3" s="7"/>
      <c r="RLV3" s="7"/>
      <c r="RLW3" s="7"/>
      <c r="RLX3" s="7"/>
      <c r="RLY3" s="7"/>
      <c r="RLZ3" s="7"/>
      <c r="RMA3" s="7"/>
      <c r="RMB3" s="7"/>
      <c r="RMC3" s="7"/>
      <c r="RMD3" s="7"/>
      <c r="RME3" s="7"/>
      <c r="RMF3" s="7"/>
      <c r="RMG3" s="7"/>
      <c r="RMH3" s="7"/>
      <c r="RMI3" s="7"/>
      <c r="RMJ3" s="7"/>
      <c r="RMK3" s="7"/>
      <c r="RML3" s="7"/>
      <c r="RMM3" s="7"/>
      <c r="RMN3" s="7"/>
      <c r="RMO3" s="7"/>
      <c r="RMP3" s="7"/>
      <c r="RMQ3" s="7"/>
      <c r="RMR3" s="7"/>
      <c r="RMS3" s="7"/>
      <c r="RMT3" s="7"/>
      <c r="RMU3" s="7"/>
      <c r="RMV3" s="7"/>
      <c r="RMW3" s="7"/>
      <c r="RMX3" s="7"/>
      <c r="RMY3" s="7"/>
      <c r="RMZ3" s="7"/>
      <c r="RNA3" s="7"/>
      <c r="RNB3" s="7"/>
      <c r="RNC3" s="7"/>
      <c r="RND3" s="7"/>
      <c r="RNE3" s="7"/>
      <c r="RNF3" s="7"/>
      <c r="RNG3" s="7"/>
      <c r="RNH3" s="7"/>
      <c r="RNI3" s="7"/>
      <c r="RNJ3" s="7"/>
      <c r="RNK3" s="7"/>
      <c r="RNL3" s="7"/>
      <c r="RNM3" s="7"/>
      <c r="RNN3" s="7"/>
      <c r="RNO3" s="7"/>
      <c r="RNP3" s="7"/>
      <c r="RNQ3" s="7"/>
      <c r="RNR3" s="7"/>
      <c r="RNS3" s="7"/>
      <c r="RNT3" s="7"/>
      <c r="RNU3" s="7"/>
      <c r="RNV3" s="7"/>
      <c r="RNW3" s="7"/>
      <c r="RNX3" s="7"/>
      <c r="RNY3" s="7"/>
      <c r="RNZ3" s="7"/>
      <c r="ROA3" s="7"/>
      <c r="ROB3" s="7"/>
      <c r="ROC3" s="7"/>
      <c r="ROD3" s="7"/>
      <c r="ROE3" s="7"/>
      <c r="ROF3" s="7"/>
      <c r="ROG3" s="7"/>
      <c r="ROH3" s="7"/>
      <c r="ROI3" s="7"/>
      <c r="ROJ3" s="7"/>
      <c r="ROK3" s="7"/>
      <c r="ROL3" s="7"/>
      <c r="ROM3" s="7"/>
      <c r="RON3" s="7"/>
      <c r="ROO3" s="7"/>
      <c r="ROP3" s="7"/>
      <c r="ROQ3" s="7"/>
      <c r="ROR3" s="7"/>
      <c r="ROS3" s="7"/>
      <c r="ROT3" s="7"/>
      <c r="ROU3" s="7"/>
      <c r="ROV3" s="7"/>
      <c r="ROW3" s="7"/>
      <c r="ROX3" s="7"/>
      <c r="ROY3" s="7"/>
      <c r="ROZ3" s="7"/>
      <c r="RPA3" s="7"/>
      <c r="RPB3" s="7"/>
      <c r="RPC3" s="7"/>
      <c r="RPD3" s="7"/>
      <c r="RPE3" s="7"/>
      <c r="RPF3" s="7"/>
      <c r="RPG3" s="7"/>
      <c r="RPH3" s="7"/>
      <c r="RPI3" s="7"/>
      <c r="RPJ3" s="7"/>
      <c r="RPK3" s="7"/>
      <c r="RPL3" s="7"/>
      <c r="RPM3" s="7"/>
      <c r="RPN3" s="7"/>
      <c r="RPO3" s="7"/>
      <c r="RPP3" s="7"/>
      <c r="RPQ3" s="7"/>
      <c r="RPR3" s="7"/>
      <c r="RPS3" s="7"/>
      <c r="RPT3" s="7"/>
      <c r="RPU3" s="7"/>
      <c r="RPV3" s="7"/>
      <c r="RPW3" s="7"/>
      <c r="RPX3" s="7"/>
      <c r="RPY3" s="7"/>
      <c r="RPZ3" s="7"/>
      <c r="RQA3" s="7"/>
      <c r="RQB3" s="7"/>
      <c r="RQC3" s="7"/>
      <c r="RQD3" s="7"/>
      <c r="RQE3" s="7"/>
      <c r="RQF3" s="7"/>
      <c r="RQG3" s="7"/>
      <c r="RQH3" s="7"/>
      <c r="RQI3" s="7"/>
      <c r="RQJ3" s="7"/>
      <c r="RQK3" s="7"/>
      <c r="RQL3" s="7"/>
      <c r="RQM3" s="7"/>
      <c r="RQN3" s="7"/>
      <c r="RQO3" s="7"/>
      <c r="RQP3" s="7"/>
      <c r="RQQ3" s="7"/>
      <c r="RQR3" s="7"/>
      <c r="RQS3" s="7"/>
      <c r="RQT3" s="7"/>
      <c r="RQU3" s="7"/>
      <c r="RQV3" s="7"/>
      <c r="RQW3" s="7"/>
      <c r="RQX3" s="7"/>
      <c r="RQY3" s="7"/>
      <c r="RQZ3" s="7"/>
      <c r="RRA3" s="7"/>
      <c r="RRB3" s="7"/>
      <c r="RRC3" s="7"/>
      <c r="RRD3" s="7"/>
      <c r="RRE3" s="7"/>
      <c r="RRF3" s="7"/>
      <c r="RRG3" s="7"/>
      <c r="RRH3" s="7"/>
      <c r="RRI3" s="7"/>
      <c r="RRJ3" s="7"/>
      <c r="RRK3" s="7"/>
      <c r="RRL3" s="7"/>
      <c r="RRM3" s="7"/>
      <c r="RRN3" s="7"/>
      <c r="RRO3" s="7"/>
      <c r="RRP3" s="7"/>
      <c r="RRQ3" s="7"/>
      <c r="RRR3" s="7"/>
      <c r="RRS3" s="7"/>
      <c r="RRT3" s="7"/>
      <c r="RRU3" s="7"/>
      <c r="RRV3" s="7"/>
      <c r="RRW3" s="7"/>
      <c r="RRX3" s="7"/>
      <c r="RRY3" s="7"/>
      <c r="RRZ3" s="7"/>
      <c r="RSA3" s="7"/>
      <c r="RSB3" s="7"/>
      <c r="RSC3" s="7"/>
      <c r="RSD3" s="7"/>
      <c r="RSE3" s="7"/>
      <c r="RSF3" s="7"/>
      <c r="RSG3" s="7"/>
      <c r="RSH3" s="7"/>
      <c r="RSI3" s="7"/>
      <c r="RSJ3" s="7"/>
      <c r="RSK3" s="7"/>
      <c r="RSL3" s="7"/>
      <c r="RSM3" s="7"/>
      <c r="RSN3" s="7"/>
      <c r="RSO3" s="7"/>
      <c r="RSP3" s="7"/>
      <c r="RSQ3" s="7"/>
      <c r="RSR3" s="7"/>
      <c r="RSS3" s="7"/>
      <c r="RST3" s="7"/>
      <c r="RSU3" s="7"/>
      <c r="RSV3" s="7"/>
      <c r="RSW3" s="7"/>
      <c r="RSX3" s="7"/>
      <c r="RSY3" s="7"/>
      <c r="RSZ3" s="7"/>
      <c r="RTA3" s="7"/>
      <c r="RTB3" s="7"/>
      <c r="RTC3" s="7"/>
      <c r="RTD3" s="7"/>
      <c r="RTE3" s="7"/>
      <c r="RTF3" s="7"/>
      <c r="RTG3" s="7"/>
      <c r="RTH3" s="7"/>
      <c r="RTI3" s="7"/>
      <c r="RTJ3" s="7"/>
      <c r="RTK3" s="7"/>
      <c r="RTL3" s="7"/>
      <c r="RTM3" s="7"/>
      <c r="RTN3" s="7"/>
      <c r="RTO3" s="7"/>
      <c r="RTP3" s="7"/>
      <c r="RTQ3" s="7"/>
      <c r="RTR3" s="7"/>
      <c r="RTS3" s="7"/>
      <c r="RTT3" s="7"/>
      <c r="RTU3" s="7"/>
      <c r="RTV3" s="7"/>
      <c r="RTW3" s="7"/>
      <c r="RTX3" s="7"/>
      <c r="RTY3" s="7"/>
      <c r="RTZ3" s="7"/>
      <c r="RUA3" s="7"/>
      <c r="RUB3" s="7"/>
      <c r="RUC3" s="7"/>
      <c r="RUD3" s="7"/>
      <c r="RUE3" s="7"/>
      <c r="RUF3" s="7"/>
      <c r="RUG3" s="7"/>
      <c r="RUH3" s="7"/>
      <c r="RUI3" s="7"/>
      <c r="RUJ3" s="7"/>
      <c r="RUK3" s="7"/>
      <c r="RUL3" s="7"/>
      <c r="RUM3" s="7"/>
      <c r="RUN3" s="7"/>
      <c r="RUO3" s="7"/>
      <c r="RUP3" s="7"/>
      <c r="RUQ3" s="7"/>
      <c r="RUR3" s="7"/>
      <c r="RUS3" s="7"/>
      <c r="RUT3" s="7"/>
      <c r="RUU3" s="7"/>
      <c r="RUV3" s="7"/>
      <c r="RUW3" s="7"/>
      <c r="RUX3" s="7"/>
      <c r="RUY3" s="7"/>
      <c r="RUZ3" s="7"/>
      <c r="RVA3" s="7"/>
      <c r="RVB3" s="7"/>
      <c r="RVC3" s="7"/>
      <c r="RVD3" s="7"/>
      <c r="RVE3" s="7"/>
      <c r="RVF3" s="7"/>
      <c r="RVG3" s="7"/>
      <c r="RVH3" s="7"/>
      <c r="RVI3" s="7"/>
      <c r="RVJ3" s="7"/>
      <c r="RVK3" s="7"/>
      <c r="RVL3" s="7"/>
      <c r="RVM3" s="7"/>
      <c r="RVN3" s="7"/>
      <c r="RVO3" s="7"/>
      <c r="RVP3" s="7"/>
      <c r="RVQ3" s="7"/>
      <c r="RVR3" s="7"/>
      <c r="RVS3" s="7"/>
      <c r="RVT3" s="7"/>
      <c r="RVU3" s="7"/>
      <c r="RVV3" s="7"/>
      <c r="RVW3" s="7"/>
      <c r="RVX3" s="7"/>
      <c r="RVY3" s="7"/>
      <c r="RVZ3" s="7"/>
      <c r="RWA3" s="7"/>
      <c r="RWB3" s="7"/>
      <c r="RWC3" s="7"/>
      <c r="RWD3" s="7"/>
      <c r="RWE3" s="7"/>
      <c r="RWF3" s="7"/>
      <c r="RWG3" s="7"/>
      <c r="RWH3" s="7"/>
      <c r="RWI3" s="7"/>
      <c r="RWJ3" s="7"/>
      <c r="RWK3" s="7"/>
      <c r="RWL3" s="7"/>
      <c r="RWM3" s="7"/>
      <c r="RWN3" s="7"/>
      <c r="RWO3" s="7"/>
      <c r="RWP3" s="7"/>
      <c r="RWQ3" s="7"/>
      <c r="RWR3" s="7"/>
      <c r="RWS3" s="7"/>
      <c r="RWT3" s="7"/>
      <c r="RWU3" s="7"/>
      <c r="RWV3" s="7"/>
      <c r="RWW3" s="7"/>
      <c r="RWX3" s="7"/>
      <c r="RWY3" s="7"/>
      <c r="RWZ3" s="7"/>
      <c r="RXA3" s="7"/>
      <c r="RXB3" s="7"/>
      <c r="RXC3" s="7"/>
      <c r="RXD3" s="7"/>
      <c r="RXE3" s="7"/>
      <c r="RXF3" s="7"/>
      <c r="RXG3" s="7"/>
      <c r="RXH3" s="7"/>
      <c r="RXI3" s="7"/>
      <c r="RXJ3" s="7"/>
      <c r="RXK3" s="7"/>
      <c r="RXL3" s="7"/>
      <c r="RXM3" s="7"/>
      <c r="RXN3" s="7"/>
      <c r="RXO3" s="7"/>
      <c r="RXP3" s="7"/>
      <c r="RXQ3" s="7"/>
      <c r="RXR3" s="7"/>
      <c r="RXS3" s="7"/>
      <c r="RXT3" s="7"/>
      <c r="RXU3" s="7"/>
      <c r="RXV3" s="7"/>
      <c r="RXW3" s="7"/>
      <c r="RXX3" s="7"/>
      <c r="RXY3" s="7"/>
      <c r="RXZ3" s="7"/>
      <c r="RYA3" s="7"/>
      <c r="RYB3" s="7"/>
      <c r="RYC3" s="7"/>
      <c r="RYD3" s="7"/>
      <c r="RYE3" s="7"/>
      <c r="RYF3" s="7"/>
      <c r="RYG3" s="7"/>
      <c r="RYH3" s="7"/>
      <c r="RYI3" s="7"/>
      <c r="RYJ3" s="7"/>
      <c r="RYK3" s="7"/>
      <c r="RYL3" s="7"/>
      <c r="RYM3" s="7"/>
      <c r="RYN3" s="7"/>
      <c r="RYO3" s="7"/>
      <c r="RYP3" s="7"/>
      <c r="RYQ3" s="7"/>
      <c r="RYR3" s="7"/>
      <c r="RYS3" s="7"/>
      <c r="RYT3" s="7"/>
      <c r="RYU3" s="7"/>
      <c r="RYV3" s="7"/>
      <c r="RYW3" s="7"/>
      <c r="RYX3" s="7"/>
      <c r="RYY3" s="7"/>
      <c r="RYZ3" s="7"/>
      <c r="RZA3" s="7"/>
      <c r="RZB3" s="7"/>
      <c r="RZC3" s="7"/>
      <c r="RZD3" s="7"/>
      <c r="RZE3" s="7"/>
      <c r="RZF3" s="7"/>
      <c r="RZG3" s="7"/>
      <c r="RZH3" s="7"/>
      <c r="RZI3" s="7"/>
      <c r="RZJ3" s="7"/>
      <c r="RZK3" s="7"/>
      <c r="RZL3" s="7"/>
      <c r="RZM3" s="7"/>
      <c r="RZN3" s="7"/>
      <c r="RZO3" s="7"/>
      <c r="RZP3" s="7"/>
      <c r="RZQ3" s="7"/>
      <c r="RZR3" s="7"/>
      <c r="RZS3" s="7"/>
      <c r="RZT3" s="7"/>
      <c r="RZU3" s="7"/>
      <c r="RZV3" s="7"/>
      <c r="RZW3" s="7"/>
      <c r="RZX3" s="7"/>
      <c r="RZY3" s="7"/>
      <c r="RZZ3" s="7"/>
      <c r="SAA3" s="7"/>
      <c r="SAB3" s="7"/>
      <c r="SAC3" s="7"/>
      <c r="SAD3" s="7"/>
      <c r="SAE3" s="7"/>
      <c r="SAF3" s="7"/>
      <c r="SAG3" s="7"/>
      <c r="SAH3" s="7"/>
      <c r="SAI3" s="7"/>
      <c r="SAJ3" s="7"/>
      <c r="SAK3" s="7"/>
      <c r="SAL3" s="7"/>
      <c r="SAM3" s="7"/>
      <c r="SAN3" s="7"/>
      <c r="SAO3" s="7"/>
      <c r="SAP3" s="7"/>
      <c r="SAQ3" s="7"/>
      <c r="SAR3" s="7"/>
      <c r="SAS3" s="7"/>
      <c r="SAT3" s="7"/>
      <c r="SAU3" s="7"/>
      <c r="SAV3" s="7"/>
      <c r="SAW3" s="7"/>
      <c r="SAX3" s="7"/>
      <c r="SAY3" s="7"/>
      <c r="SAZ3" s="7"/>
      <c r="SBA3" s="7"/>
      <c r="SBB3" s="7"/>
      <c r="SBC3" s="7"/>
      <c r="SBD3" s="7"/>
      <c r="SBE3" s="7"/>
      <c r="SBF3" s="7"/>
      <c r="SBG3" s="7"/>
      <c r="SBH3" s="7"/>
      <c r="SBI3" s="7"/>
      <c r="SBJ3" s="7"/>
      <c r="SBK3" s="7"/>
      <c r="SBL3" s="7"/>
      <c r="SBM3" s="7"/>
      <c r="SBN3" s="7"/>
      <c r="SBO3" s="7"/>
      <c r="SBP3" s="7"/>
      <c r="SBQ3" s="7"/>
      <c r="SBR3" s="7"/>
      <c r="SBS3" s="7"/>
      <c r="SBT3" s="7"/>
      <c r="SBU3" s="7"/>
      <c r="SBV3" s="7"/>
      <c r="SBW3" s="7"/>
      <c r="SBX3" s="7"/>
      <c r="SBY3" s="7"/>
      <c r="SBZ3" s="7"/>
      <c r="SCA3" s="7"/>
      <c r="SCB3" s="7"/>
      <c r="SCC3" s="7"/>
      <c r="SCD3" s="7"/>
      <c r="SCE3" s="7"/>
      <c r="SCF3" s="7"/>
      <c r="SCG3" s="7"/>
      <c r="SCH3" s="7"/>
      <c r="SCI3" s="7"/>
      <c r="SCJ3" s="7"/>
      <c r="SCK3" s="7"/>
      <c r="SCL3" s="7"/>
      <c r="SCM3" s="7"/>
      <c r="SCN3" s="7"/>
      <c r="SCO3" s="7"/>
      <c r="SCP3" s="7"/>
      <c r="SCQ3" s="7"/>
      <c r="SCR3" s="7"/>
      <c r="SCS3" s="7"/>
      <c r="SCT3" s="7"/>
      <c r="SCU3" s="7"/>
      <c r="SCV3" s="7"/>
      <c r="SCW3" s="7"/>
      <c r="SCX3" s="7"/>
      <c r="SCY3" s="7"/>
      <c r="SCZ3" s="7"/>
      <c r="SDA3" s="7"/>
      <c r="SDB3" s="7"/>
      <c r="SDC3" s="7"/>
      <c r="SDD3" s="7"/>
      <c r="SDE3" s="7"/>
      <c r="SDF3" s="7"/>
      <c r="SDG3" s="7"/>
      <c r="SDH3" s="7"/>
      <c r="SDI3" s="7"/>
      <c r="SDJ3" s="7"/>
      <c r="SDK3" s="7"/>
      <c r="SDL3" s="7"/>
      <c r="SDM3" s="7"/>
      <c r="SDN3" s="7"/>
      <c r="SDO3" s="7"/>
      <c r="SDP3" s="7"/>
      <c r="SDQ3" s="7"/>
      <c r="SDR3" s="7"/>
      <c r="SDS3" s="7"/>
      <c r="SDT3" s="7"/>
      <c r="SDU3" s="7"/>
      <c r="SDV3" s="7"/>
      <c r="SDW3" s="7"/>
      <c r="SDX3" s="7"/>
      <c r="SDY3" s="7"/>
      <c r="SDZ3" s="7"/>
      <c r="SEA3" s="7"/>
      <c r="SEB3" s="7"/>
      <c r="SEC3" s="7"/>
      <c r="SED3" s="7"/>
      <c r="SEE3" s="7"/>
      <c r="SEF3" s="7"/>
      <c r="SEG3" s="7"/>
      <c r="SEH3" s="7"/>
      <c r="SEI3" s="7"/>
      <c r="SEJ3" s="7"/>
      <c r="SEK3" s="7"/>
      <c r="SEL3" s="7"/>
      <c r="SEM3" s="7"/>
      <c r="SEN3" s="7"/>
      <c r="SEO3" s="7"/>
      <c r="SEP3" s="7"/>
      <c r="SEQ3" s="7"/>
      <c r="SER3" s="7"/>
      <c r="SES3" s="7"/>
      <c r="SET3" s="7"/>
      <c r="SEU3" s="7"/>
      <c r="SEV3" s="7"/>
      <c r="SEW3" s="7"/>
      <c r="SEX3" s="7"/>
      <c r="SEY3" s="7"/>
      <c r="SEZ3" s="7"/>
      <c r="SFA3" s="7"/>
      <c r="SFB3" s="7"/>
      <c r="SFC3" s="7"/>
      <c r="SFD3" s="7"/>
      <c r="SFE3" s="7"/>
      <c r="SFF3" s="7"/>
      <c r="SFG3" s="7"/>
      <c r="SFH3" s="7"/>
      <c r="SFI3" s="7"/>
      <c r="SFJ3" s="7"/>
      <c r="SFK3" s="7"/>
      <c r="SFL3" s="7"/>
      <c r="SFM3" s="7"/>
      <c r="SFN3" s="7"/>
      <c r="SFO3" s="7"/>
      <c r="SFP3" s="7"/>
      <c r="SFQ3" s="7"/>
      <c r="SFR3" s="7"/>
      <c r="SFS3" s="7"/>
      <c r="SFT3" s="7"/>
      <c r="SFU3" s="7"/>
      <c r="SFV3" s="7"/>
      <c r="SFW3" s="7"/>
      <c r="SFX3" s="7"/>
      <c r="SFY3" s="7"/>
      <c r="SFZ3" s="7"/>
      <c r="SGA3" s="7"/>
      <c r="SGB3" s="7"/>
      <c r="SGC3" s="7"/>
      <c r="SGD3" s="7"/>
      <c r="SGE3" s="7"/>
      <c r="SGF3" s="7"/>
      <c r="SGG3" s="7"/>
      <c r="SGH3" s="7"/>
      <c r="SGI3" s="7"/>
      <c r="SGJ3" s="7"/>
      <c r="SGK3" s="7"/>
      <c r="SGL3" s="7"/>
      <c r="SGM3" s="7"/>
      <c r="SGN3" s="7"/>
      <c r="SGO3" s="7"/>
      <c r="SGP3" s="7"/>
      <c r="SGQ3" s="7"/>
      <c r="SGR3" s="7"/>
      <c r="SGS3" s="7"/>
      <c r="SGT3" s="7"/>
      <c r="SGU3" s="7"/>
      <c r="SGV3" s="7"/>
      <c r="SGW3" s="7"/>
      <c r="SGX3" s="7"/>
      <c r="SGY3" s="7"/>
      <c r="SGZ3" s="7"/>
      <c r="SHA3" s="7"/>
      <c r="SHB3" s="7"/>
      <c r="SHC3" s="7"/>
      <c r="SHD3" s="7"/>
      <c r="SHE3" s="7"/>
      <c r="SHF3" s="7"/>
      <c r="SHG3" s="7"/>
      <c r="SHH3" s="7"/>
      <c r="SHI3" s="7"/>
      <c r="SHJ3" s="7"/>
      <c r="SHK3" s="7"/>
      <c r="SHL3" s="7"/>
      <c r="SHM3" s="7"/>
      <c r="SHN3" s="7"/>
      <c r="SHO3" s="7"/>
      <c r="SHP3" s="7"/>
      <c r="SHQ3" s="7"/>
      <c r="SHR3" s="7"/>
      <c r="SHS3" s="7"/>
      <c r="SHT3" s="7"/>
      <c r="SHU3" s="7"/>
      <c r="SHV3" s="7"/>
      <c r="SHW3" s="7"/>
      <c r="SHX3" s="7"/>
      <c r="SHY3" s="7"/>
      <c r="SHZ3" s="7"/>
      <c r="SIA3" s="7"/>
      <c r="SIB3" s="7"/>
      <c r="SIC3" s="7"/>
      <c r="SID3" s="7"/>
      <c r="SIE3" s="7"/>
      <c r="SIF3" s="7"/>
      <c r="SIG3" s="7"/>
      <c r="SIH3" s="7"/>
      <c r="SII3" s="7"/>
      <c r="SIJ3" s="7"/>
      <c r="SIK3" s="7"/>
      <c r="SIL3" s="7"/>
      <c r="SIM3" s="7"/>
      <c r="SIN3" s="7"/>
      <c r="SIO3" s="7"/>
      <c r="SIP3" s="7"/>
      <c r="SIQ3" s="7"/>
      <c r="SIR3" s="7"/>
      <c r="SIS3" s="7"/>
      <c r="SIT3" s="7"/>
      <c r="SIU3" s="7"/>
      <c r="SIV3" s="7"/>
      <c r="SIW3" s="7"/>
      <c r="SIX3" s="7"/>
      <c r="SIY3" s="7"/>
      <c r="SIZ3" s="7"/>
      <c r="SJA3" s="7"/>
      <c r="SJB3" s="7"/>
      <c r="SJC3" s="7"/>
      <c r="SJD3" s="7"/>
      <c r="SJE3" s="7"/>
      <c r="SJF3" s="7"/>
      <c r="SJG3" s="7"/>
      <c r="SJH3" s="7"/>
      <c r="SJI3" s="7"/>
      <c r="SJJ3" s="7"/>
      <c r="SJK3" s="7"/>
      <c r="SJL3" s="7"/>
      <c r="SJM3" s="7"/>
      <c r="SJN3" s="7"/>
      <c r="SJO3" s="7"/>
      <c r="SJP3" s="7"/>
      <c r="SJQ3" s="7"/>
      <c r="SJR3" s="7"/>
      <c r="SJS3" s="7"/>
      <c r="SJT3" s="7"/>
      <c r="SJU3" s="7"/>
      <c r="SJV3" s="7"/>
      <c r="SJW3" s="7"/>
      <c r="SJX3" s="7"/>
      <c r="SJY3" s="7"/>
      <c r="SJZ3" s="7"/>
      <c r="SKA3" s="7"/>
      <c r="SKB3" s="7"/>
      <c r="SKC3" s="7"/>
      <c r="SKD3" s="7"/>
      <c r="SKE3" s="7"/>
      <c r="SKF3" s="7"/>
      <c r="SKG3" s="7"/>
      <c r="SKH3" s="7"/>
      <c r="SKI3" s="7"/>
      <c r="SKJ3" s="7"/>
      <c r="SKK3" s="7"/>
      <c r="SKL3" s="7"/>
      <c r="SKM3" s="7"/>
      <c r="SKN3" s="7"/>
      <c r="SKO3" s="7"/>
      <c r="SKP3" s="7"/>
      <c r="SKQ3" s="7"/>
      <c r="SKR3" s="7"/>
      <c r="SKS3" s="7"/>
      <c r="SKT3" s="7"/>
      <c r="SKU3" s="7"/>
      <c r="SKV3" s="7"/>
      <c r="SKW3" s="7"/>
      <c r="SKX3" s="7"/>
      <c r="SKY3" s="7"/>
      <c r="SKZ3" s="7"/>
      <c r="SLA3" s="7"/>
      <c r="SLB3" s="7"/>
      <c r="SLC3" s="7"/>
      <c r="SLD3" s="7"/>
      <c r="SLE3" s="7"/>
      <c r="SLF3" s="7"/>
      <c r="SLG3" s="7"/>
      <c r="SLH3" s="7"/>
      <c r="SLI3" s="7"/>
      <c r="SLJ3" s="7"/>
      <c r="SLK3" s="7"/>
      <c r="SLL3" s="7"/>
      <c r="SLM3" s="7"/>
      <c r="SLN3" s="7"/>
      <c r="SLO3" s="7"/>
      <c r="SLP3" s="7"/>
      <c r="SLQ3" s="7"/>
      <c r="SLR3" s="7"/>
      <c r="SLS3" s="7"/>
      <c r="SLT3" s="7"/>
      <c r="SLU3" s="7"/>
      <c r="SLV3" s="7"/>
      <c r="SLW3" s="7"/>
      <c r="SLX3" s="7"/>
      <c r="SLY3" s="7"/>
      <c r="SLZ3" s="7"/>
      <c r="SMA3" s="7"/>
      <c r="SMB3" s="7"/>
      <c r="SMC3" s="7"/>
      <c r="SMD3" s="7"/>
      <c r="SME3" s="7"/>
      <c r="SMF3" s="7"/>
      <c r="SMG3" s="7"/>
      <c r="SMH3" s="7"/>
      <c r="SMI3" s="7"/>
      <c r="SMJ3" s="7"/>
      <c r="SMK3" s="7"/>
      <c r="SML3" s="7"/>
      <c r="SMM3" s="7"/>
      <c r="SMN3" s="7"/>
      <c r="SMO3" s="7"/>
      <c r="SMP3" s="7"/>
      <c r="SMQ3" s="7"/>
      <c r="SMR3" s="7"/>
      <c r="SMS3" s="7"/>
      <c r="SMT3" s="7"/>
      <c r="SMU3" s="7"/>
      <c r="SMV3" s="7"/>
      <c r="SMW3" s="7"/>
      <c r="SMX3" s="7"/>
      <c r="SMY3" s="7"/>
      <c r="SMZ3" s="7"/>
      <c r="SNA3" s="7"/>
      <c r="SNB3" s="7"/>
      <c r="SNC3" s="7"/>
      <c r="SND3" s="7"/>
      <c r="SNE3" s="7"/>
      <c r="SNF3" s="7"/>
      <c r="SNG3" s="7"/>
      <c r="SNH3" s="7"/>
      <c r="SNI3" s="7"/>
      <c r="SNJ3" s="7"/>
      <c r="SNK3" s="7"/>
      <c r="SNL3" s="7"/>
      <c r="SNM3" s="7"/>
      <c r="SNN3" s="7"/>
      <c r="SNO3" s="7"/>
      <c r="SNP3" s="7"/>
      <c r="SNQ3" s="7"/>
      <c r="SNR3" s="7"/>
      <c r="SNS3" s="7"/>
      <c r="SNT3" s="7"/>
      <c r="SNU3" s="7"/>
      <c r="SNV3" s="7"/>
      <c r="SNW3" s="7"/>
      <c r="SNX3" s="7"/>
      <c r="SNY3" s="7"/>
      <c r="SNZ3" s="7"/>
      <c r="SOA3" s="7"/>
      <c r="SOB3" s="7"/>
      <c r="SOC3" s="7"/>
      <c r="SOD3" s="7"/>
      <c r="SOE3" s="7"/>
      <c r="SOF3" s="7"/>
      <c r="SOG3" s="7"/>
      <c r="SOH3" s="7"/>
      <c r="SOI3" s="7"/>
      <c r="SOJ3" s="7"/>
      <c r="SOK3" s="7"/>
      <c r="SOL3" s="7"/>
      <c r="SOM3" s="7"/>
      <c r="SON3" s="7"/>
      <c r="SOO3" s="7"/>
      <c r="SOP3" s="7"/>
      <c r="SOQ3" s="7"/>
      <c r="SOR3" s="7"/>
      <c r="SOS3" s="7"/>
      <c r="SOT3" s="7"/>
      <c r="SOU3" s="7"/>
      <c r="SOV3" s="7"/>
      <c r="SOW3" s="7"/>
      <c r="SOX3" s="7"/>
      <c r="SOY3" s="7"/>
      <c r="SOZ3" s="7"/>
      <c r="SPA3" s="7"/>
      <c r="SPB3" s="7"/>
      <c r="SPC3" s="7"/>
      <c r="SPD3" s="7"/>
      <c r="SPE3" s="7"/>
      <c r="SPF3" s="7"/>
      <c r="SPG3" s="7"/>
      <c r="SPH3" s="7"/>
      <c r="SPI3" s="7"/>
      <c r="SPJ3" s="7"/>
      <c r="SPK3" s="7"/>
      <c r="SPL3" s="7"/>
      <c r="SPM3" s="7"/>
      <c r="SPN3" s="7"/>
      <c r="SPO3" s="7"/>
      <c r="SPP3" s="7"/>
      <c r="SPQ3" s="7"/>
      <c r="SPR3" s="7"/>
      <c r="SPS3" s="7"/>
      <c r="SPT3" s="7"/>
      <c r="SPU3" s="7"/>
      <c r="SPV3" s="7"/>
      <c r="SPW3" s="7"/>
      <c r="SPX3" s="7"/>
      <c r="SPY3" s="7"/>
      <c r="SPZ3" s="7"/>
      <c r="SQA3" s="7"/>
      <c r="SQB3" s="7"/>
      <c r="SQC3" s="7"/>
      <c r="SQD3" s="7"/>
      <c r="SQE3" s="7"/>
      <c r="SQF3" s="7"/>
      <c r="SQG3" s="7"/>
      <c r="SQH3" s="7"/>
      <c r="SQI3" s="7"/>
      <c r="SQJ3" s="7"/>
      <c r="SQK3" s="7"/>
      <c r="SQL3" s="7"/>
      <c r="SQM3" s="7"/>
      <c r="SQN3" s="7"/>
      <c r="SQO3" s="7"/>
      <c r="SQP3" s="7"/>
      <c r="SQQ3" s="7"/>
      <c r="SQR3" s="7"/>
      <c r="SQS3" s="7"/>
      <c r="SQT3" s="7"/>
      <c r="SQU3" s="7"/>
      <c r="SQV3" s="7"/>
      <c r="SQW3" s="7"/>
      <c r="SQX3" s="7"/>
      <c r="SQY3" s="7"/>
      <c r="SQZ3" s="7"/>
      <c r="SRA3" s="7"/>
      <c r="SRB3" s="7"/>
      <c r="SRC3" s="7"/>
      <c r="SRD3" s="7"/>
      <c r="SRE3" s="7"/>
      <c r="SRF3" s="7"/>
      <c r="SRG3" s="7"/>
      <c r="SRH3" s="7"/>
      <c r="SRI3" s="7"/>
      <c r="SRJ3" s="7"/>
      <c r="SRK3" s="7"/>
      <c r="SRL3" s="7"/>
      <c r="SRM3" s="7"/>
      <c r="SRN3" s="7"/>
      <c r="SRO3" s="7"/>
      <c r="SRP3" s="7"/>
      <c r="SRQ3" s="7"/>
      <c r="SRR3" s="7"/>
      <c r="SRS3" s="7"/>
      <c r="SRT3" s="7"/>
      <c r="SRU3" s="7"/>
      <c r="SRV3" s="7"/>
      <c r="SRW3" s="7"/>
      <c r="SRX3" s="7"/>
      <c r="SRY3" s="7"/>
      <c r="SRZ3" s="7"/>
      <c r="SSA3" s="7"/>
      <c r="SSB3" s="7"/>
      <c r="SSC3" s="7"/>
      <c r="SSD3" s="7"/>
      <c r="SSE3" s="7"/>
      <c r="SSF3" s="7"/>
      <c r="SSG3" s="7"/>
      <c r="SSH3" s="7"/>
      <c r="SSI3" s="7"/>
      <c r="SSJ3" s="7"/>
      <c r="SSK3" s="7"/>
      <c r="SSL3" s="7"/>
      <c r="SSM3" s="7"/>
      <c r="SSN3" s="7"/>
      <c r="SSO3" s="7"/>
      <c r="SSP3" s="7"/>
      <c r="SSQ3" s="7"/>
      <c r="SSR3" s="7"/>
      <c r="SSS3" s="7"/>
      <c r="SST3" s="7"/>
      <c r="SSU3" s="7"/>
      <c r="SSV3" s="7"/>
      <c r="SSW3" s="7"/>
      <c r="SSX3" s="7"/>
      <c r="SSY3" s="7"/>
      <c r="SSZ3" s="7"/>
      <c r="STA3" s="7"/>
      <c r="STB3" s="7"/>
      <c r="STC3" s="7"/>
      <c r="STD3" s="7"/>
      <c r="STE3" s="7"/>
      <c r="STF3" s="7"/>
      <c r="STG3" s="7"/>
      <c r="STH3" s="7"/>
      <c r="STI3" s="7"/>
      <c r="STJ3" s="7"/>
      <c r="STK3" s="7"/>
      <c r="STL3" s="7"/>
      <c r="STM3" s="7"/>
      <c r="STN3" s="7"/>
      <c r="STO3" s="7"/>
      <c r="STP3" s="7"/>
      <c r="STQ3" s="7"/>
      <c r="STR3" s="7"/>
      <c r="STS3" s="7"/>
      <c r="STT3" s="7"/>
      <c r="STU3" s="7"/>
      <c r="STV3" s="7"/>
      <c r="STW3" s="7"/>
      <c r="STX3" s="7"/>
      <c r="STY3" s="7"/>
      <c r="STZ3" s="7"/>
      <c r="SUA3" s="7"/>
      <c r="SUB3" s="7"/>
      <c r="SUC3" s="7"/>
      <c r="SUD3" s="7"/>
      <c r="SUE3" s="7"/>
      <c r="SUF3" s="7"/>
      <c r="SUG3" s="7"/>
      <c r="SUH3" s="7"/>
      <c r="SUI3" s="7"/>
      <c r="SUJ3" s="7"/>
      <c r="SUK3" s="7"/>
      <c r="SUL3" s="7"/>
      <c r="SUM3" s="7"/>
      <c r="SUN3" s="7"/>
      <c r="SUO3" s="7"/>
      <c r="SUP3" s="7"/>
      <c r="SUQ3" s="7"/>
      <c r="SUR3" s="7"/>
      <c r="SUS3" s="7"/>
      <c r="SUT3" s="7"/>
      <c r="SUU3" s="7"/>
      <c r="SUV3" s="7"/>
      <c r="SUW3" s="7"/>
      <c r="SUX3" s="7"/>
      <c r="SUY3" s="7"/>
      <c r="SUZ3" s="7"/>
      <c r="SVA3" s="7"/>
      <c r="SVB3" s="7"/>
      <c r="SVC3" s="7"/>
      <c r="SVD3" s="7"/>
      <c r="SVE3" s="7"/>
      <c r="SVF3" s="7"/>
      <c r="SVG3" s="7"/>
      <c r="SVH3" s="7"/>
      <c r="SVI3" s="7"/>
      <c r="SVJ3" s="7"/>
      <c r="SVK3" s="7"/>
      <c r="SVL3" s="7"/>
      <c r="SVM3" s="7"/>
      <c r="SVN3" s="7"/>
      <c r="SVO3" s="7"/>
      <c r="SVP3" s="7"/>
      <c r="SVQ3" s="7"/>
      <c r="SVR3" s="7"/>
      <c r="SVS3" s="7"/>
      <c r="SVT3" s="7"/>
      <c r="SVU3" s="7"/>
      <c r="SVV3" s="7"/>
      <c r="SVW3" s="7"/>
      <c r="SVX3" s="7"/>
      <c r="SVY3" s="7"/>
      <c r="SVZ3" s="7"/>
      <c r="SWA3" s="7"/>
      <c r="SWB3" s="7"/>
      <c r="SWC3" s="7"/>
      <c r="SWD3" s="7"/>
      <c r="SWE3" s="7"/>
      <c r="SWF3" s="7"/>
      <c r="SWG3" s="7"/>
      <c r="SWH3" s="7"/>
      <c r="SWI3" s="7"/>
      <c r="SWJ3" s="7"/>
      <c r="SWK3" s="7"/>
      <c r="SWL3" s="7"/>
      <c r="SWM3" s="7"/>
      <c r="SWN3" s="7"/>
      <c r="SWO3" s="7"/>
      <c r="SWP3" s="7"/>
      <c r="SWQ3" s="7"/>
      <c r="SWR3" s="7"/>
      <c r="SWS3" s="7"/>
      <c r="SWT3" s="7"/>
      <c r="SWU3" s="7"/>
      <c r="SWV3" s="7"/>
      <c r="SWW3" s="7"/>
      <c r="SWX3" s="7"/>
      <c r="SWY3" s="7"/>
      <c r="SWZ3" s="7"/>
      <c r="SXA3" s="7"/>
      <c r="SXB3" s="7"/>
      <c r="SXC3" s="7"/>
      <c r="SXD3" s="7"/>
      <c r="SXE3" s="7"/>
      <c r="SXF3" s="7"/>
      <c r="SXG3" s="7"/>
      <c r="SXH3" s="7"/>
      <c r="SXI3" s="7"/>
      <c r="SXJ3" s="7"/>
      <c r="SXK3" s="7"/>
      <c r="SXL3" s="7"/>
      <c r="SXM3" s="7"/>
      <c r="SXN3" s="7"/>
      <c r="SXO3" s="7"/>
      <c r="SXP3" s="7"/>
      <c r="SXQ3" s="7"/>
      <c r="SXR3" s="7"/>
      <c r="SXS3" s="7"/>
      <c r="SXT3" s="7"/>
      <c r="SXU3" s="7"/>
      <c r="SXV3" s="7"/>
      <c r="SXW3" s="7"/>
      <c r="SXX3" s="7"/>
      <c r="SXY3" s="7"/>
      <c r="SXZ3" s="7"/>
      <c r="SYA3" s="7"/>
      <c r="SYB3" s="7"/>
      <c r="SYC3" s="7"/>
      <c r="SYD3" s="7"/>
      <c r="SYE3" s="7"/>
      <c r="SYF3" s="7"/>
      <c r="SYG3" s="7"/>
      <c r="SYH3" s="7"/>
      <c r="SYI3" s="7"/>
      <c r="SYJ3" s="7"/>
      <c r="SYK3" s="7"/>
      <c r="SYL3" s="7"/>
      <c r="SYM3" s="7"/>
      <c r="SYN3" s="7"/>
      <c r="SYO3" s="7"/>
      <c r="SYP3" s="7"/>
      <c r="SYQ3" s="7"/>
      <c r="SYR3" s="7"/>
      <c r="SYS3" s="7"/>
      <c r="SYT3" s="7"/>
      <c r="SYU3" s="7"/>
      <c r="SYV3" s="7"/>
      <c r="SYW3" s="7"/>
      <c r="SYX3" s="7"/>
      <c r="SYY3" s="7"/>
      <c r="SYZ3" s="7"/>
      <c r="SZA3" s="7"/>
      <c r="SZB3" s="7"/>
      <c r="SZC3" s="7"/>
      <c r="SZD3" s="7"/>
      <c r="SZE3" s="7"/>
      <c r="SZF3" s="7"/>
      <c r="SZG3" s="7"/>
      <c r="SZH3" s="7"/>
      <c r="SZI3" s="7"/>
      <c r="SZJ3" s="7"/>
      <c r="SZK3" s="7"/>
      <c r="SZL3" s="7"/>
      <c r="SZM3" s="7"/>
      <c r="SZN3" s="7"/>
      <c r="SZO3" s="7"/>
      <c r="SZP3" s="7"/>
      <c r="SZQ3" s="7"/>
      <c r="SZR3" s="7"/>
      <c r="SZS3" s="7"/>
      <c r="SZT3" s="7"/>
      <c r="SZU3" s="7"/>
      <c r="SZV3" s="7"/>
      <c r="SZW3" s="7"/>
      <c r="SZX3" s="7"/>
      <c r="SZY3" s="7"/>
      <c r="SZZ3" s="7"/>
      <c r="TAA3" s="7"/>
      <c r="TAB3" s="7"/>
      <c r="TAC3" s="7"/>
      <c r="TAD3" s="7"/>
      <c r="TAE3" s="7"/>
      <c r="TAF3" s="7"/>
      <c r="TAG3" s="7"/>
      <c r="TAH3" s="7"/>
      <c r="TAI3" s="7"/>
      <c r="TAJ3" s="7"/>
      <c r="TAK3" s="7"/>
      <c r="TAL3" s="7"/>
      <c r="TAM3" s="7"/>
      <c r="TAN3" s="7"/>
      <c r="TAO3" s="7"/>
      <c r="TAP3" s="7"/>
      <c r="TAQ3" s="7"/>
      <c r="TAR3" s="7"/>
      <c r="TAS3" s="7"/>
      <c r="TAT3" s="7"/>
      <c r="TAU3" s="7"/>
      <c r="TAV3" s="7"/>
      <c r="TAW3" s="7"/>
      <c r="TAX3" s="7"/>
      <c r="TAY3" s="7"/>
      <c r="TAZ3" s="7"/>
      <c r="TBA3" s="7"/>
      <c r="TBB3" s="7"/>
      <c r="TBC3" s="7"/>
      <c r="TBD3" s="7"/>
      <c r="TBE3" s="7"/>
      <c r="TBF3" s="7"/>
      <c r="TBG3" s="7"/>
      <c r="TBH3" s="7"/>
      <c r="TBI3" s="7"/>
      <c r="TBJ3" s="7"/>
      <c r="TBK3" s="7"/>
      <c r="TBL3" s="7"/>
      <c r="TBM3" s="7"/>
      <c r="TBN3" s="7"/>
      <c r="TBO3" s="7"/>
      <c r="TBP3" s="7"/>
      <c r="TBQ3" s="7"/>
      <c r="TBR3" s="7"/>
      <c r="TBS3" s="7"/>
      <c r="TBT3" s="7"/>
      <c r="TBU3" s="7"/>
      <c r="TBV3" s="7"/>
      <c r="TBW3" s="7"/>
      <c r="TBX3" s="7"/>
      <c r="TBY3" s="7"/>
      <c r="TBZ3" s="7"/>
      <c r="TCA3" s="7"/>
      <c r="TCB3" s="7"/>
      <c r="TCC3" s="7"/>
      <c r="TCD3" s="7"/>
      <c r="TCE3" s="7"/>
      <c r="TCF3" s="7"/>
      <c r="TCG3" s="7"/>
      <c r="TCH3" s="7"/>
      <c r="TCI3" s="7"/>
      <c r="TCJ3" s="7"/>
      <c r="TCK3" s="7"/>
      <c r="TCL3" s="7"/>
      <c r="TCM3" s="7"/>
      <c r="TCN3" s="7"/>
      <c r="TCO3" s="7"/>
      <c r="TCP3" s="7"/>
      <c r="TCQ3" s="7"/>
      <c r="TCR3" s="7"/>
      <c r="TCS3" s="7"/>
      <c r="TCT3" s="7"/>
      <c r="TCU3" s="7"/>
      <c r="TCV3" s="7"/>
      <c r="TCW3" s="7"/>
      <c r="TCX3" s="7"/>
      <c r="TCY3" s="7"/>
      <c r="TCZ3" s="7"/>
      <c r="TDA3" s="7"/>
      <c r="TDB3" s="7"/>
      <c r="TDC3" s="7"/>
      <c r="TDD3" s="7"/>
      <c r="TDE3" s="7"/>
      <c r="TDF3" s="7"/>
      <c r="TDG3" s="7"/>
      <c r="TDH3" s="7"/>
      <c r="TDI3" s="7"/>
      <c r="TDJ3" s="7"/>
      <c r="TDK3" s="7"/>
      <c r="TDL3" s="7"/>
      <c r="TDM3" s="7"/>
      <c r="TDN3" s="7"/>
      <c r="TDO3" s="7"/>
      <c r="TDP3" s="7"/>
      <c r="TDQ3" s="7"/>
      <c r="TDR3" s="7"/>
      <c r="TDS3" s="7"/>
      <c r="TDT3" s="7"/>
      <c r="TDU3" s="7"/>
      <c r="TDV3" s="7"/>
      <c r="TDW3" s="7"/>
      <c r="TDX3" s="7"/>
      <c r="TDY3" s="7"/>
      <c r="TDZ3" s="7"/>
      <c r="TEA3" s="7"/>
      <c r="TEB3" s="7"/>
      <c r="TEC3" s="7"/>
      <c r="TED3" s="7"/>
      <c r="TEE3" s="7"/>
      <c r="TEF3" s="7"/>
      <c r="TEG3" s="7"/>
      <c r="TEH3" s="7"/>
      <c r="TEI3" s="7"/>
      <c r="TEJ3" s="7"/>
      <c r="TEK3" s="7"/>
      <c r="TEL3" s="7"/>
      <c r="TEM3" s="7"/>
      <c r="TEN3" s="7"/>
      <c r="TEO3" s="7"/>
      <c r="TEP3" s="7"/>
      <c r="TEQ3" s="7"/>
      <c r="TER3" s="7"/>
      <c r="TES3" s="7"/>
      <c r="TET3" s="7"/>
      <c r="TEU3" s="7"/>
      <c r="TEV3" s="7"/>
      <c r="TEW3" s="7"/>
      <c r="TEX3" s="7"/>
      <c r="TEY3" s="7"/>
      <c r="TEZ3" s="7"/>
      <c r="TFA3" s="7"/>
      <c r="TFB3" s="7"/>
      <c r="TFC3" s="7"/>
      <c r="TFD3" s="7"/>
      <c r="TFE3" s="7"/>
      <c r="TFF3" s="7"/>
      <c r="TFG3" s="7"/>
      <c r="TFH3" s="7"/>
      <c r="TFI3" s="7"/>
      <c r="TFJ3" s="7"/>
      <c r="TFK3" s="7"/>
      <c r="TFL3" s="7"/>
      <c r="TFM3" s="7"/>
      <c r="TFN3" s="7"/>
      <c r="TFO3" s="7"/>
      <c r="TFP3" s="7"/>
      <c r="TFQ3" s="7"/>
      <c r="TFR3" s="7"/>
      <c r="TFS3" s="7"/>
      <c r="TFT3" s="7"/>
      <c r="TFU3" s="7"/>
      <c r="TFV3" s="7"/>
      <c r="TFW3" s="7"/>
      <c r="TFX3" s="7"/>
      <c r="TFY3" s="7"/>
      <c r="TFZ3" s="7"/>
      <c r="TGA3" s="7"/>
      <c r="TGB3" s="7"/>
      <c r="TGC3" s="7"/>
      <c r="TGD3" s="7"/>
      <c r="TGE3" s="7"/>
      <c r="TGF3" s="7"/>
      <c r="TGG3" s="7"/>
      <c r="TGH3" s="7"/>
      <c r="TGI3" s="7"/>
      <c r="TGJ3" s="7"/>
      <c r="TGK3" s="7"/>
      <c r="TGL3" s="7"/>
      <c r="TGM3" s="7"/>
      <c r="TGN3" s="7"/>
      <c r="TGO3" s="7"/>
      <c r="TGP3" s="7"/>
      <c r="TGQ3" s="7"/>
      <c r="TGR3" s="7"/>
      <c r="TGS3" s="7"/>
      <c r="TGT3" s="7"/>
      <c r="TGU3" s="7"/>
      <c r="TGV3" s="7"/>
      <c r="TGW3" s="7"/>
      <c r="TGX3" s="7"/>
      <c r="TGY3" s="7"/>
      <c r="TGZ3" s="7"/>
      <c r="THA3" s="7"/>
      <c r="THB3" s="7"/>
      <c r="THC3" s="7"/>
      <c r="THD3" s="7"/>
      <c r="THE3" s="7"/>
      <c r="THF3" s="7"/>
      <c r="THG3" s="7"/>
      <c r="THH3" s="7"/>
      <c r="THI3" s="7"/>
      <c r="THJ3" s="7"/>
      <c r="THK3" s="7"/>
      <c r="THL3" s="7"/>
      <c r="THM3" s="7"/>
      <c r="THN3" s="7"/>
      <c r="THO3" s="7"/>
      <c r="THP3" s="7"/>
      <c r="THQ3" s="7"/>
      <c r="THR3" s="7"/>
      <c r="THS3" s="7"/>
      <c r="THT3" s="7"/>
      <c r="THU3" s="7"/>
      <c r="THV3" s="7"/>
      <c r="THW3" s="7"/>
      <c r="THX3" s="7"/>
      <c r="THY3" s="7"/>
      <c r="THZ3" s="7"/>
      <c r="TIA3" s="7"/>
      <c r="TIB3" s="7"/>
      <c r="TIC3" s="7"/>
      <c r="TID3" s="7"/>
      <c r="TIE3" s="7"/>
      <c r="TIF3" s="7"/>
      <c r="TIG3" s="7"/>
      <c r="TIH3" s="7"/>
      <c r="TII3" s="7"/>
      <c r="TIJ3" s="7"/>
      <c r="TIK3" s="7"/>
      <c r="TIL3" s="7"/>
      <c r="TIM3" s="7"/>
      <c r="TIN3" s="7"/>
      <c r="TIO3" s="7"/>
      <c r="TIP3" s="7"/>
      <c r="TIQ3" s="7"/>
      <c r="TIR3" s="7"/>
      <c r="TIS3" s="7"/>
      <c r="TIT3" s="7"/>
      <c r="TIU3" s="7"/>
      <c r="TIV3" s="7"/>
      <c r="TIW3" s="7"/>
      <c r="TIX3" s="7"/>
      <c r="TIY3" s="7"/>
      <c r="TIZ3" s="7"/>
      <c r="TJA3" s="7"/>
      <c r="TJB3" s="7"/>
      <c r="TJC3" s="7"/>
      <c r="TJD3" s="7"/>
      <c r="TJE3" s="7"/>
      <c r="TJF3" s="7"/>
      <c r="TJG3" s="7"/>
      <c r="TJH3" s="7"/>
      <c r="TJI3" s="7"/>
      <c r="TJJ3" s="7"/>
      <c r="TJK3" s="7"/>
      <c r="TJL3" s="7"/>
      <c r="TJM3" s="7"/>
      <c r="TJN3" s="7"/>
      <c r="TJO3" s="7"/>
      <c r="TJP3" s="7"/>
      <c r="TJQ3" s="7"/>
      <c r="TJR3" s="7"/>
      <c r="TJS3" s="7"/>
      <c r="TJT3" s="7"/>
      <c r="TJU3" s="7"/>
      <c r="TJV3" s="7"/>
      <c r="TJW3" s="7"/>
      <c r="TJX3" s="7"/>
      <c r="TJY3" s="7"/>
      <c r="TJZ3" s="7"/>
      <c r="TKA3" s="7"/>
      <c r="TKB3" s="7"/>
      <c r="TKC3" s="7"/>
      <c r="TKD3" s="7"/>
      <c r="TKE3" s="7"/>
      <c r="TKF3" s="7"/>
      <c r="TKG3" s="7"/>
      <c r="TKH3" s="7"/>
      <c r="TKI3" s="7"/>
      <c r="TKJ3" s="7"/>
      <c r="TKK3" s="7"/>
      <c r="TKL3" s="7"/>
      <c r="TKM3" s="7"/>
      <c r="TKN3" s="7"/>
      <c r="TKO3" s="7"/>
      <c r="TKP3" s="7"/>
      <c r="TKQ3" s="7"/>
      <c r="TKR3" s="7"/>
      <c r="TKS3" s="7"/>
      <c r="TKT3" s="7"/>
      <c r="TKU3" s="7"/>
      <c r="TKV3" s="7"/>
      <c r="TKW3" s="7"/>
      <c r="TKX3" s="7"/>
      <c r="TKY3" s="7"/>
      <c r="TKZ3" s="7"/>
      <c r="TLA3" s="7"/>
      <c r="TLB3" s="7"/>
      <c r="TLC3" s="7"/>
      <c r="TLD3" s="7"/>
      <c r="TLE3" s="7"/>
      <c r="TLF3" s="7"/>
      <c r="TLG3" s="7"/>
      <c r="TLH3" s="7"/>
      <c r="TLI3" s="7"/>
      <c r="TLJ3" s="7"/>
      <c r="TLK3" s="7"/>
      <c r="TLL3" s="7"/>
      <c r="TLM3" s="7"/>
      <c r="TLN3" s="7"/>
      <c r="TLO3" s="7"/>
      <c r="TLP3" s="7"/>
      <c r="TLQ3" s="7"/>
      <c r="TLR3" s="7"/>
      <c r="TLS3" s="7"/>
      <c r="TLT3" s="7"/>
      <c r="TLU3" s="7"/>
      <c r="TLV3" s="7"/>
      <c r="TLW3" s="7"/>
      <c r="TLX3" s="7"/>
      <c r="TLY3" s="7"/>
      <c r="TLZ3" s="7"/>
      <c r="TMA3" s="7"/>
      <c r="TMB3" s="7"/>
      <c r="TMC3" s="7"/>
      <c r="TMD3" s="7"/>
      <c r="TME3" s="7"/>
      <c r="TMF3" s="7"/>
      <c r="TMG3" s="7"/>
      <c r="TMH3" s="7"/>
      <c r="TMI3" s="7"/>
      <c r="TMJ3" s="7"/>
      <c r="TMK3" s="7"/>
      <c r="TML3" s="7"/>
      <c r="TMM3" s="7"/>
      <c r="TMN3" s="7"/>
      <c r="TMO3" s="7"/>
      <c r="TMP3" s="7"/>
      <c r="TMQ3" s="7"/>
      <c r="TMR3" s="7"/>
      <c r="TMS3" s="7"/>
      <c r="TMT3" s="7"/>
      <c r="TMU3" s="7"/>
      <c r="TMV3" s="7"/>
      <c r="TMW3" s="7"/>
      <c r="TMX3" s="7"/>
      <c r="TMY3" s="7"/>
      <c r="TMZ3" s="7"/>
      <c r="TNA3" s="7"/>
      <c r="TNB3" s="7"/>
      <c r="TNC3" s="7"/>
      <c r="TND3" s="7"/>
      <c r="TNE3" s="7"/>
      <c r="TNF3" s="7"/>
      <c r="TNG3" s="7"/>
      <c r="TNH3" s="7"/>
      <c r="TNI3" s="7"/>
      <c r="TNJ3" s="7"/>
      <c r="TNK3" s="7"/>
      <c r="TNL3" s="7"/>
      <c r="TNM3" s="7"/>
      <c r="TNN3" s="7"/>
      <c r="TNO3" s="7"/>
      <c r="TNP3" s="7"/>
      <c r="TNQ3" s="7"/>
      <c r="TNR3" s="7"/>
      <c r="TNS3" s="7"/>
      <c r="TNT3" s="7"/>
      <c r="TNU3" s="7"/>
      <c r="TNV3" s="7"/>
      <c r="TNW3" s="7"/>
      <c r="TNX3" s="7"/>
      <c r="TNY3" s="7"/>
      <c r="TNZ3" s="7"/>
      <c r="TOA3" s="7"/>
      <c r="TOB3" s="7"/>
      <c r="TOC3" s="7"/>
      <c r="TOD3" s="7"/>
      <c r="TOE3" s="7"/>
      <c r="TOF3" s="7"/>
      <c r="TOG3" s="7"/>
      <c r="TOH3" s="7"/>
      <c r="TOI3" s="7"/>
      <c r="TOJ3" s="7"/>
      <c r="TOK3" s="7"/>
      <c r="TOL3" s="7"/>
      <c r="TOM3" s="7"/>
      <c r="TON3" s="7"/>
      <c r="TOO3" s="7"/>
      <c r="TOP3" s="7"/>
      <c r="TOQ3" s="7"/>
      <c r="TOR3" s="7"/>
      <c r="TOS3" s="7"/>
      <c r="TOT3" s="7"/>
      <c r="TOU3" s="7"/>
      <c r="TOV3" s="7"/>
      <c r="TOW3" s="7"/>
      <c r="TOX3" s="7"/>
      <c r="TOY3" s="7"/>
      <c r="TOZ3" s="7"/>
      <c r="TPA3" s="7"/>
      <c r="TPB3" s="7"/>
      <c r="TPC3" s="7"/>
      <c r="TPD3" s="7"/>
      <c r="TPE3" s="7"/>
      <c r="TPF3" s="7"/>
      <c r="TPG3" s="7"/>
      <c r="TPH3" s="7"/>
      <c r="TPI3" s="7"/>
      <c r="TPJ3" s="7"/>
      <c r="TPK3" s="7"/>
      <c r="TPL3" s="7"/>
      <c r="TPM3" s="7"/>
      <c r="TPN3" s="7"/>
      <c r="TPO3" s="7"/>
      <c r="TPP3" s="7"/>
      <c r="TPQ3" s="7"/>
      <c r="TPR3" s="7"/>
      <c r="TPS3" s="7"/>
      <c r="TPT3" s="7"/>
      <c r="TPU3" s="7"/>
      <c r="TPV3" s="7"/>
      <c r="TPW3" s="7"/>
      <c r="TPX3" s="7"/>
      <c r="TPY3" s="7"/>
      <c r="TPZ3" s="7"/>
      <c r="TQA3" s="7"/>
      <c r="TQB3" s="7"/>
      <c r="TQC3" s="7"/>
      <c r="TQD3" s="7"/>
      <c r="TQE3" s="7"/>
      <c r="TQF3" s="7"/>
      <c r="TQG3" s="7"/>
      <c r="TQH3" s="7"/>
      <c r="TQI3" s="7"/>
      <c r="TQJ3" s="7"/>
      <c r="TQK3" s="7"/>
      <c r="TQL3" s="7"/>
      <c r="TQM3" s="7"/>
      <c r="TQN3" s="7"/>
      <c r="TQO3" s="7"/>
      <c r="TQP3" s="7"/>
      <c r="TQQ3" s="7"/>
      <c r="TQR3" s="7"/>
      <c r="TQS3" s="7"/>
      <c r="TQT3" s="7"/>
      <c r="TQU3" s="7"/>
      <c r="TQV3" s="7"/>
      <c r="TQW3" s="7"/>
      <c r="TQX3" s="7"/>
      <c r="TQY3" s="7"/>
      <c r="TQZ3" s="7"/>
      <c r="TRA3" s="7"/>
      <c r="TRB3" s="7"/>
      <c r="TRC3" s="7"/>
      <c r="TRD3" s="7"/>
      <c r="TRE3" s="7"/>
      <c r="TRF3" s="7"/>
      <c r="TRG3" s="7"/>
      <c r="TRH3" s="7"/>
      <c r="TRI3" s="7"/>
      <c r="TRJ3" s="7"/>
      <c r="TRK3" s="7"/>
      <c r="TRL3" s="7"/>
      <c r="TRM3" s="7"/>
      <c r="TRN3" s="7"/>
      <c r="TRO3" s="7"/>
      <c r="TRP3" s="7"/>
      <c r="TRQ3" s="7"/>
      <c r="TRR3" s="7"/>
      <c r="TRS3" s="7"/>
      <c r="TRT3" s="7"/>
      <c r="TRU3" s="7"/>
      <c r="TRV3" s="7"/>
      <c r="TRW3" s="7"/>
      <c r="TRX3" s="7"/>
      <c r="TRY3" s="7"/>
      <c r="TRZ3" s="7"/>
      <c r="TSA3" s="7"/>
      <c r="TSB3" s="7"/>
      <c r="TSC3" s="7"/>
      <c r="TSD3" s="7"/>
      <c r="TSE3" s="7"/>
      <c r="TSF3" s="7"/>
      <c r="TSG3" s="7"/>
      <c r="TSH3" s="7"/>
      <c r="TSI3" s="7"/>
      <c r="TSJ3" s="7"/>
      <c r="TSK3" s="7"/>
      <c r="TSL3" s="7"/>
      <c r="TSM3" s="7"/>
      <c r="TSN3" s="7"/>
      <c r="TSO3" s="7"/>
      <c r="TSP3" s="7"/>
      <c r="TSQ3" s="7"/>
      <c r="TSR3" s="7"/>
      <c r="TSS3" s="7"/>
      <c r="TST3" s="7"/>
      <c r="TSU3" s="7"/>
      <c r="TSV3" s="7"/>
      <c r="TSW3" s="7"/>
      <c r="TSX3" s="7"/>
      <c r="TSY3" s="7"/>
      <c r="TSZ3" s="7"/>
      <c r="TTA3" s="7"/>
      <c r="TTB3" s="7"/>
      <c r="TTC3" s="7"/>
      <c r="TTD3" s="7"/>
      <c r="TTE3" s="7"/>
      <c r="TTF3" s="7"/>
      <c r="TTG3" s="7"/>
      <c r="TTH3" s="7"/>
      <c r="TTI3" s="7"/>
      <c r="TTJ3" s="7"/>
      <c r="TTK3" s="7"/>
      <c r="TTL3" s="7"/>
      <c r="TTM3" s="7"/>
      <c r="TTN3" s="7"/>
      <c r="TTO3" s="7"/>
      <c r="TTP3" s="7"/>
      <c r="TTQ3" s="7"/>
      <c r="TTR3" s="7"/>
      <c r="TTS3" s="7"/>
      <c r="TTT3" s="7"/>
      <c r="TTU3" s="7"/>
      <c r="TTV3" s="7"/>
      <c r="TTW3" s="7"/>
      <c r="TTX3" s="7"/>
      <c r="TTY3" s="7"/>
      <c r="TTZ3" s="7"/>
      <c r="TUA3" s="7"/>
      <c r="TUB3" s="7"/>
      <c r="TUC3" s="7"/>
      <c r="TUD3" s="7"/>
      <c r="TUE3" s="7"/>
      <c r="TUF3" s="7"/>
      <c r="TUG3" s="7"/>
      <c r="TUH3" s="7"/>
      <c r="TUI3" s="7"/>
      <c r="TUJ3" s="7"/>
      <c r="TUK3" s="7"/>
      <c r="TUL3" s="7"/>
      <c r="TUM3" s="7"/>
      <c r="TUN3" s="7"/>
      <c r="TUO3" s="7"/>
      <c r="TUP3" s="7"/>
      <c r="TUQ3" s="7"/>
      <c r="TUR3" s="7"/>
      <c r="TUS3" s="7"/>
      <c r="TUT3" s="7"/>
      <c r="TUU3" s="7"/>
      <c r="TUV3" s="7"/>
      <c r="TUW3" s="7"/>
      <c r="TUX3" s="7"/>
      <c r="TUY3" s="7"/>
      <c r="TUZ3" s="7"/>
      <c r="TVA3" s="7"/>
      <c r="TVB3" s="7"/>
      <c r="TVC3" s="7"/>
      <c r="TVD3" s="7"/>
      <c r="TVE3" s="7"/>
      <c r="TVF3" s="7"/>
      <c r="TVG3" s="7"/>
      <c r="TVH3" s="7"/>
      <c r="TVI3" s="7"/>
      <c r="TVJ3" s="7"/>
      <c r="TVK3" s="7"/>
      <c r="TVL3" s="7"/>
      <c r="TVM3" s="7"/>
      <c r="TVN3" s="7"/>
      <c r="TVO3" s="7"/>
      <c r="TVP3" s="7"/>
      <c r="TVQ3" s="7"/>
      <c r="TVR3" s="7"/>
      <c r="TVS3" s="7"/>
      <c r="TVT3" s="7"/>
      <c r="TVU3" s="7"/>
      <c r="TVV3" s="7"/>
      <c r="TVW3" s="7"/>
      <c r="TVX3" s="7"/>
      <c r="TVY3" s="7"/>
      <c r="TVZ3" s="7"/>
      <c r="TWA3" s="7"/>
      <c r="TWB3" s="7"/>
      <c r="TWC3" s="7"/>
      <c r="TWD3" s="7"/>
      <c r="TWE3" s="7"/>
      <c r="TWF3" s="7"/>
      <c r="TWG3" s="7"/>
      <c r="TWH3" s="7"/>
      <c r="TWI3" s="7"/>
      <c r="TWJ3" s="7"/>
      <c r="TWK3" s="7"/>
      <c r="TWL3" s="7"/>
      <c r="TWM3" s="7"/>
      <c r="TWN3" s="7"/>
      <c r="TWO3" s="7"/>
      <c r="TWP3" s="7"/>
      <c r="TWQ3" s="7"/>
      <c r="TWR3" s="7"/>
      <c r="TWS3" s="7"/>
      <c r="TWT3" s="7"/>
      <c r="TWU3" s="7"/>
      <c r="TWV3" s="7"/>
      <c r="TWW3" s="7"/>
      <c r="TWX3" s="7"/>
      <c r="TWY3" s="7"/>
      <c r="TWZ3" s="7"/>
      <c r="TXA3" s="7"/>
      <c r="TXB3" s="7"/>
      <c r="TXC3" s="7"/>
      <c r="TXD3" s="7"/>
      <c r="TXE3" s="7"/>
      <c r="TXF3" s="7"/>
      <c r="TXG3" s="7"/>
      <c r="TXH3" s="7"/>
      <c r="TXI3" s="7"/>
      <c r="TXJ3" s="7"/>
      <c r="TXK3" s="7"/>
      <c r="TXL3" s="7"/>
      <c r="TXM3" s="7"/>
      <c r="TXN3" s="7"/>
      <c r="TXO3" s="7"/>
      <c r="TXP3" s="7"/>
      <c r="TXQ3" s="7"/>
      <c r="TXR3" s="7"/>
      <c r="TXS3" s="7"/>
      <c r="TXT3" s="7"/>
      <c r="TXU3" s="7"/>
      <c r="TXV3" s="7"/>
      <c r="TXW3" s="7"/>
      <c r="TXX3" s="7"/>
      <c r="TXY3" s="7"/>
      <c r="TXZ3" s="7"/>
      <c r="TYA3" s="7"/>
      <c r="TYB3" s="7"/>
      <c r="TYC3" s="7"/>
      <c r="TYD3" s="7"/>
      <c r="TYE3" s="7"/>
      <c r="TYF3" s="7"/>
      <c r="TYG3" s="7"/>
      <c r="TYH3" s="7"/>
      <c r="TYI3" s="7"/>
      <c r="TYJ3" s="7"/>
      <c r="TYK3" s="7"/>
      <c r="TYL3" s="7"/>
      <c r="TYM3" s="7"/>
      <c r="TYN3" s="7"/>
      <c r="TYO3" s="7"/>
      <c r="TYP3" s="7"/>
      <c r="TYQ3" s="7"/>
      <c r="TYR3" s="7"/>
      <c r="TYS3" s="7"/>
      <c r="TYT3" s="7"/>
      <c r="TYU3" s="7"/>
      <c r="TYV3" s="7"/>
      <c r="TYW3" s="7"/>
      <c r="TYX3" s="7"/>
      <c r="TYY3" s="7"/>
      <c r="TYZ3" s="7"/>
      <c r="TZA3" s="7"/>
      <c r="TZB3" s="7"/>
      <c r="TZC3" s="7"/>
      <c r="TZD3" s="7"/>
      <c r="TZE3" s="7"/>
      <c r="TZF3" s="7"/>
      <c r="TZG3" s="7"/>
      <c r="TZH3" s="7"/>
      <c r="TZI3" s="7"/>
      <c r="TZJ3" s="7"/>
      <c r="TZK3" s="7"/>
      <c r="TZL3" s="7"/>
      <c r="TZM3" s="7"/>
      <c r="TZN3" s="7"/>
      <c r="TZO3" s="7"/>
      <c r="TZP3" s="7"/>
      <c r="TZQ3" s="7"/>
      <c r="TZR3" s="7"/>
      <c r="TZS3" s="7"/>
      <c r="TZT3" s="7"/>
      <c r="TZU3" s="7"/>
      <c r="TZV3" s="7"/>
      <c r="TZW3" s="7"/>
      <c r="TZX3" s="7"/>
      <c r="TZY3" s="7"/>
      <c r="TZZ3" s="7"/>
      <c r="UAA3" s="7"/>
      <c r="UAB3" s="7"/>
      <c r="UAC3" s="7"/>
      <c r="UAD3" s="7"/>
      <c r="UAE3" s="7"/>
      <c r="UAF3" s="7"/>
      <c r="UAG3" s="7"/>
      <c r="UAH3" s="7"/>
      <c r="UAI3" s="7"/>
      <c r="UAJ3" s="7"/>
      <c r="UAK3" s="7"/>
      <c r="UAL3" s="7"/>
      <c r="UAM3" s="7"/>
      <c r="UAN3" s="7"/>
      <c r="UAO3" s="7"/>
      <c r="UAP3" s="7"/>
      <c r="UAQ3" s="7"/>
      <c r="UAR3" s="7"/>
      <c r="UAS3" s="7"/>
      <c r="UAT3" s="7"/>
      <c r="UAU3" s="7"/>
      <c r="UAV3" s="7"/>
      <c r="UAW3" s="7"/>
      <c r="UAX3" s="7"/>
      <c r="UAY3" s="7"/>
      <c r="UAZ3" s="7"/>
      <c r="UBA3" s="7"/>
      <c r="UBB3" s="7"/>
      <c r="UBC3" s="7"/>
      <c r="UBD3" s="7"/>
      <c r="UBE3" s="7"/>
      <c r="UBF3" s="7"/>
      <c r="UBG3" s="7"/>
      <c r="UBH3" s="7"/>
      <c r="UBI3" s="7"/>
      <c r="UBJ3" s="7"/>
      <c r="UBK3" s="7"/>
      <c r="UBL3" s="7"/>
      <c r="UBM3" s="7"/>
      <c r="UBN3" s="7"/>
      <c r="UBO3" s="7"/>
      <c r="UBP3" s="7"/>
      <c r="UBQ3" s="7"/>
      <c r="UBR3" s="7"/>
      <c r="UBS3" s="7"/>
      <c r="UBT3" s="7"/>
      <c r="UBU3" s="7"/>
      <c r="UBV3" s="7"/>
      <c r="UBW3" s="7"/>
      <c r="UBX3" s="7"/>
      <c r="UBY3" s="7"/>
      <c r="UBZ3" s="7"/>
      <c r="UCA3" s="7"/>
      <c r="UCB3" s="7"/>
      <c r="UCC3" s="7"/>
      <c r="UCD3" s="7"/>
      <c r="UCE3" s="7"/>
      <c r="UCF3" s="7"/>
      <c r="UCG3" s="7"/>
      <c r="UCH3" s="7"/>
      <c r="UCI3" s="7"/>
      <c r="UCJ3" s="7"/>
      <c r="UCK3" s="7"/>
      <c r="UCL3" s="7"/>
      <c r="UCM3" s="7"/>
      <c r="UCN3" s="7"/>
      <c r="UCO3" s="7"/>
      <c r="UCP3" s="7"/>
      <c r="UCQ3" s="7"/>
      <c r="UCR3" s="7"/>
      <c r="UCS3" s="7"/>
      <c r="UCT3" s="7"/>
      <c r="UCU3" s="7"/>
      <c r="UCV3" s="7"/>
      <c r="UCW3" s="7"/>
      <c r="UCX3" s="7"/>
      <c r="UCY3" s="7"/>
      <c r="UCZ3" s="7"/>
      <c r="UDA3" s="7"/>
      <c r="UDB3" s="7"/>
      <c r="UDC3" s="7"/>
      <c r="UDD3" s="7"/>
      <c r="UDE3" s="7"/>
      <c r="UDF3" s="7"/>
      <c r="UDG3" s="7"/>
      <c r="UDH3" s="7"/>
      <c r="UDI3" s="7"/>
      <c r="UDJ3" s="7"/>
      <c r="UDK3" s="7"/>
      <c r="UDL3" s="7"/>
      <c r="UDM3" s="7"/>
      <c r="UDN3" s="7"/>
      <c r="UDO3" s="7"/>
      <c r="UDP3" s="7"/>
      <c r="UDQ3" s="7"/>
      <c r="UDR3" s="7"/>
      <c r="UDS3" s="7"/>
      <c r="UDT3" s="7"/>
      <c r="UDU3" s="7"/>
      <c r="UDV3" s="7"/>
      <c r="UDW3" s="7"/>
      <c r="UDX3" s="7"/>
      <c r="UDY3" s="7"/>
      <c r="UDZ3" s="7"/>
      <c r="UEA3" s="7"/>
      <c r="UEB3" s="7"/>
      <c r="UEC3" s="7"/>
      <c r="UED3" s="7"/>
      <c r="UEE3" s="7"/>
      <c r="UEF3" s="7"/>
      <c r="UEG3" s="7"/>
      <c r="UEH3" s="7"/>
      <c r="UEI3" s="7"/>
      <c r="UEJ3" s="7"/>
      <c r="UEK3" s="7"/>
      <c r="UEL3" s="7"/>
      <c r="UEM3" s="7"/>
      <c r="UEN3" s="7"/>
      <c r="UEO3" s="7"/>
      <c r="UEP3" s="7"/>
      <c r="UEQ3" s="7"/>
      <c r="UER3" s="7"/>
      <c r="UES3" s="7"/>
      <c r="UET3" s="7"/>
      <c r="UEU3" s="7"/>
      <c r="UEV3" s="7"/>
      <c r="UEW3" s="7"/>
      <c r="UEX3" s="7"/>
      <c r="UEY3" s="7"/>
      <c r="UEZ3" s="7"/>
      <c r="UFA3" s="7"/>
      <c r="UFB3" s="7"/>
      <c r="UFC3" s="7"/>
      <c r="UFD3" s="7"/>
      <c r="UFE3" s="7"/>
      <c r="UFF3" s="7"/>
      <c r="UFG3" s="7"/>
      <c r="UFH3" s="7"/>
      <c r="UFI3" s="7"/>
      <c r="UFJ3" s="7"/>
      <c r="UFK3" s="7"/>
      <c r="UFL3" s="7"/>
      <c r="UFM3" s="7"/>
      <c r="UFN3" s="7"/>
      <c r="UFO3" s="7"/>
      <c r="UFP3" s="7"/>
      <c r="UFQ3" s="7"/>
      <c r="UFR3" s="7"/>
      <c r="UFS3" s="7"/>
      <c r="UFT3" s="7"/>
      <c r="UFU3" s="7"/>
      <c r="UFV3" s="7"/>
      <c r="UFW3" s="7"/>
      <c r="UFX3" s="7"/>
      <c r="UFY3" s="7"/>
      <c r="UFZ3" s="7"/>
      <c r="UGA3" s="7"/>
      <c r="UGB3" s="7"/>
      <c r="UGC3" s="7"/>
      <c r="UGD3" s="7"/>
      <c r="UGE3" s="7"/>
      <c r="UGF3" s="7"/>
      <c r="UGG3" s="7"/>
      <c r="UGH3" s="7"/>
      <c r="UGI3" s="7"/>
      <c r="UGJ3" s="7"/>
      <c r="UGK3" s="7"/>
      <c r="UGL3" s="7"/>
      <c r="UGM3" s="7"/>
      <c r="UGN3" s="7"/>
      <c r="UGO3" s="7"/>
      <c r="UGP3" s="7"/>
      <c r="UGQ3" s="7"/>
      <c r="UGR3" s="7"/>
      <c r="UGS3" s="7"/>
      <c r="UGT3" s="7"/>
      <c r="UGU3" s="7"/>
      <c r="UGV3" s="7"/>
      <c r="UGW3" s="7"/>
      <c r="UGX3" s="7"/>
      <c r="UGY3" s="7"/>
      <c r="UGZ3" s="7"/>
      <c r="UHA3" s="7"/>
      <c r="UHB3" s="7"/>
      <c r="UHC3" s="7"/>
      <c r="UHD3" s="7"/>
      <c r="UHE3" s="7"/>
      <c r="UHF3" s="7"/>
      <c r="UHG3" s="7"/>
      <c r="UHH3" s="7"/>
      <c r="UHI3" s="7"/>
      <c r="UHJ3" s="7"/>
      <c r="UHK3" s="7"/>
      <c r="UHL3" s="7"/>
      <c r="UHM3" s="7"/>
      <c r="UHN3" s="7"/>
      <c r="UHO3" s="7"/>
      <c r="UHP3" s="7"/>
      <c r="UHQ3" s="7"/>
      <c r="UHR3" s="7"/>
      <c r="UHS3" s="7"/>
      <c r="UHT3" s="7"/>
      <c r="UHU3" s="7"/>
      <c r="UHV3" s="7"/>
      <c r="UHW3" s="7"/>
      <c r="UHX3" s="7"/>
      <c r="UHY3" s="7"/>
      <c r="UHZ3" s="7"/>
      <c r="UIA3" s="7"/>
      <c r="UIB3" s="7"/>
      <c r="UIC3" s="7"/>
      <c r="UID3" s="7"/>
      <c r="UIE3" s="7"/>
      <c r="UIF3" s="7"/>
      <c r="UIG3" s="7"/>
      <c r="UIH3" s="7"/>
      <c r="UII3" s="7"/>
      <c r="UIJ3" s="7"/>
      <c r="UIK3" s="7"/>
      <c r="UIL3" s="7"/>
      <c r="UIM3" s="7"/>
      <c r="UIN3" s="7"/>
      <c r="UIO3" s="7"/>
      <c r="UIP3" s="7"/>
      <c r="UIQ3" s="7"/>
      <c r="UIR3" s="7"/>
      <c r="UIS3" s="7"/>
      <c r="UIT3" s="7"/>
      <c r="UIU3" s="7"/>
      <c r="UIV3" s="7"/>
      <c r="UIW3" s="7"/>
      <c r="UIX3" s="7"/>
      <c r="UIY3" s="7"/>
      <c r="UIZ3" s="7"/>
      <c r="UJA3" s="7"/>
      <c r="UJB3" s="7"/>
      <c r="UJC3" s="7"/>
      <c r="UJD3" s="7"/>
      <c r="UJE3" s="7"/>
      <c r="UJF3" s="7"/>
      <c r="UJG3" s="7"/>
      <c r="UJH3" s="7"/>
      <c r="UJI3" s="7"/>
      <c r="UJJ3" s="7"/>
      <c r="UJK3" s="7"/>
      <c r="UJL3" s="7"/>
      <c r="UJM3" s="7"/>
      <c r="UJN3" s="7"/>
      <c r="UJO3" s="7"/>
      <c r="UJP3" s="7"/>
      <c r="UJQ3" s="7"/>
      <c r="UJR3" s="7"/>
      <c r="UJS3" s="7"/>
      <c r="UJT3" s="7"/>
      <c r="UJU3" s="7"/>
      <c r="UJV3" s="7"/>
      <c r="UJW3" s="7"/>
      <c r="UJX3" s="7"/>
      <c r="UJY3" s="7"/>
      <c r="UJZ3" s="7"/>
      <c r="UKA3" s="7"/>
      <c r="UKB3" s="7"/>
      <c r="UKC3" s="7"/>
      <c r="UKD3" s="7"/>
      <c r="UKE3" s="7"/>
      <c r="UKF3" s="7"/>
      <c r="UKG3" s="7"/>
      <c r="UKH3" s="7"/>
      <c r="UKI3" s="7"/>
      <c r="UKJ3" s="7"/>
      <c r="UKK3" s="7"/>
      <c r="UKL3" s="7"/>
      <c r="UKM3" s="7"/>
      <c r="UKN3" s="7"/>
      <c r="UKO3" s="7"/>
      <c r="UKP3" s="7"/>
      <c r="UKQ3" s="7"/>
      <c r="UKR3" s="7"/>
      <c r="UKS3" s="7"/>
      <c r="UKT3" s="7"/>
      <c r="UKU3" s="7"/>
      <c r="UKV3" s="7"/>
      <c r="UKW3" s="7"/>
      <c r="UKX3" s="7"/>
      <c r="UKY3" s="7"/>
      <c r="UKZ3" s="7"/>
      <c r="ULA3" s="7"/>
      <c r="ULB3" s="7"/>
      <c r="ULC3" s="7"/>
      <c r="ULD3" s="7"/>
      <c r="ULE3" s="7"/>
      <c r="ULF3" s="7"/>
      <c r="ULG3" s="7"/>
      <c r="ULH3" s="7"/>
      <c r="ULI3" s="7"/>
      <c r="ULJ3" s="7"/>
      <c r="ULK3" s="7"/>
      <c r="ULL3" s="7"/>
      <c r="ULM3" s="7"/>
      <c r="ULN3" s="7"/>
      <c r="ULO3" s="7"/>
      <c r="ULP3" s="7"/>
      <c r="ULQ3" s="7"/>
      <c r="ULR3" s="7"/>
      <c r="ULS3" s="7"/>
      <c r="ULT3" s="7"/>
      <c r="ULU3" s="7"/>
      <c r="ULV3" s="7"/>
      <c r="ULW3" s="7"/>
      <c r="ULX3" s="7"/>
      <c r="ULY3" s="7"/>
      <c r="ULZ3" s="7"/>
      <c r="UMA3" s="7"/>
      <c r="UMB3" s="7"/>
      <c r="UMC3" s="7"/>
      <c r="UMD3" s="7"/>
      <c r="UME3" s="7"/>
      <c r="UMF3" s="7"/>
      <c r="UMG3" s="7"/>
      <c r="UMH3" s="7"/>
      <c r="UMI3" s="7"/>
      <c r="UMJ3" s="7"/>
      <c r="UMK3" s="7"/>
      <c r="UML3" s="7"/>
      <c r="UMM3" s="7"/>
      <c r="UMN3" s="7"/>
      <c r="UMO3" s="7"/>
      <c r="UMP3" s="7"/>
      <c r="UMQ3" s="7"/>
      <c r="UMR3" s="7"/>
      <c r="UMS3" s="7"/>
      <c r="UMT3" s="7"/>
      <c r="UMU3" s="7"/>
      <c r="UMV3" s="7"/>
      <c r="UMW3" s="7"/>
      <c r="UMX3" s="7"/>
      <c r="UMY3" s="7"/>
      <c r="UMZ3" s="7"/>
      <c r="UNA3" s="7"/>
      <c r="UNB3" s="7"/>
      <c r="UNC3" s="7"/>
      <c r="UND3" s="7"/>
      <c r="UNE3" s="7"/>
      <c r="UNF3" s="7"/>
      <c r="UNG3" s="7"/>
      <c r="UNH3" s="7"/>
      <c r="UNI3" s="7"/>
      <c r="UNJ3" s="7"/>
      <c r="UNK3" s="7"/>
      <c r="UNL3" s="7"/>
      <c r="UNM3" s="7"/>
      <c r="UNN3" s="7"/>
      <c r="UNO3" s="7"/>
      <c r="UNP3" s="7"/>
      <c r="UNQ3" s="7"/>
      <c r="UNR3" s="7"/>
      <c r="UNS3" s="7"/>
      <c r="UNT3" s="7"/>
      <c r="UNU3" s="7"/>
      <c r="UNV3" s="7"/>
      <c r="UNW3" s="7"/>
      <c r="UNX3" s="7"/>
      <c r="UNY3" s="7"/>
      <c r="UNZ3" s="7"/>
      <c r="UOA3" s="7"/>
      <c r="UOB3" s="7"/>
      <c r="UOC3" s="7"/>
      <c r="UOD3" s="7"/>
      <c r="UOE3" s="7"/>
      <c r="UOF3" s="7"/>
      <c r="UOG3" s="7"/>
      <c r="UOH3" s="7"/>
      <c r="UOI3" s="7"/>
      <c r="UOJ3" s="7"/>
      <c r="UOK3" s="7"/>
      <c r="UOL3" s="7"/>
      <c r="UOM3" s="7"/>
      <c r="UON3" s="7"/>
      <c r="UOO3" s="7"/>
      <c r="UOP3" s="7"/>
      <c r="UOQ3" s="7"/>
      <c r="UOR3" s="7"/>
      <c r="UOS3" s="7"/>
      <c r="UOT3" s="7"/>
      <c r="UOU3" s="7"/>
      <c r="UOV3" s="7"/>
      <c r="UOW3" s="7"/>
      <c r="UOX3" s="7"/>
      <c r="UOY3" s="7"/>
      <c r="UOZ3" s="7"/>
      <c r="UPA3" s="7"/>
      <c r="UPB3" s="7"/>
      <c r="UPC3" s="7"/>
      <c r="UPD3" s="7"/>
      <c r="UPE3" s="7"/>
      <c r="UPF3" s="7"/>
      <c r="UPG3" s="7"/>
      <c r="UPH3" s="7"/>
      <c r="UPI3" s="7"/>
      <c r="UPJ3" s="7"/>
      <c r="UPK3" s="7"/>
      <c r="UPL3" s="7"/>
      <c r="UPM3" s="7"/>
      <c r="UPN3" s="7"/>
      <c r="UPO3" s="7"/>
      <c r="UPP3" s="7"/>
      <c r="UPQ3" s="7"/>
      <c r="UPR3" s="7"/>
      <c r="UPS3" s="7"/>
      <c r="UPT3" s="7"/>
      <c r="UPU3" s="7"/>
      <c r="UPV3" s="7"/>
      <c r="UPW3" s="7"/>
      <c r="UPX3" s="7"/>
      <c r="UPY3" s="7"/>
      <c r="UPZ3" s="7"/>
      <c r="UQA3" s="7"/>
      <c r="UQB3" s="7"/>
      <c r="UQC3" s="7"/>
      <c r="UQD3" s="7"/>
      <c r="UQE3" s="7"/>
      <c r="UQF3" s="7"/>
      <c r="UQG3" s="7"/>
      <c r="UQH3" s="7"/>
      <c r="UQI3" s="7"/>
      <c r="UQJ3" s="7"/>
      <c r="UQK3" s="7"/>
      <c r="UQL3" s="7"/>
      <c r="UQM3" s="7"/>
      <c r="UQN3" s="7"/>
      <c r="UQO3" s="7"/>
      <c r="UQP3" s="7"/>
      <c r="UQQ3" s="7"/>
      <c r="UQR3" s="7"/>
      <c r="UQS3" s="7"/>
      <c r="UQT3" s="7"/>
      <c r="UQU3" s="7"/>
      <c r="UQV3" s="7"/>
      <c r="UQW3" s="7"/>
      <c r="UQX3" s="7"/>
      <c r="UQY3" s="7"/>
      <c r="UQZ3" s="7"/>
      <c r="URA3" s="7"/>
      <c r="URB3" s="7"/>
      <c r="URC3" s="7"/>
      <c r="URD3" s="7"/>
      <c r="URE3" s="7"/>
      <c r="URF3" s="7"/>
      <c r="URG3" s="7"/>
      <c r="URH3" s="7"/>
      <c r="URI3" s="7"/>
      <c r="URJ3" s="7"/>
      <c r="URK3" s="7"/>
      <c r="URL3" s="7"/>
      <c r="URM3" s="7"/>
      <c r="URN3" s="7"/>
      <c r="URO3" s="7"/>
      <c r="URP3" s="7"/>
      <c r="URQ3" s="7"/>
      <c r="URR3" s="7"/>
      <c r="URS3" s="7"/>
      <c r="URT3" s="7"/>
      <c r="URU3" s="7"/>
      <c r="URV3" s="7"/>
      <c r="URW3" s="7"/>
      <c r="URX3" s="7"/>
      <c r="URY3" s="7"/>
      <c r="URZ3" s="7"/>
      <c r="USA3" s="7"/>
      <c r="USB3" s="7"/>
      <c r="USC3" s="7"/>
      <c r="USD3" s="7"/>
      <c r="USE3" s="7"/>
      <c r="USF3" s="7"/>
      <c r="USG3" s="7"/>
      <c r="USH3" s="7"/>
      <c r="USI3" s="7"/>
      <c r="USJ3" s="7"/>
      <c r="USK3" s="7"/>
      <c r="USL3" s="7"/>
      <c r="USM3" s="7"/>
      <c r="USN3" s="7"/>
      <c r="USO3" s="7"/>
      <c r="USP3" s="7"/>
      <c r="USQ3" s="7"/>
      <c r="USR3" s="7"/>
      <c r="USS3" s="7"/>
      <c r="UST3" s="7"/>
      <c r="USU3" s="7"/>
      <c r="USV3" s="7"/>
      <c r="USW3" s="7"/>
      <c r="USX3" s="7"/>
      <c r="USY3" s="7"/>
      <c r="USZ3" s="7"/>
      <c r="UTA3" s="7"/>
      <c r="UTB3" s="7"/>
      <c r="UTC3" s="7"/>
      <c r="UTD3" s="7"/>
      <c r="UTE3" s="7"/>
      <c r="UTF3" s="7"/>
      <c r="UTG3" s="7"/>
      <c r="UTH3" s="7"/>
      <c r="UTI3" s="7"/>
      <c r="UTJ3" s="7"/>
      <c r="UTK3" s="7"/>
      <c r="UTL3" s="7"/>
      <c r="UTM3" s="7"/>
      <c r="UTN3" s="7"/>
      <c r="UTO3" s="7"/>
      <c r="UTP3" s="7"/>
      <c r="UTQ3" s="7"/>
      <c r="UTR3" s="7"/>
      <c r="UTS3" s="7"/>
      <c r="UTT3" s="7"/>
      <c r="UTU3" s="7"/>
      <c r="UTV3" s="7"/>
      <c r="UTW3" s="7"/>
      <c r="UTX3" s="7"/>
      <c r="UTY3" s="7"/>
      <c r="UTZ3" s="7"/>
      <c r="UUA3" s="7"/>
      <c r="UUB3" s="7"/>
      <c r="UUC3" s="7"/>
      <c r="UUD3" s="7"/>
      <c r="UUE3" s="7"/>
      <c r="UUF3" s="7"/>
      <c r="UUG3" s="7"/>
      <c r="UUH3" s="7"/>
      <c r="UUI3" s="7"/>
      <c r="UUJ3" s="7"/>
      <c r="UUK3" s="7"/>
      <c r="UUL3" s="7"/>
      <c r="UUM3" s="7"/>
      <c r="UUN3" s="7"/>
      <c r="UUO3" s="7"/>
      <c r="UUP3" s="7"/>
      <c r="UUQ3" s="7"/>
      <c r="UUR3" s="7"/>
      <c r="UUS3" s="7"/>
      <c r="UUT3" s="7"/>
      <c r="UUU3" s="7"/>
      <c r="UUV3" s="7"/>
      <c r="UUW3" s="7"/>
      <c r="UUX3" s="7"/>
      <c r="UUY3" s="7"/>
      <c r="UUZ3" s="7"/>
      <c r="UVA3" s="7"/>
      <c r="UVB3" s="7"/>
      <c r="UVC3" s="7"/>
      <c r="UVD3" s="7"/>
      <c r="UVE3" s="7"/>
      <c r="UVF3" s="7"/>
      <c r="UVG3" s="7"/>
      <c r="UVH3" s="7"/>
      <c r="UVI3" s="7"/>
      <c r="UVJ3" s="7"/>
      <c r="UVK3" s="7"/>
      <c r="UVL3" s="7"/>
      <c r="UVM3" s="7"/>
      <c r="UVN3" s="7"/>
      <c r="UVO3" s="7"/>
      <c r="UVP3" s="7"/>
      <c r="UVQ3" s="7"/>
      <c r="UVR3" s="7"/>
      <c r="UVS3" s="7"/>
      <c r="UVT3" s="7"/>
      <c r="UVU3" s="7"/>
      <c r="UVV3" s="7"/>
      <c r="UVW3" s="7"/>
      <c r="UVX3" s="7"/>
      <c r="UVY3" s="7"/>
      <c r="UVZ3" s="7"/>
      <c r="UWA3" s="7"/>
      <c r="UWB3" s="7"/>
      <c r="UWC3" s="7"/>
      <c r="UWD3" s="7"/>
      <c r="UWE3" s="7"/>
      <c r="UWF3" s="7"/>
      <c r="UWG3" s="7"/>
      <c r="UWH3" s="7"/>
      <c r="UWI3" s="7"/>
      <c r="UWJ3" s="7"/>
      <c r="UWK3" s="7"/>
      <c r="UWL3" s="7"/>
      <c r="UWM3" s="7"/>
      <c r="UWN3" s="7"/>
      <c r="UWO3" s="7"/>
      <c r="UWP3" s="7"/>
      <c r="UWQ3" s="7"/>
      <c r="UWR3" s="7"/>
      <c r="UWS3" s="7"/>
      <c r="UWT3" s="7"/>
      <c r="UWU3" s="7"/>
      <c r="UWV3" s="7"/>
      <c r="UWW3" s="7"/>
      <c r="UWX3" s="7"/>
      <c r="UWY3" s="7"/>
      <c r="UWZ3" s="7"/>
      <c r="UXA3" s="7"/>
      <c r="UXB3" s="7"/>
      <c r="UXC3" s="7"/>
      <c r="UXD3" s="7"/>
      <c r="UXE3" s="7"/>
      <c r="UXF3" s="7"/>
      <c r="UXG3" s="7"/>
      <c r="UXH3" s="7"/>
      <c r="UXI3" s="7"/>
      <c r="UXJ3" s="7"/>
      <c r="UXK3" s="7"/>
      <c r="UXL3" s="7"/>
      <c r="UXM3" s="7"/>
      <c r="UXN3" s="7"/>
      <c r="UXO3" s="7"/>
      <c r="UXP3" s="7"/>
      <c r="UXQ3" s="7"/>
      <c r="UXR3" s="7"/>
      <c r="UXS3" s="7"/>
      <c r="UXT3" s="7"/>
      <c r="UXU3" s="7"/>
      <c r="UXV3" s="7"/>
      <c r="UXW3" s="7"/>
      <c r="UXX3" s="7"/>
      <c r="UXY3" s="7"/>
      <c r="UXZ3" s="7"/>
      <c r="UYA3" s="7"/>
      <c r="UYB3" s="7"/>
      <c r="UYC3" s="7"/>
      <c r="UYD3" s="7"/>
      <c r="UYE3" s="7"/>
      <c r="UYF3" s="7"/>
      <c r="UYG3" s="7"/>
      <c r="UYH3" s="7"/>
      <c r="UYI3" s="7"/>
      <c r="UYJ3" s="7"/>
      <c r="UYK3" s="7"/>
      <c r="UYL3" s="7"/>
      <c r="UYM3" s="7"/>
      <c r="UYN3" s="7"/>
      <c r="UYO3" s="7"/>
      <c r="UYP3" s="7"/>
      <c r="UYQ3" s="7"/>
      <c r="UYR3" s="7"/>
      <c r="UYS3" s="7"/>
      <c r="UYT3" s="7"/>
      <c r="UYU3" s="7"/>
      <c r="UYV3" s="7"/>
      <c r="UYW3" s="7"/>
      <c r="UYX3" s="7"/>
      <c r="UYY3" s="7"/>
      <c r="UYZ3" s="7"/>
      <c r="UZA3" s="7"/>
      <c r="UZB3" s="7"/>
      <c r="UZC3" s="7"/>
      <c r="UZD3" s="7"/>
      <c r="UZE3" s="7"/>
      <c r="UZF3" s="7"/>
      <c r="UZG3" s="7"/>
      <c r="UZH3" s="7"/>
      <c r="UZI3" s="7"/>
      <c r="UZJ3" s="7"/>
      <c r="UZK3" s="7"/>
      <c r="UZL3" s="7"/>
      <c r="UZM3" s="7"/>
      <c r="UZN3" s="7"/>
      <c r="UZO3" s="7"/>
      <c r="UZP3" s="7"/>
      <c r="UZQ3" s="7"/>
      <c r="UZR3" s="7"/>
      <c r="UZS3" s="7"/>
      <c r="UZT3" s="7"/>
      <c r="UZU3" s="7"/>
      <c r="UZV3" s="7"/>
      <c r="UZW3" s="7"/>
      <c r="UZX3" s="7"/>
      <c r="UZY3" s="7"/>
      <c r="UZZ3" s="7"/>
      <c r="VAA3" s="7"/>
      <c r="VAB3" s="7"/>
      <c r="VAC3" s="7"/>
      <c r="VAD3" s="7"/>
      <c r="VAE3" s="7"/>
      <c r="VAF3" s="7"/>
      <c r="VAG3" s="7"/>
      <c r="VAH3" s="7"/>
      <c r="VAI3" s="7"/>
      <c r="VAJ3" s="7"/>
      <c r="VAK3" s="7"/>
      <c r="VAL3" s="7"/>
      <c r="VAM3" s="7"/>
      <c r="VAN3" s="7"/>
      <c r="VAO3" s="7"/>
      <c r="VAP3" s="7"/>
      <c r="VAQ3" s="7"/>
      <c r="VAR3" s="7"/>
      <c r="VAS3" s="7"/>
      <c r="VAT3" s="7"/>
      <c r="VAU3" s="7"/>
      <c r="VAV3" s="7"/>
      <c r="VAW3" s="7"/>
      <c r="VAX3" s="7"/>
      <c r="VAY3" s="7"/>
      <c r="VAZ3" s="7"/>
      <c r="VBA3" s="7"/>
      <c r="VBB3" s="7"/>
      <c r="VBC3" s="7"/>
      <c r="VBD3" s="7"/>
      <c r="VBE3" s="7"/>
      <c r="VBF3" s="7"/>
      <c r="VBG3" s="7"/>
      <c r="VBH3" s="7"/>
      <c r="VBI3" s="7"/>
      <c r="VBJ3" s="7"/>
      <c r="VBK3" s="7"/>
      <c r="VBL3" s="7"/>
      <c r="VBM3" s="7"/>
      <c r="VBN3" s="7"/>
      <c r="VBO3" s="7"/>
      <c r="VBP3" s="7"/>
      <c r="VBQ3" s="7"/>
      <c r="VBR3" s="7"/>
      <c r="VBS3" s="7"/>
      <c r="VBT3" s="7"/>
      <c r="VBU3" s="7"/>
      <c r="VBV3" s="7"/>
      <c r="VBW3" s="7"/>
      <c r="VBX3" s="7"/>
      <c r="VBY3" s="7"/>
      <c r="VBZ3" s="7"/>
      <c r="VCA3" s="7"/>
      <c r="VCB3" s="7"/>
      <c r="VCC3" s="7"/>
      <c r="VCD3" s="7"/>
      <c r="VCE3" s="7"/>
      <c r="VCF3" s="7"/>
      <c r="VCG3" s="7"/>
      <c r="VCH3" s="7"/>
      <c r="VCI3" s="7"/>
      <c r="VCJ3" s="7"/>
      <c r="VCK3" s="7"/>
      <c r="VCL3" s="7"/>
      <c r="VCM3" s="7"/>
      <c r="VCN3" s="7"/>
      <c r="VCO3" s="7"/>
      <c r="VCP3" s="7"/>
      <c r="VCQ3" s="7"/>
      <c r="VCR3" s="7"/>
      <c r="VCS3" s="7"/>
      <c r="VCT3" s="7"/>
      <c r="VCU3" s="7"/>
      <c r="VCV3" s="7"/>
      <c r="VCW3" s="7"/>
      <c r="VCX3" s="7"/>
      <c r="VCY3" s="7"/>
      <c r="VCZ3" s="7"/>
      <c r="VDA3" s="7"/>
      <c r="VDB3" s="7"/>
      <c r="VDC3" s="7"/>
      <c r="VDD3" s="7"/>
      <c r="VDE3" s="7"/>
      <c r="VDF3" s="7"/>
      <c r="VDG3" s="7"/>
      <c r="VDH3" s="7"/>
      <c r="VDI3" s="7"/>
      <c r="VDJ3" s="7"/>
      <c r="VDK3" s="7"/>
      <c r="VDL3" s="7"/>
      <c r="VDM3" s="7"/>
      <c r="VDN3" s="7"/>
      <c r="VDO3" s="7"/>
      <c r="VDP3" s="7"/>
      <c r="VDQ3" s="7"/>
      <c r="VDR3" s="7"/>
      <c r="VDS3" s="7"/>
      <c r="VDT3" s="7"/>
      <c r="VDU3" s="7"/>
      <c r="VDV3" s="7"/>
      <c r="VDW3" s="7"/>
      <c r="VDX3" s="7"/>
      <c r="VDY3" s="7"/>
      <c r="VDZ3" s="7"/>
      <c r="VEA3" s="7"/>
      <c r="VEB3" s="7"/>
      <c r="VEC3" s="7"/>
      <c r="VED3" s="7"/>
      <c r="VEE3" s="7"/>
      <c r="VEF3" s="7"/>
      <c r="VEG3" s="7"/>
      <c r="VEH3" s="7"/>
      <c r="VEI3" s="7"/>
      <c r="VEJ3" s="7"/>
      <c r="VEK3" s="7"/>
      <c r="VEL3" s="7"/>
      <c r="VEM3" s="7"/>
      <c r="VEN3" s="7"/>
      <c r="VEO3" s="7"/>
      <c r="VEP3" s="7"/>
      <c r="VEQ3" s="7"/>
      <c r="VER3" s="7"/>
      <c r="VES3" s="7"/>
      <c r="VET3" s="7"/>
      <c r="VEU3" s="7"/>
      <c r="VEV3" s="7"/>
      <c r="VEW3" s="7"/>
      <c r="VEX3" s="7"/>
      <c r="VEY3" s="7"/>
      <c r="VEZ3" s="7"/>
      <c r="VFA3" s="7"/>
      <c r="VFB3" s="7"/>
      <c r="VFC3" s="7"/>
      <c r="VFD3" s="7"/>
      <c r="VFE3" s="7"/>
      <c r="VFF3" s="7"/>
      <c r="VFG3" s="7"/>
      <c r="VFH3" s="7"/>
      <c r="VFI3" s="7"/>
      <c r="VFJ3" s="7"/>
      <c r="VFK3" s="7"/>
      <c r="VFL3" s="7"/>
      <c r="VFM3" s="7"/>
      <c r="VFN3" s="7"/>
      <c r="VFO3" s="7"/>
      <c r="VFP3" s="7"/>
      <c r="VFQ3" s="7"/>
      <c r="VFR3" s="7"/>
      <c r="VFS3" s="7"/>
      <c r="VFT3" s="7"/>
      <c r="VFU3" s="7"/>
      <c r="VFV3" s="7"/>
      <c r="VFW3" s="7"/>
      <c r="VFX3" s="7"/>
      <c r="VFY3" s="7"/>
      <c r="VFZ3" s="7"/>
      <c r="VGA3" s="7"/>
      <c r="VGB3" s="7"/>
      <c r="VGC3" s="7"/>
      <c r="VGD3" s="7"/>
      <c r="VGE3" s="7"/>
      <c r="VGF3" s="7"/>
      <c r="VGG3" s="7"/>
      <c r="VGH3" s="7"/>
      <c r="VGI3" s="7"/>
      <c r="VGJ3" s="7"/>
      <c r="VGK3" s="7"/>
      <c r="VGL3" s="7"/>
      <c r="VGM3" s="7"/>
      <c r="VGN3" s="7"/>
      <c r="VGO3" s="7"/>
      <c r="VGP3" s="7"/>
      <c r="VGQ3" s="7"/>
      <c r="VGR3" s="7"/>
      <c r="VGS3" s="7"/>
      <c r="VGT3" s="7"/>
      <c r="VGU3" s="7"/>
      <c r="VGV3" s="7"/>
      <c r="VGW3" s="7"/>
      <c r="VGX3" s="7"/>
      <c r="VGY3" s="7"/>
      <c r="VGZ3" s="7"/>
      <c r="VHA3" s="7"/>
      <c r="VHB3" s="7"/>
      <c r="VHC3" s="7"/>
      <c r="VHD3" s="7"/>
      <c r="VHE3" s="7"/>
      <c r="VHF3" s="7"/>
      <c r="VHG3" s="7"/>
      <c r="VHH3" s="7"/>
      <c r="VHI3" s="7"/>
      <c r="VHJ3" s="7"/>
      <c r="VHK3" s="7"/>
      <c r="VHL3" s="7"/>
      <c r="VHM3" s="7"/>
      <c r="VHN3" s="7"/>
      <c r="VHO3" s="7"/>
      <c r="VHP3" s="7"/>
      <c r="VHQ3" s="7"/>
      <c r="VHR3" s="7"/>
      <c r="VHS3" s="7"/>
      <c r="VHT3" s="7"/>
      <c r="VHU3" s="7"/>
      <c r="VHV3" s="7"/>
      <c r="VHW3" s="7"/>
      <c r="VHX3" s="7"/>
      <c r="VHY3" s="7"/>
      <c r="VHZ3" s="7"/>
      <c r="VIA3" s="7"/>
      <c r="VIB3" s="7"/>
      <c r="VIC3" s="7"/>
      <c r="VID3" s="7"/>
      <c r="VIE3" s="7"/>
      <c r="VIF3" s="7"/>
      <c r="VIG3" s="7"/>
      <c r="VIH3" s="7"/>
      <c r="VII3" s="7"/>
      <c r="VIJ3" s="7"/>
      <c r="VIK3" s="7"/>
      <c r="VIL3" s="7"/>
      <c r="VIM3" s="7"/>
      <c r="VIN3" s="7"/>
      <c r="VIO3" s="7"/>
      <c r="VIP3" s="7"/>
      <c r="VIQ3" s="7"/>
      <c r="VIR3" s="7"/>
      <c r="VIS3" s="7"/>
      <c r="VIT3" s="7"/>
      <c r="VIU3" s="7"/>
      <c r="VIV3" s="7"/>
      <c r="VIW3" s="7"/>
      <c r="VIX3" s="7"/>
      <c r="VIY3" s="7"/>
      <c r="VIZ3" s="7"/>
      <c r="VJA3" s="7"/>
      <c r="VJB3" s="7"/>
      <c r="VJC3" s="7"/>
      <c r="VJD3" s="7"/>
      <c r="VJE3" s="7"/>
      <c r="VJF3" s="7"/>
      <c r="VJG3" s="7"/>
      <c r="VJH3" s="7"/>
      <c r="VJI3" s="7"/>
      <c r="VJJ3" s="7"/>
      <c r="VJK3" s="7"/>
      <c r="VJL3" s="7"/>
      <c r="VJM3" s="7"/>
      <c r="VJN3" s="7"/>
      <c r="VJO3" s="7"/>
      <c r="VJP3" s="7"/>
      <c r="VJQ3" s="7"/>
      <c r="VJR3" s="7"/>
      <c r="VJS3" s="7"/>
      <c r="VJT3" s="7"/>
      <c r="VJU3" s="7"/>
      <c r="VJV3" s="7"/>
      <c r="VJW3" s="7"/>
      <c r="VJX3" s="7"/>
      <c r="VJY3" s="7"/>
      <c r="VJZ3" s="7"/>
      <c r="VKA3" s="7"/>
      <c r="VKB3" s="7"/>
      <c r="VKC3" s="7"/>
      <c r="VKD3" s="7"/>
      <c r="VKE3" s="7"/>
      <c r="VKF3" s="7"/>
      <c r="VKG3" s="7"/>
      <c r="VKH3" s="7"/>
      <c r="VKI3" s="7"/>
      <c r="VKJ3" s="7"/>
      <c r="VKK3" s="7"/>
      <c r="VKL3" s="7"/>
      <c r="VKM3" s="7"/>
      <c r="VKN3" s="7"/>
      <c r="VKO3" s="7"/>
      <c r="VKP3" s="7"/>
      <c r="VKQ3" s="7"/>
      <c r="VKR3" s="7"/>
      <c r="VKS3" s="7"/>
      <c r="VKT3" s="7"/>
      <c r="VKU3" s="7"/>
      <c r="VKV3" s="7"/>
      <c r="VKW3" s="7"/>
      <c r="VKX3" s="7"/>
      <c r="VKY3" s="7"/>
      <c r="VKZ3" s="7"/>
      <c r="VLA3" s="7"/>
      <c r="VLB3" s="7"/>
      <c r="VLC3" s="7"/>
      <c r="VLD3" s="7"/>
      <c r="VLE3" s="7"/>
      <c r="VLF3" s="7"/>
      <c r="VLG3" s="7"/>
      <c r="VLH3" s="7"/>
      <c r="VLI3" s="7"/>
      <c r="VLJ3" s="7"/>
      <c r="VLK3" s="7"/>
      <c r="VLL3" s="7"/>
      <c r="VLM3" s="7"/>
      <c r="VLN3" s="7"/>
      <c r="VLO3" s="7"/>
      <c r="VLP3" s="7"/>
      <c r="VLQ3" s="7"/>
      <c r="VLR3" s="7"/>
      <c r="VLS3" s="7"/>
      <c r="VLT3" s="7"/>
      <c r="VLU3" s="7"/>
      <c r="VLV3" s="7"/>
      <c r="VLW3" s="7"/>
      <c r="VLX3" s="7"/>
      <c r="VLY3" s="7"/>
      <c r="VLZ3" s="7"/>
      <c r="VMA3" s="7"/>
      <c r="VMB3" s="7"/>
      <c r="VMC3" s="7"/>
      <c r="VMD3" s="7"/>
      <c r="VME3" s="7"/>
      <c r="VMF3" s="7"/>
      <c r="VMG3" s="7"/>
      <c r="VMH3" s="7"/>
      <c r="VMI3" s="7"/>
      <c r="VMJ3" s="7"/>
      <c r="VMK3" s="7"/>
      <c r="VML3" s="7"/>
      <c r="VMM3" s="7"/>
      <c r="VMN3" s="7"/>
      <c r="VMO3" s="7"/>
      <c r="VMP3" s="7"/>
      <c r="VMQ3" s="7"/>
      <c r="VMR3" s="7"/>
      <c r="VMS3" s="7"/>
      <c r="VMT3" s="7"/>
      <c r="VMU3" s="7"/>
      <c r="VMV3" s="7"/>
      <c r="VMW3" s="7"/>
      <c r="VMX3" s="7"/>
      <c r="VMY3" s="7"/>
      <c r="VMZ3" s="7"/>
      <c r="VNA3" s="7"/>
      <c r="VNB3" s="7"/>
      <c r="VNC3" s="7"/>
      <c r="VND3" s="7"/>
      <c r="VNE3" s="7"/>
      <c r="VNF3" s="7"/>
      <c r="VNG3" s="7"/>
      <c r="VNH3" s="7"/>
      <c r="VNI3" s="7"/>
      <c r="VNJ3" s="7"/>
      <c r="VNK3" s="7"/>
      <c r="VNL3" s="7"/>
      <c r="VNM3" s="7"/>
      <c r="VNN3" s="7"/>
      <c r="VNO3" s="7"/>
      <c r="VNP3" s="7"/>
      <c r="VNQ3" s="7"/>
      <c r="VNR3" s="7"/>
      <c r="VNS3" s="7"/>
      <c r="VNT3" s="7"/>
      <c r="VNU3" s="7"/>
      <c r="VNV3" s="7"/>
      <c r="VNW3" s="7"/>
      <c r="VNX3" s="7"/>
      <c r="VNY3" s="7"/>
      <c r="VNZ3" s="7"/>
      <c r="VOA3" s="7"/>
      <c r="VOB3" s="7"/>
      <c r="VOC3" s="7"/>
      <c r="VOD3" s="7"/>
      <c r="VOE3" s="7"/>
      <c r="VOF3" s="7"/>
      <c r="VOG3" s="7"/>
      <c r="VOH3" s="7"/>
      <c r="VOI3" s="7"/>
      <c r="VOJ3" s="7"/>
      <c r="VOK3" s="7"/>
      <c r="VOL3" s="7"/>
      <c r="VOM3" s="7"/>
      <c r="VON3" s="7"/>
      <c r="VOO3" s="7"/>
      <c r="VOP3" s="7"/>
      <c r="VOQ3" s="7"/>
      <c r="VOR3" s="7"/>
      <c r="VOS3" s="7"/>
      <c r="VOT3" s="7"/>
      <c r="VOU3" s="7"/>
      <c r="VOV3" s="7"/>
      <c r="VOW3" s="7"/>
      <c r="VOX3" s="7"/>
      <c r="VOY3" s="7"/>
      <c r="VOZ3" s="7"/>
      <c r="VPA3" s="7"/>
      <c r="VPB3" s="7"/>
      <c r="VPC3" s="7"/>
      <c r="VPD3" s="7"/>
      <c r="VPE3" s="7"/>
      <c r="VPF3" s="7"/>
      <c r="VPG3" s="7"/>
      <c r="VPH3" s="7"/>
      <c r="VPI3" s="7"/>
      <c r="VPJ3" s="7"/>
      <c r="VPK3" s="7"/>
      <c r="VPL3" s="7"/>
      <c r="VPM3" s="7"/>
      <c r="VPN3" s="7"/>
      <c r="VPO3" s="7"/>
      <c r="VPP3" s="7"/>
      <c r="VPQ3" s="7"/>
      <c r="VPR3" s="7"/>
      <c r="VPS3" s="7"/>
      <c r="VPT3" s="7"/>
      <c r="VPU3" s="7"/>
      <c r="VPV3" s="7"/>
      <c r="VPW3" s="7"/>
      <c r="VPX3" s="7"/>
      <c r="VPY3" s="7"/>
      <c r="VPZ3" s="7"/>
      <c r="VQA3" s="7"/>
      <c r="VQB3" s="7"/>
      <c r="VQC3" s="7"/>
      <c r="VQD3" s="7"/>
      <c r="VQE3" s="7"/>
      <c r="VQF3" s="7"/>
      <c r="VQG3" s="7"/>
      <c r="VQH3" s="7"/>
      <c r="VQI3" s="7"/>
      <c r="VQJ3" s="7"/>
      <c r="VQK3" s="7"/>
      <c r="VQL3" s="7"/>
      <c r="VQM3" s="7"/>
      <c r="VQN3" s="7"/>
      <c r="VQO3" s="7"/>
      <c r="VQP3" s="7"/>
      <c r="VQQ3" s="7"/>
      <c r="VQR3" s="7"/>
      <c r="VQS3" s="7"/>
      <c r="VQT3" s="7"/>
      <c r="VQU3" s="7"/>
      <c r="VQV3" s="7"/>
      <c r="VQW3" s="7"/>
      <c r="VQX3" s="7"/>
      <c r="VQY3" s="7"/>
      <c r="VQZ3" s="7"/>
      <c r="VRA3" s="7"/>
      <c r="VRB3" s="7"/>
      <c r="VRC3" s="7"/>
      <c r="VRD3" s="7"/>
      <c r="VRE3" s="7"/>
      <c r="VRF3" s="7"/>
      <c r="VRG3" s="7"/>
      <c r="VRH3" s="7"/>
      <c r="VRI3" s="7"/>
      <c r="VRJ3" s="7"/>
      <c r="VRK3" s="7"/>
      <c r="VRL3" s="7"/>
      <c r="VRM3" s="7"/>
      <c r="VRN3" s="7"/>
      <c r="VRO3" s="7"/>
      <c r="VRP3" s="7"/>
      <c r="VRQ3" s="7"/>
      <c r="VRR3" s="7"/>
      <c r="VRS3" s="7"/>
      <c r="VRT3" s="7"/>
      <c r="VRU3" s="7"/>
      <c r="VRV3" s="7"/>
      <c r="VRW3" s="7"/>
      <c r="VRX3" s="7"/>
      <c r="VRY3" s="7"/>
      <c r="VRZ3" s="7"/>
      <c r="VSA3" s="7"/>
      <c r="VSB3" s="7"/>
      <c r="VSC3" s="7"/>
      <c r="VSD3" s="7"/>
      <c r="VSE3" s="7"/>
      <c r="VSF3" s="7"/>
      <c r="VSG3" s="7"/>
      <c r="VSH3" s="7"/>
      <c r="VSI3" s="7"/>
      <c r="VSJ3" s="7"/>
      <c r="VSK3" s="7"/>
      <c r="VSL3" s="7"/>
      <c r="VSM3" s="7"/>
      <c r="VSN3" s="7"/>
      <c r="VSO3" s="7"/>
      <c r="VSP3" s="7"/>
      <c r="VSQ3" s="7"/>
      <c r="VSR3" s="7"/>
      <c r="VSS3" s="7"/>
      <c r="VST3" s="7"/>
      <c r="VSU3" s="7"/>
      <c r="VSV3" s="7"/>
      <c r="VSW3" s="7"/>
      <c r="VSX3" s="7"/>
      <c r="VSY3" s="7"/>
      <c r="VSZ3" s="7"/>
      <c r="VTA3" s="7"/>
      <c r="VTB3" s="7"/>
      <c r="VTC3" s="7"/>
      <c r="VTD3" s="7"/>
      <c r="VTE3" s="7"/>
      <c r="VTF3" s="7"/>
      <c r="VTG3" s="7"/>
      <c r="VTH3" s="7"/>
      <c r="VTI3" s="7"/>
      <c r="VTJ3" s="7"/>
      <c r="VTK3" s="7"/>
      <c r="VTL3" s="7"/>
      <c r="VTM3" s="7"/>
      <c r="VTN3" s="7"/>
      <c r="VTO3" s="7"/>
      <c r="VTP3" s="7"/>
      <c r="VTQ3" s="7"/>
      <c r="VTR3" s="7"/>
      <c r="VTS3" s="7"/>
      <c r="VTT3" s="7"/>
      <c r="VTU3" s="7"/>
      <c r="VTV3" s="7"/>
      <c r="VTW3" s="7"/>
      <c r="VTX3" s="7"/>
      <c r="VTY3" s="7"/>
      <c r="VTZ3" s="7"/>
      <c r="VUA3" s="7"/>
      <c r="VUB3" s="7"/>
      <c r="VUC3" s="7"/>
      <c r="VUD3" s="7"/>
      <c r="VUE3" s="7"/>
      <c r="VUF3" s="7"/>
      <c r="VUG3" s="7"/>
      <c r="VUH3" s="7"/>
      <c r="VUI3" s="7"/>
      <c r="VUJ3" s="7"/>
      <c r="VUK3" s="7"/>
      <c r="VUL3" s="7"/>
      <c r="VUM3" s="7"/>
      <c r="VUN3" s="7"/>
      <c r="VUO3" s="7"/>
      <c r="VUP3" s="7"/>
      <c r="VUQ3" s="7"/>
      <c r="VUR3" s="7"/>
      <c r="VUS3" s="7"/>
      <c r="VUT3" s="7"/>
      <c r="VUU3" s="7"/>
      <c r="VUV3" s="7"/>
      <c r="VUW3" s="7"/>
      <c r="VUX3" s="7"/>
      <c r="VUY3" s="7"/>
      <c r="VUZ3" s="7"/>
      <c r="VVA3" s="7"/>
      <c r="VVB3" s="7"/>
      <c r="VVC3" s="7"/>
      <c r="VVD3" s="7"/>
      <c r="VVE3" s="7"/>
      <c r="VVF3" s="7"/>
      <c r="VVG3" s="7"/>
      <c r="VVH3" s="7"/>
      <c r="VVI3" s="7"/>
      <c r="VVJ3" s="7"/>
      <c r="VVK3" s="7"/>
      <c r="VVL3" s="7"/>
      <c r="VVM3" s="7"/>
      <c r="VVN3" s="7"/>
      <c r="VVO3" s="7"/>
      <c r="VVP3" s="7"/>
      <c r="VVQ3" s="7"/>
      <c r="VVR3" s="7"/>
      <c r="VVS3" s="7"/>
      <c r="VVT3" s="7"/>
      <c r="VVU3" s="7"/>
      <c r="VVV3" s="7"/>
      <c r="VVW3" s="7"/>
      <c r="VVX3" s="7"/>
      <c r="VVY3" s="7"/>
      <c r="VVZ3" s="7"/>
      <c r="VWA3" s="7"/>
      <c r="VWB3" s="7"/>
      <c r="VWC3" s="7"/>
      <c r="VWD3" s="7"/>
      <c r="VWE3" s="7"/>
      <c r="VWF3" s="7"/>
      <c r="VWG3" s="7"/>
      <c r="VWH3" s="7"/>
      <c r="VWI3" s="7"/>
      <c r="VWJ3" s="7"/>
      <c r="VWK3" s="7"/>
      <c r="VWL3" s="7"/>
      <c r="VWM3" s="7"/>
      <c r="VWN3" s="7"/>
      <c r="VWO3" s="7"/>
      <c r="VWP3" s="7"/>
      <c r="VWQ3" s="7"/>
      <c r="VWR3" s="7"/>
      <c r="VWS3" s="7"/>
      <c r="VWT3" s="7"/>
      <c r="VWU3" s="7"/>
      <c r="VWV3" s="7"/>
      <c r="VWW3" s="7"/>
      <c r="VWX3" s="7"/>
      <c r="VWY3" s="7"/>
      <c r="VWZ3" s="7"/>
      <c r="VXA3" s="7"/>
      <c r="VXB3" s="7"/>
      <c r="VXC3" s="7"/>
      <c r="VXD3" s="7"/>
      <c r="VXE3" s="7"/>
      <c r="VXF3" s="7"/>
      <c r="VXG3" s="7"/>
      <c r="VXH3" s="7"/>
      <c r="VXI3" s="7"/>
      <c r="VXJ3" s="7"/>
      <c r="VXK3" s="7"/>
      <c r="VXL3" s="7"/>
      <c r="VXM3" s="7"/>
      <c r="VXN3" s="7"/>
      <c r="VXO3" s="7"/>
      <c r="VXP3" s="7"/>
      <c r="VXQ3" s="7"/>
      <c r="VXR3" s="7"/>
      <c r="VXS3" s="7"/>
      <c r="VXT3" s="7"/>
      <c r="VXU3" s="7"/>
      <c r="VXV3" s="7"/>
      <c r="VXW3" s="7"/>
      <c r="VXX3" s="7"/>
      <c r="VXY3" s="7"/>
      <c r="VXZ3" s="7"/>
      <c r="VYA3" s="7"/>
      <c r="VYB3" s="7"/>
      <c r="VYC3" s="7"/>
      <c r="VYD3" s="7"/>
      <c r="VYE3" s="7"/>
      <c r="VYF3" s="7"/>
      <c r="VYG3" s="7"/>
      <c r="VYH3" s="7"/>
      <c r="VYI3" s="7"/>
      <c r="VYJ3" s="7"/>
      <c r="VYK3" s="7"/>
      <c r="VYL3" s="7"/>
      <c r="VYM3" s="7"/>
      <c r="VYN3" s="7"/>
      <c r="VYO3" s="7"/>
      <c r="VYP3" s="7"/>
      <c r="VYQ3" s="7"/>
      <c r="VYR3" s="7"/>
      <c r="VYS3" s="7"/>
      <c r="VYT3" s="7"/>
      <c r="VYU3" s="7"/>
      <c r="VYV3" s="7"/>
      <c r="VYW3" s="7"/>
      <c r="VYX3" s="7"/>
      <c r="VYY3" s="7"/>
      <c r="VYZ3" s="7"/>
      <c r="VZA3" s="7"/>
      <c r="VZB3" s="7"/>
      <c r="VZC3" s="7"/>
      <c r="VZD3" s="7"/>
      <c r="VZE3" s="7"/>
      <c r="VZF3" s="7"/>
      <c r="VZG3" s="7"/>
      <c r="VZH3" s="7"/>
      <c r="VZI3" s="7"/>
      <c r="VZJ3" s="7"/>
      <c r="VZK3" s="7"/>
      <c r="VZL3" s="7"/>
      <c r="VZM3" s="7"/>
      <c r="VZN3" s="7"/>
      <c r="VZO3" s="7"/>
      <c r="VZP3" s="7"/>
      <c r="VZQ3" s="7"/>
      <c r="VZR3" s="7"/>
      <c r="VZS3" s="7"/>
      <c r="VZT3" s="7"/>
      <c r="VZU3" s="7"/>
      <c r="VZV3" s="7"/>
      <c r="VZW3" s="7"/>
      <c r="VZX3" s="7"/>
      <c r="VZY3" s="7"/>
      <c r="VZZ3" s="7"/>
      <c r="WAA3" s="7"/>
      <c r="WAB3" s="7"/>
      <c r="WAC3" s="7"/>
      <c r="WAD3" s="7"/>
      <c r="WAE3" s="7"/>
      <c r="WAF3" s="7"/>
      <c r="WAG3" s="7"/>
      <c r="WAH3" s="7"/>
      <c r="WAI3" s="7"/>
      <c r="WAJ3" s="7"/>
      <c r="WAK3" s="7"/>
      <c r="WAL3" s="7"/>
      <c r="WAM3" s="7"/>
      <c r="WAN3" s="7"/>
      <c r="WAO3" s="7"/>
      <c r="WAP3" s="7"/>
      <c r="WAQ3" s="7"/>
      <c r="WAR3" s="7"/>
      <c r="WAS3" s="7"/>
      <c r="WAT3" s="7"/>
      <c r="WAU3" s="7"/>
      <c r="WAV3" s="7"/>
      <c r="WAW3" s="7"/>
      <c r="WAX3" s="7"/>
      <c r="WAY3" s="7"/>
      <c r="WAZ3" s="7"/>
      <c r="WBA3" s="7"/>
      <c r="WBB3" s="7"/>
      <c r="WBC3" s="7"/>
      <c r="WBD3" s="7"/>
      <c r="WBE3" s="7"/>
      <c r="WBF3" s="7"/>
      <c r="WBG3" s="7"/>
      <c r="WBH3" s="7"/>
      <c r="WBI3" s="7"/>
      <c r="WBJ3" s="7"/>
      <c r="WBK3" s="7"/>
      <c r="WBL3" s="7"/>
      <c r="WBM3" s="7"/>
      <c r="WBN3" s="7"/>
      <c r="WBO3" s="7"/>
      <c r="WBP3" s="7"/>
      <c r="WBQ3" s="7"/>
      <c r="WBR3" s="7"/>
      <c r="WBS3" s="7"/>
      <c r="WBT3" s="7"/>
      <c r="WBU3" s="7"/>
      <c r="WBV3" s="7"/>
      <c r="WBW3" s="7"/>
      <c r="WBX3" s="7"/>
      <c r="WBY3" s="7"/>
      <c r="WBZ3" s="7"/>
      <c r="WCA3" s="7"/>
      <c r="WCB3" s="7"/>
      <c r="WCC3" s="7"/>
      <c r="WCD3" s="7"/>
      <c r="WCE3" s="7"/>
      <c r="WCF3" s="7"/>
      <c r="WCG3" s="7"/>
      <c r="WCH3" s="7"/>
      <c r="WCI3" s="7"/>
      <c r="WCJ3" s="7"/>
      <c r="WCK3" s="7"/>
      <c r="WCL3" s="7"/>
      <c r="WCM3" s="7"/>
      <c r="WCN3" s="7"/>
      <c r="WCO3" s="7"/>
      <c r="WCP3" s="7"/>
      <c r="WCQ3" s="7"/>
      <c r="WCR3" s="7"/>
      <c r="WCS3" s="7"/>
      <c r="WCT3" s="7"/>
      <c r="WCU3" s="7"/>
      <c r="WCV3" s="7"/>
      <c r="WCW3" s="7"/>
      <c r="WCX3" s="7"/>
      <c r="WCY3" s="7"/>
      <c r="WCZ3" s="7"/>
      <c r="WDA3" s="7"/>
      <c r="WDB3" s="7"/>
      <c r="WDC3" s="7"/>
      <c r="WDD3" s="7"/>
      <c r="WDE3" s="7"/>
      <c r="WDF3" s="7"/>
      <c r="WDG3" s="7"/>
      <c r="WDH3" s="7"/>
      <c r="WDI3" s="7"/>
      <c r="WDJ3" s="7"/>
      <c r="WDK3" s="7"/>
      <c r="WDL3" s="7"/>
      <c r="WDM3" s="7"/>
      <c r="WDN3" s="7"/>
      <c r="WDO3" s="7"/>
      <c r="WDP3" s="7"/>
      <c r="WDQ3" s="7"/>
      <c r="WDR3" s="7"/>
      <c r="WDS3" s="7"/>
      <c r="WDT3" s="7"/>
      <c r="WDU3" s="7"/>
      <c r="WDV3" s="7"/>
      <c r="WDW3" s="7"/>
      <c r="WDX3" s="7"/>
      <c r="WDY3" s="7"/>
      <c r="WDZ3" s="7"/>
      <c r="WEA3" s="7"/>
      <c r="WEB3" s="7"/>
      <c r="WEC3" s="7"/>
      <c r="WED3" s="7"/>
      <c r="WEE3" s="7"/>
      <c r="WEF3" s="7"/>
      <c r="WEG3" s="7"/>
      <c r="WEH3" s="7"/>
      <c r="WEI3" s="7"/>
      <c r="WEJ3" s="7"/>
      <c r="WEK3" s="7"/>
      <c r="WEL3" s="7"/>
      <c r="WEM3" s="7"/>
      <c r="WEN3" s="7"/>
      <c r="WEO3" s="7"/>
      <c r="WEP3" s="7"/>
      <c r="WEQ3" s="7"/>
      <c r="WER3" s="7"/>
      <c r="WES3" s="7"/>
      <c r="WET3" s="7"/>
      <c r="WEU3" s="7"/>
      <c r="WEV3" s="7"/>
      <c r="WEW3" s="7"/>
      <c r="WEX3" s="7"/>
      <c r="WEY3" s="7"/>
      <c r="WEZ3" s="7"/>
      <c r="WFA3" s="7"/>
      <c r="WFB3" s="7"/>
      <c r="WFC3" s="7"/>
      <c r="WFD3" s="7"/>
      <c r="WFE3" s="7"/>
      <c r="WFF3" s="7"/>
      <c r="WFG3" s="7"/>
      <c r="WFH3" s="7"/>
      <c r="WFI3" s="7"/>
      <c r="WFJ3" s="7"/>
      <c r="WFK3" s="7"/>
      <c r="WFL3" s="7"/>
      <c r="WFM3" s="7"/>
      <c r="WFN3" s="7"/>
      <c r="WFO3" s="7"/>
      <c r="WFP3" s="7"/>
      <c r="WFQ3" s="7"/>
      <c r="WFR3" s="7"/>
      <c r="WFS3" s="7"/>
      <c r="WFT3" s="7"/>
      <c r="WFU3" s="7"/>
      <c r="WFV3" s="7"/>
      <c r="WFW3" s="7"/>
      <c r="WFX3" s="7"/>
      <c r="WFY3" s="7"/>
      <c r="WFZ3" s="7"/>
      <c r="WGA3" s="7"/>
      <c r="WGB3" s="7"/>
      <c r="WGC3" s="7"/>
      <c r="WGD3" s="7"/>
      <c r="WGE3" s="7"/>
      <c r="WGF3" s="7"/>
      <c r="WGG3" s="7"/>
      <c r="WGH3" s="7"/>
      <c r="WGI3" s="7"/>
      <c r="WGJ3" s="7"/>
      <c r="WGK3" s="7"/>
      <c r="WGL3" s="7"/>
      <c r="WGM3" s="7"/>
      <c r="WGN3" s="7"/>
      <c r="WGO3" s="7"/>
      <c r="WGP3" s="7"/>
      <c r="WGQ3" s="7"/>
      <c r="WGR3" s="7"/>
      <c r="WGS3" s="7"/>
      <c r="WGT3" s="7"/>
      <c r="WGU3" s="7"/>
      <c r="WGV3" s="7"/>
      <c r="WGW3" s="7"/>
      <c r="WGX3" s="7"/>
      <c r="WGY3" s="7"/>
      <c r="WGZ3" s="7"/>
      <c r="WHA3" s="7"/>
      <c r="WHB3" s="7"/>
      <c r="WHC3" s="7"/>
      <c r="WHD3" s="7"/>
      <c r="WHE3" s="7"/>
      <c r="WHF3" s="7"/>
      <c r="WHG3" s="7"/>
      <c r="WHH3" s="7"/>
      <c r="WHI3" s="7"/>
      <c r="WHJ3" s="7"/>
      <c r="WHK3" s="7"/>
      <c r="WHL3" s="7"/>
      <c r="WHM3" s="7"/>
      <c r="WHN3" s="7"/>
      <c r="WHO3" s="7"/>
      <c r="WHP3" s="7"/>
      <c r="WHQ3" s="7"/>
      <c r="WHR3" s="7"/>
      <c r="WHS3" s="7"/>
      <c r="WHT3" s="7"/>
      <c r="WHU3" s="7"/>
      <c r="WHV3" s="7"/>
      <c r="WHW3" s="7"/>
      <c r="WHX3" s="7"/>
      <c r="WHY3" s="7"/>
      <c r="WHZ3" s="7"/>
      <c r="WIA3" s="7"/>
      <c r="WIB3" s="7"/>
      <c r="WIC3" s="7"/>
      <c r="WID3" s="7"/>
      <c r="WIE3" s="7"/>
      <c r="WIF3" s="7"/>
      <c r="WIG3" s="7"/>
      <c r="WIH3" s="7"/>
      <c r="WII3" s="7"/>
      <c r="WIJ3" s="7"/>
      <c r="WIK3" s="7"/>
      <c r="WIL3" s="7"/>
      <c r="WIM3" s="7"/>
      <c r="WIN3" s="7"/>
      <c r="WIO3" s="7"/>
      <c r="WIP3" s="7"/>
      <c r="WIQ3" s="7"/>
      <c r="WIR3" s="7"/>
      <c r="WIS3" s="7"/>
      <c r="WIT3" s="7"/>
      <c r="WIU3" s="7"/>
      <c r="WIV3" s="7"/>
      <c r="WIW3" s="7"/>
      <c r="WIX3" s="7"/>
      <c r="WIY3" s="7"/>
      <c r="WIZ3" s="7"/>
      <c r="WJA3" s="7"/>
      <c r="WJB3" s="7"/>
      <c r="WJC3" s="7"/>
      <c r="WJD3" s="7"/>
      <c r="WJE3" s="7"/>
      <c r="WJF3" s="7"/>
      <c r="WJG3" s="7"/>
      <c r="WJH3" s="7"/>
      <c r="WJI3" s="7"/>
      <c r="WJJ3" s="7"/>
      <c r="WJK3" s="7"/>
      <c r="WJL3" s="7"/>
      <c r="WJM3" s="7"/>
      <c r="WJN3" s="7"/>
      <c r="WJO3" s="7"/>
      <c r="WJP3" s="7"/>
      <c r="WJQ3" s="7"/>
      <c r="WJR3" s="7"/>
      <c r="WJS3" s="7"/>
      <c r="WJT3" s="7"/>
      <c r="WJU3" s="7"/>
      <c r="WJV3" s="7"/>
      <c r="WJW3" s="7"/>
      <c r="WJX3" s="7"/>
      <c r="WJY3" s="7"/>
      <c r="WJZ3" s="7"/>
      <c r="WKA3" s="7"/>
      <c r="WKB3" s="7"/>
      <c r="WKC3" s="7"/>
      <c r="WKD3" s="7"/>
      <c r="WKE3" s="7"/>
      <c r="WKF3" s="7"/>
      <c r="WKG3" s="7"/>
      <c r="WKH3" s="7"/>
      <c r="WKI3" s="7"/>
      <c r="WKJ3" s="7"/>
      <c r="WKK3" s="7"/>
      <c r="WKL3" s="7"/>
      <c r="WKM3" s="7"/>
      <c r="WKN3" s="7"/>
      <c r="WKO3" s="7"/>
      <c r="WKP3" s="7"/>
      <c r="WKQ3" s="7"/>
      <c r="WKR3" s="7"/>
      <c r="WKS3" s="7"/>
      <c r="WKT3" s="7"/>
      <c r="WKU3" s="7"/>
      <c r="WKV3" s="7"/>
      <c r="WKW3" s="7"/>
      <c r="WKX3" s="7"/>
      <c r="WKY3" s="7"/>
      <c r="WKZ3" s="7"/>
      <c r="WLA3" s="7"/>
      <c r="WLB3" s="7"/>
      <c r="WLC3" s="7"/>
      <c r="WLD3" s="7"/>
      <c r="WLE3" s="7"/>
      <c r="WLF3" s="7"/>
      <c r="WLG3" s="7"/>
      <c r="WLH3" s="7"/>
      <c r="WLI3" s="7"/>
      <c r="WLJ3" s="7"/>
      <c r="WLK3" s="7"/>
      <c r="WLL3" s="7"/>
      <c r="WLM3" s="7"/>
      <c r="WLN3" s="7"/>
      <c r="WLO3" s="7"/>
      <c r="WLP3" s="7"/>
      <c r="WLQ3" s="7"/>
      <c r="WLR3" s="7"/>
      <c r="WLS3" s="7"/>
      <c r="WLT3" s="7"/>
      <c r="WLU3" s="7"/>
      <c r="WLV3" s="7"/>
      <c r="WLW3" s="7"/>
      <c r="WLX3" s="7"/>
      <c r="WLY3" s="7"/>
      <c r="WLZ3" s="7"/>
      <c r="WMA3" s="7"/>
      <c r="WMB3" s="7"/>
      <c r="WMC3" s="7"/>
      <c r="WMD3" s="7"/>
      <c r="WME3" s="7"/>
      <c r="WMF3" s="7"/>
      <c r="WMG3" s="7"/>
      <c r="WMH3" s="7"/>
      <c r="WMI3" s="7"/>
      <c r="WMJ3" s="7"/>
      <c r="WMK3" s="7"/>
      <c r="WML3" s="7"/>
      <c r="WMM3" s="7"/>
      <c r="WMN3" s="7"/>
      <c r="WMO3" s="7"/>
      <c r="WMP3" s="7"/>
      <c r="WMQ3" s="7"/>
      <c r="WMR3" s="7"/>
      <c r="WMS3" s="7"/>
      <c r="WMT3" s="7"/>
      <c r="WMU3" s="7"/>
      <c r="WMV3" s="7"/>
      <c r="WMW3" s="7"/>
      <c r="WMX3" s="7"/>
      <c r="WMY3" s="7"/>
      <c r="WMZ3" s="7"/>
      <c r="WNA3" s="7"/>
      <c r="WNB3" s="7"/>
      <c r="WNC3" s="7"/>
      <c r="WND3" s="7"/>
      <c r="WNE3" s="7"/>
      <c r="WNF3" s="7"/>
      <c r="WNG3" s="7"/>
      <c r="WNH3" s="7"/>
      <c r="WNI3" s="7"/>
      <c r="WNJ3" s="7"/>
      <c r="WNK3" s="7"/>
      <c r="WNL3" s="7"/>
      <c r="WNM3" s="7"/>
      <c r="WNN3" s="7"/>
      <c r="WNO3" s="7"/>
      <c r="WNP3" s="7"/>
      <c r="WNQ3" s="7"/>
      <c r="WNR3" s="7"/>
      <c r="WNS3" s="7"/>
      <c r="WNT3" s="7"/>
      <c r="WNU3" s="7"/>
      <c r="WNV3" s="7"/>
      <c r="WNW3" s="7"/>
      <c r="WNX3" s="7"/>
      <c r="WNY3" s="7"/>
      <c r="WNZ3" s="7"/>
      <c r="WOA3" s="7"/>
      <c r="WOB3" s="7"/>
      <c r="WOC3" s="7"/>
      <c r="WOD3" s="7"/>
      <c r="WOE3" s="7"/>
      <c r="WOF3" s="7"/>
      <c r="WOG3" s="7"/>
      <c r="WOH3" s="7"/>
      <c r="WOI3" s="7"/>
      <c r="WOJ3" s="7"/>
      <c r="WOK3" s="7"/>
      <c r="WOL3" s="7"/>
      <c r="WOM3" s="7"/>
      <c r="WON3" s="7"/>
      <c r="WOO3" s="7"/>
      <c r="WOP3" s="7"/>
      <c r="WOQ3" s="7"/>
      <c r="WOR3" s="7"/>
      <c r="WOS3" s="7"/>
      <c r="WOT3" s="7"/>
      <c r="WOU3" s="7"/>
      <c r="WOV3" s="7"/>
      <c r="WOW3" s="7"/>
      <c r="WOX3" s="7"/>
      <c r="WOY3" s="7"/>
      <c r="WOZ3" s="7"/>
      <c r="WPA3" s="7"/>
      <c r="WPB3" s="7"/>
      <c r="WPC3" s="7"/>
      <c r="WPD3" s="7"/>
      <c r="WPE3" s="7"/>
      <c r="WPF3" s="7"/>
      <c r="WPG3" s="7"/>
      <c r="WPH3" s="7"/>
      <c r="WPI3" s="7"/>
      <c r="WPJ3" s="7"/>
      <c r="WPK3" s="7"/>
      <c r="WPL3" s="7"/>
      <c r="WPM3" s="7"/>
      <c r="WPN3" s="7"/>
      <c r="WPO3" s="7"/>
      <c r="WPP3" s="7"/>
      <c r="WPQ3" s="7"/>
      <c r="WPR3" s="7"/>
      <c r="WPS3" s="7"/>
      <c r="WPT3" s="7"/>
      <c r="WPU3" s="7"/>
      <c r="WPV3" s="7"/>
      <c r="WPW3" s="7"/>
      <c r="WPX3" s="7"/>
      <c r="WPY3" s="7"/>
      <c r="WPZ3" s="7"/>
      <c r="WQA3" s="7"/>
      <c r="WQB3" s="7"/>
      <c r="WQC3" s="7"/>
      <c r="WQD3" s="7"/>
      <c r="WQE3" s="7"/>
      <c r="WQF3" s="7"/>
      <c r="WQG3" s="7"/>
      <c r="WQH3" s="7"/>
      <c r="WQI3" s="7"/>
      <c r="WQJ3" s="7"/>
      <c r="WQK3" s="7"/>
      <c r="WQL3" s="7"/>
      <c r="WQM3" s="7"/>
      <c r="WQN3" s="7"/>
      <c r="WQO3" s="7"/>
      <c r="WQP3" s="7"/>
      <c r="WQQ3" s="7"/>
      <c r="WQR3" s="7"/>
      <c r="WQS3" s="7"/>
      <c r="WQT3" s="7"/>
      <c r="WQU3" s="7"/>
      <c r="WQV3" s="7"/>
      <c r="WQW3" s="7"/>
      <c r="WQX3" s="7"/>
      <c r="WQY3" s="7"/>
      <c r="WQZ3" s="7"/>
      <c r="WRA3" s="7"/>
      <c r="WRB3" s="7"/>
      <c r="WRC3" s="7"/>
      <c r="WRD3" s="7"/>
      <c r="WRE3" s="7"/>
      <c r="WRF3" s="7"/>
      <c r="WRG3" s="7"/>
      <c r="WRH3" s="7"/>
      <c r="WRI3" s="7"/>
      <c r="WRJ3" s="7"/>
      <c r="WRK3" s="7"/>
      <c r="WRL3" s="7"/>
      <c r="WRM3" s="7"/>
      <c r="WRN3" s="7"/>
      <c r="WRO3" s="7"/>
      <c r="WRP3" s="7"/>
      <c r="WRQ3" s="7"/>
      <c r="WRR3" s="7"/>
      <c r="WRS3" s="7"/>
      <c r="WRT3" s="7"/>
      <c r="WRU3" s="7"/>
      <c r="WRV3" s="7"/>
      <c r="WRW3" s="7"/>
      <c r="WRX3" s="7"/>
      <c r="WRY3" s="7"/>
      <c r="WRZ3" s="7"/>
      <c r="WSA3" s="7"/>
      <c r="WSB3" s="7"/>
      <c r="WSC3" s="7"/>
      <c r="WSD3" s="7"/>
      <c r="WSE3" s="7"/>
      <c r="WSF3" s="7"/>
      <c r="WSG3" s="7"/>
      <c r="WSH3" s="7"/>
      <c r="WSI3" s="7"/>
      <c r="WSJ3" s="7"/>
      <c r="WSK3" s="7"/>
      <c r="WSL3" s="7"/>
      <c r="WSM3" s="7"/>
      <c r="WSN3" s="7"/>
      <c r="WSO3" s="7"/>
      <c r="WSP3" s="7"/>
      <c r="WSQ3" s="7"/>
      <c r="WSR3" s="7"/>
      <c r="WSS3" s="7"/>
      <c r="WST3" s="7"/>
      <c r="WSU3" s="7"/>
      <c r="WSV3" s="7"/>
      <c r="WSW3" s="7"/>
      <c r="WSX3" s="7"/>
      <c r="WSY3" s="7"/>
      <c r="WSZ3" s="7"/>
      <c r="WTA3" s="7"/>
      <c r="WTB3" s="7"/>
      <c r="WTC3" s="7"/>
      <c r="WTD3" s="7"/>
      <c r="WTE3" s="7"/>
      <c r="WTF3" s="7"/>
      <c r="WTG3" s="7"/>
      <c r="WTH3" s="7"/>
      <c r="WTI3" s="7"/>
      <c r="WTJ3" s="7"/>
      <c r="WTK3" s="7"/>
      <c r="WTL3" s="7"/>
      <c r="WTM3" s="7"/>
      <c r="WTN3" s="7"/>
      <c r="WTO3" s="7"/>
      <c r="WTP3" s="7"/>
      <c r="WTQ3" s="7"/>
      <c r="WTR3" s="7"/>
      <c r="WTS3" s="7"/>
      <c r="WTT3" s="7"/>
      <c r="WTU3" s="7"/>
      <c r="WTV3" s="7"/>
      <c r="WTW3" s="7"/>
      <c r="WTX3" s="7"/>
      <c r="WTY3" s="7"/>
      <c r="WTZ3" s="7"/>
      <c r="WUA3" s="7"/>
      <c r="WUB3" s="7"/>
      <c r="WUC3" s="7"/>
      <c r="WUD3" s="7"/>
      <c r="WUE3" s="7"/>
      <c r="WUF3" s="7"/>
      <c r="WUG3" s="7"/>
      <c r="WUH3" s="7"/>
      <c r="WUI3" s="7"/>
      <c r="WUJ3" s="7"/>
      <c r="WUK3" s="7"/>
      <c r="WUL3" s="7"/>
      <c r="WUM3" s="7"/>
      <c r="WUN3" s="7"/>
      <c r="WUO3" s="7"/>
      <c r="WUP3" s="7"/>
      <c r="WUQ3" s="7"/>
      <c r="WUR3" s="7"/>
      <c r="WUS3" s="7"/>
      <c r="WUT3" s="7"/>
      <c r="WUU3" s="7"/>
      <c r="WUV3" s="7"/>
      <c r="WUW3" s="7"/>
      <c r="WUX3" s="7"/>
      <c r="WUY3" s="7"/>
      <c r="WUZ3" s="7"/>
      <c r="WVA3" s="7"/>
      <c r="WVB3" s="7"/>
      <c r="WVC3" s="7"/>
      <c r="WVD3" s="7"/>
      <c r="WVE3" s="7"/>
      <c r="WVF3" s="7"/>
      <c r="WVG3" s="7"/>
      <c r="WVH3" s="7"/>
      <c r="WVI3" s="7"/>
      <c r="WVJ3" s="7"/>
      <c r="WVK3" s="7"/>
      <c r="WVL3" s="7"/>
      <c r="WVM3" s="7"/>
      <c r="WVN3" s="7"/>
      <c r="WVO3" s="7"/>
      <c r="WVP3" s="7"/>
      <c r="WVQ3" s="7"/>
      <c r="WVR3" s="7"/>
      <c r="WVS3" s="7"/>
      <c r="WVT3" s="7"/>
      <c r="WVU3" s="7"/>
      <c r="WVV3" s="7"/>
      <c r="WVW3" s="7"/>
      <c r="WVX3" s="7"/>
      <c r="WVY3" s="7"/>
      <c r="WVZ3" s="7"/>
      <c r="WWA3" s="7"/>
      <c r="WWB3" s="7"/>
      <c r="WWC3" s="7"/>
      <c r="WWD3" s="7"/>
      <c r="WWE3" s="7"/>
      <c r="WWF3" s="7"/>
      <c r="WWG3" s="7"/>
      <c r="WWH3" s="7"/>
      <c r="WWI3" s="7"/>
      <c r="WWJ3" s="7"/>
      <c r="WWK3" s="7"/>
      <c r="WWL3" s="7"/>
      <c r="WWM3" s="7"/>
      <c r="WWN3" s="7"/>
      <c r="WWO3" s="7"/>
      <c r="WWP3" s="7"/>
      <c r="WWQ3" s="7"/>
      <c r="WWR3" s="7"/>
      <c r="WWS3" s="7"/>
      <c r="WWT3" s="7"/>
      <c r="WWU3" s="7"/>
      <c r="WWV3" s="7"/>
      <c r="WWW3" s="7"/>
      <c r="WWX3" s="7"/>
      <c r="WWY3" s="7"/>
      <c r="WWZ3" s="7"/>
      <c r="WXA3" s="7"/>
      <c r="WXB3" s="7"/>
      <c r="WXC3" s="7"/>
      <c r="WXD3" s="7"/>
      <c r="WXE3" s="7"/>
      <c r="WXF3" s="7"/>
      <c r="WXG3" s="7"/>
      <c r="WXH3" s="7"/>
      <c r="WXI3" s="7"/>
      <c r="WXJ3" s="7"/>
      <c r="WXK3" s="7"/>
      <c r="WXL3" s="7"/>
      <c r="WXM3" s="7"/>
      <c r="WXN3" s="7"/>
      <c r="WXO3" s="7"/>
      <c r="WXP3" s="7"/>
      <c r="WXQ3" s="7"/>
      <c r="WXR3" s="7"/>
      <c r="WXS3" s="7"/>
      <c r="WXT3" s="7"/>
      <c r="WXU3" s="7"/>
      <c r="WXV3" s="7"/>
      <c r="WXW3" s="7"/>
      <c r="WXX3" s="7"/>
      <c r="WXY3" s="7"/>
      <c r="WXZ3" s="7"/>
      <c r="WYA3" s="7"/>
      <c r="WYB3" s="7"/>
      <c r="WYC3" s="7"/>
      <c r="WYD3" s="7"/>
      <c r="WYE3" s="7"/>
      <c r="WYF3" s="7"/>
      <c r="WYG3" s="7"/>
      <c r="WYH3" s="7"/>
      <c r="WYI3" s="7"/>
      <c r="WYJ3" s="7"/>
      <c r="WYK3" s="7"/>
      <c r="WYL3" s="7"/>
      <c r="WYM3" s="7"/>
      <c r="WYN3" s="7"/>
      <c r="WYO3" s="7"/>
      <c r="WYP3" s="7"/>
      <c r="WYQ3" s="7"/>
      <c r="WYR3" s="7"/>
      <c r="WYS3" s="7"/>
      <c r="WYT3" s="7"/>
      <c r="WYU3" s="7"/>
      <c r="WYV3" s="7"/>
      <c r="WYW3" s="7"/>
      <c r="WYX3" s="7"/>
      <c r="WYY3" s="7"/>
      <c r="WYZ3" s="7"/>
      <c r="WZA3" s="7"/>
      <c r="WZB3" s="7"/>
      <c r="WZC3" s="7"/>
      <c r="WZD3" s="7"/>
      <c r="WZE3" s="7"/>
      <c r="WZF3" s="7"/>
      <c r="WZG3" s="7"/>
      <c r="WZH3" s="7"/>
      <c r="WZI3" s="7"/>
      <c r="WZJ3" s="7"/>
      <c r="WZK3" s="7"/>
      <c r="WZL3" s="7"/>
      <c r="WZM3" s="7"/>
      <c r="WZN3" s="7"/>
      <c r="WZO3" s="7"/>
      <c r="WZP3" s="7"/>
      <c r="WZQ3" s="7"/>
      <c r="WZR3" s="7"/>
      <c r="WZS3" s="7"/>
      <c r="WZT3" s="7"/>
      <c r="WZU3" s="7"/>
      <c r="WZV3" s="7"/>
      <c r="WZW3" s="7"/>
      <c r="WZX3" s="7"/>
      <c r="WZY3" s="7"/>
      <c r="WZZ3" s="7"/>
      <c r="XAA3" s="7"/>
      <c r="XAB3" s="7"/>
      <c r="XAC3" s="7"/>
      <c r="XAD3" s="7"/>
      <c r="XAE3" s="7"/>
      <c r="XAF3" s="7"/>
      <c r="XAG3" s="7"/>
      <c r="XAH3" s="7"/>
      <c r="XAI3" s="7"/>
      <c r="XAJ3" s="7"/>
      <c r="XAK3" s="7"/>
      <c r="XAL3" s="7"/>
      <c r="XAM3" s="7"/>
      <c r="XAN3" s="7"/>
      <c r="XAO3" s="7"/>
      <c r="XAP3" s="7"/>
      <c r="XAQ3" s="7"/>
      <c r="XAR3" s="7"/>
      <c r="XAS3" s="7"/>
      <c r="XAT3" s="7"/>
      <c r="XAU3" s="7"/>
      <c r="XAV3" s="7"/>
      <c r="XAW3" s="7"/>
      <c r="XAX3" s="7"/>
      <c r="XAY3" s="7"/>
      <c r="XAZ3" s="7"/>
      <c r="XBA3" s="7"/>
      <c r="XBB3" s="7"/>
      <c r="XBC3" s="7"/>
      <c r="XBD3" s="7"/>
      <c r="XBE3" s="7"/>
      <c r="XBF3" s="7"/>
      <c r="XBG3" s="7"/>
      <c r="XBH3" s="7"/>
      <c r="XBI3" s="7"/>
      <c r="XBJ3" s="7"/>
      <c r="XBK3" s="7"/>
      <c r="XBL3" s="7"/>
      <c r="XBM3" s="7"/>
      <c r="XBN3" s="7"/>
      <c r="XBO3" s="7"/>
      <c r="XBP3" s="7"/>
      <c r="XBQ3" s="7"/>
      <c r="XBR3" s="7"/>
      <c r="XBS3" s="7"/>
      <c r="XBT3" s="7"/>
      <c r="XBU3" s="7"/>
      <c r="XBV3" s="7"/>
      <c r="XBW3" s="7"/>
      <c r="XBX3" s="7"/>
      <c r="XBY3" s="7"/>
      <c r="XBZ3" s="7"/>
      <c r="XCA3" s="7"/>
      <c r="XCB3" s="7"/>
      <c r="XCC3" s="7"/>
      <c r="XCD3" s="7"/>
      <c r="XCE3" s="7"/>
      <c r="XCF3" s="7"/>
      <c r="XCG3" s="7"/>
      <c r="XCH3" s="7"/>
      <c r="XCI3" s="7"/>
      <c r="XCJ3" s="7"/>
      <c r="XCK3" s="7"/>
      <c r="XCL3" s="7"/>
      <c r="XCM3" s="7"/>
      <c r="XCN3" s="7"/>
      <c r="XCO3" s="7"/>
      <c r="XCP3" s="7"/>
      <c r="XCQ3" s="7"/>
      <c r="XCR3" s="7"/>
      <c r="XCS3" s="7"/>
      <c r="XCT3" s="7"/>
      <c r="XCU3" s="7"/>
      <c r="XCV3" s="7"/>
      <c r="XCW3" s="7"/>
      <c r="XCX3" s="7"/>
      <c r="XCY3" s="7"/>
      <c r="XCZ3" s="7"/>
      <c r="XDA3" s="7"/>
      <c r="XDB3" s="7"/>
      <c r="XDC3" s="7"/>
      <c r="XDD3" s="7"/>
      <c r="XDE3" s="7"/>
      <c r="XDF3" s="7"/>
      <c r="XDG3" s="7"/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</row>
    <row r="4" spans="1:16366" x14ac:dyDescent="0.25">
      <c r="A4" s="6" t="s">
        <v>185</v>
      </c>
      <c r="C4" s="1" t="s">
        <v>21</v>
      </c>
      <c r="D4" s="2">
        <v>76.358999999999995</v>
      </c>
      <c r="E4" s="2">
        <v>115.461</v>
      </c>
      <c r="F4" s="2">
        <v>178.38499999999999</v>
      </c>
      <c r="G4" s="2">
        <v>245.41800000000001</v>
      </c>
      <c r="H4" s="2">
        <v>365.68700000000001</v>
      </c>
      <c r="I4" s="2">
        <v>543</v>
      </c>
      <c r="J4" s="2">
        <v>839.23800000000006</v>
      </c>
      <c r="K4" s="2">
        <v>1188</v>
      </c>
      <c r="L4" s="2">
        <v>1523</v>
      </c>
      <c r="M4" s="2">
        <v>1776</v>
      </c>
      <c r="N4" s="5">
        <f>M4*1.11</f>
        <v>1971.3600000000001</v>
      </c>
      <c r="O4" s="2">
        <f>N4*1</f>
        <v>1971.3600000000001</v>
      </c>
      <c r="P4" s="2">
        <f t="shared" ref="P4:X4" si="0">O4*1</f>
        <v>1971.3600000000001</v>
      </c>
      <c r="Q4" s="2">
        <f t="shared" si="0"/>
        <v>1971.3600000000001</v>
      </c>
      <c r="R4" s="2">
        <f t="shared" si="0"/>
        <v>1971.3600000000001</v>
      </c>
      <c r="S4" s="2">
        <f t="shared" si="0"/>
        <v>1971.3600000000001</v>
      </c>
      <c r="T4" s="2">
        <f t="shared" si="0"/>
        <v>1971.3600000000001</v>
      </c>
      <c r="U4" s="2">
        <f t="shared" si="0"/>
        <v>1971.3600000000001</v>
      </c>
      <c r="V4" s="2">
        <f t="shared" si="0"/>
        <v>1971.3600000000001</v>
      </c>
      <c r="W4" s="2">
        <f t="shared" si="0"/>
        <v>1971.3600000000001</v>
      </c>
      <c r="X4" s="2">
        <f t="shared" si="0"/>
        <v>1971.3600000000001</v>
      </c>
    </row>
    <row r="5" spans="1:16366" x14ac:dyDescent="0.25">
      <c r="A5" s="71">
        <f>AA25</f>
        <v>601.53187754481303</v>
      </c>
      <c r="C5" s="1" t="s">
        <v>22</v>
      </c>
      <c r="D5" s="2">
        <v>6.5000000000000002E-2</v>
      </c>
      <c r="E5" s="2">
        <v>6.5000000000000002E-2</v>
      </c>
      <c r="F5" s="2">
        <v>6.5000000000000002E-2</v>
      </c>
      <c r="G5" s="2">
        <v>6.5000000000000002E-2</v>
      </c>
      <c r="H5" s="2">
        <v>6.5000000000000002E-2</v>
      </c>
      <c r="I5" s="2">
        <v>17.818999999999999</v>
      </c>
      <c r="J5" s="2">
        <v>229.53899999999999</v>
      </c>
      <c r="K5" s="2">
        <v>268</v>
      </c>
      <c r="L5" s="2">
        <v>275</v>
      </c>
      <c r="M5" s="2">
        <v>287</v>
      </c>
      <c r="N5" s="5">
        <f>M5*1.1</f>
        <v>315.70000000000005</v>
      </c>
      <c r="O5" s="2">
        <f>N5*1</f>
        <v>315.70000000000005</v>
      </c>
      <c r="P5" s="2">
        <f t="shared" ref="P5:X5" si="1">O5*1</f>
        <v>315.70000000000005</v>
      </c>
      <c r="Q5" s="2">
        <f t="shared" si="1"/>
        <v>315.70000000000005</v>
      </c>
      <c r="R5" s="2">
        <f t="shared" si="1"/>
        <v>315.70000000000005</v>
      </c>
      <c r="S5" s="2">
        <f t="shared" si="1"/>
        <v>315.70000000000005</v>
      </c>
      <c r="T5" s="2">
        <f t="shared" si="1"/>
        <v>315.70000000000005</v>
      </c>
      <c r="U5" s="2">
        <f t="shared" si="1"/>
        <v>315.70000000000005</v>
      </c>
      <c r="V5" s="2">
        <f t="shared" si="1"/>
        <v>315.70000000000005</v>
      </c>
      <c r="W5" s="2">
        <f t="shared" si="1"/>
        <v>315.70000000000005</v>
      </c>
      <c r="X5" s="2">
        <f t="shared" si="1"/>
        <v>315.70000000000005</v>
      </c>
    </row>
    <row r="6" spans="1:16366" x14ac:dyDescent="0.25">
      <c r="A6" s="33">
        <f>AA26</f>
        <v>-2.3487211777900929E-2</v>
      </c>
      <c r="C6" s="1" t="s">
        <v>159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151</v>
      </c>
      <c r="N6" s="5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</row>
    <row r="7" spans="1:16366" x14ac:dyDescent="0.25">
      <c r="C7" s="6" t="s">
        <v>23</v>
      </c>
      <c r="D7" s="26">
        <f t="shared" ref="D7:L7" si="2">SUM(D4:D6)</f>
        <v>76.423999999999992</v>
      </c>
      <c r="E7" s="26">
        <f t="shared" si="2"/>
        <v>115.526</v>
      </c>
      <c r="F7" s="26">
        <f t="shared" si="2"/>
        <v>178.45</v>
      </c>
      <c r="G7" s="26">
        <f t="shared" si="2"/>
        <v>245.483</v>
      </c>
      <c r="H7" s="26">
        <f t="shared" si="2"/>
        <v>365.75200000000001</v>
      </c>
      <c r="I7" s="26">
        <f t="shared" si="2"/>
        <v>560.81899999999996</v>
      </c>
      <c r="J7" s="26">
        <f>SUM(J4:J6)</f>
        <v>1068.777</v>
      </c>
      <c r="K7" s="26">
        <f t="shared" si="2"/>
        <v>1456</v>
      </c>
      <c r="L7" s="26">
        <f t="shared" si="2"/>
        <v>1798</v>
      </c>
      <c r="M7" s="26">
        <f>SUM(M4:M6)</f>
        <v>2214</v>
      </c>
      <c r="N7" s="15">
        <f>SUM(N4:N5)</f>
        <v>2287.0600000000004</v>
      </c>
      <c r="O7" s="26">
        <f>SUM(O4:O5)</f>
        <v>2287.0600000000004</v>
      </c>
      <c r="P7" s="26">
        <f t="shared" ref="P7:X7" si="3">SUM(P4:P5)</f>
        <v>2287.0600000000004</v>
      </c>
      <c r="Q7" s="26">
        <f t="shared" si="3"/>
        <v>2287.0600000000004</v>
      </c>
      <c r="R7" s="26">
        <f t="shared" si="3"/>
        <v>2287.0600000000004</v>
      </c>
      <c r="S7" s="26">
        <f t="shared" si="3"/>
        <v>2287.0600000000004</v>
      </c>
      <c r="T7" s="26">
        <f t="shared" si="3"/>
        <v>2287.0600000000004</v>
      </c>
      <c r="U7" s="26">
        <f t="shared" si="3"/>
        <v>2287.0600000000004</v>
      </c>
      <c r="V7" s="26">
        <f t="shared" si="3"/>
        <v>2287.0600000000004</v>
      </c>
      <c r="W7" s="26">
        <f t="shared" si="3"/>
        <v>2287.0600000000004</v>
      </c>
      <c r="X7" s="26">
        <f t="shared" si="3"/>
        <v>2287.0600000000004</v>
      </c>
    </row>
    <row r="8" spans="1:16366" x14ac:dyDescent="0.25">
      <c r="C8" s="1" t="s">
        <v>28</v>
      </c>
      <c r="D8" s="2">
        <v>-33.527000000000001</v>
      </c>
      <c r="E8" s="2">
        <v>-53.218000000000004</v>
      </c>
      <c r="F8" s="2">
        <v>-72.122</v>
      </c>
      <c r="G8" s="2">
        <v>-97.674000000000007</v>
      </c>
      <c r="H8" s="2">
        <v>-126.419</v>
      </c>
      <c r="I8" s="2">
        <v>-133.75200000000001</v>
      </c>
      <c r="J8" s="2">
        <v>-207.16499999999999</v>
      </c>
      <c r="K8" s="2">
        <v>-290</v>
      </c>
      <c r="L8" s="2">
        <v>-355</v>
      </c>
      <c r="M8" s="2">
        <v>-438</v>
      </c>
      <c r="N8" s="5">
        <f>M8*1.17</f>
        <v>-512.45999999999992</v>
      </c>
      <c r="O8" s="2">
        <f>N8*1</f>
        <v>-512.45999999999992</v>
      </c>
      <c r="P8" s="2">
        <f t="shared" ref="P8:X8" si="4">O8*1</f>
        <v>-512.45999999999992</v>
      </c>
      <c r="Q8" s="2">
        <f t="shared" si="4"/>
        <v>-512.45999999999992</v>
      </c>
      <c r="R8" s="2">
        <f t="shared" si="4"/>
        <v>-512.45999999999992</v>
      </c>
      <c r="S8" s="2">
        <f t="shared" si="4"/>
        <v>-512.45999999999992</v>
      </c>
      <c r="T8" s="2">
        <f t="shared" si="4"/>
        <v>-512.45999999999992</v>
      </c>
      <c r="U8" s="2">
        <f t="shared" si="4"/>
        <v>-512.45999999999992</v>
      </c>
      <c r="V8" s="2">
        <f t="shared" si="4"/>
        <v>-512.45999999999992</v>
      </c>
      <c r="W8" s="2">
        <f t="shared" si="4"/>
        <v>-512.45999999999992</v>
      </c>
      <c r="X8" s="2">
        <f t="shared" si="4"/>
        <v>-512.45999999999992</v>
      </c>
    </row>
    <row r="9" spans="1:16366" x14ac:dyDescent="0.25">
      <c r="C9" s="1" t="s">
        <v>30</v>
      </c>
      <c r="D9" s="2">
        <v>-15.808999999999999</v>
      </c>
      <c r="E9" s="2">
        <v>-17.600000000000001</v>
      </c>
      <c r="F9" s="2">
        <v>-25.626999999999999</v>
      </c>
      <c r="G9" s="2">
        <v>-40.063000000000002</v>
      </c>
      <c r="H9" s="2">
        <v>-56.384999999999998</v>
      </c>
      <c r="I9" s="2">
        <v>-95.168999999999997</v>
      </c>
      <c r="J9" s="2">
        <v>-126.962</v>
      </c>
      <c r="K9" s="2">
        <v>-159</v>
      </c>
      <c r="L9" s="2">
        <v>-176</v>
      </c>
      <c r="M9" s="2">
        <v>-215</v>
      </c>
      <c r="N9" s="5">
        <v>-250</v>
      </c>
      <c r="O9" s="2">
        <f>N9*1</f>
        <v>-250</v>
      </c>
      <c r="P9" s="2">
        <f t="shared" ref="P9:X9" si="5">O9*1</f>
        <v>-250</v>
      </c>
      <c r="Q9" s="2">
        <f t="shared" si="5"/>
        <v>-250</v>
      </c>
      <c r="R9" s="2">
        <f t="shared" si="5"/>
        <v>-250</v>
      </c>
      <c r="S9" s="2">
        <f t="shared" si="5"/>
        <v>-250</v>
      </c>
      <c r="T9" s="2">
        <f t="shared" si="5"/>
        <v>-250</v>
      </c>
      <c r="U9" s="2">
        <f t="shared" si="5"/>
        <v>-250</v>
      </c>
      <c r="V9" s="2">
        <f t="shared" si="5"/>
        <v>-250</v>
      </c>
      <c r="W9" s="2">
        <f t="shared" si="5"/>
        <v>-250</v>
      </c>
      <c r="X9" s="2">
        <f t="shared" si="5"/>
        <v>-250</v>
      </c>
    </row>
    <row r="10" spans="1:16366" x14ac:dyDescent="0.25">
      <c r="C10" s="6" t="s">
        <v>103</v>
      </c>
      <c r="D10" s="26">
        <f t="shared" ref="D10:K10" si="6">SUM(D7:D9)</f>
        <v>27.087999999999994</v>
      </c>
      <c r="E10" s="26">
        <f t="shared" si="6"/>
        <v>44.707999999999991</v>
      </c>
      <c r="F10" s="26">
        <f t="shared" si="6"/>
        <v>80.700999999999993</v>
      </c>
      <c r="G10" s="26">
        <f t="shared" si="6"/>
        <v>107.746</v>
      </c>
      <c r="H10" s="26">
        <f t="shared" si="6"/>
        <v>182.94800000000004</v>
      </c>
      <c r="I10" s="26">
        <f t="shared" si="6"/>
        <v>331.89799999999997</v>
      </c>
      <c r="J10" s="26">
        <f t="shared" si="6"/>
        <v>734.65000000000009</v>
      </c>
      <c r="K10" s="26">
        <f t="shared" si="6"/>
        <v>1007</v>
      </c>
      <c r="L10" s="26">
        <f>SUM(L7:L9)</f>
        <v>1267</v>
      </c>
      <c r="M10" s="26">
        <f>SUM(M7:M9)</f>
        <v>1561</v>
      </c>
      <c r="N10" s="15">
        <f>SUM(N7:N9)</f>
        <v>1524.6000000000004</v>
      </c>
      <c r="O10" s="26">
        <f t="shared" ref="O10:W10" si="7">SUM(O7:O9)</f>
        <v>1524.6000000000004</v>
      </c>
      <c r="P10" s="26">
        <f t="shared" si="7"/>
        <v>1524.6000000000004</v>
      </c>
      <c r="Q10" s="26">
        <f t="shared" si="7"/>
        <v>1524.6000000000004</v>
      </c>
      <c r="R10" s="26">
        <f t="shared" si="7"/>
        <v>1524.6000000000004</v>
      </c>
      <c r="S10" s="26">
        <f t="shared" si="7"/>
        <v>1524.6000000000004</v>
      </c>
      <c r="T10" s="26">
        <f t="shared" si="7"/>
        <v>1524.6000000000004</v>
      </c>
      <c r="U10" s="26">
        <f t="shared" si="7"/>
        <v>1524.6000000000004</v>
      </c>
      <c r="V10" s="26">
        <f t="shared" si="7"/>
        <v>1524.6000000000004</v>
      </c>
      <c r="W10" s="26">
        <f t="shared" si="7"/>
        <v>1524.6000000000004</v>
      </c>
      <c r="X10" s="26">
        <f>SUM(X7:X8)</f>
        <v>1774.6000000000004</v>
      </c>
    </row>
    <row r="11" spans="1:16366" x14ac:dyDescent="0.25">
      <c r="C11" s="1" t="s">
        <v>29</v>
      </c>
      <c r="D11" s="2">
        <v>-5.9</v>
      </c>
      <c r="E11" s="2">
        <v>-9.6999999999999993</v>
      </c>
      <c r="F11" s="2">
        <v>-13.754</v>
      </c>
      <c r="G11" s="2">
        <v>-18.196999999999999</v>
      </c>
      <c r="H11" s="2">
        <v>-25.475999999999999</v>
      </c>
      <c r="I11" s="2">
        <v>-32.512999999999998</v>
      </c>
      <c r="J11" s="2">
        <v>-80.646000000000001</v>
      </c>
      <c r="K11" s="2">
        <v>-100</v>
      </c>
      <c r="L11" s="2">
        <v>-125</v>
      </c>
      <c r="M11" s="2">
        <v>-142</v>
      </c>
      <c r="N11" s="5">
        <f>M11*1.1</f>
        <v>-156.20000000000002</v>
      </c>
      <c r="O11" s="2">
        <f>N11*1</f>
        <v>-156.20000000000002</v>
      </c>
      <c r="P11" s="2">
        <f t="shared" ref="P11:X11" si="8">O11*1</f>
        <v>-156.20000000000002</v>
      </c>
      <c r="Q11" s="2">
        <f t="shared" si="8"/>
        <v>-156.20000000000002</v>
      </c>
      <c r="R11" s="2">
        <f t="shared" si="8"/>
        <v>-156.20000000000002</v>
      </c>
      <c r="S11" s="2">
        <f t="shared" si="8"/>
        <v>-156.20000000000002</v>
      </c>
      <c r="T11" s="2">
        <f t="shared" si="8"/>
        <v>-156.20000000000002</v>
      </c>
      <c r="U11" s="2">
        <f t="shared" si="8"/>
        <v>-156.20000000000002</v>
      </c>
      <c r="V11" s="2">
        <f t="shared" si="8"/>
        <v>-156.20000000000002</v>
      </c>
      <c r="W11" s="2">
        <f t="shared" si="8"/>
        <v>-156.20000000000002</v>
      </c>
      <c r="X11" s="2">
        <f t="shared" si="8"/>
        <v>-156.20000000000002</v>
      </c>
    </row>
    <row r="12" spans="1:16366" x14ac:dyDescent="0.25">
      <c r="C12" s="1" t="s">
        <v>31</v>
      </c>
      <c r="D12" s="2">
        <f>D8+D9+D11</f>
        <v>-55.235999999999997</v>
      </c>
      <c r="E12" s="2">
        <f>E8+E9+E11</f>
        <v>-80.518000000000015</v>
      </c>
      <c r="F12" s="2">
        <f>F8+F9+F11</f>
        <v>-111.503</v>
      </c>
      <c r="G12" s="2">
        <f>G8+G9+G11</f>
        <v>-155.93400000000003</v>
      </c>
      <c r="H12" s="2">
        <f t="shared" ref="H12:I12" si="9">H8+H9+H11</f>
        <v>-208.28</v>
      </c>
      <c r="I12" s="2">
        <f t="shared" si="9"/>
        <v>-261.43399999999997</v>
      </c>
      <c r="J12" s="2">
        <f>J8+J9+J11</f>
        <v>-414.77300000000002</v>
      </c>
      <c r="K12" s="2">
        <v>-549</v>
      </c>
      <c r="L12" s="2">
        <v>-656</v>
      </c>
      <c r="M12" s="2">
        <v>-795</v>
      </c>
      <c r="N12" s="5">
        <f t="shared" ref="N12:O12" si="10">N8+N9+N11</f>
        <v>-918.66</v>
      </c>
      <c r="O12" s="2">
        <f t="shared" si="10"/>
        <v>-918.66</v>
      </c>
      <c r="P12" s="2">
        <f t="shared" ref="P12:W12" si="11">P8+P9+P11</f>
        <v>-918.66</v>
      </c>
      <c r="Q12" s="2">
        <f t="shared" si="11"/>
        <v>-918.66</v>
      </c>
      <c r="R12" s="2">
        <f t="shared" si="11"/>
        <v>-918.66</v>
      </c>
      <c r="S12" s="2">
        <f t="shared" si="11"/>
        <v>-918.66</v>
      </c>
      <c r="T12" s="2">
        <f t="shared" si="11"/>
        <v>-918.66</v>
      </c>
      <c r="U12" s="2">
        <f t="shared" si="11"/>
        <v>-918.66</v>
      </c>
      <c r="V12" s="2">
        <f t="shared" si="11"/>
        <v>-918.66</v>
      </c>
      <c r="W12" s="2">
        <f t="shared" si="11"/>
        <v>-918.66</v>
      </c>
      <c r="X12" s="2">
        <f>X8+X9+X11</f>
        <v>-918.66</v>
      </c>
    </row>
    <row r="13" spans="1:16366" x14ac:dyDescent="0.25">
      <c r="C13" s="6" t="s">
        <v>97</v>
      </c>
      <c r="D13" s="26">
        <f>D7+D12</f>
        <v>21.187999999999995</v>
      </c>
      <c r="E13" s="26">
        <f>E7+E12</f>
        <v>35.007999999999981</v>
      </c>
      <c r="F13" s="26">
        <f>F7+F12</f>
        <v>66.946999999999989</v>
      </c>
      <c r="G13" s="26">
        <f>G7+G12</f>
        <v>89.548999999999978</v>
      </c>
      <c r="H13" s="26">
        <f t="shared" ref="H13:X13" si="12">H7+H12</f>
        <v>157.47200000000001</v>
      </c>
      <c r="I13" s="26">
        <f t="shared" si="12"/>
        <v>299.38499999999999</v>
      </c>
      <c r="J13" s="26">
        <f t="shared" si="12"/>
        <v>654.00400000000002</v>
      </c>
      <c r="K13" s="26">
        <f t="shared" si="12"/>
        <v>907</v>
      </c>
      <c r="L13" s="26">
        <f t="shared" si="12"/>
        <v>1142</v>
      </c>
      <c r="M13" s="26">
        <f t="shared" si="12"/>
        <v>1419</v>
      </c>
      <c r="N13" s="15">
        <f t="shared" si="12"/>
        <v>1368.4000000000005</v>
      </c>
      <c r="O13" s="26">
        <f t="shared" si="12"/>
        <v>1368.4000000000005</v>
      </c>
      <c r="P13" s="26">
        <f t="shared" si="12"/>
        <v>1368.4000000000005</v>
      </c>
      <c r="Q13" s="26">
        <f t="shared" si="12"/>
        <v>1368.4000000000005</v>
      </c>
      <c r="R13" s="26">
        <f t="shared" si="12"/>
        <v>1368.4000000000005</v>
      </c>
      <c r="S13" s="26">
        <f t="shared" si="12"/>
        <v>1368.4000000000005</v>
      </c>
      <c r="T13" s="26">
        <f t="shared" si="12"/>
        <v>1368.4000000000005</v>
      </c>
      <c r="U13" s="26">
        <f t="shared" si="12"/>
        <v>1368.4000000000005</v>
      </c>
      <c r="V13" s="26">
        <f t="shared" si="12"/>
        <v>1368.4000000000005</v>
      </c>
      <c r="W13" s="26">
        <f t="shared" si="12"/>
        <v>1368.4000000000005</v>
      </c>
      <c r="X13" s="26">
        <f t="shared" si="12"/>
        <v>1368.4000000000005</v>
      </c>
    </row>
    <row r="14" spans="1:16366" x14ac:dyDescent="0.25">
      <c r="C14" s="1" t="s">
        <v>32</v>
      </c>
      <c r="D14" s="2">
        <v>-0.24399999999999999</v>
      </c>
      <c r="E14" s="2">
        <v>-0.24399999999999999</v>
      </c>
      <c r="F14" s="2">
        <v>-0.224</v>
      </c>
      <c r="G14" s="2">
        <f>0.045-0.245</f>
        <v>-0.2</v>
      </c>
      <c r="H14" s="2">
        <f>0.045-0.245</f>
        <v>-0.2</v>
      </c>
      <c r="I14" s="2">
        <f>0.047-1</f>
        <v>-0.95299999999999996</v>
      </c>
      <c r="J14" s="2">
        <f>1.317-7.83</f>
        <v>-6.5129999999999999</v>
      </c>
      <c r="K14" s="2">
        <v>-1</v>
      </c>
      <c r="L14" s="2">
        <v>6</v>
      </c>
      <c r="M14" s="2">
        <v>19</v>
      </c>
      <c r="N14" s="5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</row>
    <row r="15" spans="1:16366" x14ac:dyDescent="0.25">
      <c r="C15" s="1" t="s">
        <v>33</v>
      </c>
      <c r="D15" s="2">
        <f t="shared" ref="D15:X15" si="13">SUM(D13:D14)</f>
        <v>20.943999999999996</v>
      </c>
      <c r="E15" s="2">
        <f t="shared" si="13"/>
        <v>34.763999999999982</v>
      </c>
      <c r="F15" s="2">
        <f t="shared" si="13"/>
        <v>66.722999999999985</v>
      </c>
      <c r="G15" s="2">
        <f t="shared" si="13"/>
        <v>89.348999999999975</v>
      </c>
      <c r="H15" s="2">
        <f t="shared" si="13"/>
        <v>157.27200000000002</v>
      </c>
      <c r="I15" s="2">
        <f t="shared" si="13"/>
        <v>298.43200000000002</v>
      </c>
      <c r="J15" s="2">
        <f t="shared" si="13"/>
        <v>647.49099999999999</v>
      </c>
      <c r="K15" s="2">
        <f t="shared" si="13"/>
        <v>906</v>
      </c>
      <c r="L15" s="2">
        <f t="shared" si="13"/>
        <v>1148</v>
      </c>
      <c r="M15" s="2">
        <f t="shared" si="13"/>
        <v>1438</v>
      </c>
      <c r="N15" s="5">
        <f t="shared" si="13"/>
        <v>1368.4000000000005</v>
      </c>
      <c r="O15" s="2">
        <f t="shared" si="13"/>
        <v>1368.4000000000005</v>
      </c>
      <c r="P15" s="2">
        <f t="shared" si="13"/>
        <v>1368.4000000000005</v>
      </c>
      <c r="Q15" s="2">
        <f t="shared" si="13"/>
        <v>1368.4000000000005</v>
      </c>
      <c r="R15" s="2">
        <f t="shared" si="13"/>
        <v>1368.4000000000005</v>
      </c>
      <c r="S15" s="2">
        <f t="shared" si="13"/>
        <v>1368.4000000000005</v>
      </c>
      <c r="T15" s="2">
        <f t="shared" si="13"/>
        <v>1368.4000000000005</v>
      </c>
      <c r="U15" s="2">
        <f t="shared" si="13"/>
        <v>1368.4000000000005</v>
      </c>
      <c r="V15" s="2">
        <f t="shared" si="13"/>
        <v>1368.4000000000005</v>
      </c>
      <c r="W15" s="2">
        <f t="shared" si="13"/>
        <v>1368.4000000000005</v>
      </c>
      <c r="X15" s="2">
        <f t="shared" si="13"/>
        <v>1368.4000000000005</v>
      </c>
    </row>
    <row r="16" spans="1:16366" x14ac:dyDescent="0.25">
      <c r="C16" s="1" t="s">
        <v>34</v>
      </c>
      <c r="D16" s="2">
        <v>-1</v>
      </c>
      <c r="E16" s="2">
        <v>-2.9</v>
      </c>
      <c r="F16" s="2">
        <v>-4.5</v>
      </c>
      <c r="G16" s="2">
        <v>-5.8</v>
      </c>
      <c r="H16" s="2">
        <v>-7.5460000000000003</v>
      </c>
      <c r="I16" s="2">
        <v>-14</v>
      </c>
      <c r="J16" s="2">
        <v>-42</v>
      </c>
      <c r="K16" s="2">
        <v>-63</v>
      </c>
      <c r="L16" s="2">
        <v>-78</v>
      </c>
      <c r="M16" s="2">
        <v>-195</v>
      </c>
      <c r="N16" s="5">
        <f>N15*-0.15</f>
        <v>-205.26000000000008</v>
      </c>
      <c r="O16" s="2">
        <f t="shared" ref="O16:X16" si="14">O15*-0.15</f>
        <v>-205.26000000000008</v>
      </c>
      <c r="P16" s="2">
        <f t="shared" si="14"/>
        <v>-205.26000000000008</v>
      </c>
      <c r="Q16" s="2">
        <f t="shared" si="14"/>
        <v>-205.26000000000008</v>
      </c>
      <c r="R16" s="2">
        <f t="shared" si="14"/>
        <v>-205.26000000000008</v>
      </c>
      <c r="S16" s="2">
        <f t="shared" si="14"/>
        <v>-205.26000000000008</v>
      </c>
      <c r="T16" s="2">
        <f t="shared" si="14"/>
        <v>-205.26000000000008</v>
      </c>
      <c r="U16" s="2">
        <f t="shared" si="14"/>
        <v>-205.26000000000008</v>
      </c>
      <c r="V16" s="2">
        <f t="shared" si="14"/>
        <v>-205.26000000000008</v>
      </c>
      <c r="W16" s="2">
        <f t="shared" si="14"/>
        <v>-205.26000000000008</v>
      </c>
      <c r="X16" s="2">
        <f t="shared" si="14"/>
        <v>-205.26000000000008</v>
      </c>
    </row>
    <row r="17" spans="1:16366" x14ac:dyDescent="0.25">
      <c r="C17" s="6" t="s">
        <v>35</v>
      </c>
      <c r="D17" s="26">
        <f t="shared" ref="D17:X17" si="15">SUM(D15:D16)</f>
        <v>19.943999999999996</v>
      </c>
      <c r="E17" s="26">
        <f t="shared" si="15"/>
        <v>31.863999999999983</v>
      </c>
      <c r="F17" s="26">
        <f t="shared" si="15"/>
        <v>62.222999999999985</v>
      </c>
      <c r="G17" s="26">
        <f t="shared" si="15"/>
        <v>83.548999999999978</v>
      </c>
      <c r="H17" s="26">
        <f t="shared" si="15"/>
        <v>149.72600000000003</v>
      </c>
      <c r="I17" s="26">
        <f t="shared" si="15"/>
        <v>284.43200000000002</v>
      </c>
      <c r="J17" s="26">
        <f t="shared" si="15"/>
        <v>605.49099999999999</v>
      </c>
      <c r="K17" s="26">
        <f t="shared" si="15"/>
        <v>843</v>
      </c>
      <c r="L17" s="26">
        <f t="shared" si="15"/>
        <v>1070</v>
      </c>
      <c r="M17" s="26">
        <f t="shared" si="15"/>
        <v>1243</v>
      </c>
      <c r="N17" s="15">
        <f>SUM(N15:N16)</f>
        <v>1163.1400000000006</v>
      </c>
      <c r="O17" s="26">
        <f t="shared" si="15"/>
        <v>1163.1400000000006</v>
      </c>
      <c r="P17" s="26">
        <f t="shared" si="15"/>
        <v>1163.1400000000006</v>
      </c>
      <c r="Q17" s="26">
        <f t="shared" si="15"/>
        <v>1163.1400000000006</v>
      </c>
      <c r="R17" s="26">
        <f t="shared" si="15"/>
        <v>1163.1400000000006</v>
      </c>
      <c r="S17" s="26">
        <f t="shared" si="15"/>
        <v>1163.1400000000006</v>
      </c>
      <c r="T17" s="26">
        <f t="shared" si="15"/>
        <v>1163.1400000000006</v>
      </c>
      <c r="U17" s="26">
        <f t="shared" si="15"/>
        <v>1163.1400000000006</v>
      </c>
      <c r="V17" s="26">
        <f t="shared" si="15"/>
        <v>1163.1400000000006</v>
      </c>
      <c r="W17" s="26">
        <f t="shared" si="15"/>
        <v>1163.1400000000006</v>
      </c>
      <c r="X17" s="26">
        <f t="shared" si="15"/>
        <v>1163.1400000000006</v>
      </c>
      <c r="Y17" s="26">
        <f>X17*(1+$AA$22)</f>
        <v>1151.5086000000006</v>
      </c>
      <c r="Z17" s="26">
        <f>Y17*(1+$AA$22)</f>
        <v>1139.9935140000005</v>
      </c>
      <c r="AA17" s="26">
        <f t="shared" ref="AA17:CL17" si="16">Z17*(1+$AA$22)</f>
        <v>1128.5935788600004</v>
      </c>
      <c r="AB17" s="26">
        <f t="shared" si="16"/>
        <v>1117.3076430714004</v>
      </c>
      <c r="AC17" s="26">
        <f t="shared" si="16"/>
        <v>1106.1345666406864</v>
      </c>
      <c r="AD17" s="26">
        <f t="shared" si="16"/>
        <v>1095.0732209742796</v>
      </c>
      <c r="AE17" s="26">
        <f t="shared" si="16"/>
        <v>1084.1224887645367</v>
      </c>
      <c r="AF17" s="26">
        <f t="shared" si="16"/>
        <v>1073.2812638768912</v>
      </c>
      <c r="AG17" s="26">
        <f t="shared" si="16"/>
        <v>1062.5484512381222</v>
      </c>
      <c r="AH17" s="26">
        <f t="shared" si="16"/>
        <v>1051.9229667257409</v>
      </c>
      <c r="AI17" s="26">
        <f t="shared" si="16"/>
        <v>1041.4037370584836</v>
      </c>
      <c r="AJ17" s="26">
        <f t="shared" si="16"/>
        <v>1030.9896996878988</v>
      </c>
      <c r="AK17" s="26">
        <f t="shared" si="16"/>
        <v>1020.6798026910197</v>
      </c>
      <c r="AL17" s="26">
        <f t="shared" si="16"/>
        <v>1010.4730046641096</v>
      </c>
      <c r="AM17" s="26">
        <f t="shared" si="16"/>
        <v>1000.3682746174685</v>
      </c>
      <c r="AN17" s="26">
        <f t="shared" si="16"/>
        <v>990.36459187129378</v>
      </c>
      <c r="AO17" s="26">
        <f t="shared" si="16"/>
        <v>980.4609459525808</v>
      </c>
      <c r="AP17" s="26">
        <f t="shared" si="16"/>
        <v>970.65633649305494</v>
      </c>
      <c r="AQ17" s="26">
        <f t="shared" si="16"/>
        <v>960.94977312812443</v>
      </c>
      <c r="AR17" s="26">
        <f t="shared" si="16"/>
        <v>951.34027539684314</v>
      </c>
      <c r="AS17" s="26">
        <f t="shared" si="16"/>
        <v>941.82687264287472</v>
      </c>
      <c r="AT17" s="26">
        <f t="shared" si="16"/>
        <v>932.40860391644594</v>
      </c>
      <c r="AU17" s="26">
        <f t="shared" si="16"/>
        <v>923.08451787728143</v>
      </c>
      <c r="AV17" s="26">
        <f t="shared" si="16"/>
        <v>913.8536726985086</v>
      </c>
      <c r="AW17" s="26">
        <f t="shared" si="16"/>
        <v>904.71513597152352</v>
      </c>
      <c r="AX17" s="26">
        <f t="shared" si="16"/>
        <v>895.66798461180827</v>
      </c>
      <c r="AY17" s="26">
        <f t="shared" si="16"/>
        <v>886.71130476569022</v>
      </c>
      <c r="AZ17" s="26">
        <f t="shared" si="16"/>
        <v>877.84419171803336</v>
      </c>
      <c r="BA17" s="26">
        <f t="shared" si="16"/>
        <v>869.06574980085304</v>
      </c>
      <c r="BB17" s="26">
        <f t="shared" si="16"/>
        <v>860.37509230284445</v>
      </c>
      <c r="BC17" s="26">
        <f t="shared" si="16"/>
        <v>851.77134137981602</v>
      </c>
      <c r="BD17" s="26">
        <f t="shared" si="16"/>
        <v>843.2536279660178</v>
      </c>
      <c r="BE17" s="26">
        <f t="shared" si="16"/>
        <v>834.82109168635759</v>
      </c>
      <c r="BF17" s="26">
        <f t="shared" si="16"/>
        <v>826.47288076949405</v>
      </c>
      <c r="BG17" s="26">
        <f t="shared" si="16"/>
        <v>818.2081519617991</v>
      </c>
      <c r="BH17" s="26">
        <f t="shared" si="16"/>
        <v>810.02607044218109</v>
      </c>
      <c r="BI17" s="26">
        <f t="shared" si="16"/>
        <v>801.92580973775932</v>
      </c>
      <c r="BJ17" s="26">
        <f t="shared" si="16"/>
        <v>793.90655164038174</v>
      </c>
      <c r="BK17" s="26">
        <f t="shared" si="16"/>
        <v>785.96748612397789</v>
      </c>
      <c r="BL17" s="26">
        <f t="shared" si="16"/>
        <v>778.1078112627381</v>
      </c>
      <c r="BM17" s="26">
        <f t="shared" si="16"/>
        <v>770.32673315011073</v>
      </c>
      <c r="BN17" s="26">
        <f t="shared" si="16"/>
        <v>762.62346581860959</v>
      </c>
      <c r="BO17" s="26">
        <f t="shared" si="16"/>
        <v>754.99723116042344</v>
      </c>
      <c r="BP17" s="26">
        <f t="shared" si="16"/>
        <v>747.44725884881916</v>
      </c>
      <c r="BQ17" s="26">
        <f t="shared" si="16"/>
        <v>739.97278626033096</v>
      </c>
      <c r="BR17" s="26">
        <f t="shared" si="16"/>
        <v>732.57305839772766</v>
      </c>
      <c r="BS17" s="26">
        <f t="shared" si="16"/>
        <v>725.24732781375042</v>
      </c>
      <c r="BT17" s="26">
        <f t="shared" si="16"/>
        <v>717.99485453561294</v>
      </c>
      <c r="BU17" s="26">
        <f t="shared" si="16"/>
        <v>710.81490599025676</v>
      </c>
      <c r="BV17" s="26">
        <f t="shared" si="16"/>
        <v>703.70675693035423</v>
      </c>
      <c r="BW17" s="26">
        <f t="shared" si="16"/>
        <v>696.6696893610507</v>
      </c>
      <c r="BX17" s="26">
        <f t="shared" si="16"/>
        <v>689.70299246744014</v>
      </c>
      <c r="BY17" s="26">
        <f t="shared" si="16"/>
        <v>682.80596254276577</v>
      </c>
      <c r="BZ17" s="26">
        <f t="shared" si="16"/>
        <v>675.97790291733816</v>
      </c>
      <c r="CA17" s="26">
        <f t="shared" si="16"/>
        <v>669.21812388816477</v>
      </c>
      <c r="CB17" s="26">
        <f t="shared" si="16"/>
        <v>662.52594264928314</v>
      </c>
      <c r="CC17" s="26">
        <f t="shared" si="16"/>
        <v>655.90068322279035</v>
      </c>
      <c r="CD17" s="26">
        <f t="shared" si="16"/>
        <v>649.34167639056238</v>
      </c>
      <c r="CE17" s="26">
        <f t="shared" si="16"/>
        <v>642.84825962665673</v>
      </c>
      <c r="CF17" s="26">
        <f t="shared" si="16"/>
        <v>636.41977703039015</v>
      </c>
      <c r="CG17" s="26">
        <f t="shared" si="16"/>
        <v>630.05557926008623</v>
      </c>
      <c r="CH17" s="26">
        <f t="shared" si="16"/>
        <v>623.75502346748533</v>
      </c>
      <c r="CI17" s="26">
        <f t="shared" si="16"/>
        <v>617.51747323281052</v>
      </c>
      <c r="CJ17" s="26">
        <f t="shared" si="16"/>
        <v>611.34229850048246</v>
      </c>
      <c r="CK17" s="26">
        <f t="shared" si="16"/>
        <v>605.22887551547763</v>
      </c>
      <c r="CL17" s="26">
        <f t="shared" si="16"/>
        <v>599.17658676032283</v>
      </c>
      <c r="CM17" s="26">
        <f t="shared" ref="CM17:DG17" si="17">CL17*(1+$AA$22)</f>
        <v>593.18482089271959</v>
      </c>
      <c r="CN17" s="26">
        <f t="shared" si="17"/>
        <v>587.25297268379234</v>
      </c>
      <c r="CO17" s="26">
        <f t="shared" si="17"/>
        <v>581.38044295695443</v>
      </c>
      <c r="CP17" s="26">
        <f t="shared" si="17"/>
        <v>575.56663852738484</v>
      </c>
      <c r="CQ17" s="26">
        <f t="shared" si="17"/>
        <v>569.81097214211104</v>
      </c>
      <c r="CR17" s="26">
        <f t="shared" si="17"/>
        <v>564.11286242068991</v>
      </c>
      <c r="CS17" s="26">
        <f t="shared" si="17"/>
        <v>558.47173379648302</v>
      </c>
      <c r="CT17" s="26">
        <f t="shared" si="17"/>
        <v>552.88701645851813</v>
      </c>
      <c r="CU17" s="26">
        <f t="shared" si="17"/>
        <v>547.35814629393292</v>
      </c>
      <c r="CV17" s="26">
        <f t="shared" si="17"/>
        <v>541.88456483099355</v>
      </c>
      <c r="CW17" s="26">
        <f t="shared" si="17"/>
        <v>536.46571918268364</v>
      </c>
      <c r="CX17" s="26">
        <f t="shared" si="17"/>
        <v>531.10106199085681</v>
      </c>
      <c r="CY17" s="26">
        <f t="shared" si="17"/>
        <v>525.79005137094828</v>
      </c>
      <c r="CZ17" s="26">
        <f t="shared" si="17"/>
        <v>520.53215085723878</v>
      </c>
      <c r="DA17" s="26">
        <f t="shared" si="17"/>
        <v>515.32682934866637</v>
      </c>
      <c r="DB17" s="26">
        <f t="shared" si="17"/>
        <v>510.17356105517968</v>
      </c>
      <c r="DC17" s="26">
        <f t="shared" si="17"/>
        <v>505.07182544462785</v>
      </c>
      <c r="DD17" s="26">
        <f t="shared" si="17"/>
        <v>500.02110719018157</v>
      </c>
      <c r="DE17" s="26">
        <f t="shared" si="17"/>
        <v>495.02089611827972</v>
      </c>
      <c r="DF17" s="26">
        <f t="shared" si="17"/>
        <v>490.07068715709693</v>
      </c>
      <c r="DG17" s="26">
        <f t="shared" si="17"/>
        <v>485.16998028552598</v>
      </c>
    </row>
    <row r="18" spans="1:16366" x14ac:dyDescent="0.25">
      <c r="C18" s="1" t="s">
        <v>96</v>
      </c>
      <c r="D18" s="16">
        <f>(D17*Modell!$B$11)/D19</f>
        <v>6.1101077700686863</v>
      </c>
      <c r="E18" s="16">
        <f>(E17*Modell!$B$11)/E19</f>
        <v>9.7619571793756794</v>
      </c>
      <c r="F18" s="16">
        <f>(F17*Modell!$B$11)/F19</f>
        <v>19.062837734505806</v>
      </c>
      <c r="G18" s="16">
        <f>(G17*Modell!$B$11)/G19</f>
        <v>25.596339454546161</v>
      </c>
      <c r="H18" s="16">
        <f>(H17*Modell!$B$11)/H19</f>
        <v>9.1291641202683653</v>
      </c>
      <c r="I18" s="16">
        <f>(I17*Modell!$B$11)/I19</f>
        <v>17.041679834189388</v>
      </c>
      <c r="J18" s="16">
        <f>(J17*Modell!$B$11)/J19</f>
        <v>31.221599217139776</v>
      </c>
      <c r="K18" s="16">
        <f>(K17*Modell!$B$11)/K19</f>
        <v>43.559660989133356</v>
      </c>
      <c r="L18" s="16">
        <f>(L17*Modell!$B$11)/L19</f>
        <v>55.211843198365315</v>
      </c>
      <c r="M18" s="16">
        <f>(M17*Modell!$B$11)/M19</f>
        <v>66.620445929470534</v>
      </c>
      <c r="N18" s="18">
        <f>(N17*Modell!$B$11)/N19</f>
        <v>62.340229668869192</v>
      </c>
      <c r="O18" s="16">
        <f>(O17*Modell!$B$11)/O19</f>
        <v>62.340229668869192</v>
      </c>
      <c r="P18" s="16">
        <f>(P17*Modell!$B$11)/P19</f>
        <v>62.340229668869192</v>
      </c>
      <c r="Q18" s="16">
        <f>(Q17*Modell!$B$11)/Q19</f>
        <v>62.340229668869192</v>
      </c>
      <c r="R18" s="16">
        <f>(R17*Modell!$B$11)/R19</f>
        <v>62.340229668869192</v>
      </c>
      <c r="S18" s="16">
        <f>(S17*Modell!$B$11)/S19</f>
        <v>62.340229668869192</v>
      </c>
      <c r="T18" s="16">
        <f>(T17*Modell!$B$11)/T19</f>
        <v>62.340229668869192</v>
      </c>
      <c r="U18" s="16">
        <f>(U17*Modell!$B$11)/U19</f>
        <v>62.340229668869192</v>
      </c>
      <c r="V18" s="16">
        <f>(V17*Modell!$B$11)/V19</f>
        <v>62.340229668869192</v>
      </c>
      <c r="W18" s="16">
        <f>(W17*Modell!$B$11)/W19</f>
        <v>62.340229668869192</v>
      </c>
      <c r="X18" s="16">
        <f>(X17*Modell!$B$11)/X19</f>
        <v>62.340229668869192</v>
      </c>
    </row>
    <row r="19" spans="1:16366" x14ac:dyDescent="0.25">
      <c r="C19" s="1" t="s">
        <v>4</v>
      </c>
      <c r="D19" s="16">
        <v>35.970376999999999</v>
      </c>
      <c r="E19" s="16">
        <v>35.970376999999999</v>
      </c>
      <c r="F19" s="16">
        <v>35.970376999999999</v>
      </c>
      <c r="G19" s="16">
        <v>35.970376999999999</v>
      </c>
      <c r="H19" s="16">
        <v>180.73730499999999</v>
      </c>
      <c r="I19" s="16">
        <v>183.92791500000001</v>
      </c>
      <c r="J19" s="16">
        <v>213.7145754</v>
      </c>
      <c r="K19" s="16">
        <v>213.26750000000001</v>
      </c>
      <c r="L19" s="16">
        <v>213.566498</v>
      </c>
      <c r="M19" s="16">
        <v>205.61045200000001</v>
      </c>
      <c r="N19" s="18">
        <v>205.61045200000001</v>
      </c>
      <c r="O19" s="16">
        <v>205.61045200000001</v>
      </c>
      <c r="P19" s="16">
        <v>205.61045200000001</v>
      </c>
      <c r="Q19" s="16">
        <v>205.61045200000001</v>
      </c>
      <c r="R19" s="16">
        <v>205.61045200000001</v>
      </c>
      <c r="S19" s="16">
        <v>205.61045200000001</v>
      </c>
      <c r="T19" s="16">
        <v>205.61045200000001</v>
      </c>
      <c r="U19" s="16">
        <v>205.61045200000001</v>
      </c>
      <c r="V19" s="16">
        <v>205.61045200000001</v>
      </c>
      <c r="W19" s="16">
        <v>205.61045200000001</v>
      </c>
      <c r="X19" s="16">
        <v>205.61045200000001</v>
      </c>
    </row>
    <row r="20" spans="1:16366" x14ac:dyDescent="0.25">
      <c r="N20" s="4"/>
    </row>
    <row r="21" spans="1:16366" x14ac:dyDescent="0.25">
      <c r="N21" s="4"/>
      <c r="Z21" s="1" t="s">
        <v>90</v>
      </c>
      <c r="AA21" s="21">
        <v>0.1</v>
      </c>
    </row>
    <row r="22" spans="1:16366" x14ac:dyDescent="0.25">
      <c r="D22" s="6"/>
      <c r="E22" s="6"/>
      <c r="F22" s="6"/>
      <c r="G22" s="6"/>
      <c r="H22" s="6"/>
      <c r="I22" s="6"/>
      <c r="J22" s="6"/>
      <c r="N22" s="4"/>
      <c r="Z22" s="1" t="s">
        <v>91</v>
      </c>
      <c r="AA22" s="21">
        <v>-0.01</v>
      </c>
    </row>
    <row r="23" spans="1:16366" x14ac:dyDescent="0.25">
      <c r="C23" s="6" t="s">
        <v>25</v>
      </c>
      <c r="E23" s="19">
        <f t="shared" ref="E23:X23" si="18">(E7-D7)/D7</f>
        <v>0.51164555636972686</v>
      </c>
      <c r="F23" s="19">
        <f t="shared" si="18"/>
        <v>0.54467392621574362</v>
      </c>
      <c r="G23" s="19">
        <f t="shared" si="18"/>
        <v>0.37564023536004493</v>
      </c>
      <c r="H23" s="19">
        <f t="shared" si="18"/>
        <v>0.48992801945552239</v>
      </c>
      <c r="I23" s="19">
        <f t="shared" si="18"/>
        <v>0.53333132833176566</v>
      </c>
      <c r="J23" s="19">
        <f t="shared" si="18"/>
        <v>0.90574320770159378</v>
      </c>
      <c r="K23" s="19">
        <f t="shared" si="18"/>
        <v>0.3623047651661665</v>
      </c>
      <c r="L23" s="19">
        <f t="shared" si="18"/>
        <v>0.23489010989010989</v>
      </c>
      <c r="M23" s="19">
        <f t="shared" si="18"/>
        <v>0.23136818687430477</v>
      </c>
      <c r="N23" s="20">
        <f>(N7-M7)/M7</f>
        <v>3.2999096657633425E-2</v>
      </c>
      <c r="O23" s="19">
        <f t="shared" si="18"/>
        <v>0</v>
      </c>
      <c r="P23" s="19">
        <f t="shared" si="18"/>
        <v>0</v>
      </c>
      <c r="Q23" s="19">
        <f t="shared" si="18"/>
        <v>0</v>
      </c>
      <c r="R23" s="19">
        <f t="shared" si="18"/>
        <v>0</v>
      </c>
      <c r="S23" s="19">
        <f t="shared" si="18"/>
        <v>0</v>
      </c>
      <c r="T23" s="19">
        <f t="shared" si="18"/>
        <v>0</v>
      </c>
      <c r="U23" s="19">
        <f t="shared" si="18"/>
        <v>0</v>
      </c>
      <c r="V23" s="19">
        <f t="shared" si="18"/>
        <v>0</v>
      </c>
      <c r="W23" s="19">
        <f t="shared" si="18"/>
        <v>0</v>
      </c>
      <c r="X23" s="19">
        <f t="shared" si="18"/>
        <v>0</v>
      </c>
      <c r="Z23" s="1" t="s">
        <v>94</v>
      </c>
      <c r="AA23" s="3">
        <f>NPV(AA21,N17:DG17)</f>
        <v>11223.343124718482</v>
      </c>
    </row>
    <row r="24" spans="1:16366" x14ac:dyDescent="0.25">
      <c r="C24" s="1" t="s">
        <v>86</v>
      </c>
      <c r="H24" s="10"/>
      <c r="I24" s="10">
        <f t="shared" ref="I24:X25" si="19">(I4-H4)/H4</f>
        <v>0.48487641070095461</v>
      </c>
      <c r="J24" s="10">
        <f t="shared" si="19"/>
        <v>0.5455580110497239</v>
      </c>
      <c r="K24" s="10">
        <f t="shared" si="19"/>
        <v>0.41556983835336331</v>
      </c>
      <c r="L24" s="10">
        <f t="shared" si="19"/>
        <v>0.28198653198653201</v>
      </c>
      <c r="M24" s="10">
        <f t="shared" si="19"/>
        <v>0.16611950098489822</v>
      </c>
      <c r="N24" s="11">
        <f t="shared" si="19"/>
        <v>0.11000000000000007</v>
      </c>
      <c r="O24" s="10">
        <f t="shared" si="19"/>
        <v>0</v>
      </c>
      <c r="P24" s="10">
        <f t="shared" si="19"/>
        <v>0</v>
      </c>
      <c r="Q24" s="10">
        <f t="shared" si="19"/>
        <v>0</v>
      </c>
      <c r="R24" s="10">
        <f t="shared" si="19"/>
        <v>0</v>
      </c>
      <c r="S24" s="10">
        <f t="shared" si="19"/>
        <v>0</v>
      </c>
      <c r="T24" s="10">
        <f t="shared" si="19"/>
        <v>0</v>
      </c>
      <c r="U24" s="10">
        <f t="shared" si="19"/>
        <v>0</v>
      </c>
      <c r="V24" s="10">
        <f t="shared" si="19"/>
        <v>0</v>
      </c>
      <c r="W24" s="10">
        <f t="shared" si="19"/>
        <v>0</v>
      </c>
      <c r="X24" s="10">
        <f t="shared" si="19"/>
        <v>0</v>
      </c>
      <c r="Z24" s="22" t="s">
        <v>92</v>
      </c>
      <c r="AA24" s="23">
        <f>AA23*Modell!B11</f>
        <v>123681.24123439766</v>
      </c>
    </row>
    <row r="25" spans="1:16366" x14ac:dyDescent="0.25">
      <c r="C25" s="1" t="s">
        <v>87</v>
      </c>
      <c r="D25" s="22"/>
      <c r="E25" s="22"/>
      <c r="F25" s="22"/>
      <c r="G25" s="22"/>
      <c r="H25" s="29"/>
      <c r="I25" s="29">
        <f>(I5-H5)/H5</f>
        <v>273.13846153846151</v>
      </c>
      <c r="J25" s="29">
        <f>(J5-I5)/I5</f>
        <v>11.881699309725574</v>
      </c>
      <c r="K25" s="29">
        <f t="shared" si="19"/>
        <v>0.167557582807279</v>
      </c>
      <c r="L25" s="29">
        <f t="shared" si="19"/>
        <v>2.6119402985074626E-2</v>
      </c>
      <c r="M25" s="29">
        <f t="shared" si="19"/>
        <v>4.363636363636364E-2</v>
      </c>
      <c r="N25" s="30">
        <f t="shared" si="19"/>
        <v>0.10000000000000016</v>
      </c>
      <c r="O25" s="29">
        <f t="shared" si="19"/>
        <v>0</v>
      </c>
      <c r="P25" s="29">
        <f t="shared" si="19"/>
        <v>0</v>
      </c>
      <c r="Q25" s="29">
        <f t="shared" si="19"/>
        <v>0</v>
      </c>
      <c r="R25" s="29">
        <f t="shared" si="19"/>
        <v>0</v>
      </c>
      <c r="S25" s="29">
        <f t="shared" si="19"/>
        <v>0</v>
      </c>
      <c r="T25" s="29">
        <f t="shared" si="19"/>
        <v>0</v>
      </c>
      <c r="U25" s="29">
        <f t="shared" si="19"/>
        <v>0</v>
      </c>
      <c r="V25" s="29">
        <f t="shared" si="19"/>
        <v>0</v>
      </c>
      <c r="W25" s="29">
        <f t="shared" si="19"/>
        <v>0</v>
      </c>
      <c r="X25" s="29">
        <f t="shared" si="19"/>
        <v>0</v>
      </c>
      <c r="Z25" s="1" t="s">
        <v>93</v>
      </c>
      <c r="AA25" s="72">
        <f>AA24/X19</f>
        <v>601.53187754481303</v>
      </c>
    </row>
    <row r="26" spans="1:16366" x14ac:dyDescent="0.25">
      <c r="C26" s="36" t="s">
        <v>104</v>
      </c>
      <c r="D26" s="33">
        <f t="shared" ref="D26:W26" si="20">D10/D7</f>
        <v>0.35444363027321257</v>
      </c>
      <c r="E26" s="33">
        <f t="shared" si="20"/>
        <v>0.38699513529421942</v>
      </c>
      <c r="F26" s="33">
        <f t="shared" si="20"/>
        <v>0.452233118520594</v>
      </c>
      <c r="G26" s="33">
        <f t="shared" si="20"/>
        <v>0.43891430363813377</v>
      </c>
      <c r="H26" s="33">
        <f t="shared" si="20"/>
        <v>0.50019685469935926</v>
      </c>
      <c r="I26" s="33">
        <f t="shared" si="20"/>
        <v>0.59180947863749267</v>
      </c>
      <c r="J26" s="33">
        <f t="shared" si="20"/>
        <v>0.68737444761629418</v>
      </c>
      <c r="K26" s="33">
        <f t="shared" si="20"/>
        <v>0.69162087912087911</v>
      </c>
      <c r="L26" s="33">
        <f t="shared" si="20"/>
        <v>0.70467185761957729</v>
      </c>
      <c r="M26" s="33">
        <f t="shared" si="20"/>
        <v>0.70505871725383917</v>
      </c>
      <c r="N26" s="34">
        <f t="shared" si="20"/>
        <v>0.66662002745883364</v>
      </c>
      <c r="O26" s="33">
        <f t="shared" si="20"/>
        <v>0.66662002745883364</v>
      </c>
      <c r="P26" s="33">
        <f t="shared" si="20"/>
        <v>0.66662002745883364</v>
      </c>
      <c r="Q26" s="33">
        <f t="shared" si="20"/>
        <v>0.66662002745883364</v>
      </c>
      <c r="R26" s="33">
        <f t="shared" si="20"/>
        <v>0.66662002745883364</v>
      </c>
      <c r="S26" s="33">
        <f t="shared" si="20"/>
        <v>0.66662002745883364</v>
      </c>
      <c r="T26" s="33">
        <f t="shared" si="20"/>
        <v>0.66662002745883364</v>
      </c>
      <c r="U26" s="33">
        <f t="shared" si="20"/>
        <v>0.66662002745883364</v>
      </c>
      <c r="V26" s="33">
        <f t="shared" si="20"/>
        <v>0.66662002745883364</v>
      </c>
      <c r="W26" s="33">
        <f t="shared" si="20"/>
        <v>0.66662002745883364</v>
      </c>
      <c r="X26" s="33">
        <f>X10/X7</f>
        <v>0.77593067081755618</v>
      </c>
      <c r="Z26" s="6" t="s">
        <v>95</v>
      </c>
      <c r="AA26" s="33">
        <f>(AA25-Modell!B4)/Modell!B4</f>
        <v>-2.3487211777900929E-2</v>
      </c>
    </row>
    <row r="27" spans="1:16366" x14ac:dyDescent="0.25">
      <c r="C27" s="1" t="s">
        <v>105</v>
      </c>
      <c r="D27" s="31">
        <f t="shared" ref="D27:X27" si="21">D13/D7</f>
        <v>0.27724275096828216</v>
      </c>
      <c r="E27" s="31">
        <f t="shared" si="21"/>
        <v>0.3030313522497099</v>
      </c>
      <c r="F27" s="31">
        <f t="shared" si="21"/>
        <v>0.37515830764920144</v>
      </c>
      <c r="G27" s="31">
        <f t="shared" si="21"/>
        <v>0.36478697099188123</v>
      </c>
      <c r="H27" s="31">
        <f t="shared" si="21"/>
        <v>0.43054310024278747</v>
      </c>
      <c r="I27" s="31">
        <f t="shared" si="21"/>
        <v>0.53383533724784649</v>
      </c>
      <c r="J27" s="31">
        <f t="shared" si="21"/>
        <v>0.61191810826767412</v>
      </c>
      <c r="K27" s="31">
        <f t="shared" si="21"/>
        <v>0.62293956043956045</v>
      </c>
      <c r="L27" s="31">
        <f t="shared" si="21"/>
        <v>0.63515016685205783</v>
      </c>
      <c r="M27" s="31">
        <f t="shared" si="21"/>
        <v>0.64092140921409213</v>
      </c>
      <c r="N27" s="32">
        <f t="shared" si="21"/>
        <v>0.59832273748830389</v>
      </c>
      <c r="O27" s="31">
        <f t="shared" si="21"/>
        <v>0.59832273748830389</v>
      </c>
      <c r="P27" s="31">
        <f t="shared" si="21"/>
        <v>0.59832273748830389</v>
      </c>
      <c r="Q27" s="31">
        <f t="shared" si="21"/>
        <v>0.59832273748830389</v>
      </c>
      <c r="R27" s="31">
        <f t="shared" si="21"/>
        <v>0.59832273748830389</v>
      </c>
      <c r="S27" s="31">
        <f t="shared" si="21"/>
        <v>0.59832273748830389</v>
      </c>
      <c r="T27" s="31">
        <f t="shared" si="21"/>
        <v>0.59832273748830389</v>
      </c>
      <c r="U27" s="31">
        <f t="shared" si="21"/>
        <v>0.59832273748830389</v>
      </c>
      <c r="V27" s="31">
        <f t="shared" si="21"/>
        <v>0.59832273748830389</v>
      </c>
      <c r="W27" s="31">
        <f t="shared" si="21"/>
        <v>0.59832273748830389</v>
      </c>
      <c r="X27" s="31">
        <f t="shared" si="21"/>
        <v>0.59832273748830389</v>
      </c>
    </row>
    <row r="28" spans="1:16366" s="22" customFormat="1" x14ac:dyDescent="0.25">
      <c r="B28" s="51"/>
      <c r="C28" s="22" t="s">
        <v>177</v>
      </c>
      <c r="D28" s="29">
        <v>0.45700000000000002</v>
      </c>
      <c r="E28" s="29">
        <v>0.496</v>
      </c>
      <c r="F28" s="29">
        <v>0.56499999999999995</v>
      </c>
      <c r="G28" s="29">
        <v>0.51400000000000001</v>
      </c>
      <c r="H28" s="35">
        <v>0.53300000000000003</v>
      </c>
      <c r="I28" s="35">
        <v>0.10440000000000001</v>
      </c>
      <c r="J28" s="35">
        <v>0.18970000000000001</v>
      </c>
      <c r="K28" s="35">
        <v>0.2437</v>
      </c>
      <c r="L28" s="35">
        <v>0.26729999999999998</v>
      </c>
      <c r="M28" s="35">
        <v>0.313</v>
      </c>
      <c r="N28" s="70"/>
      <c r="O28" s="35"/>
      <c r="P28" s="35"/>
      <c r="Q28" s="35"/>
      <c r="R28" s="35"/>
      <c r="S28" s="35"/>
      <c r="T28" s="35"/>
      <c r="U28" s="35"/>
      <c r="V28" s="35"/>
      <c r="W28" s="35"/>
      <c r="X28" s="35"/>
    </row>
    <row r="29" spans="1:16366" x14ac:dyDescent="0.25">
      <c r="N29" s="46"/>
    </row>
    <row r="30" spans="1:16366" x14ac:dyDescent="0.25">
      <c r="A30" s="6" t="s">
        <v>184</v>
      </c>
      <c r="D30" s="7" t="s">
        <v>181</v>
      </c>
      <c r="E30" s="7" t="s">
        <v>178</v>
      </c>
      <c r="F30" s="7" t="s">
        <v>179</v>
      </c>
      <c r="G30" s="7" t="s">
        <v>180</v>
      </c>
      <c r="H30" s="7" t="s">
        <v>162</v>
      </c>
      <c r="I30" s="7" t="s">
        <v>161</v>
      </c>
      <c r="J30" s="7" t="s">
        <v>160</v>
      </c>
      <c r="K30" s="7" t="s">
        <v>72</v>
      </c>
      <c r="L30" s="7" t="s">
        <v>73</v>
      </c>
      <c r="M30" s="7" t="s">
        <v>74</v>
      </c>
      <c r="N30" s="8" t="s">
        <v>75</v>
      </c>
      <c r="O30" s="7" t="s">
        <v>76</v>
      </c>
      <c r="P30" s="7" t="s">
        <v>77</v>
      </c>
      <c r="Q30" s="7" t="s">
        <v>78</v>
      </c>
      <c r="R30" s="7" t="s">
        <v>79</v>
      </c>
      <c r="S30" s="7" t="s">
        <v>80</v>
      </c>
      <c r="T30" s="7" t="s">
        <v>81</v>
      </c>
      <c r="U30" s="7" t="s">
        <v>82</v>
      </c>
      <c r="V30" s="7" t="s">
        <v>83</v>
      </c>
      <c r="W30" s="7" t="s">
        <v>84</v>
      </c>
      <c r="X30" s="7" t="s">
        <v>85</v>
      </c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  <c r="SL30" s="7"/>
      <c r="SM30" s="7"/>
      <c r="SN30" s="7"/>
      <c r="SO30" s="7"/>
      <c r="SP30" s="7"/>
      <c r="SQ30" s="7"/>
      <c r="SR30" s="7"/>
      <c r="SS30" s="7"/>
      <c r="ST30" s="7"/>
      <c r="SU30" s="7"/>
      <c r="SV30" s="7"/>
      <c r="SW30" s="7"/>
      <c r="SX30" s="7"/>
      <c r="SY30" s="7"/>
      <c r="SZ30" s="7"/>
      <c r="TA30" s="7"/>
      <c r="TB30" s="7"/>
      <c r="TC30" s="7"/>
      <c r="TD30" s="7"/>
      <c r="TE30" s="7"/>
      <c r="TF30" s="7"/>
      <c r="TG30" s="7"/>
      <c r="TH30" s="7"/>
      <c r="TI30" s="7"/>
      <c r="TJ30" s="7"/>
      <c r="TK30" s="7"/>
      <c r="TL30" s="7"/>
      <c r="TM30" s="7"/>
      <c r="TN30" s="7"/>
      <c r="TO30" s="7"/>
      <c r="TP30" s="7"/>
      <c r="TQ30" s="7"/>
      <c r="TR30" s="7"/>
      <c r="TS30" s="7"/>
      <c r="TT30" s="7"/>
      <c r="TU30" s="7"/>
      <c r="TV30" s="7"/>
      <c r="TW30" s="7"/>
      <c r="TX30" s="7"/>
      <c r="TY30" s="7"/>
      <c r="TZ30" s="7"/>
      <c r="UA30" s="7"/>
      <c r="UB30" s="7"/>
      <c r="UC30" s="7"/>
      <c r="UD30" s="7"/>
      <c r="UE30" s="7"/>
      <c r="UF30" s="7"/>
      <c r="UG30" s="7"/>
      <c r="UH30" s="7"/>
      <c r="UI30" s="7"/>
      <c r="UJ30" s="7"/>
      <c r="UK30" s="7"/>
      <c r="UL30" s="7"/>
      <c r="UM30" s="7"/>
      <c r="UN30" s="7"/>
      <c r="UO30" s="7"/>
      <c r="UP30" s="7"/>
      <c r="UQ30" s="7"/>
      <c r="UR30" s="7"/>
      <c r="US30" s="7"/>
      <c r="UT30" s="7"/>
      <c r="UU30" s="7"/>
      <c r="UV30" s="7"/>
      <c r="UW30" s="7"/>
      <c r="UX30" s="7"/>
      <c r="UY30" s="7"/>
      <c r="UZ30" s="7"/>
      <c r="VA30" s="7"/>
      <c r="VB30" s="7"/>
      <c r="VC30" s="7"/>
      <c r="VD30" s="7"/>
      <c r="VE30" s="7"/>
      <c r="VF30" s="7"/>
      <c r="VG30" s="7"/>
      <c r="VH30" s="7"/>
      <c r="VI30" s="7"/>
      <c r="VJ30" s="7"/>
      <c r="VK30" s="7"/>
      <c r="VL30" s="7"/>
      <c r="VM30" s="7"/>
      <c r="VN30" s="7"/>
      <c r="VO30" s="7"/>
      <c r="VP30" s="7"/>
      <c r="VQ30" s="7"/>
      <c r="VR30" s="7"/>
      <c r="VS30" s="7"/>
      <c r="VT30" s="7"/>
      <c r="VU30" s="7"/>
      <c r="VV30" s="7"/>
      <c r="VW30" s="7"/>
      <c r="VX30" s="7"/>
      <c r="VY30" s="7"/>
      <c r="VZ30" s="7"/>
      <c r="WA30" s="7"/>
      <c r="WB30" s="7"/>
      <c r="WC30" s="7"/>
      <c r="WD30" s="7"/>
      <c r="WE30" s="7"/>
      <c r="WF30" s="7"/>
      <c r="WG30" s="7"/>
      <c r="WH30" s="7"/>
      <c r="WI30" s="7"/>
      <c r="WJ30" s="7"/>
      <c r="WK30" s="7"/>
      <c r="WL30" s="7"/>
      <c r="WM30" s="7"/>
      <c r="WN30" s="7"/>
      <c r="WO30" s="7"/>
      <c r="WP30" s="7"/>
      <c r="WQ30" s="7"/>
      <c r="WR30" s="7"/>
      <c r="WS30" s="7"/>
      <c r="WT30" s="7"/>
      <c r="WU30" s="7"/>
      <c r="WV30" s="7"/>
      <c r="WW30" s="7"/>
      <c r="WX30" s="7"/>
      <c r="WY30" s="7"/>
      <c r="WZ30" s="7"/>
      <c r="XA30" s="7"/>
      <c r="XB30" s="7"/>
      <c r="XC30" s="7"/>
      <c r="XD30" s="7"/>
      <c r="XE30" s="7"/>
      <c r="XF30" s="7"/>
      <c r="XG30" s="7"/>
      <c r="XH30" s="7"/>
      <c r="XI30" s="7"/>
      <c r="XJ30" s="7"/>
      <c r="XK30" s="7"/>
      <c r="XL30" s="7"/>
      <c r="XM30" s="7"/>
      <c r="XN30" s="7"/>
      <c r="XO30" s="7"/>
      <c r="XP30" s="7"/>
      <c r="XQ30" s="7"/>
      <c r="XR30" s="7"/>
      <c r="XS30" s="7"/>
      <c r="XT30" s="7"/>
      <c r="XU30" s="7"/>
      <c r="XV30" s="7"/>
      <c r="XW30" s="7"/>
      <c r="XX30" s="7"/>
      <c r="XY30" s="7"/>
      <c r="XZ30" s="7"/>
      <c r="YA30" s="7"/>
      <c r="YB30" s="7"/>
      <c r="YC30" s="7"/>
      <c r="YD30" s="7"/>
      <c r="YE30" s="7"/>
      <c r="YF30" s="7"/>
      <c r="YG30" s="7"/>
      <c r="YH30" s="7"/>
      <c r="YI30" s="7"/>
      <c r="YJ30" s="7"/>
      <c r="YK30" s="7"/>
      <c r="YL30" s="7"/>
      <c r="YM30" s="7"/>
      <c r="YN30" s="7"/>
      <c r="YO30" s="7"/>
      <c r="YP30" s="7"/>
      <c r="YQ30" s="7"/>
      <c r="YR30" s="7"/>
      <c r="YS30" s="7"/>
      <c r="YT30" s="7"/>
      <c r="YU30" s="7"/>
      <c r="YV30" s="7"/>
      <c r="YW30" s="7"/>
      <c r="YX30" s="7"/>
      <c r="YY30" s="7"/>
      <c r="YZ30" s="7"/>
      <c r="ZA30" s="7"/>
      <c r="ZB30" s="7"/>
      <c r="ZC30" s="7"/>
      <c r="ZD30" s="7"/>
      <c r="ZE30" s="7"/>
      <c r="ZF30" s="7"/>
      <c r="ZG30" s="7"/>
      <c r="ZH30" s="7"/>
      <c r="ZI30" s="7"/>
      <c r="ZJ30" s="7"/>
      <c r="ZK30" s="7"/>
      <c r="ZL30" s="7"/>
      <c r="ZM30" s="7"/>
      <c r="ZN30" s="7"/>
      <c r="ZO30" s="7"/>
      <c r="ZP30" s="7"/>
      <c r="ZQ30" s="7"/>
      <c r="ZR30" s="7"/>
      <c r="ZS30" s="7"/>
      <c r="ZT30" s="7"/>
      <c r="ZU30" s="7"/>
      <c r="ZV30" s="7"/>
      <c r="ZW30" s="7"/>
      <c r="ZX30" s="7"/>
      <c r="ZY30" s="7"/>
      <c r="ZZ30" s="7"/>
      <c r="AAA30" s="7"/>
      <c r="AAB30" s="7"/>
      <c r="AAC30" s="7"/>
      <c r="AAD30" s="7"/>
      <c r="AAE30" s="7"/>
      <c r="AAF30" s="7"/>
      <c r="AAG30" s="7"/>
      <c r="AAH30" s="7"/>
      <c r="AAI30" s="7"/>
      <c r="AAJ30" s="7"/>
      <c r="AAK30" s="7"/>
      <c r="AAL30" s="7"/>
      <c r="AAM30" s="7"/>
      <c r="AAN30" s="7"/>
      <c r="AAO30" s="7"/>
      <c r="AAP30" s="7"/>
      <c r="AAQ30" s="7"/>
      <c r="AAR30" s="7"/>
      <c r="AAS30" s="7"/>
      <c r="AAT30" s="7"/>
      <c r="AAU30" s="7"/>
      <c r="AAV30" s="7"/>
      <c r="AAW30" s="7"/>
      <c r="AAX30" s="7"/>
      <c r="AAY30" s="7"/>
      <c r="AAZ30" s="7"/>
      <c r="ABA30" s="7"/>
      <c r="ABB30" s="7"/>
      <c r="ABC30" s="7"/>
      <c r="ABD30" s="7"/>
      <c r="ABE30" s="7"/>
      <c r="ABF30" s="7"/>
      <c r="ABG30" s="7"/>
      <c r="ABH30" s="7"/>
      <c r="ABI30" s="7"/>
      <c r="ABJ30" s="7"/>
      <c r="ABK30" s="7"/>
      <c r="ABL30" s="7"/>
      <c r="ABM30" s="7"/>
      <c r="ABN30" s="7"/>
      <c r="ABO30" s="7"/>
      <c r="ABP30" s="7"/>
      <c r="ABQ30" s="7"/>
      <c r="ABR30" s="7"/>
      <c r="ABS30" s="7"/>
      <c r="ABT30" s="7"/>
      <c r="ABU30" s="7"/>
      <c r="ABV30" s="7"/>
      <c r="ABW30" s="7"/>
      <c r="ABX30" s="7"/>
      <c r="ABY30" s="7"/>
      <c r="ABZ30" s="7"/>
      <c r="ACA30" s="7"/>
      <c r="ACB30" s="7"/>
      <c r="ACC30" s="7"/>
      <c r="ACD30" s="7"/>
      <c r="ACE30" s="7"/>
      <c r="ACF30" s="7"/>
      <c r="ACG30" s="7"/>
      <c r="ACH30" s="7"/>
      <c r="ACI30" s="7"/>
      <c r="ACJ30" s="7"/>
      <c r="ACK30" s="7"/>
      <c r="ACL30" s="7"/>
      <c r="ACM30" s="7"/>
      <c r="ACN30" s="7"/>
      <c r="ACO30" s="7"/>
      <c r="ACP30" s="7"/>
      <c r="ACQ30" s="7"/>
      <c r="ACR30" s="7"/>
      <c r="ACS30" s="7"/>
      <c r="ACT30" s="7"/>
      <c r="ACU30" s="7"/>
      <c r="ACV30" s="7"/>
      <c r="ACW30" s="7"/>
      <c r="ACX30" s="7"/>
      <c r="ACY30" s="7"/>
      <c r="ACZ30" s="7"/>
      <c r="ADA30" s="7"/>
      <c r="ADB30" s="7"/>
      <c r="ADC30" s="7"/>
      <c r="ADD30" s="7"/>
      <c r="ADE30" s="7"/>
      <c r="ADF30" s="7"/>
      <c r="ADG30" s="7"/>
      <c r="ADH30" s="7"/>
      <c r="ADI30" s="7"/>
      <c r="ADJ30" s="7"/>
      <c r="ADK30" s="7"/>
      <c r="ADL30" s="7"/>
      <c r="ADM30" s="7"/>
      <c r="ADN30" s="7"/>
      <c r="ADO30" s="7"/>
      <c r="ADP30" s="7"/>
      <c r="ADQ30" s="7"/>
      <c r="ADR30" s="7"/>
      <c r="ADS30" s="7"/>
      <c r="ADT30" s="7"/>
      <c r="ADU30" s="7"/>
      <c r="ADV30" s="7"/>
      <c r="ADW30" s="7"/>
      <c r="ADX30" s="7"/>
      <c r="ADY30" s="7"/>
      <c r="ADZ30" s="7"/>
      <c r="AEA30" s="7"/>
      <c r="AEB30" s="7"/>
      <c r="AEC30" s="7"/>
      <c r="AED30" s="7"/>
      <c r="AEE30" s="7"/>
      <c r="AEF30" s="7"/>
      <c r="AEG30" s="7"/>
      <c r="AEH30" s="7"/>
      <c r="AEI30" s="7"/>
      <c r="AEJ30" s="7"/>
      <c r="AEK30" s="7"/>
      <c r="AEL30" s="7"/>
      <c r="AEM30" s="7"/>
      <c r="AEN30" s="7"/>
      <c r="AEO30" s="7"/>
      <c r="AEP30" s="7"/>
      <c r="AEQ30" s="7"/>
      <c r="AER30" s="7"/>
      <c r="AES30" s="7"/>
      <c r="AET30" s="7"/>
      <c r="AEU30" s="7"/>
      <c r="AEV30" s="7"/>
      <c r="AEW30" s="7"/>
      <c r="AEX30" s="7"/>
      <c r="AEY30" s="7"/>
      <c r="AEZ30" s="7"/>
      <c r="AFA30" s="7"/>
      <c r="AFB30" s="7"/>
      <c r="AFC30" s="7"/>
      <c r="AFD30" s="7"/>
      <c r="AFE30" s="7"/>
      <c r="AFF30" s="7"/>
      <c r="AFG30" s="7"/>
      <c r="AFH30" s="7"/>
      <c r="AFI30" s="7"/>
      <c r="AFJ30" s="7"/>
      <c r="AFK30" s="7"/>
      <c r="AFL30" s="7"/>
      <c r="AFM30" s="7"/>
      <c r="AFN30" s="7"/>
      <c r="AFO30" s="7"/>
      <c r="AFP30" s="7"/>
      <c r="AFQ30" s="7"/>
      <c r="AFR30" s="7"/>
      <c r="AFS30" s="7"/>
      <c r="AFT30" s="7"/>
      <c r="AFU30" s="7"/>
      <c r="AFV30" s="7"/>
      <c r="AFW30" s="7"/>
      <c r="AFX30" s="7"/>
      <c r="AFY30" s="7"/>
      <c r="AFZ30" s="7"/>
      <c r="AGA30" s="7"/>
      <c r="AGB30" s="7"/>
      <c r="AGC30" s="7"/>
      <c r="AGD30" s="7"/>
      <c r="AGE30" s="7"/>
      <c r="AGF30" s="7"/>
      <c r="AGG30" s="7"/>
      <c r="AGH30" s="7"/>
      <c r="AGI30" s="7"/>
      <c r="AGJ30" s="7"/>
      <c r="AGK30" s="7"/>
      <c r="AGL30" s="7"/>
      <c r="AGM30" s="7"/>
      <c r="AGN30" s="7"/>
      <c r="AGO30" s="7"/>
      <c r="AGP30" s="7"/>
      <c r="AGQ30" s="7"/>
      <c r="AGR30" s="7"/>
      <c r="AGS30" s="7"/>
      <c r="AGT30" s="7"/>
      <c r="AGU30" s="7"/>
      <c r="AGV30" s="7"/>
      <c r="AGW30" s="7"/>
      <c r="AGX30" s="7"/>
      <c r="AGY30" s="7"/>
      <c r="AGZ30" s="7"/>
      <c r="AHA30" s="7"/>
      <c r="AHB30" s="7"/>
      <c r="AHC30" s="7"/>
      <c r="AHD30" s="7"/>
      <c r="AHE30" s="7"/>
      <c r="AHF30" s="7"/>
      <c r="AHG30" s="7"/>
      <c r="AHH30" s="7"/>
      <c r="AHI30" s="7"/>
      <c r="AHJ30" s="7"/>
      <c r="AHK30" s="7"/>
      <c r="AHL30" s="7"/>
      <c r="AHM30" s="7"/>
      <c r="AHN30" s="7"/>
      <c r="AHO30" s="7"/>
      <c r="AHP30" s="7"/>
      <c r="AHQ30" s="7"/>
      <c r="AHR30" s="7"/>
      <c r="AHS30" s="7"/>
      <c r="AHT30" s="7"/>
      <c r="AHU30" s="7"/>
      <c r="AHV30" s="7"/>
      <c r="AHW30" s="7"/>
      <c r="AHX30" s="7"/>
      <c r="AHY30" s="7"/>
      <c r="AHZ30" s="7"/>
      <c r="AIA30" s="7"/>
      <c r="AIB30" s="7"/>
      <c r="AIC30" s="7"/>
      <c r="AID30" s="7"/>
      <c r="AIE30" s="7"/>
      <c r="AIF30" s="7"/>
      <c r="AIG30" s="7"/>
      <c r="AIH30" s="7"/>
      <c r="AII30" s="7"/>
      <c r="AIJ30" s="7"/>
      <c r="AIK30" s="7"/>
      <c r="AIL30" s="7"/>
      <c r="AIM30" s="7"/>
      <c r="AIN30" s="7"/>
      <c r="AIO30" s="7"/>
      <c r="AIP30" s="7"/>
      <c r="AIQ30" s="7"/>
      <c r="AIR30" s="7"/>
      <c r="AIS30" s="7"/>
      <c r="AIT30" s="7"/>
      <c r="AIU30" s="7"/>
      <c r="AIV30" s="7"/>
      <c r="AIW30" s="7"/>
      <c r="AIX30" s="7"/>
      <c r="AIY30" s="7"/>
      <c r="AIZ30" s="7"/>
      <c r="AJA30" s="7"/>
      <c r="AJB30" s="7"/>
      <c r="AJC30" s="7"/>
      <c r="AJD30" s="7"/>
      <c r="AJE30" s="7"/>
      <c r="AJF30" s="7"/>
      <c r="AJG30" s="7"/>
      <c r="AJH30" s="7"/>
      <c r="AJI30" s="7"/>
      <c r="AJJ30" s="7"/>
      <c r="AJK30" s="7"/>
      <c r="AJL30" s="7"/>
      <c r="AJM30" s="7"/>
      <c r="AJN30" s="7"/>
      <c r="AJO30" s="7"/>
      <c r="AJP30" s="7"/>
      <c r="AJQ30" s="7"/>
      <c r="AJR30" s="7"/>
      <c r="AJS30" s="7"/>
      <c r="AJT30" s="7"/>
      <c r="AJU30" s="7"/>
      <c r="AJV30" s="7"/>
      <c r="AJW30" s="7"/>
      <c r="AJX30" s="7"/>
      <c r="AJY30" s="7"/>
      <c r="AJZ30" s="7"/>
      <c r="AKA30" s="7"/>
      <c r="AKB30" s="7"/>
      <c r="AKC30" s="7"/>
      <c r="AKD30" s="7"/>
      <c r="AKE30" s="7"/>
      <c r="AKF30" s="7"/>
      <c r="AKG30" s="7"/>
      <c r="AKH30" s="7"/>
      <c r="AKI30" s="7"/>
      <c r="AKJ30" s="7"/>
      <c r="AKK30" s="7"/>
      <c r="AKL30" s="7"/>
      <c r="AKM30" s="7"/>
      <c r="AKN30" s="7"/>
      <c r="AKO30" s="7"/>
      <c r="AKP30" s="7"/>
      <c r="AKQ30" s="7"/>
      <c r="AKR30" s="7"/>
      <c r="AKS30" s="7"/>
      <c r="AKT30" s="7"/>
      <c r="AKU30" s="7"/>
      <c r="AKV30" s="7"/>
      <c r="AKW30" s="7"/>
      <c r="AKX30" s="7"/>
      <c r="AKY30" s="7"/>
      <c r="AKZ30" s="7"/>
      <c r="ALA30" s="7"/>
      <c r="ALB30" s="7"/>
      <c r="ALC30" s="7"/>
      <c r="ALD30" s="7"/>
      <c r="ALE30" s="7"/>
      <c r="ALF30" s="7"/>
      <c r="ALG30" s="7"/>
      <c r="ALH30" s="7"/>
      <c r="ALI30" s="7"/>
      <c r="ALJ30" s="7"/>
      <c r="ALK30" s="7"/>
      <c r="ALL30" s="7"/>
      <c r="ALM30" s="7"/>
      <c r="ALN30" s="7"/>
      <c r="ALO30" s="7"/>
      <c r="ALP30" s="7"/>
      <c r="ALQ30" s="7"/>
      <c r="ALR30" s="7"/>
      <c r="ALS30" s="7"/>
      <c r="ALT30" s="7"/>
      <c r="ALU30" s="7"/>
      <c r="ALV30" s="7"/>
      <c r="ALW30" s="7"/>
      <c r="ALX30" s="7"/>
      <c r="ALY30" s="7"/>
      <c r="ALZ30" s="7"/>
      <c r="AMA30" s="7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  <c r="AMY30" s="7"/>
      <c r="AMZ30" s="7"/>
      <c r="ANA30" s="7"/>
      <c r="ANB30" s="7"/>
      <c r="ANC30" s="7"/>
      <c r="AND30" s="7"/>
      <c r="ANE30" s="7"/>
      <c r="ANF30" s="7"/>
      <c r="ANG30" s="7"/>
      <c r="ANH30" s="7"/>
      <c r="ANI30" s="7"/>
      <c r="ANJ30" s="7"/>
      <c r="ANK30" s="7"/>
      <c r="ANL30" s="7"/>
      <c r="ANM30" s="7"/>
      <c r="ANN30" s="7"/>
      <c r="ANO30" s="7"/>
      <c r="ANP30" s="7"/>
      <c r="ANQ30" s="7"/>
      <c r="ANR30" s="7"/>
      <c r="ANS30" s="7"/>
      <c r="ANT30" s="7"/>
      <c r="ANU30" s="7"/>
      <c r="ANV30" s="7"/>
      <c r="ANW30" s="7"/>
      <c r="ANX30" s="7"/>
      <c r="ANY30" s="7"/>
      <c r="ANZ30" s="7"/>
      <c r="AOA30" s="7"/>
      <c r="AOB30" s="7"/>
      <c r="AOC30" s="7"/>
      <c r="AOD30" s="7"/>
      <c r="AOE30" s="7"/>
      <c r="AOF30" s="7"/>
      <c r="AOG30" s="7"/>
      <c r="AOH30" s="7"/>
      <c r="AOI30" s="7"/>
      <c r="AOJ30" s="7"/>
      <c r="AOK30" s="7"/>
      <c r="AOL30" s="7"/>
      <c r="AOM30" s="7"/>
      <c r="AON30" s="7"/>
      <c r="AOO30" s="7"/>
      <c r="AOP30" s="7"/>
      <c r="AOQ30" s="7"/>
      <c r="AOR30" s="7"/>
      <c r="AOS30" s="7"/>
      <c r="AOT30" s="7"/>
      <c r="AOU30" s="7"/>
      <c r="AOV30" s="7"/>
      <c r="AOW30" s="7"/>
      <c r="AOX30" s="7"/>
      <c r="AOY30" s="7"/>
      <c r="AOZ30" s="7"/>
      <c r="APA30" s="7"/>
      <c r="APB30" s="7"/>
      <c r="APC30" s="7"/>
      <c r="APD30" s="7"/>
      <c r="APE30" s="7"/>
      <c r="APF30" s="7"/>
      <c r="APG30" s="7"/>
      <c r="APH30" s="7"/>
      <c r="API30" s="7"/>
      <c r="APJ30" s="7"/>
      <c r="APK30" s="7"/>
      <c r="APL30" s="7"/>
      <c r="APM30" s="7"/>
      <c r="APN30" s="7"/>
      <c r="APO30" s="7"/>
      <c r="APP30" s="7"/>
      <c r="APQ30" s="7"/>
      <c r="APR30" s="7"/>
      <c r="APS30" s="7"/>
      <c r="APT30" s="7"/>
      <c r="APU30" s="7"/>
      <c r="APV30" s="7"/>
      <c r="APW30" s="7"/>
      <c r="APX30" s="7"/>
      <c r="APY30" s="7"/>
      <c r="APZ30" s="7"/>
      <c r="AQA30" s="7"/>
      <c r="AQB30" s="7"/>
      <c r="AQC30" s="7"/>
      <c r="AQD30" s="7"/>
      <c r="AQE30" s="7"/>
      <c r="AQF30" s="7"/>
      <c r="AQG30" s="7"/>
      <c r="AQH30" s="7"/>
      <c r="AQI30" s="7"/>
      <c r="AQJ30" s="7"/>
      <c r="AQK30" s="7"/>
      <c r="AQL30" s="7"/>
      <c r="AQM30" s="7"/>
      <c r="AQN30" s="7"/>
      <c r="AQO30" s="7"/>
      <c r="AQP30" s="7"/>
      <c r="AQQ30" s="7"/>
      <c r="AQR30" s="7"/>
      <c r="AQS30" s="7"/>
      <c r="AQT30" s="7"/>
      <c r="AQU30" s="7"/>
      <c r="AQV30" s="7"/>
      <c r="AQW30" s="7"/>
      <c r="AQX30" s="7"/>
      <c r="AQY30" s="7"/>
      <c r="AQZ30" s="7"/>
      <c r="ARA30" s="7"/>
      <c r="ARB30" s="7"/>
      <c r="ARC30" s="7"/>
      <c r="ARD30" s="7"/>
      <c r="ARE30" s="7"/>
      <c r="ARF30" s="7"/>
      <c r="ARG30" s="7"/>
      <c r="ARH30" s="7"/>
      <c r="ARI30" s="7"/>
      <c r="ARJ30" s="7"/>
      <c r="ARK30" s="7"/>
      <c r="ARL30" s="7"/>
      <c r="ARM30" s="7"/>
      <c r="ARN30" s="7"/>
      <c r="ARO30" s="7"/>
      <c r="ARP30" s="7"/>
      <c r="ARQ30" s="7"/>
      <c r="ARR30" s="7"/>
      <c r="ARS30" s="7"/>
      <c r="ART30" s="7"/>
      <c r="ARU30" s="7"/>
      <c r="ARV30" s="7"/>
      <c r="ARW30" s="7"/>
      <c r="ARX30" s="7"/>
      <c r="ARY30" s="7"/>
      <c r="ARZ30" s="7"/>
      <c r="ASA30" s="7"/>
      <c r="ASB30" s="7"/>
      <c r="ASC30" s="7"/>
      <c r="ASD30" s="7"/>
      <c r="ASE30" s="7"/>
      <c r="ASF30" s="7"/>
      <c r="ASG30" s="7"/>
      <c r="ASH30" s="7"/>
      <c r="ASI30" s="7"/>
      <c r="ASJ30" s="7"/>
      <c r="ASK30" s="7"/>
      <c r="ASL30" s="7"/>
      <c r="ASM30" s="7"/>
      <c r="ASN30" s="7"/>
      <c r="ASO30" s="7"/>
      <c r="ASP30" s="7"/>
      <c r="ASQ30" s="7"/>
      <c r="ASR30" s="7"/>
      <c r="ASS30" s="7"/>
      <c r="AST30" s="7"/>
      <c r="ASU30" s="7"/>
      <c r="ASV30" s="7"/>
      <c r="ASW30" s="7"/>
      <c r="ASX30" s="7"/>
      <c r="ASY30" s="7"/>
      <c r="ASZ30" s="7"/>
      <c r="ATA30" s="7"/>
      <c r="ATB30" s="7"/>
      <c r="ATC30" s="7"/>
      <c r="ATD30" s="7"/>
      <c r="ATE30" s="7"/>
      <c r="ATF30" s="7"/>
      <c r="ATG30" s="7"/>
      <c r="ATH30" s="7"/>
      <c r="ATI30" s="7"/>
      <c r="ATJ30" s="7"/>
      <c r="ATK30" s="7"/>
      <c r="ATL30" s="7"/>
      <c r="ATM30" s="7"/>
      <c r="ATN30" s="7"/>
      <c r="ATO30" s="7"/>
      <c r="ATP30" s="7"/>
      <c r="ATQ30" s="7"/>
      <c r="ATR30" s="7"/>
      <c r="ATS30" s="7"/>
      <c r="ATT30" s="7"/>
      <c r="ATU30" s="7"/>
      <c r="ATV30" s="7"/>
      <c r="ATW30" s="7"/>
      <c r="ATX30" s="7"/>
      <c r="ATY30" s="7"/>
      <c r="ATZ30" s="7"/>
      <c r="AUA30" s="7"/>
      <c r="AUB30" s="7"/>
      <c r="AUC30" s="7"/>
      <c r="AUD30" s="7"/>
      <c r="AUE30" s="7"/>
      <c r="AUF30" s="7"/>
      <c r="AUG30" s="7"/>
      <c r="AUH30" s="7"/>
      <c r="AUI30" s="7"/>
      <c r="AUJ30" s="7"/>
      <c r="AUK30" s="7"/>
      <c r="AUL30" s="7"/>
      <c r="AUM30" s="7"/>
      <c r="AUN30" s="7"/>
      <c r="AUO30" s="7"/>
      <c r="AUP30" s="7"/>
      <c r="AUQ30" s="7"/>
      <c r="AUR30" s="7"/>
      <c r="AUS30" s="7"/>
      <c r="AUT30" s="7"/>
      <c r="AUU30" s="7"/>
      <c r="AUV30" s="7"/>
      <c r="AUW30" s="7"/>
      <c r="AUX30" s="7"/>
      <c r="AUY30" s="7"/>
      <c r="AUZ30" s="7"/>
      <c r="AVA30" s="7"/>
      <c r="AVB30" s="7"/>
      <c r="AVC30" s="7"/>
      <c r="AVD30" s="7"/>
      <c r="AVE30" s="7"/>
      <c r="AVF30" s="7"/>
      <c r="AVG30" s="7"/>
      <c r="AVH30" s="7"/>
      <c r="AVI30" s="7"/>
      <c r="AVJ30" s="7"/>
      <c r="AVK30" s="7"/>
      <c r="AVL30" s="7"/>
      <c r="AVM30" s="7"/>
      <c r="AVN30" s="7"/>
      <c r="AVO30" s="7"/>
      <c r="AVP30" s="7"/>
      <c r="AVQ30" s="7"/>
      <c r="AVR30" s="7"/>
      <c r="AVS30" s="7"/>
      <c r="AVT30" s="7"/>
      <c r="AVU30" s="7"/>
      <c r="AVV30" s="7"/>
      <c r="AVW30" s="7"/>
      <c r="AVX30" s="7"/>
      <c r="AVY30" s="7"/>
      <c r="AVZ30" s="7"/>
      <c r="AWA30" s="7"/>
      <c r="AWB30" s="7"/>
      <c r="AWC30" s="7"/>
      <c r="AWD30" s="7"/>
      <c r="AWE30" s="7"/>
      <c r="AWF30" s="7"/>
      <c r="AWG30" s="7"/>
      <c r="AWH30" s="7"/>
      <c r="AWI30" s="7"/>
      <c r="AWJ30" s="7"/>
      <c r="AWK30" s="7"/>
      <c r="AWL30" s="7"/>
      <c r="AWM30" s="7"/>
      <c r="AWN30" s="7"/>
      <c r="AWO30" s="7"/>
      <c r="AWP30" s="7"/>
      <c r="AWQ30" s="7"/>
      <c r="AWR30" s="7"/>
      <c r="AWS30" s="7"/>
      <c r="AWT30" s="7"/>
      <c r="AWU30" s="7"/>
      <c r="AWV30" s="7"/>
      <c r="AWW30" s="7"/>
      <c r="AWX30" s="7"/>
      <c r="AWY30" s="7"/>
      <c r="AWZ30" s="7"/>
      <c r="AXA30" s="7"/>
      <c r="AXB30" s="7"/>
      <c r="AXC30" s="7"/>
      <c r="AXD30" s="7"/>
      <c r="AXE30" s="7"/>
      <c r="AXF30" s="7"/>
      <c r="AXG30" s="7"/>
      <c r="AXH30" s="7"/>
      <c r="AXI30" s="7"/>
      <c r="AXJ30" s="7"/>
      <c r="AXK30" s="7"/>
      <c r="AXL30" s="7"/>
      <c r="AXM30" s="7"/>
      <c r="AXN30" s="7"/>
      <c r="AXO30" s="7"/>
      <c r="AXP30" s="7"/>
      <c r="AXQ30" s="7"/>
      <c r="AXR30" s="7"/>
      <c r="AXS30" s="7"/>
      <c r="AXT30" s="7"/>
      <c r="AXU30" s="7"/>
      <c r="AXV30" s="7"/>
      <c r="AXW30" s="7"/>
      <c r="AXX30" s="7"/>
      <c r="AXY30" s="7"/>
      <c r="AXZ30" s="7"/>
      <c r="AYA30" s="7"/>
      <c r="AYB30" s="7"/>
      <c r="AYC30" s="7"/>
      <c r="AYD30" s="7"/>
      <c r="AYE30" s="7"/>
      <c r="AYF30" s="7"/>
      <c r="AYG30" s="7"/>
      <c r="AYH30" s="7"/>
      <c r="AYI30" s="7"/>
      <c r="AYJ30" s="7"/>
      <c r="AYK30" s="7"/>
      <c r="AYL30" s="7"/>
      <c r="AYM30" s="7"/>
      <c r="AYN30" s="7"/>
      <c r="AYO30" s="7"/>
      <c r="AYP30" s="7"/>
      <c r="AYQ30" s="7"/>
      <c r="AYR30" s="7"/>
      <c r="AYS30" s="7"/>
      <c r="AYT30" s="7"/>
      <c r="AYU30" s="7"/>
      <c r="AYV30" s="7"/>
      <c r="AYW30" s="7"/>
      <c r="AYX30" s="7"/>
      <c r="AYY30" s="7"/>
      <c r="AYZ30" s="7"/>
      <c r="AZA30" s="7"/>
      <c r="AZB30" s="7"/>
      <c r="AZC30" s="7"/>
      <c r="AZD30" s="7"/>
      <c r="AZE30" s="7"/>
      <c r="AZF30" s="7"/>
      <c r="AZG30" s="7"/>
      <c r="AZH30" s="7"/>
      <c r="AZI30" s="7"/>
      <c r="AZJ30" s="7"/>
      <c r="AZK30" s="7"/>
      <c r="AZL30" s="7"/>
      <c r="AZM30" s="7"/>
      <c r="AZN30" s="7"/>
      <c r="AZO30" s="7"/>
      <c r="AZP30" s="7"/>
      <c r="AZQ30" s="7"/>
      <c r="AZR30" s="7"/>
      <c r="AZS30" s="7"/>
      <c r="AZT30" s="7"/>
      <c r="AZU30" s="7"/>
      <c r="AZV30" s="7"/>
      <c r="AZW30" s="7"/>
      <c r="AZX30" s="7"/>
      <c r="AZY30" s="7"/>
      <c r="AZZ30" s="7"/>
      <c r="BAA30" s="7"/>
      <c r="BAB30" s="7"/>
      <c r="BAC30" s="7"/>
      <c r="BAD30" s="7"/>
      <c r="BAE30" s="7"/>
      <c r="BAF30" s="7"/>
      <c r="BAG30" s="7"/>
      <c r="BAH30" s="7"/>
      <c r="BAI30" s="7"/>
      <c r="BAJ30" s="7"/>
      <c r="BAK30" s="7"/>
      <c r="BAL30" s="7"/>
      <c r="BAM30" s="7"/>
      <c r="BAN30" s="7"/>
      <c r="BAO30" s="7"/>
      <c r="BAP30" s="7"/>
      <c r="BAQ30" s="7"/>
      <c r="BAR30" s="7"/>
      <c r="BAS30" s="7"/>
      <c r="BAT30" s="7"/>
      <c r="BAU30" s="7"/>
      <c r="BAV30" s="7"/>
      <c r="BAW30" s="7"/>
      <c r="BAX30" s="7"/>
      <c r="BAY30" s="7"/>
      <c r="BAZ30" s="7"/>
      <c r="BBA30" s="7"/>
      <c r="BBB30" s="7"/>
      <c r="BBC30" s="7"/>
      <c r="BBD30" s="7"/>
      <c r="BBE30" s="7"/>
      <c r="BBF30" s="7"/>
      <c r="BBG30" s="7"/>
      <c r="BBH30" s="7"/>
      <c r="BBI30" s="7"/>
      <c r="BBJ30" s="7"/>
      <c r="BBK30" s="7"/>
      <c r="BBL30" s="7"/>
      <c r="BBM30" s="7"/>
      <c r="BBN30" s="7"/>
      <c r="BBO30" s="7"/>
      <c r="BBP30" s="7"/>
      <c r="BBQ30" s="7"/>
      <c r="BBR30" s="7"/>
      <c r="BBS30" s="7"/>
      <c r="BBT30" s="7"/>
      <c r="BBU30" s="7"/>
      <c r="BBV30" s="7"/>
      <c r="BBW30" s="7"/>
      <c r="BBX30" s="7"/>
      <c r="BBY30" s="7"/>
      <c r="BBZ30" s="7"/>
      <c r="BCA30" s="7"/>
      <c r="BCB30" s="7"/>
      <c r="BCC30" s="7"/>
      <c r="BCD30" s="7"/>
      <c r="BCE30" s="7"/>
      <c r="BCF30" s="7"/>
      <c r="BCG30" s="7"/>
      <c r="BCH30" s="7"/>
      <c r="BCI30" s="7"/>
      <c r="BCJ30" s="7"/>
      <c r="BCK30" s="7"/>
      <c r="BCL30" s="7"/>
      <c r="BCM30" s="7"/>
      <c r="BCN30" s="7"/>
      <c r="BCO30" s="7"/>
      <c r="BCP30" s="7"/>
      <c r="BCQ30" s="7"/>
      <c r="BCR30" s="7"/>
      <c r="BCS30" s="7"/>
      <c r="BCT30" s="7"/>
      <c r="BCU30" s="7"/>
      <c r="BCV30" s="7"/>
      <c r="BCW30" s="7"/>
      <c r="BCX30" s="7"/>
      <c r="BCY30" s="7"/>
      <c r="BCZ30" s="7"/>
      <c r="BDA30" s="7"/>
      <c r="BDB30" s="7"/>
      <c r="BDC30" s="7"/>
      <c r="BDD30" s="7"/>
      <c r="BDE30" s="7"/>
      <c r="BDF30" s="7"/>
      <c r="BDG30" s="7"/>
      <c r="BDH30" s="7"/>
      <c r="BDI30" s="7"/>
      <c r="BDJ30" s="7"/>
      <c r="BDK30" s="7"/>
      <c r="BDL30" s="7"/>
      <c r="BDM30" s="7"/>
      <c r="BDN30" s="7"/>
      <c r="BDO30" s="7"/>
      <c r="BDP30" s="7"/>
      <c r="BDQ30" s="7"/>
      <c r="BDR30" s="7"/>
      <c r="BDS30" s="7"/>
      <c r="BDT30" s="7"/>
      <c r="BDU30" s="7"/>
      <c r="BDV30" s="7"/>
      <c r="BDW30" s="7"/>
      <c r="BDX30" s="7"/>
      <c r="BDY30" s="7"/>
      <c r="BDZ30" s="7"/>
      <c r="BEA30" s="7"/>
      <c r="BEB30" s="7"/>
      <c r="BEC30" s="7"/>
      <c r="BED30" s="7"/>
      <c r="BEE30" s="7"/>
      <c r="BEF30" s="7"/>
      <c r="BEG30" s="7"/>
      <c r="BEH30" s="7"/>
      <c r="BEI30" s="7"/>
      <c r="BEJ30" s="7"/>
      <c r="BEK30" s="7"/>
      <c r="BEL30" s="7"/>
      <c r="BEM30" s="7"/>
      <c r="BEN30" s="7"/>
      <c r="BEO30" s="7"/>
      <c r="BEP30" s="7"/>
      <c r="BEQ30" s="7"/>
      <c r="BER30" s="7"/>
      <c r="BES30" s="7"/>
      <c r="BET30" s="7"/>
      <c r="BEU30" s="7"/>
      <c r="BEV30" s="7"/>
      <c r="BEW30" s="7"/>
      <c r="BEX30" s="7"/>
      <c r="BEY30" s="7"/>
      <c r="BEZ30" s="7"/>
      <c r="BFA30" s="7"/>
      <c r="BFB30" s="7"/>
      <c r="BFC30" s="7"/>
      <c r="BFD30" s="7"/>
      <c r="BFE30" s="7"/>
      <c r="BFF30" s="7"/>
      <c r="BFG30" s="7"/>
      <c r="BFH30" s="7"/>
      <c r="BFI30" s="7"/>
      <c r="BFJ30" s="7"/>
      <c r="BFK30" s="7"/>
      <c r="BFL30" s="7"/>
      <c r="BFM30" s="7"/>
      <c r="BFN30" s="7"/>
      <c r="BFO30" s="7"/>
      <c r="BFP30" s="7"/>
      <c r="BFQ30" s="7"/>
      <c r="BFR30" s="7"/>
      <c r="BFS30" s="7"/>
      <c r="BFT30" s="7"/>
      <c r="BFU30" s="7"/>
      <c r="BFV30" s="7"/>
      <c r="BFW30" s="7"/>
      <c r="BFX30" s="7"/>
      <c r="BFY30" s="7"/>
      <c r="BFZ30" s="7"/>
      <c r="BGA30" s="7"/>
      <c r="BGB30" s="7"/>
      <c r="BGC30" s="7"/>
      <c r="BGD30" s="7"/>
      <c r="BGE30" s="7"/>
      <c r="BGF30" s="7"/>
      <c r="BGG30" s="7"/>
      <c r="BGH30" s="7"/>
      <c r="BGI30" s="7"/>
      <c r="BGJ30" s="7"/>
      <c r="BGK30" s="7"/>
      <c r="BGL30" s="7"/>
      <c r="BGM30" s="7"/>
      <c r="BGN30" s="7"/>
      <c r="BGO30" s="7"/>
      <c r="BGP30" s="7"/>
      <c r="BGQ30" s="7"/>
      <c r="BGR30" s="7"/>
      <c r="BGS30" s="7"/>
      <c r="BGT30" s="7"/>
      <c r="BGU30" s="7"/>
      <c r="BGV30" s="7"/>
      <c r="BGW30" s="7"/>
      <c r="BGX30" s="7"/>
      <c r="BGY30" s="7"/>
      <c r="BGZ30" s="7"/>
      <c r="BHA30" s="7"/>
      <c r="BHB30" s="7"/>
      <c r="BHC30" s="7"/>
      <c r="BHD30" s="7"/>
      <c r="BHE30" s="7"/>
      <c r="BHF30" s="7"/>
      <c r="BHG30" s="7"/>
      <c r="BHH30" s="7"/>
      <c r="BHI30" s="7"/>
      <c r="BHJ30" s="7"/>
      <c r="BHK30" s="7"/>
      <c r="BHL30" s="7"/>
      <c r="BHM30" s="7"/>
      <c r="BHN30" s="7"/>
      <c r="BHO30" s="7"/>
      <c r="BHP30" s="7"/>
      <c r="BHQ30" s="7"/>
      <c r="BHR30" s="7"/>
      <c r="BHS30" s="7"/>
      <c r="BHT30" s="7"/>
      <c r="BHU30" s="7"/>
      <c r="BHV30" s="7"/>
      <c r="BHW30" s="7"/>
      <c r="BHX30" s="7"/>
      <c r="BHY30" s="7"/>
      <c r="BHZ30" s="7"/>
      <c r="BIA30" s="7"/>
      <c r="BIB30" s="7"/>
      <c r="BIC30" s="7"/>
      <c r="BID30" s="7"/>
      <c r="BIE30" s="7"/>
      <c r="BIF30" s="7"/>
      <c r="BIG30" s="7"/>
      <c r="BIH30" s="7"/>
      <c r="BII30" s="7"/>
      <c r="BIJ30" s="7"/>
      <c r="BIK30" s="7"/>
      <c r="BIL30" s="7"/>
      <c r="BIM30" s="7"/>
      <c r="BIN30" s="7"/>
      <c r="BIO30" s="7"/>
      <c r="BIP30" s="7"/>
      <c r="BIQ30" s="7"/>
      <c r="BIR30" s="7"/>
      <c r="BIS30" s="7"/>
      <c r="BIT30" s="7"/>
      <c r="BIU30" s="7"/>
      <c r="BIV30" s="7"/>
      <c r="BIW30" s="7"/>
      <c r="BIX30" s="7"/>
      <c r="BIY30" s="7"/>
      <c r="BIZ30" s="7"/>
      <c r="BJA30" s="7"/>
      <c r="BJB30" s="7"/>
      <c r="BJC30" s="7"/>
      <c r="BJD30" s="7"/>
      <c r="BJE30" s="7"/>
      <c r="BJF30" s="7"/>
      <c r="BJG30" s="7"/>
      <c r="BJH30" s="7"/>
      <c r="BJI30" s="7"/>
      <c r="BJJ30" s="7"/>
      <c r="BJK30" s="7"/>
      <c r="BJL30" s="7"/>
      <c r="BJM30" s="7"/>
      <c r="BJN30" s="7"/>
      <c r="BJO30" s="7"/>
      <c r="BJP30" s="7"/>
      <c r="BJQ30" s="7"/>
      <c r="BJR30" s="7"/>
      <c r="BJS30" s="7"/>
      <c r="BJT30" s="7"/>
      <c r="BJU30" s="7"/>
      <c r="BJV30" s="7"/>
      <c r="BJW30" s="7"/>
      <c r="BJX30" s="7"/>
      <c r="BJY30" s="7"/>
      <c r="BJZ30" s="7"/>
      <c r="BKA30" s="7"/>
      <c r="BKB30" s="7"/>
      <c r="BKC30" s="7"/>
      <c r="BKD30" s="7"/>
      <c r="BKE30" s="7"/>
      <c r="BKF30" s="7"/>
      <c r="BKG30" s="7"/>
      <c r="BKH30" s="7"/>
      <c r="BKI30" s="7"/>
      <c r="BKJ30" s="7"/>
      <c r="BKK30" s="7"/>
      <c r="BKL30" s="7"/>
      <c r="BKM30" s="7"/>
      <c r="BKN30" s="7"/>
      <c r="BKO30" s="7"/>
      <c r="BKP30" s="7"/>
      <c r="BKQ30" s="7"/>
      <c r="BKR30" s="7"/>
      <c r="BKS30" s="7"/>
      <c r="BKT30" s="7"/>
      <c r="BKU30" s="7"/>
      <c r="BKV30" s="7"/>
      <c r="BKW30" s="7"/>
      <c r="BKX30" s="7"/>
      <c r="BKY30" s="7"/>
      <c r="BKZ30" s="7"/>
      <c r="BLA30" s="7"/>
      <c r="BLB30" s="7"/>
      <c r="BLC30" s="7"/>
      <c r="BLD30" s="7"/>
      <c r="BLE30" s="7"/>
      <c r="BLF30" s="7"/>
      <c r="BLG30" s="7"/>
      <c r="BLH30" s="7"/>
      <c r="BLI30" s="7"/>
      <c r="BLJ30" s="7"/>
      <c r="BLK30" s="7"/>
      <c r="BLL30" s="7"/>
      <c r="BLM30" s="7"/>
      <c r="BLN30" s="7"/>
      <c r="BLO30" s="7"/>
      <c r="BLP30" s="7"/>
      <c r="BLQ30" s="7"/>
      <c r="BLR30" s="7"/>
      <c r="BLS30" s="7"/>
      <c r="BLT30" s="7"/>
      <c r="BLU30" s="7"/>
      <c r="BLV30" s="7"/>
      <c r="BLW30" s="7"/>
      <c r="BLX30" s="7"/>
      <c r="BLY30" s="7"/>
      <c r="BLZ30" s="7"/>
      <c r="BMA30" s="7"/>
      <c r="BMB30" s="7"/>
      <c r="BMC30" s="7"/>
      <c r="BMD30" s="7"/>
      <c r="BME30" s="7"/>
      <c r="BMF30" s="7"/>
      <c r="BMG30" s="7"/>
      <c r="BMH30" s="7"/>
      <c r="BMI30" s="7"/>
      <c r="BMJ30" s="7"/>
      <c r="BMK30" s="7"/>
      <c r="BML30" s="7"/>
      <c r="BMM30" s="7"/>
      <c r="BMN30" s="7"/>
      <c r="BMO30" s="7"/>
      <c r="BMP30" s="7"/>
      <c r="BMQ30" s="7"/>
      <c r="BMR30" s="7"/>
      <c r="BMS30" s="7"/>
      <c r="BMT30" s="7"/>
      <c r="BMU30" s="7"/>
      <c r="BMV30" s="7"/>
      <c r="BMW30" s="7"/>
      <c r="BMX30" s="7"/>
      <c r="BMY30" s="7"/>
      <c r="BMZ30" s="7"/>
      <c r="BNA30" s="7"/>
      <c r="BNB30" s="7"/>
      <c r="BNC30" s="7"/>
      <c r="BND30" s="7"/>
      <c r="BNE30" s="7"/>
      <c r="BNF30" s="7"/>
      <c r="BNG30" s="7"/>
      <c r="BNH30" s="7"/>
      <c r="BNI30" s="7"/>
      <c r="BNJ30" s="7"/>
      <c r="BNK30" s="7"/>
      <c r="BNL30" s="7"/>
      <c r="BNM30" s="7"/>
      <c r="BNN30" s="7"/>
      <c r="BNO30" s="7"/>
      <c r="BNP30" s="7"/>
      <c r="BNQ30" s="7"/>
      <c r="BNR30" s="7"/>
      <c r="BNS30" s="7"/>
      <c r="BNT30" s="7"/>
      <c r="BNU30" s="7"/>
      <c r="BNV30" s="7"/>
      <c r="BNW30" s="7"/>
      <c r="BNX30" s="7"/>
      <c r="BNY30" s="7"/>
      <c r="BNZ30" s="7"/>
      <c r="BOA30" s="7"/>
      <c r="BOB30" s="7"/>
      <c r="BOC30" s="7"/>
      <c r="BOD30" s="7"/>
      <c r="BOE30" s="7"/>
      <c r="BOF30" s="7"/>
      <c r="BOG30" s="7"/>
      <c r="BOH30" s="7"/>
      <c r="BOI30" s="7"/>
      <c r="BOJ30" s="7"/>
      <c r="BOK30" s="7"/>
      <c r="BOL30" s="7"/>
      <c r="BOM30" s="7"/>
      <c r="BON30" s="7"/>
      <c r="BOO30" s="7"/>
      <c r="BOP30" s="7"/>
      <c r="BOQ30" s="7"/>
      <c r="BOR30" s="7"/>
      <c r="BOS30" s="7"/>
      <c r="BOT30" s="7"/>
      <c r="BOU30" s="7"/>
      <c r="BOV30" s="7"/>
      <c r="BOW30" s="7"/>
      <c r="BOX30" s="7"/>
      <c r="BOY30" s="7"/>
      <c r="BOZ30" s="7"/>
      <c r="BPA30" s="7"/>
      <c r="BPB30" s="7"/>
      <c r="BPC30" s="7"/>
      <c r="BPD30" s="7"/>
      <c r="BPE30" s="7"/>
      <c r="BPF30" s="7"/>
      <c r="BPG30" s="7"/>
      <c r="BPH30" s="7"/>
      <c r="BPI30" s="7"/>
      <c r="BPJ30" s="7"/>
      <c r="BPK30" s="7"/>
      <c r="BPL30" s="7"/>
      <c r="BPM30" s="7"/>
      <c r="BPN30" s="7"/>
      <c r="BPO30" s="7"/>
      <c r="BPP30" s="7"/>
      <c r="BPQ30" s="7"/>
      <c r="BPR30" s="7"/>
      <c r="BPS30" s="7"/>
      <c r="BPT30" s="7"/>
      <c r="BPU30" s="7"/>
      <c r="BPV30" s="7"/>
      <c r="BPW30" s="7"/>
      <c r="BPX30" s="7"/>
      <c r="BPY30" s="7"/>
      <c r="BPZ30" s="7"/>
      <c r="BQA30" s="7"/>
      <c r="BQB30" s="7"/>
      <c r="BQC30" s="7"/>
      <c r="BQD30" s="7"/>
      <c r="BQE30" s="7"/>
      <c r="BQF30" s="7"/>
      <c r="BQG30" s="7"/>
      <c r="BQH30" s="7"/>
      <c r="BQI30" s="7"/>
      <c r="BQJ30" s="7"/>
      <c r="BQK30" s="7"/>
      <c r="BQL30" s="7"/>
      <c r="BQM30" s="7"/>
      <c r="BQN30" s="7"/>
      <c r="BQO30" s="7"/>
      <c r="BQP30" s="7"/>
      <c r="BQQ30" s="7"/>
      <c r="BQR30" s="7"/>
      <c r="BQS30" s="7"/>
      <c r="BQT30" s="7"/>
      <c r="BQU30" s="7"/>
      <c r="BQV30" s="7"/>
      <c r="BQW30" s="7"/>
      <c r="BQX30" s="7"/>
      <c r="BQY30" s="7"/>
      <c r="BQZ30" s="7"/>
      <c r="BRA30" s="7"/>
      <c r="BRB30" s="7"/>
      <c r="BRC30" s="7"/>
      <c r="BRD30" s="7"/>
      <c r="BRE30" s="7"/>
      <c r="BRF30" s="7"/>
      <c r="BRG30" s="7"/>
      <c r="BRH30" s="7"/>
      <c r="BRI30" s="7"/>
      <c r="BRJ30" s="7"/>
      <c r="BRK30" s="7"/>
      <c r="BRL30" s="7"/>
      <c r="BRM30" s="7"/>
      <c r="BRN30" s="7"/>
      <c r="BRO30" s="7"/>
      <c r="BRP30" s="7"/>
      <c r="BRQ30" s="7"/>
      <c r="BRR30" s="7"/>
      <c r="BRS30" s="7"/>
      <c r="BRT30" s="7"/>
      <c r="BRU30" s="7"/>
      <c r="BRV30" s="7"/>
      <c r="BRW30" s="7"/>
      <c r="BRX30" s="7"/>
      <c r="BRY30" s="7"/>
      <c r="BRZ30" s="7"/>
      <c r="BSA30" s="7"/>
      <c r="BSB30" s="7"/>
      <c r="BSC30" s="7"/>
      <c r="BSD30" s="7"/>
      <c r="BSE30" s="7"/>
      <c r="BSF30" s="7"/>
      <c r="BSG30" s="7"/>
      <c r="BSH30" s="7"/>
      <c r="BSI30" s="7"/>
      <c r="BSJ30" s="7"/>
      <c r="BSK30" s="7"/>
      <c r="BSL30" s="7"/>
      <c r="BSM30" s="7"/>
      <c r="BSN30" s="7"/>
      <c r="BSO30" s="7"/>
      <c r="BSP30" s="7"/>
      <c r="BSQ30" s="7"/>
      <c r="BSR30" s="7"/>
      <c r="BSS30" s="7"/>
      <c r="BST30" s="7"/>
      <c r="BSU30" s="7"/>
      <c r="BSV30" s="7"/>
      <c r="BSW30" s="7"/>
      <c r="BSX30" s="7"/>
      <c r="BSY30" s="7"/>
      <c r="BSZ30" s="7"/>
      <c r="BTA30" s="7"/>
      <c r="BTB30" s="7"/>
      <c r="BTC30" s="7"/>
      <c r="BTD30" s="7"/>
      <c r="BTE30" s="7"/>
      <c r="BTF30" s="7"/>
      <c r="BTG30" s="7"/>
      <c r="BTH30" s="7"/>
      <c r="BTI30" s="7"/>
      <c r="BTJ30" s="7"/>
      <c r="BTK30" s="7"/>
      <c r="BTL30" s="7"/>
      <c r="BTM30" s="7"/>
      <c r="BTN30" s="7"/>
      <c r="BTO30" s="7"/>
      <c r="BTP30" s="7"/>
      <c r="BTQ30" s="7"/>
      <c r="BTR30" s="7"/>
      <c r="BTS30" s="7"/>
      <c r="BTT30" s="7"/>
      <c r="BTU30" s="7"/>
      <c r="BTV30" s="7"/>
      <c r="BTW30" s="7"/>
      <c r="BTX30" s="7"/>
      <c r="BTY30" s="7"/>
      <c r="BTZ30" s="7"/>
      <c r="BUA30" s="7"/>
      <c r="BUB30" s="7"/>
      <c r="BUC30" s="7"/>
      <c r="BUD30" s="7"/>
      <c r="BUE30" s="7"/>
      <c r="BUF30" s="7"/>
      <c r="BUG30" s="7"/>
      <c r="BUH30" s="7"/>
      <c r="BUI30" s="7"/>
      <c r="BUJ30" s="7"/>
      <c r="BUK30" s="7"/>
      <c r="BUL30" s="7"/>
      <c r="BUM30" s="7"/>
      <c r="BUN30" s="7"/>
      <c r="BUO30" s="7"/>
      <c r="BUP30" s="7"/>
      <c r="BUQ30" s="7"/>
      <c r="BUR30" s="7"/>
      <c r="BUS30" s="7"/>
      <c r="BUT30" s="7"/>
      <c r="BUU30" s="7"/>
      <c r="BUV30" s="7"/>
      <c r="BUW30" s="7"/>
      <c r="BUX30" s="7"/>
      <c r="BUY30" s="7"/>
      <c r="BUZ30" s="7"/>
      <c r="BVA30" s="7"/>
      <c r="BVB30" s="7"/>
      <c r="BVC30" s="7"/>
      <c r="BVD30" s="7"/>
      <c r="BVE30" s="7"/>
      <c r="BVF30" s="7"/>
      <c r="BVG30" s="7"/>
      <c r="BVH30" s="7"/>
      <c r="BVI30" s="7"/>
      <c r="BVJ30" s="7"/>
      <c r="BVK30" s="7"/>
      <c r="BVL30" s="7"/>
      <c r="BVM30" s="7"/>
      <c r="BVN30" s="7"/>
      <c r="BVO30" s="7"/>
      <c r="BVP30" s="7"/>
      <c r="BVQ30" s="7"/>
      <c r="BVR30" s="7"/>
      <c r="BVS30" s="7"/>
      <c r="BVT30" s="7"/>
      <c r="BVU30" s="7"/>
      <c r="BVV30" s="7"/>
      <c r="BVW30" s="7"/>
      <c r="BVX30" s="7"/>
      <c r="BVY30" s="7"/>
      <c r="BVZ30" s="7"/>
      <c r="BWA30" s="7"/>
      <c r="BWB30" s="7"/>
      <c r="BWC30" s="7"/>
      <c r="BWD30" s="7"/>
      <c r="BWE30" s="7"/>
      <c r="BWF30" s="7"/>
      <c r="BWG30" s="7"/>
      <c r="BWH30" s="7"/>
      <c r="BWI30" s="7"/>
      <c r="BWJ30" s="7"/>
      <c r="BWK30" s="7"/>
      <c r="BWL30" s="7"/>
      <c r="BWM30" s="7"/>
      <c r="BWN30" s="7"/>
      <c r="BWO30" s="7"/>
      <c r="BWP30" s="7"/>
      <c r="BWQ30" s="7"/>
      <c r="BWR30" s="7"/>
      <c r="BWS30" s="7"/>
      <c r="BWT30" s="7"/>
      <c r="BWU30" s="7"/>
      <c r="BWV30" s="7"/>
      <c r="BWW30" s="7"/>
      <c r="BWX30" s="7"/>
      <c r="BWY30" s="7"/>
      <c r="BWZ30" s="7"/>
      <c r="BXA30" s="7"/>
      <c r="BXB30" s="7"/>
      <c r="BXC30" s="7"/>
      <c r="BXD30" s="7"/>
      <c r="BXE30" s="7"/>
      <c r="BXF30" s="7"/>
      <c r="BXG30" s="7"/>
      <c r="BXH30" s="7"/>
      <c r="BXI30" s="7"/>
      <c r="BXJ30" s="7"/>
      <c r="BXK30" s="7"/>
      <c r="BXL30" s="7"/>
      <c r="BXM30" s="7"/>
      <c r="BXN30" s="7"/>
      <c r="BXO30" s="7"/>
      <c r="BXP30" s="7"/>
      <c r="BXQ30" s="7"/>
      <c r="BXR30" s="7"/>
      <c r="BXS30" s="7"/>
      <c r="BXT30" s="7"/>
      <c r="BXU30" s="7"/>
      <c r="BXV30" s="7"/>
      <c r="BXW30" s="7"/>
      <c r="BXX30" s="7"/>
      <c r="BXY30" s="7"/>
      <c r="BXZ30" s="7"/>
      <c r="BYA30" s="7"/>
      <c r="BYB30" s="7"/>
      <c r="BYC30" s="7"/>
      <c r="BYD30" s="7"/>
      <c r="BYE30" s="7"/>
      <c r="BYF30" s="7"/>
      <c r="BYG30" s="7"/>
      <c r="BYH30" s="7"/>
      <c r="BYI30" s="7"/>
      <c r="BYJ30" s="7"/>
      <c r="BYK30" s="7"/>
      <c r="BYL30" s="7"/>
      <c r="BYM30" s="7"/>
      <c r="BYN30" s="7"/>
      <c r="BYO30" s="7"/>
      <c r="BYP30" s="7"/>
      <c r="BYQ30" s="7"/>
      <c r="BYR30" s="7"/>
      <c r="BYS30" s="7"/>
      <c r="BYT30" s="7"/>
      <c r="BYU30" s="7"/>
      <c r="BYV30" s="7"/>
      <c r="BYW30" s="7"/>
      <c r="BYX30" s="7"/>
      <c r="BYY30" s="7"/>
      <c r="BYZ30" s="7"/>
      <c r="BZA30" s="7"/>
      <c r="BZB30" s="7"/>
      <c r="BZC30" s="7"/>
      <c r="BZD30" s="7"/>
      <c r="BZE30" s="7"/>
      <c r="BZF30" s="7"/>
      <c r="BZG30" s="7"/>
      <c r="BZH30" s="7"/>
      <c r="BZI30" s="7"/>
      <c r="BZJ30" s="7"/>
      <c r="BZK30" s="7"/>
      <c r="BZL30" s="7"/>
      <c r="BZM30" s="7"/>
      <c r="BZN30" s="7"/>
      <c r="BZO30" s="7"/>
      <c r="BZP30" s="7"/>
      <c r="BZQ30" s="7"/>
      <c r="BZR30" s="7"/>
      <c r="BZS30" s="7"/>
      <c r="BZT30" s="7"/>
      <c r="BZU30" s="7"/>
      <c r="BZV30" s="7"/>
      <c r="BZW30" s="7"/>
      <c r="BZX30" s="7"/>
      <c r="BZY30" s="7"/>
      <c r="BZZ30" s="7"/>
      <c r="CAA30" s="7"/>
      <c r="CAB30" s="7"/>
      <c r="CAC30" s="7"/>
      <c r="CAD30" s="7"/>
      <c r="CAE30" s="7"/>
      <c r="CAF30" s="7"/>
      <c r="CAG30" s="7"/>
      <c r="CAH30" s="7"/>
      <c r="CAI30" s="7"/>
      <c r="CAJ30" s="7"/>
      <c r="CAK30" s="7"/>
      <c r="CAL30" s="7"/>
      <c r="CAM30" s="7"/>
      <c r="CAN30" s="7"/>
      <c r="CAO30" s="7"/>
      <c r="CAP30" s="7"/>
      <c r="CAQ30" s="7"/>
      <c r="CAR30" s="7"/>
      <c r="CAS30" s="7"/>
      <c r="CAT30" s="7"/>
      <c r="CAU30" s="7"/>
      <c r="CAV30" s="7"/>
      <c r="CAW30" s="7"/>
      <c r="CAX30" s="7"/>
      <c r="CAY30" s="7"/>
      <c r="CAZ30" s="7"/>
      <c r="CBA30" s="7"/>
      <c r="CBB30" s="7"/>
      <c r="CBC30" s="7"/>
      <c r="CBD30" s="7"/>
      <c r="CBE30" s="7"/>
      <c r="CBF30" s="7"/>
      <c r="CBG30" s="7"/>
      <c r="CBH30" s="7"/>
      <c r="CBI30" s="7"/>
      <c r="CBJ30" s="7"/>
      <c r="CBK30" s="7"/>
      <c r="CBL30" s="7"/>
      <c r="CBM30" s="7"/>
      <c r="CBN30" s="7"/>
      <c r="CBO30" s="7"/>
      <c r="CBP30" s="7"/>
      <c r="CBQ30" s="7"/>
      <c r="CBR30" s="7"/>
      <c r="CBS30" s="7"/>
      <c r="CBT30" s="7"/>
      <c r="CBU30" s="7"/>
      <c r="CBV30" s="7"/>
      <c r="CBW30" s="7"/>
      <c r="CBX30" s="7"/>
      <c r="CBY30" s="7"/>
      <c r="CBZ30" s="7"/>
      <c r="CCA30" s="7"/>
      <c r="CCB30" s="7"/>
      <c r="CCC30" s="7"/>
      <c r="CCD30" s="7"/>
      <c r="CCE30" s="7"/>
      <c r="CCF30" s="7"/>
      <c r="CCG30" s="7"/>
      <c r="CCH30" s="7"/>
      <c r="CCI30" s="7"/>
      <c r="CCJ30" s="7"/>
      <c r="CCK30" s="7"/>
      <c r="CCL30" s="7"/>
      <c r="CCM30" s="7"/>
      <c r="CCN30" s="7"/>
      <c r="CCO30" s="7"/>
      <c r="CCP30" s="7"/>
      <c r="CCQ30" s="7"/>
      <c r="CCR30" s="7"/>
      <c r="CCS30" s="7"/>
      <c r="CCT30" s="7"/>
      <c r="CCU30" s="7"/>
      <c r="CCV30" s="7"/>
      <c r="CCW30" s="7"/>
      <c r="CCX30" s="7"/>
      <c r="CCY30" s="7"/>
      <c r="CCZ30" s="7"/>
      <c r="CDA30" s="7"/>
      <c r="CDB30" s="7"/>
      <c r="CDC30" s="7"/>
      <c r="CDD30" s="7"/>
      <c r="CDE30" s="7"/>
      <c r="CDF30" s="7"/>
      <c r="CDG30" s="7"/>
      <c r="CDH30" s="7"/>
      <c r="CDI30" s="7"/>
      <c r="CDJ30" s="7"/>
      <c r="CDK30" s="7"/>
      <c r="CDL30" s="7"/>
      <c r="CDM30" s="7"/>
      <c r="CDN30" s="7"/>
      <c r="CDO30" s="7"/>
      <c r="CDP30" s="7"/>
      <c r="CDQ30" s="7"/>
      <c r="CDR30" s="7"/>
      <c r="CDS30" s="7"/>
      <c r="CDT30" s="7"/>
      <c r="CDU30" s="7"/>
      <c r="CDV30" s="7"/>
      <c r="CDW30" s="7"/>
      <c r="CDX30" s="7"/>
      <c r="CDY30" s="7"/>
      <c r="CDZ30" s="7"/>
      <c r="CEA30" s="7"/>
      <c r="CEB30" s="7"/>
      <c r="CEC30" s="7"/>
      <c r="CED30" s="7"/>
      <c r="CEE30" s="7"/>
      <c r="CEF30" s="7"/>
      <c r="CEG30" s="7"/>
      <c r="CEH30" s="7"/>
      <c r="CEI30" s="7"/>
      <c r="CEJ30" s="7"/>
      <c r="CEK30" s="7"/>
      <c r="CEL30" s="7"/>
      <c r="CEM30" s="7"/>
      <c r="CEN30" s="7"/>
      <c r="CEO30" s="7"/>
      <c r="CEP30" s="7"/>
      <c r="CEQ30" s="7"/>
      <c r="CER30" s="7"/>
      <c r="CES30" s="7"/>
      <c r="CET30" s="7"/>
      <c r="CEU30" s="7"/>
      <c r="CEV30" s="7"/>
      <c r="CEW30" s="7"/>
      <c r="CEX30" s="7"/>
      <c r="CEY30" s="7"/>
      <c r="CEZ30" s="7"/>
      <c r="CFA30" s="7"/>
      <c r="CFB30" s="7"/>
      <c r="CFC30" s="7"/>
      <c r="CFD30" s="7"/>
      <c r="CFE30" s="7"/>
      <c r="CFF30" s="7"/>
      <c r="CFG30" s="7"/>
      <c r="CFH30" s="7"/>
      <c r="CFI30" s="7"/>
      <c r="CFJ30" s="7"/>
      <c r="CFK30" s="7"/>
      <c r="CFL30" s="7"/>
      <c r="CFM30" s="7"/>
      <c r="CFN30" s="7"/>
      <c r="CFO30" s="7"/>
      <c r="CFP30" s="7"/>
      <c r="CFQ30" s="7"/>
      <c r="CFR30" s="7"/>
      <c r="CFS30" s="7"/>
      <c r="CFT30" s="7"/>
      <c r="CFU30" s="7"/>
      <c r="CFV30" s="7"/>
      <c r="CFW30" s="7"/>
      <c r="CFX30" s="7"/>
      <c r="CFY30" s="7"/>
      <c r="CFZ30" s="7"/>
      <c r="CGA30" s="7"/>
      <c r="CGB30" s="7"/>
      <c r="CGC30" s="7"/>
      <c r="CGD30" s="7"/>
      <c r="CGE30" s="7"/>
      <c r="CGF30" s="7"/>
      <c r="CGG30" s="7"/>
      <c r="CGH30" s="7"/>
      <c r="CGI30" s="7"/>
      <c r="CGJ30" s="7"/>
      <c r="CGK30" s="7"/>
      <c r="CGL30" s="7"/>
      <c r="CGM30" s="7"/>
      <c r="CGN30" s="7"/>
      <c r="CGO30" s="7"/>
      <c r="CGP30" s="7"/>
      <c r="CGQ30" s="7"/>
      <c r="CGR30" s="7"/>
      <c r="CGS30" s="7"/>
      <c r="CGT30" s="7"/>
      <c r="CGU30" s="7"/>
      <c r="CGV30" s="7"/>
      <c r="CGW30" s="7"/>
      <c r="CGX30" s="7"/>
      <c r="CGY30" s="7"/>
      <c r="CGZ30" s="7"/>
      <c r="CHA30" s="7"/>
      <c r="CHB30" s="7"/>
      <c r="CHC30" s="7"/>
      <c r="CHD30" s="7"/>
      <c r="CHE30" s="7"/>
      <c r="CHF30" s="7"/>
      <c r="CHG30" s="7"/>
      <c r="CHH30" s="7"/>
      <c r="CHI30" s="7"/>
      <c r="CHJ30" s="7"/>
      <c r="CHK30" s="7"/>
      <c r="CHL30" s="7"/>
      <c r="CHM30" s="7"/>
      <c r="CHN30" s="7"/>
      <c r="CHO30" s="7"/>
      <c r="CHP30" s="7"/>
      <c r="CHQ30" s="7"/>
      <c r="CHR30" s="7"/>
      <c r="CHS30" s="7"/>
      <c r="CHT30" s="7"/>
      <c r="CHU30" s="7"/>
      <c r="CHV30" s="7"/>
      <c r="CHW30" s="7"/>
      <c r="CHX30" s="7"/>
      <c r="CHY30" s="7"/>
      <c r="CHZ30" s="7"/>
      <c r="CIA30" s="7"/>
      <c r="CIB30" s="7"/>
      <c r="CIC30" s="7"/>
      <c r="CID30" s="7"/>
      <c r="CIE30" s="7"/>
      <c r="CIF30" s="7"/>
      <c r="CIG30" s="7"/>
      <c r="CIH30" s="7"/>
      <c r="CII30" s="7"/>
      <c r="CIJ30" s="7"/>
      <c r="CIK30" s="7"/>
      <c r="CIL30" s="7"/>
      <c r="CIM30" s="7"/>
      <c r="CIN30" s="7"/>
      <c r="CIO30" s="7"/>
      <c r="CIP30" s="7"/>
      <c r="CIQ30" s="7"/>
      <c r="CIR30" s="7"/>
      <c r="CIS30" s="7"/>
      <c r="CIT30" s="7"/>
      <c r="CIU30" s="7"/>
      <c r="CIV30" s="7"/>
      <c r="CIW30" s="7"/>
      <c r="CIX30" s="7"/>
      <c r="CIY30" s="7"/>
      <c r="CIZ30" s="7"/>
      <c r="CJA30" s="7"/>
      <c r="CJB30" s="7"/>
      <c r="CJC30" s="7"/>
      <c r="CJD30" s="7"/>
      <c r="CJE30" s="7"/>
      <c r="CJF30" s="7"/>
      <c r="CJG30" s="7"/>
      <c r="CJH30" s="7"/>
      <c r="CJI30" s="7"/>
      <c r="CJJ30" s="7"/>
      <c r="CJK30" s="7"/>
      <c r="CJL30" s="7"/>
      <c r="CJM30" s="7"/>
      <c r="CJN30" s="7"/>
      <c r="CJO30" s="7"/>
      <c r="CJP30" s="7"/>
      <c r="CJQ30" s="7"/>
      <c r="CJR30" s="7"/>
      <c r="CJS30" s="7"/>
      <c r="CJT30" s="7"/>
      <c r="CJU30" s="7"/>
      <c r="CJV30" s="7"/>
      <c r="CJW30" s="7"/>
      <c r="CJX30" s="7"/>
      <c r="CJY30" s="7"/>
      <c r="CJZ30" s="7"/>
      <c r="CKA30" s="7"/>
      <c r="CKB30" s="7"/>
      <c r="CKC30" s="7"/>
      <c r="CKD30" s="7"/>
      <c r="CKE30" s="7"/>
      <c r="CKF30" s="7"/>
      <c r="CKG30" s="7"/>
      <c r="CKH30" s="7"/>
      <c r="CKI30" s="7"/>
      <c r="CKJ30" s="7"/>
      <c r="CKK30" s="7"/>
      <c r="CKL30" s="7"/>
      <c r="CKM30" s="7"/>
      <c r="CKN30" s="7"/>
      <c r="CKO30" s="7"/>
      <c r="CKP30" s="7"/>
      <c r="CKQ30" s="7"/>
      <c r="CKR30" s="7"/>
      <c r="CKS30" s="7"/>
      <c r="CKT30" s="7"/>
      <c r="CKU30" s="7"/>
      <c r="CKV30" s="7"/>
      <c r="CKW30" s="7"/>
      <c r="CKX30" s="7"/>
      <c r="CKY30" s="7"/>
      <c r="CKZ30" s="7"/>
      <c r="CLA30" s="7"/>
      <c r="CLB30" s="7"/>
      <c r="CLC30" s="7"/>
      <c r="CLD30" s="7"/>
      <c r="CLE30" s="7"/>
      <c r="CLF30" s="7"/>
      <c r="CLG30" s="7"/>
      <c r="CLH30" s="7"/>
      <c r="CLI30" s="7"/>
      <c r="CLJ30" s="7"/>
      <c r="CLK30" s="7"/>
      <c r="CLL30" s="7"/>
      <c r="CLM30" s="7"/>
      <c r="CLN30" s="7"/>
      <c r="CLO30" s="7"/>
      <c r="CLP30" s="7"/>
      <c r="CLQ30" s="7"/>
      <c r="CLR30" s="7"/>
      <c r="CLS30" s="7"/>
      <c r="CLT30" s="7"/>
      <c r="CLU30" s="7"/>
      <c r="CLV30" s="7"/>
      <c r="CLW30" s="7"/>
      <c r="CLX30" s="7"/>
      <c r="CLY30" s="7"/>
      <c r="CLZ30" s="7"/>
      <c r="CMA30" s="7"/>
      <c r="CMB30" s="7"/>
      <c r="CMC30" s="7"/>
      <c r="CMD30" s="7"/>
      <c r="CME30" s="7"/>
      <c r="CMF30" s="7"/>
      <c r="CMG30" s="7"/>
      <c r="CMH30" s="7"/>
      <c r="CMI30" s="7"/>
      <c r="CMJ30" s="7"/>
      <c r="CMK30" s="7"/>
      <c r="CML30" s="7"/>
      <c r="CMM30" s="7"/>
      <c r="CMN30" s="7"/>
      <c r="CMO30" s="7"/>
      <c r="CMP30" s="7"/>
      <c r="CMQ30" s="7"/>
      <c r="CMR30" s="7"/>
      <c r="CMS30" s="7"/>
      <c r="CMT30" s="7"/>
      <c r="CMU30" s="7"/>
      <c r="CMV30" s="7"/>
      <c r="CMW30" s="7"/>
      <c r="CMX30" s="7"/>
      <c r="CMY30" s="7"/>
      <c r="CMZ30" s="7"/>
      <c r="CNA30" s="7"/>
      <c r="CNB30" s="7"/>
      <c r="CNC30" s="7"/>
      <c r="CND30" s="7"/>
      <c r="CNE30" s="7"/>
      <c r="CNF30" s="7"/>
      <c r="CNG30" s="7"/>
      <c r="CNH30" s="7"/>
      <c r="CNI30" s="7"/>
      <c r="CNJ30" s="7"/>
      <c r="CNK30" s="7"/>
      <c r="CNL30" s="7"/>
      <c r="CNM30" s="7"/>
      <c r="CNN30" s="7"/>
      <c r="CNO30" s="7"/>
      <c r="CNP30" s="7"/>
      <c r="CNQ30" s="7"/>
      <c r="CNR30" s="7"/>
      <c r="CNS30" s="7"/>
      <c r="CNT30" s="7"/>
      <c r="CNU30" s="7"/>
      <c r="CNV30" s="7"/>
      <c r="CNW30" s="7"/>
      <c r="CNX30" s="7"/>
      <c r="CNY30" s="7"/>
      <c r="CNZ30" s="7"/>
      <c r="COA30" s="7"/>
      <c r="COB30" s="7"/>
      <c r="COC30" s="7"/>
      <c r="COD30" s="7"/>
      <c r="COE30" s="7"/>
      <c r="COF30" s="7"/>
      <c r="COG30" s="7"/>
      <c r="COH30" s="7"/>
      <c r="COI30" s="7"/>
      <c r="COJ30" s="7"/>
      <c r="COK30" s="7"/>
      <c r="COL30" s="7"/>
      <c r="COM30" s="7"/>
      <c r="CON30" s="7"/>
      <c r="COO30" s="7"/>
      <c r="COP30" s="7"/>
      <c r="COQ30" s="7"/>
      <c r="COR30" s="7"/>
      <c r="COS30" s="7"/>
      <c r="COT30" s="7"/>
      <c r="COU30" s="7"/>
      <c r="COV30" s="7"/>
      <c r="COW30" s="7"/>
      <c r="COX30" s="7"/>
      <c r="COY30" s="7"/>
      <c r="COZ30" s="7"/>
      <c r="CPA30" s="7"/>
      <c r="CPB30" s="7"/>
      <c r="CPC30" s="7"/>
      <c r="CPD30" s="7"/>
      <c r="CPE30" s="7"/>
      <c r="CPF30" s="7"/>
      <c r="CPG30" s="7"/>
      <c r="CPH30" s="7"/>
      <c r="CPI30" s="7"/>
      <c r="CPJ30" s="7"/>
      <c r="CPK30" s="7"/>
      <c r="CPL30" s="7"/>
      <c r="CPM30" s="7"/>
      <c r="CPN30" s="7"/>
      <c r="CPO30" s="7"/>
      <c r="CPP30" s="7"/>
      <c r="CPQ30" s="7"/>
      <c r="CPR30" s="7"/>
      <c r="CPS30" s="7"/>
      <c r="CPT30" s="7"/>
      <c r="CPU30" s="7"/>
      <c r="CPV30" s="7"/>
      <c r="CPW30" s="7"/>
      <c r="CPX30" s="7"/>
      <c r="CPY30" s="7"/>
      <c r="CPZ30" s="7"/>
      <c r="CQA30" s="7"/>
      <c r="CQB30" s="7"/>
      <c r="CQC30" s="7"/>
      <c r="CQD30" s="7"/>
      <c r="CQE30" s="7"/>
      <c r="CQF30" s="7"/>
      <c r="CQG30" s="7"/>
      <c r="CQH30" s="7"/>
      <c r="CQI30" s="7"/>
      <c r="CQJ30" s="7"/>
      <c r="CQK30" s="7"/>
      <c r="CQL30" s="7"/>
      <c r="CQM30" s="7"/>
      <c r="CQN30" s="7"/>
      <c r="CQO30" s="7"/>
      <c r="CQP30" s="7"/>
      <c r="CQQ30" s="7"/>
      <c r="CQR30" s="7"/>
      <c r="CQS30" s="7"/>
      <c r="CQT30" s="7"/>
      <c r="CQU30" s="7"/>
      <c r="CQV30" s="7"/>
      <c r="CQW30" s="7"/>
      <c r="CQX30" s="7"/>
      <c r="CQY30" s="7"/>
      <c r="CQZ30" s="7"/>
      <c r="CRA30" s="7"/>
      <c r="CRB30" s="7"/>
      <c r="CRC30" s="7"/>
      <c r="CRD30" s="7"/>
      <c r="CRE30" s="7"/>
      <c r="CRF30" s="7"/>
      <c r="CRG30" s="7"/>
      <c r="CRH30" s="7"/>
      <c r="CRI30" s="7"/>
      <c r="CRJ30" s="7"/>
      <c r="CRK30" s="7"/>
      <c r="CRL30" s="7"/>
      <c r="CRM30" s="7"/>
      <c r="CRN30" s="7"/>
      <c r="CRO30" s="7"/>
      <c r="CRP30" s="7"/>
      <c r="CRQ30" s="7"/>
      <c r="CRR30" s="7"/>
      <c r="CRS30" s="7"/>
      <c r="CRT30" s="7"/>
      <c r="CRU30" s="7"/>
      <c r="CRV30" s="7"/>
      <c r="CRW30" s="7"/>
      <c r="CRX30" s="7"/>
      <c r="CRY30" s="7"/>
      <c r="CRZ30" s="7"/>
      <c r="CSA30" s="7"/>
      <c r="CSB30" s="7"/>
      <c r="CSC30" s="7"/>
      <c r="CSD30" s="7"/>
      <c r="CSE30" s="7"/>
      <c r="CSF30" s="7"/>
      <c r="CSG30" s="7"/>
      <c r="CSH30" s="7"/>
      <c r="CSI30" s="7"/>
      <c r="CSJ30" s="7"/>
      <c r="CSK30" s="7"/>
      <c r="CSL30" s="7"/>
      <c r="CSM30" s="7"/>
      <c r="CSN30" s="7"/>
      <c r="CSO30" s="7"/>
      <c r="CSP30" s="7"/>
      <c r="CSQ30" s="7"/>
      <c r="CSR30" s="7"/>
      <c r="CSS30" s="7"/>
      <c r="CST30" s="7"/>
      <c r="CSU30" s="7"/>
      <c r="CSV30" s="7"/>
      <c r="CSW30" s="7"/>
      <c r="CSX30" s="7"/>
      <c r="CSY30" s="7"/>
      <c r="CSZ30" s="7"/>
      <c r="CTA30" s="7"/>
      <c r="CTB30" s="7"/>
      <c r="CTC30" s="7"/>
      <c r="CTD30" s="7"/>
      <c r="CTE30" s="7"/>
      <c r="CTF30" s="7"/>
      <c r="CTG30" s="7"/>
      <c r="CTH30" s="7"/>
      <c r="CTI30" s="7"/>
      <c r="CTJ30" s="7"/>
      <c r="CTK30" s="7"/>
      <c r="CTL30" s="7"/>
      <c r="CTM30" s="7"/>
      <c r="CTN30" s="7"/>
      <c r="CTO30" s="7"/>
      <c r="CTP30" s="7"/>
      <c r="CTQ30" s="7"/>
      <c r="CTR30" s="7"/>
      <c r="CTS30" s="7"/>
      <c r="CTT30" s="7"/>
      <c r="CTU30" s="7"/>
      <c r="CTV30" s="7"/>
      <c r="CTW30" s="7"/>
      <c r="CTX30" s="7"/>
      <c r="CTY30" s="7"/>
      <c r="CTZ30" s="7"/>
      <c r="CUA30" s="7"/>
      <c r="CUB30" s="7"/>
      <c r="CUC30" s="7"/>
      <c r="CUD30" s="7"/>
      <c r="CUE30" s="7"/>
      <c r="CUF30" s="7"/>
      <c r="CUG30" s="7"/>
      <c r="CUH30" s="7"/>
      <c r="CUI30" s="7"/>
      <c r="CUJ30" s="7"/>
      <c r="CUK30" s="7"/>
      <c r="CUL30" s="7"/>
      <c r="CUM30" s="7"/>
      <c r="CUN30" s="7"/>
      <c r="CUO30" s="7"/>
      <c r="CUP30" s="7"/>
      <c r="CUQ30" s="7"/>
      <c r="CUR30" s="7"/>
      <c r="CUS30" s="7"/>
      <c r="CUT30" s="7"/>
      <c r="CUU30" s="7"/>
      <c r="CUV30" s="7"/>
      <c r="CUW30" s="7"/>
      <c r="CUX30" s="7"/>
      <c r="CUY30" s="7"/>
      <c r="CUZ30" s="7"/>
      <c r="CVA30" s="7"/>
      <c r="CVB30" s="7"/>
      <c r="CVC30" s="7"/>
      <c r="CVD30" s="7"/>
      <c r="CVE30" s="7"/>
      <c r="CVF30" s="7"/>
      <c r="CVG30" s="7"/>
      <c r="CVH30" s="7"/>
      <c r="CVI30" s="7"/>
      <c r="CVJ30" s="7"/>
      <c r="CVK30" s="7"/>
      <c r="CVL30" s="7"/>
      <c r="CVM30" s="7"/>
      <c r="CVN30" s="7"/>
      <c r="CVO30" s="7"/>
      <c r="CVP30" s="7"/>
      <c r="CVQ30" s="7"/>
      <c r="CVR30" s="7"/>
      <c r="CVS30" s="7"/>
      <c r="CVT30" s="7"/>
      <c r="CVU30" s="7"/>
      <c r="CVV30" s="7"/>
      <c r="CVW30" s="7"/>
      <c r="CVX30" s="7"/>
      <c r="CVY30" s="7"/>
      <c r="CVZ30" s="7"/>
      <c r="CWA30" s="7"/>
      <c r="CWB30" s="7"/>
      <c r="CWC30" s="7"/>
      <c r="CWD30" s="7"/>
      <c r="CWE30" s="7"/>
      <c r="CWF30" s="7"/>
      <c r="CWG30" s="7"/>
      <c r="CWH30" s="7"/>
      <c r="CWI30" s="7"/>
      <c r="CWJ30" s="7"/>
      <c r="CWK30" s="7"/>
      <c r="CWL30" s="7"/>
      <c r="CWM30" s="7"/>
      <c r="CWN30" s="7"/>
      <c r="CWO30" s="7"/>
      <c r="CWP30" s="7"/>
      <c r="CWQ30" s="7"/>
      <c r="CWR30" s="7"/>
      <c r="CWS30" s="7"/>
      <c r="CWT30" s="7"/>
      <c r="CWU30" s="7"/>
      <c r="CWV30" s="7"/>
      <c r="CWW30" s="7"/>
      <c r="CWX30" s="7"/>
      <c r="CWY30" s="7"/>
      <c r="CWZ30" s="7"/>
      <c r="CXA30" s="7"/>
      <c r="CXB30" s="7"/>
      <c r="CXC30" s="7"/>
      <c r="CXD30" s="7"/>
      <c r="CXE30" s="7"/>
      <c r="CXF30" s="7"/>
      <c r="CXG30" s="7"/>
      <c r="CXH30" s="7"/>
      <c r="CXI30" s="7"/>
      <c r="CXJ30" s="7"/>
      <c r="CXK30" s="7"/>
      <c r="CXL30" s="7"/>
      <c r="CXM30" s="7"/>
      <c r="CXN30" s="7"/>
      <c r="CXO30" s="7"/>
      <c r="CXP30" s="7"/>
      <c r="CXQ30" s="7"/>
      <c r="CXR30" s="7"/>
      <c r="CXS30" s="7"/>
      <c r="CXT30" s="7"/>
      <c r="CXU30" s="7"/>
      <c r="CXV30" s="7"/>
      <c r="CXW30" s="7"/>
      <c r="CXX30" s="7"/>
      <c r="CXY30" s="7"/>
      <c r="CXZ30" s="7"/>
      <c r="CYA30" s="7"/>
      <c r="CYB30" s="7"/>
      <c r="CYC30" s="7"/>
      <c r="CYD30" s="7"/>
      <c r="CYE30" s="7"/>
      <c r="CYF30" s="7"/>
      <c r="CYG30" s="7"/>
      <c r="CYH30" s="7"/>
      <c r="CYI30" s="7"/>
      <c r="CYJ30" s="7"/>
      <c r="CYK30" s="7"/>
      <c r="CYL30" s="7"/>
      <c r="CYM30" s="7"/>
      <c r="CYN30" s="7"/>
      <c r="CYO30" s="7"/>
      <c r="CYP30" s="7"/>
      <c r="CYQ30" s="7"/>
      <c r="CYR30" s="7"/>
      <c r="CYS30" s="7"/>
      <c r="CYT30" s="7"/>
      <c r="CYU30" s="7"/>
      <c r="CYV30" s="7"/>
      <c r="CYW30" s="7"/>
      <c r="CYX30" s="7"/>
      <c r="CYY30" s="7"/>
      <c r="CYZ30" s="7"/>
      <c r="CZA30" s="7"/>
      <c r="CZB30" s="7"/>
      <c r="CZC30" s="7"/>
      <c r="CZD30" s="7"/>
      <c r="CZE30" s="7"/>
      <c r="CZF30" s="7"/>
      <c r="CZG30" s="7"/>
      <c r="CZH30" s="7"/>
      <c r="CZI30" s="7"/>
      <c r="CZJ30" s="7"/>
      <c r="CZK30" s="7"/>
      <c r="CZL30" s="7"/>
      <c r="CZM30" s="7"/>
      <c r="CZN30" s="7"/>
      <c r="CZO30" s="7"/>
      <c r="CZP30" s="7"/>
      <c r="CZQ30" s="7"/>
      <c r="CZR30" s="7"/>
      <c r="CZS30" s="7"/>
      <c r="CZT30" s="7"/>
      <c r="CZU30" s="7"/>
      <c r="CZV30" s="7"/>
      <c r="CZW30" s="7"/>
      <c r="CZX30" s="7"/>
      <c r="CZY30" s="7"/>
      <c r="CZZ30" s="7"/>
      <c r="DAA30" s="7"/>
      <c r="DAB30" s="7"/>
      <c r="DAC30" s="7"/>
      <c r="DAD30" s="7"/>
      <c r="DAE30" s="7"/>
      <c r="DAF30" s="7"/>
      <c r="DAG30" s="7"/>
      <c r="DAH30" s="7"/>
      <c r="DAI30" s="7"/>
      <c r="DAJ30" s="7"/>
      <c r="DAK30" s="7"/>
      <c r="DAL30" s="7"/>
      <c r="DAM30" s="7"/>
      <c r="DAN30" s="7"/>
      <c r="DAO30" s="7"/>
      <c r="DAP30" s="7"/>
      <c r="DAQ30" s="7"/>
      <c r="DAR30" s="7"/>
      <c r="DAS30" s="7"/>
      <c r="DAT30" s="7"/>
      <c r="DAU30" s="7"/>
      <c r="DAV30" s="7"/>
      <c r="DAW30" s="7"/>
      <c r="DAX30" s="7"/>
      <c r="DAY30" s="7"/>
      <c r="DAZ30" s="7"/>
      <c r="DBA30" s="7"/>
      <c r="DBB30" s="7"/>
      <c r="DBC30" s="7"/>
      <c r="DBD30" s="7"/>
      <c r="DBE30" s="7"/>
      <c r="DBF30" s="7"/>
      <c r="DBG30" s="7"/>
      <c r="DBH30" s="7"/>
      <c r="DBI30" s="7"/>
      <c r="DBJ30" s="7"/>
      <c r="DBK30" s="7"/>
      <c r="DBL30" s="7"/>
      <c r="DBM30" s="7"/>
      <c r="DBN30" s="7"/>
      <c r="DBO30" s="7"/>
      <c r="DBP30" s="7"/>
      <c r="DBQ30" s="7"/>
      <c r="DBR30" s="7"/>
      <c r="DBS30" s="7"/>
      <c r="DBT30" s="7"/>
      <c r="DBU30" s="7"/>
      <c r="DBV30" s="7"/>
      <c r="DBW30" s="7"/>
      <c r="DBX30" s="7"/>
      <c r="DBY30" s="7"/>
      <c r="DBZ30" s="7"/>
      <c r="DCA30" s="7"/>
      <c r="DCB30" s="7"/>
      <c r="DCC30" s="7"/>
      <c r="DCD30" s="7"/>
      <c r="DCE30" s="7"/>
      <c r="DCF30" s="7"/>
      <c r="DCG30" s="7"/>
      <c r="DCH30" s="7"/>
      <c r="DCI30" s="7"/>
      <c r="DCJ30" s="7"/>
      <c r="DCK30" s="7"/>
      <c r="DCL30" s="7"/>
      <c r="DCM30" s="7"/>
      <c r="DCN30" s="7"/>
      <c r="DCO30" s="7"/>
      <c r="DCP30" s="7"/>
      <c r="DCQ30" s="7"/>
      <c r="DCR30" s="7"/>
      <c r="DCS30" s="7"/>
      <c r="DCT30" s="7"/>
      <c r="DCU30" s="7"/>
      <c r="DCV30" s="7"/>
      <c r="DCW30" s="7"/>
      <c r="DCX30" s="7"/>
      <c r="DCY30" s="7"/>
      <c r="DCZ30" s="7"/>
      <c r="DDA30" s="7"/>
      <c r="DDB30" s="7"/>
      <c r="DDC30" s="7"/>
      <c r="DDD30" s="7"/>
      <c r="DDE30" s="7"/>
      <c r="DDF30" s="7"/>
      <c r="DDG30" s="7"/>
      <c r="DDH30" s="7"/>
      <c r="DDI30" s="7"/>
      <c r="DDJ30" s="7"/>
      <c r="DDK30" s="7"/>
      <c r="DDL30" s="7"/>
      <c r="DDM30" s="7"/>
      <c r="DDN30" s="7"/>
      <c r="DDO30" s="7"/>
      <c r="DDP30" s="7"/>
      <c r="DDQ30" s="7"/>
      <c r="DDR30" s="7"/>
      <c r="DDS30" s="7"/>
      <c r="DDT30" s="7"/>
      <c r="DDU30" s="7"/>
      <c r="DDV30" s="7"/>
      <c r="DDW30" s="7"/>
      <c r="DDX30" s="7"/>
      <c r="DDY30" s="7"/>
      <c r="DDZ30" s="7"/>
      <c r="DEA30" s="7"/>
      <c r="DEB30" s="7"/>
      <c r="DEC30" s="7"/>
      <c r="DED30" s="7"/>
      <c r="DEE30" s="7"/>
      <c r="DEF30" s="7"/>
      <c r="DEG30" s="7"/>
      <c r="DEH30" s="7"/>
      <c r="DEI30" s="7"/>
      <c r="DEJ30" s="7"/>
      <c r="DEK30" s="7"/>
      <c r="DEL30" s="7"/>
      <c r="DEM30" s="7"/>
      <c r="DEN30" s="7"/>
      <c r="DEO30" s="7"/>
      <c r="DEP30" s="7"/>
      <c r="DEQ30" s="7"/>
      <c r="DER30" s="7"/>
      <c r="DES30" s="7"/>
      <c r="DET30" s="7"/>
      <c r="DEU30" s="7"/>
      <c r="DEV30" s="7"/>
      <c r="DEW30" s="7"/>
      <c r="DEX30" s="7"/>
      <c r="DEY30" s="7"/>
      <c r="DEZ30" s="7"/>
      <c r="DFA30" s="7"/>
      <c r="DFB30" s="7"/>
      <c r="DFC30" s="7"/>
      <c r="DFD30" s="7"/>
      <c r="DFE30" s="7"/>
      <c r="DFF30" s="7"/>
      <c r="DFG30" s="7"/>
      <c r="DFH30" s="7"/>
      <c r="DFI30" s="7"/>
      <c r="DFJ30" s="7"/>
      <c r="DFK30" s="7"/>
      <c r="DFL30" s="7"/>
      <c r="DFM30" s="7"/>
      <c r="DFN30" s="7"/>
      <c r="DFO30" s="7"/>
      <c r="DFP30" s="7"/>
      <c r="DFQ30" s="7"/>
      <c r="DFR30" s="7"/>
      <c r="DFS30" s="7"/>
      <c r="DFT30" s="7"/>
      <c r="DFU30" s="7"/>
      <c r="DFV30" s="7"/>
      <c r="DFW30" s="7"/>
      <c r="DFX30" s="7"/>
      <c r="DFY30" s="7"/>
      <c r="DFZ30" s="7"/>
      <c r="DGA30" s="7"/>
      <c r="DGB30" s="7"/>
      <c r="DGC30" s="7"/>
      <c r="DGD30" s="7"/>
      <c r="DGE30" s="7"/>
      <c r="DGF30" s="7"/>
      <c r="DGG30" s="7"/>
      <c r="DGH30" s="7"/>
      <c r="DGI30" s="7"/>
      <c r="DGJ30" s="7"/>
      <c r="DGK30" s="7"/>
      <c r="DGL30" s="7"/>
      <c r="DGM30" s="7"/>
      <c r="DGN30" s="7"/>
      <c r="DGO30" s="7"/>
      <c r="DGP30" s="7"/>
      <c r="DGQ30" s="7"/>
      <c r="DGR30" s="7"/>
      <c r="DGS30" s="7"/>
      <c r="DGT30" s="7"/>
      <c r="DGU30" s="7"/>
      <c r="DGV30" s="7"/>
      <c r="DGW30" s="7"/>
      <c r="DGX30" s="7"/>
      <c r="DGY30" s="7"/>
      <c r="DGZ30" s="7"/>
      <c r="DHA30" s="7"/>
      <c r="DHB30" s="7"/>
      <c r="DHC30" s="7"/>
      <c r="DHD30" s="7"/>
      <c r="DHE30" s="7"/>
      <c r="DHF30" s="7"/>
      <c r="DHG30" s="7"/>
      <c r="DHH30" s="7"/>
      <c r="DHI30" s="7"/>
      <c r="DHJ30" s="7"/>
      <c r="DHK30" s="7"/>
      <c r="DHL30" s="7"/>
      <c r="DHM30" s="7"/>
      <c r="DHN30" s="7"/>
      <c r="DHO30" s="7"/>
      <c r="DHP30" s="7"/>
      <c r="DHQ30" s="7"/>
      <c r="DHR30" s="7"/>
      <c r="DHS30" s="7"/>
      <c r="DHT30" s="7"/>
      <c r="DHU30" s="7"/>
      <c r="DHV30" s="7"/>
      <c r="DHW30" s="7"/>
      <c r="DHX30" s="7"/>
      <c r="DHY30" s="7"/>
      <c r="DHZ30" s="7"/>
      <c r="DIA30" s="7"/>
      <c r="DIB30" s="7"/>
      <c r="DIC30" s="7"/>
      <c r="DID30" s="7"/>
      <c r="DIE30" s="7"/>
      <c r="DIF30" s="7"/>
      <c r="DIG30" s="7"/>
      <c r="DIH30" s="7"/>
      <c r="DII30" s="7"/>
      <c r="DIJ30" s="7"/>
      <c r="DIK30" s="7"/>
      <c r="DIL30" s="7"/>
      <c r="DIM30" s="7"/>
      <c r="DIN30" s="7"/>
      <c r="DIO30" s="7"/>
      <c r="DIP30" s="7"/>
      <c r="DIQ30" s="7"/>
      <c r="DIR30" s="7"/>
      <c r="DIS30" s="7"/>
      <c r="DIT30" s="7"/>
      <c r="DIU30" s="7"/>
      <c r="DIV30" s="7"/>
      <c r="DIW30" s="7"/>
      <c r="DIX30" s="7"/>
      <c r="DIY30" s="7"/>
      <c r="DIZ30" s="7"/>
      <c r="DJA30" s="7"/>
      <c r="DJB30" s="7"/>
      <c r="DJC30" s="7"/>
      <c r="DJD30" s="7"/>
      <c r="DJE30" s="7"/>
      <c r="DJF30" s="7"/>
      <c r="DJG30" s="7"/>
      <c r="DJH30" s="7"/>
      <c r="DJI30" s="7"/>
      <c r="DJJ30" s="7"/>
      <c r="DJK30" s="7"/>
      <c r="DJL30" s="7"/>
      <c r="DJM30" s="7"/>
      <c r="DJN30" s="7"/>
      <c r="DJO30" s="7"/>
      <c r="DJP30" s="7"/>
      <c r="DJQ30" s="7"/>
      <c r="DJR30" s="7"/>
      <c r="DJS30" s="7"/>
      <c r="DJT30" s="7"/>
      <c r="DJU30" s="7"/>
      <c r="DJV30" s="7"/>
      <c r="DJW30" s="7"/>
      <c r="DJX30" s="7"/>
      <c r="DJY30" s="7"/>
      <c r="DJZ30" s="7"/>
      <c r="DKA30" s="7"/>
      <c r="DKB30" s="7"/>
      <c r="DKC30" s="7"/>
      <c r="DKD30" s="7"/>
      <c r="DKE30" s="7"/>
      <c r="DKF30" s="7"/>
      <c r="DKG30" s="7"/>
      <c r="DKH30" s="7"/>
      <c r="DKI30" s="7"/>
      <c r="DKJ30" s="7"/>
      <c r="DKK30" s="7"/>
      <c r="DKL30" s="7"/>
      <c r="DKM30" s="7"/>
      <c r="DKN30" s="7"/>
      <c r="DKO30" s="7"/>
      <c r="DKP30" s="7"/>
      <c r="DKQ30" s="7"/>
      <c r="DKR30" s="7"/>
      <c r="DKS30" s="7"/>
      <c r="DKT30" s="7"/>
      <c r="DKU30" s="7"/>
      <c r="DKV30" s="7"/>
      <c r="DKW30" s="7"/>
      <c r="DKX30" s="7"/>
      <c r="DKY30" s="7"/>
      <c r="DKZ30" s="7"/>
      <c r="DLA30" s="7"/>
      <c r="DLB30" s="7"/>
      <c r="DLC30" s="7"/>
      <c r="DLD30" s="7"/>
      <c r="DLE30" s="7"/>
      <c r="DLF30" s="7"/>
      <c r="DLG30" s="7"/>
      <c r="DLH30" s="7"/>
      <c r="DLI30" s="7"/>
      <c r="DLJ30" s="7"/>
      <c r="DLK30" s="7"/>
      <c r="DLL30" s="7"/>
      <c r="DLM30" s="7"/>
      <c r="DLN30" s="7"/>
      <c r="DLO30" s="7"/>
      <c r="DLP30" s="7"/>
      <c r="DLQ30" s="7"/>
      <c r="DLR30" s="7"/>
      <c r="DLS30" s="7"/>
      <c r="DLT30" s="7"/>
      <c r="DLU30" s="7"/>
      <c r="DLV30" s="7"/>
      <c r="DLW30" s="7"/>
      <c r="DLX30" s="7"/>
      <c r="DLY30" s="7"/>
      <c r="DLZ30" s="7"/>
      <c r="DMA30" s="7"/>
      <c r="DMB30" s="7"/>
      <c r="DMC30" s="7"/>
      <c r="DMD30" s="7"/>
      <c r="DME30" s="7"/>
      <c r="DMF30" s="7"/>
      <c r="DMG30" s="7"/>
      <c r="DMH30" s="7"/>
      <c r="DMI30" s="7"/>
      <c r="DMJ30" s="7"/>
      <c r="DMK30" s="7"/>
      <c r="DML30" s="7"/>
      <c r="DMM30" s="7"/>
      <c r="DMN30" s="7"/>
      <c r="DMO30" s="7"/>
      <c r="DMP30" s="7"/>
      <c r="DMQ30" s="7"/>
      <c r="DMR30" s="7"/>
      <c r="DMS30" s="7"/>
      <c r="DMT30" s="7"/>
      <c r="DMU30" s="7"/>
      <c r="DMV30" s="7"/>
      <c r="DMW30" s="7"/>
      <c r="DMX30" s="7"/>
      <c r="DMY30" s="7"/>
      <c r="DMZ30" s="7"/>
      <c r="DNA30" s="7"/>
      <c r="DNB30" s="7"/>
      <c r="DNC30" s="7"/>
      <c r="DND30" s="7"/>
      <c r="DNE30" s="7"/>
      <c r="DNF30" s="7"/>
      <c r="DNG30" s="7"/>
      <c r="DNH30" s="7"/>
      <c r="DNI30" s="7"/>
      <c r="DNJ30" s="7"/>
      <c r="DNK30" s="7"/>
      <c r="DNL30" s="7"/>
      <c r="DNM30" s="7"/>
      <c r="DNN30" s="7"/>
      <c r="DNO30" s="7"/>
      <c r="DNP30" s="7"/>
      <c r="DNQ30" s="7"/>
      <c r="DNR30" s="7"/>
      <c r="DNS30" s="7"/>
      <c r="DNT30" s="7"/>
      <c r="DNU30" s="7"/>
      <c r="DNV30" s="7"/>
      <c r="DNW30" s="7"/>
      <c r="DNX30" s="7"/>
      <c r="DNY30" s="7"/>
      <c r="DNZ30" s="7"/>
      <c r="DOA30" s="7"/>
      <c r="DOB30" s="7"/>
      <c r="DOC30" s="7"/>
      <c r="DOD30" s="7"/>
      <c r="DOE30" s="7"/>
      <c r="DOF30" s="7"/>
      <c r="DOG30" s="7"/>
      <c r="DOH30" s="7"/>
      <c r="DOI30" s="7"/>
      <c r="DOJ30" s="7"/>
      <c r="DOK30" s="7"/>
      <c r="DOL30" s="7"/>
      <c r="DOM30" s="7"/>
      <c r="DON30" s="7"/>
      <c r="DOO30" s="7"/>
      <c r="DOP30" s="7"/>
      <c r="DOQ30" s="7"/>
      <c r="DOR30" s="7"/>
      <c r="DOS30" s="7"/>
      <c r="DOT30" s="7"/>
      <c r="DOU30" s="7"/>
      <c r="DOV30" s="7"/>
      <c r="DOW30" s="7"/>
      <c r="DOX30" s="7"/>
      <c r="DOY30" s="7"/>
      <c r="DOZ30" s="7"/>
      <c r="DPA30" s="7"/>
      <c r="DPB30" s="7"/>
      <c r="DPC30" s="7"/>
      <c r="DPD30" s="7"/>
      <c r="DPE30" s="7"/>
      <c r="DPF30" s="7"/>
      <c r="DPG30" s="7"/>
      <c r="DPH30" s="7"/>
      <c r="DPI30" s="7"/>
      <c r="DPJ30" s="7"/>
      <c r="DPK30" s="7"/>
      <c r="DPL30" s="7"/>
      <c r="DPM30" s="7"/>
      <c r="DPN30" s="7"/>
      <c r="DPO30" s="7"/>
      <c r="DPP30" s="7"/>
      <c r="DPQ30" s="7"/>
      <c r="DPR30" s="7"/>
      <c r="DPS30" s="7"/>
      <c r="DPT30" s="7"/>
      <c r="DPU30" s="7"/>
      <c r="DPV30" s="7"/>
      <c r="DPW30" s="7"/>
      <c r="DPX30" s="7"/>
      <c r="DPY30" s="7"/>
      <c r="DPZ30" s="7"/>
      <c r="DQA30" s="7"/>
      <c r="DQB30" s="7"/>
      <c r="DQC30" s="7"/>
      <c r="DQD30" s="7"/>
      <c r="DQE30" s="7"/>
      <c r="DQF30" s="7"/>
      <c r="DQG30" s="7"/>
      <c r="DQH30" s="7"/>
      <c r="DQI30" s="7"/>
      <c r="DQJ30" s="7"/>
      <c r="DQK30" s="7"/>
      <c r="DQL30" s="7"/>
      <c r="DQM30" s="7"/>
      <c r="DQN30" s="7"/>
      <c r="DQO30" s="7"/>
      <c r="DQP30" s="7"/>
      <c r="DQQ30" s="7"/>
      <c r="DQR30" s="7"/>
      <c r="DQS30" s="7"/>
      <c r="DQT30" s="7"/>
      <c r="DQU30" s="7"/>
      <c r="DQV30" s="7"/>
      <c r="DQW30" s="7"/>
      <c r="DQX30" s="7"/>
      <c r="DQY30" s="7"/>
      <c r="DQZ30" s="7"/>
      <c r="DRA30" s="7"/>
      <c r="DRB30" s="7"/>
      <c r="DRC30" s="7"/>
      <c r="DRD30" s="7"/>
      <c r="DRE30" s="7"/>
      <c r="DRF30" s="7"/>
      <c r="DRG30" s="7"/>
      <c r="DRH30" s="7"/>
      <c r="DRI30" s="7"/>
      <c r="DRJ30" s="7"/>
      <c r="DRK30" s="7"/>
      <c r="DRL30" s="7"/>
      <c r="DRM30" s="7"/>
      <c r="DRN30" s="7"/>
      <c r="DRO30" s="7"/>
      <c r="DRP30" s="7"/>
      <c r="DRQ30" s="7"/>
      <c r="DRR30" s="7"/>
      <c r="DRS30" s="7"/>
      <c r="DRT30" s="7"/>
      <c r="DRU30" s="7"/>
      <c r="DRV30" s="7"/>
      <c r="DRW30" s="7"/>
      <c r="DRX30" s="7"/>
      <c r="DRY30" s="7"/>
      <c r="DRZ30" s="7"/>
      <c r="DSA30" s="7"/>
      <c r="DSB30" s="7"/>
      <c r="DSC30" s="7"/>
      <c r="DSD30" s="7"/>
      <c r="DSE30" s="7"/>
      <c r="DSF30" s="7"/>
      <c r="DSG30" s="7"/>
      <c r="DSH30" s="7"/>
      <c r="DSI30" s="7"/>
      <c r="DSJ30" s="7"/>
      <c r="DSK30" s="7"/>
      <c r="DSL30" s="7"/>
      <c r="DSM30" s="7"/>
      <c r="DSN30" s="7"/>
      <c r="DSO30" s="7"/>
      <c r="DSP30" s="7"/>
      <c r="DSQ30" s="7"/>
      <c r="DSR30" s="7"/>
      <c r="DSS30" s="7"/>
      <c r="DST30" s="7"/>
      <c r="DSU30" s="7"/>
      <c r="DSV30" s="7"/>
      <c r="DSW30" s="7"/>
      <c r="DSX30" s="7"/>
      <c r="DSY30" s="7"/>
      <c r="DSZ30" s="7"/>
      <c r="DTA30" s="7"/>
      <c r="DTB30" s="7"/>
      <c r="DTC30" s="7"/>
      <c r="DTD30" s="7"/>
      <c r="DTE30" s="7"/>
      <c r="DTF30" s="7"/>
      <c r="DTG30" s="7"/>
      <c r="DTH30" s="7"/>
      <c r="DTI30" s="7"/>
      <c r="DTJ30" s="7"/>
      <c r="DTK30" s="7"/>
      <c r="DTL30" s="7"/>
      <c r="DTM30" s="7"/>
      <c r="DTN30" s="7"/>
      <c r="DTO30" s="7"/>
      <c r="DTP30" s="7"/>
      <c r="DTQ30" s="7"/>
      <c r="DTR30" s="7"/>
      <c r="DTS30" s="7"/>
      <c r="DTT30" s="7"/>
      <c r="DTU30" s="7"/>
      <c r="DTV30" s="7"/>
      <c r="DTW30" s="7"/>
      <c r="DTX30" s="7"/>
      <c r="DTY30" s="7"/>
      <c r="DTZ30" s="7"/>
      <c r="DUA30" s="7"/>
      <c r="DUB30" s="7"/>
      <c r="DUC30" s="7"/>
      <c r="DUD30" s="7"/>
      <c r="DUE30" s="7"/>
      <c r="DUF30" s="7"/>
      <c r="DUG30" s="7"/>
      <c r="DUH30" s="7"/>
      <c r="DUI30" s="7"/>
      <c r="DUJ30" s="7"/>
      <c r="DUK30" s="7"/>
      <c r="DUL30" s="7"/>
      <c r="DUM30" s="7"/>
      <c r="DUN30" s="7"/>
      <c r="DUO30" s="7"/>
      <c r="DUP30" s="7"/>
      <c r="DUQ30" s="7"/>
      <c r="DUR30" s="7"/>
      <c r="DUS30" s="7"/>
      <c r="DUT30" s="7"/>
      <c r="DUU30" s="7"/>
      <c r="DUV30" s="7"/>
      <c r="DUW30" s="7"/>
      <c r="DUX30" s="7"/>
      <c r="DUY30" s="7"/>
      <c r="DUZ30" s="7"/>
      <c r="DVA30" s="7"/>
      <c r="DVB30" s="7"/>
      <c r="DVC30" s="7"/>
      <c r="DVD30" s="7"/>
      <c r="DVE30" s="7"/>
      <c r="DVF30" s="7"/>
      <c r="DVG30" s="7"/>
      <c r="DVH30" s="7"/>
      <c r="DVI30" s="7"/>
      <c r="DVJ30" s="7"/>
      <c r="DVK30" s="7"/>
      <c r="DVL30" s="7"/>
      <c r="DVM30" s="7"/>
      <c r="DVN30" s="7"/>
      <c r="DVO30" s="7"/>
      <c r="DVP30" s="7"/>
      <c r="DVQ30" s="7"/>
      <c r="DVR30" s="7"/>
      <c r="DVS30" s="7"/>
      <c r="DVT30" s="7"/>
      <c r="DVU30" s="7"/>
      <c r="DVV30" s="7"/>
      <c r="DVW30" s="7"/>
      <c r="DVX30" s="7"/>
      <c r="DVY30" s="7"/>
      <c r="DVZ30" s="7"/>
      <c r="DWA30" s="7"/>
      <c r="DWB30" s="7"/>
      <c r="DWC30" s="7"/>
      <c r="DWD30" s="7"/>
      <c r="DWE30" s="7"/>
      <c r="DWF30" s="7"/>
      <c r="DWG30" s="7"/>
      <c r="DWH30" s="7"/>
      <c r="DWI30" s="7"/>
      <c r="DWJ30" s="7"/>
      <c r="DWK30" s="7"/>
      <c r="DWL30" s="7"/>
      <c r="DWM30" s="7"/>
      <c r="DWN30" s="7"/>
      <c r="DWO30" s="7"/>
      <c r="DWP30" s="7"/>
      <c r="DWQ30" s="7"/>
      <c r="DWR30" s="7"/>
      <c r="DWS30" s="7"/>
      <c r="DWT30" s="7"/>
      <c r="DWU30" s="7"/>
      <c r="DWV30" s="7"/>
      <c r="DWW30" s="7"/>
      <c r="DWX30" s="7"/>
      <c r="DWY30" s="7"/>
      <c r="DWZ30" s="7"/>
      <c r="DXA30" s="7"/>
      <c r="DXB30" s="7"/>
      <c r="DXC30" s="7"/>
      <c r="DXD30" s="7"/>
      <c r="DXE30" s="7"/>
      <c r="DXF30" s="7"/>
      <c r="DXG30" s="7"/>
      <c r="DXH30" s="7"/>
      <c r="DXI30" s="7"/>
      <c r="DXJ30" s="7"/>
      <c r="DXK30" s="7"/>
      <c r="DXL30" s="7"/>
      <c r="DXM30" s="7"/>
      <c r="DXN30" s="7"/>
      <c r="DXO30" s="7"/>
      <c r="DXP30" s="7"/>
      <c r="DXQ30" s="7"/>
      <c r="DXR30" s="7"/>
      <c r="DXS30" s="7"/>
      <c r="DXT30" s="7"/>
      <c r="DXU30" s="7"/>
      <c r="DXV30" s="7"/>
      <c r="DXW30" s="7"/>
      <c r="DXX30" s="7"/>
      <c r="DXY30" s="7"/>
      <c r="DXZ30" s="7"/>
      <c r="DYA30" s="7"/>
      <c r="DYB30" s="7"/>
      <c r="DYC30" s="7"/>
      <c r="DYD30" s="7"/>
      <c r="DYE30" s="7"/>
      <c r="DYF30" s="7"/>
      <c r="DYG30" s="7"/>
      <c r="DYH30" s="7"/>
      <c r="DYI30" s="7"/>
      <c r="DYJ30" s="7"/>
      <c r="DYK30" s="7"/>
      <c r="DYL30" s="7"/>
      <c r="DYM30" s="7"/>
      <c r="DYN30" s="7"/>
      <c r="DYO30" s="7"/>
      <c r="DYP30" s="7"/>
      <c r="DYQ30" s="7"/>
      <c r="DYR30" s="7"/>
      <c r="DYS30" s="7"/>
      <c r="DYT30" s="7"/>
      <c r="DYU30" s="7"/>
      <c r="DYV30" s="7"/>
      <c r="DYW30" s="7"/>
      <c r="DYX30" s="7"/>
      <c r="DYY30" s="7"/>
      <c r="DYZ30" s="7"/>
      <c r="DZA30" s="7"/>
      <c r="DZB30" s="7"/>
      <c r="DZC30" s="7"/>
      <c r="DZD30" s="7"/>
      <c r="DZE30" s="7"/>
      <c r="DZF30" s="7"/>
      <c r="DZG30" s="7"/>
      <c r="DZH30" s="7"/>
      <c r="DZI30" s="7"/>
      <c r="DZJ30" s="7"/>
      <c r="DZK30" s="7"/>
      <c r="DZL30" s="7"/>
      <c r="DZM30" s="7"/>
      <c r="DZN30" s="7"/>
      <c r="DZO30" s="7"/>
      <c r="DZP30" s="7"/>
      <c r="DZQ30" s="7"/>
      <c r="DZR30" s="7"/>
      <c r="DZS30" s="7"/>
      <c r="DZT30" s="7"/>
      <c r="DZU30" s="7"/>
      <c r="DZV30" s="7"/>
      <c r="DZW30" s="7"/>
      <c r="DZX30" s="7"/>
      <c r="DZY30" s="7"/>
      <c r="DZZ30" s="7"/>
      <c r="EAA30" s="7"/>
      <c r="EAB30" s="7"/>
      <c r="EAC30" s="7"/>
      <c r="EAD30" s="7"/>
      <c r="EAE30" s="7"/>
      <c r="EAF30" s="7"/>
      <c r="EAG30" s="7"/>
      <c r="EAH30" s="7"/>
      <c r="EAI30" s="7"/>
      <c r="EAJ30" s="7"/>
      <c r="EAK30" s="7"/>
      <c r="EAL30" s="7"/>
      <c r="EAM30" s="7"/>
      <c r="EAN30" s="7"/>
      <c r="EAO30" s="7"/>
      <c r="EAP30" s="7"/>
      <c r="EAQ30" s="7"/>
      <c r="EAR30" s="7"/>
      <c r="EAS30" s="7"/>
      <c r="EAT30" s="7"/>
      <c r="EAU30" s="7"/>
      <c r="EAV30" s="7"/>
      <c r="EAW30" s="7"/>
      <c r="EAX30" s="7"/>
      <c r="EAY30" s="7"/>
      <c r="EAZ30" s="7"/>
      <c r="EBA30" s="7"/>
      <c r="EBB30" s="7"/>
      <c r="EBC30" s="7"/>
      <c r="EBD30" s="7"/>
      <c r="EBE30" s="7"/>
      <c r="EBF30" s="7"/>
      <c r="EBG30" s="7"/>
      <c r="EBH30" s="7"/>
      <c r="EBI30" s="7"/>
      <c r="EBJ30" s="7"/>
      <c r="EBK30" s="7"/>
      <c r="EBL30" s="7"/>
      <c r="EBM30" s="7"/>
      <c r="EBN30" s="7"/>
      <c r="EBO30" s="7"/>
      <c r="EBP30" s="7"/>
      <c r="EBQ30" s="7"/>
      <c r="EBR30" s="7"/>
      <c r="EBS30" s="7"/>
      <c r="EBT30" s="7"/>
      <c r="EBU30" s="7"/>
      <c r="EBV30" s="7"/>
      <c r="EBW30" s="7"/>
      <c r="EBX30" s="7"/>
      <c r="EBY30" s="7"/>
      <c r="EBZ30" s="7"/>
      <c r="ECA30" s="7"/>
      <c r="ECB30" s="7"/>
      <c r="ECC30" s="7"/>
      <c r="ECD30" s="7"/>
      <c r="ECE30" s="7"/>
      <c r="ECF30" s="7"/>
      <c r="ECG30" s="7"/>
      <c r="ECH30" s="7"/>
      <c r="ECI30" s="7"/>
      <c r="ECJ30" s="7"/>
      <c r="ECK30" s="7"/>
      <c r="ECL30" s="7"/>
      <c r="ECM30" s="7"/>
      <c r="ECN30" s="7"/>
      <c r="ECO30" s="7"/>
      <c r="ECP30" s="7"/>
      <c r="ECQ30" s="7"/>
      <c r="ECR30" s="7"/>
      <c r="ECS30" s="7"/>
      <c r="ECT30" s="7"/>
      <c r="ECU30" s="7"/>
      <c r="ECV30" s="7"/>
      <c r="ECW30" s="7"/>
      <c r="ECX30" s="7"/>
      <c r="ECY30" s="7"/>
      <c r="ECZ30" s="7"/>
      <c r="EDA30" s="7"/>
      <c r="EDB30" s="7"/>
      <c r="EDC30" s="7"/>
      <c r="EDD30" s="7"/>
      <c r="EDE30" s="7"/>
      <c r="EDF30" s="7"/>
      <c r="EDG30" s="7"/>
      <c r="EDH30" s="7"/>
      <c r="EDI30" s="7"/>
      <c r="EDJ30" s="7"/>
      <c r="EDK30" s="7"/>
      <c r="EDL30" s="7"/>
      <c r="EDM30" s="7"/>
      <c r="EDN30" s="7"/>
      <c r="EDO30" s="7"/>
      <c r="EDP30" s="7"/>
      <c r="EDQ30" s="7"/>
      <c r="EDR30" s="7"/>
      <c r="EDS30" s="7"/>
      <c r="EDT30" s="7"/>
      <c r="EDU30" s="7"/>
      <c r="EDV30" s="7"/>
      <c r="EDW30" s="7"/>
      <c r="EDX30" s="7"/>
      <c r="EDY30" s="7"/>
      <c r="EDZ30" s="7"/>
      <c r="EEA30" s="7"/>
      <c r="EEB30" s="7"/>
      <c r="EEC30" s="7"/>
      <c r="EED30" s="7"/>
      <c r="EEE30" s="7"/>
      <c r="EEF30" s="7"/>
      <c r="EEG30" s="7"/>
      <c r="EEH30" s="7"/>
      <c r="EEI30" s="7"/>
      <c r="EEJ30" s="7"/>
      <c r="EEK30" s="7"/>
      <c r="EEL30" s="7"/>
      <c r="EEM30" s="7"/>
      <c r="EEN30" s="7"/>
      <c r="EEO30" s="7"/>
      <c r="EEP30" s="7"/>
      <c r="EEQ30" s="7"/>
      <c r="EER30" s="7"/>
      <c r="EES30" s="7"/>
      <c r="EET30" s="7"/>
      <c r="EEU30" s="7"/>
      <c r="EEV30" s="7"/>
      <c r="EEW30" s="7"/>
      <c r="EEX30" s="7"/>
      <c r="EEY30" s="7"/>
      <c r="EEZ30" s="7"/>
      <c r="EFA30" s="7"/>
      <c r="EFB30" s="7"/>
      <c r="EFC30" s="7"/>
      <c r="EFD30" s="7"/>
      <c r="EFE30" s="7"/>
      <c r="EFF30" s="7"/>
      <c r="EFG30" s="7"/>
      <c r="EFH30" s="7"/>
      <c r="EFI30" s="7"/>
      <c r="EFJ30" s="7"/>
      <c r="EFK30" s="7"/>
      <c r="EFL30" s="7"/>
      <c r="EFM30" s="7"/>
      <c r="EFN30" s="7"/>
      <c r="EFO30" s="7"/>
      <c r="EFP30" s="7"/>
      <c r="EFQ30" s="7"/>
      <c r="EFR30" s="7"/>
      <c r="EFS30" s="7"/>
      <c r="EFT30" s="7"/>
      <c r="EFU30" s="7"/>
      <c r="EFV30" s="7"/>
      <c r="EFW30" s="7"/>
      <c r="EFX30" s="7"/>
      <c r="EFY30" s="7"/>
      <c r="EFZ30" s="7"/>
      <c r="EGA30" s="7"/>
      <c r="EGB30" s="7"/>
      <c r="EGC30" s="7"/>
      <c r="EGD30" s="7"/>
      <c r="EGE30" s="7"/>
      <c r="EGF30" s="7"/>
      <c r="EGG30" s="7"/>
      <c r="EGH30" s="7"/>
      <c r="EGI30" s="7"/>
      <c r="EGJ30" s="7"/>
      <c r="EGK30" s="7"/>
      <c r="EGL30" s="7"/>
      <c r="EGM30" s="7"/>
      <c r="EGN30" s="7"/>
      <c r="EGO30" s="7"/>
      <c r="EGP30" s="7"/>
      <c r="EGQ30" s="7"/>
      <c r="EGR30" s="7"/>
      <c r="EGS30" s="7"/>
      <c r="EGT30" s="7"/>
      <c r="EGU30" s="7"/>
      <c r="EGV30" s="7"/>
      <c r="EGW30" s="7"/>
      <c r="EGX30" s="7"/>
      <c r="EGY30" s="7"/>
      <c r="EGZ30" s="7"/>
      <c r="EHA30" s="7"/>
      <c r="EHB30" s="7"/>
      <c r="EHC30" s="7"/>
      <c r="EHD30" s="7"/>
      <c r="EHE30" s="7"/>
      <c r="EHF30" s="7"/>
      <c r="EHG30" s="7"/>
      <c r="EHH30" s="7"/>
      <c r="EHI30" s="7"/>
      <c r="EHJ30" s="7"/>
      <c r="EHK30" s="7"/>
      <c r="EHL30" s="7"/>
      <c r="EHM30" s="7"/>
      <c r="EHN30" s="7"/>
      <c r="EHO30" s="7"/>
      <c r="EHP30" s="7"/>
      <c r="EHQ30" s="7"/>
      <c r="EHR30" s="7"/>
      <c r="EHS30" s="7"/>
      <c r="EHT30" s="7"/>
      <c r="EHU30" s="7"/>
      <c r="EHV30" s="7"/>
      <c r="EHW30" s="7"/>
      <c r="EHX30" s="7"/>
      <c r="EHY30" s="7"/>
      <c r="EHZ30" s="7"/>
      <c r="EIA30" s="7"/>
      <c r="EIB30" s="7"/>
      <c r="EIC30" s="7"/>
      <c r="EID30" s="7"/>
      <c r="EIE30" s="7"/>
      <c r="EIF30" s="7"/>
      <c r="EIG30" s="7"/>
      <c r="EIH30" s="7"/>
      <c r="EII30" s="7"/>
      <c r="EIJ30" s="7"/>
      <c r="EIK30" s="7"/>
      <c r="EIL30" s="7"/>
      <c r="EIM30" s="7"/>
      <c r="EIN30" s="7"/>
      <c r="EIO30" s="7"/>
      <c r="EIP30" s="7"/>
      <c r="EIQ30" s="7"/>
      <c r="EIR30" s="7"/>
      <c r="EIS30" s="7"/>
      <c r="EIT30" s="7"/>
      <c r="EIU30" s="7"/>
      <c r="EIV30" s="7"/>
      <c r="EIW30" s="7"/>
      <c r="EIX30" s="7"/>
      <c r="EIY30" s="7"/>
      <c r="EIZ30" s="7"/>
      <c r="EJA30" s="7"/>
      <c r="EJB30" s="7"/>
      <c r="EJC30" s="7"/>
      <c r="EJD30" s="7"/>
      <c r="EJE30" s="7"/>
      <c r="EJF30" s="7"/>
      <c r="EJG30" s="7"/>
      <c r="EJH30" s="7"/>
      <c r="EJI30" s="7"/>
      <c r="EJJ30" s="7"/>
      <c r="EJK30" s="7"/>
      <c r="EJL30" s="7"/>
      <c r="EJM30" s="7"/>
      <c r="EJN30" s="7"/>
      <c r="EJO30" s="7"/>
      <c r="EJP30" s="7"/>
      <c r="EJQ30" s="7"/>
      <c r="EJR30" s="7"/>
      <c r="EJS30" s="7"/>
      <c r="EJT30" s="7"/>
      <c r="EJU30" s="7"/>
      <c r="EJV30" s="7"/>
      <c r="EJW30" s="7"/>
      <c r="EJX30" s="7"/>
      <c r="EJY30" s="7"/>
      <c r="EJZ30" s="7"/>
      <c r="EKA30" s="7"/>
      <c r="EKB30" s="7"/>
      <c r="EKC30" s="7"/>
      <c r="EKD30" s="7"/>
      <c r="EKE30" s="7"/>
      <c r="EKF30" s="7"/>
      <c r="EKG30" s="7"/>
      <c r="EKH30" s="7"/>
      <c r="EKI30" s="7"/>
      <c r="EKJ30" s="7"/>
      <c r="EKK30" s="7"/>
      <c r="EKL30" s="7"/>
      <c r="EKM30" s="7"/>
      <c r="EKN30" s="7"/>
      <c r="EKO30" s="7"/>
      <c r="EKP30" s="7"/>
      <c r="EKQ30" s="7"/>
      <c r="EKR30" s="7"/>
      <c r="EKS30" s="7"/>
      <c r="EKT30" s="7"/>
      <c r="EKU30" s="7"/>
      <c r="EKV30" s="7"/>
      <c r="EKW30" s="7"/>
      <c r="EKX30" s="7"/>
      <c r="EKY30" s="7"/>
      <c r="EKZ30" s="7"/>
      <c r="ELA30" s="7"/>
      <c r="ELB30" s="7"/>
      <c r="ELC30" s="7"/>
      <c r="ELD30" s="7"/>
      <c r="ELE30" s="7"/>
      <c r="ELF30" s="7"/>
      <c r="ELG30" s="7"/>
      <c r="ELH30" s="7"/>
      <c r="ELI30" s="7"/>
      <c r="ELJ30" s="7"/>
      <c r="ELK30" s="7"/>
      <c r="ELL30" s="7"/>
      <c r="ELM30" s="7"/>
      <c r="ELN30" s="7"/>
      <c r="ELO30" s="7"/>
      <c r="ELP30" s="7"/>
      <c r="ELQ30" s="7"/>
      <c r="ELR30" s="7"/>
      <c r="ELS30" s="7"/>
      <c r="ELT30" s="7"/>
      <c r="ELU30" s="7"/>
      <c r="ELV30" s="7"/>
      <c r="ELW30" s="7"/>
      <c r="ELX30" s="7"/>
      <c r="ELY30" s="7"/>
      <c r="ELZ30" s="7"/>
      <c r="EMA30" s="7"/>
      <c r="EMB30" s="7"/>
      <c r="EMC30" s="7"/>
      <c r="EMD30" s="7"/>
      <c r="EME30" s="7"/>
      <c r="EMF30" s="7"/>
      <c r="EMG30" s="7"/>
      <c r="EMH30" s="7"/>
      <c r="EMI30" s="7"/>
      <c r="EMJ30" s="7"/>
      <c r="EMK30" s="7"/>
      <c r="EML30" s="7"/>
      <c r="EMM30" s="7"/>
      <c r="EMN30" s="7"/>
      <c r="EMO30" s="7"/>
      <c r="EMP30" s="7"/>
      <c r="EMQ30" s="7"/>
      <c r="EMR30" s="7"/>
      <c r="EMS30" s="7"/>
      <c r="EMT30" s="7"/>
      <c r="EMU30" s="7"/>
      <c r="EMV30" s="7"/>
      <c r="EMW30" s="7"/>
      <c r="EMX30" s="7"/>
      <c r="EMY30" s="7"/>
      <c r="EMZ30" s="7"/>
      <c r="ENA30" s="7"/>
      <c r="ENB30" s="7"/>
      <c r="ENC30" s="7"/>
      <c r="END30" s="7"/>
      <c r="ENE30" s="7"/>
      <c r="ENF30" s="7"/>
      <c r="ENG30" s="7"/>
      <c r="ENH30" s="7"/>
      <c r="ENI30" s="7"/>
      <c r="ENJ30" s="7"/>
      <c r="ENK30" s="7"/>
      <c r="ENL30" s="7"/>
      <c r="ENM30" s="7"/>
      <c r="ENN30" s="7"/>
      <c r="ENO30" s="7"/>
      <c r="ENP30" s="7"/>
      <c r="ENQ30" s="7"/>
      <c r="ENR30" s="7"/>
      <c r="ENS30" s="7"/>
      <c r="ENT30" s="7"/>
      <c r="ENU30" s="7"/>
      <c r="ENV30" s="7"/>
      <c r="ENW30" s="7"/>
      <c r="ENX30" s="7"/>
      <c r="ENY30" s="7"/>
      <c r="ENZ30" s="7"/>
      <c r="EOA30" s="7"/>
      <c r="EOB30" s="7"/>
      <c r="EOC30" s="7"/>
      <c r="EOD30" s="7"/>
      <c r="EOE30" s="7"/>
      <c r="EOF30" s="7"/>
      <c r="EOG30" s="7"/>
      <c r="EOH30" s="7"/>
      <c r="EOI30" s="7"/>
      <c r="EOJ30" s="7"/>
      <c r="EOK30" s="7"/>
      <c r="EOL30" s="7"/>
      <c r="EOM30" s="7"/>
      <c r="EON30" s="7"/>
      <c r="EOO30" s="7"/>
      <c r="EOP30" s="7"/>
      <c r="EOQ30" s="7"/>
      <c r="EOR30" s="7"/>
      <c r="EOS30" s="7"/>
      <c r="EOT30" s="7"/>
      <c r="EOU30" s="7"/>
      <c r="EOV30" s="7"/>
      <c r="EOW30" s="7"/>
      <c r="EOX30" s="7"/>
      <c r="EOY30" s="7"/>
      <c r="EOZ30" s="7"/>
      <c r="EPA30" s="7"/>
      <c r="EPB30" s="7"/>
      <c r="EPC30" s="7"/>
      <c r="EPD30" s="7"/>
      <c r="EPE30" s="7"/>
      <c r="EPF30" s="7"/>
      <c r="EPG30" s="7"/>
      <c r="EPH30" s="7"/>
      <c r="EPI30" s="7"/>
      <c r="EPJ30" s="7"/>
      <c r="EPK30" s="7"/>
      <c r="EPL30" s="7"/>
      <c r="EPM30" s="7"/>
      <c r="EPN30" s="7"/>
      <c r="EPO30" s="7"/>
      <c r="EPP30" s="7"/>
      <c r="EPQ30" s="7"/>
      <c r="EPR30" s="7"/>
      <c r="EPS30" s="7"/>
      <c r="EPT30" s="7"/>
      <c r="EPU30" s="7"/>
      <c r="EPV30" s="7"/>
      <c r="EPW30" s="7"/>
      <c r="EPX30" s="7"/>
      <c r="EPY30" s="7"/>
      <c r="EPZ30" s="7"/>
      <c r="EQA30" s="7"/>
      <c r="EQB30" s="7"/>
      <c r="EQC30" s="7"/>
      <c r="EQD30" s="7"/>
      <c r="EQE30" s="7"/>
      <c r="EQF30" s="7"/>
      <c r="EQG30" s="7"/>
      <c r="EQH30" s="7"/>
      <c r="EQI30" s="7"/>
      <c r="EQJ30" s="7"/>
      <c r="EQK30" s="7"/>
      <c r="EQL30" s="7"/>
      <c r="EQM30" s="7"/>
      <c r="EQN30" s="7"/>
      <c r="EQO30" s="7"/>
      <c r="EQP30" s="7"/>
      <c r="EQQ30" s="7"/>
      <c r="EQR30" s="7"/>
      <c r="EQS30" s="7"/>
      <c r="EQT30" s="7"/>
      <c r="EQU30" s="7"/>
      <c r="EQV30" s="7"/>
      <c r="EQW30" s="7"/>
      <c r="EQX30" s="7"/>
      <c r="EQY30" s="7"/>
      <c r="EQZ30" s="7"/>
      <c r="ERA30" s="7"/>
      <c r="ERB30" s="7"/>
      <c r="ERC30" s="7"/>
      <c r="ERD30" s="7"/>
      <c r="ERE30" s="7"/>
      <c r="ERF30" s="7"/>
      <c r="ERG30" s="7"/>
      <c r="ERH30" s="7"/>
      <c r="ERI30" s="7"/>
      <c r="ERJ30" s="7"/>
      <c r="ERK30" s="7"/>
      <c r="ERL30" s="7"/>
      <c r="ERM30" s="7"/>
      <c r="ERN30" s="7"/>
      <c r="ERO30" s="7"/>
      <c r="ERP30" s="7"/>
      <c r="ERQ30" s="7"/>
      <c r="ERR30" s="7"/>
      <c r="ERS30" s="7"/>
      <c r="ERT30" s="7"/>
      <c r="ERU30" s="7"/>
      <c r="ERV30" s="7"/>
      <c r="ERW30" s="7"/>
      <c r="ERX30" s="7"/>
      <c r="ERY30" s="7"/>
      <c r="ERZ30" s="7"/>
      <c r="ESA30" s="7"/>
      <c r="ESB30" s="7"/>
      <c r="ESC30" s="7"/>
      <c r="ESD30" s="7"/>
      <c r="ESE30" s="7"/>
      <c r="ESF30" s="7"/>
      <c r="ESG30" s="7"/>
      <c r="ESH30" s="7"/>
      <c r="ESI30" s="7"/>
      <c r="ESJ30" s="7"/>
      <c r="ESK30" s="7"/>
      <c r="ESL30" s="7"/>
      <c r="ESM30" s="7"/>
      <c r="ESN30" s="7"/>
      <c r="ESO30" s="7"/>
      <c r="ESP30" s="7"/>
      <c r="ESQ30" s="7"/>
      <c r="ESR30" s="7"/>
      <c r="ESS30" s="7"/>
      <c r="EST30" s="7"/>
      <c r="ESU30" s="7"/>
      <c r="ESV30" s="7"/>
      <c r="ESW30" s="7"/>
      <c r="ESX30" s="7"/>
      <c r="ESY30" s="7"/>
      <c r="ESZ30" s="7"/>
      <c r="ETA30" s="7"/>
      <c r="ETB30" s="7"/>
      <c r="ETC30" s="7"/>
      <c r="ETD30" s="7"/>
      <c r="ETE30" s="7"/>
      <c r="ETF30" s="7"/>
      <c r="ETG30" s="7"/>
      <c r="ETH30" s="7"/>
      <c r="ETI30" s="7"/>
      <c r="ETJ30" s="7"/>
      <c r="ETK30" s="7"/>
      <c r="ETL30" s="7"/>
      <c r="ETM30" s="7"/>
      <c r="ETN30" s="7"/>
      <c r="ETO30" s="7"/>
      <c r="ETP30" s="7"/>
      <c r="ETQ30" s="7"/>
      <c r="ETR30" s="7"/>
      <c r="ETS30" s="7"/>
      <c r="ETT30" s="7"/>
      <c r="ETU30" s="7"/>
      <c r="ETV30" s="7"/>
      <c r="ETW30" s="7"/>
      <c r="ETX30" s="7"/>
      <c r="ETY30" s="7"/>
      <c r="ETZ30" s="7"/>
      <c r="EUA30" s="7"/>
      <c r="EUB30" s="7"/>
      <c r="EUC30" s="7"/>
      <c r="EUD30" s="7"/>
      <c r="EUE30" s="7"/>
      <c r="EUF30" s="7"/>
      <c r="EUG30" s="7"/>
      <c r="EUH30" s="7"/>
      <c r="EUI30" s="7"/>
      <c r="EUJ30" s="7"/>
      <c r="EUK30" s="7"/>
      <c r="EUL30" s="7"/>
      <c r="EUM30" s="7"/>
      <c r="EUN30" s="7"/>
      <c r="EUO30" s="7"/>
      <c r="EUP30" s="7"/>
      <c r="EUQ30" s="7"/>
      <c r="EUR30" s="7"/>
      <c r="EUS30" s="7"/>
      <c r="EUT30" s="7"/>
      <c r="EUU30" s="7"/>
      <c r="EUV30" s="7"/>
      <c r="EUW30" s="7"/>
      <c r="EUX30" s="7"/>
      <c r="EUY30" s="7"/>
      <c r="EUZ30" s="7"/>
      <c r="EVA30" s="7"/>
      <c r="EVB30" s="7"/>
      <c r="EVC30" s="7"/>
      <c r="EVD30" s="7"/>
      <c r="EVE30" s="7"/>
      <c r="EVF30" s="7"/>
      <c r="EVG30" s="7"/>
      <c r="EVH30" s="7"/>
      <c r="EVI30" s="7"/>
      <c r="EVJ30" s="7"/>
      <c r="EVK30" s="7"/>
      <c r="EVL30" s="7"/>
      <c r="EVM30" s="7"/>
      <c r="EVN30" s="7"/>
      <c r="EVO30" s="7"/>
      <c r="EVP30" s="7"/>
      <c r="EVQ30" s="7"/>
      <c r="EVR30" s="7"/>
      <c r="EVS30" s="7"/>
      <c r="EVT30" s="7"/>
      <c r="EVU30" s="7"/>
      <c r="EVV30" s="7"/>
      <c r="EVW30" s="7"/>
      <c r="EVX30" s="7"/>
      <c r="EVY30" s="7"/>
      <c r="EVZ30" s="7"/>
      <c r="EWA30" s="7"/>
      <c r="EWB30" s="7"/>
      <c r="EWC30" s="7"/>
      <c r="EWD30" s="7"/>
      <c r="EWE30" s="7"/>
      <c r="EWF30" s="7"/>
      <c r="EWG30" s="7"/>
      <c r="EWH30" s="7"/>
      <c r="EWI30" s="7"/>
      <c r="EWJ30" s="7"/>
      <c r="EWK30" s="7"/>
      <c r="EWL30" s="7"/>
      <c r="EWM30" s="7"/>
      <c r="EWN30" s="7"/>
      <c r="EWO30" s="7"/>
      <c r="EWP30" s="7"/>
      <c r="EWQ30" s="7"/>
      <c r="EWR30" s="7"/>
      <c r="EWS30" s="7"/>
      <c r="EWT30" s="7"/>
      <c r="EWU30" s="7"/>
      <c r="EWV30" s="7"/>
      <c r="EWW30" s="7"/>
      <c r="EWX30" s="7"/>
      <c r="EWY30" s="7"/>
      <c r="EWZ30" s="7"/>
      <c r="EXA30" s="7"/>
      <c r="EXB30" s="7"/>
      <c r="EXC30" s="7"/>
      <c r="EXD30" s="7"/>
      <c r="EXE30" s="7"/>
      <c r="EXF30" s="7"/>
      <c r="EXG30" s="7"/>
      <c r="EXH30" s="7"/>
      <c r="EXI30" s="7"/>
      <c r="EXJ30" s="7"/>
      <c r="EXK30" s="7"/>
      <c r="EXL30" s="7"/>
      <c r="EXM30" s="7"/>
      <c r="EXN30" s="7"/>
      <c r="EXO30" s="7"/>
      <c r="EXP30" s="7"/>
      <c r="EXQ30" s="7"/>
      <c r="EXR30" s="7"/>
      <c r="EXS30" s="7"/>
      <c r="EXT30" s="7"/>
      <c r="EXU30" s="7"/>
      <c r="EXV30" s="7"/>
      <c r="EXW30" s="7"/>
      <c r="EXX30" s="7"/>
      <c r="EXY30" s="7"/>
      <c r="EXZ30" s="7"/>
      <c r="EYA30" s="7"/>
      <c r="EYB30" s="7"/>
      <c r="EYC30" s="7"/>
      <c r="EYD30" s="7"/>
      <c r="EYE30" s="7"/>
      <c r="EYF30" s="7"/>
      <c r="EYG30" s="7"/>
      <c r="EYH30" s="7"/>
      <c r="EYI30" s="7"/>
      <c r="EYJ30" s="7"/>
      <c r="EYK30" s="7"/>
      <c r="EYL30" s="7"/>
      <c r="EYM30" s="7"/>
      <c r="EYN30" s="7"/>
      <c r="EYO30" s="7"/>
      <c r="EYP30" s="7"/>
      <c r="EYQ30" s="7"/>
      <c r="EYR30" s="7"/>
      <c r="EYS30" s="7"/>
      <c r="EYT30" s="7"/>
      <c r="EYU30" s="7"/>
      <c r="EYV30" s="7"/>
      <c r="EYW30" s="7"/>
      <c r="EYX30" s="7"/>
      <c r="EYY30" s="7"/>
      <c r="EYZ30" s="7"/>
      <c r="EZA30" s="7"/>
      <c r="EZB30" s="7"/>
      <c r="EZC30" s="7"/>
      <c r="EZD30" s="7"/>
      <c r="EZE30" s="7"/>
      <c r="EZF30" s="7"/>
      <c r="EZG30" s="7"/>
      <c r="EZH30" s="7"/>
      <c r="EZI30" s="7"/>
      <c r="EZJ30" s="7"/>
      <c r="EZK30" s="7"/>
      <c r="EZL30" s="7"/>
      <c r="EZM30" s="7"/>
      <c r="EZN30" s="7"/>
      <c r="EZO30" s="7"/>
      <c r="EZP30" s="7"/>
      <c r="EZQ30" s="7"/>
      <c r="EZR30" s="7"/>
      <c r="EZS30" s="7"/>
      <c r="EZT30" s="7"/>
      <c r="EZU30" s="7"/>
      <c r="EZV30" s="7"/>
      <c r="EZW30" s="7"/>
      <c r="EZX30" s="7"/>
      <c r="EZY30" s="7"/>
      <c r="EZZ30" s="7"/>
      <c r="FAA30" s="7"/>
      <c r="FAB30" s="7"/>
      <c r="FAC30" s="7"/>
      <c r="FAD30" s="7"/>
      <c r="FAE30" s="7"/>
      <c r="FAF30" s="7"/>
      <c r="FAG30" s="7"/>
      <c r="FAH30" s="7"/>
      <c r="FAI30" s="7"/>
      <c r="FAJ30" s="7"/>
      <c r="FAK30" s="7"/>
      <c r="FAL30" s="7"/>
      <c r="FAM30" s="7"/>
      <c r="FAN30" s="7"/>
      <c r="FAO30" s="7"/>
      <c r="FAP30" s="7"/>
      <c r="FAQ30" s="7"/>
      <c r="FAR30" s="7"/>
      <c r="FAS30" s="7"/>
      <c r="FAT30" s="7"/>
      <c r="FAU30" s="7"/>
      <c r="FAV30" s="7"/>
      <c r="FAW30" s="7"/>
      <c r="FAX30" s="7"/>
      <c r="FAY30" s="7"/>
      <c r="FAZ30" s="7"/>
      <c r="FBA30" s="7"/>
      <c r="FBB30" s="7"/>
      <c r="FBC30" s="7"/>
      <c r="FBD30" s="7"/>
      <c r="FBE30" s="7"/>
      <c r="FBF30" s="7"/>
      <c r="FBG30" s="7"/>
      <c r="FBH30" s="7"/>
      <c r="FBI30" s="7"/>
      <c r="FBJ30" s="7"/>
      <c r="FBK30" s="7"/>
      <c r="FBL30" s="7"/>
      <c r="FBM30" s="7"/>
      <c r="FBN30" s="7"/>
      <c r="FBO30" s="7"/>
      <c r="FBP30" s="7"/>
      <c r="FBQ30" s="7"/>
      <c r="FBR30" s="7"/>
      <c r="FBS30" s="7"/>
      <c r="FBT30" s="7"/>
      <c r="FBU30" s="7"/>
      <c r="FBV30" s="7"/>
      <c r="FBW30" s="7"/>
      <c r="FBX30" s="7"/>
      <c r="FBY30" s="7"/>
      <c r="FBZ30" s="7"/>
      <c r="FCA30" s="7"/>
      <c r="FCB30" s="7"/>
      <c r="FCC30" s="7"/>
      <c r="FCD30" s="7"/>
      <c r="FCE30" s="7"/>
      <c r="FCF30" s="7"/>
      <c r="FCG30" s="7"/>
      <c r="FCH30" s="7"/>
      <c r="FCI30" s="7"/>
      <c r="FCJ30" s="7"/>
      <c r="FCK30" s="7"/>
      <c r="FCL30" s="7"/>
      <c r="FCM30" s="7"/>
      <c r="FCN30" s="7"/>
      <c r="FCO30" s="7"/>
      <c r="FCP30" s="7"/>
      <c r="FCQ30" s="7"/>
      <c r="FCR30" s="7"/>
      <c r="FCS30" s="7"/>
      <c r="FCT30" s="7"/>
      <c r="FCU30" s="7"/>
      <c r="FCV30" s="7"/>
      <c r="FCW30" s="7"/>
      <c r="FCX30" s="7"/>
      <c r="FCY30" s="7"/>
      <c r="FCZ30" s="7"/>
      <c r="FDA30" s="7"/>
      <c r="FDB30" s="7"/>
      <c r="FDC30" s="7"/>
      <c r="FDD30" s="7"/>
      <c r="FDE30" s="7"/>
      <c r="FDF30" s="7"/>
      <c r="FDG30" s="7"/>
      <c r="FDH30" s="7"/>
      <c r="FDI30" s="7"/>
      <c r="FDJ30" s="7"/>
      <c r="FDK30" s="7"/>
      <c r="FDL30" s="7"/>
      <c r="FDM30" s="7"/>
      <c r="FDN30" s="7"/>
      <c r="FDO30" s="7"/>
      <c r="FDP30" s="7"/>
      <c r="FDQ30" s="7"/>
      <c r="FDR30" s="7"/>
      <c r="FDS30" s="7"/>
      <c r="FDT30" s="7"/>
      <c r="FDU30" s="7"/>
      <c r="FDV30" s="7"/>
      <c r="FDW30" s="7"/>
      <c r="FDX30" s="7"/>
      <c r="FDY30" s="7"/>
      <c r="FDZ30" s="7"/>
      <c r="FEA30" s="7"/>
      <c r="FEB30" s="7"/>
      <c r="FEC30" s="7"/>
      <c r="FED30" s="7"/>
      <c r="FEE30" s="7"/>
      <c r="FEF30" s="7"/>
      <c r="FEG30" s="7"/>
      <c r="FEH30" s="7"/>
      <c r="FEI30" s="7"/>
      <c r="FEJ30" s="7"/>
      <c r="FEK30" s="7"/>
      <c r="FEL30" s="7"/>
      <c r="FEM30" s="7"/>
      <c r="FEN30" s="7"/>
      <c r="FEO30" s="7"/>
      <c r="FEP30" s="7"/>
      <c r="FEQ30" s="7"/>
      <c r="FER30" s="7"/>
      <c r="FES30" s="7"/>
      <c r="FET30" s="7"/>
      <c r="FEU30" s="7"/>
      <c r="FEV30" s="7"/>
      <c r="FEW30" s="7"/>
      <c r="FEX30" s="7"/>
      <c r="FEY30" s="7"/>
      <c r="FEZ30" s="7"/>
      <c r="FFA30" s="7"/>
      <c r="FFB30" s="7"/>
      <c r="FFC30" s="7"/>
      <c r="FFD30" s="7"/>
      <c r="FFE30" s="7"/>
      <c r="FFF30" s="7"/>
      <c r="FFG30" s="7"/>
      <c r="FFH30" s="7"/>
      <c r="FFI30" s="7"/>
      <c r="FFJ30" s="7"/>
      <c r="FFK30" s="7"/>
      <c r="FFL30" s="7"/>
      <c r="FFM30" s="7"/>
      <c r="FFN30" s="7"/>
      <c r="FFO30" s="7"/>
      <c r="FFP30" s="7"/>
      <c r="FFQ30" s="7"/>
      <c r="FFR30" s="7"/>
      <c r="FFS30" s="7"/>
      <c r="FFT30" s="7"/>
      <c r="FFU30" s="7"/>
      <c r="FFV30" s="7"/>
      <c r="FFW30" s="7"/>
      <c r="FFX30" s="7"/>
      <c r="FFY30" s="7"/>
      <c r="FFZ30" s="7"/>
      <c r="FGA30" s="7"/>
      <c r="FGB30" s="7"/>
      <c r="FGC30" s="7"/>
      <c r="FGD30" s="7"/>
      <c r="FGE30" s="7"/>
      <c r="FGF30" s="7"/>
      <c r="FGG30" s="7"/>
      <c r="FGH30" s="7"/>
      <c r="FGI30" s="7"/>
      <c r="FGJ30" s="7"/>
      <c r="FGK30" s="7"/>
      <c r="FGL30" s="7"/>
      <c r="FGM30" s="7"/>
      <c r="FGN30" s="7"/>
      <c r="FGO30" s="7"/>
      <c r="FGP30" s="7"/>
      <c r="FGQ30" s="7"/>
      <c r="FGR30" s="7"/>
      <c r="FGS30" s="7"/>
      <c r="FGT30" s="7"/>
      <c r="FGU30" s="7"/>
      <c r="FGV30" s="7"/>
      <c r="FGW30" s="7"/>
      <c r="FGX30" s="7"/>
      <c r="FGY30" s="7"/>
      <c r="FGZ30" s="7"/>
      <c r="FHA30" s="7"/>
      <c r="FHB30" s="7"/>
      <c r="FHC30" s="7"/>
      <c r="FHD30" s="7"/>
      <c r="FHE30" s="7"/>
      <c r="FHF30" s="7"/>
      <c r="FHG30" s="7"/>
      <c r="FHH30" s="7"/>
      <c r="FHI30" s="7"/>
      <c r="FHJ30" s="7"/>
      <c r="FHK30" s="7"/>
      <c r="FHL30" s="7"/>
      <c r="FHM30" s="7"/>
      <c r="FHN30" s="7"/>
      <c r="FHO30" s="7"/>
      <c r="FHP30" s="7"/>
      <c r="FHQ30" s="7"/>
      <c r="FHR30" s="7"/>
      <c r="FHS30" s="7"/>
      <c r="FHT30" s="7"/>
      <c r="FHU30" s="7"/>
      <c r="FHV30" s="7"/>
      <c r="FHW30" s="7"/>
      <c r="FHX30" s="7"/>
      <c r="FHY30" s="7"/>
      <c r="FHZ30" s="7"/>
      <c r="FIA30" s="7"/>
      <c r="FIB30" s="7"/>
      <c r="FIC30" s="7"/>
      <c r="FID30" s="7"/>
      <c r="FIE30" s="7"/>
      <c r="FIF30" s="7"/>
      <c r="FIG30" s="7"/>
      <c r="FIH30" s="7"/>
      <c r="FII30" s="7"/>
      <c r="FIJ30" s="7"/>
      <c r="FIK30" s="7"/>
      <c r="FIL30" s="7"/>
      <c r="FIM30" s="7"/>
      <c r="FIN30" s="7"/>
      <c r="FIO30" s="7"/>
      <c r="FIP30" s="7"/>
      <c r="FIQ30" s="7"/>
      <c r="FIR30" s="7"/>
      <c r="FIS30" s="7"/>
      <c r="FIT30" s="7"/>
      <c r="FIU30" s="7"/>
      <c r="FIV30" s="7"/>
      <c r="FIW30" s="7"/>
      <c r="FIX30" s="7"/>
      <c r="FIY30" s="7"/>
      <c r="FIZ30" s="7"/>
      <c r="FJA30" s="7"/>
      <c r="FJB30" s="7"/>
      <c r="FJC30" s="7"/>
      <c r="FJD30" s="7"/>
      <c r="FJE30" s="7"/>
      <c r="FJF30" s="7"/>
      <c r="FJG30" s="7"/>
      <c r="FJH30" s="7"/>
      <c r="FJI30" s="7"/>
      <c r="FJJ30" s="7"/>
      <c r="FJK30" s="7"/>
      <c r="FJL30" s="7"/>
      <c r="FJM30" s="7"/>
      <c r="FJN30" s="7"/>
      <c r="FJO30" s="7"/>
      <c r="FJP30" s="7"/>
      <c r="FJQ30" s="7"/>
      <c r="FJR30" s="7"/>
      <c r="FJS30" s="7"/>
      <c r="FJT30" s="7"/>
      <c r="FJU30" s="7"/>
      <c r="FJV30" s="7"/>
      <c r="FJW30" s="7"/>
      <c r="FJX30" s="7"/>
      <c r="FJY30" s="7"/>
      <c r="FJZ30" s="7"/>
      <c r="FKA30" s="7"/>
      <c r="FKB30" s="7"/>
      <c r="FKC30" s="7"/>
      <c r="FKD30" s="7"/>
      <c r="FKE30" s="7"/>
      <c r="FKF30" s="7"/>
      <c r="FKG30" s="7"/>
      <c r="FKH30" s="7"/>
      <c r="FKI30" s="7"/>
      <c r="FKJ30" s="7"/>
      <c r="FKK30" s="7"/>
      <c r="FKL30" s="7"/>
      <c r="FKM30" s="7"/>
      <c r="FKN30" s="7"/>
      <c r="FKO30" s="7"/>
      <c r="FKP30" s="7"/>
      <c r="FKQ30" s="7"/>
      <c r="FKR30" s="7"/>
      <c r="FKS30" s="7"/>
      <c r="FKT30" s="7"/>
      <c r="FKU30" s="7"/>
      <c r="FKV30" s="7"/>
      <c r="FKW30" s="7"/>
      <c r="FKX30" s="7"/>
      <c r="FKY30" s="7"/>
      <c r="FKZ30" s="7"/>
      <c r="FLA30" s="7"/>
      <c r="FLB30" s="7"/>
      <c r="FLC30" s="7"/>
      <c r="FLD30" s="7"/>
      <c r="FLE30" s="7"/>
      <c r="FLF30" s="7"/>
      <c r="FLG30" s="7"/>
      <c r="FLH30" s="7"/>
      <c r="FLI30" s="7"/>
      <c r="FLJ30" s="7"/>
      <c r="FLK30" s="7"/>
      <c r="FLL30" s="7"/>
      <c r="FLM30" s="7"/>
      <c r="FLN30" s="7"/>
      <c r="FLO30" s="7"/>
      <c r="FLP30" s="7"/>
      <c r="FLQ30" s="7"/>
      <c r="FLR30" s="7"/>
      <c r="FLS30" s="7"/>
      <c r="FLT30" s="7"/>
      <c r="FLU30" s="7"/>
      <c r="FLV30" s="7"/>
      <c r="FLW30" s="7"/>
      <c r="FLX30" s="7"/>
      <c r="FLY30" s="7"/>
      <c r="FLZ30" s="7"/>
      <c r="FMA30" s="7"/>
      <c r="FMB30" s="7"/>
      <c r="FMC30" s="7"/>
      <c r="FMD30" s="7"/>
      <c r="FME30" s="7"/>
      <c r="FMF30" s="7"/>
      <c r="FMG30" s="7"/>
      <c r="FMH30" s="7"/>
      <c r="FMI30" s="7"/>
      <c r="FMJ30" s="7"/>
      <c r="FMK30" s="7"/>
      <c r="FML30" s="7"/>
      <c r="FMM30" s="7"/>
      <c r="FMN30" s="7"/>
      <c r="FMO30" s="7"/>
      <c r="FMP30" s="7"/>
      <c r="FMQ30" s="7"/>
      <c r="FMR30" s="7"/>
      <c r="FMS30" s="7"/>
      <c r="FMT30" s="7"/>
      <c r="FMU30" s="7"/>
      <c r="FMV30" s="7"/>
      <c r="FMW30" s="7"/>
      <c r="FMX30" s="7"/>
      <c r="FMY30" s="7"/>
      <c r="FMZ30" s="7"/>
      <c r="FNA30" s="7"/>
      <c r="FNB30" s="7"/>
      <c r="FNC30" s="7"/>
      <c r="FND30" s="7"/>
      <c r="FNE30" s="7"/>
      <c r="FNF30" s="7"/>
      <c r="FNG30" s="7"/>
      <c r="FNH30" s="7"/>
      <c r="FNI30" s="7"/>
      <c r="FNJ30" s="7"/>
      <c r="FNK30" s="7"/>
      <c r="FNL30" s="7"/>
      <c r="FNM30" s="7"/>
      <c r="FNN30" s="7"/>
      <c r="FNO30" s="7"/>
      <c r="FNP30" s="7"/>
      <c r="FNQ30" s="7"/>
      <c r="FNR30" s="7"/>
      <c r="FNS30" s="7"/>
      <c r="FNT30" s="7"/>
      <c r="FNU30" s="7"/>
      <c r="FNV30" s="7"/>
      <c r="FNW30" s="7"/>
      <c r="FNX30" s="7"/>
      <c r="FNY30" s="7"/>
      <c r="FNZ30" s="7"/>
      <c r="FOA30" s="7"/>
      <c r="FOB30" s="7"/>
      <c r="FOC30" s="7"/>
      <c r="FOD30" s="7"/>
      <c r="FOE30" s="7"/>
      <c r="FOF30" s="7"/>
      <c r="FOG30" s="7"/>
      <c r="FOH30" s="7"/>
      <c r="FOI30" s="7"/>
      <c r="FOJ30" s="7"/>
      <c r="FOK30" s="7"/>
      <c r="FOL30" s="7"/>
      <c r="FOM30" s="7"/>
      <c r="FON30" s="7"/>
      <c r="FOO30" s="7"/>
      <c r="FOP30" s="7"/>
      <c r="FOQ30" s="7"/>
      <c r="FOR30" s="7"/>
      <c r="FOS30" s="7"/>
      <c r="FOT30" s="7"/>
      <c r="FOU30" s="7"/>
      <c r="FOV30" s="7"/>
      <c r="FOW30" s="7"/>
      <c r="FOX30" s="7"/>
      <c r="FOY30" s="7"/>
      <c r="FOZ30" s="7"/>
      <c r="FPA30" s="7"/>
      <c r="FPB30" s="7"/>
      <c r="FPC30" s="7"/>
      <c r="FPD30" s="7"/>
      <c r="FPE30" s="7"/>
      <c r="FPF30" s="7"/>
      <c r="FPG30" s="7"/>
      <c r="FPH30" s="7"/>
      <c r="FPI30" s="7"/>
      <c r="FPJ30" s="7"/>
      <c r="FPK30" s="7"/>
      <c r="FPL30" s="7"/>
      <c r="FPM30" s="7"/>
      <c r="FPN30" s="7"/>
      <c r="FPO30" s="7"/>
      <c r="FPP30" s="7"/>
      <c r="FPQ30" s="7"/>
      <c r="FPR30" s="7"/>
      <c r="FPS30" s="7"/>
      <c r="FPT30" s="7"/>
      <c r="FPU30" s="7"/>
      <c r="FPV30" s="7"/>
      <c r="FPW30" s="7"/>
      <c r="FPX30" s="7"/>
      <c r="FPY30" s="7"/>
      <c r="FPZ30" s="7"/>
      <c r="FQA30" s="7"/>
      <c r="FQB30" s="7"/>
      <c r="FQC30" s="7"/>
      <c r="FQD30" s="7"/>
      <c r="FQE30" s="7"/>
      <c r="FQF30" s="7"/>
      <c r="FQG30" s="7"/>
      <c r="FQH30" s="7"/>
      <c r="FQI30" s="7"/>
      <c r="FQJ30" s="7"/>
      <c r="FQK30" s="7"/>
      <c r="FQL30" s="7"/>
      <c r="FQM30" s="7"/>
      <c r="FQN30" s="7"/>
      <c r="FQO30" s="7"/>
      <c r="FQP30" s="7"/>
      <c r="FQQ30" s="7"/>
      <c r="FQR30" s="7"/>
      <c r="FQS30" s="7"/>
      <c r="FQT30" s="7"/>
      <c r="FQU30" s="7"/>
      <c r="FQV30" s="7"/>
      <c r="FQW30" s="7"/>
      <c r="FQX30" s="7"/>
      <c r="FQY30" s="7"/>
      <c r="FQZ30" s="7"/>
      <c r="FRA30" s="7"/>
      <c r="FRB30" s="7"/>
      <c r="FRC30" s="7"/>
      <c r="FRD30" s="7"/>
      <c r="FRE30" s="7"/>
      <c r="FRF30" s="7"/>
      <c r="FRG30" s="7"/>
      <c r="FRH30" s="7"/>
      <c r="FRI30" s="7"/>
      <c r="FRJ30" s="7"/>
      <c r="FRK30" s="7"/>
      <c r="FRL30" s="7"/>
      <c r="FRM30" s="7"/>
      <c r="FRN30" s="7"/>
      <c r="FRO30" s="7"/>
      <c r="FRP30" s="7"/>
      <c r="FRQ30" s="7"/>
      <c r="FRR30" s="7"/>
      <c r="FRS30" s="7"/>
      <c r="FRT30" s="7"/>
      <c r="FRU30" s="7"/>
      <c r="FRV30" s="7"/>
      <c r="FRW30" s="7"/>
      <c r="FRX30" s="7"/>
      <c r="FRY30" s="7"/>
      <c r="FRZ30" s="7"/>
      <c r="FSA30" s="7"/>
      <c r="FSB30" s="7"/>
      <c r="FSC30" s="7"/>
      <c r="FSD30" s="7"/>
      <c r="FSE30" s="7"/>
      <c r="FSF30" s="7"/>
      <c r="FSG30" s="7"/>
      <c r="FSH30" s="7"/>
      <c r="FSI30" s="7"/>
      <c r="FSJ30" s="7"/>
      <c r="FSK30" s="7"/>
      <c r="FSL30" s="7"/>
      <c r="FSM30" s="7"/>
      <c r="FSN30" s="7"/>
      <c r="FSO30" s="7"/>
      <c r="FSP30" s="7"/>
      <c r="FSQ30" s="7"/>
      <c r="FSR30" s="7"/>
      <c r="FSS30" s="7"/>
      <c r="FST30" s="7"/>
      <c r="FSU30" s="7"/>
      <c r="FSV30" s="7"/>
      <c r="FSW30" s="7"/>
      <c r="FSX30" s="7"/>
      <c r="FSY30" s="7"/>
      <c r="FSZ30" s="7"/>
      <c r="FTA30" s="7"/>
      <c r="FTB30" s="7"/>
      <c r="FTC30" s="7"/>
      <c r="FTD30" s="7"/>
      <c r="FTE30" s="7"/>
      <c r="FTF30" s="7"/>
      <c r="FTG30" s="7"/>
      <c r="FTH30" s="7"/>
      <c r="FTI30" s="7"/>
      <c r="FTJ30" s="7"/>
      <c r="FTK30" s="7"/>
      <c r="FTL30" s="7"/>
      <c r="FTM30" s="7"/>
      <c r="FTN30" s="7"/>
      <c r="FTO30" s="7"/>
      <c r="FTP30" s="7"/>
      <c r="FTQ30" s="7"/>
      <c r="FTR30" s="7"/>
      <c r="FTS30" s="7"/>
      <c r="FTT30" s="7"/>
      <c r="FTU30" s="7"/>
      <c r="FTV30" s="7"/>
      <c r="FTW30" s="7"/>
      <c r="FTX30" s="7"/>
      <c r="FTY30" s="7"/>
      <c r="FTZ30" s="7"/>
      <c r="FUA30" s="7"/>
      <c r="FUB30" s="7"/>
      <c r="FUC30" s="7"/>
      <c r="FUD30" s="7"/>
      <c r="FUE30" s="7"/>
      <c r="FUF30" s="7"/>
      <c r="FUG30" s="7"/>
      <c r="FUH30" s="7"/>
      <c r="FUI30" s="7"/>
      <c r="FUJ30" s="7"/>
      <c r="FUK30" s="7"/>
      <c r="FUL30" s="7"/>
      <c r="FUM30" s="7"/>
      <c r="FUN30" s="7"/>
      <c r="FUO30" s="7"/>
      <c r="FUP30" s="7"/>
      <c r="FUQ30" s="7"/>
      <c r="FUR30" s="7"/>
      <c r="FUS30" s="7"/>
      <c r="FUT30" s="7"/>
      <c r="FUU30" s="7"/>
      <c r="FUV30" s="7"/>
      <c r="FUW30" s="7"/>
      <c r="FUX30" s="7"/>
      <c r="FUY30" s="7"/>
      <c r="FUZ30" s="7"/>
      <c r="FVA30" s="7"/>
      <c r="FVB30" s="7"/>
      <c r="FVC30" s="7"/>
      <c r="FVD30" s="7"/>
      <c r="FVE30" s="7"/>
      <c r="FVF30" s="7"/>
      <c r="FVG30" s="7"/>
      <c r="FVH30" s="7"/>
      <c r="FVI30" s="7"/>
      <c r="FVJ30" s="7"/>
      <c r="FVK30" s="7"/>
      <c r="FVL30" s="7"/>
      <c r="FVM30" s="7"/>
      <c r="FVN30" s="7"/>
      <c r="FVO30" s="7"/>
      <c r="FVP30" s="7"/>
      <c r="FVQ30" s="7"/>
      <c r="FVR30" s="7"/>
      <c r="FVS30" s="7"/>
      <c r="FVT30" s="7"/>
      <c r="FVU30" s="7"/>
      <c r="FVV30" s="7"/>
      <c r="FVW30" s="7"/>
      <c r="FVX30" s="7"/>
      <c r="FVY30" s="7"/>
      <c r="FVZ30" s="7"/>
      <c r="FWA30" s="7"/>
      <c r="FWB30" s="7"/>
      <c r="FWC30" s="7"/>
      <c r="FWD30" s="7"/>
      <c r="FWE30" s="7"/>
      <c r="FWF30" s="7"/>
      <c r="FWG30" s="7"/>
      <c r="FWH30" s="7"/>
      <c r="FWI30" s="7"/>
      <c r="FWJ30" s="7"/>
      <c r="FWK30" s="7"/>
      <c r="FWL30" s="7"/>
      <c r="FWM30" s="7"/>
      <c r="FWN30" s="7"/>
      <c r="FWO30" s="7"/>
      <c r="FWP30" s="7"/>
      <c r="FWQ30" s="7"/>
      <c r="FWR30" s="7"/>
      <c r="FWS30" s="7"/>
      <c r="FWT30" s="7"/>
      <c r="FWU30" s="7"/>
      <c r="FWV30" s="7"/>
      <c r="FWW30" s="7"/>
      <c r="FWX30" s="7"/>
      <c r="FWY30" s="7"/>
      <c r="FWZ30" s="7"/>
      <c r="FXA30" s="7"/>
      <c r="FXB30" s="7"/>
      <c r="FXC30" s="7"/>
      <c r="FXD30" s="7"/>
      <c r="FXE30" s="7"/>
      <c r="FXF30" s="7"/>
      <c r="FXG30" s="7"/>
      <c r="FXH30" s="7"/>
      <c r="FXI30" s="7"/>
      <c r="FXJ30" s="7"/>
      <c r="FXK30" s="7"/>
      <c r="FXL30" s="7"/>
      <c r="FXM30" s="7"/>
      <c r="FXN30" s="7"/>
      <c r="FXO30" s="7"/>
      <c r="FXP30" s="7"/>
      <c r="FXQ30" s="7"/>
      <c r="FXR30" s="7"/>
      <c r="FXS30" s="7"/>
      <c r="FXT30" s="7"/>
      <c r="FXU30" s="7"/>
      <c r="FXV30" s="7"/>
      <c r="FXW30" s="7"/>
      <c r="FXX30" s="7"/>
      <c r="FXY30" s="7"/>
      <c r="FXZ30" s="7"/>
      <c r="FYA30" s="7"/>
      <c r="FYB30" s="7"/>
      <c r="FYC30" s="7"/>
      <c r="FYD30" s="7"/>
      <c r="FYE30" s="7"/>
      <c r="FYF30" s="7"/>
      <c r="FYG30" s="7"/>
      <c r="FYH30" s="7"/>
      <c r="FYI30" s="7"/>
      <c r="FYJ30" s="7"/>
      <c r="FYK30" s="7"/>
      <c r="FYL30" s="7"/>
      <c r="FYM30" s="7"/>
      <c r="FYN30" s="7"/>
      <c r="FYO30" s="7"/>
      <c r="FYP30" s="7"/>
      <c r="FYQ30" s="7"/>
      <c r="FYR30" s="7"/>
      <c r="FYS30" s="7"/>
      <c r="FYT30" s="7"/>
      <c r="FYU30" s="7"/>
      <c r="FYV30" s="7"/>
      <c r="FYW30" s="7"/>
      <c r="FYX30" s="7"/>
      <c r="FYY30" s="7"/>
      <c r="FYZ30" s="7"/>
      <c r="FZA30" s="7"/>
      <c r="FZB30" s="7"/>
      <c r="FZC30" s="7"/>
      <c r="FZD30" s="7"/>
      <c r="FZE30" s="7"/>
      <c r="FZF30" s="7"/>
      <c r="FZG30" s="7"/>
      <c r="FZH30" s="7"/>
      <c r="FZI30" s="7"/>
      <c r="FZJ30" s="7"/>
      <c r="FZK30" s="7"/>
      <c r="FZL30" s="7"/>
      <c r="FZM30" s="7"/>
      <c r="FZN30" s="7"/>
      <c r="FZO30" s="7"/>
      <c r="FZP30" s="7"/>
      <c r="FZQ30" s="7"/>
      <c r="FZR30" s="7"/>
      <c r="FZS30" s="7"/>
      <c r="FZT30" s="7"/>
      <c r="FZU30" s="7"/>
      <c r="FZV30" s="7"/>
      <c r="FZW30" s="7"/>
      <c r="FZX30" s="7"/>
      <c r="FZY30" s="7"/>
      <c r="FZZ30" s="7"/>
      <c r="GAA30" s="7"/>
      <c r="GAB30" s="7"/>
      <c r="GAC30" s="7"/>
      <c r="GAD30" s="7"/>
      <c r="GAE30" s="7"/>
      <c r="GAF30" s="7"/>
      <c r="GAG30" s="7"/>
      <c r="GAH30" s="7"/>
      <c r="GAI30" s="7"/>
      <c r="GAJ30" s="7"/>
      <c r="GAK30" s="7"/>
      <c r="GAL30" s="7"/>
      <c r="GAM30" s="7"/>
      <c r="GAN30" s="7"/>
      <c r="GAO30" s="7"/>
      <c r="GAP30" s="7"/>
      <c r="GAQ30" s="7"/>
      <c r="GAR30" s="7"/>
      <c r="GAS30" s="7"/>
      <c r="GAT30" s="7"/>
      <c r="GAU30" s="7"/>
      <c r="GAV30" s="7"/>
      <c r="GAW30" s="7"/>
      <c r="GAX30" s="7"/>
      <c r="GAY30" s="7"/>
      <c r="GAZ30" s="7"/>
      <c r="GBA30" s="7"/>
      <c r="GBB30" s="7"/>
      <c r="GBC30" s="7"/>
      <c r="GBD30" s="7"/>
      <c r="GBE30" s="7"/>
      <c r="GBF30" s="7"/>
      <c r="GBG30" s="7"/>
      <c r="GBH30" s="7"/>
      <c r="GBI30" s="7"/>
      <c r="GBJ30" s="7"/>
      <c r="GBK30" s="7"/>
      <c r="GBL30" s="7"/>
      <c r="GBM30" s="7"/>
      <c r="GBN30" s="7"/>
      <c r="GBO30" s="7"/>
      <c r="GBP30" s="7"/>
      <c r="GBQ30" s="7"/>
      <c r="GBR30" s="7"/>
      <c r="GBS30" s="7"/>
      <c r="GBT30" s="7"/>
      <c r="GBU30" s="7"/>
      <c r="GBV30" s="7"/>
      <c r="GBW30" s="7"/>
      <c r="GBX30" s="7"/>
      <c r="GBY30" s="7"/>
      <c r="GBZ30" s="7"/>
      <c r="GCA30" s="7"/>
      <c r="GCB30" s="7"/>
      <c r="GCC30" s="7"/>
      <c r="GCD30" s="7"/>
      <c r="GCE30" s="7"/>
      <c r="GCF30" s="7"/>
      <c r="GCG30" s="7"/>
      <c r="GCH30" s="7"/>
      <c r="GCI30" s="7"/>
      <c r="GCJ30" s="7"/>
      <c r="GCK30" s="7"/>
      <c r="GCL30" s="7"/>
      <c r="GCM30" s="7"/>
      <c r="GCN30" s="7"/>
      <c r="GCO30" s="7"/>
      <c r="GCP30" s="7"/>
      <c r="GCQ30" s="7"/>
      <c r="GCR30" s="7"/>
      <c r="GCS30" s="7"/>
      <c r="GCT30" s="7"/>
      <c r="GCU30" s="7"/>
      <c r="GCV30" s="7"/>
      <c r="GCW30" s="7"/>
      <c r="GCX30" s="7"/>
      <c r="GCY30" s="7"/>
      <c r="GCZ30" s="7"/>
      <c r="GDA30" s="7"/>
      <c r="GDB30" s="7"/>
      <c r="GDC30" s="7"/>
      <c r="GDD30" s="7"/>
      <c r="GDE30" s="7"/>
      <c r="GDF30" s="7"/>
      <c r="GDG30" s="7"/>
      <c r="GDH30" s="7"/>
      <c r="GDI30" s="7"/>
      <c r="GDJ30" s="7"/>
      <c r="GDK30" s="7"/>
      <c r="GDL30" s="7"/>
      <c r="GDM30" s="7"/>
      <c r="GDN30" s="7"/>
      <c r="GDO30" s="7"/>
      <c r="GDP30" s="7"/>
      <c r="GDQ30" s="7"/>
      <c r="GDR30" s="7"/>
      <c r="GDS30" s="7"/>
      <c r="GDT30" s="7"/>
      <c r="GDU30" s="7"/>
      <c r="GDV30" s="7"/>
      <c r="GDW30" s="7"/>
      <c r="GDX30" s="7"/>
      <c r="GDY30" s="7"/>
      <c r="GDZ30" s="7"/>
      <c r="GEA30" s="7"/>
      <c r="GEB30" s="7"/>
      <c r="GEC30" s="7"/>
      <c r="GED30" s="7"/>
      <c r="GEE30" s="7"/>
      <c r="GEF30" s="7"/>
      <c r="GEG30" s="7"/>
      <c r="GEH30" s="7"/>
      <c r="GEI30" s="7"/>
      <c r="GEJ30" s="7"/>
      <c r="GEK30" s="7"/>
      <c r="GEL30" s="7"/>
      <c r="GEM30" s="7"/>
      <c r="GEN30" s="7"/>
      <c r="GEO30" s="7"/>
      <c r="GEP30" s="7"/>
      <c r="GEQ30" s="7"/>
      <c r="GER30" s="7"/>
      <c r="GES30" s="7"/>
      <c r="GET30" s="7"/>
      <c r="GEU30" s="7"/>
      <c r="GEV30" s="7"/>
      <c r="GEW30" s="7"/>
      <c r="GEX30" s="7"/>
      <c r="GEY30" s="7"/>
      <c r="GEZ30" s="7"/>
      <c r="GFA30" s="7"/>
      <c r="GFB30" s="7"/>
      <c r="GFC30" s="7"/>
      <c r="GFD30" s="7"/>
      <c r="GFE30" s="7"/>
      <c r="GFF30" s="7"/>
      <c r="GFG30" s="7"/>
      <c r="GFH30" s="7"/>
      <c r="GFI30" s="7"/>
      <c r="GFJ30" s="7"/>
      <c r="GFK30" s="7"/>
      <c r="GFL30" s="7"/>
      <c r="GFM30" s="7"/>
      <c r="GFN30" s="7"/>
      <c r="GFO30" s="7"/>
      <c r="GFP30" s="7"/>
      <c r="GFQ30" s="7"/>
      <c r="GFR30" s="7"/>
      <c r="GFS30" s="7"/>
      <c r="GFT30" s="7"/>
      <c r="GFU30" s="7"/>
      <c r="GFV30" s="7"/>
      <c r="GFW30" s="7"/>
      <c r="GFX30" s="7"/>
      <c r="GFY30" s="7"/>
      <c r="GFZ30" s="7"/>
      <c r="GGA30" s="7"/>
      <c r="GGB30" s="7"/>
      <c r="GGC30" s="7"/>
      <c r="GGD30" s="7"/>
      <c r="GGE30" s="7"/>
      <c r="GGF30" s="7"/>
      <c r="GGG30" s="7"/>
      <c r="GGH30" s="7"/>
      <c r="GGI30" s="7"/>
      <c r="GGJ30" s="7"/>
      <c r="GGK30" s="7"/>
      <c r="GGL30" s="7"/>
      <c r="GGM30" s="7"/>
      <c r="GGN30" s="7"/>
      <c r="GGO30" s="7"/>
      <c r="GGP30" s="7"/>
      <c r="GGQ30" s="7"/>
      <c r="GGR30" s="7"/>
      <c r="GGS30" s="7"/>
      <c r="GGT30" s="7"/>
      <c r="GGU30" s="7"/>
      <c r="GGV30" s="7"/>
      <c r="GGW30" s="7"/>
      <c r="GGX30" s="7"/>
      <c r="GGY30" s="7"/>
      <c r="GGZ30" s="7"/>
      <c r="GHA30" s="7"/>
      <c r="GHB30" s="7"/>
      <c r="GHC30" s="7"/>
      <c r="GHD30" s="7"/>
      <c r="GHE30" s="7"/>
      <c r="GHF30" s="7"/>
      <c r="GHG30" s="7"/>
      <c r="GHH30" s="7"/>
      <c r="GHI30" s="7"/>
      <c r="GHJ30" s="7"/>
      <c r="GHK30" s="7"/>
      <c r="GHL30" s="7"/>
      <c r="GHM30" s="7"/>
      <c r="GHN30" s="7"/>
      <c r="GHO30" s="7"/>
      <c r="GHP30" s="7"/>
      <c r="GHQ30" s="7"/>
      <c r="GHR30" s="7"/>
      <c r="GHS30" s="7"/>
      <c r="GHT30" s="7"/>
      <c r="GHU30" s="7"/>
      <c r="GHV30" s="7"/>
      <c r="GHW30" s="7"/>
      <c r="GHX30" s="7"/>
      <c r="GHY30" s="7"/>
      <c r="GHZ30" s="7"/>
      <c r="GIA30" s="7"/>
      <c r="GIB30" s="7"/>
      <c r="GIC30" s="7"/>
      <c r="GID30" s="7"/>
      <c r="GIE30" s="7"/>
      <c r="GIF30" s="7"/>
      <c r="GIG30" s="7"/>
      <c r="GIH30" s="7"/>
      <c r="GII30" s="7"/>
      <c r="GIJ30" s="7"/>
      <c r="GIK30" s="7"/>
      <c r="GIL30" s="7"/>
      <c r="GIM30" s="7"/>
      <c r="GIN30" s="7"/>
      <c r="GIO30" s="7"/>
      <c r="GIP30" s="7"/>
      <c r="GIQ30" s="7"/>
      <c r="GIR30" s="7"/>
      <c r="GIS30" s="7"/>
      <c r="GIT30" s="7"/>
      <c r="GIU30" s="7"/>
      <c r="GIV30" s="7"/>
      <c r="GIW30" s="7"/>
      <c r="GIX30" s="7"/>
      <c r="GIY30" s="7"/>
      <c r="GIZ30" s="7"/>
      <c r="GJA30" s="7"/>
      <c r="GJB30" s="7"/>
      <c r="GJC30" s="7"/>
      <c r="GJD30" s="7"/>
      <c r="GJE30" s="7"/>
      <c r="GJF30" s="7"/>
      <c r="GJG30" s="7"/>
      <c r="GJH30" s="7"/>
      <c r="GJI30" s="7"/>
      <c r="GJJ30" s="7"/>
      <c r="GJK30" s="7"/>
      <c r="GJL30" s="7"/>
      <c r="GJM30" s="7"/>
      <c r="GJN30" s="7"/>
      <c r="GJO30" s="7"/>
      <c r="GJP30" s="7"/>
      <c r="GJQ30" s="7"/>
      <c r="GJR30" s="7"/>
      <c r="GJS30" s="7"/>
      <c r="GJT30" s="7"/>
      <c r="GJU30" s="7"/>
      <c r="GJV30" s="7"/>
      <c r="GJW30" s="7"/>
      <c r="GJX30" s="7"/>
      <c r="GJY30" s="7"/>
      <c r="GJZ30" s="7"/>
      <c r="GKA30" s="7"/>
      <c r="GKB30" s="7"/>
      <c r="GKC30" s="7"/>
      <c r="GKD30" s="7"/>
      <c r="GKE30" s="7"/>
      <c r="GKF30" s="7"/>
      <c r="GKG30" s="7"/>
      <c r="GKH30" s="7"/>
      <c r="GKI30" s="7"/>
      <c r="GKJ30" s="7"/>
      <c r="GKK30" s="7"/>
      <c r="GKL30" s="7"/>
      <c r="GKM30" s="7"/>
      <c r="GKN30" s="7"/>
      <c r="GKO30" s="7"/>
      <c r="GKP30" s="7"/>
      <c r="GKQ30" s="7"/>
      <c r="GKR30" s="7"/>
      <c r="GKS30" s="7"/>
      <c r="GKT30" s="7"/>
      <c r="GKU30" s="7"/>
      <c r="GKV30" s="7"/>
      <c r="GKW30" s="7"/>
      <c r="GKX30" s="7"/>
      <c r="GKY30" s="7"/>
      <c r="GKZ30" s="7"/>
      <c r="GLA30" s="7"/>
      <c r="GLB30" s="7"/>
      <c r="GLC30" s="7"/>
      <c r="GLD30" s="7"/>
      <c r="GLE30" s="7"/>
      <c r="GLF30" s="7"/>
      <c r="GLG30" s="7"/>
      <c r="GLH30" s="7"/>
      <c r="GLI30" s="7"/>
      <c r="GLJ30" s="7"/>
      <c r="GLK30" s="7"/>
      <c r="GLL30" s="7"/>
      <c r="GLM30" s="7"/>
      <c r="GLN30" s="7"/>
      <c r="GLO30" s="7"/>
      <c r="GLP30" s="7"/>
      <c r="GLQ30" s="7"/>
      <c r="GLR30" s="7"/>
      <c r="GLS30" s="7"/>
      <c r="GLT30" s="7"/>
      <c r="GLU30" s="7"/>
      <c r="GLV30" s="7"/>
      <c r="GLW30" s="7"/>
      <c r="GLX30" s="7"/>
      <c r="GLY30" s="7"/>
      <c r="GLZ30" s="7"/>
      <c r="GMA30" s="7"/>
      <c r="GMB30" s="7"/>
      <c r="GMC30" s="7"/>
      <c r="GMD30" s="7"/>
      <c r="GME30" s="7"/>
      <c r="GMF30" s="7"/>
      <c r="GMG30" s="7"/>
      <c r="GMH30" s="7"/>
      <c r="GMI30" s="7"/>
      <c r="GMJ30" s="7"/>
      <c r="GMK30" s="7"/>
      <c r="GML30" s="7"/>
      <c r="GMM30" s="7"/>
      <c r="GMN30" s="7"/>
      <c r="GMO30" s="7"/>
      <c r="GMP30" s="7"/>
      <c r="GMQ30" s="7"/>
      <c r="GMR30" s="7"/>
      <c r="GMS30" s="7"/>
      <c r="GMT30" s="7"/>
      <c r="GMU30" s="7"/>
      <c r="GMV30" s="7"/>
      <c r="GMW30" s="7"/>
      <c r="GMX30" s="7"/>
      <c r="GMY30" s="7"/>
      <c r="GMZ30" s="7"/>
      <c r="GNA30" s="7"/>
      <c r="GNB30" s="7"/>
      <c r="GNC30" s="7"/>
      <c r="GND30" s="7"/>
      <c r="GNE30" s="7"/>
      <c r="GNF30" s="7"/>
      <c r="GNG30" s="7"/>
      <c r="GNH30" s="7"/>
      <c r="GNI30" s="7"/>
      <c r="GNJ30" s="7"/>
      <c r="GNK30" s="7"/>
      <c r="GNL30" s="7"/>
      <c r="GNM30" s="7"/>
      <c r="GNN30" s="7"/>
      <c r="GNO30" s="7"/>
      <c r="GNP30" s="7"/>
      <c r="GNQ30" s="7"/>
      <c r="GNR30" s="7"/>
      <c r="GNS30" s="7"/>
      <c r="GNT30" s="7"/>
      <c r="GNU30" s="7"/>
      <c r="GNV30" s="7"/>
      <c r="GNW30" s="7"/>
      <c r="GNX30" s="7"/>
      <c r="GNY30" s="7"/>
      <c r="GNZ30" s="7"/>
      <c r="GOA30" s="7"/>
      <c r="GOB30" s="7"/>
      <c r="GOC30" s="7"/>
      <c r="GOD30" s="7"/>
      <c r="GOE30" s="7"/>
      <c r="GOF30" s="7"/>
      <c r="GOG30" s="7"/>
      <c r="GOH30" s="7"/>
      <c r="GOI30" s="7"/>
      <c r="GOJ30" s="7"/>
      <c r="GOK30" s="7"/>
      <c r="GOL30" s="7"/>
      <c r="GOM30" s="7"/>
      <c r="GON30" s="7"/>
      <c r="GOO30" s="7"/>
      <c r="GOP30" s="7"/>
      <c r="GOQ30" s="7"/>
      <c r="GOR30" s="7"/>
      <c r="GOS30" s="7"/>
      <c r="GOT30" s="7"/>
      <c r="GOU30" s="7"/>
      <c r="GOV30" s="7"/>
      <c r="GOW30" s="7"/>
      <c r="GOX30" s="7"/>
      <c r="GOY30" s="7"/>
      <c r="GOZ30" s="7"/>
      <c r="GPA30" s="7"/>
      <c r="GPB30" s="7"/>
      <c r="GPC30" s="7"/>
      <c r="GPD30" s="7"/>
      <c r="GPE30" s="7"/>
      <c r="GPF30" s="7"/>
      <c r="GPG30" s="7"/>
      <c r="GPH30" s="7"/>
      <c r="GPI30" s="7"/>
      <c r="GPJ30" s="7"/>
      <c r="GPK30" s="7"/>
      <c r="GPL30" s="7"/>
      <c r="GPM30" s="7"/>
      <c r="GPN30" s="7"/>
      <c r="GPO30" s="7"/>
      <c r="GPP30" s="7"/>
      <c r="GPQ30" s="7"/>
      <c r="GPR30" s="7"/>
      <c r="GPS30" s="7"/>
      <c r="GPT30" s="7"/>
      <c r="GPU30" s="7"/>
      <c r="GPV30" s="7"/>
      <c r="GPW30" s="7"/>
      <c r="GPX30" s="7"/>
      <c r="GPY30" s="7"/>
      <c r="GPZ30" s="7"/>
      <c r="GQA30" s="7"/>
      <c r="GQB30" s="7"/>
      <c r="GQC30" s="7"/>
      <c r="GQD30" s="7"/>
      <c r="GQE30" s="7"/>
      <c r="GQF30" s="7"/>
      <c r="GQG30" s="7"/>
      <c r="GQH30" s="7"/>
      <c r="GQI30" s="7"/>
      <c r="GQJ30" s="7"/>
      <c r="GQK30" s="7"/>
      <c r="GQL30" s="7"/>
      <c r="GQM30" s="7"/>
      <c r="GQN30" s="7"/>
      <c r="GQO30" s="7"/>
      <c r="GQP30" s="7"/>
      <c r="GQQ30" s="7"/>
      <c r="GQR30" s="7"/>
      <c r="GQS30" s="7"/>
      <c r="GQT30" s="7"/>
      <c r="GQU30" s="7"/>
      <c r="GQV30" s="7"/>
      <c r="GQW30" s="7"/>
      <c r="GQX30" s="7"/>
      <c r="GQY30" s="7"/>
      <c r="GQZ30" s="7"/>
      <c r="GRA30" s="7"/>
      <c r="GRB30" s="7"/>
      <c r="GRC30" s="7"/>
      <c r="GRD30" s="7"/>
      <c r="GRE30" s="7"/>
      <c r="GRF30" s="7"/>
      <c r="GRG30" s="7"/>
      <c r="GRH30" s="7"/>
      <c r="GRI30" s="7"/>
      <c r="GRJ30" s="7"/>
      <c r="GRK30" s="7"/>
      <c r="GRL30" s="7"/>
      <c r="GRM30" s="7"/>
      <c r="GRN30" s="7"/>
      <c r="GRO30" s="7"/>
      <c r="GRP30" s="7"/>
      <c r="GRQ30" s="7"/>
      <c r="GRR30" s="7"/>
      <c r="GRS30" s="7"/>
      <c r="GRT30" s="7"/>
      <c r="GRU30" s="7"/>
      <c r="GRV30" s="7"/>
      <c r="GRW30" s="7"/>
      <c r="GRX30" s="7"/>
      <c r="GRY30" s="7"/>
      <c r="GRZ30" s="7"/>
      <c r="GSA30" s="7"/>
      <c r="GSB30" s="7"/>
      <c r="GSC30" s="7"/>
      <c r="GSD30" s="7"/>
      <c r="GSE30" s="7"/>
      <c r="GSF30" s="7"/>
      <c r="GSG30" s="7"/>
      <c r="GSH30" s="7"/>
      <c r="GSI30" s="7"/>
      <c r="GSJ30" s="7"/>
      <c r="GSK30" s="7"/>
      <c r="GSL30" s="7"/>
      <c r="GSM30" s="7"/>
      <c r="GSN30" s="7"/>
      <c r="GSO30" s="7"/>
      <c r="GSP30" s="7"/>
      <c r="GSQ30" s="7"/>
      <c r="GSR30" s="7"/>
      <c r="GSS30" s="7"/>
      <c r="GST30" s="7"/>
      <c r="GSU30" s="7"/>
      <c r="GSV30" s="7"/>
      <c r="GSW30" s="7"/>
      <c r="GSX30" s="7"/>
      <c r="GSY30" s="7"/>
      <c r="GSZ30" s="7"/>
      <c r="GTA30" s="7"/>
      <c r="GTB30" s="7"/>
      <c r="GTC30" s="7"/>
      <c r="GTD30" s="7"/>
      <c r="GTE30" s="7"/>
      <c r="GTF30" s="7"/>
      <c r="GTG30" s="7"/>
      <c r="GTH30" s="7"/>
      <c r="GTI30" s="7"/>
      <c r="GTJ30" s="7"/>
      <c r="GTK30" s="7"/>
      <c r="GTL30" s="7"/>
      <c r="GTM30" s="7"/>
      <c r="GTN30" s="7"/>
      <c r="GTO30" s="7"/>
      <c r="GTP30" s="7"/>
      <c r="GTQ30" s="7"/>
      <c r="GTR30" s="7"/>
      <c r="GTS30" s="7"/>
      <c r="GTT30" s="7"/>
      <c r="GTU30" s="7"/>
      <c r="GTV30" s="7"/>
      <c r="GTW30" s="7"/>
      <c r="GTX30" s="7"/>
      <c r="GTY30" s="7"/>
      <c r="GTZ30" s="7"/>
      <c r="GUA30" s="7"/>
      <c r="GUB30" s="7"/>
      <c r="GUC30" s="7"/>
      <c r="GUD30" s="7"/>
      <c r="GUE30" s="7"/>
      <c r="GUF30" s="7"/>
      <c r="GUG30" s="7"/>
      <c r="GUH30" s="7"/>
      <c r="GUI30" s="7"/>
      <c r="GUJ30" s="7"/>
      <c r="GUK30" s="7"/>
      <c r="GUL30" s="7"/>
      <c r="GUM30" s="7"/>
      <c r="GUN30" s="7"/>
      <c r="GUO30" s="7"/>
      <c r="GUP30" s="7"/>
      <c r="GUQ30" s="7"/>
      <c r="GUR30" s="7"/>
      <c r="GUS30" s="7"/>
      <c r="GUT30" s="7"/>
      <c r="GUU30" s="7"/>
      <c r="GUV30" s="7"/>
      <c r="GUW30" s="7"/>
      <c r="GUX30" s="7"/>
      <c r="GUY30" s="7"/>
      <c r="GUZ30" s="7"/>
      <c r="GVA30" s="7"/>
      <c r="GVB30" s="7"/>
      <c r="GVC30" s="7"/>
      <c r="GVD30" s="7"/>
      <c r="GVE30" s="7"/>
      <c r="GVF30" s="7"/>
      <c r="GVG30" s="7"/>
      <c r="GVH30" s="7"/>
      <c r="GVI30" s="7"/>
      <c r="GVJ30" s="7"/>
      <c r="GVK30" s="7"/>
      <c r="GVL30" s="7"/>
      <c r="GVM30" s="7"/>
      <c r="GVN30" s="7"/>
      <c r="GVO30" s="7"/>
      <c r="GVP30" s="7"/>
      <c r="GVQ30" s="7"/>
      <c r="GVR30" s="7"/>
      <c r="GVS30" s="7"/>
      <c r="GVT30" s="7"/>
      <c r="GVU30" s="7"/>
      <c r="GVV30" s="7"/>
      <c r="GVW30" s="7"/>
      <c r="GVX30" s="7"/>
      <c r="GVY30" s="7"/>
      <c r="GVZ30" s="7"/>
      <c r="GWA30" s="7"/>
      <c r="GWB30" s="7"/>
      <c r="GWC30" s="7"/>
      <c r="GWD30" s="7"/>
      <c r="GWE30" s="7"/>
      <c r="GWF30" s="7"/>
      <c r="GWG30" s="7"/>
      <c r="GWH30" s="7"/>
      <c r="GWI30" s="7"/>
      <c r="GWJ30" s="7"/>
      <c r="GWK30" s="7"/>
      <c r="GWL30" s="7"/>
      <c r="GWM30" s="7"/>
      <c r="GWN30" s="7"/>
      <c r="GWO30" s="7"/>
      <c r="GWP30" s="7"/>
      <c r="GWQ30" s="7"/>
      <c r="GWR30" s="7"/>
      <c r="GWS30" s="7"/>
      <c r="GWT30" s="7"/>
      <c r="GWU30" s="7"/>
      <c r="GWV30" s="7"/>
      <c r="GWW30" s="7"/>
      <c r="GWX30" s="7"/>
      <c r="GWY30" s="7"/>
      <c r="GWZ30" s="7"/>
      <c r="GXA30" s="7"/>
      <c r="GXB30" s="7"/>
      <c r="GXC30" s="7"/>
      <c r="GXD30" s="7"/>
      <c r="GXE30" s="7"/>
      <c r="GXF30" s="7"/>
      <c r="GXG30" s="7"/>
      <c r="GXH30" s="7"/>
      <c r="GXI30" s="7"/>
      <c r="GXJ30" s="7"/>
      <c r="GXK30" s="7"/>
      <c r="GXL30" s="7"/>
      <c r="GXM30" s="7"/>
      <c r="GXN30" s="7"/>
      <c r="GXO30" s="7"/>
      <c r="GXP30" s="7"/>
      <c r="GXQ30" s="7"/>
      <c r="GXR30" s="7"/>
      <c r="GXS30" s="7"/>
      <c r="GXT30" s="7"/>
      <c r="GXU30" s="7"/>
      <c r="GXV30" s="7"/>
      <c r="GXW30" s="7"/>
      <c r="GXX30" s="7"/>
      <c r="GXY30" s="7"/>
      <c r="GXZ30" s="7"/>
      <c r="GYA30" s="7"/>
      <c r="GYB30" s="7"/>
      <c r="GYC30" s="7"/>
      <c r="GYD30" s="7"/>
      <c r="GYE30" s="7"/>
      <c r="GYF30" s="7"/>
      <c r="GYG30" s="7"/>
      <c r="GYH30" s="7"/>
      <c r="GYI30" s="7"/>
      <c r="GYJ30" s="7"/>
      <c r="GYK30" s="7"/>
      <c r="GYL30" s="7"/>
      <c r="GYM30" s="7"/>
      <c r="GYN30" s="7"/>
      <c r="GYO30" s="7"/>
      <c r="GYP30" s="7"/>
      <c r="GYQ30" s="7"/>
      <c r="GYR30" s="7"/>
      <c r="GYS30" s="7"/>
      <c r="GYT30" s="7"/>
      <c r="GYU30" s="7"/>
      <c r="GYV30" s="7"/>
      <c r="GYW30" s="7"/>
      <c r="GYX30" s="7"/>
      <c r="GYY30" s="7"/>
      <c r="GYZ30" s="7"/>
      <c r="GZA30" s="7"/>
      <c r="GZB30" s="7"/>
      <c r="GZC30" s="7"/>
      <c r="GZD30" s="7"/>
      <c r="GZE30" s="7"/>
      <c r="GZF30" s="7"/>
      <c r="GZG30" s="7"/>
      <c r="GZH30" s="7"/>
      <c r="GZI30" s="7"/>
      <c r="GZJ30" s="7"/>
      <c r="GZK30" s="7"/>
      <c r="GZL30" s="7"/>
      <c r="GZM30" s="7"/>
      <c r="GZN30" s="7"/>
      <c r="GZO30" s="7"/>
      <c r="GZP30" s="7"/>
      <c r="GZQ30" s="7"/>
      <c r="GZR30" s="7"/>
      <c r="GZS30" s="7"/>
      <c r="GZT30" s="7"/>
      <c r="GZU30" s="7"/>
      <c r="GZV30" s="7"/>
      <c r="GZW30" s="7"/>
      <c r="GZX30" s="7"/>
      <c r="GZY30" s="7"/>
      <c r="GZZ30" s="7"/>
      <c r="HAA30" s="7"/>
      <c r="HAB30" s="7"/>
      <c r="HAC30" s="7"/>
      <c r="HAD30" s="7"/>
      <c r="HAE30" s="7"/>
      <c r="HAF30" s="7"/>
      <c r="HAG30" s="7"/>
      <c r="HAH30" s="7"/>
      <c r="HAI30" s="7"/>
      <c r="HAJ30" s="7"/>
      <c r="HAK30" s="7"/>
      <c r="HAL30" s="7"/>
      <c r="HAM30" s="7"/>
      <c r="HAN30" s="7"/>
      <c r="HAO30" s="7"/>
      <c r="HAP30" s="7"/>
      <c r="HAQ30" s="7"/>
      <c r="HAR30" s="7"/>
      <c r="HAS30" s="7"/>
      <c r="HAT30" s="7"/>
      <c r="HAU30" s="7"/>
      <c r="HAV30" s="7"/>
      <c r="HAW30" s="7"/>
      <c r="HAX30" s="7"/>
      <c r="HAY30" s="7"/>
      <c r="HAZ30" s="7"/>
      <c r="HBA30" s="7"/>
      <c r="HBB30" s="7"/>
      <c r="HBC30" s="7"/>
      <c r="HBD30" s="7"/>
      <c r="HBE30" s="7"/>
      <c r="HBF30" s="7"/>
      <c r="HBG30" s="7"/>
      <c r="HBH30" s="7"/>
      <c r="HBI30" s="7"/>
      <c r="HBJ30" s="7"/>
      <c r="HBK30" s="7"/>
      <c r="HBL30" s="7"/>
      <c r="HBM30" s="7"/>
      <c r="HBN30" s="7"/>
      <c r="HBO30" s="7"/>
      <c r="HBP30" s="7"/>
      <c r="HBQ30" s="7"/>
      <c r="HBR30" s="7"/>
      <c r="HBS30" s="7"/>
      <c r="HBT30" s="7"/>
      <c r="HBU30" s="7"/>
      <c r="HBV30" s="7"/>
      <c r="HBW30" s="7"/>
      <c r="HBX30" s="7"/>
      <c r="HBY30" s="7"/>
      <c r="HBZ30" s="7"/>
      <c r="HCA30" s="7"/>
      <c r="HCB30" s="7"/>
      <c r="HCC30" s="7"/>
      <c r="HCD30" s="7"/>
      <c r="HCE30" s="7"/>
      <c r="HCF30" s="7"/>
      <c r="HCG30" s="7"/>
      <c r="HCH30" s="7"/>
      <c r="HCI30" s="7"/>
      <c r="HCJ30" s="7"/>
      <c r="HCK30" s="7"/>
      <c r="HCL30" s="7"/>
      <c r="HCM30" s="7"/>
      <c r="HCN30" s="7"/>
      <c r="HCO30" s="7"/>
      <c r="HCP30" s="7"/>
      <c r="HCQ30" s="7"/>
      <c r="HCR30" s="7"/>
      <c r="HCS30" s="7"/>
      <c r="HCT30" s="7"/>
      <c r="HCU30" s="7"/>
      <c r="HCV30" s="7"/>
      <c r="HCW30" s="7"/>
      <c r="HCX30" s="7"/>
      <c r="HCY30" s="7"/>
      <c r="HCZ30" s="7"/>
      <c r="HDA30" s="7"/>
      <c r="HDB30" s="7"/>
      <c r="HDC30" s="7"/>
      <c r="HDD30" s="7"/>
      <c r="HDE30" s="7"/>
      <c r="HDF30" s="7"/>
      <c r="HDG30" s="7"/>
      <c r="HDH30" s="7"/>
      <c r="HDI30" s="7"/>
      <c r="HDJ30" s="7"/>
      <c r="HDK30" s="7"/>
      <c r="HDL30" s="7"/>
      <c r="HDM30" s="7"/>
      <c r="HDN30" s="7"/>
      <c r="HDO30" s="7"/>
      <c r="HDP30" s="7"/>
      <c r="HDQ30" s="7"/>
      <c r="HDR30" s="7"/>
      <c r="HDS30" s="7"/>
      <c r="HDT30" s="7"/>
      <c r="HDU30" s="7"/>
      <c r="HDV30" s="7"/>
      <c r="HDW30" s="7"/>
      <c r="HDX30" s="7"/>
      <c r="HDY30" s="7"/>
      <c r="HDZ30" s="7"/>
      <c r="HEA30" s="7"/>
      <c r="HEB30" s="7"/>
      <c r="HEC30" s="7"/>
      <c r="HED30" s="7"/>
      <c r="HEE30" s="7"/>
      <c r="HEF30" s="7"/>
      <c r="HEG30" s="7"/>
      <c r="HEH30" s="7"/>
      <c r="HEI30" s="7"/>
      <c r="HEJ30" s="7"/>
      <c r="HEK30" s="7"/>
      <c r="HEL30" s="7"/>
      <c r="HEM30" s="7"/>
      <c r="HEN30" s="7"/>
      <c r="HEO30" s="7"/>
      <c r="HEP30" s="7"/>
      <c r="HEQ30" s="7"/>
      <c r="HER30" s="7"/>
      <c r="HES30" s="7"/>
      <c r="HET30" s="7"/>
      <c r="HEU30" s="7"/>
      <c r="HEV30" s="7"/>
      <c r="HEW30" s="7"/>
      <c r="HEX30" s="7"/>
      <c r="HEY30" s="7"/>
      <c r="HEZ30" s="7"/>
      <c r="HFA30" s="7"/>
      <c r="HFB30" s="7"/>
      <c r="HFC30" s="7"/>
      <c r="HFD30" s="7"/>
      <c r="HFE30" s="7"/>
      <c r="HFF30" s="7"/>
      <c r="HFG30" s="7"/>
      <c r="HFH30" s="7"/>
      <c r="HFI30" s="7"/>
      <c r="HFJ30" s="7"/>
      <c r="HFK30" s="7"/>
      <c r="HFL30" s="7"/>
      <c r="HFM30" s="7"/>
      <c r="HFN30" s="7"/>
      <c r="HFO30" s="7"/>
      <c r="HFP30" s="7"/>
      <c r="HFQ30" s="7"/>
      <c r="HFR30" s="7"/>
      <c r="HFS30" s="7"/>
      <c r="HFT30" s="7"/>
      <c r="HFU30" s="7"/>
      <c r="HFV30" s="7"/>
      <c r="HFW30" s="7"/>
      <c r="HFX30" s="7"/>
      <c r="HFY30" s="7"/>
      <c r="HFZ30" s="7"/>
      <c r="HGA30" s="7"/>
      <c r="HGB30" s="7"/>
      <c r="HGC30" s="7"/>
      <c r="HGD30" s="7"/>
      <c r="HGE30" s="7"/>
      <c r="HGF30" s="7"/>
      <c r="HGG30" s="7"/>
      <c r="HGH30" s="7"/>
      <c r="HGI30" s="7"/>
      <c r="HGJ30" s="7"/>
      <c r="HGK30" s="7"/>
      <c r="HGL30" s="7"/>
      <c r="HGM30" s="7"/>
      <c r="HGN30" s="7"/>
      <c r="HGO30" s="7"/>
      <c r="HGP30" s="7"/>
      <c r="HGQ30" s="7"/>
      <c r="HGR30" s="7"/>
      <c r="HGS30" s="7"/>
      <c r="HGT30" s="7"/>
      <c r="HGU30" s="7"/>
      <c r="HGV30" s="7"/>
      <c r="HGW30" s="7"/>
      <c r="HGX30" s="7"/>
      <c r="HGY30" s="7"/>
      <c r="HGZ30" s="7"/>
      <c r="HHA30" s="7"/>
      <c r="HHB30" s="7"/>
      <c r="HHC30" s="7"/>
      <c r="HHD30" s="7"/>
      <c r="HHE30" s="7"/>
      <c r="HHF30" s="7"/>
      <c r="HHG30" s="7"/>
      <c r="HHH30" s="7"/>
      <c r="HHI30" s="7"/>
      <c r="HHJ30" s="7"/>
      <c r="HHK30" s="7"/>
      <c r="HHL30" s="7"/>
      <c r="HHM30" s="7"/>
      <c r="HHN30" s="7"/>
      <c r="HHO30" s="7"/>
      <c r="HHP30" s="7"/>
      <c r="HHQ30" s="7"/>
      <c r="HHR30" s="7"/>
      <c r="HHS30" s="7"/>
      <c r="HHT30" s="7"/>
      <c r="HHU30" s="7"/>
      <c r="HHV30" s="7"/>
      <c r="HHW30" s="7"/>
      <c r="HHX30" s="7"/>
      <c r="HHY30" s="7"/>
      <c r="HHZ30" s="7"/>
      <c r="HIA30" s="7"/>
      <c r="HIB30" s="7"/>
      <c r="HIC30" s="7"/>
      <c r="HID30" s="7"/>
      <c r="HIE30" s="7"/>
      <c r="HIF30" s="7"/>
      <c r="HIG30" s="7"/>
      <c r="HIH30" s="7"/>
      <c r="HII30" s="7"/>
      <c r="HIJ30" s="7"/>
      <c r="HIK30" s="7"/>
      <c r="HIL30" s="7"/>
      <c r="HIM30" s="7"/>
      <c r="HIN30" s="7"/>
      <c r="HIO30" s="7"/>
      <c r="HIP30" s="7"/>
      <c r="HIQ30" s="7"/>
      <c r="HIR30" s="7"/>
      <c r="HIS30" s="7"/>
      <c r="HIT30" s="7"/>
      <c r="HIU30" s="7"/>
      <c r="HIV30" s="7"/>
      <c r="HIW30" s="7"/>
      <c r="HIX30" s="7"/>
      <c r="HIY30" s="7"/>
      <c r="HIZ30" s="7"/>
      <c r="HJA30" s="7"/>
      <c r="HJB30" s="7"/>
      <c r="HJC30" s="7"/>
      <c r="HJD30" s="7"/>
      <c r="HJE30" s="7"/>
      <c r="HJF30" s="7"/>
      <c r="HJG30" s="7"/>
      <c r="HJH30" s="7"/>
      <c r="HJI30" s="7"/>
      <c r="HJJ30" s="7"/>
      <c r="HJK30" s="7"/>
      <c r="HJL30" s="7"/>
      <c r="HJM30" s="7"/>
      <c r="HJN30" s="7"/>
      <c r="HJO30" s="7"/>
      <c r="HJP30" s="7"/>
      <c r="HJQ30" s="7"/>
      <c r="HJR30" s="7"/>
      <c r="HJS30" s="7"/>
      <c r="HJT30" s="7"/>
      <c r="HJU30" s="7"/>
      <c r="HJV30" s="7"/>
      <c r="HJW30" s="7"/>
      <c r="HJX30" s="7"/>
      <c r="HJY30" s="7"/>
      <c r="HJZ30" s="7"/>
      <c r="HKA30" s="7"/>
      <c r="HKB30" s="7"/>
      <c r="HKC30" s="7"/>
      <c r="HKD30" s="7"/>
      <c r="HKE30" s="7"/>
      <c r="HKF30" s="7"/>
      <c r="HKG30" s="7"/>
      <c r="HKH30" s="7"/>
      <c r="HKI30" s="7"/>
      <c r="HKJ30" s="7"/>
      <c r="HKK30" s="7"/>
      <c r="HKL30" s="7"/>
      <c r="HKM30" s="7"/>
      <c r="HKN30" s="7"/>
      <c r="HKO30" s="7"/>
      <c r="HKP30" s="7"/>
      <c r="HKQ30" s="7"/>
      <c r="HKR30" s="7"/>
      <c r="HKS30" s="7"/>
      <c r="HKT30" s="7"/>
      <c r="HKU30" s="7"/>
      <c r="HKV30" s="7"/>
      <c r="HKW30" s="7"/>
      <c r="HKX30" s="7"/>
      <c r="HKY30" s="7"/>
      <c r="HKZ30" s="7"/>
      <c r="HLA30" s="7"/>
      <c r="HLB30" s="7"/>
      <c r="HLC30" s="7"/>
      <c r="HLD30" s="7"/>
      <c r="HLE30" s="7"/>
      <c r="HLF30" s="7"/>
      <c r="HLG30" s="7"/>
      <c r="HLH30" s="7"/>
      <c r="HLI30" s="7"/>
      <c r="HLJ30" s="7"/>
      <c r="HLK30" s="7"/>
      <c r="HLL30" s="7"/>
      <c r="HLM30" s="7"/>
      <c r="HLN30" s="7"/>
      <c r="HLO30" s="7"/>
      <c r="HLP30" s="7"/>
      <c r="HLQ30" s="7"/>
      <c r="HLR30" s="7"/>
      <c r="HLS30" s="7"/>
      <c r="HLT30" s="7"/>
      <c r="HLU30" s="7"/>
      <c r="HLV30" s="7"/>
      <c r="HLW30" s="7"/>
      <c r="HLX30" s="7"/>
      <c r="HLY30" s="7"/>
      <c r="HLZ30" s="7"/>
      <c r="HMA30" s="7"/>
      <c r="HMB30" s="7"/>
      <c r="HMC30" s="7"/>
      <c r="HMD30" s="7"/>
      <c r="HME30" s="7"/>
      <c r="HMF30" s="7"/>
      <c r="HMG30" s="7"/>
      <c r="HMH30" s="7"/>
      <c r="HMI30" s="7"/>
      <c r="HMJ30" s="7"/>
      <c r="HMK30" s="7"/>
      <c r="HML30" s="7"/>
      <c r="HMM30" s="7"/>
      <c r="HMN30" s="7"/>
      <c r="HMO30" s="7"/>
      <c r="HMP30" s="7"/>
      <c r="HMQ30" s="7"/>
      <c r="HMR30" s="7"/>
      <c r="HMS30" s="7"/>
      <c r="HMT30" s="7"/>
      <c r="HMU30" s="7"/>
      <c r="HMV30" s="7"/>
      <c r="HMW30" s="7"/>
      <c r="HMX30" s="7"/>
      <c r="HMY30" s="7"/>
      <c r="HMZ30" s="7"/>
      <c r="HNA30" s="7"/>
      <c r="HNB30" s="7"/>
      <c r="HNC30" s="7"/>
      <c r="HND30" s="7"/>
      <c r="HNE30" s="7"/>
      <c r="HNF30" s="7"/>
      <c r="HNG30" s="7"/>
      <c r="HNH30" s="7"/>
      <c r="HNI30" s="7"/>
      <c r="HNJ30" s="7"/>
      <c r="HNK30" s="7"/>
      <c r="HNL30" s="7"/>
      <c r="HNM30" s="7"/>
      <c r="HNN30" s="7"/>
      <c r="HNO30" s="7"/>
      <c r="HNP30" s="7"/>
      <c r="HNQ30" s="7"/>
      <c r="HNR30" s="7"/>
      <c r="HNS30" s="7"/>
      <c r="HNT30" s="7"/>
      <c r="HNU30" s="7"/>
      <c r="HNV30" s="7"/>
      <c r="HNW30" s="7"/>
      <c r="HNX30" s="7"/>
      <c r="HNY30" s="7"/>
      <c r="HNZ30" s="7"/>
      <c r="HOA30" s="7"/>
      <c r="HOB30" s="7"/>
      <c r="HOC30" s="7"/>
      <c r="HOD30" s="7"/>
      <c r="HOE30" s="7"/>
      <c r="HOF30" s="7"/>
      <c r="HOG30" s="7"/>
      <c r="HOH30" s="7"/>
      <c r="HOI30" s="7"/>
      <c r="HOJ30" s="7"/>
      <c r="HOK30" s="7"/>
      <c r="HOL30" s="7"/>
      <c r="HOM30" s="7"/>
      <c r="HON30" s="7"/>
      <c r="HOO30" s="7"/>
      <c r="HOP30" s="7"/>
      <c r="HOQ30" s="7"/>
      <c r="HOR30" s="7"/>
      <c r="HOS30" s="7"/>
      <c r="HOT30" s="7"/>
      <c r="HOU30" s="7"/>
      <c r="HOV30" s="7"/>
      <c r="HOW30" s="7"/>
      <c r="HOX30" s="7"/>
      <c r="HOY30" s="7"/>
      <c r="HOZ30" s="7"/>
      <c r="HPA30" s="7"/>
      <c r="HPB30" s="7"/>
      <c r="HPC30" s="7"/>
      <c r="HPD30" s="7"/>
      <c r="HPE30" s="7"/>
      <c r="HPF30" s="7"/>
      <c r="HPG30" s="7"/>
      <c r="HPH30" s="7"/>
      <c r="HPI30" s="7"/>
      <c r="HPJ30" s="7"/>
      <c r="HPK30" s="7"/>
      <c r="HPL30" s="7"/>
      <c r="HPM30" s="7"/>
      <c r="HPN30" s="7"/>
      <c r="HPO30" s="7"/>
      <c r="HPP30" s="7"/>
      <c r="HPQ30" s="7"/>
      <c r="HPR30" s="7"/>
      <c r="HPS30" s="7"/>
      <c r="HPT30" s="7"/>
      <c r="HPU30" s="7"/>
      <c r="HPV30" s="7"/>
      <c r="HPW30" s="7"/>
      <c r="HPX30" s="7"/>
      <c r="HPY30" s="7"/>
      <c r="HPZ30" s="7"/>
      <c r="HQA30" s="7"/>
      <c r="HQB30" s="7"/>
      <c r="HQC30" s="7"/>
      <c r="HQD30" s="7"/>
      <c r="HQE30" s="7"/>
      <c r="HQF30" s="7"/>
      <c r="HQG30" s="7"/>
      <c r="HQH30" s="7"/>
      <c r="HQI30" s="7"/>
      <c r="HQJ30" s="7"/>
      <c r="HQK30" s="7"/>
      <c r="HQL30" s="7"/>
      <c r="HQM30" s="7"/>
      <c r="HQN30" s="7"/>
      <c r="HQO30" s="7"/>
      <c r="HQP30" s="7"/>
      <c r="HQQ30" s="7"/>
      <c r="HQR30" s="7"/>
      <c r="HQS30" s="7"/>
      <c r="HQT30" s="7"/>
      <c r="HQU30" s="7"/>
      <c r="HQV30" s="7"/>
      <c r="HQW30" s="7"/>
      <c r="HQX30" s="7"/>
      <c r="HQY30" s="7"/>
      <c r="HQZ30" s="7"/>
      <c r="HRA30" s="7"/>
      <c r="HRB30" s="7"/>
      <c r="HRC30" s="7"/>
      <c r="HRD30" s="7"/>
      <c r="HRE30" s="7"/>
      <c r="HRF30" s="7"/>
      <c r="HRG30" s="7"/>
      <c r="HRH30" s="7"/>
      <c r="HRI30" s="7"/>
      <c r="HRJ30" s="7"/>
      <c r="HRK30" s="7"/>
      <c r="HRL30" s="7"/>
      <c r="HRM30" s="7"/>
      <c r="HRN30" s="7"/>
      <c r="HRO30" s="7"/>
      <c r="HRP30" s="7"/>
      <c r="HRQ30" s="7"/>
      <c r="HRR30" s="7"/>
      <c r="HRS30" s="7"/>
      <c r="HRT30" s="7"/>
      <c r="HRU30" s="7"/>
      <c r="HRV30" s="7"/>
      <c r="HRW30" s="7"/>
      <c r="HRX30" s="7"/>
      <c r="HRY30" s="7"/>
      <c r="HRZ30" s="7"/>
      <c r="HSA30" s="7"/>
      <c r="HSB30" s="7"/>
      <c r="HSC30" s="7"/>
      <c r="HSD30" s="7"/>
      <c r="HSE30" s="7"/>
      <c r="HSF30" s="7"/>
      <c r="HSG30" s="7"/>
      <c r="HSH30" s="7"/>
      <c r="HSI30" s="7"/>
      <c r="HSJ30" s="7"/>
      <c r="HSK30" s="7"/>
      <c r="HSL30" s="7"/>
      <c r="HSM30" s="7"/>
      <c r="HSN30" s="7"/>
      <c r="HSO30" s="7"/>
      <c r="HSP30" s="7"/>
      <c r="HSQ30" s="7"/>
      <c r="HSR30" s="7"/>
      <c r="HSS30" s="7"/>
      <c r="HST30" s="7"/>
      <c r="HSU30" s="7"/>
      <c r="HSV30" s="7"/>
      <c r="HSW30" s="7"/>
      <c r="HSX30" s="7"/>
      <c r="HSY30" s="7"/>
      <c r="HSZ30" s="7"/>
      <c r="HTA30" s="7"/>
      <c r="HTB30" s="7"/>
      <c r="HTC30" s="7"/>
      <c r="HTD30" s="7"/>
      <c r="HTE30" s="7"/>
      <c r="HTF30" s="7"/>
      <c r="HTG30" s="7"/>
      <c r="HTH30" s="7"/>
      <c r="HTI30" s="7"/>
      <c r="HTJ30" s="7"/>
      <c r="HTK30" s="7"/>
      <c r="HTL30" s="7"/>
      <c r="HTM30" s="7"/>
      <c r="HTN30" s="7"/>
      <c r="HTO30" s="7"/>
      <c r="HTP30" s="7"/>
      <c r="HTQ30" s="7"/>
      <c r="HTR30" s="7"/>
      <c r="HTS30" s="7"/>
      <c r="HTT30" s="7"/>
      <c r="HTU30" s="7"/>
      <c r="HTV30" s="7"/>
      <c r="HTW30" s="7"/>
      <c r="HTX30" s="7"/>
      <c r="HTY30" s="7"/>
      <c r="HTZ30" s="7"/>
      <c r="HUA30" s="7"/>
      <c r="HUB30" s="7"/>
      <c r="HUC30" s="7"/>
      <c r="HUD30" s="7"/>
      <c r="HUE30" s="7"/>
      <c r="HUF30" s="7"/>
      <c r="HUG30" s="7"/>
      <c r="HUH30" s="7"/>
      <c r="HUI30" s="7"/>
      <c r="HUJ30" s="7"/>
      <c r="HUK30" s="7"/>
      <c r="HUL30" s="7"/>
      <c r="HUM30" s="7"/>
      <c r="HUN30" s="7"/>
      <c r="HUO30" s="7"/>
      <c r="HUP30" s="7"/>
      <c r="HUQ30" s="7"/>
      <c r="HUR30" s="7"/>
      <c r="HUS30" s="7"/>
      <c r="HUT30" s="7"/>
      <c r="HUU30" s="7"/>
      <c r="HUV30" s="7"/>
      <c r="HUW30" s="7"/>
      <c r="HUX30" s="7"/>
      <c r="HUY30" s="7"/>
      <c r="HUZ30" s="7"/>
      <c r="HVA30" s="7"/>
      <c r="HVB30" s="7"/>
      <c r="HVC30" s="7"/>
      <c r="HVD30" s="7"/>
      <c r="HVE30" s="7"/>
      <c r="HVF30" s="7"/>
      <c r="HVG30" s="7"/>
      <c r="HVH30" s="7"/>
      <c r="HVI30" s="7"/>
      <c r="HVJ30" s="7"/>
      <c r="HVK30" s="7"/>
      <c r="HVL30" s="7"/>
      <c r="HVM30" s="7"/>
      <c r="HVN30" s="7"/>
      <c r="HVO30" s="7"/>
      <c r="HVP30" s="7"/>
      <c r="HVQ30" s="7"/>
      <c r="HVR30" s="7"/>
      <c r="HVS30" s="7"/>
      <c r="HVT30" s="7"/>
      <c r="HVU30" s="7"/>
      <c r="HVV30" s="7"/>
      <c r="HVW30" s="7"/>
      <c r="HVX30" s="7"/>
      <c r="HVY30" s="7"/>
      <c r="HVZ30" s="7"/>
      <c r="HWA30" s="7"/>
      <c r="HWB30" s="7"/>
      <c r="HWC30" s="7"/>
      <c r="HWD30" s="7"/>
      <c r="HWE30" s="7"/>
      <c r="HWF30" s="7"/>
      <c r="HWG30" s="7"/>
      <c r="HWH30" s="7"/>
      <c r="HWI30" s="7"/>
      <c r="HWJ30" s="7"/>
      <c r="HWK30" s="7"/>
      <c r="HWL30" s="7"/>
      <c r="HWM30" s="7"/>
      <c r="HWN30" s="7"/>
      <c r="HWO30" s="7"/>
      <c r="HWP30" s="7"/>
      <c r="HWQ30" s="7"/>
      <c r="HWR30" s="7"/>
      <c r="HWS30" s="7"/>
      <c r="HWT30" s="7"/>
      <c r="HWU30" s="7"/>
      <c r="HWV30" s="7"/>
      <c r="HWW30" s="7"/>
      <c r="HWX30" s="7"/>
      <c r="HWY30" s="7"/>
      <c r="HWZ30" s="7"/>
      <c r="HXA30" s="7"/>
      <c r="HXB30" s="7"/>
      <c r="HXC30" s="7"/>
      <c r="HXD30" s="7"/>
      <c r="HXE30" s="7"/>
      <c r="HXF30" s="7"/>
      <c r="HXG30" s="7"/>
      <c r="HXH30" s="7"/>
      <c r="HXI30" s="7"/>
      <c r="HXJ30" s="7"/>
      <c r="HXK30" s="7"/>
      <c r="HXL30" s="7"/>
      <c r="HXM30" s="7"/>
      <c r="HXN30" s="7"/>
      <c r="HXO30" s="7"/>
      <c r="HXP30" s="7"/>
      <c r="HXQ30" s="7"/>
      <c r="HXR30" s="7"/>
      <c r="HXS30" s="7"/>
      <c r="HXT30" s="7"/>
      <c r="HXU30" s="7"/>
      <c r="HXV30" s="7"/>
      <c r="HXW30" s="7"/>
      <c r="HXX30" s="7"/>
      <c r="HXY30" s="7"/>
      <c r="HXZ30" s="7"/>
      <c r="HYA30" s="7"/>
      <c r="HYB30" s="7"/>
      <c r="HYC30" s="7"/>
      <c r="HYD30" s="7"/>
      <c r="HYE30" s="7"/>
      <c r="HYF30" s="7"/>
      <c r="HYG30" s="7"/>
      <c r="HYH30" s="7"/>
      <c r="HYI30" s="7"/>
      <c r="HYJ30" s="7"/>
      <c r="HYK30" s="7"/>
      <c r="HYL30" s="7"/>
      <c r="HYM30" s="7"/>
      <c r="HYN30" s="7"/>
      <c r="HYO30" s="7"/>
      <c r="HYP30" s="7"/>
      <c r="HYQ30" s="7"/>
      <c r="HYR30" s="7"/>
      <c r="HYS30" s="7"/>
      <c r="HYT30" s="7"/>
      <c r="HYU30" s="7"/>
      <c r="HYV30" s="7"/>
      <c r="HYW30" s="7"/>
      <c r="HYX30" s="7"/>
      <c r="HYY30" s="7"/>
      <c r="HYZ30" s="7"/>
      <c r="HZA30" s="7"/>
      <c r="HZB30" s="7"/>
      <c r="HZC30" s="7"/>
      <c r="HZD30" s="7"/>
      <c r="HZE30" s="7"/>
      <c r="HZF30" s="7"/>
      <c r="HZG30" s="7"/>
      <c r="HZH30" s="7"/>
      <c r="HZI30" s="7"/>
      <c r="HZJ30" s="7"/>
      <c r="HZK30" s="7"/>
      <c r="HZL30" s="7"/>
      <c r="HZM30" s="7"/>
      <c r="HZN30" s="7"/>
      <c r="HZO30" s="7"/>
      <c r="HZP30" s="7"/>
      <c r="HZQ30" s="7"/>
      <c r="HZR30" s="7"/>
      <c r="HZS30" s="7"/>
      <c r="HZT30" s="7"/>
      <c r="HZU30" s="7"/>
      <c r="HZV30" s="7"/>
      <c r="HZW30" s="7"/>
      <c r="HZX30" s="7"/>
      <c r="HZY30" s="7"/>
      <c r="HZZ30" s="7"/>
      <c r="IAA30" s="7"/>
      <c r="IAB30" s="7"/>
      <c r="IAC30" s="7"/>
      <c r="IAD30" s="7"/>
      <c r="IAE30" s="7"/>
      <c r="IAF30" s="7"/>
      <c r="IAG30" s="7"/>
      <c r="IAH30" s="7"/>
      <c r="IAI30" s="7"/>
      <c r="IAJ30" s="7"/>
      <c r="IAK30" s="7"/>
      <c r="IAL30" s="7"/>
      <c r="IAM30" s="7"/>
      <c r="IAN30" s="7"/>
      <c r="IAO30" s="7"/>
      <c r="IAP30" s="7"/>
      <c r="IAQ30" s="7"/>
      <c r="IAR30" s="7"/>
      <c r="IAS30" s="7"/>
      <c r="IAT30" s="7"/>
      <c r="IAU30" s="7"/>
      <c r="IAV30" s="7"/>
      <c r="IAW30" s="7"/>
      <c r="IAX30" s="7"/>
      <c r="IAY30" s="7"/>
      <c r="IAZ30" s="7"/>
      <c r="IBA30" s="7"/>
      <c r="IBB30" s="7"/>
      <c r="IBC30" s="7"/>
      <c r="IBD30" s="7"/>
      <c r="IBE30" s="7"/>
      <c r="IBF30" s="7"/>
      <c r="IBG30" s="7"/>
      <c r="IBH30" s="7"/>
      <c r="IBI30" s="7"/>
      <c r="IBJ30" s="7"/>
      <c r="IBK30" s="7"/>
      <c r="IBL30" s="7"/>
      <c r="IBM30" s="7"/>
      <c r="IBN30" s="7"/>
      <c r="IBO30" s="7"/>
      <c r="IBP30" s="7"/>
      <c r="IBQ30" s="7"/>
      <c r="IBR30" s="7"/>
      <c r="IBS30" s="7"/>
      <c r="IBT30" s="7"/>
      <c r="IBU30" s="7"/>
      <c r="IBV30" s="7"/>
      <c r="IBW30" s="7"/>
      <c r="IBX30" s="7"/>
      <c r="IBY30" s="7"/>
      <c r="IBZ30" s="7"/>
      <c r="ICA30" s="7"/>
      <c r="ICB30" s="7"/>
      <c r="ICC30" s="7"/>
      <c r="ICD30" s="7"/>
      <c r="ICE30" s="7"/>
      <c r="ICF30" s="7"/>
      <c r="ICG30" s="7"/>
      <c r="ICH30" s="7"/>
      <c r="ICI30" s="7"/>
      <c r="ICJ30" s="7"/>
      <c r="ICK30" s="7"/>
      <c r="ICL30" s="7"/>
      <c r="ICM30" s="7"/>
      <c r="ICN30" s="7"/>
      <c r="ICO30" s="7"/>
      <c r="ICP30" s="7"/>
      <c r="ICQ30" s="7"/>
      <c r="ICR30" s="7"/>
      <c r="ICS30" s="7"/>
      <c r="ICT30" s="7"/>
      <c r="ICU30" s="7"/>
      <c r="ICV30" s="7"/>
      <c r="ICW30" s="7"/>
      <c r="ICX30" s="7"/>
      <c r="ICY30" s="7"/>
      <c r="ICZ30" s="7"/>
      <c r="IDA30" s="7"/>
      <c r="IDB30" s="7"/>
      <c r="IDC30" s="7"/>
      <c r="IDD30" s="7"/>
      <c r="IDE30" s="7"/>
      <c r="IDF30" s="7"/>
      <c r="IDG30" s="7"/>
      <c r="IDH30" s="7"/>
      <c r="IDI30" s="7"/>
      <c r="IDJ30" s="7"/>
      <c r="IDK30" s="7"/>
      <c r="IDL30" s="7"/>
      <c r="IDM30" s="7"/>
      <c r="IDN30" s="7"/>
      <c r="IDO30" s="7"/>
      <c r="IDP30" s="7"/>
      <c r="IDQ30" s="7"/>
      <c r="IDR30" s="7"/>
      <c r="IDS30" s="7"/>
      <c r="IDT30" s="7"/>
      <c r="IDU30" s="7"/>
      <c r="IDV30" s="7"/>
      <c r="IDW30" s="7"/>
      <c r="IDX30" s="7"/>
      <c r="IDY30" s="7"/>
      <c r="IDZ30" s="7"/>
      <c r="IEA30" s="7"/>
      <c r="IEB30" s="7"/>
      <c r="IEC30" s="7"/>
      <c r="IED30" s="7"/>
      <c r="IEE30" s="7"/>
      <c r="IEF30" s="7"/>
      <c r="IEG30" s="7"/>
      <c r="IEH30" s="7"/>
      <c r="IEI30" s="7"/>
      <c r="IEJ30" s="7"/>
      <c r="IEK30" s="7"/>
      <c r="IEL30" s="7"/>
      <c r="IEM30" s="7"/>
      <c r="IEN30" s="7"/>
      <c r="IEO30" s="7"/>
      <c r="IEP30" s="7"/>
      <c r="IEQ30" s="7"/>
      <c r="IER30" s="7"/>
      <c r="IES30" s="7"/>
      <c r="IET30" s="7"/>
      <c r="IEU30" s="7"/>
      <c r="IEV30" s="7"/>
      <c r="IEW30" s="7"/>
      <c r="IEX30" s="7"/>
      <c r="IEY30" s="7"/>
      <c r="IEZ30" s="7"/>
      <c r="IFA30" s="7"/>
      <c r="IFB30" s="7"/>
      <c r="IFC30" s="7"/>
      <c r="IFD30" s="7"/>
      <c r="IFE30" s="7"/>
      <c r="IFF30" s="7"/>
      <c r="IFG30" s="7"/>
      <c r="IFH30" s="7"/>
      <c r="IFI30" s="7"/>
      <c r="IFJ30" s="7"/>
      <c r="IFK30" s="7"/>
      <c r="IFL30" s="7"/>
      <c r="IFM30" s="7"/>
      <c r="IFN30" s="7"/>
      <c r="IFO30" s="7"/>
      <c r="IFP30" s="7"/>
      <c r="IFQ30" s="7"/>
      <c r="IFR30" s="7"/>
      <c r="IFS30" s="7"/>
      <c r="IFT30" s="7"/>
      <c r="IFU30" s="7"/>
      <c r="IFV30" s="7"/>
      <c r="IFW30" s="7"/>
      <c r="IFX30" s="7"/>
      <c r="IFY30" s="7"/>
      <c r="IFZ30" s="7"/>
      <c r="IGA30" s="7"/>
      <c r="IGB30" s="7"/>
      <c r="IGC30" s="7"/>
      <c r="IGD30" s="7"/>
      <c r="IGE30" s="7"/>
      <c r="IGF30" s="7"/>
      <c r="IGG30" s="7"/>
      <c r="IGH30" s="7"/>
      <c r="IGI30" s="7"/>
      <c r="IGJ30" s="7"/>
      <c r="IGK30" s="7"/>
      <c r="IGL30" s="7"/>
      <c r="IGM30" s="7"/>
      <c r="IGN30" s="7"/>
      <c r="IGO30" s="7"/>
      <c r="IGP30" s="7"/>
      <c r="IGQ30" s="7"/>
      <c r="IGR30" s="7"/>
      <c r="IGS30" s="7"/>
      <c r="IGT30" s="7"/>
      <c r="IGU30" s="7"/>
      <c r="IGV30" s="7"/>
      <c r="IGW30" s="7"/>
      <c r="IGX30" s="7"/>
      <c r="IGY30" s="7"/>
      <c r="IGZ30" s="7"/>
      <c r="IHA30" s="7"/>
      <c r="IHB30" s="7"/>
      <c r="IHC30" s="7"/>
      <c r="IHD30" s="7"/>
      <c r="IHE30" s="7"/>
      <c r="IHF30" s="7"/>
      <c r="IHG30" s="7"/>
      <c r="IHH30" s="7"/>
      <c r="IHI30" s="7"/>
      <c r="IHJ30" s="7"/>
      <c r="IHK30" s="7"/>
      <c r="IHL30" s="7"/>
      <c r="IHM30" s="7"/>
      <c r="IHN30" s="7"/>
      <c r="IHO30" s="7"/>
      <c r="IHP30" s="7"/>
      <c r="IHQ30" s="7"/>
      <c r="IHR30" s="7"/>
      <c r="IHS30" s="7"/>
      <c r="IHT30" s="7"/>
      <c r="IHU30" s="7"/>
      <c r="IHV30" s="7"/>
      <c r="IHW30" s="7"/>
      <c r="IHX30" s="7"/>
      <c r="IHY30" s="7"/>
      <c r="IHZ30" s="7"/>
      <c r="IIA30" s="7"/>
      <c r="IIB30" s="7"/>
      <c r="IIC30" s="7"/>
      <c r="IID30" s="7"/>
      <c r="IIE30" s="7"/>
      <c r="IIF30" s="7"/>
      <c r="IIG30" s="7"/>
      <c r="IIH30" s="7"/>
      <c r="III30" s="7"/>
      <c r="IIJ30" s="7"/>
      <c r="IIK30" s="7"/>
      <c r="IIL30" s="7"/>
      <c r="IIM30" s="7"/>
      <c r="IIN30" s="7"/>
      <c r="IIO30" s="7"/>
      <c r="IIP30" s="7"/>
      <c r="IIQ30" s="7"/>
      <c r="IIR30" s="7"/>
      <c r="IIS30" s="7"/>
      <c r="IIT30" s="7"/>
      <c r="IIU30" s="7"/>
      <c r="IIV30" s="7"/>
      <c r="IIW30" s="7"/>
      <c r="IIX30" s="7"/>
      <c r="IIY30" s="7"/>
      <c r="IIZ30" s="7"/>
      <c r="IJA30" s="7"/>
      <c r="IJB30" s="7"/>
      <c r="IJC30" s="7"/>
      <c r="IJD30" s="7"/>
      <c r="IJE30" s="7"/>
      <c r="IJF30" s="7"/>
      <c r="IJG30" s="7"/>
      <c r="IJH30" s="7"/>
      <c r="IJI30" s="7"/>
      <c r="IJJ30" s="7"/>
      <c r="IJK30" s="7"/>
      <c r="IJL30" s="7"/>
      <c r="IJM30" s="7"/>
      <c r="IJN30" s="7"/>
      <c r="IJO30" s="7"/>
      <c r="IJP30" s="7"/>
      <c r="IJQ30" s="7"/>
      <c r="IJR30" s="7"/>
      <c r="IJS30" s="7"/>
      <c r="IJT30" s="7"/>
      <c r="IJU30" s="7"/>
      <c r="IJV30" s="7"/>
      <c r="IJW30" s="7"/>
      <c r="IJX30" s="7"/>
      <c r="IJY30" s="7"/>
      <c r="IJZ30" s="7"/>
      <c r="IKA30" s="7"/>
      <c r="IKB30" s="7"/>
      <c r="IKC30" s="7"/>
      <c r="IKD30" s="7"/>
      <c r="IKE30" s="7"/>
      <c r="IKF30" s="7"/>
      <c r="IKG30" s="7"/>
      <c r="IKH30" s="7"/>
      <c r="IKI30" s="7"/>
      <c r="IKJ30" s="7"/>
      <c r="IKK30" s="7"/>
      <c r="IKL30" s="7"/>
      <c r="IKM30" s="7"/>
      <c r="IKN30" s="7"/>
      <c r="IKO30" s="7"/>
      <c r="IKP30" s="7"/>
      <c r="IKQ30" s="7"/>
      <c r="IKR30" s="7"/>
      <c r="IKS30" s="7"/>
      <c r="IKT30" s="7"/>
      <c r="IKU30" s="7"/>
      <c r="IKV30" s="7"/>
      <c r="IKW30" s="7"/>
      <c r="IKX30" s="7"/>
      <c r="IKY30" s="7"/>
      <c r="IKZ30" s="7"/>
      <c r="ILA30" s="7"/>
      <c r="ILB30" s="7"/>
      <c r="ILC30" s="7"/>
      <c r="ILD30" s="7"/>
      <c r="ILE30" s="7"/>
      <c r="ILF30" s="7"/>
      <c r="ILG30" s="7"/>
      <c r="ILH30" s="7"/>
      <c r="ILI30" s="7"/>
      <c r="ILJ30" s="7"/>
      <c r="ILK30" s="7"/>
      <c r="ILL30" s="7"/>
      <c r="ILM30" s="7"/>
      <c r="ILN30" s="7"/>
      <c r="ILO30" s="7"/>
      <c r="ILP30" s="7"/>
      <c r="ILQ30" s="7"/>
      <c r="ILR30" s="7"/>
      <c r="ILS30" s="7"/>
      <c r="ILT30" s="7"/>
      <c r="ILU30" s="7"/>
      <c r="ILV30" s="7"/>
      <c r="ILW30" s="7"/>
      <c r="ILX30" s="7"/>
      <c r="ILY30" s="7"/>
      <c r="ILZ30" s="7"/>
      <c r="IMA30" s="7"/>
      <c r="IMB30" s="7"/>
      <c r="IMC30" s="7"/>
      <c r="IMD30" s="7"/>
      <c r="IME30" s="7"/>
      <c r="IMF30" s="7"/>
      <c r="IMG30" s="7"/>
      <c r="IMH30" s="7"/>
      <c r="IMI30" s="7"/>
      <c r="IMJ30" s="7"/>
      <c r="IMK30" s="7"/>
      <c r="IML30" s="7"/>
      <c r="IMM30" s="7"/>
      <c r="IMN30" s="7"/>
      <c r="IMO30" s="7"/>
      <c r="IMP30" s="7"/>
      <c r="IMQ30" s="7"/>
      <c r="IMR30" s="7"/>
      <c r="IMS30" s="7"/>
      <c r="IMT30" s="7"/>
      <c r="IMU30" s="7"/>
      <c r="IMV30" s="7"/>
      <c r="IMW30" s="7"/>
      <c r="IMX30" s="7"/>
      <c r="IMY30" s="7"/>
      <c r="IMZ30" s="7"/>
      <c r="INA30" s="7"/>
      <c r="INB30" s="7"/>
      <c r="INC30" s="7"/>
      <c r="IND30" s="7"/>
      <c r="INE30" s="7"/>
      <c r="INF30" s="7"/>
      <c r="ING30" s="7"/>
      <c r="INH30" s="7"/>
      <c r="INI30" s="7"/>
      <c r="INJ30" s="7"/>
      <c r="INK30" s="7"/>
      <c r="INL30" s="7"/>
      <c r="INM30" s="7"/>
      <c r="INN30" s="7"/>
      <c r="INO30" s="7"/>
      <c r="INP30" s="7"/>
      <c r="INQ30" s="7"/>
      <c r="INR30" s="7"/>
      <c r="INS30" s="7"/>
      <c r="INT30" s="7"/>
      <c r="INU30" s="7"/>
      <c r="INV30" s="7"/>
      <c r="INW30" s="7"/>
      <c r="INX30" s="7"/>
      <c r="INY30" s="7"/>
      <c r="INZ30" s="7"/>
      <c r="IOA30" s="7"/>
      <c r="IOB30" s="7"/>
      <c r="IOC30" s="7"/>
      <c r="IOD30" s="7"/>
      <c r="IOE30" s="7"/>
      <c r="IOF30" s="7"/>
      <c r="IOG30" s="7"/>
      <c r="IOH30" s="7"/>
      <c r="IOI30" s="7"/>
      <c r="IOJ30" s="7"/>
      <c r="IOK30" s="7"/>
      <c r="IOL30" s="7"/>
      <c r="IOM30" s="7"/>
      <c r="ION30" s="7"/>
      <c r="IOO30" s="7"/>
      <c r="IOP30" s="7"/>
      <c r="IOQ30" s="7"/>
      <c r="IOR30" s="7"/>
      <c r="IOS30" s="7"/>
      <c r="IOT30" s="7"/>
      <c r="IOU30" s="7"/>
      <c r="IOV30" s="7"/>
      <c r="IOW30" s="7"/>
      <c r="IOX30" s="7"/>
      <c r="IOY30" s="7"/>
      <c r="IOZ30" s="7"/>
      <c r="IPA30" s="7"/>
      <c r="IPB30" s="7"/>
      <c r="IPC30" s="7"/>
      <c r="IPD30" s="7"/>
      <c r="IPE30" s="7"/>
      <c r="IPF30" s="7"/>
      <c r="IPG30" s="7"/>
      <c r="IPH30" s="7"/>
      <c r="IPI30" s="7"/>
      <c r="IPJ30" s="7"/>
      <c r="IPK30" s="7"/>
      <c r="IPL30" s="7"/>
      <c r="IPM30" s="7"/>
      <c r="IPN30" s="7"/>
      <c r="IPO30" s="7"/>
      <c r="IPP30" s="7"/>
      <c r="IPQ30" s="7"/>
      <c r="IPR30" s="7"/>
      <c r="IPS30" s="7"/>
      <c r="IPT30" s="7"/>
      <c r="IPU30" s="7"/>
      <c r="IPV30" s="7"/>
      <c r="IPW30" s="7"/>
      <c r="IPX30" s="7"/>
      <c r="IPY30" s="7"/>
      <c r="IPZ30" s="7"/>
      <c r="IQA30" s="7"/>
      <c r="IQB30" s="7"/>
      <c r="IQC30" s="7"/>
      <c r="IQD30" s="7"/>
      <c r="IQE30" s="7"/>
      <c r="IQF30" s="7"/>
      <c r="IQG30" s="7"/>
      <c r="IQH30" s="7"/>
      <c r="IQI30" s="7"/>
      <c r="IQJ30" s="7"/>
      <c r="IQK30" s="7"/>
      <c r="IQL30" s="7"/>
      <c r="IQM30" s="7"/>
      <c r="IQN30" s="7"/>
      <c r="IQO30" s="7"/>
      <c r="IQP30" s="7"/>
      <c r="IQQ30" s="7"/>
      <c r="IQR30" s="7"/>
      <c r="IQS30" s="7"/>
      <c r="IQT30" s="7"/>
      <c r="IQU30" s="7"/>
      <c r="IQV30" s="7"/>
      <c r="IQW30" s="7"/>
      <c r="IQX30" s="7"/>
      <c r="IQY30" s="7"/>
      <c r="IQZ30" s="7"/>
      <c r="IRA30" s="7"/>
      <c r="IRB30" s="7"/>
      <c r="IRC30" s="7"/>
      <c r="IRD30" s="7"/>
      <c r="IRE30" s="7"/>
      <c r="IRF30" s="7"/>
      <c r="IRG30" s="7"/>
      <c r="IRH30" s="7"/>
      <c r="IRI30" s="7"/>
      <c r="IRJ30" s="7"/>
      <c r="IRK30" s="7"/>
      <c r="IRL30" s="7"/>
      <c r="IRM30" s="7"/>
      <c r="IRN30" s="7"/>
      <c r="IRO30" s="7"/>
      <c r="IRP30" s="7"/>
      <c r="IRQ30" s="7"/>
      <c r="IRR30" s="7"/>
      <c r="IRS30" s="7"/>
      <c r="IRT30" s="7"/>
      <c r="IRU30" s="7"/>
      <c r="IRV30" s="7"/>
      <c r="IRW30" s="7"/>
      <c r="IRX30" s="7"/>
      <c r="IRY30" s="7"/>
      <c r="IRZ30" s="7"/>
      <c r="ISA30" s="7"/>
      <c r="ISB30" s="7"/>
      <c r="ISC30" s="7"/>
      <c r="ISD30" s="7"/>
      <c r="ISE30" s="7"/>
      <c r="ISF30" s="7"/>
      <c r="ISG30" s="7"/>
      <c r="ISH30" s="7"/>
      <c r="ISI30" s="7"/>
      <c r="ISJ30" s="7"/>
      <c r="ISK30" s="7"/>
      <c r="ISL30" s="7"/>
      <c r="ISM30" s="7"/>
      <c r="ISN30" s="7"/>
      <c r="ISO30" s="7"/>
      <c r="ISP30" s="7"/>
      <c r="ISQ30" s="7"/>
      <c r="ISR30" s="7"/>
      <c r="ISS30" s="7"/>
      <c r="IST30" s="7"/>
      <c r="ISU30" s="7"/>
      <c r="ISV30" s="7"/>
      <c r="ISW30" s="7"/>
      <c r="ISX30" s="7"/>
      <c r="ISY30" s="7"/>
      <c r="ISZ30" s="7"/>
      <c r="ITA30" s="7"/>
      <c r="ITB30" s="7"/>
      <c r="ITC30" s="7"/>
      <c r="ITD30" s="7"/>
      <c r="ITE30" s="7"/>
      <c r="ITF30" s="7"/>
      <c r="ITG30" s="7"/>
      <c r="ITH30" s="7"/>
      <c r="ITI30" s="7"/>
      <c r="ITJ30" s="7"/>
      <c r="ITK30" s="7"/>
      <c r="ITL30" s="7"/>
      <c r="ITM30" s="7"/>
      <c r="ITN30" s="7"/>
      <c r="ITO30" s="7"/>
      <c r="ITP30" s="7"/>
      <c r="ITQ30" s="7"/>
      <c r="ITR30" s="7"/>
      <c r="ITS30" s="7"/>
      <c r="ITT30" s="7"/>
      <c r="ITU30" s="7"/>
      <c r="ITV30" s="7"/>
      <c r="ITW30" s="7"/>
      <c r="ITX30" s="7"/>
      <c r="ITY30" s="7"/>
      <c r="ITZ30" s="7"/>
      <c r="IUA30" s="7"/>
      <c r="IUB30" s="7"/>
      <c r="IUC30" s="7"/>
      <c r="IUD30" s="7"/>
      <c r="IUE30" s="7"/>
      <c r="IUF30" s="7"/>
      <c r="IUG30" s="7"/>
      <c r="IUH30" s="7"/>
      <c r="IUI30" s="7"/>
      <c r="IUJ30" s="7"/>
      <c r="IUK30" s="7"/>
      <c r="IUL30" s="7"/>
      <c r="IUM30" s="7"/>
      <c r="IUN30" s="7"/>
      <c r="IUO30" s="7"/>
      <c r="IUP30" s="7"/>
      <c r="IUQ30" s="7"/>
      <c r="IUR30" s="7"/>
      <c r="IUS30" s="7"/>
      <c r="IUT30" s="7"/>
      <c r="IUU30" s="7"/>
      <c r="IUV30" s="7"/>
      <c r="IUW30" s="7"/>
      <c r="IUX30" s="7"/>
      <c r="IUY30" s="7"/>
      <c r="IUZ30" s="7"/>
      <c r="IVA30" s="7"/>
      <c r="IVB30" s="7"/>
      <c r="IVC30" s="7"/>
      <c r="IVD30" s="7"/>
      <c r="IVE30" s="7"/>
      <c r="IVF30" s="7"/>
      <c r="IVG30" s="7"/>
      <c r="IVH30" s="7"/>
      <c r="IVI30" s="7"/>
      <c r="IVJ30" s="7"/>
      <c r="IVK30" s="7"/>
      <c r="IVL30" s="7"/>
      <c r="IVM30" s="7"/>
      <c r="IVN30" s="7"/>
      <c r="IVO30" s="7"/>
      <c r="IVP30" s="7"/>
      <c r="IVQ30" s="7"/>
      <c r="IVR30" s="7"/>
      <c r="IVS30" s="7"/>
      <c r="IVT30" s="7"/>
      <c r="IVU30" s="7"/>
      <c r="IVV30" s="7"/>
      <c r="IVW30" s="7"/>
      <c r="IVX30" s="7"/>
      <c r="IVY30" s="7"/>
      <c r="IVZ30" s="7"/>
      <c r="IWA30" s="7"/>
      <c r="IWB30" s="7"/>
      <c r="IWC30" s="7"/>
      <c r="IWD30" s="7"/>
      <c r="IWE30" s="7"/>
      <c r="IWF30" s="7"/>
      <c r="IWG30" s="7"/>
      <c r="IWH30" s="7"/>
      <c r="IWI30" s="7"/>
      <c r="IWJ30" s="7"/>
      <c r="IWK30" s="7"/>
      <c r="IWL30" s="7"/>
      <c r="IWM30" s="7"/>
      <c r="IWN30" s="7"/>
      <c r="IWO30" s="7"/>
      <c r="IWP30" s="7"/>
      <c r="IWQ30" s="7"/>
      <c r="IWR30" s="7"/>
      <c r="IWS30" s="7"/>
      <c r="IWT30" s="7"/>
      <c r="IWU30" s="7"/>
      <c r="IWV30" s="7"/>
      <c r="IWW30" s="7"/>
      <c r="IWX30" s="7"/>
      <c r="IWY30" s="7"/>
      <c r="IWZ30" s="7"/>
      <c r="IXA30" s="7"/>
      <c r="IXB30" s="7"/>
      <c r="IXC30" s="7"/>
      <c r="IXD30" s="7"/>
      <c r="IXE30" s="7"/>
      <c r="IXF30" s="7"/>
      <c r="IXG30" s="7"/>
      <c r="IXH30" s="7"/>
      <c r="IXI30" s="7"/>
      <c r="IXJ30" s="7"/>
      <c r="IXK30" s="7"/>
      <c r="IXL30" s="7"/>
      <c r="IXM30" s="7"/>
      <c r="IXN30" s="7"/>
      <c r="IXO30" s="7"/>
      <c r="IXP30" s="7"/>
      <c r="IXQ30" s="7"/>
      <c r="IXR30" s="7"/>
      <c r="IXS30" s="7"/>
      <c r="IXT30" s="7"/>
      <c r="IXU30" s="7"/>
      <c r="IXV30" s="7"/>
      <c r="IXW30" s="7"/>
      <c r="IXX30" s="7"/>
      <c r="IXY30" s="7"/>
      <c r="IXZ30" s="7"/>
      <c r="IYA30" s="7"/>
      <c r="IYB30" s="7"/>
      <c r="IYC30" s="7"/>
      <c r="IYD30" s="7"/>
      <c r="IYE30" s="7"/>
      <c r="IYF30" s="7"/>
      <c r="IYG30" s="7"/>
      <c r="IYH30" s="7"/>
      <c r="IYI30" s="7"/>
      <c r="IYJ30" s="7"/>
      <c r="IYK30" s="7"/>
      <c r="IYL30" s="7"/>
      <c r="IYM30" s="7"/>
      <c r="IYN30" s="7"/>
      <c r="IYO30" s="7"/>
      <c r="IYP30" s="7"/>
      <c r="IYQ30" s="7"/>
      <c r="IYR30" s="7"/>
      <c r="IYS30" s="7"/>
      <c r="IYT30" s="7"/>
      <c r="IYU30" s="7"/>
      <c r="IYV30" s="7"/>
      <c r="IYW30" s="7"/>
      <c r="IYX30" s="7"/>
      <c r="IYY30" s="7"/>
      <c r="IYZ30" s="7"/>
      <c r="IZA30" s="7"/>
      <c r="IZB30" s="7"/>
      <c r="IZC30" s="7"/>
      <c r="IZD30" s="7"/>
      <c r="IZE30" s="7"/>
      <c r="IZF30" s="7"/>
      <c r="IZG30" s="7"/>
      <c r="IZH30" s="7"/>
      <c r="IZI30" s="7"/>
      <c r="IZJ30" s="7"/>
      <c r="IZK30" s="7"/>
      <c r="IZL30" s="7"/>
      <c r="IZM30" s="7"/>
      <c r="IZN30" s="7"/>
      <c r="IZO30" s="7"/>
      <c r="IZP30" s="7"/>
      <c r="IZQ30" s="7"/>
      <c r="IZR30" s="7"/>
      <c r="IZS30" s="7"/>
      <c r="IZT30" s="7"/>
      <c r="IZU30" s="7"/>
      <c r="IZV30" s="7"/>
      <c r="IZW30" s="7"/>
      <c r="IZX30" s="7"/>
      <c r="IZY30" s="7"/>
      <c r="IZZ30" s="7"/>
      <c r="JAA30" s="7"/>
      <c r="JAB30" s="7"/>
      <c r="JAC30" s="7"/>
      <c r="JAD30" s="7"/>
      <c r="JAE30" s="7"/>
      <c r="JAF30" s="7"/>
      <c r="JAG30" s="7"/>
      <c r="JAH30" s="7"/>
      <c r="JAI30" s="7"/>
      <c r="JAJ30" s="7"/>
      <c r="JAK30" s="7"/>
      <c r="JAL30" s="7"/>
      <c r="JAM30" s="7"/>
      <c r="JAN30" s="7"/>
      <c r="JAO30" s="7"/>
      <c r="JAP30" s="7"/>
      <c r="JAQ30" s="7"/>
      <c r="JAR30" s="7"/>
      <c r="JAS30" s="7"/>
      <c r="JAT30" s="7"/>
      <c r="JAU30" s="7"/>
      <c r="JAV30" s="7"/>
      <c r="JAW30" s="7"/>
      <c r="JAX30" s="7"/>
      <c r="JAY30" s="7"/>
      <c r="JAZ30" s="7"/>
      <c r="JBA30" s="7"/>
      <c r="JBB30" s="7"/>
      <c r="JBC30" s="7"/>
      <c r="JBD30" s="7"/>
      <c r="JBE30" s="7"/>
      <c r="JBF30" s="7"/>
      <c r="JBG30" s="7"/>
      <c r="JBH30" s="7"/>
      <c r="JBI30" s="7"/>
      <c r="JBJ30" s="7"/>
      <c r="JBK30" s="7"/>
      <c r="JBL30" s="7"/>
      <c r="JBM30" s="7"/>
      <c r="JBN30" s="7"/>
      <c r="JBO30" s="7"/>
      <c r="JBP30" s="7"/>
      <c r="JBQ30" s="7"/>
      <c r="JBR30" s="7"/>
      <c r="JBS30" s="7"/>
      <c r="JBT30" s="7"/>
      <c r="JBU30" s="7"/>
      <c r="JBV30" s="7"/>
      <c r="JBW30" s="7"/>
      <c r="JBX30" s="7"/>
      <c r="JBY30" s="7"/>
      <c r="JBZ30" s="7"/>
      <c r="JCA30" s="7"/>
      <c r="JCB30" s="7"/>
      <c r="JCC30" s="7"/>
      <c r="JCD30" s="7"/>
      <c r="JCE30" s="7"/>
      <c r="JCF30" s="7"/>
      <c r="JCG30" s="7"/>
      <c r="JCH30" s="7"/>
      <c r="JCI30" s="7"/>
      <c r="JCJ30" s="7"/>
      <c r="JCK30" s="7"/>
      <c r="JCL30" s="7"/>
      <c r="JCM30" s="7"/>
      <c r="JCN30" s="7"/>
      <c r="JCO30" s="7"/>
      <c r="JCP30" s="7"/>
      <c r="JCQ30" s="7"/>
      <c r="JCR30" s="7"/>
      <c r="JCS30" s="7"/>
      <c r="JCT30" s="7"/>
      <c r="JCU30" s="7"/>
      <c r="JCV30" s="7"/>
      <c r="JCW30" s="7"/>
      <c r="JCX30" s="7"/>
      <c r="JCY30" s="7"/>
      <c r="JCZ30" s="7"/>
      <c r="JDA30" s="7"/>
      <c r="JDB30" s="7"/>
      <c r="JDC30" s="7"/>
      <c r="JDD30" s="7"/>
      <c r="JDE30" s="7"/>
      <c r="JDF30" s="7"/>
      <c r="JDG30" s="7"/>
      <c r="JDH30" s="7"/>
      <c r="JDI30" s="7"/>
      <c r="JDJ30" s="7"/>
      <c r="JDK30" s="7"/>
      <c r="JDL30" s="7"/>
      <c r="JDM30" s="7"/>
      <c r="JDN30" s="7"/>
      <c r="JDO30" s="7"/>
      <c r="JDP30" s="7"/>
      <c r="JDQ30" s="7"/>
      <c r="JDR30" s="7"/>
      <c r="JDS30" s="7"/>
      <c r="JDT30" s="7"/>
      <c r="JDU30" s="7"/>
      <c r="JDV30" s="7"/>
      <c r="JDW30" s="7"/>
      <c r="JDX30" s="7"/>
      <c r="JDY30" s="7"/>
      <c r="JDZ30" s="7"/>
      <c r="JEA30" s="7"/>
      <c r="JEB30" s="7"/>
      <c r="JEC30" s="7"/>
      <c r="JED30" s="7"/>
      <c r="JEE30" s="7"/>
      <c r="JEF30" s="7"/>
      <c r="JEG30" s="7"/>
      <c r="JEH30" s="7"/>
      <c r="JEI30" s="7"/>
      <c r="JEJ30" s="7"/>
      <c r="JEK30" s="7"/>
      <c r="JEL30" s="7"/>
      <c r="JEM30" s="7"/>
      <c r="JEN30" s="7"/>
      <c r="JEO30" s="7"/>
      <c r="JEP30" s="7"/>
      <c r="JEQ30" s="7"/>
      <c r="JER30" s="7"/>
      <c r="JES30" s="7"/>
      <c r="JET30" s="7"/>
      <c r="JEU30" s="7"/>
      <c r="JEV30" s="7"/>
      <c r="JEW30" s="7"/>
      <c r="JEX30" s="7"/>
      <c r="JEY30" s="7"/>
      <c r="JEZ30" s="7"/>
      <c r="JFA30" s="7"/>
      <c r="JFB30" s="7"/>
      <c r="JFC30" s="7"/>
      <c r="JFD30" s="7"/>
      <c r="JFE30" s="7"/>
      <c r="JFF30" s="7"/>
      <c r="JFG30" s="7"/>
      <c r="JFH30" s="7"/>
      <c r="JFI30" s="7"/>
      <c r="JFJ30" s="7"/>
      <c r="JFK30" s="7"/>
      <c r="JFL30" s="7"/>
      <c r="JFM30" s="7"/>
      <c r="JFN30" s="7"/>
      <c r="JFO30" s="7"/>
      <c r="JFP30" s="7"/>
      <c r="JFQ30" s="7"/>
      <c r="JFR30" s="7"/>
      <c r="JFS30" s="7"/>
      <c r="JFT30" s="7"/>
      <c r="JFU30" s="7"/>
      <c r="JFV30" s="7"/>
      <c r="JFW30" s="7"/>
      <c r="JFX30" s="7"/>
      <c r="JFY30" s="7"/>
      <c r="JFZ30" s="7"/>
      <c r="JGA30" s="7"/>
      <c r="JGB30" s="7"/>
      <c r="JGC30" s="7"/>
      <c r="JGD30" s="7"/>
      <c r="JGE30" s="7"/>
      <c r="JGF30" s="7"/>
      <c r="JGG30" s="7"/>
      <c r="JGH30" s="7"/>
      <c r="JGI30" s="7"/>
      <c r="JGJ30" s="7"/>
      <c r="JGK30" s="7"/>
      <c r="JGL30" s="7"/>
      <c r="JGM30" s="7"/>
      <c r="JGN30" s="7"/>
      <c r="JGO30" s="7"/>
      <c r="JGP30" s="7"/>
      <c r="JGQ30" s="7"/>
      <c r="JGR30" s="7"/>
      <c r="JGS30" s="7"/>
      <c r="JGT30" s="7"/>
      <c r="JGU30" s="7"/>
      <c r="JGV30" s="7"/>
      <c r="JGW30" s="7"/>
      <c r="JGX30" s="7"/>
      <c r="JGY30" s="7"/>
      <c r="JGZ30" s="7"/>
      <c r="JHA30" s="7"/>
      <c r="JHB30" s="7"/>
      <c r="JHC30" s="7"/>
      <c r="JHD30" s="7"/>
      <c r="JHE30" s="7"/>
      <c r="JHF30" s="7"/>
      <c r="JHG30" s="7"/>
      <c r="JHH30" s="7"/>
      <c r="JHI30" s="7"/>
      <c r="JHJ30" s="7"/>
      <c r="JHK30" s="7"/>
      <c r="JHL30" s="7"/>
      <c r="JHM30" s="7"/>
      <c r="JHN30" s="7"/>
      <c r="JHO30" s="7"/>
      <c r="JHP30" s="7"/>
      <c r="JHQ30" s="7"/>
      <c r="JHR30" s="7"/>
      <c r="JHS30" s="7"/>
      <c r="JHT30" s="7"/>
      <c r="JHU30" s="7"/>
      <c r="JHV30" s="7"/>
      <c r="JHW30" s="7"/>
      <c r="JHX30" s="7"/>
      <c r="JHY30" s="7"/>
      <c r="JHZ30" s="7"/>
      <c r="JIA30" s="7"/>
      <c r="JIB30" s="7"/>
      <c r="JIC30" s="7"/>
      <c r="JID30" s="7"/>
      <c r="JIE30" s="7"/>
      <c r="JIF30" s="7"/>
      <c r="JIG30" s="7"/>
      <c r="JIH30" s="7"/>
      <c r="JII30" s="7"/>
      <c r="JIJ30" s="7"/>
      <c r="JIK30" s="7"/>
      <c r="JIL30" s="7"/>
      <c r="JIM30" s="7"/>
      <c r="JIN30" s="7"/>
      <c r="JIO30" s="7"/>
      <c r="JIP30" s="7"/>
      <c r="JIQ30" s="7"/>
      <c r="JIR30" s="7"/>
      <c r="JIS30" s="7"/>
      <c r="JIT30" s="7"/>
      <c r="JIU30" s="7"/>
      <c r="JIV30" s="7"/>
      <c r="JIW30" s="7"/>
      <c r="JIX30" s="7"/>
      <c r="JIY30" s="7"/>
      <c r="JIZ30" s="7"/>
      <c r="JJA30" s="7"/>
      <c r="JJB30" s="7"/>
      <c r="JJC30" s="7"/>
      <c r="JJD30" s="7"/>
      <c r="JJE30" s="7"/>
      <c r="JJF30" s="7"/>
      <c r="JJG30" s="7"/>
      <c r="JJH30" s="7"/>
      <c r="JJI30" s="7"/>
      <c r="JJJ30" s="7"/>
      <c r="JJK30" s="7"/>
      <c r="JJL30" s="7"/>
      <c r="JJM30" s="7"/>
      <c r="JJN30" s="7"/>
      <c r="JJO30" s="7"/>
      <c r="JJP30" s="7"/>
      <c r="JJQ30" s="7"/>
      <c r="JJR30" s="7"/>
      <c r="JJS30" s="7"/>
      <c r="JJT30" s="7"/>
      <c r="JJU30" s="7"/>
      <c r="JJV30" s="7"/>
      <c r="JJW30" s="7"/>
      <c r="JJX30" s="7"/>
      <c r="JJY30" s="7"/>
      <c r="JJZ30" s="7"/>
      <c r="JKA30" s="7"/>
      <c r="JKB30" s="7"/>
      <c r="JKC30" s="7"/>
      <c r="JKD30" s="7"/>
      <c r="JKE30" s="7"/>
      <c r="JKF30" s="7"/>
      <c r="JKG30" s="7"/>
      <c r="JKH30" s="7"/>
      <c r="JKI30" s="7"/>
      <c r="JKJ30" s="7"/>
      <c r="JKK30" s="7"/>
      <c r="JKL30" s="7"/>
      <c r="JKM30" s="7"/>
      <c r="JKN30" s="7"/>
      <c r="JKO30" s="7"/>
      <c r="JKP30" s="7"/>
      <c r="JKQ30" s="7"/>
      <c r="JKR30" s="7"/>
      <c r="JKS30" s="7"/>
      <c r="JKT30" s="7"/>
      <c r="JKU30" s="7"/>
      <c r="JKV30" s="7"/>
      <c r="JKW30" s="7"/>
      <c r="JKX30" s="7"/>
      <c r="JKY30" s="7"/>
      <c r="JKZ30" s="7"/>
      <c r="JLA30" s="7"/>
      <c r="JLB30" s="7"/>
      <c r="JLC30" s="7"/>
      <c r="JLD30" s="7"/>
      <c r="JLE30" s="7"/>
      <c r="JLF30" s="7"/>
      <c r="JLG30" s="7"/>
      <c r="JLH30" s="7"/>
      <c r="JLI30" s="7"/>
      <c r="JLJ30" s="7"/>
      <c r="JLK30" s="7"/>
      <c r="JLL30" s="7"/>
      <c r="JLM30" s="7"/>
      <c r="JLN30" s="7"/>
      <c r="JLO30" s="7"/>
      <c r="JLP30" s="7"/>
      <c r="JLQ30" s="7"/>
      <c r="JLR30" s="7"/>
      <c r="JLS30" s="7"/>
      <c r="JLT30" s="7"/>
      <c r="JLU30" s="7"/>
      <c r="JLV30" s="7"/>
      <c r="JLW30" s="7"/>
      <c r="JLX30" s="7"/>
      <c r="JLY30" s="7"/>
      <c r="JLZ30" s="7"/>
      <c r="JMA30" s="7"/>
      <c r="JMB30" s="7"/>
      <c r="JMC30" s="7"/>
      <c r="JMD30" s="7"/>
      <c r="JME30" s="7"/>
      <c r="JMF30" s="7"/>
      <c r="JMG30" s="7"/>
      <c r="JMH30" s="7"/>
      <c r="JMI30" s="7"/>
      <c r="JMJ30" s="7"/>
      <c r="JMK30" s="7"/>
      <c r="JML30" s="7"/>
      <c r="JMM30" s="7"/>
      <c r="JMN30" s="7"/>
      <c r="JMO30" s="7"/>
      <c r="JMP30" s="7"/>
      <c r="JMQ30" s="7"/>
      <c r="JMR30" s="7"/>
      <c r="JMS30" s="7"/>
      <c r="JMT30" s="7"/>
      <c r="JMU30" s="7"/>
      <c r="JMV30" s="7"/>
      <c r="JMW30" s="7"/>
      <c r="JMX30" s="7"/>
      <c r="JMY30" s="7"/>
      <c r="JMZ30" s="7"/>
      <c r="JNA30" s="7"/>
      <c r="JNB30" s="7"/>
      <c r="JNC30" s="7"/>
      <c r="JND30" s="7"/>
      <c r="JNE30" s="7"/>
      <c r="JNF30" s="7"/>
      <c r="JNG30" s="7"/>
      <c r="JNH30" s="7"/>
      <c r="JNI30" s="7"/>
      <c r="JNJ30" s="7"/>
      <c r="JNK30" s="7"/>
      <c r="JNL30" s="7"/>
      <c r="JNM30" s="7"/>
      <c r="JNN30" s="7"/>
      <c r="JNO30" s="7"/>
      <c r="JNP30" s="7"/>
      <c r="JNQ30" s="7"/>
      <c r="JNR30" s="7"/>
      <c r="JNS30" s="7"/>
      <c r="JNT30" s="7"/>
      <c r="JNU30" s="7"/>
      <c r="JNV30" s="7"/>
      <c r="JNW30" s="7"/>
      <c r="JNX30" s="7"/>
      <c r="JNY30" s="7"/>
      <c r="JNZ30" s="7"/>
      <c r="JOA30" s="7"/>
      <c r="JOB30" s="7"/>
      <c r="JOC30" s="7"/>
      <c r="JOD30" s="7"/>
      <c r="JOE30" s="7"/>
      <c r="JOF30" s="7"/>
      <c r="JOG30" s="7"/>
      <c r="JOH30" s="7"/>
      <c r="JOI30" s="7"/>
      <c r="JOJ30" s="7"/>
      <c r="JOK30" s="7"/>
      <c r="JOL30" s="7"/>
      <c r="JOM30" s="7"/>
      <c r="JON30" s="7"/>
      <c r="JOO30" s="7"/>
      <c r="JOP30" s="7"/>
      <c r="JOQ30" s="7"/>
      <c r="JOR30" s="7"/>
      <c r="JOS30" s="7"/>
      <c r="JOT30" s="7"/>
      <c r="JOU30" s="7"/>
      <c r="JOV30" s="7"/>
      <c r="JOW30" s="7"/>
      <c r="JOX30" s="7"/>
      <c r="JOY30" s="7"/>
      <c r="JOZ30" s="7"/>
      <c r="JPA30" s="7"/>
      <c r="JPB30" s="7"/>
      <c r="JPC30" s="7"/>
      <c r="JPD30" s="7"/>
      <c r="JPE30" s="7"/>
      <c r="JPF30" s="7"/>
      <c r="JPG30" s="7"/>
      <c r="JPH30" s="7"/>
      <c r="JPI30" s="7"/>
      <c r="JPJ30" s="7"/>
      <c r="JPK30" s="7"/>
      <c r="JPL30" s="7"/>
      <c r="JPM30" s="7"/>
      <c r="JPN30" s="7"/>
      <c r="JPO30" s="7"/>
      <c r="JPP30" s="7"/>
      <c r="JPQ30" s="7"/>
      <c r="JPR30" s="7"/>
      <c r="JPS30" s="7"/>
      <c r="JPT30" s="7"/>
      <c r="JPU30" s="7"/>
      <c r="JPV30" s="7"/>
      <c r="JPW30" s="7"/>
      <c r="JPX30" s="7"/>
      <c r="JPY30" s="7"/>
      <c r="JPZ30" s="7"/>
      <c r="JQA30" s="7"/>
      <c r="JQB30" s="7"/>
      <c r="JQC30" s="7"/>
      <c r="JQD30" s="7"/>
      <c r="JQE30" s="7"/>
      <c r="JQF30" s="7"/>
      <c r="JQG30" s="7"/>
      <c r="JQH30" s="7"/>
      <c r="JQI30" s="7"/>
      <c r="JQJ30" s="7"/>
      <c r="JQK30" s="7"/>
      <c r="JQL30" s="7"/>
      <c r="JQM30" s="7"/>
      <c r="JQN30" s="7"/>
      <c r="JQO30" s="7"/>
      <c r="JQP30" s="7"/>
      <c r="JQQ30" s="7"/>
      <c r="JQR30" s="7"/>
      <c r="JQS30" s="7"/>
      <c r="JQT30" s="7"/>
      <c r="JQU30" s="7"/>
      <c r="JQV30" s="7"/>
      <c r="JQW30" s="7"/>
      <c r="JQX30" s="7"/>
      <c r="JQY30" s="7"/>
      <c r="JQZ30" s="7"/>
      <c r="JRA30" s="7"/>
      <c r="JRB30" s="7"/>
      <c r="JRC30" s="7"/>
      <c r="JRD30" s="7"/>
      <c r="JRE30" s="7"/>
      <c r="JRF30" s="7"/>
      <c r="JRG30" s="7"/>
      <c r="JRH30" s="7"/>
      <c r="JRI30" s="7"/>
      <c r="JRJ30" s="7"/>
      <c r="JRK30" s="7"/>
      <c r="JRL30" s="7"/>
      <c r="JRM30" s="7"/>
      <c r="JRN30" s="7"/>
      <c r="JRO30" s="7"/>
      <c r="JRP30" s="7"/>
      <c r="JRQ30" s="7"/>
      <c r="JRR30" s="7"/>
      <c r="JRS30" s="7"/>
      <c r="JRT30" s="7"/>
      <c r="JRU30" s="7"/>
      <c r="JRV30" s="7"/>
      <c r="JRW30" s="7"/>
      <c r="JRX30" s="7"/>
      <c r="JRY30" s="7"/>
      <c r="JRZ30" s="7"/>
      <c r="JSA30" s="7"/>
      <c r="JSB30" s="7"/>
      <c r="JSC30" s="7"/>
      <c r="JSD30" s="7"/>
      <c r="JSE30" s="7"/>
      <c r="JSF30" s="7"/>
      <c r="JSG30" s="7"/>
      <c r="JSH30" s="7"/>
      <c r="JSI30" s="7"/>
      <c r="JSJ30" s="7"/>
      <c r="JSK30" s="7"/>
      <c r="JSL30" s="7"/>
      <c r="JSM30" s="7"/>
      <c r="JSN30" s="7"/>
      <c r="JSO30" s="7"/>
      <c r="JSP30" s="7"/>
      <c r="JSQ30" s="7"/>
      <c r="JSR30" s="7"/>
      <c r="JSS30" s="7"/>
      <c r="JST30" s="7"/>
      <c r="JSU30" s="7"/>
      <c r="JSV30" s="7"/>
      <c r="JSW30" s="7"/>
      <c r="JSX30" s="7"/>
      <c r="JSY30" s="7"/>
      <c r="JSZ30" s="7"/>
      <c r="JTA30" s="7"/>
      <c r="JTB30" s="7"/>
      <c r="JTC30" s="7"/>
      <c r="JTD30" s="7"/>
      <c r="JTE30" s="7"/>
      <c r="JTF30" s="7"/>
      <c r="JTG30" s="7"/>
      <c r="JTH30" s="7"/>
      <c r="JTI30" s="7"/>
      <c r="JTJ30" s="7"/>
      <c r="JTK30" s="7"/>
      <c r="JTL30" s="7"/>
      <c r="JTM30" s="7"/>
      <c r="JTN30" s="7"/>
      <c r="JTO30" s="7"/>
      <c r="JTP30" s="7"/>
      <c r="JTQ30" s="7"/>
      <c r="JTR30" s="7"/>
      <c r="JTS30" s="7"/>
      <c r="JTT30" s="7"/>
      <c r="JTU30" s="7"/>
      <c r="JTV30" s="7"/>
      <c r="JTW30" s="7"/>
      <c r="JTX30" s="7"/>
      <c r="JTY30" s="7"/>
      <c r="JTZ30" s="7"/>
      <c r="JUA30" s="7"/>
      <c r="JUB30" s="7"/>
      <c r="JUC30" s="7"/>
      <c r="JUD30" s="7"/>
      <c r="JUE30" s="7"/>
      <c r="JUF30" s="7"/>
      <c r="JUG30" s="7"/>
      <c r="JUH30" s="7"/>
      <c r="JUI30" s="7"/>
      <c r="JUJ30" s="7"/>
      <c r="JUK30" s="7"/>
      <c r="JUL30" s="7"/>
      <c r="JUM30" s="7"/>
      <c r="JUN30" s="7"/>
      <c r="JUO30" s="7"/>
      <c r="JUP30" s="7"/>
      <c r="JUQ30" s="7"/>
      <c r="JUR30" s="7"/>
      <c r="JUS30" s="7"/>
      <c r="JUT30" s="7"/>
      <c r="JUU30" s="7"/>
      <c r="JUV30" s="7"/>
      <c r="JUW30" s="7"/>
      <c r="JUX30" s="7"/>
      <c r="JUY30" s="7"/>
      <c r="JUZ30" s="7"/>
      <c r="JVA30" s="7"/>
      <c r="JVB30" s="7"/>
      <c r="JVC30" s="7"/>
      <c r="JVD30" s="7"/>
      <c r="JVE30" s="7"/>
      <c r="JVF30" s="7"/>
      <c r="JVG30" s="7"/>
      <c r="JVH30" s="7"/>
      <c r="JVI30" s="7"/>
      <c r="JVJ30" s="7"/>
      <c r="JVK30" s="7"/>
      <c r="JVL30" s="7"/>
      <c r="JVM30" s="7"/>
      <c r="JVN30" s="7"/>
      <c r="JVO30" s="7"/>
      <c r="JVP30" s="7"/>
      <c r="JVQ30" s="7"/>
      <c r="JVR30" s="7"/>
      <c r="JVS30" s="7"/>
      <c r="JVT30" s="7"/>
      <c r="JVU30" s="7"/>
      <c r="JVV30" s="7"/>
      <c r="JVW30" s="7"/>
      <c r="JVX30" s="7"/>
      <c r="JVY30" s="7"/>
      <c r="JVZ30" s="7"/>
      <c r="JWA30" s="7"/>
      <c r="JWB30" s="7"/>
      <c r="JWC30" s="7"/>
      <c r="JWD30" s="7"/>
      <c r="JWE30" s="7"/>
      <c r="JWF30" s="7"/>
      <c r="JWG30" s="7"/>
      <c r="JWH30" s="7"/>
      <c r="JWI30" s="7"/>
      <c r="JWJ30" s="7"/>
      <c r="JWK30" s="7"/>
      <c r="JWL30" s="7"/>
      <c r="JWM30" s="7"/>
      <c r="JWN30" s="7"/>
      <c r="JWO30" s="7"/>
      <c r="JWP30" s="7"/>
      <c r="JWQ30" s="7"/>
      <c r="JWR30" s="7"/>
      <c r="JWS30" s="7"/>
      <c r="JWT30" s="7"/>
      <c r="JWU30" s="7"/>
      <c r="JWV30" s="7"/>
      <c r="JWW30" s="7"/>
      <c r="JWX30" s="7"/>
      <c r="JWY30" s="7"/>
      <c r="JWZ30" s="7"/>
      <c r="JXA30" s="7"/>
      <c r="JXB30" s="7"/>
      <c r="JXC30" s="7"/>
      <c r="JXD30" s="7"/>
      <c r="JXE30" s="7"/>
      <c r="JXF30" s="7"/>
      <c r="JXG30" s="7"/>
      <c r="JXH30" s="7"/>
      <c r="JXI30" s="7"/>
      <c r="JXJ30" s="7"/>
      <c r="JXK30" s="7"/>
      <c r="JXL30" s="7"/>
      <c r="JXM30" s="7"/>
      <c r="JXN30" s="7"/>
      <c r="JXO30" s="7"/>
      <c r="JXP30" s="7"/>
      <c r="JXQ30" s="7"/>
      <c r="JXR30" s="7"/>
      <c r="JXS30" s="7"/>
      <c r="JXT30" s="7"/>
      <c r="JXU30" s="7"/>
      <c r="JXV30" s="7"/>
      <c r="JXW30" s="7"/>
      <c r="JXX30" s="7"/>
      <c r="JXY30" s="7"/>
      <c r="JXZ30" s="7"/>
      <c r="JYA30" s="7"/>
      <c r="JYB30" s="7"/>
      <c r="JYC30" s="7"/>
      <c r="JYD30" s="7"/>
      <c r="JYE30" s="7"/>
      <c r="JYF30" s="7"/>
      <c r="JYG30" s="7"/>
      <c r="JYH30" s="7"/>
      <c r="JYI30" s="7"/>
      <c r="JYJ30" s="7"/>
      <c r="JYK30" s="7"/>
      <c r="JYL30" s="7"/>
      <c r="JYM30" s="7"/>
      <c r="JYN30" s="7"/>
      <c r="JYO30" s="7"/>
      <c r="JYP30" s="7"/>
      <c r="JYQ30" s="7"/>
      <c r="JYR30" s="7"/>
      <c r="JYS30" s="7"/>
      <c r="JYT30" s="7"/>
      <c r="JYU30" s="7"/>
      <c r="JYV30" s="7"/>
      <c r="JYW30" s="7"/>
      <c r="JYX30" s="7"/>
      <c r="JYY30" s="7"/>
      <c r="JYZ30" s="7"/>
      <c r="JZA30" s="7"/>
      <c r="JZB30" s="7"/>
      <c r="JZC30" s="7"/>
      <c r="JZD30" s="7"/>
      <c r="JZE30" s="7"/>
      <c r="JZF30" s="7"/>
      <c r="JZG30" s="7"/>
      <c r="JZH30" s="7"/>
      <c r="JZI30" s="7"/>
      <c r="JZJ30" s="7"/>
      <c r="JZK30" s="7"/>
      <c r="JZL30" s="7"/>
      <c r="JZM30" s="7"/>
      <c r="JZN30" s="7"/>
      <c r="JZO30" s="7"/>
      <c r="JZP30" s="7"/>
      <c r="JZQ30" s="7"/>
      <c r="JZR30" s="7"/>
      <c r="JZS30" s="7"/>
      <c r="JZT30" s="7"/>
      <c r="JZU30" s="7"/>
      <c r="JZV30" s="7"/>
      <c r="JZW30" s="7"/>
      <c r="JZX30" s="7"/>
      <c r="JZY30" s="7"/>
      <c r="JZZ30" s="7"/>
      <c r="KAA30" s="7"/>
      <c r="KAB30" s="7"/>
      <c r="KAC30" s="7"/>
      <c r="KAD30" s="7"/>
      <c r="KAE30" s="7"/>
      <c r="KAF30" s="7"/>
      <c r="KAG30" s="7"/>
      <c r="KAH30" s="7"/>
      <c r="KAI30" s="7"/>
      <c r="KAJ30" s="7"/>
      <c r="KAK30" s="7"/>
      <c r="KAL30" s="7"/>
      <c r="KAM30" s="7"/>
      <c r="KAN30" s="7"/>
      <c r="KAO30" s="7"/>
      <c r="KAP30" s="7"/>
      <c r="KAQ30" s="7"/>
      <c r="KAR30" s="7"/>
      <c r="KAS30" s="7"/>
      <c r="KAT30" s="7"/>
      <c r="KAU30" s="7"/>
      <c r="KAV30" s="7"/>
      <c r="KAW30" s="7"/>
      <c r="KAX30" s="7"/>
      <c r="KAY30" s="7"/>
      <c r="KAZ30" s="7"/>
      <c r="KBA30" s="7"/>
      <c r="KBB30" s="7"/>
      <c r="KBC30" s="7"/>
      <c r="KBD30" s="7"/>
      <c r="KBE30" s="7"/>
      <c r="KBF30" s="7"/>
      <c r="KBG30" s="7"/>
      <c r="KBH30" s="7"/>
      <c r="KBI30" s="7"/>
      <c r="KBJ30" s="7"/>
      <c r="KBK30" s="7"/>
      <c r="KBL30" s="7"/>
      <c r="KBM30" s="7"/>
      <c r="KBN30" s="7"/>
      <c r="KBO30" s="7"/>
      <c r="KBP30" s="7"/>
      <c r="KBQ30" s="7"/>
      <c r="KBR30" s="7"/>
      <c r="KBS30" s="7"/>
      <c r="KBT30" s="7"/>
      <c r="KBU30" s="7"/>
      <c r="KBV30" s="7"/>
      <c r="KBW30" s="7"/>
      <c r="KBX30" s="7"/>
      <c r="KBY30" s="7"/>
      <c r="KBZ30" s="7"/>
      <c r="KCA30" s="7"/>
      <c r="KCB30" s="7"/>
      <c r="KCC30" s="7"/>
      <c r="KCD30" s="7"/>
      <c r="KCE30" s="7"/>
      <c r="KCF30" s="7"/>
      <c r="KCG30" s="7"/>
      <c r="KCH30" s="7"/>
      <c r="KCI30" s="7"/>
      <c r="KCJ30" s="7"/>
      <c r="KCK30" s="7"/>
      <c r="KCL30" s="7"/>
      <c r="KCM30" s="7"/>
      <c r="KCN30" s="7"/>
      <c r="KCO30" s="7"/>
      <c r="KCP30" s="7"/>
      <c r="KCQ30" s="7"/>
      <c r="KCR30" s="7"/>
      <c r="KCS30" s="7"/>
      <c r="KCT30" s="7"/>
      <c r="KCU30" s="7"/>
      <c r="KCV30" s="7"/>
      <c r="KCW30" s="7"/>
      <c r="KCX30" s="7"/>
      <c r="KCY30" s="7"/>
      <c r="KCZ30" s="7"/>
      <c r="KDA30" s="7"/>
      <c r="KDB30" s="7"/>
      <c r="KDC30" s="7"/>
      <c r="KDD30" s="7"/>
      <c r="KDE30" s="7"/>
      <c r="KDF30" s="7"/>
      <c r="KDG30" s="7"/>
      <c r="KDH30" s="7"/>
      <c r="KDI30" s="7"/>
      <c r="KDJ30" s="7"/>
      <c r="KDK30" s="7"/>
      <c r="KDL30" s="7"/>
      <c r="KDM30" s="7"/>
      <c r="KDN30" s="7"/>
      <c r="KDO30" s="7"/>
      <c r="KDP30" s="7"/>
      <c r="KDQ30" s="7"/>
      <c r="KDR30" s="7"/>
      <c r="KDS30" s="7"/>
      <c r="KDT30" s="7"/>
      <c r="KDU30" s="7"/>
      <c r="KDV30" s="7"/>
      <c r="KDW30" s="7"/>
      <c r="KDX30" s="7"/>
      <c r="KDY30" s="7"/>
      <c r="KDZ30" s="7"/>
      <c r="KEA30" s="7"/>
      <c r="KEB30" s="7"/>
      <c r="KEC30" s="7"/>
      <c r="KED30" s="7"/>
      <c r="KEE30" s="7"/>
      <c r="KEF30" s="7"/>
      <c r="KEG30" s="7"/>
      <c r="KEH30" s="7"/>
      <c r="KEI30" s="7"/>
      <c r="KEJ30" s="7"/>
      <c r="KEK30" s="7"/>
      <c r="KEL30" s="7"/>
      <c r="KEM30" s="7"/>
      <c r="KEN30" s="7"/>
      <c r="KEO30" s="7"/>
      <c r="KEP30" s="7"/>
      <c r="KEQ30" s="7"/>
      <c r="KER30" s="7"/>
      <c r="KES30" s="7"/>
      <c r="KET30" s="7"/>
      <c r="KEU30" s="7"/>
      <c r="KEV30" s="7"/>
      <c r="KEW30" s="7"/>
      <c r="KEX30" s="7"/>
      <c r="KEY30" s="7"/>
      <c r="KEZ30" s="7"/>
      <c r="KFA30" s="7"/>
      <c r="KFB30" s="7"/>
      <c r="KFC30" s="7"/>
      <c r="KFD30" s="7"/>
      <c r="KFE30" s="7"/>
      <c r="KFF30" s="7"/>
      <c r="KFG30" s="7"/>
      <c r="KFH30" s="7"/>
      <c r="KFI30" s="7"/>
      <c r="KFJ30" s="7"/>
      <c r="KFK30" s="7"/>
      <c r="KFL30" s="7"/>
      <c r="KFM30" s="7"/>
      <c r="KFN30" s="7"/>
      <c r="KFO30" s="7"/>
      <c r="KFP30" s="7"/>
      <c r="KFQ30" s="7"/>
      <c r="KFR30" s="7"/>
      <c r="KFS30" s="7"/>
      <c r="KFT30" s="7"/>
      <c r="KFU30" s="7"/>
      <c r="KFV30" s="7"/>
      <c r="KFW30" s="7"/>
      <c r="KFX30" s="7"/>
      <c r="KFY30" s="7"/>
      <c r="KFZ30" s="7"/>
      <c r="KGA30" s="7"/>
      <c r="KGB30" s="7"/>
      <c r="KGC30" s="7"/>
      <c r="KGD30" s="7"/>
      <c r="KGE30" s="7"/>
      <c r="KGF30" s="7"/>
      <c r="KGG30" s="7"/>
      <c r="KGH30" s="7"/>
      <c r="KGI30" s="7"/>
      <c r="KGJ30" s="7"/>
      <c r="KGK30" s="7"/>
      <c r="KGL30" s="7"/>
      <c r="KGM30" s="7"/>
      <c r="KGN30" s="7"/>
      <c r="KGO30" s="7"/>
      <c r="KGP30" s="7"/>
      <c r="KGQ30" s="7"/>
      <c r="KGR30" s="7"/>
      <c r="KGS30" s="7"/>
      <c r="KGT30" s="7"/>
      <c r="KGU30" s="7"/>
      <c r="KGV30" s="7"/>
      <c r="KGW30" s="7"/>
      <c r="KGX30" s="7"/>
      <c r="KGY30" s="7"/>
      <c r="KGZ30" s="7"/>
      <c r="KHA30" s="7"/>
      <c r="KHB30" s="7"/>
      <c r="KHC30" s="7"/>
      <c r="KHD30" s="7"/>
      <c r="KHE30" s="7"/>
      <c r="KHF30" s="7"/>
      <c r="KHG30" s="7"/>
      <c r="KHH30" s="7"/>
      <c r="KHI30" s="7"/>
      <c r="KHJ30" s="7"/>
      <c r="KHK30" s="7"/>
      <c r="KHL30" s="7"/>
      <c r="KHM30" s="7"/>
      <c r="KHN30" s="7"/>
      <c r="KHO30" s="7"/>
      <c r="KHP30" s="7"/>
      <c r="KHQ30" s="7"/>
      <c r="KHR30" s="7"/>
      <c r="KHS30" s="7"/>
      <c r="KHT30" s="7"/>
      <c r="KHU30" s="7"/>
      <c r="KHV30" s="7"/>
      <c r="KHW30" s="7"/>
      <c r="KHX30" s="7"/>
      <c r="KHY30" s="7"/>
      <c r="KHZ30" s="7"/>
      <c r="KIA30" s="7"/>
      <c r="KIB30" s="7"/>
      <c r="KIC30" s="7"/>
      <c r="KID30" s="7"/>
      <c r="KIE30" s="7"/>
      <c r="KIF30" s="7"/>
      <c r="KIG30" s="7"/>
      <c r="KIH30" s="7"/>
      <c r="KII30" s="7"/>
      <c r="KIJ30" s="7"/>
      <c r="KIK30" s="7"/>
      <c r="KIL30" s="7"/>
      <c r="KIM30" s="7"/>
      <c r="KIN30" s="7"/>
      <c r="KIO30" s="7"/>
      <c r="KIP30" s="7"/>
      <c r="KIQ30" s="7"/>
      <c r="KIR30" s="7"/>
      <c r="KIS30" s="7"/>
      <c r="KIT30" s="7"/>
      <c r="KIU30" s="7"/>
      <c r="KIV30" s="7"/>
      <c r="KIW30" s="7"/>
      <c r="KIX30" s="7"/>
      <c r="KIY30" s="7"/>
      <c r="KIZ30" s="7"/>
      <c r="KJA30" s="7"/>
      <c r="KJB30" s="7"/>
      <c r="KJC30" s="7"/>
      <c r="KJD30" s="7"/>
      <c r="KJE30" s="7"/>
      <c r="KJF30" s="7"/>
      <c r="KJG30" s="7"/>
      <c r="KJH30" s="7"/>
      <c r="KJI30" s="7"/>
      <c r="KJJ30" s="7"/>
      <c r="KJK30" s="7"/>
      <c r="KJL30" s="7"/>
      <c r="KJM30" s="7"/>
      <c r="KJN30" s="7"/>
      <c r="KJO30" s="7"/>
      <c r="KJP30" s="7"/>
      <c r="KJQ30" s="7"/>
      <c r="KJR30" s="7"/>
      <c r="KJS30" s="7"/>
      <c r="KJT30" s="7"/>
      <c r="KJU30" s="7"/>
      <c r="KJV30" s="7"/>
      <c r="KJW30" s="7"/>
      <c r="KJX30" s="7"/>
      <c r="KJY30" s="7"/>
      <c r="KJZ30" s="7"/>
      <c r="KKA30" s="7"/>
      <c r="KKB30" s="7"/>
      <c r="KKC30" s="7"/>
      <c r="KKD30" s="7"/>
      <c r="KKE30" s="7"/>
      <c r="KKF30" s="7"/>
      <c r="KKG30" s="7"/>
      <c r="KKH30" s="7"/>
      <c r="KKI30" s="7"/>
      <c r="KKJ30" s="7"/>
      <c r="KKK30" s="7"/>
      <c r="KKL30" s="7"/>
      <c r="KKM30" s="7"/>
      <c r="KKN30" s="7"/>
      <c r="KKO30" s="7"/>
      <c r="KKP30" s="7"/>
      <c r="KKQ30" s="7"/>
      <c r="KKR30" s="7"/>
      <c r="KKS30" s="7"/>
      <c r="KKT30" s="7"/>
      <c r="KKU30" s="7"/>
      <c r="KKV30" s="7"/>
      <c r="KKW30" s="7"/>
      <c r="KKX30" s="7"/>
      <c r="KKY30" s="7"/>
      <c r="KKZ30" s="7"/>
      <c r="KLA30" s="7"/>
      <c r="KLB30" s="7"/>
      <c r="KLC30" s="7"/>
      <c r="KLD30" s="7"/>
      <c r="KLE30" s="7"/>
      <c r="KLF30" s="7"/>
      <c r="KLG30" s="7"/>
      <c r="KLH30" s="7"/>
      <c r="KLI30" s="7"/>
      <c r="KLJ30" s="7"/>
      <c r="KLK30" s="7"/>
      <c r="KLL30" s="7"/>
      <c r="KLM30" s="7"/>
      <c r="KLN30" s="7"/>
      <c r="KLO30" s="7"/>
      <c r="KLP30" s="7"/>
      <c r="KLQ30" s="7"/>
      <c r="KLR30" s="7"/>
      <c r="KLS30" s="7"/>
      <c r="KLT30" s="7"/>
      <c r="KLU30" s="7"/>
      <c r="KLV30" s="7"/>
      <c r="KLW30" s="7"/>
      <c r="KLX30" s="7"/>
      <c r="KLY30" s="7"/>
      <c r="KLZ30" s="7"/>
      <c r="KMA30" s="7"/>
      <c r="KMB30" s="7"/>
      <c r="KMC30" s="7"/>
      <c r="KMD30" s="7"/>
      <c r="KME30" s="7"/>
      <c r="KMF30" s="7"/>
      <c r="KMG30" s="7"/>
      <c r="KMH30" s="7"/>
      <c r="KMI30" s="7"/>
      <c r="KMJ30" s="7"/>
      <c r="KMK30" s="7"/>
      <c r="KML30" s="7"/>
      <c r="KMM30" s="7"/>
      <c r="KMN30" s="7"/>
      <c r="KMO30" s="7"/>
      <c r="KMP30" s="7"/>
      <c r="KMQ30" s="7"/>
      <c r="KMR30" s="7"/>
      <c r="KMS30" s="7"/>
      <c r="KMT30" s="7"/>
      <c r="KMU30" s="7"/>
      <c r="KMV30" s="7"/>
      <c r="KMW30" s="7"/>
      <c r="KMX30" s="7"/>
      <c r="KMY30" s="7"/>
      <c r="KMZ30" s="7"/>
      <c r="KNA30" s="7"/>
      <c r="KNB30" s="7"/>
      <c r="KNC30" s="7"/>
      <c r="KND30" s="7"/>
      <c r="KNE30" s="7"/>
      <c r="KNF30" s="7"/>
      <c r="KNG30" s="7"/>
      <c r="KNH30" s="7"/>
      <c r="KNI30" s="7"/>
      <c r="KNJ30" s="7"/>
      <c r="KNK30" s="7"/>
      <c r="KNL30" s="7"/>
      <c r="KNM30" s="7"/>
      <c r="KNN30" s="7"/>
      <c r="KNO30" s="7"/>
      <c r="KNP30" s="7"/>
      <c r="KNQ30" s="7"/>
      <c r="KNR30" s="7"/>
      <c r="KNS30" s="7"/>
      <c r="KNT30" s="7"/>
      <c r="KNU30" s="7"/>
      <c r="KNV30" s="7"/>
      <c r="KNW30" s="7"/>
      <c r="KNX30" s="7"/>
      <c r="KNY30" s="7"/>
      <c r="KNZ30" s="7"/>
      <c r="KOA30" s="7"/>
      <c r="KOB30" s="7"/>
      <c r="KOC30" s="7"/>
      <c r="KOD30" s="7"/>
      <c r="KOE30" s="7"/>
      <c r="KOF30" s="7"/>
      <c r="KOG30" s="7"/>
      <c r="KOH30" s="7"/>
      <c r="KOI30" s="7"/>
      <c r="KOJ30" s="7"/>
      <c r="KOK30" s="7"/>
      <c r="KOL30" s="7"/>
      <c r="KOM30" s="7"/>
      <c r="KON30" s="7"/>
      <c r="KOO30" s="7"/>
      <c r="KOP30" s="7"/>
      <c r="KOQ30" s="7"/>
      <c r="KOR30" s="7"/>
      <c r="KOS30" s="7"/>
      <c r="KOT30" s="7"/>
      <c r="KOU30" s="7"/>
      <c r="KOV30" s="7"/>
      <c r="KOW30" s="7"/>
      <c r="KOX30" s="7"/>
      <c r="KOY30" s="7"/>
      <c r="KOZ30" s="7"/>
      <c r="KPA30" s="7"/>
      <c r="KPB30" s="7"/>
      <c r="KPC30" s="7"/>
      <c r="KPD30" s="7"/>
      <c r="KPE30" s="7"/>
      <c r="KPF30" s="7"/>
      <c r="KPG30" s="7"/>
      <c r="KPH30" s="7"/>
      <c r="KPI30" s="7"/>
      <c r="KPJ30" s="7"/>
      <c r="KPK30" s="7"/>
      <c r="KPL30" s="7"/>
      <c r="KPM30" s="7"/>
      <c r="KPN30" s="7"/>
      <c r="KPO30" s="7"/>
      <c r="KPP30" s="7"/>
      <c r="KPQ30" s="7"/>
      <c r="KPR30" s="7"/>
      <c r="KPS30" s="7"/>
      <c r="KPT30" s="7"/>
      <c r="KPU30" s="7"/>
      <c r="KPV30" s="7"/>
      <c r="KPW30" s="7"/>
      <c r="KPX30" s="7"/>
      <c r="KPY30" s="7"/>
      <c r="KPZ30" s="7"/>
      <c r="KQA30" s="7"/>
      <c r="KQB30" s="7"/>
      <c r="KQC30" s="7"/>
      <c r="KQD30" s="7"/>
      <c r="KQE30" s="7"/>
      <c r="KQF30" s="7"/>
      <c r="KQG30" s="7"/>
      <c r="KQH30" s="7"/>
      <c r="KQI30" s="7"/>
      <c r="KQJ30" s="7"/>
      <c r="KQK30" s="7"/>
      <c r="KQL30" s="7"/>
      <c r="KQM30" s="7"/>
      <c r="KQN30" s="7"/>
      <c r="KQO30" s="7"/>
      <c r="KQP30" s="7"/>
      <c r="KQQ30" s="7"/>
      <c r="KQR30" s="7"/>
      <c r="KQS30" s="7"/>
      <c r="KQT30" s="7"/>
      <c r="KQU30" s="7"/>
      <c r="KQV30" s="7"/>
      <c r="KQW30" s="7"/>
      <c r="KQX30" s="7"/>
      <c r="KQY30" s="7"/>
      <c r="KQZ30" s="7"/>
      <c r="KRA30" s="7"/>
      <c r="KRB30" s="7"/>
      <c r="KRC30" s="7"/>
      <c r="KRD30" s="7"/>
      <c r="KRE30" s="7"/>
      <c r="KRF30" s="7"/>
      <c r="KRG30" s="7"/>
      <c r="KRH30" s="7"/>
      <c r="KRI30" s="7"/>
      <c r="KRJ30" s="7"/>
      <c r="KRK30" s="7"/>
      <c r="KRL30" s="7"/>
      <c r="KRM30" s="7"/>
      <c r="KRN30" s="7"/>
      <c r="KRO30" s="7"/>
      <c r="KRP30" s="7"/>
      <c r="KRQ30" s="7"/>
      <c r="KRR30" s="7"/>
      <c r="KRS30" s="7"/>
      <c r="KRT30" s="7"/>
      <c r="KRU30" s="7"/>
      <c r="KRV30" s="7"/>
      <c r="KRW30" s="7"/>
      <c r="KRX30" s="7"/>
      <c r="KRY30" s="7"/>
      <c r="KRZ30" s="7"/>
      <c r="KSA30" s="7"/>
      <c r="KSB30" s="7"/>
      <c r="KSC30" s="7"/>
      <c r="KSD30" s="7"/>
      <c r="KSE30" s="7"/>
      <c r="KSF30" s="7"/>
      <c r="KSG30" s="7"/>
      <c r="KSH30" s="7"/>
      <c r="KSI30" s="7"/>
      <c r="KSJ30" s="7"/>
      <c r="KSK30" s="7"/>
      <c r="KSL30" s="7"/>
      <c r="KSM30" s="7"/>
      <c r="KSN30" s="7"/>
      <c r="KSO30" s="7"/>
      <c r="KSP30" s="7"/>
      <c r="KSQ30" s="7"/>
      <c r="KSR30" s="7"/>
      <c r="KSS30" s="7"/>
      <c r="KST30" s="7"/>
      <c r="KSU30" s="7"/>
      <c r="KSV30" s="7"/>
      <c r="KSW30" s="7"/>
      <c r="KSX30" s="7"/>
      <c r="KSY30" s="7"/>
      <c r="KSZ30" s="7"/>
      <c r="KTA30" s="7"/>
      <c r="KTB30" s="7"/>
      <c r="KTC30" s="7"/>
      <c r="KTD30" s="7"/>
      <c r="KTE30" s="7"/>
      <c r="KTF30" s="7"/>
      <c r="KTG30" s="7"/>
      <c r="KTH30" s="7"/>
      <c r="KTI30" s="7"/>
      <c r="KTJ30" s="7"/>
      <c r="KTK30" s="7"/>
      <c r="KTL30" s="7"/>
      <c r="KTM30" s="7"/>
      <c r="KTN30" s="7"/>
      <c r="KTO30" s="7"/>
      <c r="KTP30" s="7"/>
      <c r="KTQ30" s="7"/>
      <c r="KTR30" s="7"/>
      <c r="KTS30" s="7"/>
      <c r="KTT30" s="7"/>
      <c r="KTU30" s="7"/>
      <c r="KTV30" s="7"/>
      <c r="KTW30" s="7"/>
      <c r="KTX30" s="7"/>
      <c r="KTY30" s="7"/>
      <c r="KTZ30" s="7"/>
      <c r="KUA30" s="7"/>
      <c r="KUB30" s="7"/>
      <c r="KUC30" s="7"/>
      <c r="KUD30" s="7"/>
      <c r="KUE30" s="7"/>
      <c r="KUF30" s="7"/>
      <c r="KUG30" s="7"/>
      <c r="KUH30" s="7"/>
      <c r="KUI30" s="7"/>
      <c r="KUJ30" s="7"/>
      <c r="KUK30" s="7"/>
      <c r="KUL30" s="7"/>
      <c r="KUM30" s="7"/>
      <c r="KUN30" s="7"/>
      <c r="KUO30" s="7"/>
      <c r="KUP30" s="7"/>
      <c r="KUQ30" s="7"/>
      <c r="KUR30" s="7"/>
      <c r="KUS30" s="7"/>
      <c r="KUT30" s="7"/>
      <c r="KUU30" s="7"/>
      <c r="KUV30" s="7"/>
      <c r="KUW30" s="7"/>
      <c r="KUX30" s="7"/>
      <c r="KUY30" s="7"/>
      <c r="KUZ30" s="7"/>
      <c r="KVA30" s="7"/>
      <c r="KVB30" s="7"/>
      <c r="KVC30" s="7"/>
      <c r="KVD30" s="7"/>
      <c r="KVE30" s="7"/>
      <c r="KVF30" s="7"/>
      <c r="KVG30" s="7"/>
      <c r="KVH30" s="7"/>
      <c r="KVI30" s="7"/>
      <c r="KVJ30" s="7"/>
      <c r="KVK30" s="7"/>
      <c r="KVL30" s="7"/>
      <c r="KVM30" s="7"/>
      <c r="KVN30" s="7"/>
      <c r="KVO30" s="7"/>
      <c r="KVP30" s="7"/>
      <c r="KVQ30" s="7"/>
      <c r="KVR30" s="7"/>
      <c r="KVS30" s="7"/>
      <c r="KVT30" s="7"/>
      <c r="KVU30" s="7"/>
      <c r="KVV30" s="7"/>
      <c r="KVW30" s="7"/>
      <c r="KVX30" s="7"/>
      <c r="KVY30" s="7"/>
      <c r="KVZ30" s="7"/>
      <c r="KWA30" s="7"/>
      <c r="KWB30" s="7"/>
      <c r="KWC30" s="7"/>
      <c r="KWD30" s="7"/>
      <c r="KWE30" s="7"/>
      <c r="KWF30" s="7"/>
      <c r="KWG30" s="7"/>
      <c r="KWH30" s="7"/>
      <c r="KWI30" s="7"/>
      <c r="KWJ30" s="7"/>
      <c r="KWK30" s="7"/>
      <c r="KWL30" s="7"/>
      <c r="KWM30" s="7"/>
      <c r="KWN30" s="7"/>
      <c r="KWO30" s="7"/>
      <c r="KWP30" s="7"/>
      <c r="KWQ30" s="7"/>
      <c r="KWR30" s="7"/>
      <c r="KWS30" s="7"/>
      <c r="KWT30" s="7"/>
      <c r="KWU30" s="7"/>
      <c r="KWV30" s="7"/>
      <c r="KWW30" s="7"/>
      <c r="KWX30" s="7"/>
      <c r="KWY30" s="7"/>
      <c r="KWZ30" s="7"/>
      <c r="KXA30" s="7"/>
      <c r="KXB30" s="7"/>
      <c r="KXC30" s="7"/>
      <c r="KXD30" s="7"/>
      <c r="KXE30" s="7"/>
      <c r="KXF30" s="7"/>
      <c r="KXG30" s="7"/>
      <c r="KXH30" s="7"/>
      <c r="KXI30" s="7"/>
      <c r="KXJ30" s="7"/>
      <c r="KXK30" s="7"/>
      <c r="KXL30" s="7"/>
      <c r="KXM30" s="7"/>
      <c r="KXN30" s="7"/>
      <c r="KXO30" s="7"/>
      <c r="KXP30" s="7"/>
      <c r="KXQ30" s="7"/>
      <c r="KXR30" s="7"/>
      <c r="KXS30" s="7"/>
      <c r="KXT30" s="7"/>
      <c r="KXU30" s="7"/>
      <c r="KXV30" s="7"/>
      <c r="KXW30" s="7"/>
      <c r="KXX30" s="7"/>
      <c r="KXY30" s="7"/>
      <c r="KXZ30" s="7"/>
      <c r="KYA30" s="7"/>
      <c r="KYB30" s="7"/>
      <c r="KYC30" s="7"/>
      <c r="KYD30" s="7"/>
      <c r="KYE30" s="7"/>
      <c r="KYF30" s="7"/>
      <c r="KYG30" s="7"/>
      <c r="KYH30" s="7"/>
      <c r="KYI30" s="7"/>
      <c r="KYJ30" s="7"/>
      <c r="KYK30" s="7"/>
      <c r="KYL30" s="7"/>
      <c r="KYM30" s="7"/>
      <c r="KYN30" s="7"/>
      <c r="KYO30" s="7"/>
      <c r="KYP30" s="7"/>
      <c r="KYQ30" s="7"/>
      <c r="KYR30" s="7"/>
      <c r="KYS30" s="7"/>
      <c r="KYT30" s="7"/>
      <c r="KYU30" s="7"/>
      <c r="KYV30" s="7"/>
      <c r="KYW30" s="7"/>
      <c r="KYX30" s="7"/>
      <c r="KYY30" s="7"/>
      <c r="KYZ30" s="7"/>
      <c r="KZA30" s="7"/>
      <c r="KZB30" s="7"/>
      <c r="KZC30" s="7"/>
      <c r="KZD30" s="7"/>
      <c r="KZE30" s="7"/>
      <c r="KZF30" s="7"/>
      <c r="KZG30" s="7"/>
      <c r="KZH30" s="7"/>
      <c r="KZI30" s="7"/>
      <c r="KZJ30" s="7"/>
      <c r="KZK30" s="7"/>
      <c r="KZL30" s="7"/>
      <c r="KZM30" s="7"/>
      <c r="KZN30" s="7"/>
      <c r="KZO30" s="7"/>
      <c r="KZP30" s="7"/>
      <c r="KZQ30" s="7"/>
      <c r="KZR30" s="7"/>
      <c r="KZS30" s="7"/>
      <c r="KZT30" s="7"/>
      <c r="KZU30" s="7"/>
      <c r="KZV30" s="7"/>
      <c r="KZW30" s="7"/>
      <c r="KZX30" s="7"/>
      <c r="KZY30" s="7"/>
      <c r="KZZ30" s="7"/>
      <c r="LAA30" s="7"/>
      <c r="LAB30" s="7"/>
      <c r="LAC30" s="7"/>
      <c r="LAD30" s="7"/>
      <c r="LAE30" s="7"/>
      <c r="LAF30" s="7"/>
      <c r="LAG30" s="7"/>
      <c r="LAH30" s="7"/>
      <c r="LAI30" s="7"/>
      <c r="LAJ30" s="7"/>
      <c r="LAK30" s="7"/>
      <c r="LAL30" s="7"/>
      <c r="LAM30" s="7"/>
      <c r="LAN30" s="7"/>
      <c r="LAO30" s="7"/>
      <c r="LAP30" s="7"/>
      <c r="LAQ30" s="7"/>
      <c r="LAR30" s="7"/>
      <c r="LAS30" s="7"/>
      <c r="LAT30" s="7"/>
      <c r="LAU30" s="7"/>
      <c r="LAV30" s="7"/>
      <c r="LAW30" s="7"/>
      <c r="LAX30" s="7"/>
      <c r="LAY30" s="7"/>
      <c r="LAZ30" s="7"/>
      <c r="LBA30" s="7"/>
      <c r="LBB30" s="7"/>
      <c r="LBC30" s="7"/>
      <c r="LBD30" s="7"/>
      <c r="LBE30" s="7"/>
      <c r="LBF30" s="7"/>
      <c r="LBG30" s="7"/>
      <c r="LBH30" s="7"/>
      <c r="LBI30" s="7"/>
      <c r="LBJ30" s="7"/>
      <c r="LBK30" s="7"/>
      <c r="LBL30" s="7"/>
      <c r="LBM30" s="7"/>
      <c r="LBN30" s="7"/>
      <c r="LBO30" s="7"/>
      <c r="LBP30" s="7"/>
      <c r="LBQ30" s="7"/>
      <c r="LBR30" s="7"/>
      <c r="LBS30" s="7"/>
      <c r="LBT30" s="7"/>
      <c r="LBU30" s="7"/>
      <c r="LBV30" s="7"/>
      <c r="LBW30" s="7"/>
      <c r="LBX30" s="7"/>
      <c r="LBY30" s="7"/>
      <c r="LBZ30" s="7"/>
      <c r="LCA30" s="7"/>
      <c r="LCB30" s="7"/>
      <c r="LCC30" s="7"/>
      <c r="LCD30" s="7"/>
      <c r="LCE30" s="7"/>
      <c r="LCF30" s="7"/>
      <c r="LCG30" s="7"/>
      <c r="LCH30" s="7"/>
      <c r="LCI30" s="7"/>
      <c r="LCJ30" s="7"/>
      <c r="LCK30" s="7"/>
      <c r="LCL30" s="7"/>
      <c r="LCM30" s="7"/>
      <c r="LCN30" s="7"/>
      <c r="LCO30" s="7"/>
      <c r="LCP30" s="7"/>
      <c r="LCQ30" s="7"/>
      <c r="LCR30" s="7"/>
      <c r="LCS30" s="7"/>
      <c r="LCT30" s="7"/>
      <c r="LCU30" s="7"/>
      <c r="LCV30" s="7"/>
      <c r="LCW30" s="7"/>
      <c r="LCX30" s="7"/>
      <c r="LCY30" s="7"/>
      <c r="LCZ30" s="7"/>
      <c r="LDA30" s="7"/>
      <c r="LDB30" s="7"/>
      <c r="LDC30" s="7"/>
      <c r="LDD30" s="7"/>
      <c r="LDE30" s="7"/>
      <c r="LDF30" s="7"/>
      <c r="LDG30" s="7"/>
      <c r="LDH30" s="7"/>
      <c r="LDI30" s="7"/>
      <c r="LDJ30" s="7"/>
      <c r="LDK30" s="7"/>
      <c r="LDL30" s="7"/>
      <c r="LDM30" s="7"/>
      <c r="LDN30" s="7"/>
      <c r="LDO30" s="7"/>
      <c r="LDP30" s="7"/>
      <c r="LDQ30" s="7"/>
      <c r="LDR30" s="7"/>
      <c r="LDS30" s="7"/>
      <c r="LDT30" s="7"/>
      <c r="LDU30" s="7"/>
      <c r="LDV30" s="7"/>
      <c r="LDW30" s="7"/>
      <c r="LDX30" s="7"/>
      <c r="LDY30" s="7"/>
      <c r="LDZ30" s="7"/>
      <c r="LEA30" s="7"/>
      <c r="LEB30" s="7"/>
      <c r="LEC30" s="7"/>
      <c r="LED30" s="7"/>
      <c r="LEE30" s="7"/>
      <c r="LEF30" s="7"/>
      <c r="LEG30" s="7"/>
      <c r="LEH30" s="7"/>
      <c r="LEI30" s="7"/>
      <c r="LEJ30" s="7"/>
      <c r="LEK30" s="7"/>
      <c r="LEL30" s="7"/>
      <c r="LEM30" s="7"/>
      <c r="LEN30" s="7"/>
      <c r="LEO30" s="7"/>
      <c r="LEP30" s="7"/>
      <c r="LEQ30" s="7"/>
      <c r="LER30" s="7"/>
      <c r="LES30" s="7"/>
      <c r="LET30" s="7"/>
      <c r="LEU30" s="7"/>
      <c r="LEV30" s="7"/>
      <c r="LEW30" s="7"/>
      <c r="LEX30" s="7"/>
      <c r="LEY30" s="7"/>
      <c r="LEZ30" s="7"/>
      <c r="LFA30" s="7"/>
      <c r="LFB30" s="7"/>
      <c r="LFC30" s="7"/>
      <c r="LFD30" s="7"/>
      <c r="LFE30" s="7"/>
      <c r="LFF30" s="7"/>
      <c r="LFG30" s="7"/>
      <c r="LFH30" s="7"/>
      <c r="LFI30" s="7"/>
      <c r="LFJ30" s="7"/>
      <c r="LFK30" s="7"/>
      <c r="LFL30" s="7"/>
      <c r="LFM30" s="7"/>
      <c r="LFN30" s="7"/>
      <c r="LFO30" s="7"/>
      <c r="LFP30" s="7"/>
      <c r="LFQ30" s="7"/>
      <c r="LFR30" s="7"/>
      <c r="LFS30" s="7"/>
      <c r="LFT30" s="7"/>
      <c r="LFU30" s="7"/>
      <c r="LFV30" s="7"/>
      <c r="LFW30" s="7"/>
      <c r="LFX30" s="7"/>
      <c r="LFY30" s="7"/>
      <c r="LFZ30" s="7"/>
      <c r="LGA30" s="7"/>
      <c r="LGB30" s="7"/>
      <c r="LGC30" s="7"/>
      <c r="LGD30" s="7"/>
      <c r="LGE30" s="7"/>
      <c r="LGF30" s="7"/>
      <c r="LGG30" s="7"/>
      <c r="LGH30" s="7"/>
      <c r="LGI30" s="7"/>
      <c r="LGJ30" s="7"/>
      <c r="LGK30" s="7"/>
      <c r="LGL30" s="7"/>
      <c r="LGM30" s="7"/>
      <c r="LGN30" s="7"/>
      <c r="LGO30" s="7"/>
      <c r="LGP30" s="7"/>
      <c r="LGQ30" s="7"/>
      <c r="LGR30" s="7"/>
      <c r="LGS30" s="7"/>
      <c r="LGT30" s="7"/>
      <c r="LGU30" s="7"/>
      <c r="LGV30" s="7"/>
      <c r="LGW30" s="7"/>
      <c r="LGX30" s="7"/>
      <c r="LGY30" s="7"/>
      <c r="LGZ30" s="7"/>
      <c r="LHA30" s="7"/>
      <c r="LHB30" s="7"/>
      <c r="LHC30" s="7"/>
      <c r="LHD30" s="7"/>
      <c r="LHE30" s="7"/>
      <c r="LHF30" s="7"/>
      <c r="LHG30" s="7"/>
      <c r="LHH30" s="7"/>
      <c r="LHI30" s="7"/>
      <c r="LHJ30" s="7"/>
      <c r="LHK30" s="7"/>
      <c r="LHL30" s="7"/>
      <c r="LHM30" s="7"/>
      <c r="LHN30" s="7"/>
      <c r="LHO30" s="7"/>
      <c r="LHP30" s="7"/>
      <c r="LHQ30" s="7"/>
      <c r="LHR30" s="7"/>
      <c r="LHS30" s="7"/>
      <c r="LHT30" s="7"/>
      <c r="LHU30" s="7"/>
      <c r="LHV30" s="7"/>
      <c r="LHW30" s="7"/>
      <c r="LHX30" s="7"/>
      <c r="LHY30" s="7"/>
      <c r="LHZ30" s="7"/>
      <c r="LIA30" s="7"/>
      <c r="LIB30" s="7"/>
      <c r="LIC30" s="7"/>
      <c r="LID30" s="7"/>
      <c r="LIE30" s="7"/>
      <c r="LIF30" s="7"/>
      <c r="LIG30" s="7"/>
      <c r="LIH30" s="7"/>
      <c r="LII30" s="7"/>
      <c r="LIJ30" s="7"/>
      <c r="LIK30" s="7"/>
      <c r="LIL30" s="7"/>
      <c r="LIM30" s="7"/>
      <c r="LIN30" s="7"/>
      <c r="LIO30" s="7"/>
      <c r="LIP30" s="7"/>
      <c r="LIQ30" s="7"/>
      <c r="LIR30" s="7"/>
      <c r="LIS30" s="7"/>
      <c r="LIT30" s="7"/>
      <c r="LIU30" s="7"/>
      <c r="LIV30" s="7"/>
      <c r="LIW30" s="7"/>
      <c r="LIX30" s="7"/>
      <c r="LIY30" s="7"/>
      <c r="LIZ30" s="7"/>
      <c r="LJA30" s="7"/>
      <c r="LJB30" s="7"/>
      <c r="LJC30" s="7"/>
      <c r="LJD30" s="7"/>
      <c r="LJE30" s="7"/>
      <c r="LJF30" s="7"/>
      <c r="LJG30" s="7"/>
      <c r="LJH30" s="7"/>
      <c r="LJI30" s="7"/>
      <c r="LJJ30" s="7"/>
      <c r="LJK30" s="7"/>
      <c r="LJL30" s="7"/>
      <c r="LJM30" s="7"/>
      <c r="LJN30" s="7"/>
      <c r="LJO30" s="7"/>
      <c r="LJP30" s="7"/>
      <c r="LJQ30" s="7"/>
      <c r="LJR30" s="7"/>
      <c r="LJS30" s="7"/>
      <c r="LJT30" s="7"/>
      <c r="LJU30" s="7"/>
      <c r="LJV30" s="7"/>
      <c r="LJW30" s="7"/>
      <c r="LJX30" s="7"/>
      <c r="LJY30" s="7"/>
      <c r="LJZ30" s="7"/>
      <c r="LKA30" s="7"/>
      <c r="LKB30" s="7"/>
      <c r="LKC30" s="7"/>
      <c r="LKD30" s="7"/>
      <c r="LKE30" s="7"/>
      <c r="LKF30" s="7"/>
      <c r="LKG30" s="7"/>
      <c r="LKH30" s="7"/>
      <c r="LKI30" s="7"/>
      <c r="LKJ30" s="7"/>
      <c r="LKK30" s="7"/>
      <c r="LKL30" s="7"/>
      <c r="LKM30" s="7"/>
      <c r="LKN30" s="7"/>
      <c r="LKO30" s="7"/>
      <c r="LKP30" s="7"/>
      <c r="LKQ30" s="7"/>
      <c r="LKR30" s="7"/>
      <c r="LKS30" s="7"/>
      <c r="LKT30" s="7"/>
      <c r="LKU30" s="7"/>
      <c r="LKV30" s="7"/>
      <c r="LKW30" s="7"/>
      <c r="LKX30" s="7"/>
      <c r="LKY30" s="7"/>
      <c r="LKZ30" s="7"/>
      <c r="LLA30" s="7"/>
      <c r="LLB30" s="7"/>
      <c r="LLC30" s="7"/>
      <c r="LLD30" s="7"/>
      <c r="LLE30" s="7"/>
      <c r="LLF30" s="7"/>
      <c r="LLG30" s="7"/>
      <c r="LLH30" s="7"/>
      <c r="LLI30" s="7"/>
      <c r="LLJ30" s="7"/>
      <c r="LLK30" s="7"/>
      <c r="LLL30" s="7"/>
      <c r="LLM30" s="7"/>
      <c r="LLN30" s="7"/>
      <c r="LLO30" s="7"/>
      <c r="LLP30" s="7"/>
      <c r="LLQ30" s="7"/>
      <c r="LLR30" s="7"/>
      <c r="LLS30" s="7"/>
      <c r="LLT30" s="7"/>
      <c r="LLU30" s="7"/>
      <c r="LLV30" s="7"/>
      <c r="LLW30" s="7"/>
      <c r="LLX30" s="7"/>
      <c r="LLY30" s="7"/>
      <c r="LLZ30" s="7"/>
      <c r="LMA30" s="7"/>
      <c r="LMB30" s="7"/>
      <c r="LMC30" s="7"/>
      <c r="LMD30" s="7"/>
      <c r="LME30" s="7"/>
      <c r="LMF30" s="7"/>
      <c r="LMG30" s="7"/>
      <c r="LMH30" s="7"/>
      <c r="LMI30" s="7"/>
      <c r="LMJ30" s="7"/>
      <c r="LMK30" s="7"/>
      <c r="LML30" s="7"/>
      <c r="LMM30" s="7"/>
      <c r="LMN30" s="7"/>
      <c r="LMO30" s="7"/>
      <c r="LMP30" s="7"/>
      <c r="LMQ30" s="7"/>
      <c r="LMR30" s="7"/>
      <c r="LMS30" s="7"/>
      <c r="LMT30" s="7"/>
      <c r="LMU30" s="7"/>
      <c r="LMV30" s="7"/>
      <c r="LMW30" s="7"/>
      <c r="LMX30" s="7"/>
      <c r="LMY30" s="7"/>
      <c r="LMZ30" s="7"/>
      <c r="LNA30" s="7"/>
      <c r="LNB30" s="7"/>
      <c r="LNC30" s="7"/>
      <c r="LND30" s="7"/>
      <c r="LNE30" s="7"/>
      <c r="LNF30" s="7"/>
      <c r="LNG30" s="7"/>
      <c r="LNH30" s="7"/>
      <c r="LNI30" s="7"/>
      <c r="LNJ30" s="7"/>
      <c r="LNK30" s="7"/>
      <c r="LNL30" s="7"/>
      <c r="LNM30" s="7"/>
      <c r="LNN30" s="7"/>
      <c r="LNO30" s="7"/>
      <c r="LNP30" s="7"/>
      <c r="LNQ30" s="7"/>
      <c r="LNR30" s="7"/>
      <c r="LNS30" s="7"/>
      <c r="LNT30" s="7"/>
      <c r="LNU30" s="7"/>
      <c r="LNV30" s="7"/>
      <c r="LNW30" s="7"/>
      <c r="LNX30" s="7"/>
      <c r="LNY30" s="7"/>
      <c r="LNZ30" s="7"/>
      <c r="LOA30" s="7"/>
      <c r="LOB30" s="7"/>
      <c r="LOC30" s="7"/>
      <c r="LOD30" s="7"/>
      <c r="LOE30" s="7"/>
      <c r="LOF30" s="7"/>
      <c r="LOG30" s="7"/>
      <c r="LOH30" s="7"/>
      <c r="LOI30" s="7"/>
      <c r="LOJ30" s="7"/>
      <c r="LOK30" s="7"/>
      <c r="LOL30" s="7"/>
      <c r="LOM30" s="7"/>
      <c r="LON30" s="7"/>
      <c r="LOO30" s="7"/>
      <c r="LOP30" s="7"/>
      <c r="LOQ30" s="7"/>
      <c r="LOR30" s="7"/>
      <c r="LOS30" s="7"/>
      <c r="LOT30" s="7"/>
      <c r="LOU30" s="7"/>
      <c r="LOV30" s="7"/>
      <c r="LOW30" s="7"/>
      <c r="LOX30" s="7"/>
      <c r="LOY30" s="7"/>
      <c r="LOZ30" s="7"/>
      <c r="LPA30" s="7"/>
      <c r="LPB30" s="7"/>
      <c r="LPC30" s="7"/>
      <c r="LPD30" s="7"/>
      <c r="LPE30" s="7"/>
      <c r="LPF30" s="7"/>
      <c r="LPG30" s="7"/>
      <c r="LPH30" s="7"/>
      <c r="LPI30" s="7"/>
      <c r="LPJ30" s="7"/>
      <c r="LPK30" s="7"/>
      <c r="LPL30" s="7"/>
      <c r="LPM30" s="7"/>
      <c r="LPN30" s="7"/>
      <c r="LPO30" s="7"/>
      <c r="LPP30" s="7"/>
      <c r="LPQ30" s="7"/>
      <c r="LPR30" s="7"/>
      <c r="LPS30" s="7"/>
      <c r="LPT30" s="7"/>
      <c r="LPU30" s="7"/>
      <c r="LPV30" s="7"/>
      <c r="LPW30" s="7"/>
      <c r="LPX30" s="7"/>
      <c r="LPY30" s="7"/>
      <c r="LPZ30" s="7"/>
      <c r="LQA30" s="7"/>
      <c r="LQB30" s="7"/>
      <c r="LQC30" s="7"/>
      <c r="LQD30" s="7"/>
      <c r="LQE30" s="7"/>
      <c r="LQF30" s="7"/>
      <c r="LQG30" s="7"/>
      <c r="LQH30" s="7"/>
      <c r="LQI30" s="7"/>
      <c r="LQJ30" s="7"/>
      <c r="LQK30" s="7"/>
      <c r="LQL30" s="7"/>
      <c r="LQM30" s="7"/>
      <c r="LQN30" s="7"/>
      <c r="LQO30" s="7"/>
      <c r="LQP30" s="7"/>
      <c r="LQQ30" s="7"/>
      <c r="LQR30" s="7"/>
      <c r="LQS30" s="7"/>
      <c r="LQT30" s="7"/>
      <c r="LQU30" s="7"/>
      <c r="LQV30" s="7"/>
      <c r="LQW30" s="7"/>
      <c r="LQX30" s="7"/>
      <c r="LQY30" s="7"/>
      <c r="LQZ30" s="7"/>
      <c r="LRA30" s="7"/>
      <c r="LRB30" s="7"/>
      <c r="LRC30" s="7"/>
      <c r="LRD30" s="7"/>
      <c r="LRE30" s="7"/>
      <c r="LRF30" s="7"/>
      <c r="LRG30" s="7"/>
      <c r="LRH30" s="7"/>
      <c r="LRI30" s="7"/>
      <c r="LRJ30" s="7"/>
      <c r="LRK30" s="7"/>
      <c r="LRL30" s="7"/>
      <c r="LRM30" s="7"/>
      <c r="LRN30" s="7"/>
      <c r="LRO30" s="7"/>
      <c r="LRP30" s="7"/>
      <c r="LRQ30" s="7"/>
      <c r="LRR30" s="7"/>
      <c r="LRS30" s="7"/>
      <c r="LRT30" s="7"/>
      <c r="LRU30" s="7"/>
      <c r="LRV30" s="7"/>
      <c r="LRW30" s="7"/>
      <c r="LRX30" s="7"/>
      <c r="LRY30" s="7"/>
      <c r="LRZ30" s="7"/>
      <c r="LSA30" s="7"/>
      <c r="LSB30" s="7"/>
      <c r="LSC30" s="7"/>
      <c r="LSD30" s="7"/>
      <c r="LSE30" s="7"/>
      <c r="LSF30" s="7"/>
      <c r="LSG30" s="7"/>
      <c r="LSH30" s="7"/>
      <c r="LSI30" s="7"/>
      <c r="LSJ30" s="7"/>
      <c r="LSK30" s="7"/>
      <c r="LSL30" s="7"/>
      <c r="LSM30" s="7"/>
      <c r="LSN30" s="7"/>
      <c r="LSO30" s="7"/>
      <c r="LSP30" s="7"/>
      <c r="LSQ30" s="7"/>
      <c r="LSR30" s="7"/>
      <c r="LSS30" s="7"/>
      <c r="LST30" s="7"/>
      <c r="LSU30" s="7"/>
      <c r="LSV30" s="7"/>
      <c r="LSW30" s="7"/>
      <c r="LSX30" s="7"/>
      <c r="LSY30" s="7"/>
      <c r="LSZ30" s="7"/>
      <c r="LTA30" s="7"/>
      <c r="LTB30" s="7"/>
      <c r="LTC30" s="7"/>
      <c r="LTD30" s="7"/>
      <c r="LTE30" s="7"/>
      <c r="LTF30" s="7"/>
      <c r="LTG30" s="7"/>
      <c r="LTH30" s="7"/>
      <c r="LTI30" s="7"/>
      <c r="LTJ30" s="7"/>
      <c r="LTK30" s="7"/>
      <c r="LTL30" s="7"/>
      <c r="LTM30" s="7"/>
      <c r="LTN30" s="7"/>
      <c r="LTO30" s="7"/>
      <c r="LTP30" s="7"/>
      <c r="LTQ30" s="7"/>
      <c r="LTR30" s="7"/>
      <c r="LTS30" s="7"/>
      <c r="LTT30" s="7"/>
      <c r="LTU30" s="7"/>
      <c r="LTV30" s="7"/>
      <c r="LTW30" s="7"/>
      <c r="LTX30" s="7"/>
      <c r="LTY30" s="7"/>
      <c r="LTZ30" s="7"/>
      <c r="LUA30" s="7"/>
      <c r="LUB30" s="7"/>
      <c r="LUC30" s="7"/>
      <c r="LUD30" s="7"/>
      <c r="LUE30" s="7"/>
      <c r="LUF30" s="7"/>
      <c r="LUG30" s="7"/>
      <c r="LUH30" s="7"/>
      <c r="LUI30" s="7"/>
      <c r="LUJ30" s="7"/>
      <c r="LUK30" s="7"/>
      <c r="LUL30" s="7"/>
      <c r="LUM30" s="7"/>
      <c r="LUN30" s="7"/>
      <c r="LUO30" s="7"/>
      <c r="LUP30" s="7"/>
      <c r="LUQ30" s="7"/>
      <c r="LUR30" s="7"/>
      <c r="LUS30" s="7"/>
      <c r="LUT30" s="7"/>
      <c r="LUU30" s="7"/>
      <c r="LUV30" s="7"/>
      <c r="LUW30" s="7"/>
      <c r="LUX30" s="7"/>
      <c r="LUY30" s="7"/>
      <c r="LUZ30" s="7"/>
      <c r="LVA30" s="7"/>
      <c r="LVB30" s="7"/>
      <c r="LVC30" s="7"/>
      <c r="LVD30" s="7"/>
      <c r="LVE30" s="7"/>
      <c r="LVF30" s="7"/>
      <c r="LVG30" s="7"/>
      <c r="LVH30" s="7"/>
      <c r="LVI30" s="7"/>
      <c r="LVJ30" s="7"/>
      <c r="LVK30" s="7"/>
      <c r="LVL30" s="7"/>
      <c r="LVM30" s="7"/>
      <c r="LVN30" s="7"/>
      <c r="LVO30" s="7"/>
      <c r="LVP30" s="7"/>
      <c r="LVQ30" s="7"/>
      <c r="LVR30" s="7"/>
      <c r="LVS30" s="7"/>
      <c r="LVT30" s="7"/>
      <c r="LVU30" s="7"/>
      <c r="LVV30" s="7"/>
      <c r="LVW30" s="7"/>
      <c r="LVX30" s="7"/>
      <c r="LVY30" s="7"/>
      <c r="LVZ30" s="7"/>
      <c r="LWA30" s="7"/>
      <c r="LWB30" s="7"/>
      <c r="LWC30" s="7"/>
      <c r="LWD30" s="7"/>
      <c r="LWE30" s="7"/>
      <c r="LWF30" s="7"/>
      <c r="LWG30" s="7"/>
      <c r="LWH30" s="7"/>
      <c r="LWI30" s="7"/>
      <c r="LWJ30" s="7"/>
      <c r="LWK30" s="7"/>
      <c r="LWL30" s="7"/>
      <c r="LWM30" s="7"/>
      <c r="LWN30" s="7"/>
      <c r="LWO30" s="7"/>
      <c r="LWP30" s="7"/>
      <c r="LWQ30" s="7"/>
      <c r="LWR30" s="7"/>
      <c r="LWS30" s="7"/>
      <c r="LWT30" s="7"/>
      <c r="LWU30" s="7"/>
      <c r="LWV30" s="7"/>
      <c r="LWW30" s="7"/>
      <c r="LWX30" s="7"/>
      <c r="LWY30" s="7"/>
      <c r="LWZ30" s="7"/>
      <c r="LXA30" s="7"/>
      <c r="LXB30" s="7"/>
      <c r="LXC30" s="7"/>
      <c r="LXD30" s="7"/>
      <c r="LXE30" s="7"/>
      <c r="LXF30" s="7"/>
      <c r="LXG30" s="7"/>
      <c r="LXH30" s="7"/>
      <c r="LXI30" s="7"/>
      <c r="LXJ30" s="7"/>
      <c r="LXK30" s="7"/>
      <c r="LXL30" s="7"/>
      <c r="LXM30" s="7"/>
      <c r="LXN30" s="7"/>
      <c r="LXO30" s="7"/>
      <c r="LXP30" s="7"/>
      <c r="LXQ30" s="7"/>
      <c r="LXR30" s="7"/>
      <c r="LXS30" s="7"/>
      <c r="LXT30" s="7"/>
      <c r="LXU30" s="7"/>
      <c r="LXV30" s="7"/>
      <c r="LXW30" s="7"/>
      <c r="LXX30" s="7"/>
      <c r="LXY30" s="7"/>
      <c r="LXZ30" s="7"/>
      <c r="LYA30" s="7"/>
      <c r="LYB30" s="7"/>
      <c r="LYC30" s="7"/>
      <c r="LYD30" s="7"/>
      <c r="LYE30" s="7"/>
      <c r="LYF30" s="7"/>
      <c r="LYG30" s="7"/>
      <c r="LYH30" s="7"/>
      <c r="LYI30" s="7"/>
      <c r="LYJ30" s="7"/>
      <c r="LYK30" s="7"/>
      <c r="LYL30" s="7"/>
      <c r="LYM30" s="7"/>
      <c r="LYN30" s="7"/>
      <c r="LYO30" s="7"/>
      <c r="LYP30" s="7"/>
      <c r="LYQ30" s="7"/>
      <c r="LYR30" s="7"/>
      <c r="LYS30" s="7"/>
      <c r="LYT30" s="7"/>
      <c r="LYU30" s="7"/>
      <c r="LYV30" s="7"/>
      <c r="LYW30" s="7"/>
      <c r="LYX30" s="7"/>
      <c r="LYY30" s="7"/>
      <c r="LYZ30" s="7"/>
      <c r="LZA30" s="7"/>
      <c r="LZB30" s="7"/>
      <c r="LZC30" s="7"/>
      <c r="LZD30" s="7"/>
      <c r="LZE30" s="7"/>
      <c r="LZF30" s="7"/>
      <c r="LZG30" s="7"/>
      <c r="LZH30" s="7"/>
      <c r="LZI30" s="7"/>
      <c r="LZJ30" s="7"/>
      <c r="LZK30" s="7"/>
      <c r="LZL30" s="7"/>
      <c r="LZM30" s="7"/>
      <c r="LZN30" s="7"/>
      <c r="LZO30" s="7"/>
      <c r="LZP30" s="7"/>
      <c r="LZQ30" s="7"/>
      <c r="LZR30" s="7"/>
      <c r="LZS30" s="7"/>
      <c r="LZT30" s="7"/>
      <c r="LZU30" s="7"/>
      <c r="LZV30" s="7"/>
      <c r="LZW30" s="7"/>
      <c r="LZX30" s="7"/>
      <c r="LZY30" s="7"/>
      <c r="LZZ30" s="7"/>
      <c r="MAA30" s="7"/>
      <c r="MAB30" s="7"/>
      <c r="MAC30" s="7"/>
      <c r="MAD30" s="7"/>
      <c r="MAE30" s="7"/>
      <c r="MAF30" s="7"/>
      <c r="MAG30" s="7"/>
      <c r="MAH30" s="7"/>
      <c r="MAI30" s="7"/>
      <c r="MAJ30" s="7"/>
      <c r="MAK30" s="7"/>
      <c r="MAL30" s="7"/>
      <c r="MAM30" s="7"/>
      <c r="MAN30" s="7"/>
      <c r="MAO30" s="7"/>
      <c r="MAP30" s="7"/>
      <c r="MAQ30" s="7"/>
      <c r="MAR30" s="7"/>
      <c r="MAS30" s="7"/>
      <c r="MAT30" s="7"/>
      <c r="MAU30" s="7"/>
      <c r="MAV30" s="7"/>
      <c r="MAW30" s="7"/>
      <c r="MAX30" s="7"/>
      <c r="MAY30" s="7"/>
      <c r="MAZ30" s="7"/>
      <c r="MBA30" s="7"/>
      <c r="MBB30" s="7"/>
      <c r="MBC30" s="7"/>
      <c r="MBD30" s="7"/>
      <c r="MBE30" s="7"/>
      <c r="MBF30" s="7"/>
      <c r="MBG30" s="7"/>
      <c r="MBH30" s="7"/>
      <c r="MBI30" s="7"/>
      <c r="MBJ30" s="7"/>
      <c r="MBK30" s="7"/>
      <c r="MBL30" s="7"/>
      <c r="MBM30" s="7"/>
      <c r="MBN30" s="7"/>
      <c r="MBO30" s="7"/>
      <c r="MBP30" s="7"/>
      <c r="MBQ30" s="7"/>
      <c r="MBR30" s="7"/>
      <c r="MBS30" s="7"/>
      <c r="MBT30" s="7"/>
      <c r="MBU30" s="7"/>
      <c r="MBV30" s="7"/>
      <c r="MBW30" s="7"/>
      <c r="MBX30" s="7"/>
      <c r="MBY30" s="7"/>
      <c r="MBZ30" s="7"/>
      <c r="MCA30" s="7"/>
      <c r="MCB30" s="7"/>
      <c r="MCC30" s="7"/>
      <c r="MCD30" s="7"/>
      <c r="MCE30" s="7"/>
      <c r="MCF30" s="7"/>
      <c r="MCG30" s="7"/>
      <c r="MCH30" s="7"/>
      <c r="MCI30" s="7"/>
      <c r="MCJ30" s="7"/>
      <c r="MCK30" s="7"/>
      <c r="MCL30" s="7"/>
      <c r="MCM30" s="7"/>
      <c r="MCN30" s="7"/>
      <c r="MCO30" s="7"/>
      <c r="MCP30" s="7"/>
      <c r="MCQ30" s="7"/>
      <c r="MCR30" s="7"/>
      <c r="MCS30" s="7"/>
      <c r="MCT30" s="7"/>
      <c r="MCU30" s="7"/>
      <c r="MCV30" s="7"/>
      <c r="MCW30" s="7"/>
      <c r="MCX30" s="7"/>
      <c r="MCY30" s="7"/>
      <c r="MCZ30" s="7"/>
      <c r="MDA30" s="7"/>
      <c r="MDB30" s="7"/>
      <c r="MDC30" s="7"/>
      <c r="MDD30" s="7"/>
      <c r="MDE30" s="7"/>
      <c r="MDF30" s="7"/>
      <c r="MDG30" s="7"/>
      <c r="MDH30" s="7"/>
      <c r="MDI30" s="7"/>
      <c r="MDJ30" s="7"/>
      <c r="MDK30" s="7"/>
      <c r="MDL30" s="7"/>
      <c r="MDM30" s="7"/>
      <c r="MDN30" s="7"/>
      <c r="MDO30" s="7"/>
      <c r="MDP30" s="7"/>
      <c r="MDQ30" s="7"/>
      <c r="MDR30" s="7"/>
      <c r="MDS30" s="7"/>
      <c r="MDT30" s="7"/>
      <c r="MDU30" s="7"/>
      <c r="MDV30" s="7"/>
      <c r="MDW30" s="7"/>
      <c r="MDX30" s="7"/>
      <c r="MDY30" s="7"/>
      <c r="MDZ30" s="7"/>
      <c r="MEA30" s="7"/>
      <c r="MEB30" s="7"/>
      <c r="MEC30" s="7"/>
      <c r="MED30" s="7"/>
      <c r="MEE30" s="7"/>
      <c r="MEF30" s="7"/>
      <c r="MEG30" s="7"/>
      <c r="MEH30" s="7"/>
      <c r="MEI30" s="7"/>
      <c r="MEJ30" s="7"/>
      <c r="MEK30" s="7"/>
      <c r="MEL30" s="7"/>
      <c r="MEM30" s="7"/>
      <c r="MEN30" s="7"/>
      <c r="MEO30" s="7"/>
      <c r="MEP30" s="7"/>
      <c r="MEQ30" s="7"/>
      <c r="MER30" s="7"/>
      <c r="MES30" s="7"/>
      <c r="MET30" s="7"/>
      <c r="MEU30" s="7"/>
      <c r="MEV30" s="7"/>
      <c r="MEW30" s="7"/>
      <c r="MEX30" s="7"/>
      <c r="MEY30" s="7"/>
      <c r="MEZ30" s="7"/>
      <c r="MFA30" s="7"/>
      <c r="MFB30" s="7"/>
      <c r="MFC30" s="7"/>
      <c r="MFD30" s="7"/>
      <c r="MFE30" s="7"/>
      <c r="MFF30" s="7"/>
      <c r="MFG30" s="7"/>
      <c r="MFH30" s="7"/>
      <c r="MFI30" s="7"/>
      <c r="MFJ30" s="7"/>
      <c r="MFK30" s="7"/>
      <c r="MFL30" s="7"/>
      <c r="MFM30" s="7"/>
      <c r="MFN30" s="7"/>
      <c r="MFO30" s="7"/>
      <c r="MFP30" s="7"/>
      <c r="MFQ30" s="7"/>
      <c r="MFR30" s="7"/>
      <c r="MFS30" s="7"/>
      <c r="MFT30" s="7"/>
      <c r="MFU30" s="7"/>
      <c r="MFV30" s="7"/>
      <c r="MFW30" s="7"/>
      <c r="MFX30" s="7"/>
      <c r="MFY30" s="7"/>
      <c r="MFZ30" s="7"/>
      <c r="MGA30" s="7"/>
      <c r="MGB30" s="7"/>
      <c r="MGC30" s="7"/>
      <c r="MGD30" s="7"/>
      <c r="MGE30" s="7"/>
      <c r="MGF30" s="7"/>
      <c r="MGG30" s="7"/>
      <c r="MGH30" s="7"/>
      <c r="MGI30" s="7"/>
      <c r="MGJ30" s="7"/>
      <c r="MGK30" s="7"/>
      <c r="MGL30" s="7"/>
      <c r="MGM30" s="7"/>
      <c r="MGN30" s="7"/>
      <c r="MGO30" s="7"/>
      <c r="MGP30" s="7"/>
      <c r="MGQ30" s="7"/>
      <c r="MGR30" s="7"/>
      <c r="MGS30" s="7"/>
      <c r="MGT30" s="7"/>
      <c r="MGU30" s="7"/>
      <c r="MGV30" s="7"/>
      <c r="MGW30" s="7"/>
      <c r="MGX30" s="7"/>
      <c r="MGY30" s="7"/>
      <c r="MGZ30" s="7"/>
      <c r="MHA30" s="7"/>
      <c r="MHB30" s="7"/>
      <c r="MHC30" s="7"/>
      <c r="MHD30" s="7"/>
      <c r="MHE30" s="7"/>
      <c r="MHF30" s="7"/>
      <c r="MHG30" s="7"/>
      <c r="MHH30" s="7"/>
      <c r="MHI30" s="7"/>
      <c r="MHJ30" s="7"/>
      <c r="MHK30" s="7"/>
      <c r="MHL30" s="7"/>
      <c r="MHM30" s="7"/>
      <c r="MHN30" s="7"/>
      <c r="MHO30" s="7"/>
      <c r="MHP30" s="7"/>
      <c r="MHQ30" s="7"/>
      <c r="MHR30" s="7"/>
      <c r="MHS30" s="7"/>
      <c r="MHT30" s="7"/>
      <c r="MHU30" s="7"/>
      <c r="MHV30" s="7"/>
      <c r="MHW30" s="7"/>
      <c r="MHX30" s="7"/>
      <c r="MHY30" s="7"/>
      <c r="MHZ30" s="7"/>
      <c r="MIA30" s="7"/>
      <c r="MIB30" s="7"/>
      <c r="MIC30" s="7"/>
      <c r="MID30" s="7"/>
      <c r="MIE30" s="7"/>
      <c r="MIF30" s="7"/>
      <c r="MIG30" s="7"/>
      <c r="MIH30" s="7"/>
      <c r="MII30" s="7"/>
      <c r="MIJ30" s="7"/>
      <c r="MIK30" s="7"/>
      <c r="MIL30" s="7"/>
      <c r="MIM30" s="7"/>
      <c r="MIN30" s="7"/>
      <c r="MIO30" s="7"/>
      <c r="MIP30" s="7"/>
      <c r="MIQ30" s="7"/>
      <c r="MIR30" s="7"/>
      <c r="MIS30" s="7"/>
      <c r="MIT30" s="7"/>
      <c r="MIU30" s="7"/>
      <c r="MIV30" s="7"/>
      <c r="MIW30" s="7"/>
      <c r="MIX30" s="7"/>
      <c r="MIY30" s="7"/>
      <c r="MIZ30" s="7"/>
      <c r="MJA30" s="7"/>
      <c r="MJB30" s="7"/>
      <c r="MJC30" s="7"/>
      <c r="MJD30" s="7"/>
      <c r="MJE30" s="7"/>
      <c r="MJF30" s="7"/>
      <c r="MJG30" s="7"/>
      <c r="MJH30" s="7"/>
      <c r="MJI30" s="7"/>
      <c r="MJJ30" s="7"/>
      <c r="MJK30" s="7"/>
      <c r="MJL30" s="7"/>
      <c r="MJM30" s="7"/>
      <c r="MJN30" s="7"/>
      <c r="MJO30" s="7"/>
      <c r="MJP30" s="7"/>
      <c r="MJQ30" s="7"/>
      <c r="MJR30" s="7"/>
      <c r="MJS30" s="7"/>
      <c r="MJT30" s="7"/>
      <c r="MJU30" s="7"/>
      <c r="MJV30" s="7"/>
      <c r="MJW30" s="7"/>
      <c r="MJX30" s="7"/>
      <c r="MJY30" s="7"/>
      <c r="MJZ30" s="7"/>
      <c r="MKA30" s="7"/>
      <c r="MKB30" s="7"/>
      <c r="MKC30" s="7"/>
      <c r="MKD30" s="7"/>
      <c r="MKE30" s="7"/>
      <c r="MKF30" s="7"/>
      <c r="MKG30" s="7"/>
      <c r="MKH30" s="7"/>
      <c r="MKI30" s="7"/>
      <c r="MKJ30" s="7"/>
      <c r="MKK30" s="7"/>
      <c r="MKL30" s="7"/>
      <c r="MKM30" s="7"/>
      <c r="MKN30" s="7"/>
      <c r="MKO30" s="7"/>
      <c r="MKP30" s="7"/>
      <c r="MKQ30" s="7"/>
      <c r="MKR30" s="7"/>
      <c r="MKS30" s="7"/>
      <c r="MKT30" s="7"/>
      <c r="MKU30" s="7"/>
      <c r="MKV30" s="7"/>
      <c r="MKW30" s="7"/>
      <c r="MKX30" s="7"/>
      <c r="MKY30" s="7"/>
      <c r="MKZ30" s="7"/>
      <c r="MLA30" s="7"/>
      <c r="MLB30" s="7"/>
      <c r="MLC30" s="7"/>
      <c r="MLD30" s="7"/>
      <c r="MLE30" s="7"/>
      <c r="MLF30" s="7"/>
      <c r="MLG30" s="7"/>
      <c r="MLH30" s="7"/>
      <c r="MLI30" s="7"/>
      <c r="MLJ30" s="7"/>
      <c r="MLK30" s="7"/>
      <c r="MLL30" s="7"/>
      <c r="MLM30" s="7"/>
      <c r="MLN30" s="7"/>
      <c r="MLO30" s="7"/>
      <c r="MLP30" s="7"/>
      <c r="MLQ30" s="7"/>
      <c r="MLR30" s="7"/>
      <c r="MLS30" s="7"/>
      <c r="MLT30" s="7"/>
      <c r="MLU30" s="7"/>
      <c r="MLV30" s="7"/>
      <c r="MLW30" s="7"/>
      <c r="MLX30" s="7"/>
      <c r="MLY30" s="7"/>
      <c r="MLZ30" s="7"/>
      <c r="MMA30" s="7"/>
      <c r="MMB30" s="7"/>
      <c r="MMC30" s="7"/>
      <c r="MMD30" s="7"/>
      <c r="MME30" s="7"/>
      <c r="MMF30" s="7"/>
      <c r="MMG30" s="7"/>
      <c r="MMH30" s="7"/>
      <c r="MMI30" s="7"/>
      <c r="MMJ30" s="7"/>
      <c r="MMK30" s="7"/>
      <c r="MML30" s="7"/>
      <c r="MMM30" s="7"/>
      <c r="MMN30" s="7"/>
      <c r="MMO30" s="7"/>
      <c r="MMP30" s="7"/>
      <c r="MMQ30" s="7"/>
      <c r="MMR30" s="7"/>
      <c r="MMS30" s="7"/>
      <c r="MMT30" s="7"/>
      <c r="MMU30" s="7"/>
      <c r="MMV30" s="7"/>
      <c r="MMW30" s="7"/>
      <c r="MMX30" s="7"/>
      <c r="MMY30" s="7"/>
      <c r="MMZ30" s="7"/>
      <c r="MNA30" s="7"/>
      <c r="MNB30" s="7"/>
      <c r="MNC30" s="7"/>
      <c r="MND30" s="7"/>
      <c r="MNE30" s="7"/>
      <c r="MNF30" s="7"/>
      <c r="MNG30" s="7"/>
      <c r="MNH30" s="7"/>
      <c r="MNI30" s="7"/>
      <c r="MNJ30" s="7"/>
      <c r="MNK30" s="7"/>
      <c r="MNL30" s="7"/>
      <c r="MNM30" s="7"/>
      <c r="MNN30" s="7"/>
      <c r="MNO30" s="7"/>
      <c r="MNP30" s="7"/>
      <c r="MNQ30" s="7"/>
      <c r="MNR30" s="7"/>
      <c r="MNS30" s="7"/>
      <c r="MNT30" s="7"/>
      <c r="MNU30" s="7"/>
      <c r="MNV30" s="7"/>
      <c r="MNW30" s="7"/>
      <c r="MNX30" s="7"/>
      <c r="MNY30" s="7"/>
      <c r="MNZ30" s="7"/>
      <c r="MOA30" s="7"/>
      <c r="MOB30" s="7"/>
      <c r="MOC30" s="7"/>
      <c r="MOD30" s="7"/>
      <c r="MOE30" s="7"/>
      <c r="MOF30" s="7"/>
      <c r="MOG30" s="7"/>
      <c r="MOH30" s="7"/>
      <c r="MOI30" s="7"/>
      <c r="MOJ30" s="7"/>
      <c r="MOK30" s="7"/>
      <c r="MOL30" s="7"/>
      <c r="MOM30" s="7"/>
      <c r="MON30" s="7"/>
      <c r="MOO30" s="7"/>
      <c r="MOP30" s="7"/>
      <c r="MOQ30" s="7"/>
      <c r="MOR30" s="7"/>
      <c r="MOS30" s="7"/>
      <c r="MOT30" s="7"/>
      <c r="MOU30" s="7"/>
      <c r="MOV30" s="7"/>
      <c r="MOW30" s="7"/>
      <c r="MOX30" s="7"/>
      <c r="MOY30" s="7"/>
      <c r="MOZ30" s="7"/>
      <c r="MPA30" s="7"/>
      <c r="MPB30" s="7"/>
      <c r="MPC30" s="7"/>
      <c r="MPD30" s="7"/>
      <c r="MPE30" s="7"/>
      <c r="MPF30" s="7"/>
      <c r="MPG30" s="7"/>
      <c r="MPH30" s="7"/>
      <c r="MPI30" s="7"/>
      <c r="MPJ30" s="7"/>
      <c r="MPK30" s="7"/>
      <c r="MPL30" s="7"/>
      <c r="MPM30" s="7"/>
      <c r="MPN30" s="7"/>
      <c r="MPO30" s="7"/>
      <c r="MPP30" s="7"/>
      <c r="MPQ30" s="7"/>
      <c r="MPR30" s="7"/>
      <c r="MPS30" s="7"/>
      <c r="MPT30" s="7"/>
      <c r="MPU30" s="7"/>
      <c r="MPV30" s="7"/>
      <c r="MPW30" s="7"/>
      <c r="MPX30" s="7"/>
      <c r="MPY30" s="7"/>
      <c r="MPZ30" s="7"/>
      <c r="MQA30" s="7"/>
      <c r="MQB30" s="7"/>
      <c r="MQC30" s="7"/>
      <c r="MQD30" s="7"/>
      <c r="MQE30" s="7"/>
      <c r="MQF30" s="7"/>
      <c r="MQG30" s="7"/>
      <c r="MQH30" s="7"/>
      <c r="MQI30" s="7"/>
      <c r="MQJ30" s="7"/>
      <c r="MQK30" s="7"/>
      <c r="MQL30" s="7"/>
      <c r="MQM30" s="7"/>
      <c r="MQN30" s="7"/>
      <c r="MQO30" s="7"/>
      <c r="MQP30" s="7"/>
      <c r="MQQ30" s="7"/>
      <c r="MQR30" s="7"/>
      <c r="MQS30" s="7"/>
      <c r="MQT30" s="7"/>
      <c r="MQU30" s="7"/>
      <c r="MQV30" s="7"/>
      <c r="MQW30" s="7"/>
      <c r="MQX30" s="7"/>
      <c r="MQY30" s="7"/>
      <c r="MQZ30" s="7"/>
      <c r="MRA30" s="7"/>
      <c r="MRB30" s="7"/>
      <c r="MRC30" s="7"/>
      <c r="MRD30" s="7"/>
      <c r="MRE30" s="7"/>
      <c r="MRF30" s="7"/>
      <c r="MRG30" s="7"/>
      <c r="MRH30" s="7"/>
      <c r="MRI30" s="7"/>
      <c r="MRJ30" s="7"/>
      <c r="MRK30" s="7"/>
      <c r="MRL30" s="7"/>
      <c r="MRM30" s="7"/>
      <c r="MRN30" s="7"/>
      <c r="MRO30" s="7"/>
      <c r="MRP30" s="7"/>
      <c r="MRQ30" s="7"/>
      <c r="MRR30" s="7"/>
      <c r="MRS30" s="7"/>
      <c r="MRT30" s="7"/>
      <c r="MRU30" s="7"/>
      <c r="MRV30" s="7"/>
      <c r="MRW30" s="7"/>
      <c r="MRX30" s="7"/>
      <c r="MRY30" s="7"/>
      <c r="MRZ30" s="7"/>
      <c r="MSA30" s="7"/>
      <c r="MSB30" s="7"/>
      <c r="MSC30" s="7"/>
      <c r="MSD30" s="7"/>
      <c r="MSE30" s="7"/>
      <c r="MSF30" s="7"/>
      <c r="MSG30" s="7"/>
      <c r="MSH30" s="7"/>
      <c r="MSI30" s="7"/>
      <c r="MSJ30" s="7"/>
      <c r="MSK30" s="7"/>
      <c r="MSL30" s="7"/>
      <c r="MSM30" s="7"/>
      <c r="MSN30" s="7"/>
      <c r="MSO30" s="7"/>
      <c r="MSP30" s="7"/>
      <c r="MSQ30" s="7"/>
      <c r="MSR30" s="7"/>
      <c r="MSS30" s="7"/>
      <c r="MST30" s="7"/>
      <c r="MSU30" s="7"/>
      <c r="MSV30" s="7"/>
      <c r="MSW30" s="7"/>
      <c r="MSX30" s="7"/>
      <c r="MSY30" s="7"/>
      <c r="MSZ30" s="7"/>
      <c r="MTA30" s="7"/>
      <c r="MTB30" s="7"/>
      <c r="MTC30" s="7"/>
      <c r="MTD30" s="7"/>
      <c r="MTE30" s="7"/>
      <c r="MTF30" s="7"/>
      <c r="MTG30" s="7"/>
      <c r="MTH30" s="7"/>
      <c r="MTI30" s="7"/>
      <c r="MTJ30" s="7"/>
      <c r="MTK30" s="7"/>
      <c r="MTL30" s="7"/>
      <c r="MTM30" s="7"/>
      <c r="MTN30" s="7"/>
      <c r="MTO30" s="7"/>
      <c r="MTP30" s="7"/>
      <c r="MTQ30" s="7"/>
      <c r="MTR30" s="7"/>
      <c r="MTS30" s="7"/>
      <c r="MTT30" s="7"/>
      <c r="MTU30" s="7"/>
      <c r="MTV30" s="7"/>
      <c r="MTW30" s="7"/>
      <c r="MTX30" s="7"/>
      <c r="MTY30" s="7"/>
      <c r="MTZ30" s="7"/>
      <c r="MUA30" s="7"/>
      <c r="MUB30" s="7"/>
      <c r="MUC30" s="7"/>
      <c r="MUD30" s="7"/>
      <c r="MUE30" s="7"/>
      <c r="MUF30" s="7"/>
      <c r="MUG30" s="7"/>
      <c r="MUH30" s="7"/>
      <c r="MUI30" s="7"/>
      <c r="MUJ30" s="7"/>
      <c r="MUK30" s="7"/>
      <c r="MUL30" s="7"/>
      <c r="MUM30" s="7"/>
      <c r="MUN30" s="7"/>
      <c r="MUO30" s="7"/>
      <c r="MUP30" s="7"/>
      <c r="MUQ30" s="7"/>
      <c r="MUR30" s="7"/>
      <c r="MUS30" s="7"/>
      <c r="MUT30" s="7"/>
      <c r="MUU30" s="7"/>
      <c r="MUV30" s="7"/>
      <c r="MUW30" s="7"/>
      <c r="MUX30" s="7"/>
      <c r="MUY30" s="7"/>
      <c r="MUZ30" s="7"/>
      <c r="MVA30" s="7"/>
      <c r="MVB30" s="7"/>
      <c r="MVC30" s="7"/>
      <c r="MVD30" s="7"/>
      <c r="MVE30" s="7"/>
      <c r="MVF30" s="7"/>
      <c r="MVG30" s="7"/>
      <c r="MVH30" s="7"/>
      <c r="MVI30" s="7"/>
      <c r="MVJ30" s="7"/>
      <c r="MVK30" s="7"/>
      <c r="MVL30" s="7"/>
      <c r="MVM30" s="7"/>
      <c r="MVN30" s="7"/>
      <c r="MVO30" s="7"/>
      <c r="MVP30" s="7"/>
      <c r="MVQ30" s="7"/>
      <c r="MVR30" s="7"/>
      <c r="MVS30" s="7"/>
      <c r="MVT30" s="7"/>
      <c r="MVU30" s="7"/>
      <c r="MVV30" s="7"/>
      <c r="MVW30" s="7"/>
      <c r="MVX30" s="7"/>
      <c r="MVY30" s="7"/>
      <c r="MVZ30" s="7"/>
      <c r="MWA30" s="7"/>
      <c r="MWB30" s="7"/>
      <c r="MWC30" s="7"/>
      <c r="MWD30" s="7"/>
      <c r="MWE30" s="7"/>
      <c r="MWF30" s="7"/>
      <c r="MWG30" s="7"/>
      <c r="MWH30" s="7"/>
      <c r="MWI30" s="7"/>
      <c r="MWJ30" s="7"/>
      <c r="MWK30" s="7"/>
      <c r="MWL30" s="7"/>
      <c r="MWM30" s="7"/>
      <c r="MWN30" s="7"/>
      <c r="MWO30" s="7"/>
      <c r="MWP30" s="7"/>
      <c r="MWQ30" s="7"/>
      <c r="MWR30" s="7"/>
      <c r="MWS30" s="7"/>
      <c r="MWT30" s="7"/>
      <c r="MWU30" s="7"/>
      <c r="MWV30" s="7"/>
      <c r="MWW30" s="7"/>
      <c r="MWX30" s="7"/>
      <c r="MWY30" s="7"/>
      <c r="MWZ30" s="7"/>
      <c r="MXA30" s="7"/>
      <c r="MXB30" s="7"/>
      <c r="MXC30" s="7"/>
      <c r="MXD30" s="7"/>
      <c r="MXE30" s="7"/>
      <c r="MXF30" s="7"/>
      <c r="MXG30" s="7"/>
      <c r="MXH30" s="7"/>
      <c r="MXI30" s="7"/>
      <c r="MXJ30" s="7"/>
      <c r="MXK30" s="7"/>
      <c r="MXL30" s="7"/>
      <c r="MXM30" s="7"/>
      <c r="MXN30" s="7"/>
      <c r="MXO30" s="7"/>
      <c r="MXP30" s="7"/>
      <c r="MXQ30" s="7"/>
      <c r="MXR30" s="7"/>
      <c r="MXS30" s="7"/>
      <c r="MXT30" s="7"/>
      <c r="MXU30" s="7"/>
      <c r="MXV30" s="7"/>
      <c r="MXW30" s="7"/>
      <c r="MXX30" s="7"/>
      <c r="MXY30" s="7"/>
      <c r="MXZ30" s="7"/>
      <c r="MYA30" s="7"/>
      <c r="MYB30" s="7"/>
      <c r="MYC30" s="7"/>
      <c r="MYD30" s="7"/>
      <c r="MYE30" s="7"/>
      <c r="MYF30" s="7"/>
      <c r="MYG30" s="7"/>
      <c r="MYH30" s="7"/>
      <c r="MYI30" s="7"/>
      <c r="MYJ30" s="7"/>
      <c r="MYK30" s="7"/>
      <c r="MYL30" s="7"/>
      <c r="MYM30" s="7"/>
      <c r="MYN30" s="7"/>
      <c r="MYO30" s="7"/>
      <c r="MYP30" s="7"/>
      <c r="MYQ30" s="7"/>
      <c r="MYR30" s="7"/>
      <c r="MYS30" s="7"/>
      <c r="MYT30" s="7"/>
      <c r="MYU30" s="7"/>
      <c r="MYV30" s="7"/>
      <c r="MYW30" s="7"/>
      <c r="MYX30" s="7"/>
      <c r="MYY30" s="7"/>
      <c r="MYZ30" s="7"/>
      <c r="MZA30" s="7"/>
      <c r="MZB30" s="7"/>
      <c r="MZC30" s="7"/>
      <c r="MZD30" s="7"/>
      <c r="MZE30" s="7"/>
      <c r="MZF30" s="7"/>
      <c r="MZG30" s="7"/>
      <c r="MZH30" s="7"/>
      <c r="MZI30" s="7"/>
      <c r="MZJ30" s="7"/>
      <c r="MZK30" s="7"/>
      <c r="MZL30" s="7"/>
      <c r="MZM30" s="7"/>
      <c r="MZN30" s="7"/>
      <c r="MZO30" s="7"/>
      <c r="MZP30" s="7"/>
      <c r="MZQ30" s="7"/>
      <c r="MZR30" s="7"/>
      <c r="MZS30" s="7"/>
      <c r="MZT30" s="7"/>
      <c r="MZU30" s="7"/>
      <c r="MZV30" s="7"/>
      <c r="MZW30" s="7"/>
      <c r="MZX30" s="7"/>
      <c r="MZY30" s="7"/>
      <c r="MZZ30" s="7"/>
      <c r="NAA30" s="7"/>
      <c r="NAB30" s="7"/>
      <c r="NAC30" s="7"/>
      <c r="NAD30" s="7"/>
      <c r="NAE30" s="7"/>
      <c r="NAF30" s="7"/>
      <c r="NAG30" s="7"/>
      <c r="NAH30" s="7"/>
      <c r="NAI30" s="7"/>
      <c r="NAJ30" s="7"/>
      <c r="NAK30" s="7"/>
      <c r="NAL30" s="7"/>
      <c r="NAM30" s="7"/>
      <c r="NAN30" s="7"/>
      <c r="NAO30" s="7"/>
      <c r="NAP30" s="7"/>
      <c r="NAQ30" s="7"/>
      <c r="NAR30" s="7"/>
      <c r="NAS30" s="7"/>
      <c r="NAT30" s="7"/>
      <c r="NAU30" s="7"/>
      <c r="NAV30" s="7"/>
      <c r="NAW30" s="7"/>
      <c r="NAX30" s="7"/>
      <c r="NAY30" s="7"/>
      <c r="NAZ30" s="7"/>
      <c r="NBA30" s="7"/>
      <c r="NBB30" s="7"/>
      <c r="NBC30" s="7"/>
      <c r="NBD30" s="7"/>
      <c r="NBE30" s="7"/>
      <c r="NBF30" s="7"/>
      <c r="NBG30" s="7"/>
      <c r="NBH30" s="7"/>
      <c r="NBI30" s="7"/>
      <c r="NBJ30" s="7"/>
      <c r="NBK30" s="7"/>
      <c r="NBL30" s="7"/>
      <c r="NBM30" s="7"/>
      <c r="NBN30" s="7"/>
      <c r="NBO30" s="7"/>
      <c r="NBP30" s="7"/>
      <c r="NBQ30" s="7"/>
      <c r="NBR30" s="7"/>
      <c r="NBS30" s="7"/>
      <c r="NBT30" s="7"/>
      <c r="NBU30" s="7"/>
      <c r="NBV30" s="7"/>
      <c r="NBW30" s="7"/>
      <c r="NBX30" s="7"/>
      <c r="NBY30" s="7"/>
      <c r="NBZ30" s="7"/>
      <c r="NCA30" s="7"/>
      <c r="NCB30" s="7"/>
      <c r="NCC30" s="7"/>
      <c r="NCD30" s="7"/>
      <c r="NCE30" s="7"/>
      <c r="NCF30" s="7"/>
      <c r="NCG30" s="7"/>
      <c r="NCH30" s="7"/>
      <c r="NCI30" s="7"/>
      <c r="NCJ30" s="7"/>
      <c r="NCK30" s="7"/>
      <c r="NCL30" s="7"/>
      <c r="NCM30" s="7"/>
      <c r="NCN30" s="7"/>
      <c r="NCO30" s="7"/>
      <c r="NCP30" s="7"/>
      <c r="NCQ30" s="7"/>
      <c r="NCR30" s="7"/>
      <c r="NCS30" s="7"/>
      <c r="NCT30" s="7"/>
      <c r="NCU30" s="7"/>
      <c r="NCV30" s="7"/>
      <c r="NCW30" s="7"/>
      <c r="NCX30" s="7"/>
      <c r="NCY30" s="7"/>
      <c r="NCZ30" s="7"/>
      <c r="NDA30" s="7"/>
      <c r="NDB30" s="7"/>
      <c r="NDC30" s="7"/>
      <c r="NDD30" s="7"/>
      <c r="NDE30" s="7"/>
      <c r="NDF30" s="7"/>
      <c r="NDG30" s="7"/>
      <c r="NDH30" s="7"/>
      <c r="NDI30" s="7"/>
      <c r="NDJ30" s="7"/>
      <c r="NDK30" s="7"/>
      <c r="NDL30" s="7"/>
      <c r="NDM30" s="7"/>
      <c r="NDN30" s="7"/>
      <c r="NDO30" s="7"/>
      <c r="NDP30" s="7"/>
      <c r="NDQ30" s="7"/>
      <c r="NDR30" s="7"/>
      <c r="NDS30" s="7"/>
      <c r="NDT30" s="7"/>
      <c r="NDU30" s="7"/>
      <c r="NDV30" s="7"/>
      <c r="NDW30" s="7"/>
      <c r="NDX30" s="7"/>
      <c r="NDY30" s="7"/>
      <c r="NDZ30" s="7"/>
      <c r="NEA30" s="7"/>
      <c r="NEB30" s="7"/>
      <c r="NEC30" s="7"/>
      <c r="NED30" s="7"/>
      <c r="NEE30" s="7"/>
      <c r="NEF30" s="7"/>
      <c r="NEG30" s="7"/>
      <c r="NEH30" s="7"/>
      <c r="NEI30" s="7"/>
      <c r="NEJ30" s="7"/>
      <c r="NEK30" s="7"/>
      <c r="NEL30" s="7"/>
      <c r="NEM30" s="7"/>
      <c r="NEN30" s="7"/>
      <c r="NEO30" s="7"/>
      <c r="NEP30" s="7"/>
      <c r="NEQ30" s="7"/>
      <c r="NER30" s="7"/>
      <c r="NES30" s="7"/>
      <c r="NET30" s="7"/>
      <c r="NEU30" s="7"/>
      <c r="NEV30" s="7"/>
      <c r="NEW30" s="7"/>
      <c r="NEX30" s="7"/>
      <c r="NEY30" s="7"/>
      <c r="NEZ30" s="7"/>
      <c r="NFA30" s="7"/>
      <c r="NFB30" s="7"/>
      <c r="NFC30" s="7"/>
      <c r="NFD30" s="7"/>
      <c r="NFE30" s="7"/>
      <c r="NFF30" s="7"/>
      <c r="NFG30" s="7"/>
      <c r="NFH30" s="7"/>
      <c r="NFI30" s="7"/>
      <c r="NFJ30" s="7"/>
      <c r="NFK30" s="7"/>
      <c r="NFL30" s="7"/>
      <c r="NFM30" s="7"/>
      <c r="NFN30" s="7"/>
      <c r="NFO30" s="7"/>
      <c r="NFP30" s="7"/>
      <c r="NFQ30" s="7"/>
      <c r="NFR30" s="7"/>
      <c r="NFS30" s="7"/>
      <c r="NFT30" s="7"/>
      <c r="NFU30" s="7"/>
      <c r="NFV30" s="7"/>
      <c r="NFW30" s="7"/>
      <c r="NFX30" s="7"/>
      <c r="NFY30" s="7"/>
      <c r="NFZ30" s="7"/>
      <c r="NGA30" s="7"/>
      <c r="NGB30" s="7"/>
      <c r="NGC30" s="7"/>
      <c r="NGD30" s="7"/>
      <c r="NGE30" s="7"/>
      <c r="NGF30" s="7"/>
      <c r="NGG30" s="7"/>
      <c r="NGH30" s="7"/>
      <c r="NGI30" s="7"/>
      <c r="NGJ30" s="7"/>
      <c r="NGK30" s="7"/>
      <c r="NGL30" s="7"/>
      <c r="NGM30" s="7"/>
      <c r="NGN30" s="7"/>
      <c r="NGO30" s="7"/>
      <c r="NGP30" s="7"/>
      <c r="NGQ30" s="7"/>
      <c r="NGR30" s="7"/>
      <c r="NGS30" s="7"/>
      <c r="NGT30" s="7"/>
      <c r="NGU30" s="7"/>
      <c r="NGV30" s="7"/>
      <c r="NGW30" s="7"/>
      <c r="NGX30" s="7"/>
      <c r="NGY30" s="7"/>
      <c r="NGZ30" s="7"/>
      <c r="NHA30" s="7"/>
      <c r="NHB30" s="7"/>
      <c r="NHC30" s="7"/>
      <c r="NHD30" s="7"/>
      <c r="NHE30" s="7"/>
      <c r="NHF30" s="7"/>
      <c r="NHG30" s="7"/>
      <c r="NHH30" s="7"/>
      <c r="NHI30" s="7"/>
      <c r="NHJ30" s="7"/>
      <c r="NHK30" s="7"/>
      <c r="NHL30" s="7"/>
      <c r="NHM30" s="7"/>
      <c r="NHN30" s="7"/>
      <c r="NHO30" s="7"/>
      <c r="NHP30" s="7"/>
      <c r="NHQ30" s="7"/>
      <c r="NHR30" s="7"/>
      <c r="NHS30" s="7"/>
      <c r="NHT30" s="7"/>
      <c r="NHU30" s="7"/>
      <c r="NHV30" s="7"/>
      <c r="NHW30" s="7"/>
      <c r="NHX30" s="7"/>
      <c r="NHY30" s="7"/>
      <c r="NHZ30" s="7"/>
      <c r="NIA30" s="7"/>
      <c r="NIB30" s="7"/>
      <c r="NIC30" s="7"/>
      <c r="NID30" s="7"/>
      <c r="NIE30" s="7"/>
      <c r="NIF30" s="7"/>
      <c r="NIG30" s="7"/>
      <c r="NIH30" s="7"/>
      <c r="NII30" s="7"/>
      <c r="NIJ30" s="7"/>
      <c r="NIK30" s="7"/>
      <c r="NIL30" s="7"/>
      <c r="NIM30" s="7"/>
      <c r="NIN30" s="7"/>
      <c r="NIO30" s="7"/>
      <c r="NIP30" s="7"/>
      <c r="NIQ30" s="7"/>
      <c r="NIR30" s="7"/>
      <c r="NIS30" s="7"/>
      <c r="NIT30" s="7"/>
      <c r="NIU30" s="7"/>
      <c r="NIV30" s="7"/>
      <c r="NIW30" s="7"/>
      <c r="NIX30" s="7"/>
      <c r="NIY30" s="7"/>
      <c r="NIZ30" s="7"/>
      <c r="NJA30" s="7"/>
      <c r="NJB30" s="7"/>
      <c r="NJC30" s="7"/>
      <c r="NJD30" s="7"/>
      <c r="NJE30" s="7"/>
      <c r="NJF30" s="7"/>
      <c r="NJG30" s="7"/>
      <c r="NJH30" s="7"/>
      <c r="NJI30" s="7"/>
      <c r="NJJ30" s="7"/>
      <c r="NJK30" s="7"/>
      <c r="NJL30" s="7"/>
      <c r="NJM30" s="7"/>
      <c r="NJN30" s="7"/>
      <c r="NJO30" s="7"/>
      <c r="NJP30" s="7"/>
      <c r="NJQ30" s="7"/>
      <c r="NJR30" s="7"/>
      <c r="NJS30" s="7"/>
      <c r="NJT30" s="7"/>
      <c r="NJU30" s="7"/>
      <c r="NJV30" s="7"/>
      <c r="NJW30" s="7"/>
      <c r="NJX30" s="7"/>
      <c r="NJY30" s="7"/>
      <c r="NJZ30" s="7"/>
      <c r="NKA30" s="7"/>
      <c r="NKB30" s="7"/>
      <c r="NKC30" s="7"/>
      <c r="NKD30" s="7"/>
      <c r="NKE30" s="7"/>
      <c r="NKF30" s="7"/>
      <c r="NKG30" s="7"/>
      <c r="NKH30" s="7"/>
      <c r="NKI30" s="7"/>
      <c r="NKJ30" s="7"/>
      <c r="NKK30" s="7"/>
      <c r="NKL30" s="7"/>
      <c r="NKM30" s="7"/>
      <c r="NKN30" s="7"/>
      <c r="NKO30" s="7"/>
      <c r="NKP30" s="7"/>
      <c r="NKQ30" s="7"/>
      <c r="NKR30" s="7"/>
      <c r="NKS30" s="7"/>
      <c r="NKT30" s="7"/>
      <c r="NKU30" s="7"/>
      <c r="NKV30" s="7"/>
      <c r="NKW30" s="7"/>
      <c r="NKX30" s="7"/>
      <c r="NKY30" s="7"/>
      <c r="NKZ30" s="7"/>
      <c r="NLA30" s="7"/>
      <c r="NLB30" s="7"/>
      <c r="NLC30" s="7"/>
      <c r="NLD30" s="7"/>
      <c r="NLE30" s="7"/>
      <c r="NLF30" s="7"/>
      <c r="NLG30" s="7"/>
      <c r="NLH30" s="7"/>
      <c r="NLI30" s="7"/>
      <c r="NLJ30" s="7"/>
      <c r="NLK30" s="7"/>
      <c r="NLL30" s="7"/>
      <c r="NLM30" s="7"/>
      <c r="NLN30" s="7"/>
      <c r="NLO30" s="7"/>
      <c r="NLP30" s="7"/>
      <c r="NLQ30" s="7"/>
      <c r="NLR30" s="7"/>
      <c r="NLS30" s="7"/>
      <c r="NLT30" s="7"/>
      <c r="NLU30" s="7"/>
      <c r="NLV30" s="7"/>
      <c r="NLW30" s="7"/>
      <c r="NLX30" s="7"/>
      <c r="NLY30" s="7"/>
      <c r="NLZ30" s="7"/>
      <c r="NMA30" s="7"/>
      <c r="NMB30" s="7"/>
      <c r="NMC30" s="7"/>
      <c r="NMD30" s="7"/>
      <c r="NME30" s="7"/>
      <c r="NMF30" s="7"/>
      <c r="NMG30" s="7"/>
      <c r="NMH30" s="7"/>
      <c r="NMI30" s="7"/>
      <c r="NMJ30" s="7"/>
      <c r="NMK30" s="7"/>
      <c r="NML30" s="7"/>
      <c r="NMM30" s="7"/>
      <c r="NMN30" s="7"/>
      <c r="NMO30" s="7"/>
      <c r="NMP30" s="7"/>
      <c r="NMQ30" s="7"/>
      <c r="NMR30" s="7"/>
      <c r="NMS30" s="7"/>
      <c r="NMT30" s="7"/>
      <c r="NMU30" s="7"/>
      <c r="NMV30" s="7"/>
      <c r="NMW30" s="7"/>
      <c r="NMX30" s="7"/>
      <c r="NMY30" s="7"/>
      <c r="NMZ30" s="7"/>
      <c r="NNA30" s="7"/>
      <c r="NNB30" s="7"/>
      <c r="NNC30" s="7"/>
      <c r="NND30" s="7"/>
      <c r="NNE30" s="7"/>
      <c r="NNF30" s="7"/>
      <c r="NNG30" s="7"/>
      <c r="NNH30" s="7"/>
      <c r="NNI30" s="7"/>
      <c r="NNJ30" s="7"/>
      <c r="NNK30" s="7"/>
      <c r="NNL30" s="7"/>
      <c r="NNM30" s="7"/>
      <c r="NNN30" s="7"/>
      <c r="NNO30" s="7"/>
      <c r="NNP30" s="7"/>
      <c r="NNQ30" s="7"/>
      <c r="NNR30" s="7"/>
      <c r="NNS30" s="7"/>
      <c r="NNT30" s="7"/>
      <c r="NNU30" s="7"/>
      <c r="NNV30" s="7"/>
      <c r="NNW30" s="7"/>
      <c r="NNX30" s="7"/>
      <c r="NNY30" s="7"/>
      <c r="NNZ30" s="7"/>
      <c r="NOA30" s="7"/>
      <c r="NOB30" s="7"/>
      <c r="NOC30" s="7"/>
      <c r="NOD30" s="7"/>
      <c r="NOE30" s="7"/>
      <c r="NOF30" s="7"/>
      <c r="NOG30" s="7"/>
      <c r="NOH30" s="7"/>
      <c r="NOI30" s="7"/>
      <c r="NOJ30" s="7"/>
      <c r="NOK30" s="7"/>
      <c r="NOL30" s="7"/>
      <c r="NOM30" s="7"/>
      <c r="NON30" s="7"/>
      <c r="NOO30" s="7"/>
      <c r="NOP30" s="7"/>
      <c r="NOQ30" s="7"/>
      <c r="NOR30" s="7"/>
      <c r="NOS30" s="7"/>
      <c r="NOT30" s="7"/>
      <c r="NOU30" s="7"/>
      <c r="NOV30" s="7"/>
      <c r="NOW30" s="7"/>
      <c r="NOX30" s="7"/>
      <c r="NOY30" s="7"/>
      <c r="NOZ30" s="7"/>
      <c r="NPA30" s="7"/>
      <c r="NPB30" s="7"/>
      <c r="NPC30" s="7"/>
      <c r="NPD30" s="7"/>
      <c r="NPE30" s="7"/>
      <c r="NPF30" s="7"/>
      <c r="NPG30" s="7"/>
      <c r="NPH30" s="7"/>
      <c r="NPI30" s="7"/>
      <c r="NPJ30" s="7"/>
      <c r="NPK30" s="7"/>
      <c r="NPL30" s="7"/>
      <c r="NPM30" s="7"/>
      <c r="NPN30" s="7"/>
      <c r="NPO30" s="7"/>
      <c r="NPP30" s="7"/>
      <c r="NPQ30" s="7"/>
      <c r="NPR30" s="7"/>
      <c r="NPS30" s="7"/>
      <c r="NPT30" s="7"/>
      <c r="NPU30" s="7"/>
      <c r="NPV30" s="7"/>
      <c r="NPW30" s="7"/>
      <c r="NPX30" s="7"/>
      <c r="NPY30" s="7"/>
      <c r="NPZ30" s="7"/>
      <c r="NQA30" s="7"/>
      <c r="NQB30" s="7"/>
      <c r="NQC30" s="7"/>
      <c r="NQD30" s="7"/>
      <c r="NQE30" s="7"/>
      <c r="NQF30" s="7"/>
      <c r="NQG30" s="7"/>
      <c r="NQH30" s="7"/>
      <c r="NQI30" s="7"/>
      <c r="NQJ30" s="7"/>
      <c r="NQK30" s="7"/>
      <c r="NQL30" s="7"/>
      <c r="NQM30" s="7"/>
      <c r="NQN30" s="7"/>
      <c r="NQO30" s="7"/>
      <c r="NQP30" s="7"/>
      <c r="NQQ30" s="7"/>
      <c r="NQR30" s="7"/>
      <c r="NQS30" s="7"/>
      <c r="NQT30" s="7"/>
      <c r="NQU30" s="7"/>
      <c r="NQV30" s="7"/>
      <c r="NQW30" s="7"/>
      <c r="NQX30" s="7"/>
      <c r="NQY30" s="7"/>
      <c r="NQZ30" s="7"/>
      <c r="NRA30" s="7"/>
      <c r="NRB30" s="7"/>
      <c r="NRC30" s="7"/>
      <c r="NRD30" s="7"/>
      <c r="NRE30" s="7"/>
      <c r="NRF30" s="7"/>
      <c r="NRG30" s="7"/>
      <c r="NRH30" s="7"/>
      <c r="NRI30" s="7"/>
      <c r="NRJ30" s="7"/>
      <c r="NRK30" s="7"/>
      <c r="NRL30" s="7"/>
      <c r="NRM30" s="7"/>
      <c r="NRN30" s="7"/>
      <c r="NRO30" s="7"/>
      <c r="NRP30" s="7"/>
      <c r="NRQ30" s="7"/>
      <c r="NRR30" s="7"/>
      <c r="NRS30" s="7"/>
      <c r="NRT30" s="7"/>
      <c r="NRU30" s="7"/>
      <c r="NRV30" s="7"/>
      <c r="NRW30" s="7"/>
      <c r="NRX30" s="7"/>
      <c r="NRY30" s="7"/>
      <c r="NRZ30" s="7"/>
      <c r="NSA30" s="7"/>
      <c r="NSB30" s="7"/>
      <c r="NSC30" s="7"/>
      <c r="NSD30" s="7"/>
      <c r="NSE30" s="7"/>
      <c r="NSF30" s="7"/>
      <c r="NSG30" s="7"/>
      <c r="NSH30" s="7"/>
      <c r="NSI30" s="7"/>
      <c r="NSJ30" s="7"/>
      <c r="NSK30" s="7"/>
      <c r="NSL30" s="7"/>
      <c r="NSM30" s="7"/>
      <c r="NSN30" s="7"/>
      <c r="NSO30" s="7"/>
      <c r="NSP30" s="7"/>
      <c r="NSQ30" s="7"/>
      <c r="NSR30" s="7"/>
      <c r="NSS30" s="7"/>
      <c r="NST30" s="7"/>
      <c r="NSU30" s="7"/>
      <c r="NSV30" s="7"/>
      <c r="NSW30" s="7"/>
      <c r="NSX30" s="7"/>
      <c r="NSY30" s="7"/>
      <c r="NSZ30" s="7"/>
      <c r="NTA30" s="7"/>
      <c r="NTB30" s="7"/>
      <c r="NTC30" s="7"/>
      <c r="NTD30" s="7"/>
      <c r="NTE30" s="7"/>
      <c r="NTF30" s="7"/>
      <c r="NTG30" s="7"/>
      <c r="NTH30" s="7"/>
      <c r="NTI30" s="7"/>
      <c r="NTJ30" s="7"/>
      <c r="NTK30" s="7"/>
      <c r="NTL30" s="7"/>
      <c r="NTM30" s="7"/>
      <c r="NTN30" s="7"/>
      <c r="NTO30" s="7"/>
      <c r="NTP30" s="7"/>
      <c r="NTQ30" s="7"/>
      <c r="NTR30" s="7"/>
      <c r="NTS30" s="7"/>
      <c r="NTT30" s="7"/>
      <c r="NTU30" s="7"/>
      <c r="NTV30" s="7"/>
      <c r="NTW30" s="7"/>
      <c r="NTX30" s="7"/>
      <c r="NTY30" s="7"/>
      <c r="NTZ30" s="7"/>
      <c r="NUA30" s="7"/>
      <c r="NUB30" s="7"/>
      <c r="NUC30" s="7"/>
      <c r="NUD30" s="7"/>
      <c r="NUE30" s="7"/>
      <c r="NUF30" s="7"/>
      <c r="NUG30" s="7"/>
      <c r="NUH30" s="7"/>
      <c r="NUI30" s="7"/>
      <c r="NUJ30" s="7"/>
      <c r="NUK30" s="7"/>
      <c r="NUL30" s="7"/>
      <c r="NUM30" s="7"/>
      <c r="NUN30" s="7"/>
      <c r="NUO30" s="7"/>
      <c r="NUP30" s="7"/>
      <c r="NUQ30" s="7"/>
      <c r="NUR30" s="7"/>
      <c r="NUS30" s="7"/>
      <c r="NUT30" s="7"/>
      <c r="NUU30" s="7"/>
      <c r="NUV30" s="7"/>
      <c r="NUW30" s="7"/>
      <c r="NUX30" s="7"/>
      <c r="NUY30" s="7"/>
      <c r="NUZ30" s="7"/>
      <c r="NVA30" s="7"/>
      <c r="NVB30" s="7"/>
      <c r="NVC30" s="7"/>
      <c r="NVD30" s="7"/>
      <c r="NVE30" s="7"/>
      <c r="NVF30" s="7"/>
      <c r="NVG30" s="7"/>
      <c r="NVH30" s="7"/>
      <c r="NVI30" s="7"/>
      <c r="NVJ30" s="7"/>
      <c r="NVK30" s="7"/>
      <c r="NVL30" s="7"/>
      <c r="NVM30" s="7"/>
      <c r="NVN30" s="7"/>
      <c r="NVO30" s="7"/>
      <c r="NVP30" s="7"/>
      <c r="NVQ30" s="7"/>
      <c r="NVR30" s="7"/>
      <c r="NVS30" s="7"/>
      <c r="NVT30" s="7"/>
      <c r="NVU30" s="7"/>
      <c r="NVV30" s="7"/>
      <c r="NVW30" s="7"/>
      <c r="NVX30" s="7"/>
      <c r="NVY30" s="7"/>
      <c r="NVZ30" s="7"/>
      <c r="NWA30" s="7"/>
      <c r="NWB30" s="7"/>
      <c r="NWC30" s="7"/>
      <c r="NWD30" s="7"/>
      <c r="NWE30" s="7"/>
      <c r="NWF30" s="7"/>
      <c r="NWG30" s="7"/>
      <c r="NWH30" s="7"/>
      <c r="NWI30" s="7"/>
      <c r="NWJ30" s="7"/>
      <c r="NWK30" s="7"/>
      <c r="NWL30" s="7"/>
      <c r="NWM30" s="7"/>
      <c r="NWN30" s="7"/>
      <c r="NWO30" s="7"/>
      <c r="NWP30" s="7"/>
      <c r="NWQ30" s="7"/>
      <c r="NWR30" s="7"/>
      <c r="NWS30" s="7"/>
      <c r="NWT30" s="7"/>
      <c r="NWU30" s="7"/>
      <c r="NWV30" s="7"/>
      <c r="NWW30" s="7"/>
      <c r="NWX30" s="7"/>
      <c r="NWY30" s="7"/>
      <c r="NWZ30" s="7"/>
      <c r="NXA30" s="7"/>
      <c r="NXB30" s="7"/>
      <c r="NXC30" s="7"/>
      <c r="NXD30" s="7"/>
      <c r="NXE30" s="7"/>
      <c r="NXF30" s="7"/>
      <c r="NXG30" s="7"/>
      <c r="NXH30" s="7"/>
      <c r="NXI30" s="7"/>
      <c r="NXJ30" s="7"/>
      <c r="NXK30" s="7"/>
      <c r="NXL30" s="7"/>
      <c r="NXM30" s="7"/>
      <c r="NXN30" s="7"/>
      <c r="NXO30" s="7"/>
      <c r="NXP30" s="7"/>
      <c r="NXQ30" s="7"/>
      <c r="NXR30" s="7"/>
      <c r="NXS30" s="7"/>
      <c r="NXT30" s="7"/>
      <c r="NXU30" s="7"/>
      <c r="NXV30" s="7"/>
      <c r="NXW30" s="7"/>
      <c r="NXX30" s="7"/>
      <c r="NXY30" s="7"/>
      <c r="NXZ30" s="7"/>
      <c r="NYA30" s="7"/>
      <c r="NYB30" s="7"/>
      <c r="NYC30" s="7"/>
      <c r="NYD30" s="7"/>
      <c r="NYE30" s="7"/>
      <c r="NYF30" s="7"/>
      <c r="NYG30" s="7"/>
      <c r="NYH30" s="7"/>
      <c r="NYI30" s="7"/>
      <c r="NYJ30" s="7"/>
      <c r="NYK30" s="7"/>
      <c r="NYL30" s="7"/>
      <c r="NYM30" s="7"/>
      <c r="NYN30" s="7"/>
      <c r="NYO30" s="7"/>
      <c r="NYP30" s="7"/>
      <c r="NYQ30" s="7"/>
      <c r="NYR30" s="7"/>
      <c r="NYS30" s="7"/>
      <c r="NYT30" s="7"/>
      <c r="NYU30" s="7"/>
      <c r="NYV30" s="7"/>
      <c r="NYW30" s="7"/>
      <c r="NYX30" s="7"/>
      <c r="NYY30" s="7"/>
      <c r="NYZ30" s="7"/>
      <c r="NZA30" s="7"/>
      <c r="NZB30" s="7"/>
      <c r="NZC30" s="7"/>
      <c r="NZD30" s="7"/>
      <c r="NZE30" s="7"/>
      <c r="NZF30" s="7"/>
      <c r="NZG30" s="7"/>
      <c r="NZH30" s="7"/>
      <c r="NZI30" s="7"/>
      <c r="NZJ30" s="7"/>
      <c r="NZK30" s="7"/>
      <c r="NZL30" s="7"/>
      <c r="NZM30" s="7"/>
      <c r="NZN30" s="7"/>
      <c r="NZO30" s="7"/>
      <c r="NZP30" s="7"/>
      <c r="NZQ30" s="7"/>
      <c r="NZR30" s="7"/>
      <c r="NZS30" s="7"/>
      <c r="NZT30" s="7"/>
      <c r="NZU30" s="7"/>
      <c r="NZV30" s="7"/>
      <c r="NZW30" s="7"/>
      <c r="NZX30" s="7"/>
      <c r="NZY30" s="7"/>
      <c r="NZZ30" s="7"/>
      <c r="OAA30" s="7"/>
      <c r="OAB30" s="7"/>
      <c r="OAC30" s="7"/>
      <c r="OAD30" s="7"/>
      <c r="OAE30" s="7"/>
      <c r="OAF30" s="7"/>
      <c r="OAG30" s="7"/>
      <c r="OAH30" s="7"/>
      <c r="OAI30" s="7"/>
      <c r="OAJ30" s="7"/>
      <c r="OAK30" s="7"/>
      <c r="OAL30" s="7"/>
      <c r="OAM30" s="7"/>
      <c r="OAN30" s="7"/>
      <c r="OAO30" s="7"/>
      <c r="OAP30" s="7"/>
      <c r="OAQ30" s="7"/>
      <c r="OAR30" s="7"/>
      <c r="OAS30" s="7"/>
      <c r="OAT30" s="7"/>
      <c r="OAU30" s="7"/>
      <c r="OAV30" s="7"/>
      <c r="OAW30" s="7"/>
      <c r="OAX30" s="7"/>
      <c r="OAY30" s="7"/>
      <c r="OAZ30" s="7"/>
      <c r="OBA30" s="7"/>
      <c r="OBB30" s="7"/>
      <c r="OBC30" s="7"/>
      <c r="OBD30" s="7"/>
      <c r="OBE30" s="7"/>
      <c r="OBF30" s="7"/>
      <c r="OBG30" s="7"/>
      <c r="OBH30" s="7"/>
      <c r="OBI30" s="7"/>
      <c r="OBJ30" s="7"/>
      <c r="OBK30" s="7"/>
      <c r="OBL30" s="7"/>
      <c r="OBM30" s="7"/>
      <c r="OBN30" s="7"/>
      <c r="OBO30" s="7"/>
      <c r="OBP30" s="7"/>
      <c r="OBQ30" s="7"/>
      <c r="OBR30" s="7"/>
      <c r="OBS30" s="7"/>
      <c r="OBT30" s="7"/>
      <c r="OBU30" s="7"/>
      <c r="OBV30" s="7"/>
      <c r="OBW30" s="7"/>
      <c r="OBX30" s="7"/>
      <c r="OBY30" s="7"/>
      <c r="OBZ30" s="7"/>
      <c r="OCA30" s="7"/>
      <c r="OCB30" s="7"/>
      <c r="OCC30" s="7"/>
      <c r="OCD30" s="7"/>
      <c r="OCE30" s="7"/>
      <c r="OCF30" s="7"/>
      <c r="OCG30" s="7"/>
      <c r="OCH30" s="7"/>
      <c r="OCI30" s="7"/>
      <c r="OCJ30" s="7"/>
      <c r="OCK30" s="7"/>
      <c r="OCL30" s="7"/>
      <c r="OCM30" s="7"/>
      <c r="OCN30" s="7"/>
      <c r="OCO30" s="7"/>
      <c r="OCP30" s="7"/>
      <c r="OCQ30" s="7"/>
      <c r="OCR30" s="7"/>
      <c r="OCS30" s="7"/>
      <c r="OCT30" s="7"/>
      <c r="OCU30" s="7"/>
      <c r="OCV30" s="7"/>
      <c r="OCW30" s="7"/>
      <c r="OCX30" s="7"/>
      <c r="OCY30" s="7"/>
      <c r="OCZ30" s="7"/>
      <c r="ODA30" s="7"/>
      <c r="ODB30" s="7"/>
      <c r="ODC30" s="7"/>
      <c r="ODD30" s="7"/>
      <c r="ODE30" s="7"/>
      <c r="ODF30" s="7"/>
      <c r="ODG30" s="7"/>
      <c r="ODH30" s="7"/>
      <c r="ODI30" s="7"/>
      <c r="ODJ30" s="7"/>
      <c r="ODK30" s="7"/>
      <c r="ODL30" s="7"/>
      <c r="ODM30" s="7"/>
      <c r="ODN30" s="7"/>
      <c r="ODO30" s="7"/>
      <c r="ODP30" s="7"/>
      <c r="ODQ30" s="7"/>
      <c r="ODR30" s="7"/>
      <c r="ODS30" s="7"/>
      <c r="ODT30" s="7"/>
      <c r="ODU30" s="7"/>
      <c r="ODV30" s="7"/>
      <c r="ODW30" s="7"/>
      <c r="ODX30" s="7"/>
      <c r="ODY30" s="7"/>
      <c r="ODZ30" s="7"/>
      <c r="OEA30" s="7"/>
      <c r="OEB30" s="7"/>
      <c r="OEC30" s="7"/>
      <c r="OED30" s="7"/>
      <c r="OEE30" s="7"/>
      <c r="OEF30" s="7"/>
      <c r="OEG30" s="7"/>
      <c r="OEH30" s="7"/>
      <c r="OEI30" s="7"/>
      <c r="OEJ30" s="7"/>
      <c r="OEK30" s="7"/>
      <c r="OEL30" s="7"/>
      <c r="OEM30" s="7"/>
      <c r="OEN30" s="7"/>
      <c r="OEO30" s="7"/>
      <c r="OEP30" s="7"/>
      <c r="OEQ30" s="7"/>
      <c r="OER30" s="7"/>
      <c r="OES30" s="7"/>
      <c r="OET30" s="7"/>
      <c r="OEU30" s="7"/>
      <c r="OEV30" s="7"/>
      <c r="OEW30" s="7"/>
      <c r="OEX30" s="7"/>
      <c r="OEY30" s="7"/>
      <c r="OEZ30" s="7"/>
      <c r="OFA30" s="7"/>
      <c r="OFB30" s="7"/>
      <c r="OFC30" s="7"/>
      <c r="OFD30" s="7"/>
      <c r="OFE30" s="7"/>
      <c r="OFF30" s="7"/>
      <c r="OFG30" s="7"/>
      <c r="OFH30" s="7"/>
      <c r="OFI30" s="7"/>
      <c r="OFJ30" s="7"/>
      <c r="OFK30" s="7"/>
      <c r="OFL30" s="7"/>
      <c r="OFM30" s="7"/>
      <c r="OFN30" s="7"/>
      <c r="OFO30" s="7"/>
      <c r="OFP30" s="7"/>
      <c r="OFQ30" s="7"/>
      <c r="OFR30" s="7"/>
      <c r="OFS30" s="7"/>
      <c r="OFT30" s="7"/>
      <c r="OFU30" s="7"/>
      <c r="OFV30" s="7"/>
      <c r="OFW30" s="7"/>
      <c r="OFX30" s="7"/>
      <c r="OFY30" s="7"/>
      <c r="OFZ30" s="7"/>
      <c r="OGA30" s="7"/>
      <c r="OGB30" s="7"/>
      <c r="OGC30" s="7"/>
      <c r="OGD30" s="7"/>
      <c r="OGE30" s="7"/>
      <c r="OGF30" s="7"/>
      <c r="OGG30" s="7"/>
      <c r="OGH30" s="7"/>
      <c r="OGI30" s="7"/>
      <c r="OGJ30" s="7"/>
      <c r="OGK30" s="7"/>
      <c r="OGL30" s="7"/>
      <c r="OGM30" s="7"/>
      <c r="OGN30" s="7"/>
      <c r="OGO30" s="7"/>
      <c r="OGP30" s="7"/>
      <c r="OGQ30" s="7"/>
      <c r="OGR30" s="7"/>
      <c r="OGS30" s="7"/>
      <c r="OGT30" s="7"/>
      <c r="OGU30" s="7"/>
      <c r="OGV30" s="7"/>
      <c r="OGW30" s="7"/>
      <c r="OGX30" s="7"/>
      <c r="OGY30" s="7"/>
      <c r="OGZ30" s="7"/>
      <c r="OHA30" s="7"/>
      <c r="OHB30" s="7"/>
      <c r="OHC30" s="7"/>
      <c r="OHD30" s="7"/>
      <c r="OHE30" s="7"/>
      <c r="OHF30" s="7"/>
      <c r="OHG30" s="7"/>
      <c r="OHH30" s="7"/>
      <c r="OHI30" s="7"/>
      <c r="OHJ30" s="7"/>
      <c r="OHK30" s="7"/>
      <c r="OHL30" s="7"/>
      <c r="OHM30" s="7"/>
      <c r="OHN30" s="7"/>
      <c r="OHO30" s="7"/>
      <c r="OHP30" s="7"/>
      <c r="OHQ30" s="7"/>
      <c r="OHR30" s="7"/>
      <c r="OHS30" s="7"/>
      <c r="OHT30" s="7"/>
      <c r="OHU30" s="7"/>
      <c r="OHV30" s="7"/>
      <c r="OHW30" s="7"/>
      <c r="OHX30" s="7"/>
      <c r="OHY30" s="7"/>
      <c r="OHZ30" s="7"/>
      <c r="OIA30" s="7"/>
      <c r="OIB30" s="7"/>
      <c r="OIC30" s="7"/>
      <c r="OID30" s="7"/>
      <c r="OIE30" s="7"/>
      <c r="OIF30" s="7"/>
      <c r="OIG30" s="7"/>
      <c r="OIH30" s="7"/>
      <c r="OII30" s="7"/>
      <c r="OIJ30" s="7"/>
      <c r="OIK30" s="7"/>
      <c r="OIL30" s="7"/>
      <c r="OIM30" s="7"/>
      <c r="OIN30" s="7"/>
      <c r="OIO30" s="7"/>
      <c r="OIP30" s="7"/>
      <c r="OIQ30" s="7"/>
      <c r="OIR30" s="7"/>
      <c r="OIS30" s="7"/>
      <c r="OIT30" s="7"/>
      <c r="OIU30" s="7"/>
      <c r="OIV30" s="7"/>
      <c r="OIW30" s="7"/>
      <c r="OIX30" s="7"/>
      <c r="OIY30" s="7"/>
      <c r="OIZ30" s="7"/>
      <c r="OJA30" s="7"/>
      <c r="OJB30" s="7"/>
      <c r="OJC30" s="7"/>
      <c r="OJD30" s="7"/>
      <c r="OJE30" s="7"/>
      <c r="OJF30" s="7"/>
      <c r="OJG30" s="7"/>
      <c r="OJH30" s="7"/>
      <c r="OJI30" s="7"/>
      <c r="OJJ30" s="7"/>
      <c r="OJK30" s="7"/>
      <c r="OJL30" s="7"/>
      <c r="OJM30" s="7"/>
      <c r="OJN30" s="7"/>
      <c r="OJO30" s="7"/>
      <c r="OJP30" s="7"/>
      <c r="OJQ30" s="7"/>
      <c r="OJR30" s="7"/>
      <c r="OJS30" s="7"/>
      <c r="OJT30" s="7"/>
      <c r="OJU30" s="7"/>
      <c r="OJV30" s="7"/>
      <c r="OJW30" s="7"/>
      <c r="OJX30" s="7"/>
      <c r="OJY30" s="7"/>
      <c r="OJZ30" s="7"/>
      <c r="OKA30" s="7"/>
      <c r="OKB30" s="7"/>
      <c r="OKC30" s="7"/>
      <c r="OKD30" s="7"/>
      <c r="OKE30" s="7"/>
      <c r="OKF30" s="7"/>
      <c r="OKG30" s="7"/>
      <c r="OKH30" s="7"/>
      <c r="OKI30" s="7"/>
      <c r="OKJ30" s="7"/>
      <c r="OKK30" s="7"/>
      <c r="OKL30" s="7"/>
      <c r="OKM30" s="7"/>
      <c r="OKN30" s="7"/>
      <c r="OKO30" s="7"/>
      <c r="OKP30" s="7"/>
      <c r="OKQ30" s="7"/>
      <c r="OKR30" s="7"/>
      <c r="OKS30" s="7"/>
      <c r="OKT30" s="7"/>
      <c r="OKU30" s="7"/>
      <c r="OKV30" s="7"/>
      <c r="OKW30" s="7"/>
      <c r="OKX30" s="7"/>
      <c r="OKY30" s="7"/>
      <c r="OKZ30" s="7"/>
      <c r="OLA30" s="7"/>
      <c r="OLB30" s="7"/>
      <c r="OLC30" s="7"/>
      <c r="OLD30" s="7"/>
      <c r="OLE30" s="7"/>
      <c r="OLF30" s="7"/>
      <c r="OLG30" s="7"/>
      <c r="OLH30" s="7"/>
      <c r="OLI30" s="7"/>
      <c r="OLJ30" s="7"/>
      <c r="OLK30" s="7"/>
      <c r="OLL30" s="7"/>
      <c r="OLM30" s="7"/>
      <c r="OLN30" s="7"/>
      <c r="OLO30" s="7"/>
      <c r="OLP30" s="7"/>
      <c r="OLQ30" s="7"/>
      <c r="OLR30" s="7"/>
      <c r="OLS30" s="7"/>
      <c r="OLT30" s="7"/>
      <c r="OLU30" s="7"/>
      <c r="OLV30" s="7"/>
      <c r="OLW30" s="7"/>
      <c r="OLX30" s="7"/>
      <c r="OLY30" s="7"/>
      <c r="OLZ30" s="7"/>
      <c r="OMA30" s="7"/>
      <c r="OMB30" s="7"/>
      <c r="OMC30" s="7"/>
      <c r="OMD30" s="7"/>
      <c r="OME30" s="7"/>
      <c r="OMF30" s="7"/>
      <c r="OMG30" s="7"/>
      <c r="OMH30" s="7"/>
      <c r="OMI30" s="7"/>
      <c r="OMJ30" s="7"/>
      <c r="OMK30" s="7"/>
      <c r="OML30" s="7"/>
      <c r="OMM30" s="7"/>
      <c r="OMN30" s="7"/>
      <c r="OMO30" s="7"/>
      <c r="OMP30" s="7"/>
      <c r="OMQ30" s="7"/>
      <c r="OMR30" s="7"/>
      <c r="OMS30" s="7"/>
      <c r="OMT30" s="7"/>
      <c r="OMU30" s="7"/>
      <c r="OMV30" s="7"/>
      <c r="OMW30" s="7"/>
      <c r="OMX30" s="7"/>
      <c r="OMY30" s="7"/>
      <c r="OMZ30" s="7"/>
      <c r="ONA30" s="7"/>
      <c r="ONB30" s="7"/>
      <c r="ONC30" s="7"/>
      <c r="OND30" s="7"/>
      <c r="ONE30" s="7"/>
      <c r="ONF30" s="7"/>
      <c r="ONG30" s="7"/>
      <c r="ONH30" s="7"/>
      <c r="ONI30" s="7"/>
      <c r="ONJ30" s="7"/>
      <c r="ONK30" s="7"/>
      <c r="ONL30" s="7"/>
      <c r="ONM30" s="7"/>
      <c r="ONN30" s="7"/>
      <c r="ONO30" s="7"/>
      <c r="ONP30" s="7"/>
      <c r="ONQ30" s="7"/>
      <c r="ONR30" s="7"/>
      <c r="ONS30" s="7"/>
      <c r="ONT30" s="7"/>
      <c r="ONU30" s="7"/>
      <c r="ONV30" s="7"/>
      <c r="ONW30" s="7"/>
      <c r="ONX30" s="7"/>
      <c r="ONY30" s="7"/>
      <c r="ONZ30" s="7"/>
      <c r="OOA30" s="7"/>
      <c r="OOB30" s="7"/>
      <c r="OOC30" s="7"/>
      <c r="OOD30" s="7"/>
      <c r="OOE30" s="7"/>
      <c r="OOF30" s="7"/>
      <c r="OOG30" s="7"/>
      <c r="OOH30" s="7"/>
      <c r="OOI30" s="7"/>
      <c r="OOJ30" s="7"/>
      <c r="OOK30" s="7"/>
      <c r="OOL30" s="7"/>
      <c r="OOM30" s="7"/>
      <c r="OON30" s="7"/>
      <c r="OOO30" s="7"/>
      <c r="OOP30" s="7"/>
      <c r="OOQ30" s="7"/>
      <c r="OOR30" s="7"/>
      <c r="OOS30" s="7"/>
      <c r="OOT30" s="7"/>
      <c r="OOU30" s="7"/>
      <c r="OOV30" s="7"/>
      <c r="OOW30" s="7"/>
      <c r="OOX30" s="7"/>
      <c r="OOY30" s="7"/>
      <c r="OOZ30" s="7"/>
      <c r="OPA30" s="7"/>
      <c r="OPB30" s="7"/>
      <c r="OPC30" s="7"/>
      <c r="OPD30" s="7"/>
      <c r="OPE30" s="7"/>
      <c r="OPF30" s="7"/>
      <c r="OPG30" s="7"/>
      <c r="OPH30" s="7"/>
      <c r="OPI30" s="7"/>
      <c r="OPJ30" s="7"/>
      <c r="OPK30" s="7"/>
      <c r="OPL30" s="7"/>
      <c r="OPM30" s="7"/>
      <c r="OPN30" s="7"/>
      <c r="OPO30" s="7"/>
      <c r="OPP30" s="7"/>
      <c r="OPQ30" s="7"/>
      <c r="OPR30" s="7"/>
      <c r="OPS30" s="7"/>
      <c r="OPT30" s="7"/>
      <c r="OPU30" s="7"/>
      <c r="OPV30" s="7"/>
      <c r="OPW30" s="7"/>
      <c r="OPX30" s="7"/>
      <c r="OPY30" s="7"/>
      <c r="OPZ30" s="7"/>
      <c r="OQA30" s="7"/>
      <c r="OQB30" s="7"/>
      <c r="OQC30" s="7"/>
      <c r="OQD30" s="7"/>
      <c r="OQE30" s="7"/>
      <c r="OQF30" s="7"/>
      <c r="OQG30" s="7"/>
      <c r="OQH30" s="7"/>
      <c r="OQI30" s="7"/>
      <c r="OQJ30" s="7"/>
      <c r="OQK30" s="7"/>
      <c r="OQL30" s="7"/>
      <c r="OQM30" s="7"/>
      <c r="OQN30" s="7"/>
      <c r="OQO30" s="7"/>
      <c r="OQP30" s="7"/>
      <c r="OQQ30" s="7"/>
      <c r="OQR30" s="7"/>
      <c r="OQS30" s="7"/>
      <c r="OQT30" s="7"/>
      <c r="OQU30" s="7"/>
      <c r="OQV30" s="7"/>
      <c r="OQW30" s="7"/>
      <c r="OQX30" s="7"/>
      <c r="OQY30" s="7"/>
      <c r="OQZ30" s="7"/>
      <c r="ORA30" s="7"/>
      <c r="ORB30" s="7"/>
      <c r="ORC30" s="7"/>
      <c r="ORD30" s="7"/>
      <c r="ORE30" s="7"/>
      <c r="ORF30" s="7"/>
      <c r="ORG30" s="7"/>
      <c r="ORH30" s="7"/>
      <c r="ORI30" s="7"/>
      <c r="ORJ30" s="7"/>
      <c r="ORK30" s="7"/>
      <c r="ORL30" s="7"/>
      <c r="ORM30" s="7"/>
      <c r="ORN30" s="7"/>
      <c r="ORO30" s="7"/>
      <c r="ORP30" s="7"/>
      <c r="ORQ30" s="7"/>
      <c r="ORR30" s="7"/>
      <c r="ORS30" s="7"/>
      <c r="ORT30" s="7"/>
      <c r="ORU30" s="7"/>
      <c r="ORV30" s="7"/>
      <c r="ORW30" s="7"/>
      <c r="ORX30" s="7"/>
      <c r="ORY30" s="7"/>
      <c r="ORZ30" s="7"/>
      <c r="OSA30" s="7"/>
      <c r="OSB30" s="7"/>
      <c r="OSC30" s="7"/>
      <c r="OSD30" s="7"/>
      <c r="OSE30" s="7"/>
      <c r="OSF30" s="7"/>
      <c r="OSG30" s="7"/>
      <c r="OSH30" s="7"/>
      <c r="OSI30" s="7"/>
      <c r="OSJ30" s="7"/>
      <c r="OSK30" s="7"/>
      <c r="OSL30" s="7"/>
      <c r="OSM30" s="7"/>
      <c r="OSN30" s="7"/>
      <c r="OSO30" s="7"/>
      <c r="OSP30" s="7"/>
      <c r="OSQ30" s="7"/>
      <c r="OSR30" s="7"/>
      <c r="OSS30" s="7"/>
      <c r="OST30" s="7"/>
      <c r="OSU30" s="7"/>
      <c r="OSV30" s="7"/>
      <c r="OSW30" s="7"/>
      <c r="OSX30" s="7"/>
      <c r="OSY30" s="7"/>
      <c r="OSZ30" s="7"/>
      <c r="OTA30" s="7"/>
      <c r="OTB30" s="7"/>
      <c r="OTC30" s="7"/>
      <c r="OTD30" s="7"/>
      <c r="OTE30" s="7"/>
      <c r="OTF30" s="7"/>
      <c r="OTG30" s="7"/>
      <c r="OTH30" s="7"/>
      <c r="OTI30" s="7"/>
      <c r="OTJ30" s="7"/>
      <c r="OTK30" s="7"/>
      <c r="OTL30" s="7"/>
      <c r="OTM30" s="7"/>
      <c r="OTN30" s="7"/>
      <c r="OTO30" s="7"/>
      <c r="OTP30" s="7"/>
      <c r="OTQ30" s="7"/>
      <c r="OTR30" s="7"/>
      <c r="OTS30" s="7"/>
      <c r="OTT30" s="7"/>
      <c r="OTU30" s="7"/>
      <c r="OTV30" s="7"/>
      <c r="OTW30" s="7"/>
      <c r="OTX30" s="7"/>
      <c r="OTY30" s="7"/>
      <c r="OTZ30" s="7"/>
      <c r="OUA30" s="7"/>
      <c r="OUB30" s="7"/>
      <c r="OUC30" s="7"/>
      <c r="OUD30" s="7"/>
      <c r="OUE30" s="7"/>
      <c r="OUF30" s="7"/>
      <c r="OUG30" s="7"/>
      <c r="OUH30" s="7"/>
      <c r="OUI30" s="7"/>
      <c r="OUJ30" s="7"/>
      <c r="OUK30" s="7"/>
      <c r="OUL30" s="7"/>
      <c r="OUM30" s="7"/>
      <c r="OUN30" s="7"/>
      <c r="OUO30" s="7"/>
      <c r="OUP30" s="7"/>
      <c r="OUQ30" s="7"/>
      <c r="OUR30" s="7"/>
      <c r="OUS30" s="7"/>
      <c r="OUT30" s="7"/>
      <c r="OUU30" s="7"/>
      <c r="OUV30" s="7"/>
      <c r="OUW30" s="7"/>
      <c r="OUX30" s="7"/>
      <c r="OUY30" s="7"/>
      <c r="OUZ30" s="7"/>
      <c r="OVA30" s="7"/>
      <c r="OVB30" s="7"/>
      <c r="OVC30" s="7"/>
      <c r="OVD30" s="7"/>
      <c r="OVE30" s="7"/>
      <c r="OVF30" s="7"/>
      <c r="OVG30" s="7"/>
      <c r="OVH30" s="7"/>
      <c r="OVI30" s="7"/>
      <c r="OVJ30" s="7"/>
      <c r="OVK30" s="7"/>
      <c r="OVL30" s="7"/>
      <c r="OVM30" s="7"/>
      <c r="OVN30" s="7"/>
      <c r="OVO30" s="7"/>
      <c r="OVP30" s="7"/>
      <c r="OVQ30" s="7"/>
      <c r="OVR30" s="7"/>
      <c r="OVS30" s="7"/>
      <c r="OVT30" s="7"/>
      <c r="OVU30" s="7"/>
      <c r="OVV30" s="7"/>
      <c r="OVW30" s="7"/>
      <c r="OVX30" s="7"/>
      <c r="OVY30" s="7"/>
      <c r="OVZ30" s="7"/>
      <c r="OWA30" s="7"/>
      <c r="OWB30" s="7"/>
      <c r="OWC30" s="7"/>
      <c r="OWD30" s="7"/>
      <c r="OWE30" s="7"/>
      <c r="OWF30" s="7"/>
      <c r="OWG30" s="7"/>
      <c r="OWH30" s="7"/>
      <c r="OWI30" s="7"/>
      <c r="OWJ30" s="7"/>
      <c r="OWK30" s="7"/>
      <c r="OWL30" s="7"/>
      <c r="OWM30" s="7"/>
      <c r="OWN30" s="7"/>
      <c r="OWO30" s="7"/>
      <c r="OWP30" s="7"/>
      <c r="OWQ30" s="7"/>
      <c r="OWR30" s="7"/>
      <c r="OWS30" s="7"/>
      <c r="OWT30" s="7"/>
      <c r="OWU30" s="7"/>
      <c r="OWV30" s="7"/>
      <c r="OWW30" s="7"/>
      <c r="OWX30" s="7"/>
      <c r="OWY30" s="7"/>
      <c r="OWZ30" s="7"/>
      <c r="OXA30" s="7"/>
      <c r="OXB30" s="7"/>
      <c r="OXC30" s="7"/>
      <c r="OXD30" s="7"/>
      <c r="OXE30" s="7"/>
      <c r="OXF30" s="7"/>
      <c r="OXG30" s="7"/>
      <c r="OXH30" s="7"/>
      <c r="OXI30" s="7"/>
      <c r="OXJ30" s="7"/>
      <c r="OXK30" s="7"/>
      <c r="OXL30" s="7"/>
      <c r="OXM30" s="7"/>
      <c r="OXN30" s="7"/>
      <c r="OXO30" s="7"/>
      <c r="OXP30" s="7"/>
      <c r="OXQ30" s="7"/>
      <c r="OXR30" s="7"/>
      <c r="OXS30" s="7"/>
      <c r="OXT30" s="7"/>
      <c r="OXU30" s="7"/>
      <c r="OXV30" s="7"/>
      <c r="OXW30" s="7"/>
      <c r="OXX30" s="7"/>
      <c r="OXY30" s="7"/>
      <c r="OXZ30" s="7"/>
      <c r="OYA30" s="7"/>
      <c r="OYB30" s="7"/>
      <c r="OYC30" s="7"/>
      <c r="OYD30" s="7"/>
      <c r="OYE30" s="7"/>
      <c r="OYF30" s="7"/>
      <c r="OYG30" s="7"/>
      <c r="OYH30" s="7"/>
      <c r="OYI30" s="7"/>
      <c r="OYJ30" s="7"/>
      <c r="OYK30" s="7"/>
      <c r="OYL30" s="7"/>
      <c r="OYM30" s="7"/>
      <c r="OYN30" s="7"/>
      <c r="OYO30" s="7"/>
      <c r="OYP30" s="7"/>
      <c r="OYQ30" s="7"/>
      <c r="OYR30" s="7"/>
      <c r="OYS30" s="7"/>
      <c r="OYT30" s="7"/>
      <c r="OYU30" s="7"/>
      <c r="OYV30" s="7"/>
      <c r="OYW30" s="7"/>
      <c r="OYX30" s="7"/>
      <c r="OYY30" s="7"/>
      <c r="OYZ30" s="7"/>
      <c r="OZA30" s="7"/>
      <c r="OZB30" s="7"/>
      <c r="OZC30" s="7"/>
      <c r="OZD30" s="7"/>
      <c r="OZE30" s="7"/>
      <c r="OZF30" s="7"/>
      <c r="OZG30" s="7"/>
      <c r="OZH30" s="7"/>
      <c r="OZI30" s="7"/>
      <c r="OZJ30" s="7"/>
      <c r="OZK30" s="7"/>
      <c r="OZL30" s="7"/>
      <c r="OZM30" s="7"/>
      <c r="OZN30" s="7"/>
      <c r="OZO30" s="7"/>
      <c r="OZP30" s="7"/>
      <c r="OZQ30" s="7"/>
      <c r="OZR30" s="7"/>
      <c r="OZS30" s="7"/>
      <c r="OZT30" s="7"/>
      <c r="OZU30" s="7"/>
      <c r="OZV30" s="7"/>
      <c r="OZW30" s="7"/>
      <c r="OZX30" s="7"/>
      <c r="OZY30" s="7"/>
      <c r="OZZ30" s="7"/>
      <c r="PAA30" s="7"/>
      <c r="PAB30" s="7"/>
      <c r="PAC30" s="7"/>
      <c r="PAD30" s="7"/>
      <c r="PAE30" s="7"/>
      <c r="PAF30" s="7"/>
      <c r="PAG30" s="7"/>
      <c r="PAH30" s="7"/>
      <c r="PAI30" s="7"/>
      <c r="PAJ30" s="7"/>
      <c r="PAK30" s="7"/>
      <c r="PAL30" s="7"/>
      <c r="PAM30" s="7"/>
      <c r="PAN30" s="7"/>
      <c r="PAO30" s="7"/>
      <c r="PAP30" s="7"/>
      <c r="PAQ30" s="7"/>
      <c r="PAR30" s="7"/>
      <c r="PAS30" s="7"/>
      <c r="PAT30" s="7"/>
      <c r="PAU30" s="7"/>
      <c r="PAV30" s="7"/>
      <c r="PAW30" s="7"/>
      <c r="PAX30" s="7"/>
      <c r="PAY30" s="7"/>
      <c r="PAZ30" s="7"/>
      <c r="PBA30" s="7"/>
      <c r="PBB30" s="7"/>
      <c r="PBC30" s="7"/>
      <c r="PBD30" s="7"/>
      <c r="PBE30" s="7"/>
      <c r="PBF30" s="7"/>
      <c r="PBG30" s="7"/>
      <c r="PBH30" s="7"/>
      <c r="PBI30" s="7"/>
      <c r="PBJ30" s="7"/>
      <c r="PBK30" s="7"/>
      <c r="PBL30" s="7"/>
      <c r="PBM30" s="7"/>
      <c r="PBN30" s="7"/>
      <c r="PBO30" s="7"/>
      <c r="PBP30" s="7"/>
      <c r="PBQ30" s="7"/>
      <c r="PBR30" s="7"/>
      <c r="PBS30" s="7"/>
      <c r="PBT30" s="7"/>
      <c r="PBU30" s="7"/>
      <c r="PBV30" s="7"/>
      <c r="PBW30" s="7"/>
      <c r="PBX30" s="7"/>
      <c r="PBY30" s="7"/>
      <c r="PBZ30" s="7"/>
      <c r="PCA30" s="7"/>
      <c r="PCB30" s="7"/>
      <c r="PCC30" s="7"/>
      <c r="PCD30" s="7"/>
      <c r="PCE30" s="7"/>
      <c r="PCF30" s="7"/>
      <c r="PCG30" s="7"/>
      <c r="PCH30" s="7"/>
      <c r="PCI30" s="7"/>
      <c r="PCJ30" s="7"/>
      <c r="PCK30" s="7"/>
      <c r="PCL30" s="7"/>
      <c r="PCM30" s="7"/>
      <c r="PCN30" s="7"/>
      <c r="PCO30" s="7"/>
      <c r="PCP30" s="7"/>
      <c r="PCQ30" s="7"/>
      <c r="PCR30" s="7"/>
      <c r="PCS30" s="7"/>
      <c r="PCT30" s="7"/>
      <c r="PCU30" s="7"/>
      <c r="PCV30" s="7"/>
      <c r="PCW30" s="7"/>
      <c r="PCX30" s="7"/>
      <c r="PCY30" s="7"/>
      <c r="PCZ30" s="7"/>
      <c r="PDA30" s="7"/>
      <c r="PDB30" s="7"/>
      <c r="PDC30" s="7"/>
      <c r="PDD30" s="7"/>
      <c r="PDE30" s="7"/>
      <c r="PDF30" s="7"/>
      <c r="PDG30" s="7"/>
      <c r="PDH30" s="7"/>
      <c r="PDI30" s="7"/>
      <c r="PDJ30" s="7"/>
      <c r="PDK30" s="7"/>
      <c r="PDL30" s="7"/>
      <c r="PDM30" s="7"/>
      <c r="PDN30" s="7"/>
      <c r="PDO30" s="7"/>
      <c r="PDP30" s="7"/>
      <c r="PDQ30" s="7"/>
      <c r="PDR30" s="7"/>
      <c r="PDS30" s="7"/>
      <c r="PDT30" s="7"/>
      <c r="PDU30" s="7"/>
      <c r="PDV30" s="7"/>
      <c r="PDW30" s="7"/>
      <c r="PDX30" s="7"/>
      <c r="PDY30" s="7"/>
      <c r="PDZ30" s="7"/>
      <c r="PEA30" s="7"/>
      <c r="PEB30" s="7"/>
      <c r="PEC30" s="7"/>
      <c r="PED30" s="7"/>
      <c r="PEE30" s="7"/>
      <c r="PEF30" s="7"/>
      <c r="PEG30" s="7"/>
      <c r="PEH30" s="7"/>
      <c r="PEI30" s="7"/>
      <c r="PEJ30" s="7"/>
      <c r="PEK30" s="7"/>
      <c r="PEL30" s="7"/>
      <c r="PEM30" s="7"/>
      <c r="PEN30" s="7"/>
      <c r="PEO30" s="7"/>
      <c r="PEP30" s="7"/>
      <c r="PEQ30" s="7"/>
      <c r="PER30" s="7"/>
      <c r="PES30" s="7"/>
      <c r="PET30" s="7"/>
      <c r="PEU30" s="7"/>
      <c r="PEV30" s="7"/>
      <c r="PEW30" s="7"/>
      <c r="PEX30" s="7"/>
      <c r="PEY30" s="7"/>
      <c r="PEZ30" s="7"/>
      <c r="PFA30" s="7"/>
      <c r="PFB30" s="7"/>
      <c r="PFC30" s="7"/>
      <c r="PFD30" s="7"/>
      <c r="PFE30" s="7"/>
      <c r="PFF30" s="7"/>
      <c r="PFG30" s="7"/>
      <c r="PFH30" s="7"/>
      <c r="PFI30" s="7"/>
      <c r="PFJ30" s="7"/>
      <c r="PFK30" s="7"/>
      <c r="PFL30" s="7"/>
      <c r="PFM30" s="7"/>
      <c r="PFN30" s="7"/>
      <c r="PFO30" s="7"/>
      <c r="PFP30" s="7"/>
      <c r="PFQ30" s="7"/>
      <c r="PFR30" s="7"/>
      <c r="PFS30" s="7"/>
      <c r="PFT30" s="7"/>
      <c r="PFU30" s="7"/>
      <c r="PFV30" s="7"/>
      <c r="PFW30" s="7"/>
      <c r="PFX30" s="7"/>
      <c r="PFY30" s="7"/>
      <c r="PFZ30" s="7"/>
      <c r="PGA30" s="7"/>
      <c r="PGB30" s="7"/>
      <c r="PGC30" s="7"/>
      <c r="PGD30" s="7"/>
      <c r="PGE30" s="7"/>
      <c r="PGF30" s="7"/>
      <c r="PGG30" s="7"/>
      <c r="PGH30" s="7"/>
      <c r="PGI30" s="7"/>
      <c r="PGJ30" s="7"/>
      <c r="PGK30" s="7"/>
      <c r="PGL30" s="7"/>
      <c r="PGM30" s="7"/>
      <c r="PGN30" s="7"/>
      <c r="PGO30" s="7"/>
      <c r="PGP30" s="7"/>
      <c r="PGQ30" s="7"/>
      <c r="PGR30" s="7"/>
      <c r="PGS30" s="7"/>
      <c r="PGT30" s="7"/>
      <c r="PGU30" s="7"/>
      <c r="PGV30" s="7"/>
      <c r="PGW30" s="7"/>
      <c r="PGX30" s="7"/>
      <c r="PGY30" s="7"/>
      <c r="PGZ30" s="7"/>
      <c r="PHA30" s="7"/>
      <c r="PHB30" s="7"/>
      <c r="PHC30" s="7"/>
      <c r="PHD30" s="7"/>
      <c r="PHE30" s="7"/>
      <c r="PHF30" s="7"/>
      <c r="PHG30" s="7"/>
      <c r="PHH30" s="7"/>
      <c r="PHI30" s="7"/>
      <c r="PHJ30" s="7"/>
      <c r="PHK30" s="7"/>
      <c r="PHL30" s="7"/>
      <c r="PHM30" s="7"/>
      <c r="PHN30" s="7"/>
      <c r="PHO30" s="7"/>
      <c r="PHP30" s="7"/>
      <c r="PHQ30" s="7"/>
      <c r="PHR30" s="7"/>
      <c r="PHS30" s="7"/>
      <c r="PHT30" s="7"/>
      <c r="PHU30" s="7"/>
      <c r="PHV30" s="7"/>
      <c r="PHW30" s="7"/>
      <c r="PHX30" s="7"/>
      <c r="PHY30" s="7"/>
      <c r="PHZ30" s="7"/>
      <c r="PIA30" s="7"/>
      <c r="PIB30" s="7"/>
      <c r="PIC30" s="7"/>
      <c r="PID30" s="7"/>
      <c r="PIE30" s="7"/>
      <c r="PIF30" s="7"/>
      <c r="PIG30" s="7"/>
      <c r="PIH30" s="7"/>
      <c r="PII30" s="7"/>
      <c r="PIJ30" s="7"/>
      <c r="PIK30" s="7"/>
      <c r="PIL30" s="7"/>
      <c r="PIM30" s="7"/>
      <c r="PIN30" s="7"/>
      <c r="PIO30" s="7"/>
      <c r="PIP30" s="7"/>
      <c r="PIQ30" s="7"/>
      <c r="PIR30" s="7"/>
      <c r="PIS30" s="7"/>
      <c r="PIT30" s="7"/>
      <c r="PIU30" s="7"/>
      <c r="PIV30" s="7"/>
      <c r="PIW30" s="7"/>
      <c r="PIX30" s="7"/>
      <c r="PIY30" s="7"/>
      <c r="PIZ30" s="7"/>
      <c r="PJA30" s="7"/>
      <c r="PJB30" s="7"/>
      <c r="PJC30" s="7"/>
      <c r="PJD30" s="7"/>
      <c r="PJE30" s="7"/>
      <c r="PJF30" s="7"/>
      <c r="PJG30" s="7"/>
      <c r="PJH30" s="7"/>
      <c r="PJI30" s="7"/>
      <c r="PJJ30" s="7"/>
      <c r="PJK30" s="7"/>
      <c r="PJL30" s="7"/>
      <c r="PJM30" s="7"/>
      <c r="PJN30" s="7"/>
      <c r="PJO30" s="7"/>
      <c r="PJP30" s="7"/>
      <c r="PJQ30" s="7"/>
      <c r="PJR30" s="7"/>
      <c r="PJS30" s="7"/>
      <c r="PJT30" s="7"/>
      <c r="PJU30" s="7"/>
      <c r="PJV30" s="7"/>
      <c r="PJW30" s="7"/>
      <c r="PJX30" s="7"/>
      <c r="PJY30" s="7"/>
      <c r="PJZ30" s="7"/>
      <c r="PKA30" s="7"/>
      <c r="PKB30" s="7"/>
      <c r="PKC30" s="7"/>
      <c r="PKD30" s="7"/>
      <c r="PKE30" s="7"/>
      <c r="PKF30" s="7"/>
      <c r="PKG30" s="7"/>
      <c r="PKH30" s="7"/>
      <c r="PKI30" s="7"/>
      <c r="PKJ30" s="7"/>
      <c r="PKK30" s="7"/>
      <c r="PKL30" s="7"/>
      <c r="PKM30" s="7"/>
      <c r="PKN30" s="7"/>
      <c r="PKO30" s="7"/>
      <c r="PKP30" s="7"/>
      <c r="PKQ30" s="7"/>
      <c r="PKR30" s="7"/>
      <c r="PKS30" s="7"/>
      <c r="PKT30" s="7"/>
      <c r="PKU30" s="7"/>
      <c r="PKV30" s="7"/>
      <c r="PKW30" s="7"/>
      <c r="PKX30" s="7"/>
      <c r="PKY30" s="7"/>
      <c r="PKZ30" s="7"/>
      <c r="PLA30" s="7"/>
      <c r="PLB30" s="7"/>
      <c r="PLC30" s="7"/>
      <c r="PLD30" s="7"/>
      <c r="PLE30" s="7"/>
      <c r="PLF30" s="7"/>
      <c r="PLG30" s="7"/>
      <c r="PLH30" s="7"/>
      <c r="PLI30" s="7"/>
      <c r="PLJ30" s="7"/>
      <c r="PLK30" s="7"/>
      <c r="PLL30" s="7"/>
      <c r="PLM30" s="7"/>
      <c r="PLN30" s="7"/>
      <c r="PLO30" s="7"/>
      <c r="PLP30" s="7"/>
      <c r="PLQ30" s="7"/>
      <c r="PLR30" s="7"/>
      <c r="PLS30" s="7"/>
      <c r="PLT30" s="7"/>
      <c r="PLU30" s="7"/>
      <c r="PLV30" s="7"/>
      <c r="PLW30" s="7"/>
      <c r="PLX30" s="7"/>
      <c r="PLY30" s="7"/>
      <c r="PLZ30" s="7"/>
      <c r="PMA30" s="7"/>
      <c r="PMB30" s="7"/>
      <c r="PMC30" s="7"/>
      <c r="PMD30" s="7"/>
      <c r="PME30" s="7"/>
      <c r="PMF30" s="7"/>
      <c r="PMG30" s="7"/>
      <c r="PMH30" s="7"/>
      <c r="PMI30" s="7"/>
      <c r="PMJ30" s="7"/>
      <c r="PMK30" s="7"/>
      <c r="PML30" s="7"/>
      <c r="PMM30" s="7"/>
      <c r="PMN30" s="7"/>
      <c r="PMO30" s="7"/>
      <c r="PMP30" s="7"/>
      <c r="PMQ30" s="7"/>
      <c r="PMR30" s="7"/>
      <c r="PMS30" s="7"/>
      <c r="PMT30" s="7"/>
      <c r="PMU30" s="7"/>
      <c r="PMV30" s="7"/>
      <c r="PMW30" s="7"/>
      <c r="PMX30" s="7"/>
      <c r="PMY30" s="7"/>
      <c r="PMZ30" s="7"/>
      <c r="PNA30" s="7"/>
      <c r="PNB30" s="7"/>
      <c r="PNC30" s="7"/>
      <c r="PND30" s="7"/>
      <c r="PNE30" s="7"/>
      <c r="PNF30" s="7"/>
      <c r="PNG30" s="7"/>
      <c r="PNH30" s="7"/>
      <c r="PNI30" s="7"/>
      <c r="PNJ30" s="7"/>
      <c r="PNK30" s="7"/>
      <c r="PNL30" s="7"/>
      <c r="PNM30" s="7"/>
      <c r="PNN30" s="7"/>
      <c r="PNO30" s="7"/>
      <c r="PNP30" s="7"/>
      <c r="PNQ30" s="7"/>
      <c r="PNR30" s="7"/>
      <c r="PNS30" s="7"/>
      <c r="PNT30" s="7"/>
      <c r="PNU30" s="7"/>
      <c r="PNV30" s="7"/>
      <c r="PNW30" s="7"/>
      <c r="PNX30" s="7"/>
      <c r="PNY30" s="7"/>
      <c r="PNZ30" s="7"/>
      <c r="POA30" s="7"/>
      <c r="POB30" s="7"/>
      <c r="POC30" s="7"/>
      <c r="POD30" s="7"/>
      <c r="POE30" s="7"/>
      <c r="POF30" s="7"/>
      <c r="POG30" s="7"/>
      <c r="POH30" s="7"/>
      <c r="POI30" s="7"/>
      <c r="POJ30" s="7"/>
      <c r="POK30" s="7"/>
      <c r="POL30" s="7"/>
      <c r="POM30" s="7"/>
      <c r="PON30" s="7"/>
      <c r="POO30" s="7"/>
      <c r="POP30" s="7"/>
      <c r="POQ30" s="7"/>
      <c r="POR30" s="7"/>
      <c r="POS30" s="7"/>
      <c r="POT30" s="7"/>
      <c r="POU30" s="7"/>
      <c r="POV30" s="7"/>
      <c r="POW30" s="7"/>
      <c r="POX30" s="7"/>
      <c r="POY30" s="7"/>
      <c r="POZ30" s="7"/>
      <c r="PPA30" s="7"/>
      <c r="PPB30" s="7"/>
      <c r="PPC30" s="7"/>
      <c r="PPD30" s="7"/>
      <c r="PPE30" s="7"/>
      <c r="PPF30" s="7"/>
      <c r="PPG30" s="7"/>
      <c r="PPH30" s="7"/>
      <c r="PPI30" s="7"/>
      <c r="PPJ30" s="7"/>
      <c r="PPK30" s="7"/>
      <c r="PPL30" s="7"/>
      <c r="PPM30" s="7"/>
      <c r="PPN30" s="7"/>
      <c r="PPO30" s="7"/>
      <c r="PPP30" s="7"/>
      <c r="PPQ30" s="7"/>
      <c r="PPR30" s="7"/>
      <c r="PPS30" s="7"/>
      <c r="PPT30" s="7"/>
      <c r="PPU30" s="7"/>
      <c r="PPV30" s="7"/>
      <c r="PPW30" s="7"/>
      <c r="PPX30" s="7"/>
      <c r="PPY30" s="7"/>
      <c r="PPZ30" s="7"/>
      <c r="PQA30" s="7"/>
      <c r="PQB30" s="7"/>
      <c r="PQC30" s="7"/>
      <c r="PQD30" s="7"/>
      <c r="PQE30" s="7"/>
      <c r="PQF30" s="7"/>
      <c r="PQG30" s="7"/>
      <c r="PQH30" s="7"/>
      <c r="PQI30" s="7"/>
      <c r="PQJ30" s="7"/>
      <c r="PQK30" s="7"/>
      <c r="PQL30" s="7"/>
      <c r="PQM30" s="7"/>
      <c r="PQN30" s="7"/>
      <c r="PQO30" s="7"/>
      <c r="PQP30" s="7"/>
      <c r="PQQ30" s="7"/>
      <c r="PQR30" s="7"/>
      <c r="PQS30" s="7"/>
      <c r="PQT30" s="7"/>
      <c r="PQU30" s="7"/>
      <c r="PQV30" s="7"/>
      <c r="PQW30" s="7"/>
      <c r="PQX30" s="7"/>
      <c r="PQY30" s="7"/>
      <c r="PQZ30" s="7"/>
      <c r="PRA30" s="7"/>
      <c r="PRB30" s="7"/>
      <c r="PRC30" s="7"/>
      <c r="PRD30" s="7"/>
      <c r="PRE30" s="7"/>
      <c r="PRF30" s="7"/>
      <c r="PRG30" s="7"/>
      <c r="PRH30" s="7"/>
      <c r="PRI30" s="7"/>
      <c r="PRJ30" s="7"/>
      <c r="PRK30" s="7"/>
      <c r="PRL30" s="7"/>
      <c r="PRM30" s="7"/>
      <c r="PRN30" s="7"/>
      <c r="PRO30" s="7"/>
      <c r="PRP30" s="7"/>
      <c r="PRQ30" s="7"/>
      <c r="PRR30" s="7"/>
      <c r="PRS30" s="7"/>
      <c r="PRT30" s="7"/>
      <c r="PRU30" s="7"/>
      <c r="PRV30" s="7"/>
      <c r="PRW30" s="7"/>
      <c r="PRX30" s="7"/>
      <c r="PRY30" s="7"/>
      <c r="PRZ30" s="7"/>
      <c r="PSA30" s="7"/>
      <c r="PSB30" s="7"/>
      <c r="PSC30" s="7"/>
      <c r="PSD30" s="7"/>
      <c r="PSE30" s="7"/>
      <c r="PSF30" s="7"/>
      <c r="PSG30" s="7"/>
      <c r="PSH30" s="7"/>
      <c r="PSI30" s="7"/>
      <c r="PSJ30" s="7"/>
      <c r="PSK30" s="7"/>
      <c r="PSL30" s="7"/>
      <c r="PSM30" s="7"/>
      <c r="PSN30" s="7"/>
      <c r="PSO30" s="7"/>
      <c r="PSP30" s="7"/>
      <c r="PSQ30" s="7"/>
      <c r="PSR30" s="7"/>
      <c r="PSS30" s="7"/>
      <c r="PST30" s="7"/>
      <c r="PSU30" s="7"/>
      <c r="PSV30" s="7"/>
      <c r="PSW30" s="7"/>
      <c r="PSX30" s="7"/>
      <c r="PSY30" s="7"/>
      <c r="PSZ30" s="7"/>
      <c r="PTA30" s="7"/>
      <c r="PTB30" s="7"/>
      <c r="PTC30" s="7"/>
      <c r="PTD30" s="7"/>
      <c r="PTE30" s="7"/>
      <c r="PTF30" s="7"/>
      <c r="PTG30" s="7"/>
      <c r="PTH30" s="7"/>
      <c r="PTI30" s="7"/>
      <c r="PTJ30" s="7"/>
      <c r="PTK30" s="7"/>
      <c r="PTL30" s="7"/>
      <c r="PTM30" s="7"/>
      <c r="PTN30" s="7"/>
      <c r="PTO30" s="7"/>
      <c r="PTP30" s="7"/>
      <c r="PTQ30" s="7"/>
      <c r="PTR30" s="7"/>
      <c r="PTS30" s="7"/>
      <c r="PTT30" s="7"/>
      <c r="PTU30" s="7"/>
      <c r="PTV30" s="7"/>
      <c r="PTW30" s="7"/>
      <c r="PTX30" s="7"/>
      <c r="PTY30" s="7"/>
      <c r="PTZ30" s="7"/>
      <c r="PUA30" s="7"/>
      <c r="PUB30" s="7"/>
      <c r="PUC30" s="7"/>
      <c r="PUD30" s="7"/>
      <c r="PUE30" s="7"/>
      <c r="PUF30" s="7"/>
      <c r="PUG30" s="7"/>
      <c r="PUH30" s="7"/>
      <c r="PUI30" s="7"/>
      <c r="PUJ30" s="7"/>
      <c r="PUK30" s="7"/>
      <c r="PUL30" s="7"/>
      <c r="PUM30" s="7"/>
      <c r="PUN30" s="7"/>
      <c r="PUO30" s="7"/>
      <c r="PUP30" s="7"/>
      <c r="PUQ30" s="7"/>
      <c r="PUR30" s="7"/>
      <c r="PUS30" s="7"/>
      <c r="PUT30" s="7"/>
      <c r="PUU30" s="7"/>
      <c r="PUV30" s="7"/>
      <c r="PUW30" s="7"/>
      <c r="PUX30" s="7"/>
      <c r="PUY30" s="7"/>
      <c r="PUZ30" s="7"/>
      <c r="PVA30" s="7"/>
      <c r="PVB30" s="7"/>
      <c r="PVC30" s="7"/>
      <c r="PVD30" s="7"/>
      <c r="PVE30" s="7"/>
      <c r="PVF30" s="7"/>
      <c r="PVG30" s="7"/>
      <c r="PVH30" s="7"/>
      <c r="PVI30" s="7"/>
      <c r="PVJ30" s="7"/>
      <c r="PVK30" s="7"/>
      <c r="PVL30" s="7"/>
      <c r="PVM30" s="7"/>
      <c r="PVN30" s="7"/>
      <c r="PVO30" s="7"/>
      <c r="PVP30" s="7"/>
      <c r="PVQ30" s="7"/>
      <c r="PVR30" s="7"/>
      <c r="PVS30" s="7"/>
      <c r="PVT30" s="7"/>
      <c r="PVU30" s="7"/>
      <c r="PVV30" s="7"/>
      <c r="PVW30" s="7"/>
      <c r="PVX30" s="7"/>
      <c r="PVY30" s="7"/>
      <c r="PVZ30" s="7"/>
      <c r="PWA30" s="7"/>
      <c r="PWB30" s="7"/>
      <c r="PWC30" s="7"/>
      <c r="PWD30" s="7"/>
      <c r="PWE30" s="7"/>
      <c r="PWF30" s="7"/>
      <c r="PWG30" s="7"/>
      <c r="PWH30" s="7"/>
      <c r="PWI30" s="7"/>
      <c r="PWJ30" s="7"/>
      <c r="PWK30" s="7"/>
      <c r="PWL30" s="7"/>
      <c r="PWM30" s="7"/>
      <c r="PWN30" s="7"/>
      <c r="PWO30" s="7"/>
      <c r="PWP30" s="7"/>
      <c r="PWQ30" s="7"/>
      <c r="PWR30" s="7"/>
      <c r="PWS30" s="7"/>
      <c r="PWT30" s="7"/>
      <c r="PWU30" s="7"/>
      <c r="PWV30" s="7"/>
      <c r="PWW30" s="7"/>
      <c r="PWX30" s="7"/>
      <c r="PWY30" s="7"/>
      <c r="PWZ30" s="7"/>
      <c r="PXA30" s="7"/>
      <c r="PXB30" s="7"/>
      <c r="PXC30" s="7"/>
      <c r="PXD30" s="7"/>
      <c r="PXE30" s="7"/>
      <c r="PXF30" s="7"/>
      <c r="PXG30" s="7"/>
      <c r="PXH30" s="7"/>
      <c r="PXI30" s="7"/>
      <c r="PXJ30" s="7"/>
      <c r="PXK30" s="7"/>
      <c r="PXL30" s="7"/>
      <c r="PXM30" s="7"/>
      <c r="PXN30" s="7"/>
      <c r="PXO30" s="7"/>
      <c r="PXP30" s="7"/>
      <c r="PXQ30" s="7"/>
      <c r="PXR30" s="7"/>
      <c r="PXS30" s="7"/>
      <c r="PXT30" s="7"/>
      <c r="PXU30" s="7"/>
      <c r="PXV30" s="7"/>
      <c r="PXW30" s="7"/>
      <c r="PXX30" s="7"/>
      <c r="PXY30" s="7"/>
      <c r="PXZ30" s="7"/>
      <c r="PYA30" s="7"/>
      <c r="PYB30" s="7"/>
      <c r="PYC30" s="7"/>
      <c r="PYD30" s="7"/>
      <c r="PYE30" s="7"/>
      <c r="PYF30" s="7"/>
      <c r="PYG30" s="7"/>
      <c r="PYH30" s="7"/>
      <c r="PYI30" s="7"/>
      <c r="PYJ30" s="7"/>
      <c r="PYK30" s="7"/>
      <c r="PYL30" s="7"/>
      <c r="PYM30" s="7"/>
      <c r="PYN30" s="7"/>
      <c r="PYO30" s="7"/>
      <c r="PYP30" s="7"/>
      <c r="PYQ30" s="7"/>
      <c r="PYR30" s="7"/>
      <c r="PYS30" s="7"/>
      <c r="PYT30" s="7"/>
      <c r="PYU30" s="7"/>
      <c r="PYV30" s="7"/>
      <c r="PYW30" s="7"/>
      <c r="PYX30" s="7"/>
      <c r="PYY30" s="7"/>
      <c r="PYZ30" s="7"/>
      <c r="PZA30" s="7"/>
      <c r="PZB30" s="7"/>
      <c r="PZC30" s="7"/>
      <c r="PZD30" s="7"/>
      <c r="PZE30" s="7"/>
      <c r="PZF30" s="7"/>
      <c r="PZG30" s="7"/>
      <c r="PZH30" s="7"/>
      <c r="PZI30" s="7"/>
      <c r="PZJ30" s="7"/>
      <c r="PZK30" s="7"/>
      <c r="PZL30" s="7"/>
      <c r="PZM30" s="7"/>
      <c r="PZN30" s="7"/>
      <c r="PZO30" s="7"/>
      <c r="PZP30" s="7"/>
      <c r="PZQ30" s="7"/>
      <c r="PZR30" s="7"/>
      <c r="PZS30" s="7"/>
      <c r="PZT30" s="7"/>
      <c r="PZU30" s="7"/>
      <c r="PZV30" s="7"/>
      <c r="PZW30" s="7"/>
      <c r="PZX30" s="7"/>
      <c r="PZY30" s="7"/>
      <c r="PZZ30" s="7"/>
      <c r="QAA30" s="7"/>
      <c r="QAB30" s="7"/>
      <c r="QAC30" s="7"/>
      <c r="QAD30" s="7"/>
      <c r="QAE30" s="7"/>
      <c r="QAF30" s="7"/>
      <c r="QAG30" s="7"/>
      <c r="QAH30" s="7"/>
      <c r="QAI30" s="7"/>
      <c r="QAJ30" s="7"/>
      <c r="QAK30" s="7"/>
      <c r="QAL30" s="7"/>
      <c r="QAM30" s="7"/>
      <c r="QAN30" s="7"/>
      <c r="QAO30" s="7"/>
      <c r="QAP30" s="7"/>
      <c r="QAQ30" s="7"/>
      <c r="QAR30" s="7"/>
      <c r="QAS30" s="7"/>
      <c r="QAT30" s="7"/>
      <c r="QAU30" s="7"/>
      <c r="QAV30" s="7"/>
      <c r="QAW30" s="7"/>
      <c r="QAX30" s="7"/>
      <c r="QAY30" s="7"/>
      <c r="QAZ30" s="7"/>
      <c r="QBA30" s="7"/>
      <c r="QBB30" s="7"/>
      <c r="QBC30" s="7"/>
      <c r="QBD30" s="7"/>
      <c r="QBE30" s="7"/>
      <c r="QBF30" s="7"/>
      <c r="QBG30" s="7"/>
      <c r="QBH30" s="7"/>
      <c r="QBI30" s="7"/>
      <c r="QBJ30" s="7"/>
      <c r="QBK30" s="7"/>
      <c r="QBL30" s="7"/>
      <c r="QBM30" s="7"/>
      <c r="QBN30" s="7"/>
      <c r="QBO30" s="7"/>
      <c r="QBP30" s="7"/>
      <c r="QBQ30" s="7"/>
      <c r="QBR30" s="7"/>
      <c r="QBS30" s="7"/>
      <c r="QBT30" s="7"/>
      <c r="QBU30" s="7"/>
      <c r="QBV30" s="7"/>
      <c r="QBW30" s="7"/>
      <c r="QBX30" s="7"/>
      <c r="QBY30" s="7"/>
      <c r="QBZ30" s="7"/>
      <c r="QCA30" s="7"/>
      <c r="QCB30" s="7"/>
      <c r="QCC30" s="7"/>
      <c r="QCD30" s="7"/>
      <c r="QCE30" s="7"/>
      <c r="QCF30" s="7"/>
      <c r="QCG30" s="7"/>
      <c r="QCH30" s="7"/>
      <c r="QCI30" s="7"/>
      <c r="QCJ30" s="7"/>
      <c r="QCK30" s="7"/>
      <c r="QCL30" s="7"/>
      <c r="QCM30" s="7"/>
      <c r="QCN30" s="7"/>
      <c r="QCO30" s="7"/>
      <c r="QCP30" s="7"/>
      <c r="QCQ30" s="7"/>
      <c r="QCR30" s="7"/>
      <c r="QCS30" s="7"/>
      <c r="QCT30" s="7"/>
      <c r="QCU30" s="7"/>
      <c r="QCV30" s="7"/>
      <c r="QCW30" s="7"/>
      <c r="QCX30" s="7"/>
      <c r="QCY30" s="7"/>
      <c r="QCZ30" s="7"/>
      <c r="QDA30" s="7"/>
      <c r="QDB30" s="7"/>
      <c r="QDC30" s="7"/>
      <c r="QDD30" s="7"/>
      <c r="QDE30" s="7"/>
      <c r="QDF30" s="7"/>
      <c r="QDG30" s="7"/>
      <c r="QDH30" s="7"/>
      <c r="QDI30" s="7"/>
      <c r="QDJ30" s="7"/>
      <c r="QDK30" s="7"/>
      <c r="QDL30" s="7"/>
      <c r="QDM30" s="7"/>
      <c r="QDN30" s="7"/>
      <c r="QDO30" s="7"/>
      <c r="QDP30" s="7"/>
      <c r="QDQ30" s="7"/>
      <c r="QDR30" s="7"/>
      <c r="QDS30" s="7"/>
      <c r="QDT30" s="7"/>
      <c r="QDU30" s="7"/>
      <c r="QDV30" s="7"/>
      <c r="QDW30" s="7"/>
      <c r="QDX30" s="7"/>
      <c r="QDY30" s="7"/>
      <c r="QDZ30" s="7"/>
      <c r="QEA30" s="7"/>
      <c r="QEB30" s="7"/>
      <c r="QEC30" s="7"/>
      <c r="QED30" s="7"/>
      <c r="QEE30" s="7"/>
      <c r="QEF30" s="7"/>
      <c r="QEG30" s="7"/>
      <c r="QEH30" s="7"/>
      <c r="QEI30" s="7"/>
      <c r="QEJ30" s="7"/>
      <c r="QEK30" s="7"/>
      <c r="QEL30" s="7"/>
      <c r="QEM30" s="7"/>
      <c r="QEN30" s="7"/>
      <c r="QEO30" s="7"/>
      <c r="QEP30" s="7"/>
      <c r="QEQ30" s="7"/>
      <c r="QER30" s="7"/>
      <c r="QES30" s="7"/>
      <c r="QET30" s="7"/>
      <c r="QEU30" s="7"/>
      <c r="QEV30" s="7"/>
      <c r="QEW30" s="7"/>
      <c r="QEX30" s="7"/>
      <c r="QEY30" s="7"/>
      <c r="QEZ30" s="7"/>
      <c r="QFA30" s="7"/>
      <c r="QFB30" s="7"/>
      <c r="QFC30" s="7"/>
      <c r="QFD30" s="7"/>
      <c r="QFE30" s="7"/>
      <c r="QFF30" s="7"/>
      <c r="QFG30" s="7"/>
      <c r="QFH30" s="7"/>
      <c r="QFI30" s="7"/>
      <c r="QFJ30" s="7"/>
      <c r="QFK30" s="7"/>
      <c r="QFL30" s="7"/>
      <c r="QFM30" s="7"/>
      <c r="QFN30" s="7"/>
      <c r="QFO30" s="7"/>
      <c r="QFP30" s="7"/>
      <c r="QFQ30" s="7"/>
      <c r="QFR30" s="7"/>
      <c r="QFS30" s="7"/>
      <c r="QFT30" s="7"/>
      <c r="QFU30" s="7"/>
      <c r="QFV30" s="7"/>
      <c r="QFW30" s="7"/>
      <c r="QFX30" s="7"/>
      <c r="QFY30" s="7"/>
      <c r="QFZ30" s="7"/>
      <c r="QGA30" s="7"/>
      <c r="QGB30" s="7"/>
      <c r="QGC30" s="7"/>
      <c r="QGD30" s="7"/>
      <c r="QGE30" s="7"/>
      <c r="QGF30" s="7"/>
      <c r="QGG30" s="7"/>
      <c r="QGH30" s="7"/>
      <c r="QGI30" s="7"/>
      <c r="QGJ30" s="7"/>
      <c r="QGK30" s="7"/>
      <c r="QGL30" s="7"/>
      <c r="QGM30" s="7"/>
      <c r="QGN30" s="7"/>
      <c r="QGO30" s="7"/>
      <c r="QGP30" s="7"/>
      <c r="QGQ30" s="7"/>
      <c r="QGR30" s="7"/>
      <c r="QGS30" s="7"/>
      <c r="QGT30" s="7"/>
      <c r="QGU30" s="7"/>
      <c r="QGV30" s="7"/>
      <c r="QGW30" s="7"/>
      <c r="QGX30" s="7"/>
      <c r="QGY30" s="7"/>
      <c r="QGZ30" s="7"/>
      <c r="QHA30" s="7"/>
      <c r="QHB30" s="7"/>
      <c r="QHC30" s="7"/>
      <c r="QHD30" s="7"/>
      <c r="QHE30" s="7"/>
      <c r="QHF30" s="7"/>
      <c r="QHG30" s="7"/>
      <c r="QHH30" s="7"/>
      <c r="QHI30" s="7"/>
      <c r="QHJ30" s="7"/>
      <c r="QHK30" s="7"/>
      <c r="QHL30" s="7"/>
      <c r="QHM30" s="7"/>
      <c r="QHN30" s="7"/>
      <c r="QHO30" s="7"/>
      <c r="QHP30" s="7"/>
      <c r="QHQ30" s="7"/>
      <c r="QHR30" s="7"/>
      <c r="QHS30" s="7"/>
      <c r="QHT30" s="7"/>
      <c r="QHU30" s="7"/>
      <c r="QHV30" s="7"/>
      <c r="QHW30" s="7"/>
      <c r="QHX30" s="7"/>
      <c r="QHY30" s="7"/>
      <c r="QHZ30" s="7"/>
      <c r="QIA30" s="7"/>
      <c r="QIB30" s="7"/>
      <c r="QIC30" s="7"/>
      <c r="QID30" s="7"/>
      <c r="QIE30" s="7"/>
      <c r="QIF30" s="7"/>
      <c r="QIG30" s="7"/>
      <c r="QIH30" s="7"/>
      <c r="QII30" s="7"/>
      <c r="QIJ30" s="7"/>
      <c r="QIK30" s="7"/>
      <c r="QIL30" s="7"/>
      <c r="QIM30" s="7"/>
      <c r="QIN30" s="7"/>
      <c r="QIO30" s="7"/>
      <c r="QIP30" s="7"/>
      <c r="QIQ30" s="7"/>
      <c r="QIR30" s="7"/>
      <c r="QIS30" s="7"/>
      <c r="QIT30" s="7"/>
      <c r="QIU30" s="7"/>
      <c r="QIV30" s="7"/>
      <c r="QIW30" s="7"/>
      <c r="QIX30" s="7"/>
      <c r="QIY30" s="7"/>
      <c r="QIZ30" s="7"/>
      <c r="QJA30" s="7"/>
      <c r="QJB30" s="7"/>
      <c r="QJC30" s="7"/>
      <c r="QJD30" s="7"/>
      <c r="QJE30" s="7"/>
      <c r="QJF30" s="7"/>
      <c r="QJG30" s="7"/>
      <c r="QJH30" s="7"/>
      <c r="QJI30" s="7"/>
      <c r="QJJ30" s="7"/>
      <c r="QJK30" s="7"/>
      <c r="QJL30" s="7"/>
      <c r="QJM30" s="7"/>
      <c r="QJN30" s="7"/>
      <c r="QJO30" s="7"/>
      <c r="QJP30" s="7"/>
      <c r="QJQ30" s="7"/>
      <c r="QJR30" s="7"/>
      <c r="QJS30" s="7"/>
      <c r="QJT30" s="7"/>
      <c r="QJU30" s="7"/>
      <c r="QJV30" s="7"/>
      <c r="QJW30" s="7"/>
      <c r="QJX30" s="7"/>
      <c r="QJY30" s="7"/>
      <c r="QJZ30" s="7"/>
      <c r="QKA30" s="7"/>
      <c r="QKB30" s="7"/>
      <c r="QKC30" s="7"/>
      <c r="QKD30" s="7"/>
      <c r="QKE30" s="7"/>
      <c r="QKF30" s="7"/>
      <c r="QKG30" s="7"/>
      <c r="QKH30" s="7"/>
      <c r="QKI30" s="7"/>
      <c r="QKJ30" s="7"/>
      <c r="QKK30" s="7"/>
      <c r="QKL30" s="7"/>
      <c r="QKM30" s="7"/>
      <c r="QKN30" s="7"/>
      <c r="QKO30" s="7"/>
      <c r="QKP30" s="7"/>
      <c r="QKQ30" s="7"/>
      <c r="QKR30" s="7"/>
      <c r="QKS30" s="7"/>
      <c r="QKT30" s="7"/>
      <c r="QKU30" s="7"/>
      <c r="QKV30" s="7"/>
      <c r="QKW30" s="7"/>
      <c r="QKX30" s="7"/>
      <c r="QKY30" s="7"/>
      <c r="QKZ30" s="7"/>
      <c r="QLA30" s="7"/>
      <c r="QLB30" s="7"/>
      <c r="QLC30" s="7"/>
      <c r="QLD30" s="7"/>
      <c r="QLE30" s="7"/>
      <c r="QLF30" s="7"/>
      <c r="QLG30" s="7"/>
      <c r="QLH30" s="7"/>
      <c r="QLI30" s="7"/>
      <c r="QLJ30" s="7"/>
      <c r="QLK30" s="7"/>
      <c r="QLL30" s="7"/>
      <c r="QLM30" s="7"/>
      <c r="QLN30" s="7"/>
      <c r="QLO30" s="7"/>
      <c r="QLP30" s="7"/>
      <c r="QLQ30" s="7"/>
      <c r="QLR30" s="7"/>
      <c r="QLS30" s="7"/>
      <c r="QLT30" s="7"/>
      <c r="QLU30" s="7"/>
      <c r="QLV30" s="7"/>
      <c r="QLW30" s="7"/>
      <c r="QLX30" s="7"/>
      <c r="QLY30" s="7"/>
      <c r="QLZ30" s="7"/>
      <c r="QMA30" s="7"/>
      <c r="QMB30" s="7"/>
      <c r="QMC30" s="7"/>
      <c r="QMD30" s="7"/>
      <c r="QME30" s="7"/>
      <c r="QMF30" s="7"/>
      <c r="QMG30" s="7"/>
      <c r="QMH30" s="7"/>
      <c r="QMI30" s="7"/>
      <c r="QMJ30" s="7"/>
      <c r="QMK30" s="7"/>
      <c r="QML30" s="7"/>
      <c r="QMM30" s="7"/>
      <c r="QMN30" s="7"/>
      <c r="QMO30" s="7"/>
      <c r="QMP30" s="7"/>
      <c r="QMQ30" s="7"/>
      <c r="QMR30" s="7"/>
      <c r="QMS30" s="7"/>
      <c r="QMT30" s="7"/>
      <c r="QMU30" s="7"/>
      <c r="QMV30" s="7"/>
      <c r="QMW30" s="7"/>
      <c r="QMX30" s="7"/>
      <c r="QMY30" s="7"/>
      <c r="QMZ30" s="7"/>
      <c r="QNA30" s="7"/>
      <c r="QNB30" s="7"/>
      <c r="QNC30" s="7"/>
      <c r="QND30" s="7"/>
      <c r="QNE30" s="7"/>
      <c r="QNF30" s="7"/>
      <c r="QNG30" s="7"/>
      <c r="QNH30" s="7"/>
      <c r="QNI30" s="7"/>
      <c r="QNJ30" s="7"/>
      <c r="QNK30" s="7"/>
      <c r="QNL30" s="7"/>
      <c r="QNM30" s="7"/>
      <c r="QNN30" s="7"/>
      <c r="QNO30" s="7"/>
      <c r="QNP30" s="7"/>
      <c r="QNQ30" s="7"/>
      <c r="QNR30" s="7"/>
      <c r="QNS30" s="7"/>
      <c r="QNT30" s="7"/>
      <c r="QNU30" s="7"/>
      <c r="QNV30" s="7"/>
      <c r="QNW30" s="7"/>
      <c r="QNX30" s="7"/>
      <c r="QNY30" s="7"/>
      <c r="QNZ30" s="7"/>
      <c r="QOA30" s="7"/>
      <c r="QOB30" s="7"/>
      <c r="QOC30" s="7"/>
      <c r="QOD30" s="7"/>
      <c r="QOE30" s="7"/>
      <c r="QOF30" s="7"/>
      <c r="QOG30" s="7"/>
      <c r="QOH30" s="7"/>
      <c r="QOI30" s="7"/>
      <c r="QOJ30" s="7"/>
      <c r="QOK30" s="7"/>
      <c r="QOL30" s="7"/>
      <c r="QOM30" s="7"/>
      <c r="QON30" s="7"/>
      <c r="QOO30" s="7"/>
      <c r="QOP30" s="7"/>
      <c r="QOQ30" s="7"/>
      <c r="QOR30" s="7"/>
      <c r="QOS30" s="7"/>
      <c r="QOT30" s="7"/>
      <c r="QOU30" s="7"/>
      <c r="QOV30" s="7"/>
      <c r="QOW30" s="7"/>
      <c r="QOX30" s="7"/>
      <c r="QOY30" s="7"/>
      <c r="QOZ30" s="7"/>
      <c r="QPA30" s="7"/>
      <c r="QPB30" s="7"/>
      <c r="QPC30" s="7"/>
      <c r="QPD30" s="7"/>
      <c r="QPE30" s="7"/>
      <c r="QPF30" s="7"/>
      <c r="QPG30" s="7"/>
      <c r="QPH30" s="7"/>
      <c r="QPI30" s="7"/>
      <c r="QPJ30" s="7"/>
      <c r="QPK30" s="7"/>
      <c r="QPL30" s="7"/>
      <c r="QPM30" s="7"/>
      <c r="QPN30" s="7"/>
      <c r="QPO30" s="7"/>
      <c r="QPP30" s="7"/>
      <c r="QPQ30" s="7"/>
      <c r="QPR30" s="7"/>
      <c r="QPS30" s="7"/>
      <c r="QPT30" s="7"/>
      <c r="QPU30" s="7"/>
      <c r="QPV30" s="7"/>
      <c r="QPW30" s="7"/>
      <c r="QPX30" s="7"/>
      <c r="QPY30" s="7"/>
      <c r="QPZ30" s="7"/>
      <c r="QQA30" s="7"/>
      <c r="QQB30" s="7"/>
      <c r="QQC30" s="7"/>
      <c r="QQD30" s="7"/>
      <c r="QQE30" s="7"/>
      <c r="QQF30" s="7"/>
      <c r="QQG30" s="7"/>
      <c r="QQH30" s="7"/>
      <c r="QQI30" s="7"/>
      <c r="QQJ30" s="7"/>
      <c r="QQK30" s="7"/>
      <c r="QQL30" s="7"/>
      <c r="QQM30" s="7"/>
      <c r="QQN30" s="7"/>
      <c r="QQO30" s="7"/>
      <c r="QQP30" s="7"/>
      <c r="QQQ30" s="7"/>
      <c r="QQR30" s="7"/>
      <c r="QQS30" s="7"/>
      <c r="QQT30" s="7"/>
      <c r="QQU30" s="7"/>
      <c r="QQV30" s="7"/>
      <c r="QQW30" s="7"/>
      <c r="QQX30" s="7"/>
      <c r="QQY30" s="7"/>
      <c r="QQZ30" s="7"/>
      <c r="QRA30" s="7"/>
      <c r="QRB30" s="7"/>
      <c r="QRC30" s="7"/>
      <c r="QRD30" s="7"/>
      <c r="QRE30" s="7"/>
      <c r="QRF30" s="7"/>
      <c r="QRG30" s="7"/>
      <c r="QRH30" s="7"/>
      <c r="QRI30" s="7"/>
      <c r="QRJ30" s="7"/>
      <c r="QRK30" s="7"/>
      <c r="QRL30" s="7"/>
      <c r="QRM30" s="7"/>
      <c r="QRN30" s="7"/>
      <c r="QRO30" s="7"/>
      <c r="QRP30" s="7"/>
      <c r="QRQ30" s="7"/>
      <c r="QRR30" s="7"/>
      <c r="QRS30" s="7"/>
      <c r="QRT30" s="7"/>
      <c r="QRU30" s="7"/>
      <c r="QRV30" s="7"/>
      <c r="QRW30" s="7"/>
      <c r="QRX30" s="7"/>
      <c r="QRY30" s="7"/>
      <c r="QRZ30" s="7"/>
      <c r="QSA30" s="7"/>
      <c r="QSB30" s="7"/>
      <c r="QSC30" s="7"/>
      <c r="QSD30" s="7"/>
      <c r="QSE30" s="7"/>
      <c r="QSF30" s="7"/>
      <c r="QSG30" s="7"/>
      <c r="QSH30" s="7"/>
      <c r="QSI30" s="7"/>
      <c r="QSJ30" s="7"/>
      <c r="QSK30" s="7"/>
      <c r="QSL30" s="7"/>
      <c r="QSM30" s="7"/>
      <c r="QSN30" s="7"/>
      <c r="QSO30" s="7"/>
      <c r="QSP30" s="7"/>
      <c r="QSQ30" s="7"/>
      <c r="QSR30" s="7"/>
      <c r="QSS30" s="7"/>
      <c r="QST30" s="7"/>
      <c r="QSU30" s="7"/>
      <c r="QSV30" s="7"/>
      <c r="QSW30" s="7"/>
      <c r="QSX30" s="7"/>
      <c r="QSY30" s="7"/>
      <c r="QSZ30" s="7"/>
      <c r="QTA30" s="7"/>
      <c r="QTB30" s="7"/>
      <c r="QTC30" s="7"/>
      <c r="QTD30" s="7"/>
      <c r="QTE30" s="7"/>
      <c r="QTF30" s="7"/>
      <c r="QTG30" s="7"/>
      <c r="QTH30" s="7"/>
      <c r="QTI30" s="7"/>
      <c r="QTJ30" s="7"/>
      <c r="QTK30" s="7"/>
      <c r="QTL30" s="7"/>
      <c r="QTM30" s="7"/>
      <c r="QTN30" s="7"/>
      <c r="QTO30" s="7"/>
      <c r="QTP30" s="7"/>
      <c r="QTQ30" s="7"/>
      <c r="QTR30" s="7"/>
      <c r="QTS30" s="7"/>
      <c r="QTT30" s="7"/>
      <c r="QTU30" s="7"/>
      <c r="QTV30" s="7"/>
      <c r="QTW30" s="7"/>
      <c r="QTX30" s="7"/>
      <c r="QTY30" s="7"/>
      <c r="QTZ30" s="7"/>
      <c r="QUA30" s="7"/>
      <c r="QUB30" s="7"/>
      <c r="QUC30" s="7"/>
      <c r="QUD30" s="7"/>
      <c r="QUE30" s="7"/>
      <c r="QUF30" s="7"/>
      <c r="QUG30" s="7"/>
      <c r="QUH30" s="7"/>
      <c r="QUI30" s="7"/>
      <c r="QUJ30" s="7"/>
      <c r="QUK30" s="7"/>
      <c r="QUL30" s="7"/>
      <c r="QUM30" s="7"/>
      <c r="QUN30" s="7"/>
      <c r="QUO30" s="7"/>
      <c r="QUP30" s="7"/>
      <c r="QUQ30" s="7"/>
      <c r="QUR30" s="7"/>
      <c r="QUS30" s="7"/>
      <c r="QUT30" s="7"/>
      <c r="QUU30" s="7"/>
      <c r="QUV30" s="7"/>
      <c r="QUW30" s="7"/>
      <c r="QUX30" s="7"/>
      <c r="QUY30" s="7"/>
      <c r="QUZ30" s="7"/>
      <c r="QVA30" s="7"/>
      <c r="QVB30" s="7"/>
      <c r="QVC30" s="7"/>
      <c r="QVD30" s="7"/>
      <c r="QVE30" s="7"/>
      <c r="QVF30" s="7"/>
      <c r="QVG30" s="7"/>
      <c r="QVH30" s="7"/>
      <c r="QVI30" s="7"/>
      <c r="QVJ30" s="7"/>
      <c r="QVK30" s="7"/>
      <c r="QVL30" s="7"/>
      <c r="QVM30" s="7"/>
      <c r="QVN30" s="7"/>
      <c r="QVO30" s="7"/>
      <c r="QVP30" s="7"/>
      <c r="QVQ30" s="7"/>
      <c r="QVR30" s="7"/>
      <c r="QVS30" s="7"/>
      <c r="QVT30" s="7"/>
      <c r="QVU30" s="7"/>
      <c r="QVV30" s="7"/>
      <c r="QVW30" s="7"/>
      <c r="QVX30" s="7"/>
      <c r="QVY30" s="7"/>
      <c r="QVZ30" s="7"/>
      <c r="QWA30" s="7"/>
      <c r="QWB30" s="7"/>
      <c r="QWC30" s="7"/>
      <c r="QWD30" s="7"/>
      <c r="QWE30" s="7"/>
      <c r="QWF30" s="7"/>
      <c r="QWG30" s="7"/>
      <c r="QWH30" s="7"/>
      <c r="QWI30" s="7"/>
      <c r="QWJ30" s="7"/>
      <c r="QWK30" s="7"/>
      <c r="QWL30" s="7"/>
      <c r="QWM30" s="7"/>
      <c r="QWN30" s="7"/>
      <c r="QWO30" s="7"/>
      <c r="QWP30" s="7"/>
      <c r="QWQ30" s="7"/>
      <c r="QWR30" s="7"/>
      <c r="QWS30" s="7"/>
      <c r="QWT30" s="7"/>
      <c r="QWU30" s="7"/>
      <c r="QWV30" s="7"/>
      <c r="QWW30" s="7"/>
      <c r="QWX30" s="7"/>
      <c r="QWY30" s="7"/>
      <c r="QWZ30" s="7"/>
      <c r="QXA30" s="7"/>
      <c r="QXB30" s="7"/>
      <c r="QXC30" s="7"/>
      <c r="QXD30" s="7"/>
      <c r="QXE30" s="7"/>
      <c r="QXF30" s="7"/>
      <c r="QXG30" s="7"/>
      <c r="QXH30" s="7"/>
      <c r="QXI30" s="7"/>
      <c r="QXJ30" s="7"/>
      <c r="QXK30" s="7"/>
      <c r="QXL30" s="7"/>
      <c r="QXM30" s="7"/>
      <c r="QXN30" s="7"/>
      <c r="QXO30" s="7"/>
      <c r="QXP30" s="7"/>
      <c r="QXQ30" s="7"/>
      <c r="QXR30" s="7"/>
      <c r="QXS30" s="7"/>
      <c r="QXT30" s="7"/>
      <c r="QXU30" s="7"/>
      <c r="QXV30" s="7"/>
      <c r="QXW30" s="7"/>
      <c r="QXX30" s="7"/>
      <c r="QXY30" s="7"/>
      <c r="QXZ30" s="7"/>
      <c r="QYA30" s="7"/>
      <c r="QYB30" s="7"/>
      <c r="QYC30" s="7"/>
      <c r="QYD30" s="7"/>
      <c r="QYE30" s="7"/>
      <c r="QYF30" s="7"/>
      <c r="QYG30" s="7"/>
      <c r="QYH30" s="7"/>
      <c r="QYI30" s="7"/>
      <c r="QYJ30" s="7"/>
      <c r="QYK30" s="7"/>
      <c r="QYL30" s="7"/>
      <c r="QYM30" s="7"/>
      <c r="QYN30" s="7"/>
      <c r="QYO30" s="7"/>
      <c r="QYP30" s="7"/>
      <c r="QYQ30" s="7"/>
      <c r="QYR30" s="7"/>
      <c r="QYS30" s="7"/>
      <c r="QYT30" s="7"/>
      <c r="QYU30" s="7"/>
      <c r="QYV30" s="7"/>
      <c r="QYW30" s="7"/>
      <c r="QYX30" s="7"/>
      <c r="QYY30" s="7"/>
      <c r="QYZ30" s="7"/>
      <c r="QZA30" s="7"/>
      <c r="QZB30" s="7"/>
      <c r="QZC30" s="7"/>
      <c r="QZD30" s="7"/>
      <c r="QZE30" s="7"/>
      <c r="QZF30" s="7"/>
      <c r="QZG30" s="7"/>
      <c r="QZH30" s="7"/>
      <c r="QZI30" s="7"/>
      <c r="QZJ30" s="7"/>
      <c r="QZK30" s="7"/>
      <c r="QZL30" s="7"/>
      <c r="QZM30" s="7"/>
      <c r="QZN30" s="7"/>
      <c r="QZO30" s="7"/>
      <c r="QZP30" s="7"/>
      <c r="QZQ30" s="7"/>
      <c r="QZR30" s="7"/>
      <c r="QZS30" s="7"/>
      <c r="QZT30" s="7"/>
      <c r="QZU30" s="7"/>
      <c r="QZV30" s="7"/>
      <c r="QZW30" s="7"/>
      <c r="QZX30" s="7"/>
      <c r="QZY30" s="7"/>
      <c r="QZZ30" s="7"/>
      <c r="RAA30" s="7"/>
      <c r="RAB30" s="7"/>
      <c r="RAC30" s="7"/>
      <c r="RAD30" s="7"/>
      <c r="RAE30" s="7"/>
      <c r="RAF30" s="7"/>
      <c r="RAG30" s="7"/>
      <c r="RAH30" s="7"/>
      <c r="RAI30" s="7"/>
      <c r="RAJ30" s="7"/>
      <c r="RAK30" s="7"/>
      <c r="RAL30" s="7"/>
      <c r="RAM30" s="7"/>
      <c r="RAN30" s="7"/>
      <c r="RAO30" s="7"/>
      <c r="RAP30" s="7"/>
      <c r="RAQ30" s="7"/>
      <c r="RAR30" s="7"/>
      <c r="RAS30" s="7"/>
      <c r="RAT30" s="7"/>
      <c r="RAU30" s="7"/>
      <c r="RAV30" s="7"/>
      <c r="RAW30" s="7"/>
      <c r="RAX30" s="7"/>
      <c r="RAY30" s="7"/>
      <c r="RAZ30" s="7"/>
      <c r="RBA30" s="7"/>
      <c r="RBB30" s="7"/>
      <c r="RBC30" s="7"/>
      <c r="RBD30" s="7"/>
      <c r="RBE30" s="7"/>
      <c r="RBF30" s="7"/>
      <c r="RBG30" s="7"/>
      <c r="RBH30" s="7"/>
      <c r="RBI30" s="7"/>
      <c r="RBJ30" s="7"/>
      <c r="RBK30" s="7"/>
      <c r="RBL30" s="7"/>
      <c r="RBM30" s="7"/>
      <c r="RBN30" s="7"/>
      <c r="RBO30" s="7"/>
      <c r="RBP30" s="7"/>
      <c r="RBQ30" s="7"/>
      <c r="RBR30" s="7"/>
      <c r="RBS30" s="7"/>
      <c r="RBT30" s="7"/>
      <c r="RBU30" s="7"/>
      <c r="RBV30" s="7"/>
      <c r="RBW30" s="7"/>
      <c r="RBX30" s="7"/>
      <c r="RBY30" s="7"/>
      <c r="RBZ30" s="7"/>
      <c r="RCA30" s="7"/>
      <c r="RCB30" s="7"/>
      <c r="RCC30" s="7"/>
      <c r="RCD30" s="7"/>
      <c r="RCE30" s="7"/>
      <c r="RCF30" s="7"/>
      <c r="RCG30" s="7"/>
      <c r="RCH30" s="7"/>
      <c r="RCI30" s="7"/>
      <c r="RCJ30" s="7"/>
      <c r="RCK30" s="7"/>
      <c r="RCL30" s="7"/>
      <c r="RCM30" s="7"/>
      <c r="RCN30" s="7"/>
      <c r="RCO30" s="7"/>
      <c r="RCP30" s="7"/>
      <c r="RCQ30" s="7"/>
      <c r="RCR30" s="7"/>
      <c r="RCS30" s="7"/>
      <c r="RCT30" s="7"/>
      <c r="RCU30" s="7"/>
      <c r="RCV30" s="7"/>
      <c r="RCW30" s="7"/>
      <c r="RCX30" s="7"/>
      <c r="RCY30" s="7"/>
      <c r="RCZ30" s="7"/>
      <c r="RDA30" s="7"/>
      <c r="RDB30" s="7"/>
      <c r="RDC30" s="7"/>
      <c r="RDD30" s="7"/>
      <c r="RDE30" s="7"/>
      <c r="RDF30" s="7"/>
      <c r="RDG30" s="7"/>
      <c r="RDH30" s="7"/>
      <c r="RDI30" s="7"/>
      <c r="RDJ30" s="7"/>
      <c r="RDK30" s="7"/>
      <c r="RDL30" s="7"/>
      <c r="RDM30" s="7"/>
      <c r="RDN30" s="7"/>
      <c r="RDO30" s="7"/>
      <c r="RDP30" s="7"/>
      <c r="RDQ30" s="7"/>
      <c r="RDR30" s="7"/>
      <c r="RDS30" s="7"/>
      <c r="RDT30" s="7"/>
      <c r="RDU30" s="7"/>
      <c r="RDV30" s="7"/>
      <c r="RDW30" s="7"/>
      <c r="RDX30" s="7"/>
      <c r="RDY30" s="7"/>
      <c r="RDZ30" s="7"/>
      <c r="REA30" s="7"/>
      <c r="REB30" s="7"/>
      <c r="REC30" s="7"/>
      <c r="RED30" s="7"/>
      <c r="REE30" s="7"/>
      <c r="REF30" s="7"/>
      <c r="REG30" s="7"/>
      <c r="REH30" s="7"/>
      <c r="REI30" s="7"/>
      <c r="REJ30" s="7"/>
      <c r="REK30" s="7"/>
      <c r="REL30" s="7"/>
      <c r="REM30" s="7"/>
      <c r="REN30" s="7"/>
      <c r="REO30" s="7"/>
      <c r="REP30" s="7"/>
      <c r="REQ30" s="7"/>
      <c r="RER30" s="7"/>
      <c r="RES30" s="7"/>
      <c r="RET30" s="7"/>
      <c r="REU30" s="7"/>
      <c r="REV30" s="7"/>
      <c r="REW30" s="7"/>
      <c r="REX30" s="7"/>
      <c r="REY30" s="7"/>
      <c r="REZ30" s="7"/>
      <c r="RFA30" s="7"/>
      <c r="RFB30" s="7"/>
      <c r="RFC30" s="7"/>
      <c r="RFD30" s="7"/>
      <c r="RFE30" s="7"/>
      <c r="RFF30" s="7"/>
      <c r="RFG30" s="7"/>
      <c r="RFH30" s="7"/>
      <c r="RFI30" s="7"/>
      <c r="RFJ30" s="7"/>
      <c r="RFK30" s="7"/>
      <c r="RFL30" s="7"/>
      <c r="RFM30" s="7"/>
      <c r="RFN30" s="7"/>
      <c r="RFO30" s="7"/>
      <c r="RFP30" s="7"/>
      <c r="RFQ30" s="7"/>
      <c r="RFR30" s="7"/>
      <c r="RFS30" s="7"/>
      <c r="RFT30" s="7"/>
      <c r="RFU30" s="7"/>
      <c r="RFV30" s="7"/>
      <c r="RFW30" s="7"/>
      <c r="RFX30" s="7"/>
      <c r="RFY30" s="7"/>
      <c r="RFZ30" s="7"/>
      <c r="RGA30" s="7"/>
      <c r="RGB30" s="7"/>
      <c r="RGC30" s="7"/>
      <c r="RGD30" s="7"/>
      <c r="RGE30" s="7"/>
      <c r="RGF30" s="7"/>
      <c r="RGG30" s="7"/>
      <c r="RGH30" s="7"/>
      <c r="RGI30" s="7"/>
      <c r="RGJ30" s="7"/>
      <c r="RGK30" s="7"/>
      <c r="RGL30" s="7"/>
      <c r="RGM30" s="7"/>
      <c r="RGN30" s="7"/>
      <c r="RGO30" s="7"/>
      <c r="RGP30" s="7"/>
      <c r="RGQ30" s="7"/>
      <c r="RGR30" s="7"/>
      <c r="RGS30" s="7"/>
      <c r="RGT30" s="7"/>
      <c r="RGU30" s="7"/>
      <c r="RGV30" s="7"/>
      <c r="RGW30" s="7"/>
      <c r="RGX30" s="7"/>
      <c r="RGY30" s="7"/>
      <c r="RGZ30" s="7"/>
      <c r="RHA30" s="7"/>
      <c r="RHB30" s="7"/>
      <c r="RHC30" s="7"/>
      <c r="RHD30" s="7"/>
      <c r="RHE30" s="7"/>
      <c r="RHF30" s="7"/>
      <c r="RHG30" s="7"/>
      <c r="RHH30" s="7"/>
      <c r="RHI30" s="7"/>
      <c r="RHJ30" s="7"/>
      <c r="RHK30" s="7"/>
      <c r="RHL30" s="7"/>
      <c r="RHM30" s="7"/>
      <c r="RHN30" s="7"/>
      <c r="RHO30" s="7"/>
      <c r="RHP30" s="7"/>
      <c r="RHQ30" s="7"/>
      <c r="RHR30" s="7"/>
      <c r="RHS30" s="7"/>
      <c r="RHT30" s="7"/>
      <c r="RHU30" s="7"/>
      <c r="RHV30" s="7"/>
      <c r="RHW30" s="7"/>
      <c r="RHX30" s="7"/>
      <c r="RHY30" s="7"/>
      <c r="RHZ30" s="7"/>
      <c r="RIA30" s="7"/>
      <c r="RIB30" s="7"/>
      <c r="RIC30" s="7"/>
      <c r="RID30" s="7"/>
      <c r="RIE30" s="7"/>
      <c r="RIF30" s="7"/>
      <c r="RIG30" s="7"/>
      <c r="RIH30" s="7"/>
      <c r="RII30" s="7"/>
      <c r="RIJ30" s="7"/>
      <c r="RIK30" s="7"/>
      <c r="RIL30" s="7"/>
      <c r="RIM30" s="7"/>
      <c r="RIN30" s="7"/>
      <c r="RIO30" s="7"/>
      <c r="RIP30" s="7"/>
      <c r="RIQ30" s="7"/>
      <c r="RIR30" s="7"/>
      <c r="RIS30" s="7"/>
      <c r="RIT30" s="7"/>
      <c r="RIU30" s="7"/>
      <c r="RIV30" s="7"/>
      <c r="RIW30" s="7"/>
      <c r="RIX30" s="7"/>
      <c r="RIY30" s="7"/>
      <c r="RIZ30" s="7"/>
      <c r="RJA30" s="7"/>
      <c r="RJB30" s="7"/>
      <c r="RJC30" s="7"/>
      <c r="RJD30" s="7"/>
      <c r="RJE30" s="7"/>
      <c r="RJF30" s="7"/>
      <c r="RJG30" s="7"/>
      <c r="RJH30" s="7"/>
      <c r="RJI30" s="7"/>
      <c r="RJJ30" s="7"/>
      <c r="RJK30" s="7"/>
      <c r="RJL30" s="7"/>
      <c r="RJM30" s="7"/>
      <c r="RJN30" s="7"/>
      <c r="RJO30" s="7"/>
      <c r="RJP30" s="7"/>
      <c r="RJQ30" s="7"/>
      <c r="RJR30" s="7"/>
      <c r="RJS30" s="7"/>
      <c r="RJT30" s="7"/>
      <c r="RJU30" s="7"/>
      <c r="RJV30" s="7"/>
      <c r="RJW30" s="7"/>
      <c r="RJX30" s="7"/>
      <c r="RJY30" s="7"/>
      <c r="RJZ30" s="7"/>
      <c r="RKA30" s="7"/>
      <c r="RKB30" s="7"/>
      <c r="RKC30" s="7"/>
      <c r="RKD30" s="7"/>
      <c r="RKE30" s="7"/>
      <c r="RKF30" s="7"/>
      <c r="RKG30" s="7"/>
      <c r="RKH30" s="7"/>
      <c r="RKI30" s="7"/>
      <c r="RKJ30" s="7"/>
      <c r="RKK30" s="7"/>
      <c r="RKL30" s="7"/>
      <c r="RKM30" s="7"/>
      <c r="RKN30" s="7"/>
      <c r="RKO30" s="7"/>
      <c r="RKP30" s="7"/>
      <c r="RKQ30" s="7"/>
      <c r="RKR30" s="7"/>
      <c r="RKS30" s="7"/>
      <c r="RKT30" s="7"/>
      <c r="RKU30" s="7"/>
      <c r="RKV30" s="7"/>
      <c r="RKW30" s="7"/>
      <c r="RKX30" s="7"/>
      <c r="RKY30" s="7"/>
      <c r="RKZ30" s="7"/>
      <c r="RLA30" s="7"/>
      <c r="RLB30" s="7"/>
      <c r="RLC30" s="7"/>
      <c r="RLD30" s="7"/>
      <c r="RLE30" s="7"/>
      <c r="RLF30" s="7"/>
      <c r="RLG30" s="7"/>
      <c r="RLH30" s="7"/>
      <c r="RLI30" s="7"/>
      <c r="RLJ30" s="7"/>
      <c r="RLK30" s="7"/>
      <c r="RLL30" s="7"/>
      <c r="RLM30" s="7"/>
      <c r="RLN30" s="7"/>
      <c r="RLO30" s="7"/>
      <c r="RLP30" s="7"/>
      <c r="RLQ30" s="7"/>
      <c r="RLR30" s="7"/>
      <c r="RLS30" s="7"/>
      <c r="RLT30" s="7"/>
      <c r="RLU30" s="7"/>
      <c r="RLV30" s="7"/>
      <c r="RLW30" s="7"/>
      <c r="RLX30" s="7"/>
      <c r="RLY30" s="7"/>
      <c r="RLZ30" s="7"/>
      <c r="RMA30" s="7"/>
      <c r="RMB30" s="7"/>
      <c r="RMC30" s="7"/>
      <c r="RMD30" s="7"/>
      <c r="RME30" s="7"/>
      <c r="RMF30" s="7"/>
      <c r="RMG30" s="7"/>
      <c r="RMH30" s="7"/>
      <c r="RMI30" s="7"/>
      <c r="RMJ30" s="7"/>
      <c r="RMK30" s="7"/>
      <c r="RML30" s="7"/>
      <c r="RMM30" s="7"/>
      <c r="RMN30" s="7"/>
      <c r="RMO30" s="7"/>
      <c r="RMP30" s="7"/>
      <c r="RMQ30" s="7"/>
      <c r="RMR30" s="7"/>
      <c r="RMS30" s="7"/>
      <c r="RMT30" s="7"/>
      <c r="RMU30" s="7"/>
      <c r="RMV30" s="7"/>
      <c r="RMW30" s="7"/>
      <c r="RMX30" s="7"/>
      <c r="RMY30" s="7"/>
      <c r="RMZ30" s="7"/>
      <c r="RNA30" s="7"/>
      <c r="RNB30" s="7"/>
      <c r="RNC30" s="7"/>
      <c r="RND30" s="7"/>
      <c r="RNE30" s="7"/>
      <c r="RNF30" s="7"/>
      <c r="RNG30" s="7"/>
      <c r="RNH30" s="7"/>
      <c r="RNI30" s="7"/>
      <c r="RNJ30" s="7"/>
      <c r="RNK30" s="7"/>
      <c r="RNL30" s="7"/>
      <c r="RNM30" s="7"/>
      <c r="RNN30" s="7"/>
      <c r="RNO30" s="7"/>
      <c r="RNP30" s="7"/>
      <c r="RNQ30" s="7"/>
      <c r="RNR30" s="7"/>
      <c r="RNS30" s="7"/>
      <c r="RNT30" s="7"/>
      <c r="RNU30" s="7"/>
      <c r="RNV30" s="7"/>
      <c r="RNW30" s="7"/>
      <c r="RNX30" s="7"/>
      <c r="RNY30" s="7"/>
      <c r="RNZ30" s="7"/>
      <c r="ROA30" s="7"/>
      <c r="ROB30" s="7"/>
      <c r="ROC30" s="7"/>
      <c r="ROD30" s="7"/>
      <c r="ROE30" s="7"/>
      <c r="ROF30" s="7"/>
      <c r="ROG30" s="7"/>
      <c r="ROH30" s="7"/>
      <c r="ROI30" s="7"/>
      <c r="ROJ30" s="7"/>
      <c r="ROK30" s="7"/>
      <c r="ROL30" s="7"/>
      <c r="ROM30" s="7"/>
      <c r="RON30" s="7"/>
      <c r="ROO30" s="7"/>
      <c r="ROP30" s="7"/>
      <c r="ROQ30" s="7"/>
      <c r="ROR30" s="7"/>
      <c r="ROS30" s="7"/>
      <c r="ROT30" s="7"/>
      <c r="ROU30" s="7"/>
      <c r="ROV30" s="7"/>
      <c r="ROW30" s="7"/>
      <c r="ROX30" s="7"/>
      <c r="ROY30" s="7"/>
      <c r="ROZ30" s="7"/>
      <c r="RPA30" s="7"/>
      <c r="RPB30" s="7"/>
      <c r="RPC30" s="7"/>
      <c r="RPD30" s="7"/>
      <c r="RPE30" s="7"/>
      <c r="RPF30" s="7"/>
      <c r="RPG30" s="7"/>
      <c r="RPH30" s="7"/>
      <c r="RPI30" s="7"/>
      <c r="RPJ30" s="7"/>
      <c r="RPK30" s="7"/>
      <c r="RPL30" s="7"/>
      <c r="RPM30" s="7"/>
      <c r="RPN30" s="7"/>
      <c r="RPO30" s="7"/>
      <c r="RPP30" s="7"/>
      <c r="RPQ30" s="7"/>
      <c r="RPR30" s="7"/>
      <c r="RPS30" s="7"/>
      <c r="RPT30" s="7"/>
      <c r="RPU30" s="7"/>
      <c r="RPV30" s="7"/>
      <c r="RPW30" s="7"/>
      <c r="RPX30" s="7"/>
      <c r="RPY30" s="7"/>
      <c r="RPZ30" s="7"/>
      <c r="RQA30" s="7"/>
      <c r="RQB30" s="7"/>
      <c r="RQC30" s="7"/>
      <c r="RQD30" s="7"/>
      <c r="RQE30" s="7"/>
      <c r="RQF30" s="7"/>
      <c r="RQG30" s="7"/>
      <c r="RQH30" s="7"/>
      <c r="RQI30" s="7"/>
      <c r="RQJ30" s="7"/>
      <c r="RQK30" s="7"/>
      <c r="RQL30" s="7"/>
      <c r="RQM30" s="7"/>
      <c r="RQN30" s="7"/>
      <c r="RQO30" s="7"/>
      <c r="RQP30" s="7"/>
      <c r="RQQ30" s="7"/>
      <c r="RQR30" s="7"/>
      <c r="RQS30" s="7"/>
      <c r="RQT30" s="7"/>
      <c r="RQU30" s="7"/>
      <c r="RQV30" s="7"/>
      <c r="RQW30" s="7"/>
      <c r="RQX30" s="7"/>
      <c r="RQY30" s="7"/>
      <c r="RQZ30" s="7"/>
      <c r="RRA30" s="7"/>
      <c r="RRB30" s="7"/>
      <c r="RRC30" s="7"/>
      <c r="RRD30" s="7"/>
      <c r="RRE30" s="7"/>
      <c r="RRF30" s="7"/>
      <c r="RRG30" s="7"/>
      <c r="RRH30" s="7"/>
      <c r="RRI30" s="7"/>
      <c r="RRJ30" s="7"/>
      <c r="RRK30" s="7"/>
      <c r="RRL30" s="7"/>
      <c r="RRM30" s="7"/>
      <c r="RRN30" s="7"/>
      <c r="RRO30" s="7"/>
      <c r="RRP30" s="7"/>
      <c r="RRQ30" s="7"/>
      <c r="RRR30" s="7"/>
      <c r="RRS30" s="7"/>
      <c r="RRT30" s="7"/>
      <c r="RRU30" s="7"/>
      <c r="RRV30" s="7"/>
      <c r="RRW30" s="7"/>
      <c r="RRX30" s="7"/>
      <c r="RRY30" s="7"/>
      <c r="RRZ30" s="7"/>
      <c r="RSA30" s="7"/>
      <c r="RSB30" s="7"/>
      <c r="RSC30" s="7"/>
      <c r="RSD30" s="7"/>
      <c r="RSE30" s="7"/>
      <c r="RSF30" s="7"/>
      <c r="RSG30" s="7"/>
      <c r="RSH30" s="7"/>
      <c r="RSI30" s="7"/>
      <c r="RSJ30" s="7"/>
      <c r="RSK30" s="7"/>
      <c r="RSL30" s="7"/>
      <c r="RSM30" s="7"/>
      <c r="RSN30" s="7"/>
      <c r="RSO30" s="7"/>
      <c r="RSP30" s="7"/>
      <c r="RSQ30" s="7"/>
      <c r="RSR30" s="7"/>
      <c r="RSS30" s="7"/>
      <c r="RST30" s="7"/>
      <c r="RSU30" s="7"/>
      <c r="RSV30" s="7"/>
      <c r="RSW30" s="7"/>
      <c r="RSX30" s="7"/>
      <c r="RSY30" s="7"/>
      <c r="RSZ30" s="7"/>
      <c r="RTA30" s="7"/>
      <c r="RTB30" s="7"/>
      <c r="RTC30" s="7"/>
      <c r="RTD30" s="7"/>
      <c r="RTE30" s="7"/>
      <c r="RTF30" s="7"/>
      <c r="RTG30" s="7"/>
      <c r="RTH30" s="7"/>
      <c r="RTI30" s="7"/>
      <c r="RTJ30" s="7"/>
      <c r="RTK30" s="7"/>
      <c r="RTL30" s="7"/>
      <c r="RTM30" s="7"/>
      <c r="RTN30" s="7"/>
      <c r="RTO30" s="7"/>
      <c r="RTP30" s="7"/>
      <c r="RTQ30" s="7"/>
      <c r="RTR30" s="7"/>
      <c r="RTS30" s="7"/>
      <c r="RTT30" s="7"/>
      <c r="RTU30" s="7"/>
      <c r="RTV30" s="7"/>
      <c r="RTW30" s="7"/>
      <c r="RTX30" s="7"/>
      <c r="RTY30" s="7"/>
      <c r="RTZ30" s="7"/>
      <c r="RUA30" s="7"/>
      <c r="RUB30" s="7"/>
      <c r="RUC30" s="7"/>
      <c r="RUD30" s="7"/>
      <c r="RUE30" s="7"/>
      <c r="RUF30" s="7"/>
      <c r="RUG30" s="7"/>
      <c r="RUH30" s="7"/>
      <c r="RUI30" s="7"/>
      <c r="RUJ30" s="7"/>
      <c r="RUK30" s="7"/>
      <c r="RUL30" s="7"/>
      <c r="RUM30" s="7"/>
      <c r="RUN30" s="7"/>
      <c r="RUO30" s="7"/>
      <c r="RUP30" s="7"/>
      <c r="RUQ30" s="7"/>
      <c r="RUR30" s="7"/>
      <c r="RUS30" s="7"/>
      <c r="RUT30" s="7"/>
      <c r="RUU30" s="7"/>
      <c r="RUV30" s="7"/>
      <c r="RUW30" s="7"/>
      <c r="RUX30" s="7"/>
      <c r="RUY30" s="7"/>
      <c r="RUZ30" s="7"/>
      <c r="RVA30" s="7"/>
      <c r="RVB30" s="7"/>
      <c r="RVC30" s="7"/>
      <c r="RVD30" s="7"/>
      <c r="RVE30" s="7"/>
      <c r="RVF30" s="7"/>
      <c r="RVG30" s="7"/>
      <c r="RVH30" s="7"/>
      <c r="RVI30" s="7"/>
      <c r="RVJ30" s="7"/>
      <c r="RVK30" s="7"/>
      <c r="RVL30" s="7"/>
      <c r="RVM30" s="7"/>
      <c r="RVN30" s="7"/>
      <c r="RVO30" s="7"/>
      <c r="RVP30" s="7"/>
      <c r="RVQ30" s="7"/>
      <c r="RVR30" s="7"/>
      <c r="RVS30" s="7"/>
      <c r="RVT30" s="7"/>
      <c r="RVU30" s="7"/>
      <c r="RVV30" s="7"/>
      <c r="RVW30" s="7"/>
      <c r="RVX30" s="7"/>
      <c r="RVY30" s="7"/>
      <c r="RVZ30" s="7"/>
      <c r="RWA30" s="7"/>
      <c r="RWB30" s="7"/>
      <c r="RWC30" s="7"/>
      <c r="RWD30" s="7"/>
      <c r="RWE30" s="7"/>
      <c r="RWF30" s="7"/>
      <c r="RWG30" s="7"/>
      <c r="RWH30" s="7"/>
      <c r="RWI30" s="7"/>
      <c r="RWJ30" s="7"/>
      <c r="RWK30" s="7"/>
      <c r="RWL30" s="7"/>
      <c r="RWM30" s="7"/>
      <c r="RWN30" s="7"/>
      <c r="RWO30" s="7"/>
      <c r="RWP30" s="7"/>
      <c r="RWQ30" s="7"/>
      <c r="RWR30" s="7"/>
      <c r="RWS30" s="7"/>
      <c r="RWT30" s="7"/>
      <c r="RWU30" s="7"/>
      <c r="RWV30" s="7"/>
      <c r="RWW30" s="7"/>
      <c r="RWX30" s="7"/>
      <c r="RWY30" s="7"/>
      <c r="RWZ30" s="7"/>
      <c r="RXA30" s="7"/>
      <c r="RXB30" s="7"/>
      <c r="RXC30" s="7"/>
      <c r="RXD30" s="7"/>
      <c r="RXE30" s="7"/>
      <c r="RXF30" s="7"/>
      <c r="RXG30" s="7"/>
      <c r="RXH30" s="7"/>
      <c r="RXI30" s="7"/>
      <c r="RXJ30" s="7"/>
      <c r="RXK30" s="7"/>
      <c r="RXL30" s="7"/>
      <c r="RXM30" s="7"/>
      <c r="RXN30" s="7"/>
      <c r="RXO30" s="7"/>
      <c r="RXP30" s="7"/>
      <c r="RXQ30" s="7"/>
      <c r="RXR30" s="7"/>
      <c r="RXS30" s="7"/>
      <c r="RXT30" s="7"/>
      <c r="RXU30" s="7"/>
      <c r="RXV30" s="7"/>
      <c r="RXW30" s="7"/>
      <c r="RXX30" s="7"/>
      <c r="RXY30" s="7"/>
      <c r="RXZ30" s="7"/>
      <c r="RYA30" s="7"/>
      <c r="RYB30" s="7"/>
      <c r="RYC30" s="7"/>
      <c r="RYD30" s="7"/>
      <c r="RYE30" s="7"/>
      <c r="RYF30" s="7"/>
      <c r="RYG30" s="7"/>
      <c r="RYH30" s="7"/>
      <c r="RYI30" s="7"/>
      <c r="RYJ30" s="7"/>
      <c r="RYK30" s="7"/>
      <c r="RYL30" s="7"/>
      <c r="RYM30" s="7"/>
      <c r="RYN30" s="7"/>
      <c r="RYO30" s="7"/>
      <c r="RYP30" s="7"/>
      <c r="RYQ30" s="7"/>
      <c r="RYR30" s="7"/>
      <c r="RYS30" s="7"/>
      <c r="RYT30" s="7"/>
      <c r="RYU30" s="7"/>
      <c r="RYV30" s="7"/>
      <c r="RYW30" s="7"/>
      <c r="RYX30" s="7"/>
      <c r="RYY30" s="7"/>
      <c r="RYZ30" s="7"/>
      <c r="RZA30" s="7"/>
      <c r="RZB30" s="7"/>
      <c r="RZC30" s="7"/>
      <c r="RZD30" s="7"/>
      <c r="RZE30" s="7"/>
      <c r="RZF30" s="7"/>
      <c r="RZG30" s="7"/>
      <c r="RZH30" s="7"/>
      <c r="RZI30" s="7"/>
      <c r="RZJ30" s="7"/>
      <c r="RZK30" s="7"/>
      <c r="RZL30" s="7"/>
      <c r="RZM30" s="7"/>
      <c r="RZN30" s="7"/>
      <c r="RZO30" s="7"/>
      <c r="RZP30" s="7"/>
      <c r="RZQ30" s="7"/>
      <c r="RZR30" s="7"/>
      <c r="RZS30" s="7"/>
      <c r="RZT30" s="7"/>
      <c r="RZU30" s="7"/>
      <c r="RZV30" s="7"/>
      <c r="RZW30" s="7"/>
      <c r="RZX30" s="7"/>
      <c r="RZY30" s="7"/>
      <c r="RZZ30" s="7"/>
      <c r="SAA30" s="7"/>
      <c r="SAB30" s="7"/>
      <c r="SAC30" s="7"/>
      <c r="SAD30" s="7"/>
      <c r="SAE30" s="7"/>
      <c r="SAF30" s="7"/>
      <c r="SAG30" s="7"/>
      <c r="SAH30" s="7"/>
      <c r="SAI30" s="7"/>
      <c r="SAJ30" s="7"/>
      <c r="SAK30" s="7"/>
      <c r="SAL30" s="7"/>
      <c r="SAM30" s="7"/>
      <c r="SAN30" s="7"/>
      <c r="SAO30" s="7"/>
      <c r="SAP30" s="7"/>
      <c r="SAQ30" s="7"/>
      <c r="SAR30" s="7"/>
      <c r="SAS30" s="7"/>
      <c r="SAT30" s="7"/>
      <c r="SAU30" s="7"/>
      <c r="SAV30" s="7"/>
      <c r="SAW30" s="7"/>
      <c r="SAX30" s="7"/>
      <c r="SAY30" s="7"/>
      <c r="SAZ30" s="7"/>
      <c r="SBA30" s="7"/>
      <c r="SBB30" s="7"/>
      <c r="SBC30" s="7"/>
      <c r="SBD30" s="7"/>
      <c r="SBE30" s="7"/>
      <c r="SBF30" s="7"/>
      <c r="SBG30" s="7"/>
      <c r="SBH30" s="7"/>
      <c r="SBI30" s="7"/>
      <c r="SBJ30" s="7"/>
      <c r="SBK30" s="7"/>
      <c r="SBL30" s="7"/>
      <c r="SBM30" s="7"/>
      <c r="SBN30" s="7"/>
      <c r="SBO30" s="7"/>
      <c r="SBP30" s="7"/>
      <c r="SBQ30" s="7"/>
      <c r="SBR30" s="7"/>
      <c r="SBS30" s="7"/>
      <c r="SBT30" s="7"/>
      <c r="SBU30" s="7"/>
      <c r="SBV30" s="7"/>
      <c r="SBW30" s="7"/>
      <c r="SBX30" s="7"/>
      <c r="SBY30" s="7"/>
      <c r="SBZ30" s="7"/>
      <c r="SCA30" s="7"/>
      <c r="SCB30" s="7"/>
      <c r="SCC30" s="7"/>
      <c r="SCD30" s="7"/>
      <c r="SCE30" s="7"/>
      <c r="SCF30" s="7"/>
      <c r="SCG30" s="7"/>
      <c r="SCH30" s="7"/>
      <c r="SCI30" s="7"/>
      <c r="SCJ30" s="7"/>
      <c r="SCK30" s="7"/>
      <c r="SCL30" s="7"/>
      <c r="SCM30" s="7"/>
      <c r="SCN30" s="7"/>
      <c r="SCO30" s="7"/>
      <c r="SCP30" s="7"/>
      <c r="SCQ30" s="7"/>
      <c r="SCR30" s="7"/>
      <c r="SCS30" s="7"/>
      <c r="SCT30" s="7"/>
      <c r="SCU30" s="7"/>
      <c r="SCV30" s="7"/>
      <c r="SCW30" s="7"/>
      <c r="SCX30" s="7"/>
      <c r="SCY30" s="7"/>
      <c r="SCZ30" s="7"/>
      <c r="SDA30" s="7"/>
      <c r="SDB30" s="7"/>
      <c r="SDC30" s="7"/>
      <c r="SDD30" s="7"/>
      <c r="SDE30" s="7"/>
      <c r="SDF30" s="7"/>
      <c r="SDG30" s="7"/>
      <c r="SDH30" s="7"/>
      <c r="SDI30" s="7"/>
      <c r="SDJ30" s="7"/>
      <c r="SDK30" s="7"/>
      <c r="SDL30" s="7"/>
      <c r="SDM30" s="7"/>
      <c r="SDN30" s="7"/>
      <c r="SDO30" s="7"/>
      <c r="SDP30" s="7"/>
      <c r="SDQ30" s="7"/>
      <c r="SDR30" s="7"/>
      <c r="SDS30" s="7"/>
      <c r="SDT30" s="7"/>
      <c r="SDU30" s="7"/>
      <c r="SDV30" s="7"/>
      <c r="SDW30" s="7"/>
      <c r="SDX30" s="7"/>
      <c r="SDY30" s="7"/>
      <c r="SDZ30" s="7"/>
      <c r="SEA30" s="7"/>
      <c r="SEB30" s="7"/>
      <c r="SEC30" s="7"/>
      <c r="SED30" s="7"/>
      <c r="SEE30" s="7"/>
      <c r="SEF30" s="7"/>
      <c r="SEG30" s="7"/>
      <c r="SEH30" s="7"/>
      <c r="SEI30" s="7"/>
      <c r="SEJ30" s="7"/>
      <c r="SEK30" s="7"/>
      <c r="SEL30" s="7"/>
      <c r="SEM30" s="7"/>
      <c r="SEN30" s="7"/>
      <c r="SEO30" s="7"/>
      <c r="SEP30" s="7"/>
      <c r="SEQ30" s="7"/>
      <c r="SER30" s="7"/>
      <c r="SES30" s="7"/>
      <c r="SET30" s="7"/>
      <c r="SEU30" s="7"/>
      <c r="SEV30" s="7"/>
      <c r="SEW30" s="7"/>
      <c r="SEX30" s="7"/>
      <c r="SEY30" s="7"/>
      <c r="SEZ30" s="7"/>
      <c r="SFA30" s="7"/>
      <c r="SFB30" s="7"/>
      <c r="SFC30" s="7"/>
      <c r="SFD30" s="7"/>
      <c r="SFE30" s="7"/>
      <c r="SFF30" s="7"/>
      <c r="SFG30" s="7"/>
      <c r="SFH30" s="7"/>
      <c r="SFI30" s="7"/>
      <c r="SFJ30" s="7"/>
      <c r="SFK30" s="7"/>
      <c r="SFL30" s="7"/>
      <c r="SFM30" s="7"/>
      <c r="SFN30" s="7"/>
      <c r="SFO30" s="7"/>
      <c r="SFP30" s="7"/>
      <c r="SFQ30" s="7"/>
      <c r="SFR30" s="7"/>
      <c r="SFS30" s="7"/>
      <c r="SFT30" s="7"/>
      <c r="SFU30" s="7"/>
      <c r="SFV30" s="7"/>
      <c r="SFW30" s="7"/>
      <c r="SFX30" s="7"/>
      <c r="SFY30" s="7"/>
      <c r="SFZ30" s="7"/>
      <c r="SGA30" s="7"/>
      <c r="SGB30" s="7"/>
      <c r="SGC30" s="7"/>
      <c r="SGD30" s="7"/>
      <c r="SGE30" s="7"/>
      <c r="SGF30" s="7"/>
      <c r="SGG30" s="7"/>
      <c r="SGH30" s="7"/>
      <c r="SGI30" s="7"/>
      <c r="SGJ30" s="7"/>
      <c r="SGK30" s="7"/>
      <c r="SGL30" s="7"/>
      <c r="SGM30" s="7"/>
      <c r="SGN30" s="7"/>
      <c r="SGO30" s="7"/>
      <c r="SGP30" s="7"/>
      <c r="SGQ30" s="7"/>
      <c r="SGR30" s="7"/>
      <c r="SGS30" s="7"/>
      <c r="SGT30" s="7"/>
      <c r="SGU30" s="7"/>
      <c r="SGV30" s="7"/>
      <c r="SGW30" s="7"/>
      <c r="SGX30" s="7"/>
      <c r="SGY30" s="7"/>
      <c r="SGZ30" s="7"/>
      <c r="SHA30" s="7"/>
      <c r="SHB30" s="7"/>
      <c r="SHC30" s="7"/>
      <c r="SHD30" s="7"/>
      <c r="SHE30" s="7"/>
      <c r="SHF30" s="7"/>
      <c r="SHG30" s="7"/>
      <c r="SHH30" s="7"/>
      <c r="SHI30" s="7"/>
      <c r="SHJ30" s="7"/>
      <c r="SHK30" s="7"/>
      <c r="SHL30" s="7"/>
      <c r="SHM30" s="7"/>
      <c r="SHN30" s="7"/>
      <c r="SHO30" s="7"/>
      <c r="SHP30" s="7"/>
      <c r="SHQ30" s="7"/>
      <c r="SHR30" s="7"/>
      <c r="SHS30" s="7"/>
      <c r="SHT30" s="7"/>
      <c r="SHU30" s="7"/>
      <c r="SHV30" s="7"/>
      <c r="SHW30" s="7"/>
      <c r="SHX30" s="7"/>
      <c r="SHY30" s="7"/>
      <c r="SHZ30" s="7"/>
      <c r="SIA30" s="7"/>
      <c r="SIB30" s="7"/>
      <c r="SIC30" s="7"/>
      <c r="SID30" s="7"/>
      <c r="SIE30" s="7"/>
      <c r="SIF30" s="7"/>
      <c r="SIG30" s="7"/>
      <c r="SIH30" s="7"/>
      <c r="SII30" s="7"/>
      <c r="SIJ30" s="7"/>
      <c r="SIK30" s="7"/>
      <c r="SIL30" s="7"/>
      <c r="SIM30" s="7"/>
      <c r="SIN30" s="7"/>
      <c r="SIO30" s="7"/>
      <c r="SIP30" s="7"/>
      <c r="SIQ30" s="7"/>
      <c r="SIR30" s="7"/>
      <c r="SIS30" s="7"/>
      <c r="SIT30" s="7"/>
      <c r="SIU30" s="7"/>
      <c r="SIV30" s="7"/>
      <c r="SIW30" s="7"/>
      <c r="SIX30" s="7"/>
      <c r="SIY30" s="7"/>
      <c r="SIZ30" s="7"/>
      <c r="SJA30" s="7"/>
      <c r="SJB30" s="7"/>
      <c r="SJC30" s="7"/>
      <c r="SJD30" s="7"/>
      <c r="SJE30" s="7"/>
      <c r="SJF30" s="7"/>
      <c r="SJG30" s="7"/>
      <c r="SJH30" s="7"/>
      <c r="SJI30" s="7"/>
      <c r="SJJ30" s="7"/>
      <c r="SJK30" s="7"/>
      <c r="SJL30" s="7"/>
      <c r="SJM30" s="7"/>
      <c r="SJN30" s="7"/>
      <c r="SJO30" s="7"/>
      <c r="SJP30" s="7"/>
      <c r="SJQ30" s="7"/>
      <c r="SJR30" s="7"/>
      <c r="SJS30" s="7"/>
      <c r="SJT30" s="7"/>
      <c r="SJU30" s="7"/>
      <c r="SJV30" s="7"/>
      <c r="SJW30" s="7"/>
      <c r="SJX30" s="7"/>
      <c r="SJY30" s="7"/>
      <c r="SJZ30" s="7"/>
      <c r="SKA30" s="7"/>
      <c r="SKB30" s="7"/>
      <c r="SKC30" s="7"/>
      <c r="SKD30" s="7"/>
      <c r="SKE30" s="7"/>
      <c r="SKF30" s="7"/>
      <c r="SKG30" s="7"/>
      <c r="SKH30" s="7"/>
      <c r="SKI30" s="7"/>
      <c r="SKJ30" s="7"/>
      <c r="SKK30" s="7"/>
      <c r="SKL30" s="7"/>
      <c r="SKM30" s="7"/>
      <c r="SKN30" s="7"/>
      <c r="SKO30" s="7"/>
      <c r="SKP30" s="7"/>
      <c r="SKQ30" s="7"/>
      <c r="SKR30" s="7"/>
      <c r="SKS30" s="7"/>
      <c r="SKT30" s="7"/>
      <c r="SKU30" s="7"/>
      <c r="SKV30" s="7"/>
      <c r="SKW30" s="7"/>
      <c r="SKX30" s="7"/>
      <c r="SKY30" s="7"/>
      <c r="SKZ30" s="7"/>
      <c r="SLA30" s="7"/>
      <c r="SLB30" s="7"/>
      <c r="SLC30" s="7"/>
      <c r="SLD30" s="7"/>
      <c r="SLE30" s="7"/>
      <c r="SLF30" s="7"/>
      <c r="SLG30" s="7"/>
      <c r="SLH30" s="7"/>
      <c r="SLI30" s="7"/>
      <c r="SLJ30" s="7"/>
      <c r="SLK30" s="7"/>
      <c r="SLL30" s="7"/>
      <c r="SLM30" s="7"/>
      <c r="SLN30" s="7"/>
      <c r="SLO30" s="7"/>
      <c r="SLP30" s="7"/>
      <c r="SLQ30" s="7"/>
      <c r="SLR30" s="7"/>
      <c r="SLS30" s="7"/>
      <c r="SLT30" s="7"/>
      <c r="SLU30" s="7"/>
      <c r="SLV30" s="7"/>
      <c r="SLW30" s="7"/>
      <c r="SLX30" s="7"/>
      <c r="SLY30" s="7"/>
      <c r="SLZ30" s="7"/>
      <c r="SMA30" s="7"/>
      <c r="SMB30" s="7"/>
      <c r="SMC30" s="7"/>
      <c r="SMD30" s="7"/>
      <c r="SME30" s="7"/>
      <c r="SMF30" s="7"/>
      <c r="SMG30" s="7"/>
      <c r="SMH30" s="7"/>
      <c r="SMI30" s="7"/>
      <c r="SMJ30" s="7"/>
      <c r="SMK30" s="7"/>
      <c r="SML30" s="7"/>
      <c r="SMM30" s="7"/>
      <c r="SMN30" s="7"/>
      <c r="SMO30" s="7"/>
      <c r="SMP30" s="7"/>
      <c r="SMQ30" s="7"/>
      <c r="SMR30" s="7"/>
      <c r="SMS30" s="7"/>
      <c r="SMT30" s="7"/>
      <c r="SMU30" s="7"/>
      <c r="SMV30" s="7"/>
      <c r="SMW30" s="7"/>
      <c r="SMX30" s="7"/>
      <c r="SMY30" s="7"/>
      <c r="SMZ30" s="7"/>
      <c r="SNA30" s="7"/>
      <c r="SNB30" s="7"/>
      <c r="SNC30" s="7"/>
      <c r="SND30" s="7"/>
      <c r="SNE30" s="7"/>
      <c r="SNF30" s="7"/>
      <c r="SNG30" s="7"/>
      <c r="SNH30" s="7"/>
      <c r="SNI30" s="7"/>
      <c r="SNJ30" s="7"/>
      <c r="SNK30" s="7"/>
      <c r="SNL30" s="7"/>
      <c r="SNM30" s="7"/>
      <c r="SNN30" s="7"/>
      <c r="SNO30" s="7"/>
      <c r="SNP30" s="7"/>
      <c r="SNQ30" s="7"/>
      <c r="SNR30" s="7"/>
      <c r="SNS30" s="7"/>
      <c r="SNT30" s="7"/>
      <c r="SNU30" s="7"/>
      <c r="SNV30" s="7"/>
      <c r="SNW30" s="7"/>
      <c r="SNX30" s="7"/>
      <c r="SNY30" s="7"/>
      <c r="SNZ30" s="7"/>
      <c r="SOA30" s="7"/>
      <c r="SOB30" s="7"/>
      <c r="SOC30" s="7"/>
      <c r="SOD30" s="7"/>
      <c r="SOE30" s="7"/>
      <c r="SOF30" s="7"/>
      <c r="SOG30" s="7"/>
      <c r="SOH30" s="7"/>
      <c r="SOI30" s="7"/>
      <c r="SOJ30" s="7"/>
      <c r="SOK30" s="7"/>
      <c r="SOL30" s="7"/>
      <c r="SOM30" s="7"/>
      <c r="SON30" s="7"/>
      <c r="SOO30" s="7"/>
      <c r="SOP30" s="7"/>
      <c r="SOQ30" s="7"/>
      <c r="SOR30" s="7"/>
      <c r="SOS30" s="7"/>
      <c r="SOT30" s="7"/>
      <c r="SOU30" s="7"/>
      <c r="SOV30" s="7"/>
      <c r="SOW30" s="7"/>
      <c r="SOX30" s="7"/>
      <c r="SOY30" s="7"/>
      <c r="SOZ30" s="7"/>
      <c r="SPA30" s="7"/>
      <c r="SPB30" s="7"/>
      <c r="SPC30" s="7"/>
      <c r="SPD30" s="7"/>
      <c r="SPE30" s="7"/>
      <c r="SPF30" s="7"/>
      <c r="SPG30" s="7"/>
      <c r="SPH30" s="7"/>
      <c r="SPI30" s="7"/>
      <c r="SPJ30" s="7"/>
      <c r="SPK30" s="7"/>
      <c r="SPL30" s="7"/>
      <c r="SPM30" s="7"/>
      <c r="SPN30" s="7"/>
      <c r="SPO30" s="7"/>
      <c r="SPP30" s="7"/>
      <c r="SPQ30" s="7"/>
      <c r="SPR30" s="7"/>
      <c r="SPS30" s="7"/>
      <c r="SPT30" s="7"/>
      <c r="SPU30" s="7"/>
      <c r="SPV30" s="7"/>
      <c r="SPW30" s="7"/>
      <c r="SPX30" s="7"/>
      <c r="SPY30" s="7"/>
      <c r="SPZ30" s="7"/>
      <c r="SQA30" s="7"/>
      <c r="SQB30" s="7"/>
      <c r="SQC30" s="7"/>
      <c r="SQD30" s="7"/>
      <c r="SQE30" s="7"/>
      <c r="SQF30" s="7"/>
      <c r="SQG30" s="7"/>
      <c r="SQH30" s="7"/>
      <c r="SQI30" s="7"/>
      <c r="SQJ30" s="7"/>
      <c r="SQK30" s="7"/>
      <c r="SQL30" s="7"/>
      <c r="SQM30" s="7"/>
      <c r="SQN30" s="7"/>
      <c r="SQO30" s="7"/>
      <c r="SQP30" s="7"/>
      <c r="SQQ30" s="7"/>
      <c r="SQR30" s="7"/>
      <c r="SQS30" s="7"/>
      <c r="SQT30" s="7"/>
      <c r="SQU30" s="7"/>
      <c r="SQV30" s="7"/>
      <c r="SQW30" s="7"/>
      <c r="SQX30" s="7"/>
      <c r="SQY30" s="7"/>
      <c r="SQZ30" s="7"/>
      <c r="SRA30" s="7"/>
      <c r="SRB30" s="7"/>
      <c r="SRC30" s="7"/>
      <c r="SRD30" s="7"/>
      <c r="SRE30" s="7"/>
      <c r="SRF30" s="7"/>
      <c r="SRG30" s="7"/>
      <c r="SRH30" s="7"/>
      <c r="SRI30" s="7"/>
      <c r="SRJ30" s="7"/>
      <c r="SRK30" s="7"/>
      <c r="SRL30" s="7"/>
      <c r="SRM30" s="7"/>
      <c r="SRN30" s="7"/>
      <c r="SRO30" s="7"/>
      <c r="SRP30" s="7"/>
      <c r="SRQ30" s="7"/>
      <c r="SRR30" s="7"/>
      <c r="SRS30" s="7"/>
      <c r="SRT30" s="7"/>
      <c r="SRU30" s="7"/>
      <c r="SRV30" s="7"/>
      <c r="SRW30" s="7"/>
      <c r="SRX30" s="7"/>
      <c r="SRY30" s="7"/>
      <c r="SRZ30" s="7"/>
      <c r="SSA30" s="7"/>
      <c r="SSB30" s="7"/>
      <c r="SSC30" s="7"/>
      <c r="SSD30" s="7"/>
      <c r="SSE30" s="7"/>
      <c r="SSF30" s="7"/>
      <c r="SSG30" s="7"/>
      <c r="SSH30" s="7"/>
      <c r="SSI30" s="7"/>
      <c r="SSJ30" s="7"/>
      <c r="SSK30" s="7"/>
      <c r="SSL30" s="7"/>
      <c r="SSM30" s="7"/>
      <c r="SSN30" s="7"/>
      <c r="SSO30" s="7"/>
      <c r="SSP30" s="7"/>
      <c r="SSQ30" s="7"/>
      <c r="SSR30" s="7"/>
      <c r="SSS30" s="7"/>
      <c r="SST30" s="7"/>
      <c r="SSU30" s="7"/>
      <c r="SSV30" s="7"/>
      <c r="SSW30" s="7"/>
      <c r="SSX30" s="7"/>
      <c r="SSY30" s="7"/>
      <c r="SSZ30" s="7"/>
      <c r="STA30" s="7"/>
      <c r="STB30" s="7"/>
      <c r="STC30" s="7"/>
      <c r="STD30" s="7"/>
      <c r="STE30" s="7"/>
      <c r="STF30" s="7"/>
      <c r="STG30" s="7"/>
      <c r="STH30" s="7"/>
      <c r="STI30" s="7"/>
      <c r="STJ30" s="7"/>
      <c r="STK30" s="7"/>
      <c r="STL30" s="7"/>
      <c r="STM30" s="7"/>
      <c r="STN30" s="7"/>
      <c r="STO30" s="7"/>
      <c r="STP30" s="7"/>
      <c r="STQ30" s="7"/>
      <c r="STR30" s="7"/>
      <c r="STS30" s="7"/>
      <c r="STT30" s="7"/>
      <c r="STU30" s="7"/>
      <c r="STV30" s="7"/>
      <c r="STW30" s="7"/>
      <c r="STX30" s="7"/>
      <c r="STY30" s="7"/>
      <c r="STZ30" s="7"/>
      <c r="SUA30" s="7"/>
      <c r="SUB30" s="7"/>
      <c r="SUC30" s="7"/>
      <c r="SUD30" s="7"/>
      <c r="SUE30" s="7"/>
      <c r="SUF30" s="7"/>
      <c r="SUG30" s="7"/>
      <c r="SUH30" s="7"/>
      <c r="SUI30" s="7"/>
      <c r="SUJ30" s="7"/>
      <c r="SUK30" s="7"/>
      <c r="SUL30" s="7"/>
      <c r="SUM30" s="7"/>
      <c r="SUN30" s="7"/>
      <c r="SUO30" s="7"/>
      <c r="SUP30" s="7"/>
      <c r="SUQ30" s="7"/>
      <c r="SUR30" s="7"/>
      <c r="SUS30" s="7"/>
      <c r="SUT30" s="7"/>
      <c r="SUU30" s="7"/>
      <c r="SUV30" s="7"/>
      <c r="SUW30" s="7"/>
      <c r="SUX30" s="7"/>
      <c r="SUY30" s="7"/>
      <c r="SUZ30" s="7"/>
      <c r="SVA30" s="7"/>
      <c r="SVB30" s="7"/>
      <c r="SVC30" s="7"/>
      <c r="SVD30" s="7"/>
      <c r="SVE30" s="7"/>
      <c r="SVF30" s="7"/>
      <c r="SVG30" s="7"/>
      <c r="SVH30" s="7"/>
      <c r="SVI30" s="7"/>
      <c r="SVJ30" s="7"/>
      <c r="SVK30" s="7"/>
      <c r="SVL30" s="7"/>
      <c r="SVM30" s="7"/>
      <c r="SVN30" s="7"/>
      <c r="SVO30" s="7"/>
      <c r="SVP30" s="7"/>
      <c r="SVQ30" s="7"/>
      <c r="SVR30" s="7"/>
      <c r="SVS30" s="7"/>
      <c r="SVT30" s="7"/>
      <c r="SVU30" s="7"/>
      <c r="SVV30" s="7"/>
      <c r="SVW30" s="7"/>
      <c r="SVX30" s="7"/>
      <c r="SVY30" s="7"/>
      <c r="SVZ30" s="7"/>
      <c r="SWA30" s="7"/>
      <c r="SWB30" s="7"/>
      <c r="SWC30" s="7"/>
      <c r="SWD30" s="7"/>
      <c r="SWE30" s="7"/>
      <c r="SWF30" s="7"/>
      <c r="SWG30" s="7"/>
      <c r="SWH30" s="7"/>
      <c r="SWI30" s="7"/>
      <c r="SWJ30" s="7"/>
      <c r="SWK30" s="7"/>
      <c r="SWL30" s="7"/>
      <c r="SWM30" s="7"/>
      <c r="SWN30" s="7"/>
      <c r="SWO30" s="7"/>
      <c r="SWP30" s="7"/>
      <c r="SWQ30" s="7"/>
      <c r="SWR30" s="7"/>
      <c r="SWS30" s="7"/>
      <c r="SWT30" s="7"/>
      <c r="SWU30" s="7"/>
      <c r="SWV30" s="7"/>
      <c r="SWW30" s="7"/>
      <c r="SWX30" s="7"/>
      <c r="SWY30" s="7"/>
      <c r="SWZ30" s="7"/>
      <c r="SXA30" s="7"/>
      <c r="SXB30" s="7"/>
      <c r="SXC30" s="7"/>
      <c r="SXD30" s="7"/>
      <c r="SXE30" s="7"/>
      <c r="SXF30" s="7"/>
      <c r="SXG30" s="7"/>
      <c r="SXH30" s="7"/>
      <c r="SXI30" s="7"/>
      <c r="SXJ30" s="7"/>
      <c r="SXK30" s="7"/>
      <c r="SXL30" s="7"/>
      <c r="SXM30" s="7"/>
      <c r="SXN30" s="7"/>
      <c r="SXO30" s="7"/>
      <c r="SXP30" s="7"/>
      <c r="SXQ30" s="7"/>
      <c r="SXR30" s="7"/>
      <c r="SXS30" s="7"/>
      <c r="SXT30" s="7"/>
      <c r="SXU30" s="7"/>
      <c r="SXV30" s="7"/>
      <c r="SXW30" s="7"/>
      <c r="SXX30" s="7"/>
      <c r="SXY30" s="7"/>
      <c r="SXZ30" s="7"/>
      <c r="SYA30" s="7"/>
      <c r="SYB30" s="7"/>
      <c r="SYC30" s="7"/>
      <c r="SYD30" s="7"/>
      <c r="SYE30" s="7"/>
      <c r="SYF30" s="7"/>
      <c r="SYG30" s="7"/>
      <c r="SYH30" s="7"/>
      <c r="SYI30" s="7"/>
      <c r="SYJ30" s="7"/>
      <c r="SYK30" s="7"/>
      <c r="SYL30" s="7"/>
      <c r="SYM30" s="7"/>
      <c r="SYN30" s="7"/>
      <c r="SYO30" s="7"/>
      <c r="SYP30" s="7"/>
      <c r="SYQ30" s="7"/>
      <c r="SYR30" s="7"/>
      <c r="SYS30" s="7"/>
      <c r="SYT30" s="7"/>
      <c r="SYU30" s="7"/>
      <c r="SYV30" s="7"/>
      <c r="SYW30" s="7"/>
      <c r="SYX30" s="7"/>
      <c r="SYY30" s="7"/>
      <c r="SYZ30" s="7"/>
      <c r="SZA30" s="7"/>
      <c r="SZB30" s="7"/>
      <c r="SZC30" s="7"/>
      <c r="SZD30" s="7"/>
      <c r="SZE30" s="7"/>
      <c r="SZF30" s="7"/>
      <c r="SZG30" s="7"/>
      <c r="SZH30" s="7"/>
      <c r="SZI30" s="7"/>
      <c r="SZJ30" s="7"/>
      <c r="SZK30" s="7"/>
      <c r="SZL30" s="7"/>
      <c r="SZM30" s="7"/>
      <c r="SZN30" s="7"/>
      <c r="SZO30" s="7"/>
      <c r="SZP30" s="7"/>
      <c r="SZQ30" s="7"/>
      <c r="SZR30" s="7"/>
      <c r="SZS30" s="7"/>
      <c r="SZT30" s="7"/>
      <c r="SZU30" s="7"/>
      <c r="SZV30" s="7"/>
      <c r="SZW30" s="7"/>
      <c r="SZX30" s="7"/>
      <c r="SZY30" s="7"/>
      <c r="SZZ30" s="7"/>
      <c r="TAA30" s="7"/>
      <c r="TAB30" s="7"/>
      <c r="TAC30" s="7"/>
      <c r="TAD30" s="7"/>
      <c r="TAE30" s="7"/>
      <c r="TAF30" s="7"/>
      <c r="TAG30" s="7"/>
      <c r="TAH30" s="7"/>
      <c r="TAI30" s="7"/>
      <c r="TAJ30" s="7"/>
      <c r="TAK30" s="7"/>
      <c r="TAL30" s="7"/>
      <c r="TAM30" s="7"/>
      <c r="TAN30" s="7"/>
      <c r="TAO30" s="7"/>
      <c r="TAP30" s="7"/>
      <c r="TAQ30" s="7"/>
      <c r="TAR30" s="7"/>
      <c r="TAS30" s="7"/>
      <c r="TAT30" s="7"/>
      <c r="TAU30" s="7"/>
      <c r="TAV30" s="7"/>
      <c r="TAW30" s="7"/>
      <c r="TAX30" s="7"/>
      <c r="TAY30" s="7"/>
      <c r="TAZ30" s="7"/>
      <c r="TBA30" s="7"/>
      <c r="TBB30" s="7"/>
      <c r="TBC30" s="7"/>
      <c r="TBD30" s="7"/>
      <c r="TBE30" s="7"/>
      <c r="TBF30" s="7"/>
      <c r="TBG30" s="7"/>
      <c r="TBH30" s="7"/>
      <c r="TBI30" s="7"/>
      <c r="TBJ30" s="7"/>
      <c r="TBK30" s="7"/>
      <c r="TBL30" s="7"/>
      <c r="TBM30" s="7"/>
      <c r="TBN30" s="7"/>
      <c r="TBO30" s="7"/>
      <c r="TBP30" s="7"/>
      <c r="TBQ30" s="7"/>
      <c r="TBR30" s="7"/>
      <c r="TBS30" s="7"/>
      <c r="TBT30" s="7"/>
      <c r="TBU30" s="7"/>
      <c r="TBV30" s="7"/>
      <c r="TBW30" s="7"/>
      <c r="TBX30" s="7"/>
      <c r="TBY30" s="7"/>
      <c r="TBZ30" s="7"/>
      <c r="TCA30" s="7"/>
      <c r="TCB30" s="7"/>
      <c r="TCC30" s="7"/>
      <c r="TCD30" s="7"/>
      <c r="TCE30" s="7"/>
      <c r="TCF30" s="7"/>
      <c r="TCG30" s="7"/>
      <c r="TCH30" s="7"/>
      <c r="TCI30" s="7"/>
      <c r="TCJ30" s="7"/>
      <c r="TCK30" s="7"/>
      <c r="TCL30" s="7"/>
      <c r="TCM30" s="7"/>
      <c r="TCN30" s="7"/>
      <c r="TCO30" s="7"/>
      <c r="TCP30" s="7"/>
      <c r="TCQ30" s="7"/>
      <c r="TCR30" s="7"/>
      <c r="TCS30" s="7"/>
      <c r="TCT30" s="7"/>
      <c r="TCU30" s="7"/>
      <c r="TCV30" s="7"/>
      <c r="TCW30" s="7"/>
      <c r="TCX30" s="7"/>
      <c r="TCY30" s="7"/>
      <c r="TCZ30" s="7"/>
      <c r="TDA30" s="7"/>
      <c r="TDB30" s="7"/>
      <c r="TDC30" s="7"/>
      <c r="TDD30" s="7"/>
      <c r="TDE30" s="7"/>
      <c r="TDF30" s="7"/>
      <c r="TDG30" s="7"/>
      <c r="TDH30" s="7"/>
      <c r="TDI30" s="7"/>
      <c r="TDJ30" s="7"/>
      <c r="TDK30" s="7"/>
      <c r="TDL30" s="7"/>
      <c r="TDM30" s="7"/>
      <c r="TDN30" s="7"/>
      <c r="TDO30" s="7"/>
      <c r="TDP30" s="7"/>
      <c r="TDQ30" s="7"/>
      <c r="TDR30" s="7"/>
      <c r="TDS30" s="7"/>
      <c r="TDT30" s="7"/>
      <c r="TDU30" s="7"/>
      <c r="TDV30" s="7"/>
      <c r="TDW30" s="7"/>
      <c r="TDX30" s="7"/>
      <c r="TDY30" s="7"/>
      <c r="TDZ30" s="7"/>
      <c r="TEA30" s="7"/>
      <c r="TEB30" s="7"/>
      <c r="TEC30" s="7"/>
      <c r="TED30" s="7"/>
      <c r="TEE30" s="7"/>
      <c r="TEF30" s="7"/>
      <c r="TEG30" s="7"/>
      <c r="TEH30" s="7"/>
      <c r="TEI30" s="7"/>
      <c r="TEJ30" s="7"/>
      <c r="TEK30" s="7"/>
      <c r="TEL30" s="7"/>
      <c r="TEM30" s="7"/>
      <c r="TEN30" s="7"/>
      <c r="TEO30" s="7"/>
      <c r="TEP30" s="7"/>
      <c r="TEQ30" s="7"/>
      <c r="TER30" s="7"/>
      <c r="TES30" s="7"/>
      <c r="TET30" s="7"/>
      <c r="TEU30" s="7"/>
      <c r="TEV30" s="7"/>
      <c r="TEW30" s="7"/>
      <c r="TEX30" s="7"/>
      <c r="TEY30" s="7"/>
      <c r="TEZ30" s="7"/>
      <c r="TFA30" s="7"/>
      <c r="TFB30" s="7"/>
      <c r="TFC30" s="7"/>
      <c r="TFD30" s="7"/>
      <c r="TFE30" s="7"/>
      <c r="TFF30" s="7"/>
      <c r="TFG30" s="7"/>
      <c r="TFH30" s="7"/>
      <c r="TFI30" s="7"/>
      <c r="TFJ30" s="7"/>
      <c r="TFK30" s="7"/>
      <c r="TFL30" s="7"/>
      <c r="TFM30" s="7"/>
      <c r="TFN30" s="7"/>
      <c r="TFO30" s="7"/>
      <c r="TFP30" s="7"/>
      <c r="TFQ30" s="7"/>
      <c r="TFR30" s="7"/>
      <c r="TFS30" s="7"/>
      <c r="TFT30" s="7"/>
      <c r="TFU30" s="7"/>
      <c r="TFV30" s="7"/>
      <c r="TFW30" s="7"/>
      <c r="TFX30" s="7"/>
      <c r="TFY30" s="7"/>
      <c r="TFZ30" s="7"/>
      <c r="TGA30" s="7"/>
      <c r="TGB30" s="7"/>
      <c r="TGC30" s="7"/>
      <c r="TGD30" s="7"/>
      <c r="TGE30" s="7"/>
      <c r="TGF30" s="7"/>
      <c r="TGG30" s="7"/>
      <c r="TGH30" s="7"/>
      <c r="TGI30" s="7"/>
      <c r="TGJ30" s="7"/>
      <c r="TGK30" s="7"/>
      <c r="TGL30" s="7"/>
      <c r="TGM30" s="7"/>
      <c r="TGN30" s="7"/>
      <c r="TGO30" s="7"/>
      <c r="TGP30" s="7"/>
      <c r="TGQ30" s="7"/>
      <c r="TGR30" s="7"/>
      <c r="TGS30" s="7"/>
      <c r="TGT30" s="7"/>
      <c r="TGU30" s="7"/>
      <c r="TGV30" s="7"/>
      <c r="TGW30" s="7"/>
      <c r="TGX30" s="7"/>
      <c r="TGY30" s="7"/>
      <c r="TGZ30" s="7"/>
      <c r="THA30" s="7"/>
      <c r="THB30" s="7"/>
      <c r="THC30" s="7"/>
      <c r="THD30" s="7"/>
      <c r="THE30" s="7"/>
      <c r="THF30" s="7"/>
      <c r="THG30" s="7"/>
      <c r="THH30" s="7"/>
      <c r="THI30" s="7"/>
      <c r="THJ30" s="7"/>
      <c r="THK30" s="7"/>
      <c r="THL30" s="7"/>
      <c r="THM30" s="7"/>
      <c r="THN30" s="7"/>
      <c r="THO30" s="7"/>
      <c r="THP30" s="7"/>
      <c r="THQ30" s="7"/>
      <c r="THR30" s="7"/>
      <c r="THS30" s="7"/>
      <c r="THT30" s="7"/>
      <c r="THU30" s="7"/>
      <c r="THV30" s="7"/>
      <c r="THW30" s="7"/>
      <c r="THX30" s="7"/>
      <c r="THY30" s="7"/>
      <c r="THZ30" s="7"/>
      <c r="TIA30" s="7"/>
      <c r="TIB30" s="7"/>
      <c r="TIC30" s="7"/>
      <c r="TID30" s="7"/>
      <c r="TIE30" s="7"/>
      <c r="TIF30" s="7"/>
      <c r="TIG30" s="7"/>
      <c r="TIH30" s="7"/>
      <c r="TII30" s="7"/>
      <c r="TIJ30" s="7"/>
      <c r="TIK30" s="7"/>
      <c r="TIL30" s="7"/>
      <c r="TIM30" s="7"/>
      <c r="TIN30" s="7"/>
      <c r="TIO30" s="7"/>
      <c r="TIP30" s="7"/>
      <c r="TIQ30" s="7"/>
      <c r="TIR30" s="7"/>
      <c r="TIS30" s="7"/>
      <c r="TIT30" s="7"/>
      <c r="TIU30" s="7"/>
      <c r="TIV30" s="7"/>
      <c r="TIW30" s="7"/>
      <c r="TIX30" s="7"/>
      <c r="TIY30" s="7"/>
      <c r="TIZ30" s="7"/>
      <c r="TJA30" s="7"/>
      <c r="TJB30" s="7"/>
      <c r="TJC30" s="7"/>
      <c r="TJD30" s="7"/>
      <c r="TJE30" s="7"/>
      <c r="TJF30" s="7"/>
      <c r="TJG30" s="7"/>
      <c r="TJH30" s="7"/>
      <c r="TJI30" s="7"/>
      <c r="TJJ30" s="7"/>
      <c r="TJK30" s="7"/>
      <c r="TJL30" s="7"/>
      <c r="TJM30" s="7"/>
      <c r="TJN30" s="7"/>
      <c r="TJO30" s="7"/>
      <c r="TJP30" s="7"/>
      <c r="TJQ30" s="7"/>
      <c r="TJR30" s="7"/>
      <c r="TJS30" s="7"/>
      <c r="TJT30" s="7"/>
      <c r="TJU30" s="7"/>
      <c r="TJV30" s="7"/>
      <c r="TJW30" s="7"/>
      <c r="TJX30" s="7"/>
      <c r="TJY30" s="7"/>
      <c r="TJZ30" s="7"/>
      <c r="TKA30" s="7"/>
      <c r="TKB30" s="7"/>
      <c r="TKC30" s="7"/>
      <c r="TKD30" s="7"/>
      <c r="TKE30" s="7"/>
      <c r="TKF30" s="7"/>
      <c r="TKG30" s="7"/>
      <c r="TKH30" s="7"/>
      <c r="TKI30" s="7"/>
      <c r="TKJ30" s="7"/>
      <c r="TKK30" s="7"/>
      <c r="TKL30" s="7"/>
      <c r="TKM30" s="7"/>
      <c r="TKN30" s="7"/>
      <c r="TKO30" s="7"/>
      <c r="TKP30" s="7"/>
      <c r="TKQ30" s="7"/>
      <c r="TKR30" s="7"/>
      <c r="TKS30" s="7"/>
      <c r="TKT30" s="7"/>
      <c r="TKU30" s="7"/>
      <c r="TKV30" s="7"/>
      <c r="TKW30" s="7"/>
      <c r="TKX30" s="7"/>
      <c r="TKY30" s="7"/>
      <c r="TKZ30" s="7"/>
      <c r="TLA30" s="7"/>
      <c r="TLB30" s="7"/>
      <c r="TLC30" s="7"/>
      <c r="TLD30" s="7"/>
      <c r="TLE30" s="7"/>
      <c r="TLF30" s="7"/>
      <c r="TLG30" s="7"/>
      <c r="TLH30" s="7"/>
      <c r="TLI30" s="7"/>
      <c r="TLJ30" s="7"/>
      <c r="TLK30" s="7"/>
      <c r="TLL30" s="7"/>
      <c r="TLM30" s="7"/>
      <c r="TLN30" s="7"/>
      <c r="TLO30" s="7"/>
      <c r="TLP30" s="7"/>
      <c r="TLQ30" s="7"/>
      <c r="TLR30" s="7"/>
      <c r="TLS30" s="7"/>
      <c r="TLT30" s="7"/>
      <c r="TLU30" s="7"/>
      <c r="TLV30" s="7"/>
      <c r="TLW30" s="7"/>
      <c r="TLX30" s="7"/>
      <c r="TLY30" s="7"/>
      <c r="TLZ30" s="7"/>
      <c r="TMA30" s="7"/>
      <c r="TMB30" s="7"/>
      <c r="TMC30" s="7"/>
      <c r="TMD30" s="7"/>
      <c r="TME30" s="7"/>
      <c r="TMF30" s="7"/>
      <c r="TMG30" s="7"/>
      <c r="TMH30" s="7"/>
      <c r="TMI30" s="7"/>
      <c r="TMJ30" s="7"/>
      <c r="TMK30" s="7"/>
      <c r="TML30" s="7"/>
      <c r="TMM30" s="7"/>
      <c r="TMN30" s="7"/>
      <c r="TMO30" s="7"/>
      <c r="TMP30" s="7"/>
      <c r="TMQ30" s="7"/>
      <c r="TMR30" s="7"/>
      <c r="TMS30" s="7"/>
      <c r="TMT30" s="7"/>
      <c r="TMU30" s="7"/>
      <c r="TMV30" s="7"/>
      <c r="TMW30" s="7"/>
      <c r="TMX30" s="7"/>
      <c r="TMY30" s="7"/>
      <c r="TMZ30" s="7"/>
      <c r="TNA30" s="7"/>
      <c r="TNB30" s="7"/>
      <c r="TNC30" s="7"/>
      <c r="TND30" s="7"/>
      <c r="TNE30" s="7"/>
      <c r="TNF30" s="7"/>
      <c r="TNG30" s="7"/>
      <c r="TNH30" s="7"/>
      <c r="TNI30" s="7"/>
      <c r="TNJ30" s="7"/>
      <c r="TNK30" s="7"/>
      <c r="TNL30" s="7"/>
      <c r="TNM30" s="7"/>
      <c r="TNN30" s="7"/>
      <c r="TNO30" s="7"/>
      <c r="TNP30" s="7"/>
      <c r="TNQ30" s="7"/>
      <c r="TNR30" s="7"/>
      <c r="TNS30" s="7"/>
      <c r="TNT30" s="7"/>
      <c r="TNU30" s="7"/>
      <c r="TNV30" s="7"/>
      <c r="TNW30" s="7"/>
      <c r="TNX30" s="7"/>
      <c r="TNY30" s="7"/>
      <c r="TNZ30" s="7"/>
      <c r="TOA30" s="7"/>
      <c r="TOB30" s="7"/>
      <c r="TOC30" s="7"/>
      <c r="TOD30" s="7"/>
      <c r="TOE30" s="7"/>
      <c r="TOF30" s="7"/>
      <c r="TOG30" s="7"/>
      <c r="TOH30" s="7"/>
      <c r="TOI30" s="7"/>
      <c r="TOJ30" s="7"/>
      <c r="TOK30" s="7"/>
      <c r="TOL30" s="7"/>
      <c r="TOM30" s="7"/>
      <c r="TON30" s="7"/>
      <c r="TOO30" s="7"/>
      <c r="TOP30" s="7"/>
      <c r="TOQ30" s="7"/>
      <c r="TOR30" s="7"/>
      <c r="TOS30" s="7"/>
      <c r="TOT30" s="7"/>
      <c r="TOU30" s="7"/>
      <c r="TOV30" s="7"/>
      <c r="TOW30" s="7"/>
      <c r="TOX30" s="7"/>
      <c r="TOY30" s="7"/>
      <c r="TOZ30" s="7"/>
      <c r="TPA30" s="7"/>
      <c r="TPB30" s="7"/>
      <c r="TPC30" s="7"/>
      <c r="TPD30" s="7"/>
      <c r="TPE30" s="7"/>
      <c r="TPF30" s="7"/>
      <c r="TPG30" s="7"/>
      <c r="TPH30" s="7"/>
      <c r="TPI30" s="7"/>
      <c r="TPJ30" s="7"/>
      <c r="TPK30" s="7"/>
      <c r="TPL30" s="7"/>
      <c r="TPM30" s="7"/>
      <c r="TPN30" s="7"/>
      <c r="TPO30" s="7"/>
      <c r="TPP30" s="7"/>
      <c r="TPQ30" s="7"/>
      <c r="TPR30" s="7"/>
      <c r="TPS30" s="7"/>
      <c r="TPT30" s="7"/>
      <c r="TPU30" s="7"/>
      <c r="TPV30" s="7"/>
      <c r="TPW30" s="7"/>
      <c r="TPX30" s="7"/>
      <c r="TPY30" s="7"/>
      <c r="TPZ30" s="7"/>
      <c r="TQA30" s="7"/>
      <c r="TQB30" s="7"/>
      <c r="TQC30" s="7"/>
      <c r="TQD30" s="7"/>
      <c r="TQE30" s="7"/>
      <c r="TQF30" s="7"/>
      <c r="TQG30" s="7"/>
      <c r="TQH30" s="7"/>
      <c r="TQI30" s="7"/>
      <c r="TQJ30" s="7"/>
      <c r="TQK30" s="7"/>
      <c r="TQL30" s="7"/>
      <c r="TQM30" s="7"/>
      <c r="TQN30" s="7"/>
      <c r="TQO30" s="7"/>
      <c r="TQP30" s="7"/>
      <c r="TQQ30" s="7"/>
      <c r="TQR30" s="7"/>
      <c r="TQS30" s="7"/>
      <c r="TQT30" s="7"/>
      <c r="TQU30" s="7"/>
      <c r="TQV30" s="7"/>
      <c r="TQW30" s="7"/>
      <c r="TQX30" s="7"/>
      <c r="TQY30" s="7"/>
      <c r="TQZ30" s="7"/>
      <c r="TRA30" s="7"/>
      <c r="TRB30" s="7"/>
      <c r="TRC30" s="7"/>
      <c r="TRD30" s="7"/>
      <c r="TRE30" s="7"/>
      <c r="TRF30" s="7"/>
      <c r="TRG30" s="7"/>
      <c r="TRH30" s="7"/>
      <c r="TRI30" s="7"/>
      <c r="TRJ30" s="7"/>
      <c r="TRK30" s="7"/>
      <c r="TRL30" s="7"/>
      <c r="TRM30" s="7"/>
      <c r="TRN30" s="7"/>
      <c r="TRO30" s="7"/>
      <c r="TRP30" s="7"/>
      <c r="TRQ30" s="7"/>
      <c r="TRR30" s="7"/>
      <c r="TRS30" s="7"/>
      <c r="TRT30" s="7"/>
      <c r="TRU30" s="7"/>
      <c r="TRV30" s="7"/>
      <c r="TRW30" s="7"/>
      <c r="TRX30" s="7"/>
      <c r="TRY30" s="7"/>
      <c r="TRZ30" s="7"/>
      <c r="TSA30" s="7"/>
      <c r="TSB30" s="7"/>
      <c r="TSC30" s="7"/>
      <c r="TSD30" s="7"/>
      <c r="TSE30" s="7"/>
      <c r="TSF30" s="7"/>
      <c r="TSG30" s="7"/>
      <c r="TSH30" s="7"/>
      <c r="TSI30" s="7"/>
      <c r="TSJ30" s="7"/>
      <c r="TSK30" s="7"/>
      <c r="TSL30" s="7"/>
      <c r="TSM30" s="7"/>
      <c r="TSN30" s="7"/>
      <c r="TSO30" s="7"/>
      <c r="TSP30" s="7"/>
      <c r="TSQ30" s="7"/>
      <c r="TSR30" s="7"/>
      <c r="TSS30" s="7"/>
      <c r="TST30" s="7"/>
      <c r="TSU30" s="7"/>
      <c r="TSV30" s="7"/>
      <c r="TSW30" s="7"/>
      <c r="TSX30" s="7"/>
      <c r="TSY30" s="7"/>
      <c r="TSZ30" s="7"/>
      <c r="TTA30" s="7"/>
      <c r="TTB30" s="7"/>
      <c r="TTC30" s="7"/>
      <c r="TTD30" s="7"/>
      <c r="TTE30" s="7"/>
      <c r="TTF30" s="7"/>
      <c r="TTG30" s="7"/>
      <c r="TTH30" s="7"/>
      <c r="TTI30" s="7"/>
      <c r="TTJ30" s="7"/>
      <c r="TTK30" s="7"/>
      <c r="TTL30" s="7"/>
      <c r="TTM30" s="7"/>
      <c r="TTN30" s="7"/>
      <c r="TTO30" s="7"/>
      <c r="TTP30" s="7"/>
      <c r="TTQ30" s="7"/>
      <c r="TTR30" s="7"/>
      <c r="TTS30" s="7"/>
      <c r="TTT30" s="7"/>
      <c r="TTU30" s="7"/>
      <c r="TTV30" s="7"/>
      <c r="TTW30" s="7"/>
      <c r="TTX30" s="7"/>
      <c r="TTY30" s="7"/>
      <c r="TTZ30" s="7"/>
      <c r="TUA30" s="7"/>
      <c r="TUB30" s="7"/>
      <c r="TUC30" s="7"/>
      <c r="TUD30" s="7"/>
      <c r="TUE30" s="7"/>
      <c r="TUF30" s="7"/>
      <c r="TUG30" s="7"/>
      <c r="TUH30" s="7"/>
      <c r="TUI30" s="7"/>
      <c r="TUJ30" s="7"/>
      <c r="TUK30" s="7"/>
      <c r="TUL30" s="7"/>
      <c r="TUM30" s="7"/>
      <c r="TUN30" s="7"/>
      <c r="TUO30" s="7"/>
      <c r="TUP30" s="7"/>
      <c r="TUQ30" s="7"/>
      <c r="TUR30" s="7"/>
      <c r="TUS30" s="7"/>
      <c r="TUT30" s="7"/>
      <c r="TUU30" s="7"/>
      <c r="TUV30" s="7"/>
      <c r="TUW30" s="7"/>
      <c r="TUX30" s="7"/>
      <c r="TUY30" s="7"/>
      <c r="TUZ30" s="7"/>
      <c r="TVA30" s="7"/>
      <c r="TVB30" s="7"/>
      <c r="TVC30" s="7"/>
      <c r="TVD30" s="7"/>
      <c r="TVE30" s="7"/>
      <c r="TVF30" s="7"/>
      <c r="TVG30" s="7"/>
      <c r="TVH30" s="7"/>
      <c r="TVI30" s="7"/>
      <c r="TVJ30" s="7"/>
      <c r="TVK30" s="7"/>
      <c r="TVL30" s="7"/>
      <c r="TVM30" s="7"/>
      <c r="TVN30" s="7"/>
      <c r="TVO30" s="7"/>
      <c r="TVP30" s="7"/>
      <c r="TVQ30" s="7"/>
      <c r="TVR30" s="7"/>
      <c r="TVS30" s="7"/>
      <c r="TVT30" s="7"/>
      <c r="TVU30" s="7"/>
      <c r="TVV30" s="7"/>
      <c r="TVW30" s="7"/>
      <c r="TVX30" s="7"/>
      <c r="TVY30" s="7"/>
      <c r="TVZ30" s="7"/>
      <c r="TWA30" s="7"/>
      <c r="TWB30" s="7"/>
      <c r="TWC30" s="7"/>
      <c r="TWD30" s="7"/>
      <c r="TWE30" s="7"/>
      <c r="TWF30" s="7"/>
      <c r="TWG30" s="7"/>
      <c r="TWH30" s="7"/>
      <c r="TWI30" s="7"/>
      <c r="TWJ30" s="7"/>
      <c r="TWK30" s="7"/>
      <c r="TWL30" s="7"/>
      <c r="TWM30" s="7"/>
      <c r="TWN30" s="7"/>
      <c r="TWO30" s="7"/>
      <c r="TWP30" s="7"/>
      <c r="TWQ30" s="7"/>
      <c r="TWR30" s="7"/>
      <c r="TWS30" s="7"/>
      <c r="TWT30" s="7"/>
      <c r="TWU30" s="7"/>
      <c r="TWV30" s="7"/>
      <c r="TWW30" s="7"/>
      <c r="TWX30" s="7"/>
      <c r="TWY30" s="7"/>
      <c r="TWZ30" s="7"/>
      <c r="TXA30" s="7"/>
      <c r="TXB30" s="7"/>
      <c r="TXC30" s="7"/>
      <c r="TXD30" s="7"/>
      <c r="TXE30" s="7"/>
      <c r="TXF30" s="7"/>
      <c r="TXG30" s="7"/>
      <c r="TXH30" s="7"/>
      <c r="TXI30" s="7"/>
      <c r="TXJ30" s="7"/>
      <c r="TXK30" s="7"/>
      <c r="TXL30" s="7"/>
      <c r="TXM30" s="7"/>
      <c r="TXN30" s="7"/>
      <c r="TXO30" s="7"/>
      <c r="TXP30" s="7"/>
      <c r="TXQ30" s="7"/>
      <c r="TXR30" s="7"/>
      <c r="TXS30" s="7"/>
      <c r="TXT30" s="7"/>
      <c r="TXU30" s="7"/>
      <c r="TXV30" s="7"/>
      <c r="TXW30" s="7"/>
      <c r="TXX30" s="7"/>
      <c r="TXY30" s="7"/>
      <c r="TXZ30" s="7"/>
      <c r="TYA30" s="7"/>
      <c r="TYB30" s="7"/>
      <c r="TYC30" s="7"/>
      <c r="TYD30" s="7"/>
      <c r="TYE30" s="7"/>
      <c r="TYF30" s="7"/>
      <c r="TYG30" s="7"/>
      <c r="TYH30" s="7"/>
      <c r="TYI30" s="7"/>
      <c r="TYJ30" s="7"/>
      <c r="TYK30" s="7"/>
      <c r="TYL30" s="7"/>
      <c r="TYM30" s="7"/>
      <c r="TYN30" s="7"/>
      <c r="TYO30" s="7"/>
      <c r="TYP30" s="7"/>
      <c r="TYQ30" s="7"/>
      <c r="TYR30" s="7"/>
      <c r="TYS30" s="7"/>
      <c r="TYT30" s="7"/>
      <c r="TYU30" s="7"/>
      <c r="TYV30" s="7"/>
      <c r="TYW30" s="7"/>
      <c r="TYX30" s="7"/>
      <c r="TYY30" s="7"/>
      <c r="TYZ30" s="7"/>
      <c r="TZA30" s="7"/>
      <c r="TZB30" s="7"/>
      <c r="TZC30" s="7"/>
      <c r="TZD30" s="7"/>
      <c r="TZE30" s="7"/>
      <c r="TZF30" s="7"/>
      <c r="TZG30" s="7"/>
      <c r="TZH30" s="7"/>
      <c r="TZI30" s="7"/>
      <c r="TZJ30" s="7"/>
      <c r="TZK30" s="7"/>
      <c r="TZL30" s="7"/>
      <c r="TZM30" s="7"/>
      <c r="TZN30" s="7"/>
      <c r="TZO30" s="7"/>
      <c r="TZP30" s="7"/>
      <c r="TZQ30" s="7"/>
      <c r="TZR30" s="7"/>
      <c r="TZS30" s="7"/>
      <c r="TZT30" s="7"/>
      <c r="TZU30" s="7"/>
      <c r="TZV30" s="7"/>
      <c r="TZW30" s="7"/>
      <c r="TZX30" s="7"/>
      <c r="TZY30" s="7"/>
      <c r="TZZ30" s="7"/>
      <c r="UAA30" s="7"/>
      <c r="UAB30" s="7"/>
      <c r="UAC30" s="7"/>
      <c r="UAD30" s="7"/>
      <c r="UAE30" s="7"/>
      <c r="UAF30" s="7"/>
      <c r="UAG30" s="7"/>
      <c r="UAH30" s="7"/>
      <c r="UAI30" s="7"/>
      <c r="UAJ30" s="7"/>
      <c r="UAK30" s="7"/>
      <c r="UAL30" s="7"/>
      <c r="UAM30" s="7"/>
      <c r="UAN30" s="7"/>
      <c r="UAO30" s="7"/>
      <c r="UAP30" s="7"/>
      <c r="UAQ30" s="7"/>
      <c r="UAR30" s="7"/>
      <c r="UAS30" s="7"/>
      <c r="UAT30" s="7"/>
      <c r="UAU30" s="7"/>
      <c r="UAV30" s="7"/>
      <c r="UAW30" s="7"/>
      <c r="UAX30" s="7"/>
      <c r="UAY30" s="7"/>
      <c r="UAZ30" s="7"/>
      <c r="UBA30" s="7"/>
      <c r="UBB30" s="7"/>
      <c r="UBC30" s="7"/>
      <c r="UBD30" s="7"/>
      <c r="UBE30" s="7"/>
      <c r="UBF30" s="7"/>
      <c r="UBG30" s="7"/>
      <c r="UBH30" s="7"/>
      <c r="UBI30" s="7"/>
      <c r="UBJ30" s="7"/>
      <c r="UBK30" s="7"/>
      <c r="UBL30" s="7"/>
      <c r="UBM30" s="7"/>
      <c r="UBN30" s="7"/>
      <c r="UBO30" s="7"/>
      <c r="UBP30" s="7"/>
      <c r="UBQ30" s="7"/>
      <c r="UBR30" s="7"/>
      <c r="UBS30" s="7"/>
      <c r="UBT30" s="7"/>
      <c r="UBU30" s="7"/>
      <c r="UBV30" s="7"/>
      <c r="UBW30" s="7"/>
      <c r="UBX30" s="7"/>
      <c r="UBY30" s="7"/>
      <c r="UBZ30" s="7"/>
      <c r="UCA30" s="7"/>
      <c r="UCB30" s="7"/>
      <c r="UCC30" s="7"/>
      <c r="UCD30" s="7"/>
      <c r="UCE30" s="7"/>
      <c r="UCF30" s="7"/>
      <c r="UCG30" s="7"/>
      <c r="UCH30" s="7"/>
      <c r="UCI30" s="7"/>
      <c r="UCJ30" s="7"/>
      <c r="UCK30" s="7"/>
      <c r="UCL30" s="7"/>
      <c r="UCM30" s="7"/>
      <c r="UCN30" s="7"/>
      <c r="UCO30" s="7"/>
      <c r="UCP30" s="7"/>
      <c r="UCQ30" s="7"/>
      <c r="UCR30" s="7"/>
      <c r="UCS30" s="7"/>
      <c r="UCT30" s="7"/>
      <c r="UCU30" s="7"/>
      <c r="UCV30" s="7"/>
      <c r="UCW30" s="7"/>
      <c r="UCX30" s="7"/>
      <c r="UCY30" s="7"/>
      <c r="UCZ30" s="7"/>
      <c r="UDA30" s="7"/>
      <c r="UDB30" s="7"/>
      <c r="UDC30" s="7"/>
      <c r="UDD30" s="7"/>
      <c r="UDE30" s="7"/>
      <c r="UDF30" s="7"/>
      <c r="UDG30" s="7"/>
      <c r="UDH30" s="7"/>
      <c r="UDI30" s="7"/>
      <c r="UDJ30" s="7"/>
      <c r="UDK30" s="7"/>
      <c r="UDL30" s="7"/>
      <c r="UDM30" s="7"/>
      <c r="UDN30" s="7"/>
      <c r="UDO30" s="7"/>
      <c r="UDP30" s="7"/>
      <c r="UDQ30" s="7"/>
      <c r="UDR30" s="7"/>
      <c r="UDS30" s="7"/>
      <c r="UDT30" s="7"/>
      <c r="UDU30" s="7"/>
      <c r="UDV30" s="7"/>
      <c r="UDW30" s="7"/>
      <c r="UDX30" s="7"/>
      <c r="UDY30" s="7"/>
      <c r="UDZ30" s="7"/>
      <c r="UEA30" s="7"/>
      <c r="UEB30" s="7"/>
      <c r="UEC30" s="7"/>
      <c r="UED30" s="7"/>
      <c r="UEE30" s="7"/>
      <c r="UEF30" s="7"/>
      <c r="UEG30" s="7"/>
      <c r="UEH30" s="7"/>
      <c r="UEI30" s="7"/>
      <c r="UEJ30" s="7"/>
      <c r="UEK30" s="7"/>
      <c r="UEL30" s="7"/>
      <c r="UEM30" s="7"/>
      <c r="UEN30" s="7"/>
      <c r="UEO30" s="7"/>
      <c r="UEP30" s="7"/>
      <c r="UEQ30" s="7"/>
      <c r="UER30" s="7"/>
      <c r="UES30" s="7"/>
      <c r="UET30" s="7"/>
      <c r="UEU30" s="7"/>
      <c r="UEV30" s="7"/>
      <c r="UEW30" s="7"/>
      <c r="UEX30" s="7"/>
      <c r="UEY30" s="7"/>
      <c r="UEZ30" s="7"/>
      <c r="UFA30" s="7"/>
      <c r="UFB30" s="7"/>
      <c r="UFC30" s="7"/>
      <c r="UFD30" s="7"/>
      <c r="UFE30" s="7"/>
      <c r="UFF30" s="7"/>
      <c r="UFG30" s="7"/>
      <c r="UFH30" s="7"/>
      <c r="UFI30" s="7"/>
      <c r="UFJ30" s="7"/>
      <c r="UFK30" s="7"/>
      <c r="UFL30" s="7"/>
      <c r="UFM30" s="7"/>
      <c r="UFN30" s="7"/>
      <c r="UFO30" s="7"/>
      <c r="UFP30" s="7"/>
      <c r="UFQ30" s="7"/>
      <c r="UFR30" s="7"/>
      <c r="UFS30" s="7"/>
      <c r="UFT30" s="7"/>
      <c r="UFU30" s="7"/>
      <c r="UFV30" s="7"/>
      <c r="UFW30" s="7"/>
      <c r="UFX30" s="7"/>
      <c r="UFY30" s="7"/>
      <c r="UFZ30" s="7"/>
      <c r="UGA30" s="7"/>
      <c r="UGB30" s="7"/>
      <c r="UGC30" s="7"/>
      <c r="UGD30" s="7"/>
      <c r="UGE30" s="7"/>
      <c r="UGF30" s="7"/>
      <c r="UGG30" s="7"/>
      <c r="UGH30" s="7"/>
      <c r="UGI30" s="7"/>
      <c r="UGJ30" s="7"/>
      <c r="UGK30" s="7"/>
      <c r="UGL30" s="7"/>
      <c r="UGM30" s="7"/>
      <c r="UGN30" s="7"/>
      <c r="UGO30" s="7"/>
      <c r="UGP30" s="7"/>
      <c r="UGQ30" s="7"/>
      <c r="UGR30" s="7"/>
      <c r="UGS30" s="7"/>
      <c r="UGT30" s="7"/>
      <c r="UGU30" s="7"/>
      <c r="UGV30" s="7"/>
      <c r="UGW30" s="7"/>
      <c r="UGX30" s="7"/>
      <c r="UGY30" s="7"/>
      <c r="UGZ30" s="7"/>
      <c r="UHA30" s="7"/>
      <c r="UHB30" s="7"/>
      <c r="UHC30" s="7"/>
      <c r="UHD30" s="7"/>
      <c r="UHE30" s="7"/>
      <c r="UHF30" s="7"/>
      <c r="UHG30" s="7"/>
      <c r="UHH30" s="7"/>
      <c r="UHI30" s="7"/>
      <c r="UHJ30" s="7"/>
      <c r="UHK30" s="7"/>
      <c r="UHL30" s="7"/>
      <c r="UHM30" s="7"/>
      <c r="UHN30" s="7"/>
      <c r="UHO30" s="7"/>
      <c r="UHP30" s="7"/>
      <c r="UHQ30" s="7"/>
      <c r="UHR30" s="7"/>
      <c r="UHS30" s="7"/>
      <c r="UHT30" s="7"/>
      <c r="UHU30" s="7"/>
      <c r="UHV30" s="7"/>
      <c r="UHW30" s="7"/>
      <c r="UHX30" s="7"/>
      <c r="UHY30" s="7"/>
      <c r="UHZ30" s="7"/>
      <c r="UIA30" s="7"/>
      <c r="UIB30" s="7"/>
      <c r="UIC30" s="7"/>
      <c r="UID30" s="7"/>
      <c r="UIE30" s="7"/>
      <c r="UIF30" s="7"/>
      <c r="UIG30" s="7"/>
      <c r="UIH30" s="7"/>
      <c r="UII30" s="7"/>
      <c r="UIJ30" s="7"/>
      <c r="UIK30" s="7"/>
      <c r="UIL30" s="7"/>
      <c r="UIM30" s="7"/>
      <c r="UIN30" s="7"/>
      <c r="UIO30" s="7"/>
      <c r="UIP30" s="7"/>
      <c r="UIQ30" s="7"/>
      <c r="UIR30" s="7"/>
      <c r="UIS30" s="7"/>
      <c r="UIT30" s="7"/>
      <c r="UIU30" s="7"/>
      <c r="UIV30" s="7"/>
      <c r="UIW30" s="7"/>
      <c r="UIX30" s="7"/>
      <c r="UIY30" s="7"/>
      <c r="UIZ30" s="7"/>
      <c r="UJA30" s="7"/>
      <c r="UJB30" s="7"/>
      <c r="UJC30" s="7"/>
      <c r="UJD30" s="7"/>
      <c r="UJE30" s="7"/>
      <c r="UJF30" s="7"/>
      <c r="UJG30" s="7"/>
      <c r="UJH30" s="7"/>
      <c r="UJI30" s="7"/>
      <c r="UJJ30" s="7"/>
      <c r="UJK30" s="7"/>
      <c r="UJL30" s="7"/>
      <c r="UJM30" s="7"/>
      <c r="UJN30" s="7"/>
      <c r="UJO30" s="7"/>
      <c r="UJP30" s="7"/>
      <c r="UJQ30" s="7"/>
      <c r="UJR30" s="7"/>
      <c r="UJS30" s="7"/>
      <c r="UJT30" s="7"/>
      <c r="UJU30" s="7"/>
      <c r="UJV30" s="7"/>
      <c r="UJW30" s="7"/>
      <c r="UJX30" s="7"/>
      <c r="UJY30" s="7"/>
      <c r="UJZ30" s="7"/>
      <c r="UKA30" s="7"/>
      <c r="UKB30" s="7"/>
      <c r="UKC30" s="7"/>
      <c r="UKD30" s="7"/>
      <c r="UKE30" s="7"/>
      <c r="UKF30" s="7"/>
      <c r="UKG30" s="7"/>
      <c r="UKH30" s="7"/>
      <c r="UKI30" s="7"/>
      <c r="UKJ30" s="7"/>
      <c r="UKK30" s="7"/>
      <c r="UKL30" s="7"/>
      <c r="UKM30" s="7"/>
      <c r="UKN30" s="7"/>
      <c r="UKO30" s="7"/>
      <c r="UKP30" s="7"/>
      <c r="UKQ30" s="7"/>
      <c r="UKR30" s="7"/>
      <c r="UKS30" s="7"/>
      <c r="UKT30" s="7"/>
      <c r="UKU30" s="7"/>
      <c r="UKV30" s="7"/>
      <c r="UKW30" s="7"/>
      <c r="UKX30" s="7"/>
      <c r="UKY30" s="7"/>
      <c r="UKZ30" s="7"/>
      <c r="ULA30" s="7"/>
      <c r="ULB30" s="7"/>
      <c r="ULC30" s="7"/>
      <c r="ULD30" s="7"/>
      <c r="ULE30" s="7"/>
      <c r="ULF30" s="7"/>
      <c r="ULG30" s="7"/>
      <c r="ULH30" s="7"/>
      <c r="ULI30" s="7"/>
      <c r="ULJ30" s="7"/>
      <c r="ULK30" s="7"/>
      <c r="ULL30" s="7"/>
      <c r="ULM30" s="7"/>
      <c r="ULN30" s="7"/>
      <c r="ULO30" s="7"/>
      <c r="ULP30" s="7"/>
      <c r="ULQ30" s="7"/>
      <c r="ULR30" s="7"/>
      <c r="ULS30" s="7"/>
      <c r="ULT30" s="7"/>
      <c r="ULU30" s="7"/>
      <c r="ULV30" s="7"/>
      <c r="ULW30" s="7"/>
      <c r="ULX30" s="7"/>
      <c r="ULY30" s="7"/>
      <c r="ULZ30" s="7"/>
      <c r="UMA30" s="7"/>
      <c r="UMB30" s="7"/>
      <c r="UMC30" s="7"/>
      <c r="UMD30" s="7"/>
      <c r="UME30" s="7"/>
      <c r="UMF30" s="7"/>
      <c r="UMG30" s="7"/>
      <c r="UMH30" s="7"/>
      <c r="UMI30" s="7"/>
      <c r="UMJ30" s="7"/>
      <c r="UMK30" s="7"/>
      <c r="UML30" s="7"/>
      <c r="UMM30" s="7"/>
      <c r="UMN30" s="7"/>
      <c r="UMO30" s="7"/>
      <c r="UMP30" s="7"/>
      <c r="UMQ30" s="7"/>
      <c r="UMR30" s="7"/>
      <c r="UMS30" s="7"/>
      <c r="UMT30" s="7"/>
      <c r="UMU30" s="7"/>
      <c r="UMV30" s="7"/>
      <c r="UMW30" s="7"/>
      <c r="UMX30" s="7"/>
      <c r="UMY30" s="7"/>
      <c r="UMZ30" s="7"/>
      <c r="UNA30" s="7"/>
      <c r="UNB30" s="7"/>
      <c r="UNC30" s="7"/>
      <c r="UND30" s="7"/>
      <c r="UNE30" s="7"/>
      <c r="UNF30" s="7"/>
      <c r="UNG30" s="7"/>
      <c r="UNH30" s="7"/>
      <c r="UNI30" s="7"/>
      <c r="UNJ30" s="7"/>
      <c r="UNK30" s="7"/>
      <c r="UNL30" s="7"/>
      <c r="UNM30" s="7"/>
      <c r="UNN30" s="7"/>
      <c r="UNO30" s="7"/>
      <c r="UNP30" s="7"/>
      <c r="UNQ30" s="7"/>
      <c r="UNR30" s="7"/>
      <c r="UNS30" s="7"/>
      <c r="UNT30" s="7"/>
      <c r="UNU30" s="7"/>
      <c r="UNV30" s="7"/>
      <c r="UNW30" s="7"/>
      <c r="UNX30" s="7"/>
      <c r="UNY30" s="7"/>
      <c r="UNZ30" s="7"/>
      <c r="UOA30" s="7"/>
      <c r="UOB30" s="7"/>
      <c r="UOC30" s="7"/>
      <c r="UOD30" s="7"/>
      <c r="UOE30" s="7"/>
      <c r="UOF30" s="7"/>
      <c r="UOG30" s="7"/>
      <c r="UOH30" s="7"/>
      <c r="UOI30" s="7"/>
      <c r="UOJ30" s="7"/>
      <c r="UOK30" s="7"/>
      <c r="UOL30" s="7"/>
      <c r="UOM30" s="7"/>
      <c r="UON30" s="7"/>
      <c r="UOO30" s="7"/>
      <c r="UOP30" s="7"/>
      <c r="UOQ30" s="7"/>
      <c r="UOR30" s="7"/>
      <c r="UOS30" s="7"/>
      <c r="UOT30" s="7"/>
      <c r="UOU30" s="7"/>
      <c r="UOV30" s="7"/>
      <c r="UOW30" s="7"/>
      <c r="UOX30" s="7"/>
      <c r="UOY30" s="7"/>
      <c r="UOZ30" s="7"/>
      <c r="UPA30" s="7"/>
      <c r="UPB30" s="7"/>
      <c r="UPC30" s="7"/>
      <c r="UPD30" s="7"/>
      <c r="UPE30" s="7"/>
      <c r="UPF30" s="7"/>
      <c r="UPG30" s="7"/>
      <c r="UPH30" s="7"/>
      <c r="UPI30" s="7"/>
      <c r="UPJ30" s="7"/>
      <c r="UPK30" s="7"/>
      <c r="UPL30" s="7"/>
      <c r="UPM30" s="7"/>
      <c r="UPN30" s="7"/>
      <c r="UPO30" s="7"/>
      <c r="UPP30" s="7"/>
      <c r="UPQ30" s="7"/>
      <c r="UPR30" s="7"/>
      <c r="UPS30" s="7"/>
      <c r="UPT30" s="7"/>
      <c r="UPU30" s="7"/>
      <c r="UPV30" s="7"/>
      <c r="UPW30" s="7"/>
      <c r="UPX30" s="7"/>
      <c r="UPY30" s="7"/>
      <c r="UPZ30" s="7"/>
      <c r="UQA30" s="7"/>
      <c r="UQB30" s="7"/>
      <c r="UQC30" s="7"/>
      <c r="UQD30" s="7"/>
      <c r="UQE30" s="7"/>
      <c r="UQF30" s="7"/>
      <c r="UQG30" s="7"/>
      <c r="UQH30" s="7"/>
      <c r="UQI30" s="7"/>
      <c r="UQJ30" s="7"/>
      <c r="UQK30" s="7"/>
      <c r="UQL30" s="7"/>
      <c r="UQM30" s="7"/>
      <c r="UQN30" s="7"/>
      <c r="UQO30" s="7"/>
      <c r="UQP30" s="7"/>
      <c r="UQQ30" s="7"/>
      <c r="UQR30" s="7"/>
      <c r="UQS30" s="7"/>
      <c r="UQT30" s="7"/>
      <c r="UQU30" s="7"/>
      <c r="UQV30" s="7"/>
      <c r="UQW30" s="7"/>
      <c r="UQX30" s="7"/>
      <c r="UQY30" s="7"/>
      <c r="UQZ30" s="7"/>
      <c r="URA30" s="7"/>
      <c r="URB30" s="7"/>
      <c r="URC30" s="7"/>
      <c r="URD30" s="7"/>
      <c r="URE30" s="7"/>
      <c r="URF30" s="7"/>
      <c r="URG30" s="7"/>
      <c r="URH30" s="7"/>
      <c r="URI30" s="7"/>
      <c r="URJ30" s="7"/>
      <c r="URK30" s="7"/>
      <c r="URL30" s="7"/>
      <c r="URM30" s="7"/>
      <c r="URN30" s="7"/>
      <c r="URO30" s="7"/>
      <c r="URP30" s="7"/>
      <c r="URQ30" s="7"/>
      <c r="URR30" s="7"/>
      <c r="URS30" s="7"/>
      <c r="URT30" s="7"/>
      <c r="URU30" s="7"/>
      <c r="URV30" s="7"/>
      <c r="URW30" s="7"/>
      <c r="URX30" s="7"/>
      <c r="URY30" s="7"/>
      <c r="URZ30" s="7"/>
      <c r="USA30" s="7"/>
      <c r="USB30" s="7"/>
      <c r="USC30" s="7"/>
      <c r="USD30" s="7"/>
      <c r="USE30" s="7"/>
      <c r="USF30" s="7"/>
      <c r="USG30" s="7"/>
      <c r="USH30" s="7"/>
      <c r="USI30" s="7"/>
      <c r="USJ30" s="7"/>
      <c r="USK30" s="7"/>
      <c r="USL30" s="7"/>
      <c r="USM30" s="7"/>
      <c r="USN30" s="7"/>
      <c r="USO30" s="7"/>
      <c r="USP30" s="7"/>
      <c r="USQ30" s="7"/>
      <c r="USR30" s="7"/>
      <c r="USS30" s="7"/>
      <c r="UST30" s="7"/>
      <c r="USU30" s="7"/>
      <c r="USV30" s="7"/>
      <c r="USW30" s="7"/>
      <c r="USX30" s="7"/>
      <c r="USY30" s="7"/>
      <c r="USZ30" s="7"/>
      <c r="UTA30" s="7"/>
      <c r="UTB30" s="7"/>
      <c r="UTC30" s="7"/>
      <c r="UTD30" s="7"/>
      <c r="UTE30" s="7"/>
      <c r="UTF30" s="7"/>
      <c r="UTG30" s="7"/>
      <c r="UTH30" s="7"/>
      <c r="UTI30" s="7"/>
      <c r="UTJ30" s="7"/>
      <c r="UTK30" s="7"/>
      <c r="UTL30" s="7"/>
      <c r="UTM30" s="7"/>
      <c r="UTN30" s="7"/>
      <c r="UTO30" s="7"/>
      <c r="UTP30" s="7"/>
      <c r="UTQ30" s="7"/>
      <c r="UTR30" s="7"/>
      <c r="UTS30" s="7"/>
      <c r="UTT30" s="7"/>
      <c r="UTU30" s="7"/>
      <c r="UTV30" s="7"/>
      <c r="UTW30" s="7"/>
      <c r="UTX30" s="7"/>
      <c r="UTY30" s="7"/>
      <c r="UTZ30" s="7"/>
      <c r="UUA30" s="7"/>
      <c r="UUB30" s="7"/>
      <c r="UUC30" s="7"/>
      <c r="UUD30" s="7"/>
      <c r="UUE30" s="7"/>
      <c r="UUF30" s="7"/>
      <c r="UUG30" s="7"/>
      <c r="UUH30" s="7"/>
      <c r="UUI30" s="7"/>
      <c r="UUJ30" s="7"/>
      <c r="UUK30" s="7"/>
      <c r="UUL30" s="7"/>
      <c r="UUM30" s="7"/>
      <c r="UUN30" s="7"/>
      <c r="UUO30" s="7"/>
      <c r="UUP30" s="7"/>
      <c r="UUQ30" s="7"/>
      <c r="UUR30" s="7"/>
      <c r="UUS30" s="7"/>
      <c r="UUT30" s="7"/>
      <c r="UUU30" s="7"/>
      <c r="UUV30" s="7"/>
      <c r="UUW30" s="7"/>
      <c r="UUX30" s="7"/>
      <c r="UUY30" s="7"/>
      <c r="UUZ30" s="7"/>
      <c r="UVA30" s="7"/>
      <c r="UVB30" s="7"/>
      <c r="UVC30" s="7"/>
      <c r="UVD30" s="7"/>
      <c r="UVE30" s="7"/>
      <c r="UVF30" s="7"/>
      <c r="UVG30" s="7"/>
      <c r="UVH30" s="7"/>
      <c r="UVI30" s="7"/>
      <c r="UVJ30" s="7"/>
      <c r="UVK30" s="7"/>
      <c r="UVL30" s="7"/>
      <c r="UVM30" s="7"/>
      <c r="UVN30" s="7"/>
      <c r="UVO30" s="7"/>
      <c r="UVP30" s="7"/>
      <c r="UVQ30" s="7"/>
      <c r="UVR30" s="7"/>
      <c r="UVS30" s="7"/>
      <c r="UVT30" s="7"/>
      <c r="UVU30" s="7"/>
      <c r="UVV30" s="7"/>
      <c r="UVW30" s="7"/>
      <c r="UVX30" s="7"/>
      <c r="UVY30" s="7"/>
      <c r="UVZ30" s="7"/>
      <c r="UWA30" s="7"/>
      <c r="UWB30" s="7"/>
      <c r="UWC30" s="7"/>
      <c r="UWD30" s="7"/>
      <c r="UWE30" s="7"/>
      <c r="UWF30" s="7"/>
      <c r="UWG30" s="7"/>
      <c r="UWH30" s="7"/>
      <c r="UWI30" s="7"/>
      <c r="UWJ30" s="7"/>
      <c r="UWK30" s="7"/>
      <c r="UWL30" s="7"/>
      <c r="UWM30" s="7"/>
      <c r="UWN30" s="7"/>
      <c r="UWO30" s="7"/>
      <c r="UWP30" s="7"/>
      <c r="UWQ30" s="7"/>
      <c r="UWR30" s="7"/>
      <c r="UWS30" s="7"/>
      <c r="UWT30" s="7"/>
      <c r="UWU30" s="7"/>
      <c r="UWV30" s="7"/>
      <c r="UWW30" s="7"/>
      <c r="UWX30" s="7"/>
      <c r="UWY30" s="7"/>
      <c r="UWZ30" s="7"/>
      <c r="UXA30" s="7"/>
      <c r="UXB30" s="7"/>
      <c r="UXC30" s="7"/>
      <c r="UXD30" s="7"/>
      <c r="UXE30" s="7"/>
      <c r="UXF30" s="7"/>
      <c r="UXG30" s="7"/>
      <c r="UXH30" s="7"/>
      <c r="UXI30" s="7"/>
      <c r="UXJ30" s="7"/>
      <c r="UXK30" s="7"/>
      <c r="UXL30" s="7"/>
      <c r="UXM30" s="7"/>
      <c r="UXN30" s="7"/>
      <c r="UXO30" s="7"/>
      <c r="UXP30" s="7"/>
      <c r="UXQ30" s="7"/>
      <c r="UXR30" s="7"/>
      <c r="UXS30" s="7"/>
      <c r="UXT30" s="7"/>
      <c r="UXU30" s="7"/>
      <c r="UXV30" s="7"/>
      <c r="UXW30" s="7"/>
      <c r="UXX30" s="7"/>
      <c r="UXY30" s="7"/>
      <c r="UXZ30" s="7"/>
      <c r="UYA30" s="7"/>
      <c r="UYB30" s="7"/>
      <c r="UYC30" s="7"/>
      <c r="UYD30" s="7"/>
      <c r="UYE30" s="7"/>
      <c r="UYF30" s="7"/>
      <c r="UYG30" s="7"/>
      <c r="UYH30" s="7"/>
      <c r="UYI30" s="7"/>
      <c r="UYJ30" s="7"/>
      <c r="UYK30" s="7"/>
      <c r="UYL30" s="7"/>
      <c r="UYM30" s="7"/>
      <c r="UYN30" s="7"/>
      <c r="UYO30" s="7"/>
      <c r="UYP30" s="7"/>
      <c r="UYQ30" s="7"/>
      <c r="UYR30" s="7"/>
      <c r="UYS30" s="7"/>
      <c r="UYT30" s="7"/>
      <c r="UYU30" s="7"/>
      <c r="UYV30" s="7"/>
      <c r="UYW30" s="7"/>
      <c r="UYX30" s="7"/>
      <c r="UYY30" s="7"/>
      <c r="UYZ30" s="7"/>
      <c r="UZA30" s="7"/>
      <c r="UZB30" s="7"/>
      <c r="UZC30" s="7"/>
      <c r="UZD30" s="7"/>
      <c r="UZE30" s="7"/>
      <c r="UZF30" s="7"/>
      <c r="UZG30" s="7"/>
      <c r="UZH30" s="7"/>
      <c r="UZI30" s="7"/>
      <c r="UZJ30" s="7"/>
      <c r="UZK30" s="7"/>
      <c r="UZL30" s="7"/>
      <c r="UZM30" s="7"/>
      <c r="UZN30" s="7"/>
      <c r="UZO30" s="7"/>
      <c r="UZP30" s="7"/>
      <c r="UZQ30" s="7"/>
      <c r="UZR30" s="7"/>
      <c r="UZS30" s="7"/>
      <c r="UZT30" s="7"/>
      <c r="UZU30" s="7"/>
      <c r="UZV30" s="7"/>
      <c r="UZW30" s="7"/>
      <c r="UZX30" s="7"/>
      <c r="UZY30" s="7"/>
      <c r="UZZ30" s="7"/>
      <c r="VAA30" s="7"/>
      <c r="VAB30" s="7"/>
      <c r="VAC30" s="7"/>
      <c r="VAD30" s="7"/>
      <c r="VAE30" s="7"/>
      <c r="VAF30" s="7"/>
      <c r="VAG30" s="7"/>
      <c r="VAH30" s="7"/>
      <c r="VAI30" s="7"/>
      <c r="VAJ30" s="7"/>
      <c r="VAK30" s="7"/>
      <c r="VAL30" s="7"/>
      <c r="VAM30" s="7"/>
      <c r="VAN30" s="7"/>
      <c r="VAO30" s="7"/>
      <c r="VAP30" s="7"/>
      <c r="VAQ30" s="7"/>
      <c r="VAR30" s="7"/>
      <c r="VAS30" s="7"/>
      <c r="VAT30" s="7"/>
      <c r="VAU30" s="7"/>
      <c r="VAV30" s="7"/>
      <c r="VAW30" s="7"/>
      <c r="VAX30" s="7"/>
      <c r="VAY30" s="7"/>
      <c r="VAZ30" s="7"/>
      <c r="VBA30" s="7"/>
      <c r="VBB30" s="7"/>
      <c r="VBC30" s="7"/>
      <c r="VBD30" s="7"/>
      <c r="VBE30" s="7"/>
      <c r="VBF30" s="7"/>
      <c r="VBG30" s="7"/>
      <c r="VBH30" s="7"/>
      <c r="VBI30" s="7"/>
      <c r="VBJ30" s="7"/>
      <c r="VBK30" s="7"/>
      <c r="VBL30" s="7"/>
      <c r="VBM30" s="7"/>
      <c r="VBN30" s="7"/>
      <c r="VBO30" s="7"/>
      <c r="VBP30" s="7"/>
      <c r="VBQ30" s="7"/>
      <c r="VBR30" s="7"/>
      <c r="VBS30" s="7"/>
      <c r="VBT30" s="7"/>
      <c r="VBU30" s="7"/>
      <c r="VBV30" s="7"/>
      <c r="VBW30" s="7"/>
      <c r="VBX30" s="7"/>
      <c r="VBY30" s="7"/>
      <c r="VBZ30" s="7"/>
      <c r="VCA30" s="7"/>
      <c r="VCB30" s="7"/>
      <c r="VCC30" s="7"/>
      <c r="VCD30" s="7"/>
      <c r="VCE30" s="7"/>
      <c r="VCF30" s="7"/>
      <c r="VCG30" s="7"/>
      <c r="VCH30" s="7"/>
      <c r="VCI30" s="7"/>
      <c r="VCJ30" s="7"/>
      <c r="VCK30" s="7"/>
      <c r="VCL30" s="7"/>
      <c r="VCM30" s="7"/>
      <c r="VCN30" s="7"/>
      <c r="VCO30" s="7"/>
      <c r="VCP30" s="7"/>
      <c r="VCQ30" s="7"/>
      <c r="VCR30" s="7"/>
      <c r="VCS30" s="7"/>
      <c r="VCT30" s="7"/>
      <c r="VCU30" s="7"/>
      <c r="VCV30" s="7"/>
      <c r="VCW30" s="7"/>
      <c r="VCX30" s="7"/>
      <c r="VCY30" s="7"/>
      <c r="VCZ30" s="7"/>
      <c r="VDA30" s="7"/>
      <c r="VDB30" s="7"/>
      <c r="VDC30" s="7"/>
      <c r="VDD30" s="7"/>
      <c r="VDE30" s="7"/>
      <c r="VDF30" s="7"/>
      <c r="VDG30" s="7"/>
      <c r="VDH30" s="7"/>
      <c r="VDI30" s="7"/>
      <c r="VDJ30" s="7"/>
      <c r="VDK30" s="7"/>
      <c r="VDL30" s="7"/>
      <c r="VDM30" s="7"/>
      <c r="VDN30" s="7"/>
      <c r="VDO30" s="7"/>
      <c r="VDP30" s="7"/>
      <c r="VDQ30" s="7"/>
      <c r="VDR30" s="7"/>
      <c r="VDS30" s="7"/>
      <c r="VDT30" s="7"/>
      <c r="VDU30" s="7"/>
      <c r="VDV30" s="7"/>
      <c r="VDW30" s="7"/>
      <c r="VDX30" s="7"/>
      <c r="VDY30" s="7"/>
      <c r="VDZ30" s="7"/>
      <c r="VEA30" s="7"/>
      <c r="VEB30" s="7"/>
      <c r="VEC30" s="7"/>
      <c r="VED30" s="7"/>
      <c r="VEE30" s="7"/>
      <c r="VEF30" s="7"/>
      <c r="VEG30" s="7"/>
      <c r="VEH30" s="7"/>
      <c r="VEI30" s="7"/>
      <c r="VEJ30" s="7"/>
      <c r="VEK30" s="7"/>
      <c r="VEL30" s="7"/>
      <c r="VEM30" s="7"/>
      <c r="VEN30" s="7"/>
      <c r="VEO30" s="7"/>
      <c r="VEP30" s="7"/>
      <c r="VEQ30" s="7"/>
      <c r="VER30" s="7"/>
      <c r="VES30" s="7"/>
      <c r="VET30" s="7"/>
      <c r="VEU30" s="7"/>
      <c r="VEV30" s="7"/>
      <c r="VEW30" s="7"/>
      <c r="VEX30" s="7"/>
      <c r="VEY30" s="7"/>
      <c r="VEZ30" s="7"/>
      <c r="VFA30" s="7"/>
      <c r="VFB30" s="7"/>
      <c r="VFC30" s="7"/>
      <c r="VFD30" s="7"/>
      <c r="VFE30" s="7"/>
      <c r="VFF30" s="7"/>
      <c r="VFG30" s="7"/>
      <c r="VFH30" s="7"/>
      <c r="VFI30" s="7"/>
      <c r="VFJ30" s="7"/>
      <c r="VFK30" s="7"/>
      <c r="VFL30" s="7"/>
      <c r="VFM30" s="7"/>
      <c r="VFN30" s="7"/>
      <c r="VFO30" s="7"/>
      <c r="VFP30" s="7"/>
      <c r="VFQ30" s="7"/>
      <c r="VFR30" s="7"/>
      <c r="VFS30" s="7"/>
      <c r="VFT30" s="7"/>
      <c r="VFU30" s="7"/>
      <c r="VFV30" s="7"/>
      <c r="VFW30" s="7"/>
      <c r="VFX30" s="7"/>
      <c r="VFY30" s="7"/>
      <c r="VFZ30" s="7"/>
      <c r="VGA30" s="7"/>
      <c r="VGB30" s="7"/>
      <c r="VGC30" s="7"/>
      <c r="VGD30" s="7"/>
      <c r="VGE30" s="7"/>
      <c r="VGF30" s="7"/>
      <c r="VGG30" s="7"/>
      <c r="VGH30" s="7"/>
      <c r="VGI30" s="7"/>
      <c r="VGJ30" s="7"/>
      <c r="VGK30" s="7"/>
      <c r="VGL30" s="7"/>
      <c r="VGM30" s="7"/>
      <c r="VGN30" s="7"/>
      <c r="VGO30" s="7"/>
      <c r="VGP30" s="7"/>
      <c r="VGQ30" s="7"/>
      <c r="VGR30" s="7"/>
      <c r="VGS30" s="7"/>
      <c r="VGT30" s="7"/>
      <c r="VGU30" s="7"/>
      <c r="VGV30" s="7"/>
      <c r="VGW30" s="7"/>
      <c r="VGX30" s="7"/>
      <c r="VGY30" s="7"/>
      <c r="VGZ30" s="7"/>
      <c r="VHA30" s="7"/>
      <c r="VHB30" s="7"/>
      <c r="VHC30" s="7"/>
      <c r="VHD30" s="7"/>
      <c r="VHE30" s="7"/>
      <c r="VHF30" s="7"/>
      <c r="VHG30" s="7"/>
      <c r="VHH30" s="7"/>
      <c r="VHI30" s="7"/>
      <c r="VHJ30" s="7"/>
      <c r="VHK30" s="7"/>
      <c r="VHL30" s="7"/>
      <c r="VHM30" s="7"/>
      <c r="VHN30" s="7"/>
      <c r="VHO30" s="7"/>
      <c r="VHP30" s="7"/>
      <c r="VHQ30" s="7"/>
      <c r="VHR30" s="7"/>
      <c r="VHS30" s="7"/>
      <c r="VHT30" s="7"/>
      <c r="VHU30" s="7"/>
      <c r="VHV30" s="7"/>
      <c r="VHW30" s="7"/>
      <c r="VHX30" s="7"/>
      <c r="VHY30" s="7"/>
      <c r="VHZ30" s="7"/>
      <c r="VIA30" s="7"/>
      <c r="VIB30" s="7"/>
      <c r="VIC30" s="7"/>
      <c r="VID30" s="7"/>
      <c r="VIE30" s="7"/>
      <c r="VIF30" s="7"/>
      <c r="VIG30" s="7"/>
      <c r="VIH30" s="7"/>
      <c r="VII30" s="7"/>
      <c r="VIJ30" s="7"/>
      <c r="VIK30" s="7"/>
      <c r="VIL30" s="7"/>
      <c r="VIM30" s="7"/>
      <c r="VIN30" s="7"/>
      <c r="VIO30" s="7"/>
      <c r="VIP30" s="7"/>
      <c r="VIQ30" s="7"/>
      <c r="VIR30" s="7"/>
      <c r="VIS30" s="7"/>
      <c r="VIT30" s="7"/>
      <c r="VIU30" s="7"/>
      <c r="VIV30" s="7"/>
      <c r="VIW30" s="7"/>
      <c r="VIX30" s="7"/>
      <c r="VIY30" s="7"/>
      <c r="VIZ30" s="7"/>
      <c r="VJA30" s="7"/>
      <c r="VJB30" s="7"/>
      <c r="VJC30" s="7"/>
      <c r="VJD30" s="7"/>
      <c r="VJE30" s="7"/>
      <c r="VJF30" s="7"/>
      <c r="VJG30" s="7"/>
      <c r="VJH30" s="7"/>
      <c r="VJI30" s="7"/>
      <c r="VJJ30" s="7"/>
      <c r="VJK30" s="7"/>
      <c r="VJL30" s="7"/>
      <c r="VJM30" s="7"/>
      <c r="VJN30" s="7"/>
      <c r="VJO30" s="7"/>
      <c r="VJP30" s="7"/>
      <c r="VJQ30" s="7"/>
      <c r="VJR30" s="7"/>
      <c r="VJS30" s="7"/>
      <c r="VJT30" s="7"/>
      <c r="VJU30" s="7"/>
      <c r="VJV30" s="7"/>
      <c r="VJW30" s="7"/>
      <c r="VJX30" s="7"/>
      <c r="VJY30" s="7"/>
      <c r="VJZ30" s="7"/>
      <c r="VKA30" s="7"/>
      <c r="VKB30" s="7"/>
      <c r="VKC30" s="7"/>
      <c r="VKD30" s="7"/>
      <c r="VKE30" s="7"/>
      <c r="VKF30" s="7"/>
      <c r="VKG30" s="7"/>
      <c r="VKH30" s="7"/>
      <c r="VKI30" s="7"/>
      <c r="VKJ30" s="7"/>
      <c r="VKK30" s="7"/>
      <c r="VKL30" s="7"/>
      <c r="VKM30" s="7"/>
      <c r="VKN30" s="7"/>
      <c r="VKO30" s="7"/>
      <c r="VKP30" s="7"/>
      <c r="VKQ30" s="7"/>
      <c r="VKR30" s="7"/>
      <c r="VKS30" s="7"/>
      <c r="VKT30" s="7"/>
      <c r="VKU30" s="7"/>
      <c r="VKV30" s="7"/>
      <c r="VKW30" s="7"/>
      <c r="VKX30" s="7"/>
      <c r="VKY30" s="7"/>
      <c r="VKZ30" s="7"/>
      <c r="VLA30" s="7"/>
      <c r="VLB30" s="7"/>
      <c r="VLC30" s="7"/>
      <c r="VLD30" s="7"/>
      <c r="VLE30" s="7"/>
      <c r="VLF30" s="7"/>
      <c r="VLG30" s="7"/>
      <c r="VLH30" s="7"/>
      <c r="VLI30" s="7"/>
      <c r="VLJ30" s="7"/>
      <c r="VLK30" s="7"/>
      <c r="VLL30" s="7"/>
      <c r="VLM30" s="7"/>
      <c r="VLN30" s="7"/>
      <c r="VLO30" s="7"/>
      <c r="VLP30" s="7"/>
      <c r="VLQ30" s="7"/>
      <c r="VLR30" s="7"/>
      <c r="VLS30" s="7"/>
      <c r="VLT30" s="7"/>
      <c r="VLU30" s="7"/>
      <c r="VLV30" s="7"/>
      <c r="VLW30" s="7"/>
      <c r="VLX30" s="7"/>
      <c r="VLY30" s="7"/>
      <c r="VLZ30" s="7"/>
      <c r="VMA30" s="7"/>
      <c r="VMB30" s="7"/>
      <c r="VMC30" s="7"/>
      <c r="VMD30" s="7"/>
      <c r="VME30" s="7"/>
      <c r="VMF30" s="7"/>
      <c r="VMG30" s="7"/>
      <c r="VMH30" s="7"/>
      <c r="VMI30" s="7"/>
      <c r="VMJ30" s="7"/>
      <c r="VMK30" s="7"/>
      <c r="VML30" s="7"/>
      <c r="VMM30" s="7"/>
      <c r="VMN30" s="7"/>
      <c r="VMO30" s="7"/>
      <c r="VMP30" s="7"/>
      <c r="VMQ30" s="7"/>
      <c r="VMR30" s="7"/>
      <c r="VMS30" s="7"/>
      <c r="VMT30" s="7"/>
      <c r="VMU30" s="7"/>
      <c r="VMV30" s="7"/>
      <c r="VMW30" s="7"/>
      <c r="VMX30" s="7"/>
      <c r="VMY30" s="7"/>
      <c r="VMZ30" s="7"/>
      <c r="VNA30" s="7"/>
      <c r="VNB30" s="7"/>
      <c r="VNC30" s="7"/>
      <c r="VND30" s="7"/>
      <c r="VNE30" s="7"/>
      <c r="VNF30" s="7"/>
      <c r="VNG30" s="7"/>
      <c r="VNH30" s="7"/>
      <c r="VNI30" s="7"/>
      <c r="VNJ30" s="7"/>
      <c r="VNK30" s="7"/>
      <c r="VNL30" s="7"/>
      <c r="VNM30" s="7"/>
      <c r="VNN30" s="7"/>
      <c r="VNO30" s="7"/>
      <c r="VNP30" s="7"/>
      <c r="VNQ30" s="7"/>
      <c r="VNR30" s="7"/>
      <c r="VNS30" s="7"/>
      <c r="VNT30" s="7"/>
      <c r="VNU30" s="7"/>
      <c r="VNV30" s="7"/>
      <c r="VNW30" s="7"/>
      <c r="VNX30" s="7"/>
      <c r="VNY30" s="7"/>
      <c r="VNZ30" s="7"/>
      <c r="VOA30" s="7"/>
      <c r="VOB30" s="7"/>
      <c r="VOC30" s="7"/>
      <c r="VOD30" s="7"/>
      <c r="VOE30" s="7"/>
      <c r="VOF30" s="7"/>
      <c r="VOG30" s="7"/>
      <c r="VOH30" s="7"/>
      <c r="VOI30" s="7"/>
      <c r="VOJ30" s="7"/>
      <c r="VOK30" s="7"/>
      <c r="VOL30" s="7"/>
      <c r="VOM30" s="7"/>
      <c r="VON30" s="7"/>
      <c r="VOO30" s="7"/>
      <c r="VOP30" s="7"/>
      <c r="VOQ30" s="7"/>
      <c r="VOR30" s="7"/>
      <c r="VOS30" s="7"/>
      <c r="VOT30" s="7"/>
      <c r="VOU30" s="7"/>
      <c r="VOV30" s="7"/>
      <c r="VOW30" s="7"/>
      <c r="VOX30" s="7"/>
      <c r="VOY30" s="7"/>
      <c r="VOZ30" s="7"/>
      <c r="VPA30" s="7"/>
      <c r="VPB30" s="7"/>
      <c r="VPC30" s="7"/>
      <c r="VPD30" s="7"/>
      <c r="VPE30" s="7"/>
      <c r="VPF30" s="7"/>
      <c r="VPG30" s="7"/>
      <c r="VPH30" s="7"/>
      <c r="VPI30" s="7"/>
      <c r="VPJ30" s="7"/>
      <c r="VPK30" s="7"/>
      <c r="VPL30" s="7"/>
      <c r="VPM30" s="7"/>
      <c r="VPN30" s="7"/>
      <c r="VPO30" s="7"/>
      <c r="VPP30" s="7"/>
      <c r="VPQ30" s="7"/>
      <c r="VPR30" s="7"/>
      <c r="VPS30" s="7"/>
      <c r="VPT30" s="7"/>
      <c r="VPU30" s="7"/>
      <c r="VPV30" s="7"/>
      <c r="VPW30" s="7"/>
      <c r="VPX30" s="7"/>
      <c r="VPY30" s="7"/>
      <c r="VPZ30" s="7"/>
      <c r="VQA30" s="7"/>
      <c r="VQB30" s="7"/>
      <c r="VQC30" s="7"/>
      <c r="VQD30" s="7"/>
      <c r="VQE30" s="7"/>
      <c r="VQF30" s="7"/>
      <c r="VQG30" s="7"/>
      <c r="VQH30" s="7"/>
      <c r="VQI30" s="7"/>
      <c r="VQJ30" s="7"/>
      <c r="VQK30" s="7"/>
      <c r="VQL30" s="7"/>
      <c r="VQM30" s="7"/>
      <c r="VQN30" s="7"/>
      <c r="VQO30" s="7"/>
      <c r="VQP30" s="7"/>
      <c r="VQQ30" s="7"/>
      <c r="VQR30" s="7"/>
      <c r="VQS30" s="7"/>
      <c r="VQT30" s="7"/>
      <c r="VQU30" s="7"/>
      <c r="VQV30" s="7"/>
      <c r="VQW30" s="7"/>
      <c r="VQX30" s="7"/>
      <c r="VQY30" s="7"/>
      <c r="VQZ30" s="7"/>
      <c r="VRA30" s="7"/>
      <c r="VRB30" s="7"/>
      <c r="VRC30" s="7"/>
      <c r="VRD30" s="7"/>
      <c r="VRE30" s="7"/>
      <c r="VRF30" s="7"/>
      <c r="VRG30" s="7"/>
      <c r="VRH30" s="7"/>
      <c r="VRI30" s="7"/>
      <c r="VRJ30" s="7"/>
      <c r="VRK30" s="7"/>
      <c r="VRL30" s="7"/>
      <c r="VRM30" s="7"/>
      <c r="VRN30" s="7"/>
      <c r="VRO30" s="7"/>
      <c r="VRP30" s="7"/>
      <c r="VRQ30" s="7"/>
      <c r="VRR30" s="7"/>
      <c r="VRS30" s="7"/>
      <c r="VRT30" s="7"/>
      <c r="VRU30" s="7"/>
      <c r="VRV30" s="7"/>
      <c r="VRW30" s="7"/>
      <c r="VRX30" s="7"/>
      <c r="VRY30" s="7"/>
      <c r="VRZ30" s="7"/>
      <c r="VSA30" s="7"/>
      <c r="VSB30" s="7"/>
      <c r="VSC30" s="7"/>
      <c r="VSD30" s="7"/>
      <c r="VSE30" s="7"/>
      <c r="VSF30" s="7"/>
      <c r="VSG30" s="7"/>
      <c r="VSH30" s="7"/>
      <c r="VSI30" s="7"/>
      <c r="VSJ30" s="7"/>
      <c r="VSK30" s="7"/>
      <c r="VSL30" s="7"/>
      <c r="VSM30" s="7"/>
      <c r="VSN30" s="7"/>
      <c r="VSO30" s="7"/>
      <c r="VSP30" s="7"/>
      <c r="VSQ30" s="7"/>
      <c r="VSR30" s="7"/>
      <c r="VSS30" s="7"/>
      <c r="VST30" s="7"/>
      <c r="VSU30" s="7"/>
      <c r="VSV30" s="7"/>
      <c r="VSW30" s="7"/>
      <c r="VSX30" s="7"/>
      <c r="VSY30" s="7"/>
      <c r="VSZ30" s="7"/>
      <c r="VTA30" s="7"/>
      <c r="VTB30" s="7"/>
      <c r="VTC30" s="7"/>
      <c r="VTD30" s="7"/>
      <c r="VTE30" s="7"/>
      <c r="VTF30" s="7"/>
      <c r="VTG30" s="7"/>
      <c r="VTH30" s="7"/>
      <c r="VTI30" s="7"/>
      <c r="VTJ30" s="7"/>
      <c r="VTK30" s="7"/>
      <c r="VTL30" s="7"/>
      <c r="VTM30" s="7"/>
      <c r="VTN30" s="7"/>
      <c r="VTO30" s="7"/>
      <c r="VTP30" s="7"/>
      <c r="VTQ30" s="7"/>
      <c r="VTR30" s="7"/>
      <c r="VTS30" s="7"/>
      <c r="VTT30" s="7"/>
      <c r="VTU30" s="7"/>
      <c r="VTV30" s="7"/>
      <c r="VTW30" s="7"/>
      <c r="VTX30" s="7"/>
      <c r="VTY30" s="7"/>
      <c r="VTZ30" s="7"/>
      <c r="VUA30" s="7"/>
      <c r="VUB30" s="7"/>
      <c r="VUC30" s="7"/>
      <c r="VUD30" s="7"/>
      <c r="VUE30" s="7"/>
      <c r="VUF30" s="7"/>
      <c r="VUG30" s="7"/>
      <c r="VUH30" s="7"/>
      <c r="VUI30" s="7"/>
      <c r="VUJ30" s="7"/>
      <c r="VUK30" s="7"/>
      <c r="VUL30" s="7"/>
      <c r="VUM30" s="7"/>
      <c r="VUN30" s="7"/>
      <c r="VUO30" s="7"/>
      <c r="VUP30" s="7"/>
      <c r="VUQ30" s="7"/>
      <c r="VUR30" s="7"/>
      <c r="VUS30" s="7"/>
      <c r="VUT30" s="7"/>
      <c r="VUU30" s="7"/>
      <c r="VUV30" s="7"/>
      <c r="VUW30" s="7"/>
      <c r="VUX30" s="7"/>
      <c r="VUY30" s="7"/>
      <c r="VUZ30" s="7"/>
      <c r="VVA30" s="7"/>
      <c r="VVB30" s="7"/>
      <c r="VVC30" s="7"/>
      <c r="VVD30" s="7"/>
      <c r="VVE30" s="7"/>
      <c r="VVF30" s="7"/>
      <c r="VVG30" s="7"/>
      <c r="VVH30" s="7"/>
      <c r="VVI30" s="7"/>
      <c r="VVJ30" s="7"/>
      <c r="VVK30" s="7"/>
      <c r="VVL30" s="7"/>
      <c r="VVM30" s="7"/>
      <c r="VVN30" s="7"/>
      <c r="VVO30" s="7"/>
      <c r="VVP30" s="7"/>
      <c r="VVQ30" s="7"/>
      <c r="VVR30" s="7"/>
      <c r="VVS30" s="7"/>
      <c r="VVT30" s="7"/>
      <c r="VVU30" s="7"/>
      <c r="VVV30" s="7"/>
      <c r="VVW30" s="7"/>
      <c r="VVX30" s="7"/>
      <c r="VVY30" s="7"/>
      <c r="VVZ30" s="7"/>
      <c r="VWA30" s="7"/>
      <c r="VWB30" s="7"/>
      <c r="VWC30" s="7"/>
      <c r="VWD30" s="7"/>
      <c r="VWE30" s="7"/>
      <c r="VWF30" s="7"/>
      <c r="VWG30" s="7"/>
      <c r="VWH30" s="7"/>
      <c r="VWI30" s="7"/>
      <c r="VWJ30" s="7"/>
      <c r="VWK30" s="7"/>
      <c r="VWL30" s="7"/>
      <c r="VWM30" s="7"/>
      <c r="VWN30" s="7"/>
      <c r="VWO30" s="7"/>
      <c r="VWP30" s="7"/>
      <c r="VWQ30" s="7"/>
      <c r="VWR30" s="7"/>
      <c r="VWS30" s="7"/>
      <c r="VWT30" s="7"/>
      <c r="VWU30" s="7"/>
      <c r="VWV30" s="7"/>
      <c r="VWW30" s="7"/>
      <c r="VWX30" s="7"/>
      <c r="VWY30" s="7"/>
      <c r="VWZ30" s="7"/>
      <c r="VXA30" s="7"/>
      <c r="VXB30" s="7"/>
      <c r="VXC30" s="7"/>
      <c r="VXD30" s="7"/>
      <c r="VXE30" s="7"/>
      <c r="VXF30" s="7"/>
      <c r="VXG30" s="7"/>
      <c r="VXH30" s="7"/>
      <c r="VXI30" s="7"/>
      <c r="VXJ30" s="7"/>
      <c r="VXK30" s="7"/>
      <c r="VXL30" s="7"/>
      <c r="VXM30" s="7"/>
      <c r="VXN30" s="7"/>
      <c r="VXO30" s="7"/>
      <c r="VXP30" s="7"/>
      <c r="VXQ30" s="7"/>
      <c r="VXR30" s="7"/>
      <c r="VXS30" s="7"/>
      <c r="VXT30" s="7"/>
      <c r="VXU30" s="7"/>
      <c r="VXV30" s="7"/>
      <c r="VXW30" s="7"/>
      <c r="VXX30" s="7"/>
      <c r="VXY30" s="7"/>
      <c r="VXZ30" s="7"/>
      <c r="VYA30" s="7"/>
      <c r="VYB30" s="7"/>
      <c r="VYC30" s="7"/>
      <c r="VYD30" s="7"/>
      <c r="VYE30" s="7"/>
      <c r="VYF30" s="7"/>
      <c r="VYG30" s="7"/>
      <c r="VYH30" s="7"/>
      <c r="VYI30" s="7"/>
      <c r="VYJ30" s="7"/>
      <c r="VYK30" s="7"/>
      <c r="VYL30" s="7"/>
      <c r="VYM30" s="7"/>
      <c r="VYN30" s="7"/>
      <c r="VYO30" s="7"/>
      <c r="VYP30" s="7"/>
      <c r="VYQ30" s="7"/>
      <c r="VYR30" s="7"/>
      <c r="VYS30" s="7"/>
      <c r="VYT30" s="7"/>
      <c r="VYU30" s="7"/>
      <c r="VYV30" s="7"/>
      <c r="VYW30" s="7"/>
      <c r="VYX30" s="7"/>
      <c r="VYY30" s="7"/>
      <c r="VYZ30" s="7"/>
      <c r="VZA30" s="7"/>
      <c r="VZB30" s="7"/>
      <c r="VZC30" s="7"/>
      <c r="VZD30" s="7"/>
      <c r="VZE30" s="7"/>
      <c r="VZF30" s="7"/>
      <c r="VZG30" s="7"/>
      <c r="VZH30" s="7"/>
      <c r="VZI30" s="7"/>
      <c r="VZJ30" s="7"/>
      <c r="VZK30" s="7"/>
      <c r="VZL30" s="7"/>
      <c r="VZM30" s="7"/>
      <c r="VZN30" s="7"/>
      <c r="VZO30" s="7"/>
      <c r="VZP30" s="7"/>
      <c r="VZQ30" s="7"/>
      <c r="VZR30" s="7"/>
      <c r="VZS30" s="7"/>
      <c r="VZT30" s="7"/>
      <c r="VZU30" s="7"/>
      <c r="VZV30" s="7"/>
      <c r="VZW30" s="7"/>
      <c r="VZX30" s="7"/>
      <c r="VZY30" s="7"/>
      <c r="VZZ30" s="7"/>
      <c r="WAA30" s="7"/>
      <c r="WAB30" s="7"/>
      <c r="WAC30" s="7"/>
      <c r="WAD30" s="7"/>
      <c r="WAE30" s="7"/>
      <c r="WAF30" s="7"/>
      <c r="WAG30" s="7"/>
      <c r="WAH30" s="7"/>
      <c r="WAI30" s="7"/>
      <c r="WAJ30" s="7"/>
      <c r="WAK30" s="7"/>
      <c r="WAL30" s="7"/>
      <c r="WAM30" s="7"/>
      <c r="WAN30" s="7"/>
      <c r="WAO30" s="7"/>
      <c r="WAP30" s="7"/>
      <c r="WAQ30" s="7"/>
      <c r="WAR30" s="7"/>
      <c r="WAS30" s="7"/>
      <c r="WAT30" s="7"/>
      <c r="WAU30" s="7"/>
      <c r="WAV30" s="7"/>
      <c r="WAW30" s="7"/>
      <c r="WAX30" s="7"/>
      <c r="WAY30" s="7"/>
      <c r="WAZ30" s="7"/>
      <c r="WBA30" s="7"/>
      <c r="WBB30" s="7"/>
      <c r="WBC30" s="7"/>
      <c r="WBD30" s="7"/>
      <c r="WBE30" s="7"/>
      <c r="WBF30" s="7"/>
      <c r="WBG30" s="7"/>
      <c r="WBH30" s="7"/>
      <c r="WBI30" s="7"/>
      <c r="WBJ30" s="7"/>
      <c r="WBK30" s="7"/>
      <c r="WBL30" s="7"/>
      <c r="WBM30" s="7"/>
      <c r="WBN30" s="7"/>
      <c r="WBO30" s="7"/>
      <c r="WBP30" s="7"/>
      <c r="WBQ30" s="7"/>
      <c r="WBR30" s="7"/>
      <c r="WBS30" s="7"/>
      <c r="WBT30" s="7"/>
      <c r="WBU30" s="7"/>
      <c r="WBV30" s="7"/>
      <c r="WBW30" s="7"/>
      <c r="WBX30" s="7"/>
      <c r="WBY30" s="7"/>
      <c r="WBZ30" s="7"/>
      <c r="WCA30" s="7"/>
      <c r="WCB30" s="7"/>
      <c r="WCC30" s="7"/>
      <c r="WCD30" s="7"/>
      <c r="WCE30" s="7"/>
      <c r="WCF30" s="7"/>
      <c r="WCG30" s="7"/>
      <c r="WCH30" s="7"/>
      <c r="WCI30" s="7"/>
      <c r="WCJ30" s="7"/>
      <c r="WCK30" s="7"/>
      <c r="WCL30" s="7"/>
      <c r="WCM30" s="7"/>
      <c r="WCN30" s="7"/>
      <c r="WCO30" s="7"/>
      <c r="WCP30" s="7"/>
      <c r="WCQ30" s="7"/>
      <c r="WCR30" s="7"/>
      <c r="WCS30" s="7"/>
      <c r="WCT30" s="7"/>
      <c r="WCU30" s="7"/>
      <c r="WCV30" s="7"/>
      <c r="WCW30" s="7"/>
      <c r="WCX30" s="7"/>
      <c r="WCY30" s="7"/>
      <c r="WCZ30" s="7"/>
      <c r="WDA30" s="7"/>
      <c r="WDB30" s="7"/>
      <c r="WDC30" s="7"/>
      <c r="WDD30" s="7"/>
      <c r="WDE30" s="7"/>
      <c r="WDF30" s="7"/>
      <c r="WDG30" s="7"/>
      <c r="WDH30" s="7"/>
      <c r="WDI30" s="7"/>
      <c r="WDJ30" s="7"/>
      <c r="WDK30" s="7"/>
      <c r="WDL30" s="7"/>
      <c r="WDM30" s="7"/>
      <c r="WDN30" s="7"/>
      <c r="WDO30" s="7"/>
      <c r="WDP30" s="7"/>
      <c r="WDQ30" s="7"/>
      <c r="WDR30" s="7"/>
      <c r="WDS30" s="7"/>
      <c r="WDT30" s="7"/>
      <c r="WDU30" s="7"/>
      <c r="WDV30" s="7"/>
      <c r="WDW30" s="7"/>
      <c r="WDX30" s="7"/>
      <c r="WDY30" s="7"/>
      <c r="WDZ30" s="7"/>
      <c r="WEA30" s="7"/>
      <c r="WEB30" s="7"/>
      <c r="WEC30" s="7"/>
      <c r="WED30" s="7"/>
      <c r="WEE30" s="7"/>
      <c r="WEF30" s="7"/>
      <c r="WEG30" s="7"/>
      <c r="WEH30" s="7"/>
      <c r="WEI30" s="7"/>
      <c r="WEJ30" s="7"/>
      <c r="WEK30" s="7"/>
      <c r="WEL30" s="7"/>
      <c r="WEM30" s="7"/>
      <c r="WEN30" s="7"/>
      <c r="WEO30" s="7"/>
      <c r="WEP30" s="7"/>
      <c r="WEQ30" s="7"/>
      <c r="WER30" s="7"/>
      <c r="WES30" s="7"/>
      <c r="WET30" s="7"/>
      <c r="WEU30" s="7"/>
      <c r="WEV30" s="7"/>
      <c r="WEW30" s="7"/>
      <c r="WEX30" s="7"/>
      <c r="WEY30" s="7"/>
      <c r="WEZ30" s="7"/>
      <c r="WFA30" s="7"/>
      <c r="WFB30" s="7"/>
      <c r="WFC30" s="7"/>
      <c r="WFD30" s="7"/>
      <c r="WFE30" s="7"/>
      <c r="WFF30" s="7"/>
      <c r="WFG30" s="7"/>
      <c r="WFH30" s="7"/>
      <c r="WFI30" s="7"/>
      <c r="WFJ30" s="7"/>
      <c r="WFK30" s="7"/>
      <c r="WFL30" s="7"/>
      <c r="WFM30" s="7"/>
      <c r="WFN30" s="7"/>
      <c r="WFO30" s="7"/>
      <c r="WFP30" s="7"/>
      <c r="WFQ30" s="7"/>
      <c r="WFR30" s="7"/>
      <c r="WFS30" s="7"/>
      <c r="WFT30" s="7"/>
      <c r="WFU30" s="7"/>
      <c r="WFV30" s="7"/>
      <c r="WFW30" s="7"/>
      <c r="WFX30" s="7"/>
      <c r="WFY30" s="7"/>
      <c r="WFZ30" s="7"/>
      <c r="WGA30" s="7"/>
      <c r="WGB30" s="7"/>
      <c r="WGC30" s="7"/>
      <c r="WGD30" s="7"/>
      <c r="WGE30" s="7"/>
      <c r="WGF30" s="7"/>
      <c r="WGG30" s="7"/>
      <c r="WGH30" s="7"/>
      <c r="WGI30" s="7"/>
      <c r="WGJ30" s="7"/>
      <c r="WGK30" s="7"/>
      <c r="WGL30" s="7"/>
      <c r="WGM30" s="7"/>
      <c r="WGN30" s="7"/>
      <c r="WGO30" s="7"/>
      <c r="WGP30" s="7"/>
      <c r="WGQ30" s="7"/>
      <c r="WGR30" s="7"/>
      <c r="WGS30" s="7"/>
      <c r="WGT30" s="7"/>
      <c r="WGU30" s="7"/>
      <c r="WGV30" s="7"/>
      <c r="WGW30" s="7"/>
      <c r="WGX30" s="7"/>
      <c r="WGY30" s="7"/>
      <c r="WGZ30" s="7"/>
      <c r="WHA30" s="7"/>
      <c r="WHB30" s="7"/>
      <c r="WHC30" s="7"/>
      <c r="WHD30" s="7"/>
      <c r="WHE30" s="7"/>
      <c r="WHF30" s="7"/>
      <c r="WHG30" s="7"/>
      <c r="WHH30" s="7"/>
      <c r="WHI30" s="7"/>
      <c r="WHJ30" s="7"/>
      <c r="WHK30" s="7"/>
      <c r="WHL30" s="7"/>
      <c r="WHM30" s="7"/>
      <c r="WHN30" s="7"/>
      <c r="WHO30" s="7"/>
      <c r="WHP30" s="7"/>
      <c r="WHQ30" s="7"/>
      <c r="WHR30" s="7"/>
      <c r="WHS30" s="7"/>
      <c r="WHT30" s="7"/>
      <c r="WHU30" s="7"/>
      <c r="WHV30" s="7"/>
      <c r="WHW30" s="7"/>
      <c r="WHX30" s="7"/>
      <c r="WHY30" s="7"/>
      <c r="WHZ30" s="7"/>
      <c r="WIA30" s="7"/>
      <c r="WIB30" s="7"/>
      <c r="WIC30" s="7"/>
      <c r="WID30" s="7"/>
      <c r="WIE30" s="7"/>
      <c r="WIF30" s="7"/>
      <c r="WIG30" s="7"/>
      <c r="WIH30" s="7"/>
      <c r="WII30" s="7"/>
      <c r="WIJ30" s="7"/>
      <c r="WIK30" s="7"/>
      <c r="WIL30" s="7"/>
      <c r="WIM30" s="7"/>
      <c r="WIN30" s="7"/>
      <c r="WIO30" s="7"/>
      <c r="WIP30" s="7"/>
      <c r="WIQ30" s="7"/>
      <c r="WIR30" s="7"/>
      <c r="WIS30" s="7"/>
      <c r="WIT30" s="7"/>
      <c r="WIU30" s="7"/>
      <c r="WIV30" s="7"/>
      <c r="WIW30" s="7"/>
      <c r="WIX30" s="7"/>
      <c r="WIY30" s="7"/>
      <c r="WIZ30" s="7"/>
      <c r="WJA30" s="7"/>
      <c r="WJB30" s="7"/>
      <c r="WJC30" s="7"/>
      <c r="WJD30" s="7"/>
      <c r="WJE30" s="7"/>
      <c r="WJF30" s="7"/>
      <c r="WJG30" s="7"/>
      <c r="WJH30" s="7"/>
      <c r="WJI30" s="7"/>
      <c r="WJJ30" s="7"/>
      <c r="WJK30" s="7"/>
      <c r="WJL30" s="7"/>
      <c r="WJM30" s="7"/>
      <c r="WJN30" s="7"/>
      <c r="WJO30" s="7"/>
      <c r="WJP30" s="7"/>
      <c r="WJQ30" s="7"/>
      <c r="WJR30" s="7"/>
      <c r="WJS30" s="7"/>
      <c r="WJT30" s="7"/>
      <c r="WJU30" s="7"/>
      <c r="WJV30" s="7"/>
      <c r="WJW30" s="7"/>
      <c r="WJX30" s="7"/>
      <c r="WJY30" s="7"/>
      <c r="WJZ30" s="7"/>
      <c r="WKA30" s="7"/>
      <c r="WKB30" s="7"/>
      <c r="WKC30" s="7"/>
      <c r="WKD30" s="7"/>
      <c r="WKE30" s="7"/>
      <c r="WKF30" s="7"/>
      <c r="WKG30" s="7"/>
      <c r="WKH30" s="7"/>
      <c r="WKI30" s="7"/>
      <c r="WKJ30" s="7"/>
      <c r="WKK30" s="7"/>
      <c r="WKL30" s="7"/>
      <c r="WKM30" s="7"/>
      <c r="WKN30" s="7"/>
      <c r="WKO30" s="7"/>
      <c r="WKP30" s="7"/>
      <c r="WKQ30" s="7"/>
      <c r="WKR30" s="7"/>
      <c r="WKS30" s="7"/>
      <c r="WKT30" s="7"/>
      <c r="WKU30" s="7"/>
      <c r="WKV30" s="7"/>
      <c r="WKW30" s="7"/>
      <c r="WKX30" s="7"/>
      <c r="WKY30" s="7"/>
      <c r="WKZ30" s="7"/>
      <c r="WLA30" s="7"/>
      <c r="WLB30" s="7"/>
      <c r="WLC30" s="7"/>
      <c r="WLD30" s="7"/>
      <c r="WLE30" s="7"/>
      <c r="WLF30" s="7"/>
      <c r="WLG30" s="7"/>
      <c r="WLH30" s="7"/>
      <c r="WLI30" s="7"/>
      <c r="WLJ30" s="7"/>
      <c r="WLK30" s="7"/>
      <c r="WLL30" s="7"/>
      <c r="WLM30" s="7"/>
      <c r="WLN30" s="7"/>
      <c r="WLO30" s="7"/>
      <c r="WLP30" s="7"/>
      <c r="WLQ30" s="7"/>
      <c r="WLR30" s="7"/>
      <c r="WLS30" s="7"/>
      <c r="WLT30" s="7"/>
      <c r="WLU30" s="7"/>
      <c r="WLV30" s="7"/>
      <c r="WLW30" s="7"/>
      <c r="WLX30" s="7"/>
      <c r="WLY30" s="7"/>
      <c r="WLZ30" s="7"/>
      <c r="WMA30" s="7"/>
      <c r="WMB30" s="7"/>
      <c r="WMC30" s="7"/>
      <c r="WMD30" s="7"/>
      <c r="WME30" s="7"/>
      <c r="WMF30" s="7"/>
      <c r="WMG30" s="7"/>
      <c r="WMH30" s="7"/>
      <c r="WMI30" s="7"/>
      <c r="WMJ30" s="7"/>
      <c r="WMK30" s="7"/>
      <c r="WML30" s="7"/>
      <c r="WMM30" s="7"/>
      <c r="WMN30" s="7"/>
      <c r="WMO30" s="7"/>
      <c r="WMP30" s="7"/>
      <c r="WMQ30" s="7"/>
      <c r="WMR30" s="7"/>
      <c r="WMS30" s="7"/>
      <c r="WMT30" s="7"/>
      <c r="WMU30" s="7"/>
      <c r="WMV30" s="7"/>
      <c r="WMW30" s="7"/>
      <c r="WMX30" s="7"/>
      <c r="WMY30" s="7"/>
      <c r="WMZ30" s="7"/>
      <c r="WNA30" s="7"/>
      <c r="WNB30" s="7"/>
      <c r="WNC30" s="7"/>
      <c r="WND30" s="7"/>
      <c r="WNE30" s="7"/>
      <c r="WNF30" s="7"/>
      <c r="WNG30" s="7"/>
      <c r="WNH30" s="7"/>
      <c r="WNI30" s="7"/>
      <c r="WNJ30" s="7"/>
      <c r="WNK30" s="7"/>
      <c r="WNL30" s="7"/>
      <c r="WNM30" s="7"/>
      <c r="WNN30" s="7"/>
      <c r="WNO30" s="7"/>
      <c r="WNP30" s="7"/>
      <c r="WNQ30" s="7"/>
      <c r="WNR30" s="7"/>
      <c r="WNS30" s="7"/>
      <c r="WNT30" s="7"/>
      <c r="WNU30" s="7"/>
      <c r="WNV30" s="7"/>
      <c r="WNW30" s="7"/>
      <c r="WNX30" s="7"/>
      <c r="WNY30" s="7"/>
      <c r="WNZ30" s="7"/>
      <c r="WOA30" s="7"/>
      <c r="WOB30" s="7"/>
      <c r="WOC30" s="7"/>
      <c r="WOD30" s="7"/>
      <c r="WOE30" s="7"/>
      <c r="WOF30" s="7"/>
      <c r="WOG30" s="7"/>
      <c r="WOH30" s="7"/>
      <c r="WOI30" s="7"/>
      <c r="WOJ30" s="7"/>
      <c r="WOK30" s="7"/>
      <c r="WOL30" s="7"/>
      <c r="WOM30" s="7"/>
      <c r="WON30" s="7"/>
      <c r="WOO30" s="7"/>
      <c r="WOP30" s="7"/>
      <c r="WOQ30" s="7"/>
      <c r="WOR30" s="7"/>
      <c r="WOS30" s="7"/>
      <c r="WOT30" s="7"/>
      <c r="WOU30" s="7"/>
      <c r="WOV30" s="7"/>
      <c r="WOW30" s="7"/>
      <c r="WOX30" s="7"/>
      <c r="WOY30" s="7"/>
      <c r="WOZ30" s="7"/>
      <c r="WPA30" s="7"/>
      <c r="WPB30" s="7"/>
      <c r="WPC30" s="7"/>
      <c r="WPD30" s="7"/>
      <c r="WPE30" s="7"/>
      <c r="WPF30" s="7"/>
      <c r="WPG30" s="7"/>
      <c r="WPH30" s="7"/>
      <c r="WPI30" s="7"/>
      <c r="WPJ30" s="7"/>
      <c r="WPK30" s="7"/>
      <c r="WPL30" s="7"/>
      <c r="WPM30" s="7"/>
      <c r="WPN30" s="7"/>
      <c r="WPO30" s="7"/>
      <c r="WPP30" s="7"/>
      <c r="WPQ30" s="7"/>
      <c r="WPR30" s="7"/>
      <c r="WPS30" s="7"/>
      <c r="WPT30" s="7"/>
      <c r="WPU30" s="7"/>
      <c r="WPV30" s="7"/>
      <c r="WPW30" s="7"/>
      <c r="WPX30" s="7"/>
      <c r="WPY30" s="7"/>
      <c r="WPZ30" s="7"/>
      <c r="WQA30" s="7"/>
      <c r="WQB30" s="7"/>
      <c r="WQC30" s="7"/>
      <c r="WQD30" s="7"/>
      <c r="WQE30" s="7"/>
      <c r="WQF30" s="7"/>
      <c r="WQG30" s="7"/>
      <c r="WQH30" s="7"/>
      <c r="WQI30" s="7"/>
      <c r="WQJ30" s="7"/>
      <c r="WQK30" s="7"/>
      <c r="WQL30" s="7"/>
      <c r="WQM30" s="7"/>
      <c r="WQN30" s="7"/>
      <c r="WQO30" s="7"/>
      <c r="WQP30" s="7"/>
      <c r="WQQ30" s="7"/>
      <c r="WQR30" s="7"/>
      <c r="WQS30" s="7"/>
      <c r="WQT30" s="7"/>
      <c r="WQU30" s="7"/>
      <c r="WQV30" s="7"/>
      <c r="WQW30" s="7"/>
      <c r="WQX30" s="7"/>
      <c r="WQY30" s="7"/>
      <c r="WQZ30" s="7"/>
      <c r="WRA30" s="7"/>
      <c r="WRB30" s="7"/>
      <c r="WRC30" s="7"/>
      <c r="WRD30" s="7"/>
      <c r="WRE30" s="7"/>
      <c r="WRF30" s="7"/>
      <c r="WRG30" s="7"/>
      <c r="WRH30" s="7"/>
      <c r="WRI30" s="7"/>
      <c r="WRJ30" s="7"/>
      <c r="WRK30" s="7"/>
      <c r="WRL30" s="7"/>
      <c r="WRM30" s="7"/>
      <c r="WRN30" s="7"/>
      <c r="WRO30" s="7"/>
      <c r="WRP30" s="7"/>
      <c r="WRQ30" s="7"/>
      <c r="WRR30" s="7"/>
      <c r="WRS30" s="7"/>
      <c r="WRT30" s="7"/>
      <c r="WRU30" s="7"/>
      <c r="WRV30" s="7"/>
      <c r="WRW30" s="7"/>
      <c r="WRX30" s="7"/>
      <c r="WRY30" s="7"/>
      <c r="WRZ30" s="7"/>
      <c r="WSA30" s="7"/>
      <c r="WSB30" s="7"/>
      <c r="WSC30" s="7"/>
      <c r="WSD30" s="7"/>
      <c r="WSE30" s="7"/>
      <c r="WSF30" s="7"/>
      <c r="WSG30" s="7"/>
      <c r="WSH30" s="7"/>
      <c r="WSI30" s="7"/>
      <c r="WSJ30" s="7"/>
      <c r="WSK30" s="7"/>
      <c r="WSL30" s="7"/>
      <c r="WSM30" s="7"/>
      <c r="WSN30" s="7"/>
      <c r="WSO30" s="7"/>
      <c r="WSP30" s="7"/>
      <c r="WSQ30" s="7"/>
      <c r="WSR30" s="7"/>
      <c r="WSS30" s="7"/>
      <c r="WST30" s="7"/>
      <c r="WSU30" s="7"/>
      <c r="WSV30" s="7"/>
      <c r="WSW30" s="7"/>
      <c r="WSX30" s="7"/>
      <c r="WSY30" s="7"/>
      <c r="WSZ30" s="7"/>
      <c r="WTA30" s="7"/>
      <c r="WTB30" s="7"/>
      <c r="WTC30" s="7"/>
      <c r="WTD30" s="7"/>
      <c r="WTE30" s="7"/>
      <c r="WTF30" s="7"/>
      <c r="WTG30" s="7"/>
      <c r="WTH30" s="7"/>
      <c r="WTI30" s="7"/>
      <c r="WTJ30" s="7"/>
      <c r="WTK30" s="7"/>
      <c r="WTL30" s="7"/>
      <c r="WTM30" s="7"/>
      <c r="WTN30" s="7"/>
      <c r="WTO30" s="7"/>
      <c r="WTP30" s="7"/>
      <c r="WTQ30" s="7"/>
      <c r="WTR30" s="7"/>
      <c r="WTS30" s="7"/>
      <c r="WTT30" s="7"/>
      <c r="WTU30" s="7"/>
      <c r="WTV30" s="7"/>
      <c r="WTW30" s="7"/>
      <c r="WTX30" s="7"/>
      <c r="WTY30" s="7"/>
      <c r="WTZ30" s="7"/>
      <c r="WUA30" s="7"/>
      <c r="WUB30" s="7"/>
      <c r="WUC30" s="7"/>
      <c r="WUD30" s="7"/>
      <c r="WUE30" s="7"/>
      <c r="WUF30" s="7"/>
      <c r="WUG30" s="7"/>
      <c r="WUH30" s="7"/>
      <c r="WUI30" s="7"/>
      <c r="WUJ30" s="7"/>
      <c r="WUK30" s="7"/>
      <c r="WUL30" s="7"/>
      <c r="WUM30" s="7"/>
      <c r="WUN30" s="7"/>
      <c r="WUO30" s="7"/>
      <c r="WUP30" s="7"/>
      <c r="WUQ30" s="7"/>
      <c r="WUR30" s="7"/>
      <c r="WUS30" s="7"/>
      <c r="WUT30" s="7"/>
      <c r="WUU30" s="7"/>
      <c r="WUV30" s="7"/>
      <c r="WUW30" s="7"/>
      <c r="WUX30" s="7"/>
      <c r="WUY30" s="7"/>
      <c r="WUZ30" s="7"/>
      <c r="WVA30" s="7"/>
      <c r="WVB30" s="7"/>
      <c r="WVC30" s="7"/>
      <c r="WVD30" s="7"/>
      <c r="WVE30" s="7"/>
      <c r="WVF30" s="7"/>
      <c r="WVG30" s="7"/>
      <c r="WVH30" s="7"/>
      <c r="WVI30" s="7"/>
      <c r="WVJ30" s="7"/>
      <c r="WVK30" s="7"/>
      <c r="WVL30" s="7"/>
      <c r="WVM30" s="7"/>
      <c r="WVN30" s="7"/>
      <c r="WVO30" s="7"/>
      <c r="WVP30" s="7"/>
      <c r="WVQ30" s="7"/>
      <c r="WVR30" s="7"/>
      <c r="WVS30" s="7"/>
      <c r="WVT30" s="7"/>
      <c r="WVU30" s="7"/>
      <c r="WVV30" s="7"/>
      <c r="WVW30" s="7"/>
      <c r="WVX30" s="7"/>
      <c r="WVY30" s="7"/>
      <c r="WVZ30" s="7"/>
      <c r="WWA30" s="7"/>
      <c r="WWB30" s="7"/>
      <c r="WWC30" s="7"/>
      <c r="WWD30" s="7"/>
      <c r="WWE30" s="7"/>
      <c r="WWF30" s="7"/>
      <c r="WWG30" s="7"/>
      <c r="WWH30" s="7"/>
      <c r="WWI30" s="7"/>
      <c r="WWJ30" s="7"/>
      <c r="WWK30" s="7"/>
      <c r="WWL30" s="7"/>
      <c r="WWM30" s="7"/>
      <c r="WWN30" s="7"/>
      <c r="WWO30" s="7"/>
      <c r="WWP30" s="7"/>
      <c r="WWQ30" s="7"/>
      <c r="WWR30" s="7"/>
      <c r="WWS30" s="7"/>
      <c r="WWT30" s="7"/>
      <c r="WWU30" s="7"/>
      <c r="WWV30" s="7"/>
      <c r="WWW30" s="7"/>
      <c r="WWX30" s="7"/>
      <c r="WWY30" s="7"/>
      <c r="WWZ30" s="7"/>
      <c r="WXA30" s="7"/>
      <c r="WXB30" s="7"/>
      <c r="WXC30" s="7"/>
      <c r="WXD30" s="7"/>
      <c r="WXE30" s="7"/>
      <c r="WXF30" s="7"/>
      <c r="WXG30" s="7"/>
      <c r="WXH30" s="7"/>
      <c r="WXI30" s="7"/>
      <c r="WXJ30" s="7"/>
      <c r="WXK30" s="7"/>
      <c r="WXL30" s="7"/>
      <c r="WXM30" s="7"/>
      <c r="WXN30" s="7"/>
      <c r="WXO30" s="7"/>
      <c r="WXP30" s="7"/>
      <c r="WXQ30" s="7"/>
      <c r="WXR30" s="7"/>
      <c r="WXS30" s="7"/>
      <c r="WXT30" s="7"/>
      <c r="WXU30" s="7"/>
      <c r="WXV30" s="7"/>
      <c r="WXW30" s="7"/>
      <c r="WXX30" s="7"/>
      <c r="WXY30" s="7"/>
      <c r="WXZ30" s="7"/>
      <c r="WYA30" s="7"/>
      <c r="WYB30" s="7"/>
      <c r="WYC30" s="7"/>
      <c r="WYD30" s="7"/>
      <c r="WYE30" s="7"/>
      <c r="WYF30" s="7"/>
      <c r="WYG30" s="7"/>
      <c r="WYH30" s="7"/>
      <c r="WYI30" s="7"/>
      <c r="WYJ30" s="7"/>
      <c r="WYK30" s="7"/>
      <c r="WYL30" s="7"/>
      <c r="WYM30" s="7"/>
      <c r="WYN30" s="7"/>
      <c r="WYO30" s="7"/>
      <c r="WYP30" s="7"/>
      <c r="WYQ30" s="7"/>
      <c r="WYR30" s="7"/>
      <c r="WYS30" s="7"/>
      <c r="WYT30" s="7"/>
      <c r="WYU30" s="7"/>
      <c r="WYV30" s="7"/>
      <c r="WYW30" s="7"/>
      <c r="WYX30" s="7"/>
      <c r="WYY30" s="7"/>
      <c r="WYZ30" s="7"/>
      <c r="WZA30" s="7"/>
      <c r="WZB30" s="7"/>
      <c r="WZC30" s="7"/>
      <c r="WZD30" s="7"/>
      <c r="WZE30" s="7"/>
      <c r="WZF30" s="7"/>
      <c r="WZG30" s="7"/>
      <c r="WZH30" s="7"/>
      <c r="WZI30" s="7"/>
      <c r="WZJ30" s="7"/>
      <c r="WZK30" s="7"/>
      <c r="WZL30" s="7"/>
      <c r="WZM30" s="7"/>
      <c r="WZN30" s="7"/>
      <c r="WZO30" s="7"/>
      <c r="WZP30" s="7"/>
      <c r="WZQ30" s="7"/>
      <c r="WZR30" s="7"/>
      <c r="WZS30" s="7"/>
      <c r="WZT30" s="7"/>
      <c r="WZU30" s="7"/>
      <c r="WZV30" s="7"/>
      <c r="WZW30" s="7"/>
      <c r="WZX30" s="7"/>
      <c r="WZY30" s="7"/>
      <c r="WZZ30" s="7"/>
      <c r="XAA30" s="7"/>
      <c r="XAB30" s="7"/>
      <c r="XAC30" s="7"/>
      <c r="XAD30" s="7"/>
      <c r="XAE30" s="7"/>
      <c r="XAF30" s="7"/>
      <c r="XAG30" s="7"/>
      <c r="XAH30" s="7"/>
      <c r="XAI30" s="7"/>
      <c r="XAJ30" s="7"/>
      <c r="XAK30" s="7"/>
      <c r="XAL30" s="7"/>
      <c r="XAM30" s="7"/>
      <c r="XAN30" s="7"/>
      <c r="XAO30" s="7"/>
      <c r="XAP30" s="7"/>
      <c r="XAQ30" s="7"/>
      <c r="XAR30" s="7"/>
      <c r="XAS30" s="7"/>
      <c r="XAT30" s="7"/>
      <c r="XAU30" s="7"/>
      <c r="XAV30" s="7"/>
      <c r="XAW30" s="7"/>
      <c r="XAX30" s="7"/>
      <c r="XAY30" s="7"/>
      <c r="XAZ30" s="7"/>
      <c r="XBA30" s="7"/>
      <c r="XBB30" s="7"/>
      <c r="XBC30" s="7"/>
      <c r="XBD30" s="7"/>
      <c r="XBE30" s="7"/>
      <c r="XBF30" s="7"/>
      <c r="XBG30" s="7"/>
      <c r="XBH30" s="7"/>
      <c r="XBI30" s="7"/>
      <c r="XBJ30" s="7"/>
      <c r="XBK30" s="7"/>
      <c r="XBL30" s="7"/>
      <c r="XBM30" s="7"/>
      <c r="XBN30" s="7"/>
      <c r="XBO30" s="7"/>
      <c r="XBP30" s="7"/>
      <c r="XBQ30" s="7"/>
      <c r="XBR30" s="7"/>
      <c r="XBS30" s="7"/>
      <c r="XBT30" s="7"/>
      <c r="XBU30" s="7"/>
      <c r="XBV30" s="7"/>
      <c r="XBW30" s="7"/>
      <c r="XBX30" s="7"/>
      <c r="XBY30" s="7"/>
      <c r="XBZ30" s="7"/>
      <c r="XCA30" s="7"/>
      <c r="XCB30" s="7"/>
      <c r="XCC30" s="7"/>
      <c r="XCD30" s="7"/>
      <c r="XCE30" s="7"/>
      <c r="XCF30" s="7"/>
      <c r="XCG30" s="7"/>
      <c r="XCH30" s="7"/>
      <c r="XCI30" s="7"/>
      <c r="XCJ30" s="7"/>
      <c r="XCK30" s="7"/>
      <c r="XCL30" s="7"/>
      <c r="XCM30" s="7"/>
      <c r="XCN30" s="7"/>
      <c r="XCO30" s="7"/>
      <c r="XCP30" s="7"/>
      <c r="XCQ30" s="7"/>
      <c r="XCR30" s="7"/>
      <c r="XCS30" s="7"/>
      <c r="XCT30" s="7"/>
      <c r="XCU30" s="7"/>
      <c r="XCV30" s="7"/>
      <c r="XCW30" s="7"/>
      <c r="XCX30" s="7"/>
      <c r="XCY30" s="7"/>
      <c r="XCZ30" s="7"/>
      <c r="XDA30" s="7"/>
      <c r="XDB30" s="7"/>
      <c r="XDC30" s="7"/>
      <c r="XDD30" s="7"/>
      <c r="XDE30" s="7"/>
      <c r="XDF30" s="7"/>
      <c r="XDG30" s="7"/>
      <c r="XDH30" s="7"/>
      <c r="XDI30" s="7"/>
      <c r="XDJ30" s="7"/>
      <c r="XDK30" s="7"/>
      <c r="XDL30" s="7"/>
      <c r="XDM30" s="7"/>
      <c r="XDN30" s="7"/>
      <c r="XDO30" s="7"/>
      <c r="XDP30" s="7"/>
      <c r="XDQ30" s="7"/>
      <c r="XDR30" s="7"/>
      <c r="XDS30" s="7"/>
      <c r="XDT30" s="7"/>
      <c r="XDU30" s="7"/>
      <c r="XDV30" s="7"/>
      <c r="XDW30" s="7"/>
      <c r="XDX30" s="7"/>
      <c r="XDY30" s="7"/>
      <c r="XDZ30" s="7"/>
      <c r="XEA30" s="7"/>
      <c r="XEB30" s="7"/>
      <c r="XEC30" s="7"/>
      <c r="XED30" s="7"/>
      <c r="XEE30" s="7"/>
      <c r="XEF30" s="7"/>
      <c r="XEG30" s="7"/>
      <c r="XEH30" s="7"/>
      <c r="XEI30" s="7"/>
      <c r="XEJ30" s="7"/>
      <c r="XEK30" s="7"/>
      <c r="XEL30" s="7"/>
    </row>
    <row r="31" spans="1:16366" x14ac:dyDescent="0.25">
      <c r="A31" s="6" t="s">
        <v>186</v>
      </c>
      <c r="C31" s="1" t="s">
        <v>21</v>
      </c>
      <c r="D31" s="2">
        <v>76.358999999999995</v>
      </c>
      <c r="E31" s="2">
        <v>115.461</v>
      </c>
      <c r="F31" s="2">
        <v>178.38499999999999</v>
      </c>
      <c r="G31" s="2">
        <v>245.41800000000001</v>
      </c>
      <c r="H31" s="2">
        <v>365.68700000000001</v>
      </c>
      <c r="I31" s="2">
        <v>543</v>
      </c>
      <c r="J31" s="2">
        <v>839.23800000000006</v>
      </c>
      <c r="K31" s="2">
        <v>1188</v>
      </c>
      <c r="L31" s="2">
        <v>1523</v>
      </c>
      <c r="M31" s="2">
        <v>1776</v>
      </c>
      <c r="N31" s="5">
        <f>M31*1.11</f>
        <v>1971.3600000000001</v>
      </c>
      <c r="O31" s="2">
        <f>N31*1.035</f>
        <v>2040.3576</v>
      </c>
      <c r="P31" s="2">
        <f t="shared" ref="P31:X31" si="22">O31*1.035</f>
        <v>2111.7701159999997</v>
      </c>
      <c r="Q31" s="2">
        <f t="shared" si="22"/>
        <v>2185.6820700599997</v>
      </c>
      <c r="R31" s="2">
        <f t="shared" si="22"/>
        <v>2262.1809425120996</v>
      </c>
      <c r="S31" s="2">
        <f t="shared" si="22"/>
        <v>2341.3572755000228</v>
      </c>
      <c r="T31" s="2">
        <f t="shared" si="22"/>
        <v>2423.3047801425232</v>
      </c>
      <c r="U31" s="2">
        <f t="shared" si="22"/>
        <v>2508.1204474475112</v>
      </c>
      <c r="V31" s="2">
        <f t="shared" si="22"/>
        <v>2595.9046631081737</v>
      </c>
      <c r="W31" s="2">
        <f t="shared" si="22"/>
        <v>2686.7613263169596</v>
      </c>
      <c r="X31" s="2">
        <f t="shared" si="22"/>
        <v>2780.797972738053</v>
      </c>
    </row>
    <row r="32" spans="1:16366" x14ac:dyDescent="0.25">
      <c r="A32" s="71">
        <f>AA52</f>
        <v>745.6725483453954</v>
      </c>
      <c r="C32" s="1" t="s">
        <v>22</v>
      </c>
      <c r="D32" s="2">
        <v>6.5000000000000002E-2</v>
      </c>
      <c r="E32" s="2">
        <v>6.5000000000000002E-2</v>
      </c>
      <c r="F32" s="2">
        <v>6.5000000000000002E-2</v>
      </c>
      <c r="G32" s="2">
        <v>6.5000000000000002E-2</v>
      </c>
      <c r="H32" s="2">
        <v>6.5000000000000002E-2</v>
      </c>
      <c r="I32" s="2">
        <v>17.818999999999999</v>
      </c>
      <c r="J32" s="2">
        <v>229.53899999999999</v>
      </c>
      <c r="K32" s="2">
        <v>268</v>
      </c>
      <c r="L32" s="2">
        <v>275</v>
      </c>
      <c r="M32" s="2">
        <v>287</v>
      </c>
      <c r="N32" s="5">
        <f>M32*1.1</f>
        <v>315.70000000000005</v>
      </c>
      <c r="O32" s="2">
        <f>N32*1.035</f>
        <v>326.74950000000001</v>
      </c>
      <c r="P32" s="2">
        <f t="shared" ref="P32:X32" si="23">O32*1.035</f>
        <v>338.18573249999997</v>
      </c>
      <c r="Q32" s="2">
        <f t="shared" si="23"/>
        <v>350.02223313749994</v>
      </c>
      <c r="R32" s="2">
        <f t="shared" si="23"/>
        <v>362.27301129731239</v>
      </c>
      <c r="S32" s="2">
        <f t="shared" si="23"/>
        <v>374.95256669271828</v>
      </c>
      <c r="T32" s="2">
        <f t="shared" si="23"/>
        <v>388.07590652696337</v>
      </c>
      <c r="U32" s="2">
        <f t="shared" si="23"/>
        <v>401.65856325540705</v>
      </c>
      <c r="V32" s="2">
        <f t="shared" si="23"/>
        <v>415.71661296934627</v>
      </c>
      <c r="W32" s="2">
        <f t="shared" si="23"/>
        <v>430.26669442327335</v>
      </c>
      <c r="X32" s="2">
        <f t="shared" si="23"/>
        <v>445.32602872808786</v>
      </c>
    </row>
    <row r="33" spans="1:111" x14ac:dyDescent="0.25">
      <c r="A33" s="33">
        <f>AA53</f>
        <v>0.21050738367758992</v>
      </c>
      <c r="C33" s="1" t="s">
        <v>159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151</v>
      </c>
      <c r="N33" s="5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</row>
    <row r="34" spans="1:111" x14ac:dyDescent="0.25">
      <c r="C34" s="6" t="s">
        <v>23</v>
      </c>
      <c r="D34" s="26">
        <f t="shared" ref="D34:I34" si="24">SUM(D31:D33)</f>
        <v>76.423999999999992</v>
      </c>
      <c r="E34" s="26">
        <f t="shared" si="24"/>
        <v>115.526</v>
      </c>
      <c r="F34" s="26">
        <f t="shared" si="24"/>
        <v>178.45</v>
      </c>
      <c r="G34" s="26">
        <f t="shared" si="24"/>
        <v>245.483</v>
      </c>
      <c r="H34" s="26">
        <f t="shared" si="24"/>
        <v>365.75200000000001</v>
      </c>
      <c r="I34" s="26">
        <f t="shared" si="24"/>
        <v>560.81899999999996</v>
      </c>
      <c r="J34" s="26">
        <f>SUM(J31:J33)</f>
        <v>1068.777</v>
      </c>
      <c r="K34" s="26">
        <f t="shared" ref="K34:L34" si="25">SUM(K31:K33)</f>
        <v>1456</v>
      </c>
      <c r="L34" s="26">
        <f t="shared" si="25"/>
        <v>1798</v>
      </c>
      <c r="M34" s="26">
        <f>SUM(M31:M33)</f>
        <v>2214</v>
      </c>
      <c r="N34" s="15">
        <f>SUM(N31:N32)</f>
        <v>2287.0600000000004</v>
      </c>
      <c r="O34" s="26">
        <f>SUM(O31:O32)</f>
        <v>2367.1071000000002</v>
      </c>
      <c r="P34" s="26">
        <f t="shared" ref="P34:X34" si="26">SUM(P31:P32)</f>
        <v>2449.9558484999998</v>
      </c>
      <c r="Q34" s="26">
        <f t="shared" si="26"/>
        <v>2535.7043031974995</v>
      </c>
      <c r="R34" s="26">
        <f t="shared" si="26"/>
        <v>2624.4539538094118</v>
      </c>
      <c r="S34" s="26">
        <f t="shared" si="26"/>
        <v>2716.3098421927411</v>
      </c>
      <c r="T34" s="26">
        <f t="shared" si="26"/>
        <v>2811.3806866694867</v>
      </c>
      <c r="U34" s="26">
        <f t="shared" si="26"/>
        <v>2909.7790107029182</v>
      </c>
      <c r="V34" s="26">
        <f t="shared" si="26"/>
        <v>3011.6212760775202</v>
      </c>
      <c r="W34" s="26">
        <f t="shared" si="26"/>
        <v>3117.0280207402329</v>
      </c>
      <c r="X34" s="26">
        <f t="shared" si="26"/>
        <v>3226.1240014661407</v>
      </c>
    </row>
    <row r="35" spans="1:111" x14ac:dyDescent="0.25">
      <c r="C35" s="1" t="s">
        <v>28</v>
      </c>
      <c r="D35" s="2">
        <v>-33.527000000000001</v>
      </c>
      <c r="E35" s="2">
        <v>-53.218000000000004</v>
      </c>
      <c r="F35" s="2">
        <v>-72.122</v>
      </c>
      <c r="G35" s="2">
        <v>-97.674000000000007</v>
      </c>
      <c r="H35" s="2">
        <v>-126.419</v>
      </c>
      <c r="I35" s="2">
        <v>-133.75200000000001</v>
      </c>
      <c r="J35" s="2">
        <v>-207.16499999999999</v>
      </c>
      <c r="K35" s="2">
        <v>-290</v>
      </c>
      <c r="L35" s="2">
        <v>-355</v>
      </c>
      <c r="M35" s="2">
        <v>-438</v>
      </c>
      <c r="N35" s="5">
        <f>M35*1.17</f>
        <v>-512.45999999999992</v>
      </c>
      <c r="O35" s="2">
        <f>N35*1.035</f>
        <v>-530.39609999999993</v>
      </c>
      <c r="P35" s="2">
        <f t="shared" ref="P35:X35" si="27">O35*1.035</f>
        <v>-548.95996349999984</v>
      </c>
      <c r="Q35" s="2">
        <f t="shared" si="27"/>
        <v>-568.17356222249975</v>
      </c>
      <c r="R35" s="2">
        <f t="shared" si="27"/>
        <v>-588.05963690028716</v>
      </c>
      <c r="S35" s="2">
        <f t="shared" si="27"/>
        <v>-608.64172419179715</v>
      </c>
      <c r="T35" s="2">
        <f t="shared" si="27"/>
        <v>-629.94418453851006</v>
      </c>
      <c r="U35" s="2">
        <f t="shared" si="27"/>
        <v>-651.99223099735786</v>
      </c>
      <c r="V35" s="2">
        <f t="shared" si="27"/>
        <v>-674.81195908226539</v>
      </c>
      <c r="W35" s="2">
        <f t="shared" si="27"/>
        <v>-698.43037765014458</v>
      </c>
      <c r="X35" s="2">
        <f t="shared" si="27"/>
        <v>-722.87544086789956</v>
      </c>
    </row>
    <row r="36" spans="1:111" x14ac:dyDescent="0.25">
      <c r="C36" s="1" t="s">
        <v>30</v>
      </c>
      <c r="D36" s="2">
        <v>-15.808999999999999</v>
      </c>
      <c r="E36" s="2">
        <v>-17.600000000000001</v>
      </c>
      <c r="F36" s="2">
        <v>-25.626999999999999</v>
      </c>
      <c r="G36" s="2">
        <v>-40.063000000000002</v>
      </c>
      <c r="H36" s="2">
        <v>-56.384999999999998</v>
      </c>
      <c r="I36" s="2">
        <v>-95.168999999999997</v>
      </c>
      <c r="J36" s="2">
        <v>-126.962</v>
      </c>
      <c r="K36" s="2">
        <v>-159</v>
      </c>
      <c r="L36" s="2">
        <v>-176</v>
      </c>
      <c r="M36" s="2">
        <v>-215</v>
      </c>
      <c r="N36" s="5">
        <v>-250</v>
      </c>
      <c r="O36" s="2">
        <f>N36*1.035</f>
        <v>-258.75</v>
      </c>
      <c r="P36" s="2">
        <f t="shared" ref="P36:X36" si="28">O36*1.035</f>
        <v>-267.80624999999998</v>
      </c>
      <c r="Q36" s="2">
        <f t="shared" si="28"/>
        <v>-277.17946874999996</v>
      </c>
      <c r="R36" s="2">
        <f t="shared" si="28"/>
        <v>-286.88075015624992</v>
      </c>
      <c r="S36" s="2">
        <f t="shared" si="28"/>
        <v>-296.92157641171866</v>
      </c>
      <c r="T36" s="2">
        <f t="shared" si="28"/>
        <v>-307.3138315861288</v>
      </c>
      <c r="U36" s="2">
        <f t="shared" si="28"/>
        <v>-318.06981569164327</v>
      </c>
      <c r="V36" s="2">
        <f t="shared" si="28"/>
        <v>-329.20225924085076</v>
      </c>
      <c r="W36" s="2">
        <f t="shared" si="28"/>
        <v>-340.72433831428049</v>
      </c>
      <c r="X36" s="2">
        <f t="shared" si="28"/>
        <v>-352.64969015528027</v>
      </c>
    </row>
    <row r="37" spans="1:111" x14ac:dyDescent="0.25">
      <c r="C37" s="6" t="s">
        <v>103</v>
      </c>
      <c r="D37" s="26">
        <f t="shared" ref="D37:K37" si="29">SUM(D34:D36)</f>
        <v>27.087999999999994</v>
      </c>
      <c r="E37" s="26">
        <f t="shared" si="29"/>
        <v>44.707999999999991</v>
      </c>
      <c r="F37" s="26">
        <f t="shared" si="29"/>
        <v>80.700999999999993</v>
      </c>
      <c r="G37" s="26">
        <f t="shared" si="29"/>
        <v>107.746</v>
      </c>
      <c r="H37" s="26">
        <f t="shared" si="29"/>
        <v>182.94800000000004</v>
      </c>
      <c r="I37" s="26">
        <f t="shared" si="29"/>
        <v>331.89799999999997</v>
      </c>
      <c r="J37" s="26">
        <f t="shared" si="29"/>
        <v>734.65000000000009</v>
      </c>
      <c r="K37" s="26">
        <f t="shared" si="29"/>
        <v>1007</v>
      </c>
      <c r="L37" s="26">
        <f>SUM(L34:L36)</f>
        <v>1267</v>
      </c>
      <c r="M37" s="26">
        <f>SUM(M34:M36)</f>
        <v>1561</v>
      </c>
      <c r="N37" s="15">
        <f>SUM(N34:N36)</f>
        <v>1524.6000000000004</v>
      </c>
      <c r="O37" s="26">
        <f t="shared" ref="O37:W37" si="30">SUM(O34:O36)</f>
        <v>1577.9610000000002</v>
      </c>
      <c r="P37" s="26">
        <f t="shared" si="30"/>
        <v>1633.1896349999997</v>
      </c>
      <c r="Q37" s="26">
        <f t="shared" si="30"/>
        <v>1690.3512722249998</v>
      </c>
      <c r="R37" s="26">
        <f t="shared" si="30"/>
        <v>1749.5135667528748</v>
      </c>
      <c r="S37" s="26">
        <f t="shared" si="30"/>
        <v>1810.7465415892254</v>
      </c>
      <c r="T37" s="26">
        <f t="shared" si="30"/>
        <v>1874.122670544848</v>
      </c>
      <c r="U37" s="26">
        <f t="shared" si="30"/>
        <v>1939.7169640139173</v>
      </c>
      <c r="V37" s="26">
        <f t="shared" si="30"/>
        <v>2007.6070577544042</v>
      </c>
      <c r="W37" s="26">
        <f t="shared" si="30"/>
        <v>2077.8733047758078</v>
      </c>
      <c r="X37" s="26">
        <f>SUM(X34:X35)</f>
        <v>2503.2485605982411</v>
      </c>
    </row>
    <row r="38" spans="1:111" x14ac:dyDescent="0.25">
      <c r="C38" s="1" t="s">
        <v>29</v>
      </c>
      <c r="D38" s="2">
        <v>-5.9</v>
      </c>
      <c r="E38" s="2">
        <v>-9.6999999999999993</v>
      </c>
      <c r="F38" s="2">
        <v>-13.754</v>
      </c>
      <c r="G38" s="2">
        <v>-18.196999999999999</v>
      </c>
      <c r="H38" s="2">
        <v>-25.475999999999999</v>
      </c>
      <c r="I38" s="2">
        <v>-32.512999999999998</v>
      </c>
      <c r="J38" s="2">
        <v>-80.646000000000001</v>
      </c>
      <c r="K38" s="2">
        <v>-100</v>
      </c>
      <c r="L38" s="2">
        <v>-125</v>
      </c>
      <c r="M38" s="2">
        <v>-142</v>
      </c>
      <c r="N38" s="5">
        <f>M38*1.1</f>
        <v>-156.20000000000002</v>
      </c>
      <c r="O38" s="2">
        <f>N38*1.035</f>
        <v>-161.667</v>
      </c>
      <c r="P38" s="2">
        <f t="shared" ref="P38:X38" si="31">O38*1.035</f>
        <v>-167.325345</v>
      </c>
      <c r="Q38" s="2">
        <f t="shared" si="31"/>
        <v>-173.18173207499999</v>
      </c>
      <c r="R38" s="2">
        <f t="shared" si="31"/>
        <v>-179.24309269762497</v>
      </c>
      <c r="S38" s="2">
        <f t="shared" si="31"/>
        <v>-185.51660094204183</v>
      </c>
      <c r="T38" s="2">
        <f t="shared" si="31"/>
        <v>-192.00968197501328</v>
      </c>
      <c r="U38" s="2">
        <f t="shared" si="31"/>
        <v>-198.73002084413872</v>
      </c>
      <c r="V38" s="2">
        <f t="shared" si="31"/>
        <v>-205.68557157368357</v>
      </c>
      <c r="W38" s="2">
        <f t="shared" si="31"/>
        <v>-212.88456657876247</v>
      </c>
      <c r="X38" s="2">
        <f t="shared" si="31"/>
        <v>-220.33552640901914</v>
      </c>
    </row>
    <row r="39" spans="1:111" x14ac:dyDescent="0.25">
      <c r="C39" s="1" t="s">
        <v>31</v>
      </c>
      <c r="D39" s="2">
        <f>D35+D36+D38</f>
        <v>-55.235999999999997</v>
      </c>
      <c r="E39" s="2">
        <f>E35+E36+E38</f>
        <v>-80.518000000000015</v>
      </c>
      <c r="F39" s="2">
        <f>F35+F36+F38</f>
        <v>-111.503</v>
      </c>
      <c r="G39" s="2">
        <f>G35+G36+G38</f>
        <v>-155.93400000000003</v>
      </c>
      <c r="H39" s="2">
        <f t="shared" ref="H39:I39" si="32">H35+H36+H38</f>
        <v>-208.28</v>
      </c>
      <c r="I39" s="2">
        <f t="shared" si="32"/>
        <v>-261.43399999999997</v>
      </c>
      <c r="J39" s="2">
        <f>J35+J36+J38</f>
        <v>-414.77300000000002</v>
      </c>
      <c r="K39" s="2">
        <v>-549</v>
      </c>
      <c r="L39" s="2">
        <v>-656</v>
      </c>
      <c r="M39" s="2">
        <v>-795</v>
      </c>
      <c r="N39" s="5">
        <f t="shared" ref="N39:W39" si="33">N35+N36+N38</f>
        <v>-918.66</v>
      </c>
      <c r="O39" s="2">
        <f t="shared" si="33"/>
        <v>-950.81309999999996</v>
      </c>
      <c r="P39" s="2">
        <f t="shared" si="33"/>
        <v>-984.09155849999979</v>
      </c>
      <c r="Q39" s="2">
        <f t="shared" si="33"/>
        <v>-1018.5347630474997</v>
      </c>
      <c r="R39" s="2">
        <f t="shared" si="33"/>
        <v>-1054.1834797541619</v>
      </c>
      <c r="S39" s="2">
        <f t="shared" si="33"/>
        <v>-1091.0799015455577</v>
      </c>
      <c r="T39" s="2">
        <f t="shared" si="33"/>
        <v>-1129.2676980996521</v>
      </c>
      <c r="U39" s="2">
        <f t="shared" si="33"/>
        <v>-1168.7920675331397</v>
      </c>
      <c r="V39" s="2">
        <f t="shared" si="33"/>
        <v>-1209.6997898967998</v>
      </c>
      <c r="W39" s="2">
        <f t="shared" si="33"/>
        <v>-1252.0392825431877</v>
      </c>
      <c r="X39" s="2">
        <f>X35+X36+X38</f>
        <v>-1295.8606574321989</v>
      </c>
    </row>
    <row r="40" spans="1:111" x14ac:dyDescent="0.25">
      <c r="C40" s="6" t="s">
        <v>97</v>
      </c>
      <c r="D40" s="26">
        <f>D34+D39</f>
        <v>21.187999999999995</v>
      </c>
      <c r="E40" s="26">
        <f>E34+E39</f>
        <v>35.007999999999981</v>
      </c>
      <c r="F40" s="26">
        <f>F34+F39</f>
        <v>66.946999999999989</v>
      </c>
      <c r="G40" s="26">
        <f>G34+G39</f>
        <v>89.548999999999978</v>
      </c>
      <c r="H40" s="26">
        <f t="shared" ref="H40:X40" si="34">H34+H39</f>
        <v>157.47200000000001</v>
      </c>
      <c r="I40" s="26">
        <f t="shared" si="34"/>
        <v>299.38499999999999</v>
      </c>
      <c r="J40" s="26">
        <f t="shared" si="34"/>
        <v>654.00400000000002</v>
      </c>
      <c r="K40" s="26">
        <f t="shared" si="34"/>
        <v>907</v>
      </c>
      <c r="L40" s="26">
        <f t="shared" si="34"/>
        <v>1142</v>
      </c>
      <c r="M40" s="26">
        <f t="shared" si="34"/>
        <v>1419</v>
      </c>
      <c r="N40" s="15">
        <f t="shared" si="34"/>
        <v>1368.4000000000005</v>
      </c>
      <c r="O40" s="26">
        <f t="shared" si="34"/>
        <v>1416.2940000000003</v>
      </c>
      <c r="P40" s="26">
        <f t="shared" si="34"/>
        <v>1465.86429</v>
      </c>
      <c r="Q40" s="26">
        <f t="shared" si="34"/>
        <v>1517.1695401499996</v>
      </c>
      <c r="R40" s="26">
        <f t="shared" si="34"/>
        <v>1570.2704740552499</v>
      </c>
      <c r="S40" s="26">
        <f t="shared" si="34"/>
        <v>1625.2299406471834</v>
      </c>
      <c r="T40" s="26">
        <f t="shared" si="34"/>
        <v>1682.1129885698347</v>
      </c>
      <c r="U40" s="26">
        <f t="shared" si="34"/>
        <v>1740.9869431697784</v>
      </c>
      <c r="V40" s="26">
        <f t="shared" si="34"/>
        <v>1801.9214861807204</v>
      </c>
      <c r="W40" s="26">
        <f t="shared" si="34"/>
        <v>1864.9887381970452</v>
      </c>
      <c r="X40" s="26">
        <f t="shared" si="34"/>
        <v>1930.2633440339418</v>
      </c>
    </row>
    <row r="41" spans="1:111" x14ac:dyDescent="0.25">
      <c r="C41" s="1" t="s">
        <v>32</v>
      </c>
      <c r="D41" s="2">
        <v>-0.24399999999999999</v>
      </c>
      <c r="E41" s="2">
        <v>-0.24399999999999999</v>
      </c>
      <c r="F41" s="2">
        <v>-0.224</v>
      </c>
      <c r="G41" s="2">
        <f>0.045-0.245</f>
        <v>-0.2</v>
      </c>
      <c r="H41" s="2">
        <f>0.045-0.245</f>
        <v>-0.2</v>
      </c>
      <c r="I41" s="2">
        <f>0.047-1</f>
        <v>-0.95299999999999996</v>
      </c>
      <c r="J41" s="2">
        <f>1.317-7.83</f>
        <v>-6.5129999999999999</v>
      </c>
      <c r="K41" s="2">
        <v>-1</v>
      </c>
      <c r="L41" s="2">
        <v>6</v>
      </c>
      <c r="M41" s="2">
        <v>19</v>
      </c>
      <c r="N41" s="5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</row>
    <row r="42" spans="1:111" x14ac:dyDescent="0.25">
      <c r="C42" s="1" t="s">
        <v>33</v>
      </c>
      <c r="D42" s="2">
        <f t="shared" ref="D42:X42" si="35">SUM(D40:D41)</f>
        <v>20.943999999999996</v>
      </c>
      <c r="E42" s="2">
        <f t="shared" si="35"/>
        <v>34.763999999999982</v>
      </c>
      <c r="F42" s="2">
        <f t="shared" si="35"/>
        <v>66.722999999999985</v>
      </c>
      <c r="G42" s="2">
        <f t="shared" si="35"/>
        <v>89.348999999999975</v>
      </c>
      <c r="H42" s="2">
        <f t="shared" si="35"/>
        <v>157.27200000000002</v>
      </c>
      <c r="I42" s="2">
        <f t="shared" si="35"/>
        <v>298.43200000000002</v>
      </c>
      <c r="J42" s="2">
        <f t="shared" si="35"/>
        <v>647.49099999999999</v>
      </c>
      <c r="K42" s="2">
        <f t="shared" si="35"/>
        <v>906</v>
      </c>
      <c r="L42" s="2">
        <f t="shared" si="35"/>
        <v>1148</v>
      </c>
      <c r="M42" s="2">
        <f t="shared" si="35"/>
        <v>1438</v>
      </c>
      <c r="N42" s="5">
        <f t="shared" si="35"/>
        <v>1368.4000000000005</v>
      </c>
      <c r="O42" s="2">
        <f t="shared" si="35"/>
        <v>1416.2940000000003</v>
      </c>
      <c r="P42" s="2">
        <f t="shared" si="35"/>
        <v>1465.86429</v>
      </c>
      <c r="Q42" s="2">
        <f t="shared" si="35"/>
        <v>1517.1695401499996</v>
      </c>
      <c r="R42" s="2">
        <f t="shared" si="35"/>
        <v>1570.2704740552499</v>
      </c>
      <c r="S42" s="2">
        <f t="shared" si="35"/>
        <v>1625.2299406471834</v>
      </c>
      <c r="T42" s="2">
        <f t="shared" si="35"/>
        <v>1682.1129885698347</v>
      </c>
      <c r="U42" s="2">
        <f t="shared" si="35"/>
        <v>1740.9869431697784</v>
      </c>
      <c r="V42" s="2">
        <f t="shared" si="35"/>
        <v>1801.9214861807204</v>
      </c>
      <c r="W42" s="2">
        <f t="shared" si="35"/>
        <v>1864.9887381970452</v>
      </c>
      <c r="X42" s="2">
        <f t="shared" si="35"/>
        <v>1930.2633440339418</v>
      </c>
    </row>
    <row r="43" spans="1:111" x14ac:dyDescent="0.25">
      <c r="C43" s="1" t="s">
        <v>34</v>
      </c>
      <c r="D43" s="2">
        <v>-1</v>
      </c>
      <c r="E43" s="2">
        <v>-2.9</v>
      </c>
      <c r="F43" s="2">
        <v>-4.5</v>
      </c>
      <c r="G43" s="2">
        <v>-5.8</v>
      </c>
      <c r="H43" s="2">
        <v>-7.5460000000000003</v>
      </c>
      <c r="I43" s="2">
        <v>-14</v>
      </c>
      <c r="J43" s="2">
        <v>-42</v>
      </c>
      <c r="K43" s="2">
        <v>-63</v>
      </c>
      <c r="L43" s="2">
        <v>-78</v>
      </c>
      <c r="M43" s="2">
        <v>-195</v>
      </c>
      <c r="N43" s="5">
        <f>N42*-0.15</f>
        <v>-205.26000000000008</v>
      </c>
      <c r="O43" s="2">
        <f t="shared" ref="O43:X43" si="36">O42*-0.15</f>
        <v>-212.44410000000005</v>
      </c>
      <c r="P43" s="2">
        <f t="shared" si="36"/>
        <v>-219.87964349999999</v>
      </c>
      <c r="Q43" s="2">
        <f t="shared" si="36"/>
        <v>-227.57543102249994</v>
      </c>
      <c r="R43" s="2">
        <f t="shared" si="36"/>
        <v>-235.54057110828748</v>
      </c>
      <c r="S43" s="2">
        <f t="shared" si="36"/>
        <v>-243.78449109707751</v>
      </c>
      <c r="T43" s="2">
        <f t="shared" si="36"/>
        <v>-252.31694828547518</v>
      </c>
      <c r="U43" s="2">
        <f t="shared" si="36"/>
        <v>-261.14804147546675</v>
      </c>
      <c r="V43" s="2">
        <f t="shared" si="36"/>
        <v>-270.28822292710805</v>
      </c>
      <c r="W43" s="2">
        <f t="shared" si="36"/>
        <v>-279.74831072955675</v>
      </c>
      <c r="X43" s="2">
        <f t="shared" si="36"/>
        <v>-289.53950160509129</v>
      </c>
    </row>
    <row r="44" spans="1:111" x14ac:dyDescent="0.25">
      <c r="C44" s="6" t="s">
        <v>35</v>
      </c>
      <c r="D44" s="26">
        <f t="shared" ref="D44:M44" si="37">SUM(D42:D43)</f>
        <v>19.943999999999996</v>
      </c>
      <c r="E44" s="26">
        <f t="shared" si="37"/>
        <v>31.863999999999983</v>
      </c>
      <c r="F44" s="26">
        <f t="shared" si="37"/>
        <v>62.222999999999985</v>
      </c>
      <c r="G44" s="26">
        <f t="shared" si="37"/>
        <v>83.548999999999978</v>
      </c>
      <c r="H44" s="26">
        <f t="shared" si="37"/>
        <v>149.72600000000003</v>
      </c>
      <c r="I44" s="26">
        <f t="shared" si="37"/>
        <v>284.43200000000002</v>
      </c>
      <c r="J44" s="26">
        <f t="shared" si="37"/>
        <v>605.49099999999999</v>
      </c>
      <c r="K44" s="26">
        <f t="shared" si="37"/>
        <v>843</v>
      </c>
      <c r="L44" s="26">
        <f t="shared" si="37"/>
        <v>1070</v>
      </c>
      <c r="M44" s="26">
        <f t="shared" si="37"/>
        <v>1243</v>
      </c>
      <c r="N44" s="15">
        <f>SUM(N42:N43)</f>
        <v>1163.1400000000006</v>
      </c>
      <c r="O44" s="26">
        <f t="shared" ref="O44:X44" si="38">SUM(O42:O43)</f>
        <v>1203.8499000000002</v>
      </c>
      <c r="P44" s="26">
        <f t="shared" si="38"/>
        <v>1245.9846465000001</v>
      </c>
      <c r="Q44" s="26">
        <f t="shared" si="38"/>
        <v>1289.5941091274997</v>
      </c>
      <c r="R44" s="26">
        <f t="shared" si="38"/>
        <v>1334.7299029469625</v>
      </c>
      <c r="S44" s="26">
        <f t="shared" si="38"/>
        <v>1381.4454495501059</v>
      </c>
      <c r="T44" s="26">
        <f t="shared" si="38"/>
        <v>1429.7960402843596</v>
      </c>
      <c r="U44" s="26">
        <f t="shared" si="38"/>
        <v>1479.8389016943117</v>
      </c>
      <c r="V44" s="26">
        <f t="shared" si="38"/>
        <v>1531.6332632536123</v>
      </c>
      <c r="W44" s="26">
        <f t="shared" si="38"/>
        <v>1585.2404274674884</v>
      </c>
      <c r="X44" s="26">
        <f t="shared" si="38"/>
        <v>1640.7238424288505</v>
      </c>
      <c r="Y44" s="26">
        <f>X44*(1+$AA$22)</f>
        <v>1624.3166040045619</v>
      </c>
      <c r="Z44" s="26">
        <f>Y44*(1+$AA$22)</f>
        <v>1608.0734379645162</v>
      </c>
      <c r="AA44" s="26">
        <f t="shared" ref="AA44:CL44" si="39">Z44*(1+$AA$22)</f>
        <v>1591.9927035848709</v>
      </c>
      <c r="AB44" s="26">
        <f t="shared" si="39"/>
        <v>1576.0727765490221</v>
      </c>
      <c r="AC44" s="26">
        <f t="shared" si="39"/>
        <v>1560.312048783532</v>
      </c>
      <c r="AD44" s="26">
        <f t="shared" si="39"/>
        <v>1544.7089282956965</v>
      </c>
      <c r="AE44" s="26">
        <f t="shared" si="39"/>
        <v>1529.2618390127395</v>
      </c>
      <c r="AF44" s="26">
        <f t="shared" si="39"/>
        <v>1513.9692206226121</v>
      </c>
      <c r="AG44" s="26">
        <f t="shared" si="39"/>
        <v>1498.829528416386</v>
      </c>
      <c r="AH44" s="26">
        <f t="shared" si="39"/>
        <v>1483.8412331322222</v>
      </c>
      <c r="AI44" s="26">
        <f t="shared" si="39"/>
        <v>1469.0028208009001</v>
      </c>
      <c r="AJ44" s="26">
        <f t="shared" si="39"/>
        <v>1454.3127925928911</v>
      </c>
      <c r="AK44" s="26">
        <f t="shared" si="39"/>
        <v>1439.7696646669622</v>
      </c>
      <c r="AL44" s="26">
        <f t="shared" si="39"/>
        <v>1425.3719680202926</v>
      </c>
      <c r="AM44" s="26">
        <f t="shared" si="39"/>
        <v>1411.1182483400896</v>
      </c>
      <c r="AN44" s="26">
        <f t="shared" si="39"/>
        <v>1397.0070658566888</v>
      </c>
      <c r="AO44" s="26">
        <f t="shared" si="39"/>
        <v>1383.0369951981218</v>
      </c>
      <c r="AP44" s="26">
        <f t="shared" si="39"/>
        <v>1369.2066252461404</v>
      </c>
      <c r="AQ44" s="26">
        <f t="shared" si="39"/>
        <v>1355.514558993679</v>
      </c>
      <c r="AR44" s="26">
        <f t="shared" si="39"/>
        <v>1341.9594134037422</v>
      </c>
      <c r="AS44" s="26">
        <f t="shared" si="39"/>
        <v>1328.5398192697048</v>
      </c>
      <c r="AT44" s="26">
        <f t="shared" si="39"/>
        <v>1315.2544210770077</v>
      </c>
      <c r="AU44" s="26">
        <f t="shared" si="39"/>
        <v>1302.1018768662375</v>
      </c>
      <c r="AV44" s="26">
        <f t="shared" si="39"/>
        <v>1289.0808580975752</v>
      </c>
      <c r="AW44" s="26">
        <f t="shared" si="39"/>
        <v>1276.1900495165994</v>
      </c>
      <c r="AX44" s="26">
        <f t="shared" si="39"/>
        <v>1263.4281490214335</v>
      </c>
      <c r="AY44" s="26">
        <f t="shared" si="39"/>
        <v>1250.7938675312191</v>
      </c>
      <c r="AZ44" s="26">
        <f t="shared" si="39"/>
        <v>1238.2859288559068</v>
      </c>
      <c r="BA44" s="26">
        <f t="shared" si="39"/>
        <v>1225.9030695673478</v>
      </c>
      <c r="BB44" s="26">
        <f t="shared" si="39"/>
        <v>1213.6440388716742</v>
      </c>
      <c r="BC44" s="26">
        <f t="shared" si="39"/>
        <v>1201.5075984829575</v>
      </c>
      <c r="BD44" s="26">
        <f t="shared" si="39"/>
        <v>1189.492522498128</v>
      </c>
      <c r="BE44" s="26">
        <f t="shared" si="39"/>
        <v>1177.5975972731467</v>
      </c>
      <c r="BF44" s="26">
        <f t="shared" si="39"/>
        <v>1165.8216213004152</v>
      </c>
      <c r="BG44" s="26">
        <f t="shared" si="39"/>
        <v>1154.1634050874111</v>
      </c>
      <c r="BH44" s="26">
        <f t="shared" si="39"/>
        <v>1142.621771036537</v>
      </c>
      <c r="BI44" s="26">
        <f t="shared" si="39"/>
        <v>1131.1955533261716</v>
      </c>
      <c r="BJ44" s="26">
        <f t="shared" si="39"/>
        <v>1119.88359779291</v>
      </c>
      <c r="BK44" s="26">
        <f t="shared" si="39"/>
        <v>1108.6847618149809</v>
      </c>
      <c r="BL44" s="26">
        <f t="shared" si="39"/>
        <v>1097.597914196831</v>
      </c>
      <c r="BM44" s="26">
        <f t="shared" si="39"/>
        <v>1086.6219350548627</v>
      </c>
      <c r="BN44" s="26">
        <f t="shared" si="39"/>
        <v>1075.7557157043141</v>
      </c>
      <c r="BO44" s="26">
        <f t="shared" si="39"/>
        <v>1064.998158547271</v>
      </c>
      <c r="BP44" s="26">
        <f t="shared" si="39"/>
        <v>1054.3481769617983</v>
      </c>
      <c r="BQ44" s="26">
        <f t="shared" si="39"/>
        <v>1043.8046951921804</v>
      </c>
      <c r="BR44" s="26">
        <f t="shared" si="39"/>
        <v>1033.3666482402587</v>
      </c>
      <c r="BS44" s="26">
        <f t="shared" si="39"/>
        <v>1023.0329817578561</v>
      </c>
      <c r="BT44" s="26">
        <f t="shared" si="39"/>
        <v>1012.8026519402775</v>
      </c>
      <c r="BU44" s="26">
        <f t="shared" si="39"/>
        <v>1002.6746254208748</v>
      </c>
      <c r="BV44" s="26">
        <f t="shared" si="39"/>
        <v>992.64787916666603</v>
      </c>
      <c r="BW44" s="26">
        <f t="shared" si="39"/>
        <v>982.72140037499935</v>
      </c>
      <c r="BX44" s="26">
        <f t="shared" si="39"/>
        <v>972.89418637124936</v>
      </c>
      <c r="BY44" s="26">
        <f t="shared" si="39"/>
        <v>963.16524450753684</v>
      </c>
      <c r="BZ44" s="26">
        <f t="shared" si="39"/>
        <v>953.53359206246148</v>
      </c>
      <c r="CA44" s="26">
        <f t="shared" si="39"/>
        <v>943.9982561418368</v>
      </c>
      <c r="CB44" s="26">
        <f t="shared" si="39"/>
        <v>934.55827358041847</v>
      </c>
      <c r="CC44" s="26">
        <f t="shared" si="39"/>
        <v>925.21269084461426</v>
      </c>
      <c r="CD44" s="26">
        <f t="shared" si="39"/>
        <v>915.96056393616811</v>
      </c>
      <c r="CE44" s="26">
        <f t="shared" si="39"/>
        <v>906.80095829680647</v>
      </c>
      <c r="CF44" s="26">
        <f t="shared" si="39"/>
        <v>897.73294871383837</v>
      </c>
      <c r="CG44" s="26">
        <f t="shared" si="39"/>
        <v>888.75561922669999</v>
      </c>
      <c r="CH44" s="26">
        <f t="shared" si="39"/>
        <v>879.86806303443302</v>
      </c>
      <c r="CI44" s="26">
        <f t="shared" si="39"/>
        <v>871.06938240408863</v>
      </c>
      <c r="CJ44" s="26">
        <f t="shared" si="39"/>
        <v>862.35868858004778</v>
      </c>
      <c r="CK44" s="26">
        <f t="shared" si="39"/>
        <v>853.73510169424731</v>
      </c>
      <c r="CL44" s="26">
        <f t="shared" si="39"/>
        <v>845.19775067730484</v>
      </c>
      <c r="CM44" s="26">
        <f t="shared" ref="CM44:DG44" si="40">CL44*(1+$AA$22)</f>
        <v>836.74577317053183</v>
      </c>
      <c r="CN44" s="26">
        <f t="shared" si="40"/>
        <v>828.37831543882646</v>
      </c>
      <c r="CO44" s="26">
        <f t="shared" si="40"/>
        <v>820.09453228443817</v>
      </c>
      <c r="CP44" s="26">
        <f t="shared" si="40"/>
        <v>811.89358696159377</v>
      </c>
      <c r="CQ44" s="26">
        <f t="shared" si="40"/>
        <v>803.77465109197783</v>
      </c>
      <c r="CR44" s="26">
        <f t="shared" si="40"/>
        <v>795.73690458105807</v>
      </c>
      <c r="CS44" s="26">
        <f t="shared" si="40"/>
        <v>787.77953553524753</v>
      </c>
      <c r="CT44" s="26">
        <f t="shared" si="40"/>
        <v>779.901740179895</v>
      </c>
      <c r="CU44" s="26">
        <f t="shared" si="40"/>
        <v>772.10272277809599</v>
      </c>
      <c r="CV44" s="26">
        <f t="shared" si="40"/>
        <v>764.38169555031504</v>
      </c>
      <c r="CW44" s="26">
        <f t="shared" si="40"/>
        <v>756.73787859481183</v>
      </c>
      <c r="CX44" s="26">
        <f t="shared" si="40"/>
        <v>749.17049980886372</v>
      </c>
      <c r="CY44" s="26">
        <f t="shared" si="40"/>
        <v>741.67879481077512</v>
      </c>
      <c r="CZ44" s="26">
        <f t="shared" si="40"/>
        <v>734.26200686266736</v>
      </c>
      <c r="DA44" s="26">
        <f t="shared" si="40"/>
        <v>726.91938679404063</v>
      </c>
      <c r="DB44" s="26">
        <f t="shared" si="40"/>
        <v>719.6501929261002</v>
      </c>
      <c r="DC44" s="26">
        <f t="shared" si="40"/>
        <v>712.45369099683921</v>
      </c>
      <c r="DD44" s="26">
        <f t="shared" si="40"/>
        <v>705.32915408687086</v>
      </c>
      <c r="DE44" s="26">
        <f t="shared" si="40"/>
        <v>698.27586254600214</v>
      </c>
      <c r="DF44" s="26">
        <f t="shared" si="40"/>
        <v>691.29310392054208</v>
      </c>
      <c r="DG44" s="26">
        <f t="shared" si="40"/>
        <v>684.38017288133665</v>
      </c>
    </row>
    <row r="45" spans="1:111" x14ac:dyDescent="0.25">
      <c r="C45" s="1" t="s">
        <v>96</v>
      </c>
      <c r="D45" s="16">
        <f>(D44*Modell!$B$11)/D46</f>
        <v>6.1101077700686863</v>
      </c>
      <c r="E45" s="16">
        <f>(E44*Modell!$B$11)/E46</f>
        <v>9.7619571793756794</v>
      </c>
      <c r="F45" s="16">
        <f>(F44*Modell!$B$11)/F46</f>
        <v>19.062837734505806</v>
      </c>
      <c r="G45" s="16">
        <f>(G44*Modell!$B$11)/G46</f>
        <v>25.596339454546161</v>
      </c>
      <c r="H45" s="16">
        <f>(H44*Modell!$B$11)/H46</f>
        <v>9.1291641202683653</v>
      </c>
      <c r="I45" s="16">
        <f>(I44*Modell!$B$11)/I46</f>
        <v>17.041679834189388</v>
      </c>
      <c r="J45" s="16">
        <f>(J44*Modell!$B$11)/J46</f>
        <v>31.221599217139776</v>
      </c>
      <c r="K45" s="16">
        <f>(K44*Modell!$B$11)/K46</f>
        <v>43.559660989133356</v>
      </c>
      <c r="L45" s="16">
        <f>(L44*Modell!$B$11)/L46</f>
        <v>55.211843198365315</v>
      </c>
      <c r="M45" s="16">
        <f>(M44*Modell!$B$11)/M46</f>
        <v>66.620445929470534</v>
      </c>
      <c r="N45" s="18">
        <f>(N44*Modell!$B$11)/N46</f>
        <v>62.340229668869192</v>
      </c>
      <c r="O45" s="16">
        <f>(O44*Modell!$B$11)/O46</f>
        <v>64.522137707279597</v>
      </c>
      <c r="P45" s="16">
        <f>(P44*Modell!$B$11)/P46</f>
        <v>66.780412527034372</v>
      </c>
      <c r="Q45" s="16">
        <f>(Q44*Modell!$B$11)/Q46</f>
        <v>69.117726965480557</v>
      </c>
      <c r="R45" s="16">
        <f>(R44*Modell!$B$11)/R46</f>
        <v>71.536847409272397</v>
      </c>
      <c r="S45" s="16">
        <f>(S44*Modell!$B$11)/S46</f>
        <v>74.040637068596908</v>
      </c>
      <c r="T45" s="16">
        <f>(T44*Modell!$B$11)/T46</f>
        <v>76.632059365997804</v>
      </c>
      <c r="U45" s="16">
        <f>(U44*Modell!$B$11)/U46</f>
        <v>79.314181443807698</v>
      </c>
      <c r="V45" s="16">
        <f>(V44*Modell!$B$11)/V46</f>
        <v>82.09017779434096</v>
      </c>
      <c r="W45" s="16">
        <f>(W44*Modell!$B$11)/W46</f>
        <v>84.96333401714287</v>
      </c>
      <c r="X45" s="16">
        <f>(X44*Modell!$B$11)/X46</f>
        <v>87.93705070774287</v>
      </c>
    </row>
    <row r="46" spans="1:111" x14ac:dyDescent="0.25">
      <c r="C46" s="1" t="s">
        <v>4</v>
      </c>
      <c r="D46" s="16">
        <v>35.970376999999999</v>
      </c>
      <c r="E46" s="16">
        <v>35.970376999999999</v>
      </c>
      <c r="F46" s="16">
        <v>35.970376999999999</v>
      </c>
      <c r="G46" s="16">
        <v>35.970376999999999</v>
      </c>
      <c r="H46" s="16">
        <v>180.73730499999999</v>
      </c>
      <c r="I46" s="16">
        <v>183.92791500000001</v>
      </c>
      <c r="J46" s="16">
        <v>213.7145754</v>
      </c>
      <c r="K46" s="16">
        <v>213.26750000000001</v>
      </c>
      <c r="L46" s="16">
        <v>213.566498</v>
      </c>
      <c r="M46" s="16">
        <v>205.61045200000001</v>
      </c>
      <c r="N46" s="18">
        <v>205.61045200000001</v>
      </c>
      <c r="O46" s="16">
        <v>205.61045200000001</v>
      </c>
      <c r="P46" s="16">
        <v>205.61045200000001</v>
      </c>
      <c r="Q46" s="16">
        <v>205.61045200000001</v>
      </c>
      <c r="R46" s="16">
        <v>205.61045200000001</v>
      </c>
      <c r="S46" s="16">
        <v>205.61045200000001</v>
      </c>
      <c r="T46" s="16">
        <v>205.61045200000001</v>
      </c>
      <c r="U46" s="16">
        <v>205.61045200000001</v>
      </c>
      <c r="V46" s="16">
        <v>205.61045200000001</v>
      </c>
      <c r="W46" s="16">
        <v>205.61045200000001</v>
      </c>
      <c r="X46" s="16">
        <v>205.61045200000001</v>
      </c>
    </row>
    <row r="47" spans="1:111" x14ac:dyDescent="0.25">
      <c r="N47" s="4"/>
    </row>
    <row r="48" spans="1:111" x14ac:dyDescent="0.25">
      <c r="N48" s="4"/>
      <c r="Z48" s="1" t="s">
        <v>90</v>
      </c>
      <c r="AA48" s="21">
        <v>0.1</v>
      </c>
    </row>
    <row r="49" spans="2:27" x14ac:dyDescent="0.25">
      <c r="D49" s="6"/>
      <c r="E49" s="6"/>
      <c r="F49" s="6"/>
      <c r="G49" s="6"/>
      <c r="H49" s="6"/>
      <c r="I49" s="6"/>
      <c r="J49" s="6"/>
      <c r="N49" s="4"/>
      <c r="Z49" s="1" t="s">
        <v>91</v>
      </c>
      <c r="AA49" s="21">
        <v>-0.01</v>
      </c>
    </row>
    <row r="50" spans="2:27" x14ac:dyDescent="0.25">
      <c r="C50" s="6" t="s">
        <v>25</v>
      </c>
      <c r="E50" s="19">
        <f t="shared" ref="E50" si="41">(E34-D34)/D34</f>
        <v>0.51164555636972686</v>
      </c>
      <c r="F50" s="19">
        <f t="shared" ref="F50" si="42">(F34-E34)/E34</f>
        <v>0.54467392621574362</v>
      </c>
      <c r="G50" s="19">
        <f t="shared" ref="G50" si="43">(G34-F34)/F34</f>
        <v>0.37564023536004493</v>
      </c>
      <c r="H50" s="19">
        <f t="shared" ref="H50" si="44">(H34-G34)/G34</f>
        <v>0.48992801945552239</v>
      </c>
      <c r="I50" s="19">
        <f t="shared" ref="I50" si="45">(I34-H34)/H34</f>
        <v>0.53333132833176566</v>
      </c>
      <c r="J50" s="19">
        <f t="shared" ref="J50" si="46">(J34-I34)/I34</f>
        <v>0.90574320770159378</v>
      </c>
      <c r="K50" s="19">
        <f t="shared" ref="K50" si="47">(K34-J34)/J34</f>
        <v>0.3623047651661665</v>
      </c>
      <c r="L50" s="19">
        <f t="shared" ref="L50" si="48">(L34-K34)/K34</f>
        <v>0.23489010989010989</v>
      </c>
      <c r="M50" s="19">
        <f t="shared" ref="M50" si="49">(M34-L34)/L34</f>
        <v>0.23136818687430477</v>
      </c>
      <c r="N50" s="20">
        <f>(N34-M34)/M34</f>
        <v>3.2999096657633425E-2</v>
      </c>
      <c r="O50" s="19">
        <f t="shared" ref="O50" si="50">(O34-N34)/N34</f>
        <v>3.4999999999999892E-2</v>
      </c>
      <c r="P50" s="19">
        <f t="shared" ref="P50" si="51">(P34-O34)/O34</f>
        <v>3.499999999999983E-2</v>
      </c>
      <c r="Q50" s="19">
        <f t="shared" ref="Q50" si="52">(Q34-P34)/P34</f>
        <v>3.4999999999999885E-2</v>
      </c>
      <c r="R50" s="19">
        <f t="shared" ref="R50" si="53">(R34-Q34)/Q34</f>
        <v>3.4999999999999941E-2</v>
      </c>
      <c r="S50" s="19">
        <f t="shared" ref="S50" si="54">(S34-R34)/R34</f>
        <v>3.4999999999999969E-2</v>
      </c>
      <c r="T50" s="19">
        <f t="shared" ref="T50" si="55">(T34-S34)/S34</f>
        <v>3.4999999999999878E-2</v>
      </c>
      <c r="U50" s="19">
        <f t="shared" ref="U50" si="56">(U34-T34)/T34</f>
        <v>3.4999999999999788E-2</v>
      </c>
      <c r="V50" s="19">
        <f t="shared" ref="V50" si="57">(V34-U34)/U34</f>
        <v>3.4999999999999948E-2</v>
      </c>
      <c r="W50" s="19">
        <f t="shared" ref="W50" si="58">(W34-V34)/V34</f>
        <v>3.4999999999999851E-2</v>
      </c>
      <c r="X50" s="19">
        <f t="shared" ref="X50" si="59">(X34-W34)/W34</f>
        <v>3.4999999999999885E-2</v>
      </c>
      <c r="Z50" s="1" t="s">
        <v>94</v>
      </c>
      <c r="AA50" s="3">
        <f>NPV(AA48,N44:DG44)</f>
        <v>13912.710499935445</v>
      </c>
    </row>
    <row r="51" spans="2:27" x14ac:dyDescent="0.25">
      <c r="C51" s="1" t="s">
        <v>86</v>
      </c>
      <c r="H51" s="10"/>
      <c r="I51" s="10">
        <f t="shared" ref="I51" si="60">(I31-H31)/H31</f>
        <v>0.48487641070095461</v>
      </c>
      <c r="J51" s="10">
        <f t="shared" ref="J51" si="61">(J31-I31)/I31</f>
        <v>0.5455580110497239</v>
      </c>
      <c r="K51" s="10">
        <f t="shared" ref="K51:K52" si="62">(K31-J31)/J31</f>
        <v>0.41556983835336331</v>
      </c>
      <c r="L51" s="10">
        <f t="shared" ref="L51:L52" si="63">(L31-K31)/K31</f>
        <v>0.28198653198653201</v>
      </c>
      <c r="M51" s="10">
        <f t="shared" ref="M51:M52" si="64">(M31-L31)/L31</f>
        <v>0.16611950098489822</v>
      </c>
      <c r="N51" s="11">
        <f t="shared" ref="N51:N52" si="65">(N31-M31)/M31</f>
        <v>0.11000000000000007</v>
      </c>
      <c r="O51" s="10">
        <f t="shared" ref="O51:O52" si="66">(O31-N31)/N31</f>
        <v>3.4999999999999955E-2</v>
      </c>
      <c r="P51" s="10">
        <f t="shared" ref="P51:P52" si="67">(P31-O31)/O31</f>
        <v>3.4999999999999823E-2</v>
      </c>
      <c r="Q51" s="10">
        <f t="shared" ref="Q51:Q52" si="68">(Q31-P31)/P31</f>
        <v>3.4999999999999989E-2</v>
      </c>
      <c r="R51" s="10">
        <f t="shared" ref="R51:R52" si="69">(R31-Q31)/Q31</f>
        <v>3.4999999999999976E-2</v>
      </c>
      <c r="S51" s="10">
        <f t="shared" ref="S51:S52" si="70">(S31-R31)/R31</f>
        <v>3.4999999999999858E-2</v>
      </c>
      <c r="T51" s="10">
        <f t="shared" ref="T51:T52" si="71">(T31-S31)/S31</f>
        <v>3.4999999999999858E-2</v>
      </c>
      <c r="U51" s="10">
        <f t="shared" ref="U51:U52" si="72">(U31-T31)/T31</f>
        <v>3.4999999999999865E-2</v>
      </c>
      <c r="V51" s="10">
        <f t="shared" ref="V51:V52" si="73">(V31-U31)/U31</f>
        <v>3.4999999999999858E-2</v>
      </c>
      <c r="W51" s="10">
        <f t="shared" ref="W51:W52" si="74">(W31-V31)/V31</f>
        <v>3.4999999999999934E-2</v>
      </c>
      <c r="X51" s="10">
        <f t="shared" ref="X51:X52" si="75">(X31-W31)/W31</f>
        <v>3.4999999999999906E-2</v>
      </c>
      <c r="Z51" s="22" t="s">
        <v>92</v>
      </c>
      <c r="AA51" s="23">
        <f>AA50*Modell!B11</f>
        <v>153318.0697092886</v>
      </c>
    </row>
    <row r="52" spans="2:27" x14ac:dyDescent="0.25">
      <c r="C52" s="1" t="s">
        <v>87</v>
      </c>
      <c r="D52" s="22"/>
      <c r="E52" s="22"/>
      <c r="F52" s="22"/>
      <c r="G52" s="22"/>
      <c r="H52" s="29"/>
      <c r="I52" s="29">
        <f>(I32-H32)/H32</f>
        <v>273.13846153846151</v>
      </c>
      <c r="J52" s="29">
        <f>(J32-I32)/I32</f>
        <v>11.881699309725574</v>
      </c>
      <c r="K52" s="29">
        <f t="shared" si="62"/>
        <v>0.167557582807279</v>
      </c>
      <c r="L52" s="29">
        <f t="shared" si="63"/>
        <v>2.6119402985074626E-2</v>
      </c>
      <c r="M52" s="29">
        <f t="shared" si="64"/>
        <v>4.363636363636364E-2</v>
      </c>
      <c r="N52" s="30">
        <f t="shared" si="65"/>
        <v>0.10000000000000016</v>
      </c>
      <c r="O52" s="29">
        <f t="shared" si="66"/>
        <v>3.4999999999999885E-2</v>
      </c>
      <c r="P52" s="29">
        <f t="shared" si="67"/>
        <v>3.4999999999999878E-2</v>
      </c>
      <c r="Q52" s="29">
        <f t="shared" si="68"/>
        <v>3.4999999999999906E-2</v>
      </c>
      <c r="R52" s="29">
        <f t="shared" si="69"/>
        <v>3.4999999999999878E-2</v>
      </c>
      <c r="S52" s="29">
        <f t="shared" si="70"/>
        <v>3.4999999999999865E-2</v>
      </c>
      <c r="T52" s="29">
        <f t="shared" si="71"/>
        <v>3.4999999999999858E-2</v>
      </c>
      <c r="U52" s="29">
        <f t="shared" si="72"/>
        <v>3.4999999999999906E-2</v>
      </c>
      <c r="V52" s="29">
        <f t="shared" si="73"/>
        <v>3.4999999999999948E-2</v>
      </c>
      <c r="W52" s="29">
        <f t="shared" si="74"/>
        <v>3.4999999999999899E-2</v>
      </c>
      <c r="X52" s="29">
        <f t="shared" si="75"/>
        <v>3.4999999999999871E-2</v>
      </c>
      <c r="Z52" s="1" t="s">
        <v>93</v>
      </c>
      <c r="AA52" s="72">
        <f>AA51/X46</f>
        <v>745.6725483453954</v>
      </c>
    </row>
    <row r="53" spans="2:27" x14ac:dyDescent="0.25">
      <c r="C53" s="36" t="s">
        <v>104</v>
      </c>
      <c r="D53" s="33">
        <f t="shared" ref="D53:W53" si="76">D37/D34</f>
        <v>0.35444363027321257</v>
      </c>
      <c r="E53" s="33">
        <f t="shared" si="76"/>
        <v>0.38699513529421942</v>
      </c>
      <c r="F53" s="33">
        <f t="shared" si="76"/>
        <v>0.452233118520594</v>
      </c>
      <c r="G53" s="33">
        <f t="shared" si="76"/>
        <v>0.43891430363813377</v>
      </c>
      <c r="H53" s="33">
        <f t="shared" si="76"/>
        <v>0.50019685469935926</v>
      </c>
      <c r="I53" s="33">
        <f t="shared" si="76"/>
        <v>0.59180947863749267</v>
      </c>
      <c r="J53" s="33">
        <f t="shared" si="76"/>
        <v>0.68737444761629418</v>
      </c>
      <c r="K53" s="33">
        <f t="shared" si="76"/>
        <v>0.69162087912087911</v>
      </c>
      <c r="L53" s="33">
        <f t="shared" si="76"/>
        <v>0.70467185761957729</v>
      </c>
      <c r="M53" s="33">
        <f t="shared" si="76"/>
        <v>0.70505871725383917</v>
      </c>
      <c r="N53" s="34">
        <f t="shared" si="76"/>
        <v>0.66662002745883364</v>
      </c>
      <c r="O53" s="33">
        <f t="shared" si="76"/>
        <v>0.66662002745883364</v>
      </c>
      <c r="P53" s="33">
        <f t="shared" si="76"/>
        <v>0.66662002745883353</v>
      </c>
      <c r="Q53" s="33">
        <f t="shared" si="76"/>
        <v>0.66662002745883364</v>
      </c>
      <c r="R53" s="33">
        <f t="shared" si="76"/>
        <v>0.66662002745883375</v>
      </c>
      <c r="S53" s="33">
        <f t="shared" si="76"/>
        <v>0.66662002745883375</v>
      </c>
      <c r="T53" s="33">
        <f t="shared" si="76"/>
        <v>0.66662002745883375</v>
      </c>
      <c r="U53" s="33">
        <f t="shared" si="76"/>
        <v>0.66662002745883375</v>
      </c>
      <c r="V53" s="33">
        <f t="shared" si="76"/>
        <v>0.66662002745883364</v>
      </c>
      <c r="W53" s="33">
        <f t="shared" si="76"/>
        <v>0.66662002745883364</v>
      </c>
      <c r="X53" s="33">
        <f>X37/X34</f>
        <v>0.77593067081755618</v>
      </c>
      <c r="Z53" s="6" t="s">
        <v>95</v>
      </c>
      <c r="AA53" s="33">
        <f>(AA52-Modell!B4)/Modell!B4</f>
        <v>0.21050738367758992</v>
      </c>
    </row>
    <row r="54" spans="2:27" x14ac:dyDescent="0.25">
      <c r="C54" s="1" t="s">
        <v>105</v>
      </c>
      <c r="D54" s="31">
        <f t="shared" ref="D54:X54" si="77">D40/D34</f>
        <v>0.27724275096828216</v>
      </c>
      <c r="E54" s="31">
        <f t="shared" si="77"/>
        <v>0.3030313522497099</v>
      </c>
      <c r="F54" s="31">
        <f t="shared" si="77"/>
        <v>0.37515830764920144</v>
      </c>
      <c r="G54" s="31">
        <f t="shared" si="77"/>
        <v>0.36478697099188123</v>
      </c>
      <c r="H54" s="31">
        <f t="shared" si="77"/>
        <v>0.43054310024278747</v>
      </c>
      <c r="I54" s="31">
        <f t="shared" si="77"/>
        <v>0.53383533724784649</v>
      </c>
      <c r="J54" s="31">
        <f t="shared" si="77"/>
        <v>0.61191810826767412</v>
      </c>
      <c r="K54" s="31">
        <f t="shared" si="77"/>
        <v>0.62293956043956045</v>
      </c>
      <c r="L54" s="31">
        <f t="shared" si="77"/>
        <v>0.63515016685205783</v>
      </c>
      <c r="M54" s="31">
        <f t="shared" si="77"/>
        <v>0.64092140921409213</v>
      </c>
      <c r="N54" s="32">
        <f t="shared" si="77"/>
        <v>0.59832273748830389</v>
      </c>
      <c r="O54" s="31">
        <f t="shared" si="77"/>
        <v>0.59832273748830389</v>
      </c>
      <c r="P54" s="31">
        <f t="shared" si="77"/>
        <v>0.59832273748830378</v>
      </c>
      <c r="Q54" s="31">
        <f t="shared" si="77"/>
        <v>0.59832273748830378</v>
      </c>
      <c r="R54" s="31">
        <f t="shared" si="77"/>
        <v>0.59832273748830389</v>
      </c>
      <c r="S54" s="31">
        <f t="shared" si="77"/>
        <v>0.59832273748830378</v>
      </c>
      <c r="T54" s="31">
        <f t="shared" si="77"/>
        <v>0.59832273748830378</v>
      </c>
      <c r="U54" s="31">
        <f t="shared" si="77"/>
        <v>0.59832273748830378</v>
      </c>
      <c r="V54" s="31">
        <f t="shared" si="77"/>
        <v>0.59832273748830378</v>
      </c>
      <c r="W54" s="31">
        <f t="shared" si="77"/>
        <v>0.59832273748830367</v>
      </c>
      <c r="X54" s="31">
        <f t="shared" si="77"/>
        <v>0.59832273748830378</v>
      </c>
    </row>
    <row r="55" spans="2:27" s="22" customFormat="1" x14ac:dyDescent="0.25">
      <c r="B55" s="51"/>
      <c r="C55" s="22" t="s">
        <v>177</v>
      </c>
      <c r="D55" s="29">
        <v>0.45700000000000002</v>
      </c>
      <c r="E55" s="29">
        <v>0.496</v>
      </c>
      <c r="F55" s="29">
        <v>0.56499999999999995</v>
      </c>
      <c r="G55" s="29">
        <v>0.51400000000000001</v>
      </c>
      <c r="H55" s="35">
        <v>0.53300000000000003</v>
      </c>
      <c r="I55" s="35">
        <v>0.10440000000000001</v>
      </c>
      <c r="J55" s="35">
        <v>0.18970000000000001</v>
      </c>
      <c r="K55" s="35">
        <v>0.2437</v>
      </c>
      <c r="L55" s="35">
        <v>0.26729999999999998</v>
      </c>
      <c r="M55" s="35">
        <v>0.313</v>
      </c>
      <c r="N55" s="70"/>
      <c r="O55" s="35"/>
      <c r="P55" s="35"/>
      <c r="Q55" s="35"/>
      <c r="R55" s="35"/>
      <c r="S55" s="35"/>
      <c r="T55" s="35"/>
      <c r="U55" s="35"/>
      <c r="V55" s="35"/>
      <c r="W55" s="35"/>
      <c r="X55" s="3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Market</vt:lpstr>
      <vt:lpstr>Nøkkeltall</vt:lpstr>
      <vt:lpstr>Nedsideberegninger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2024-12-16T14:05:20Z</dcterms:created>
  <dcterms:modified xsi:type="dcterms:W3CDTF">2026-01-05T11:07:54Z</dcterms:modified>
</cp:coreProperties>
</file>