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3D91540B-560B-1046-B761-74EBCBBFB307}" xr6:coauthVersionLast="47" xr6:coauthVersionMax="47" xr10:uidLastSave="{00000000-0000-0000-0000-000000000000}"/>
  <bookViews>
    <workbookView xWindow="24040" yWindow="500" windowWidth="27160" windowHeight="26740" activeTab="1" xr2:uid="{5AE0DF26-B7DD-1242-A60E-253C73A930AF}"/>
  </bookViews>
  <sheets>
    <sheet name="Info" sheetId="1" r:id="rId1"/>
    <sheet name="Modell" sheetId="2" r:id="rId2"/>
    <sheet name="Segementer" sheetId="4" r:id="rId3"/>
    <sheet name="Nøkkeltall" sheetId="3" r:id="rId4"/>
    <sheet name="Nedsideberegning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6" i="2" l="1"/>
  <c r="AK6" i="2" s="1"/>
  <c r="AL6" i="2" s="1"/>
  <c r="AM6" i="2" s="1"/>
  <c r="AN6" i="2" s="1"/>
  <c r="AO6" i="2" s="1"/>
  <c r="AP6" i="2" s="1"/>
  <c r="AJ7" i="2"/>
  <c r="AK7" i="2" s="1"/>
  <c r="AL7" i="2" s="1"/>
  <c r="AM7" i="2" s="1"/>
  <c r="AN7" i="2" s="1"/>
  <c r="AO7" i="2" s="1"/>
  <c r="AP7" i="2" s="1"/>
  <c r="AJ8" i="2"/>
  <c r="AK8" i="2"/>
  <c r="AL8" i="2" s="1"/>
  <c r="AM8" i="2" s="1"/>
  <c r="AN8" i="2" s="1"/>
  <c r="AO8" i="2" s="1"/>
  <c r="AP8" i="2" s="1"/>
  <c r="AJ9" i="2"/>
  <c r="AK9" i="2"/>
  <c r="AL9" i="2"/>
  <c r="AM9" i="2" s="1"/>
  <c r="AN9" i="2" s="1"/>
  <c r="AO9" i="2" s="1"/>
  <c r="AP9" i="2" s="1"/>
  <c r="AI7" i="2"/>
  <c r="AI8" i="2"/>
  <c r="AI9" i="2"/>
  <c r="AI6" i="2"/>
  <c r="AJ4" i="2"/>
  <c r="AK4" i="2" s="1"/>
  <c r="AL4" i="2" s="1"/>
  <c r="AM4" i="2" s="1"/>
  <c r="AN4" i="2" s="1"/>
  <c r="AO4" i="2" s="1"/>
  <c r="AP4" i="2" s="1"/>
  <c r="AI4" i="2"/>
  <c r="AH4" i="2"/>
  <c r="AG7" i="2"/>
  <c r="AG8" i="2"/>
  <c r="AG9" i="2"/>
  <c r="AG6" i="2"/>
  <c r="AH8" i="2"/>
  <c r="AH9" i="2"/>
  <c r="AH6" i="2"/>
  <c r="AH7" i="2"/>
  <c r="AG4" i="2"/>
  <c r="U17" i="2"/>
  <c r="U15" i="2"/>
  <c r="B8" i="2"/>
  <c r="B7" i="2"/>
  <c r="S10" i="2"/>
  <c r="S11" i="2" s="1"/>
  <c r="AG71" i="2"/>
  <c r="L10" i="5"/>
  <c r="L11" i="5" s="1"/>
  <c r="L13" i="5" s="1"/>
  <c r="L9" i="5"/>
  <c r="M9" i="5" s="1"/>
  <c r="L8" i="5"/>
  <c r="L7" i="5"/>
  <c r="L6" i="5"/>
  <c r="L4" i="5"/>
  <c r="S19" i="2"/>
  <c r="N8" i="5"/>
  <c r="O8" i="5"/>
  <c r="P8" i="5"/>
  <c r="Q8" i="5" s="1"/>
  <c r="R8" i="5" s="1"/>
  <c r="S8" i="5" s="1"/>
  <c r="T8" i="5" s="1"/>
  <c r="U8" i="5" s="1"/>
  <c r="V8" i="5" s="1"/>
  <c r="M7" i="5"/>
  <c r="N7" i="5" s="1"/>
  <c r="O7" i="5" s="1"/>
  <c r="P7" i="5" s="1"/>
  <c r="Q7" i="5" s="1"/>
  <c r="R7" i="5" s="1"/>
  <c r="S7" i="5" s="1"/>
  <c r="T7" i="5" s="1"/>
  <c r="U7" i="5" s="1"/>
  <c r="V7" i="5" s="1"/>
  <c r="M8" i="5"/>
  <c r="M6" i="5"/>
  <c r="N6" i="5" s="1"/>
  <c r="O6" i="5" s="1"/>
  <c r="P6" i="5" s="1"/>
  <c r="Q6" i="5" s="1"/>
  <c r="R6" i="5" s="1"/>
  <c r="S6" i="5" s="1"/>
  <c r="T6" i="5" s="1"/>
  <c r="U6" i="5" s="1"/>
  <c r="V6" i="5" s="1"/>
  <c r="M4" i="5"/>
  <c r="N4" i="5" s="1"/>
  <c r="O4" i="5" s="1"/>
  <c r="P4" i="5" s="1"/>
  <c r="Q4" i="5" s="1"/>
  <c r="R4" i="5" s="1"/>
  <c r="S4" i="5" s="1"/>
  <c r="T4" i="5" s="1"/>
  <c r="U4" i="5" s="1"/>
  <c r="V4" i="5" s="1"/>
  <c r="R10" i="2"/>
  <c r="R11" i="2" s="1"/>
  <c r="R31" i="2"/>
  <c r="R72" i="2"/>
  <c r="S72" i="2"/>
  <c r="R63" i="2"/>
  <c r="S63" i="2"/>
  <c r="R60" i="2"/>
  <c r="S60" i="2"/>
  <c r="S76" i="2" s="1"/>
  <c r="R50" i="2"/>
  <c r="S50" i="2"/>
  <c r="R43" i="2"/>
  <c r="S43" i="2"/>
  <c r="R41" i="2"/>
  <c r="S41" i="2"/>
  <c r="S31" i="2"/>
  <c r="R28" i="2"/>
  <c r="S28" i="2"/>
  <c r="R19" i="2"/>
  <c r="I21" i="5"/>
  <c r="F21" i="5"/>
  <c r="K20" i="5"/>
  <c r="K19" i="5"/>
  <c r="J19" i="5"/>
  <c r="I19" i="5"/>
  <c r="H19" i="5"/>
  <c r="G19" i="5"/>
  <c r="F19" i="5"/>
  <c r="E19" i="5"/>
  <c r="J13" i="5"/>
  <c r="J15" i="5" s="1"/>
  <c r="J17" i="5" s="1"/>
  <c r="I13" i="5"/>
  <c r="I15" i="5" s="1"/>
  <c r="I17" i="5" s="1"/>
  <c r="F13" i="5"/>
  <c r="F15" i="5" s="1"/>
  <c r="F17" i="5" s="1"/>
  <c r="J11" i="5"/>
  <c r="J21" i="5" s="1"/>
  <c r="I11" i="5"/>
  <c r="F11" i="5"/>
  <c r="E11" i="5"/>
  <c r="E21" i="5" s="1"/>
  <c r="D11" i="5"/>
  <c r="D21" i="5" s="1"/>
  <c r="K10" i="5"/>
  <c r="K11" i="5" s="1"/>
  <c r="J10" i="5"/>
  <c r="J20" i="5" s="1"/>
  <c r="I10" i="5"/>
  <c r="H10" i="5"/>
  <c r="H20" i="5" s="1"/>
  <c r="G10" i="5"/>
  <c r="G20" i="5" s="1"/>
  <c r="F10" i="5"/>
  <c r="F20" i="5" s="1"/>
  <c r="E10" i="5"/>
  <c r="E20" i="5" s="1"/>
  <c r="D10" i="5"/>
  <c r="L20" i="5"/>
  <c r="F10" i="2"/>
  <c r="F11" i="2" s="1"/>
  <c r="F13" i="2" s="1"/>
  <c r="F15" i="2" s="1"/>
  <c r="G43" i="2"/>
  <c r="G10" i="2"/>
  <c r="D10" i="2"/>
  <c r="D11" i="2" s="1"/>
  <c r="D13" i="2" s="1"/>
  <c r="D15" i="2" s="1"/>
  <c r="H10" i="2"/>
  <c r="H11" i="2" s="1"/>
  <c r="H13" i="2" s="1"/>
  <c r="H15" i="2" s="1"/>
  <c r="I72" i="2"/>
  <c r="E10" i="2"/>
  <c r="E11" i="2" s="1"/>
  <c r="E13" i="2" s="1"/>
  <c r="E15" i="2" s="1"/>
  <c r="I10" i="2"/>
  <c r="J10" i="2"/>
  <c r="J11" i="2" s="1"/>
  <c r="J13" i="2" s="1"/>
  <c r="J15" i="2" s="1"/>
  <c r="N10" i="2"/>
  <c r="N11" i="2" s="1"/>
  <c r="N13" i="2" s="1"/>
  <c r="N15" i="2" s="1"/>
  <c r="O72" i="2"/>
  <c r="K10" i="2"/>
  <c r="K11" i="2" s="1"/>
  <c r="K13" i="2" s="1"/>
  <c r="K15" i="2" s="1"/>
  <c r="O10" i="2"/>
  <c r="O11" i="2" s="1"/>
  <c r="O13" i="2" s="1"/>
  <c r="O15" i="2" s="1"/>
  <c r="L10" i="2"/>
  <c r="L11" i="2" s="1"/>
  <c r="L13" i="2" s="1"/>
  <c r="L15" i="2" s="1"/>
  <c r="P10" i="2"/>
  <c r="P11" i="2" s="1"/>
  <c r="P13" i="2" s="1"/>
  <c r="P15" i="2" s="1"/>
  <c r="AD31" i="2"/>
  <c r="AC31" i="2"/>
  <c r="AB31" i="2"/>
  <c r="AA31" i="2"/>
  <c r="Z31" i="2"/>
  <c r="Y31" i="2"/>
  <c r="AE31" i="2"/>
  <c r="X65" i="2"/>
  <c r="X72" i="2" s="1"/>
  <c r="Y57" i="2"/>
  <c r="X10" i="2"/>
  <c r="X11" i="2" s="1"/>
  <c r="Y10" i="2"/>
  <c r="Y11" i="2" s="1"/>
  <c r="Z67" i="2"/>
  <c r="Z72" i="2" s="1"/>
  <c r="AA67" i="2"/>
  <c r="AA72" i="2" s="1"/>
  <c r="AA57" i="2"/>
  <c r="Z10" i="2"/>
  <c r="Z11" i="2" s="1"/>
  <c r="AA10" i="2"/>
  <c r="AA11" i="2" s="1"/>
  <c r="AB68" i="2"/>
  <c r="AB72" i="2" s="1"/>
  <c r="AB57" i="2"/>
  <c r="AB60" i="2" s="1"/>
  <c r="AC68" i="2"/>
  <c r="AC72" i="2" s="1"/>
  <c r="AC57" i="2"/>
  <c r="AC60" i="2" s="1"/>
  <c r="AC76" i="2" s="1"/>
  <c r="AB10" i="2"/>
  <c r="AB11" i="2" s="1"/>
  <c r="AC10" i="2"/>
  <c r="AC11" i="2" s="1"/>
  <c r="Y28" i="2"/>
  <c r="Z28" i="2"/>
  <c r="AA28" i="2"/>
  <c r="AB28" i="2"/>
  <c r="AC28" i="2"/>
  <c r="AD28" i="2"/>
  <c r="AE28" i="2"/>
  <c r="X19" i="2"/>
  <c r="Y19" i="2"/>
  <c r="Z19" i="2"/>
  <c r="AA19" i="2"/>
  <c r="AB19" i="2"/>
  <c r="AC19" i="2"/>
  <c r="AD19" i="2"/>
  <c r="AE19" i="2"/>
  <c r="AD72" i="2"/>
  <c r="Y72" i="2"/>
  <c r="AD63" i="2"/>
  <c r="AC63" i="2"/>
  <c r="AB63" i="2"/>
  <c r="AA63" i="2"/>
  <c r="Z63" i="2"/>
  <c r="Y63" i="2"/>
  <c r="X63" i="2"/>
  <c r="AA60" i="2"/>
  <c r="Z60" i="2"/>
  <c r="Y60" i="2"/>
  <c r="Y76" i="2" s="1"/>
  <c r="X60" i="2"/>
  <c r="AD57" i="2"/>
  <c r="AD60" i="2" s="1"/>
  <c r="AE72" i="2"/>
  <c r="AE63" i="2"/>
  <c r="AE57" i="2"/>
  <c r="AE60" i="2" s="1"/>
  <c r="AE76" i="2" s="1"/>
  <c r="AD10" i="2"/>
  <c r="AD11" i="2" s="1"/>
  <c r="AD13" i="2" s="1"/>
  <c r="AD15" i="2" s="1"/>
  <c r="AD17" i="2" s="1"/>
  <c r="AE10" i="2"/>
  <c r="AE11" i="2" s="1"/>
  <c r="AE13" i="2" s="1"/>
  <c r="AE15" i="2" s="1"/>
  <c r="AE17" i="2" s="1"/>
  <c r="H28" i="2"/>
  <c r="I28" i="2"/>
  <c r="J28" i="2"/>
  <c r="K28" i="2"/>
  <c r="L28" i="2"/>
  <c r="M28" i="2"/>
  <c r="N28" i="2"/>
  <c r="O28" i="2"/>
  <c r="P28" i="2"/>
  <c r="Q28" i="2"/>
  <c r="H31" i="2"/>
  <c r="I31" i="2"/>
  <c r="J31" i="2"/>
  <c r="K31" i="2"/>
  <c r="L31" i="2"/>
  <c r="M31" i="2"/>
  <c r="N31" i="2"/>
  <c r="O31" i="2"/>
  <c r="P31" i="2"/>
  <c r="Q31" i="2"/>
  <c r="AF10" i="2" l="1"/>
  <c r="AF20" i="2" s="1"/>
  <c r="S13" i="2"/>
  <c r="S15" i="2" s="1"/>
  <c r="S17" i="2" s="1"/>
  <c r="S21" i="2"/>
  <c r="S54" i="2"/>
  <c r="K20" i="2"/>
  <c r="N20" i="2"/>
  <c r="S51" i="2"/>
  <c r="AC20" i="2"/>
  <c r="AD76" i="2"/>
  <c r="AD74" i="2"/>
  <c r="O20" i="2"/>
  <c r="AA20" i="2"/>
  <c r="R51" i="2"/>
  <c r="P20" i="2"/>
  <c r="AB20" i="2"/>
  <c r="Z20" i="2"/>
  <c r="L20" i="2"/>
  <c r="Y20" i="2"/>
  <c r="AE20" i="2"/>
  <c r="AD20" i="2"/>
  <c r="S20" i="2"/>
  <c r="S74" i="2"/>
  <c r="N9" i="5"/>
  <c r="O9" i="5" s="1"/>
  <c r="P9" i="5" s="1"/>
  <c r="Q9" i="5" s="1"/>
  <c r="R9" i="5" s="1"/>
  <c r="S9" i="5" s="1"/>
  <c r="T9" i="5" s="1"/>
  <c r="U9" i="5" s="1"/>
  <c r="V9" i="5" s="1"/>
  <c r="M10" i="5"/>
  <c r="M20" i="5" s="1"/>
  <c r="L14" i="5"/>
  <c r="L15" i="5" s="1"/>
  <c r="L17" i="5" s="1"/>
  <c r="AF19" i="2"/>
  <c r="AF11" i="2"/>
  <c r="AF13" i="2" s="1"/>
  <c r="R74" i="2"/>
  <c r="R76" i="2"/>
  <c r="R13" i="2"/>
  <c r="R15" i="2" s="1"/>
  <c r="R17" i="2" s="1"/>
  <c r="R54" i="2"/>
  <c r="R20" i="2"/>
  <c r="R21" i="2"/>
  <c r="AI19" i="2"/>
  <c r="AH19" i="2"/>
  <c r="AG19" i="2"/>
  <c r="N10" i="5"/>
  <c r="N11" i="5" s="1"/>
  <c r="N21" i="5" s="1"/>
  <c r="N19" i="5"/>
  <c r="O10" i="5"/>
  <c r="M11" i="5"/>
  <c r="M21" i="5" s="1"/>
  <c r="O19" i="5"/>
  <c r="K21" i="5"/>
  <c r="K13" i="5"/>
  <c r="K15" i="5" s="1"/>
  <c r="K17" i="5" s="1"/>
  <c r="L21" i="5"/>
  <c r="M19" i="5"/>
  <c r="I20" i="5"/>
  <c r="L19" i="5"/>
  <c r="G11" i="5"/>
  <c r="D13" i="5"/>
  <c r="D15" i="5" s="1"/>
  <c r="D17" i="5" s="1"/>
  <c r="H11" i="5"/>
  <c r="E13" i="5"/>
  <c r="E15" i="5" s="1"/>
  <c r="E17" i="5" s="1"/>
  <c r="J20" i="2"/>
  <c r="G11" i="2"/>
  <c r="G13" i="2" s="1"/>
  <c r="G15" i="2" s="1"/>
  <c r="H20" i="2"/>
  <c r="I20" i="2"/>
  <c r="I11" i="2"/>
  <c r="I13" i="2" s="1"/>
  <c r="I15" i="2" s="1"/>
  <c r="AE74" i="2"/>
  <c r="AD54" i="2"/>
  <c r="AE54" i="2"/>
  <c r="AD21" i="2"/>
  <c r="AE21" i="2"/>
  <c r="X21" i="2"/>
  <c r="X54" i="2"/>
  <c r="X13" i="2"/>
  <c r="X15" i="2" s="1"/>
  <c r="X17" i="2" s="1"/>
  <c r="Y13" i="2"/>
  <c r="Y15" i="2" s="1"/>
  <c r="Y17" i="2" s="1"/>
  <c r="Y54" i="2"/>
  <c r="Y21" i="2"/>
  <c r="Z74" i="2"/>
  <c r="Z76" i="2"/>
  <c r="AA74" i="2"/>
  <c r="AA76" i="2"/>
  <c r="Z13" i="2"/>
  <c r="Z15" i="2" s="1"/>
  <c r="Z17" i="2" s="1"/>
  <c r="Z21" i="2"/>
  <c r="Z54" i="2"/>
  <c r="AA21" i="2"/>
  <c r="AA13" i="2"/>
  <c r="AA15" i="2" s="1"/>
  <c r="AA17" i="2" s="1"/>
  <c r="AA54" i="2"/>
  <c r="AB74" i="2"/>
  <c r="AB76" i="2"/>
  <c r="AC74" i="2"/>
  <c r="AB21" i="2"/>
  <c r="AB54" i="2"/>
  <c r="AB13" i="2"/>
  <c r="AB15" i="2" s="1"/>
  <c r="AB17" i="2" s="1"/>
  <c r="AC13" i="2"/>
  <c r="AC15" i="2" s="1"/>
  <c r="AC21" i="2"/>
  <c r="AC54" i="2"/>
  <c r="X74" i="2"/>
  <c r="X76" i="2"/>
  <c r="Y74" i="2"/>
  <c r="AC17" i="2" l="1"/>
  <c r="AC22" i="2"/>
  <c r="AG10" i="2"/>
  <c r="AF21" i="2"/>
  <c r="AF15" i="2"/>
  <c r="D6" i="3" s="1"/>
  <c r="N20" i="5"/>
  <c r="O20" i="5"/>
  <c r="AJ19" i="2"/>
  <c r="M13" i="5"/>
  <c r="M14" i="5" s="1"/>
  <c r="M15" i="5" s="1"/>
  <c r="M17" i="5" s="1"/>
  <c r="N13" i="5"/>
  <c r="N14" i="5" s="1"/>
  <c r="N15" i="5" s="1"/>
  <c r="N17" i="5" s="1"/>
  <c r="O11" i="5"/>
  <c r="O21" i="5" s="1"/>
  <c r="P10" i="5"/>
  <c r="P19" i="5"/>
  <c r="H21" i="5"/>
  <c r="H13" i="5"/>
  <c r="H15" i="5" s="1"/>
  <c r="H17" i="5" s="1"/>
  <c r="G21" i="5"/>
  <c r="G13" i="5"/>
  <c r="G15" i="5" s="1"/>
  <c r="G17" i="5" s="1"/>
  <c r="P54" i="2"/>
  <c r="O54" i="2"/>
  <c r="N54" i="2"/>
  <c r="L54" i="2"/>
  <c r="K54" i="2"/>
  <c r="J54" i="2"/>
  <c r="I54" i="2"/>
  <c r="H54" i="2"/>
  <c r="G54" i="2"/>
  <c r="F54" i="2"/>
  <c r="E54" i="2"/>
  <c r="D54" i="2"/>
  <c r="P60" i="2"/>
  <c r="O60" i="2"/>
  <c r="N60" i="2"/>
  <c r="N76" i="2" s="1"/>
  <c r="M60" i="2"/>
  <c r="L60" i="2"/>
  <c r="L76" i="2" s="1"/>
  <c r="K60" i="2"/>
  <c r="K76" i="2" s="1"/>
  <c r="J60" i="2"/>
  <c r="J76" i="2" s="1"/>
  <c r="I60" i="2"/>
  <c r="I76" i="2" s="1"/>
  <c r="H60" i="2"/>
  <c r="H76" i="2" s="1"/>
  <c r="G60" i="2"/>
  <c r="G76" i="2" s="1"/>
  <c r="F60" i="2"/>
  <c r="F76" i="2" s="1"/>
  <c r="E60" i="2"/>
  <c r="D60" i="2"/>
  <c r="D76" i="2" s="1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P72" i="2"/>
  <c r="N72" i="2"/>
  <c r="M72" i="2"/>
  <c r="L72" i="2"/>
  <c r="K72" i="2"/>
  <c r="J72" i="2"/>
  <c r="H72" i="2"/>
  <c r="G72" i="2"/>
  <c r="F72" i="2"/>
  <c r="E72" i="2"/>
  <c r="D72" i="2"/>
  <c r="E76" i="2"/>
  <c r="M76" i="2"/>
  <c r="Q72" i="2"/>
  <c r="Q63" i="2"/>
  <c r="Q60" i="2"/>
  <c r="Q76" i="2" s="1"/>
  <c r="D50" i="2"/>
  <c r="E50" i="2"/>
  <c r="F50" i="2"/>
  <c r="G50" i="2"/>
  <c r="H50" i="2"/>
  <c r="I50" i="2"/>
  <c r="J50" i="2"/>
  <c r="K50" i="2"/>
  <c r="L50" i="2"/>
  <c r="M50" i="2"/>
  <c r="N50" i="2"/>
  <c r="O50" i="2"/>
  <c r="P50" i="2"/>
  <c r="D43" i="2"/>
  <c r="E43" i="2"/>
  <c r="F43" i="2"/>
  <c r="H43" i="2"/>
  <c r="I43" i="2"/>
  <c r="J43" i="2"/>
  <c r="K43" i="2"/>
  <c r="AD22" i="2" s="1"/>
  <c r="L43" i="2"/>
  <c r="M43" i="2"/>
  <c r="N43" i="2"/>
  <c r="O43" i="2"/>
  <c r="AE22" i="2" s="1"/>
  <c r="P43" i="2"/>
  <c r="D41" i="2"/>
  <c r="E41" i="2"/>
  <c r="F41" i="2"/>
  <c r="G41" i="2"/>
  <c r="H41" i="2"/>
  <c r="I41" i="2"/>
  <c r="J41" i="2"/>
  <c r="K41" i="2"/>
  <c r="L41" i="2"/>
  <c r="M41" i="2"/>
  <c r="N41" i="2"/>
  <c r="O41" i="2"/>
  <c r="P41" i="2"/>
  <c r="Q50" i="2"/>
  <c r="Q43" i="2"/>
  <c r="Q51" i="2" s="1"/>
  <c r="Q41" i="2"/>
  <c r="D21" i="2"/>
  <c r="E21" i="2"/>
  <c r="F21" i="2"/>
  <c r="G21" i="2"/>
  <c r="H21" i="2"/>
  <c r="I21" i="2"/>
  <c r="J21" i="2"/>
  <c r="K21" i="2"/>
  <c r="L21" i="2"/>
  <c r="N21" i="2"/>
  <c r="O21" i="2"/>
  <c r="P21" i="2"/>
  <c r="H19" i="2"/>
  <c r="I19" i="2"/>
  <c r="J19" i="2"/>
  <c r="K19" i="2"/>
  <c r="L19" i="2"/>
  <c r="M19" i="2"/>
  <c r="N19" i="2"/>
  <c r="O19" i="2"/>
  <c r="P19" i="2"/>
  <c r="Q19" i="2"/>
  <c r="M10" i="2"/>
  <c r="D17" i="2"/>
  <c r="E17" i="2"/>
  <c r="F17" i="2"/>
  <c r="G17" i="2"/>
  <c r="H17" i="2"/>
  <c r="I17" i="2"/>
  <c r="J17" i="2"/>
  <c r="K17" i="2"/>
  <c r="L17" i="2"/>
  <c r="N17" i="2"/>
  <c r="O17" i="2"/>
  <c r="P17" i="2"/>
  <c r="Q10" i="2"/>
  <c r="O74" i="2" l="1"/>
  <c r="AG20" i="2"/>
  <c r="AG11" i="2"/>
  <c r="Q11" i="2"/>
  <c r="Q20" i="2"/>
  <c r="AH10" i="2"/>
  <c r="M11" i="2"/>
  <c r="M20" i="2"/>
  <c r="AK19" i="2"/>
  <c r="O13" i="5"/>
  <c r="O14" i="5" s="1"/>
  <c r="O15" i="5" s="1"/>
  <c r="O17" i="5" s="1"/>
  <c r="Q10" i="5"/>
  <c r="Q20" i="5" s="1"/>
  <c r="P20" i="5"/>
  <c r="P11" i="5"/>
  <c r="Q19" i="5"/>
  <c r="F51" i="2"/>
  <c r="H74" i="2"/>
  <c r="D51" i="2"/>
  <c r="E51" i="2"/>
  <c r="I51" i="2"/>
  <c r="G74" i="2"/>
  <c r="F74" i="2"/>
  <c r="E74" i="2"/>
  <c r="N74" i="2"/>
  <c r="J51" i="2"/>
  <c r="N51" i="2"/>
  <c r="O76" i="2"/>
  <c r="K51" i="2"/>
  <c r="O51" i="2"/>
  <c r="P74" i="2"/>
  <c r="P76" i="2"/>
  <c r="L51" i="2"/>
  <c r="P51" i="2"/>
  <c r="I74" i="2"/>
  <c r="D74" i="2"/>
  <c r="L74" i="2"/>
  <c r="M74" i="2"/>
  <c r="J74" i="2"/>
  <c r="K74" i="2"/>
  <c r="H51" i="2"/>
  <c r="G51" i="2"/>
  <c r="Q74" i="2"/>
  <c r="M51" i="2"/>
  <c r="Q13" i="2" l="1"/>
  <c r="Q15" i="2" s="1"/>
  <c r="Q17" i="2" s="1"/>
  <c r="Q54" i="2"/>
  <c r="Q21" i="2"/>
  <c r="AH11" i="2"/>
  <c r="AH20" i="2"/>
  <c r="M13" i="2"/>
  <c r="M15" i="2" s="1"/>
  <c r="M17" i="2" s="1"/>
  <c r="M54" i="2"/>
  <c r="M21" i="2"/>
  <c r="AI10" i="2"/>
  <c r="AG13" i="2"/>
  <c r="AG14" i="2" s="1"/>
  <c r="AG15" i="2" s="1"/>
  <c r="AG17" i="2" s="1"/>
  <c r="E6" i="3" s="1"/>
  <c r="AG21" i="2"/>
  <c r="AL19" i="2"/>
  <c r="Q11" i="5"/>
  <c r="Q21" i="5" s="1"/>
  <c r="P21" i="5"/>
  <c r="P13" i="5"/>
  <c r="P14" i="5" s="1"/>
  <c r="P15" i="5" s="1"/>
  <c r="P17" i="5" s="1"/>
  <c r="R10" i="5"/>
  <c r="R20" i="5" s="1"/>
  <c r="R19" i="5"/>
  <c r="R11" i="5"/>
  <c r="AI11" i="2" l="1"/>
  <c r="AI20" i="2"/>
  <c r="AJ10" i="2"/>
  <c r="AH21" i="2"/>
  <c r="AH13" i="2"/>
  <c r="AH14" i="2" s="1"/>
  <c r="AH15" i="2" s="1"/>
  <c r="AH17" i="2" s="1"/>
  <c r="F6" i="3" s="1"/>
  <c r="Q13" i="5"/>
  <c r="AM19" i="2"/>
  <c r="S10" i="5"/>
  <c r="S11" i="5" s="1"/>
  <c r="Q14" i="5"/>
  <c r="Q15" i="5" s="1"/>
  <c r="S19" i="5"/>
  <c r="R21" i="5"/>
  <c r="R13" i="5"/>
  <c r="AJ20" i="2" l="1"/>
  <c r="AJ11" i="2"/>
  <c r="AK10" i="2"/>
  <c r="AI21" i="2"/>
  <c r="AI13" i="2"/>
  <c r="AI14" i="2" s="1"/>
  <c r="AI15" i="2" s="1"/>
  <c r="AI17" i="2" s="1"/>
  <c r="G6" i="3" s="1"/>
  <c r="AN19" i="2"/>
  <c r="S20" i="5"/>
  <c r="T10" i="5"/>
  <c r="T20" i="5" s="1"/>
  <c r="R14" i="5"/>
  <c r="R15" i="5" s="1"/>
  <c r="S21" i="5"/>
  <c r="S13" i="5"/>
  <c r="T11" i="5"/>
  <c r="T19" i="5"/>
  <c r="Q17" i="5"/>
  <c r="AK20" i="2" l="1"/>
  <c r="AK11" i="2"/>
  <c r="AL10" i="2"/>
  <c r="AJ21" i="2"/>
  <c r="AJ13" i="2"/>
  <c r="AJ14" i="2" s="1"/>
  <c r="AJ15" i="2" s="1"/>
  <c r="AJ17" i="2" s="1"/>
  <c r="AO19" i="2"/>
  <c r="V10" i="5"/>
  <c r="U10" i="5"/>
  <c r="U20" i="5" s="1"/>
  <c r="R17" i="5"/>
  <c r="T21" i="5"/>
  <c r="T13" i="5"/>
  <c r="T14" i="5" s="1"/>
  <c r="T15" i="5" s="1"/>
  <c r="T17" i="5" s="1"/>
  <c r="U11" i="5"/>
  <c r="U19" i="5"/>
  <c r="S14" i="5"/>
  <c r="S15" i="5" s="1"/>
  <c r="AL20" i="2" l="1"/>
  <c r="AL11" i="2"/>
  <c r="AM10" i="2"/>
  <c r="AK21" i="2"/>
  <c r="AK13" i="2"/>
  <c r="AK14" i="2" s="1"/>
  <c r="AK15" i="2" s="1"/>
  <c r="AK17" i="2" s="1"/>
  <c r="AP19" i="2"/>
  <c r="V20" i="5"/>
  <c r="S17" i="5"/>
  <c r="U21" i="5"/>
  <c r="U13" i="5"/>
  <c r="U14" i="5" s="1"/>
  <c r="U15" i="5" s="1"/>
  <c r="U17" i="5" s="1"/>
  <c r="V19" i="5"/>
  <c r="V11" i="5"/>
  <c r="AM20" i="2" l="1"/>
  <c r="AM11" i="2"/>
  <c r="AN10" i="2"/>
  <c r="AL13" i="2"/>
  <c r="AL14" i="2" s="1"/>
  <c r="AL15" i="2" s="1"/>
  <c r="AL17" i="2" s="1"/>
  <c r="AL21" i="2"/>
  <c r="V13" i="5"/>
  <c r="V21" i="5"/>
  <c r="AN20" i="2" l="1"/>
  <c r="AN11" i="2"/>
  <c r="AP10" i="2"/>
  <c r="AO10" i="2"/>
  <c r="AM13" i="2"/>
  <c r="AM14" i="2" s="1"/>
  <c r="AM15" i="2" s="1"/>
  <c r="AM17" i="2" s="1"/>
  <c r="AM21" i="2"/>
  <c r="V14" i="5"/>
  <c r="V15" i="5" s="1"/>
  <c r="AO20" i="2" l="1"/>
  <c r="AO11" i="2"/>
  <c r="AP20" i="2"/>
  <c r="AP11" i="2"/>
  <c r="AN21" i="2"/>
  <c r="AN13" i="2"/>
  <c r="AN14" i="2" s="1"/>
  <c r="AN15" i="2" s="1"/>
  <c r="AN17" i="2" s="1"/>
  <c r="W15" i="5"/>
  <c r="X15" i="5" s="1"/>
  <c r="Y15" i="5" s="1"/>
  <c r="Z15" i="5" s="1"/>
  <c r="AA15" i="5" s="1"/>
  <c r="AB15" i="5" s="1"/>
  <c r="AC15" i="5" s="1"/>
  <c r="AD15" i="5" s="1"/>
  <c r="AE15" i="5" s="1"/>
  <c r="AF15" i="5" s="1"/>
  <c r="AG15" i="5" s="1"/>
  <c r="AH15" i="5" s="1"/>
  <c r="AI15" i="5" s="1"/>
  <c r="AJ15" i="5" s="1"/>
  <c r="AK15" i="5" s="1"/>
  <c r="AL15" i="5" s="1"/>
  <c r="AM15" i="5" s="1"/>
  <c r="AN15" i="5" s="1"/>
  <c r="AO15" i="5" s="1"/>
  <c r="AP15" i="5" s="1"/>
  <c r="AQ15" i="5" s="1"/>
  <c r="AR15" i="5" s="1"/>
  <c r="AS15" i="5" s="1"/>
  <c r="AT15" i="5" s="1"/>
  <c r="AU15" i="5" s="1"/>
  <c r="AV15" i="5" s="1"/>
  <c r="AW15" i="5" s="1"/>
  <c r="AX15" i="5" s="1"/>
  <c r="AY15" i="5" s="1"/>
  <c r="AZ15" i="5" s="1"/>
  <c r="BA15" i="5" s="1"/>
  <c r="BB15" i="5" s="1"/>
  <c r="BC15" i="5" s="1"/>
  <c r="BD15" i="5" s="1"/>
  <c r="BE15" i="5" s="1"/>
  <c r="BF15" i="5" s="1"/>
  <c r="BG15" i="5" s="1"/>
  <c r="BH15" i="5" s="1"/>
  <c r="BI15" i="5" s="1"/>
  <c r="BJ15" i="5" s="1"/>
  <c r="BK15" i="5" s="1"/>
  <c r="BL15" i="5" s="1"/>
  <c r="BM15" i="5" s="1"/>
  <c r="BN15" i="5" s="1"/>
  <c r="BO15" i="5" s="1"/>
  <c r="BP15" i="5" s="1"/>
  <c r="BQ15" i="5" s="1"/>
  <c r="BR15" i="5" s="1"/>
  <c r="BS15" i="5" s="1"/>
  <c r="BT15" i="5" s="1"/>
  <c r="BU15" i="5" s="1"/>
  <c r="BV15" i="5" s="1"/>
  <c r="BW15" i="5" s="1"/>
  <c r="BX15" i="5" s="1"/>
  <c r="BY15" i="5" s="1"/>
  <c r="BZ15" i="5" s="1"/>
  <c r="CA15" i="5" s="1"/>
  <c r="CB15" i="5" s="1"/>
  <c r="CC15" i="5" s="1"/>
  <c r="CD15" i="5" s="1"/>
  <c r="CE15" i="5" s="1"/>
  <c r="CF15" i="5" s="1"/>
  <c r="CG15" i="5" s="1"/>
  <c r="CH15" i="5" s="1"/>
  <c r="CI15" i="5" s="1"/>
  <c r="CJ15" i="5" s="1"/>
  <c r="CK15" i="5" s="1"/>
  <c r="CL15" i="5" s="1"/>
  <c r="CM15" i="5" s="1"/>
  <c r="CN15" i="5" s="1"/>
  <c r="CO15" i="5" s="1"/>
  <c r="CP15" i="5" s="1"/>
  <c r="CQ15" i="5" s="1"/>
  <c r="CR15" i="5" s="1"/>
  <c r="CS15" i="5" s="1"/>
  <c r="CT15" i="5" s="1"/>
  <c r="CU15" i="5" s="1"/>
  <c r="CV15" i="5" s="1"/>
  <c r="CW15" i="5" s="1"/>
  <c r="CX15" i="5" s="1"/>
  <c r="CY15" i="5" s="1"/>
  <c r="CZ15" i="5" s="1"/>
  <c r="DA15" i="5" s="1"/>
  <c r="DB15" i="5" s="1"/>
  <c r="DC15" i="5" s="1"/>
  <c r="DD15" i="5" s="1"/>
  <c r="DE15" i="5" s="1"/>
  <c r="DF15" i="5" s="1"/>
  <c r="DG15" i="5" s="1"/>
  <c r="DH15" i="5" s="1"/>
  <c r="DI15" i="5" s="1"/>
  <c r="DJ15" i="5" s="1"/>
  <c r="DK15" i="5" s="1"/>
  <c r="DL15" i="5" s="1"/>
  <c r="DM15" i="5" s="1"/>
  <c r="DN15" i="5" s="1"/>
  <c r="DO15" i="5" s="1"/>
  <c r="DP15" i="5" s="1"/>
  <c r="DQ15" i="5" s="1"/>
  <c r="DR15" i="5" s="1"/>
  <c r="DS15" i="5" s="1"/>
  <c r="DT15" i="5" s="1"/>
  <c r="DU15" i="5" s="1"/>
  <c r="DV15" i="5" s="1"/>
  <c r="DW15" i="5" s="1"/>
  <c r="DX15" i="5" s="1"/>
  <c r="DY15" i="5" s="1"/>
  <c r="DZ15" i="5" s="1"/>
  <c r="EA15" i="5" s="1"/>
  <c r="EB15" i="5" s="1"/>
  <c r="EC15" i="5" s="1"/>
  <c r="ED15" i="5" s="1"/>
  <c r="EE15" i="5" s="1"/>
  <c r="EF15" i="5" s="1"/>
  <c r="EG15" i="5" s="1"/>
  <c r="EH15" i="5" s="1"/>
  <c r="EI15" i="5" s="1"/>
  <c r="EJ15" i="5" s="1"/>
  <c r="EK15" i="5" s="1"/>
  <c r="EL15" i="5" s="1"/>
  <c r="EM15" i="5" s="1"/>
  <c r="EN15" i="5" s="1"/>
  <c r="EO15" i="5" s="1"/>
  <c r="EP15" i="5" s="1"/>
  <c r="EQ15" i="5" s="1"/>
  <c r="ER15" i="5" s="1"/>
  <c r="ES15" i="5" s="1"/>
  <c r="ET15" i="5" s="1"/>
  <c r="EU15" i="5" s="1"/>
  <c r="EV15" i="5" s="1"/>
  <c r="EW15" i="5" s="1"/>
  <c r="EX15" i="5" s="1"/>
  <c r="EY15" i="5" s="1"/>
  <c r="EZ15" i="5" s="1"/>
  <c r="FA15" i="5" s="1"/>
  <c r="FB15" i="5" s="1"/>
  <c r="FC15" i="5" s="1"/>
  <c r="FD15" i="5" s="1"/>
  <c r="FE15" i="5" s="1"/>
  <c r="FF15" i="5" s="1"/>
  <c r="FG15" i="5" s="1"/>
  <c r="FH15" i="5" s="1"/>
  <c r="FI15" i="5" s="1"/>
  <c r="FJ15" i="5" s="1"/>
  <c r="FK15" i="5" s="1"/>
  <c r="FL15" i="5" s="1"/>
  <c r="FM15" i="5" s="1"/>
  <c r="FN15" i="5" s="1"/>
  <c r="FO15" i="5" s="1"/>
  <c r="FP15" i="5" s="1"/>
  <c r="FQ15" i="5" s="1"/>
  <c r="FR15" i="5" s="1"/>
  <c r="FS15" i="5" s="1"/>
  <c r="FT15" i="5" s="1"/>
  <c r="FU15" i="5" s="1"/>
  <c r="FV15" i="5" s="1"/>
  <c r="FW15" i="5" s="1"/>
  <c r="FX15" i="5" s="1"/>
  <c r="FY15" i="5" s="1"/>
  <c r="FZ15" i="5" s="1"/>
  <c r="GA15" i="5" s="1"/>
  <c r="GB15" i="5" s="1"/>
  <c r="Y20" i="5" s="1"/>
  <c r="Y22" i="5" s="1"/>
  <c r="V17" i="5"/>
  <c r="AP21" i="2" l="1"/>
  <c r="AP13" i="2"/>
  <c r="AO13" i="2"/>
  <c r="AO14" i="2" s="1"/>
  <c r="AO15" i="2" s="1"/>
  <c r="AO17" i="2" s="1"/>
  <c r="AO21" i="2"/>
  <c r="Y23" i="5"/>
  <c r="A6" i="5" s="1"/>
  <c r="A5" i="5"/>
  <c r="AP14" i="2" l="1"/>
  <c r="AP15" i="2" s="1"/>
  <c r="AQ15" i="2" l="1"/>
  <c r="AP17" i="2"/>
  <c r="B6" i="2"/>
  <c r="AR15" i="2" l="1"/>
  <c r="AS15" i="2" s="1"/>
  <c r="AT15" i="2" s="1"/>
  <c r="AU15" i="2" s="1"/>
  <c r="AV15" i="2" s="1"/>
  <c r="AW15" i="2" s="1"/>
  <c r="AX15" i="2" s="1"/>
  <c r="AY15" i="2" s="1"/>
  <c r="AZ15" i="2" s="1"/>
  <c r="BA15" i="2" s="1"/>
  <c r="BB15" i="2" s="1"/>
  <c r="BC15" i="2" s="1"/>
  <c r="BD15" i="2" s="1"/>
  <c r="BE15" i="2" s="1"/>
  <c r="BF15" i="2" s="1"/>
  <c r="BG15" i="2" s="1"/>
  <c r="BH15" i="2" s="1"/>
  <c r="BI15" i="2" s="1"/>
  <c r="BJ15" i="2" s="1"/>
  <c r="BK15" i="2" s="1"/>
  <c r="BL15" i="2" s="1"/>
  <c r="BM15" i="2" s="1"/>
  <c r="BN15" i="2" s="1"/>
  <c r="BO15" i="2" s="1"/>
  <c r="BP15" i="2" s="1"/>
  <c r="BQ15" i="2" s="1"/>
  <c r="BR15" i="2" s="1"/>
  <c r="BS15" i="2" s="1"/>
  <c r="BT15" i="2" s="1"/>
  <c r="BU15" i="2" s="1"/>
  <c r="BV15" i="2" s="1"/>
  <c r="BW15" i="2" s="1"/>
  <c r="BX15" i="2" s="1"/>
  <c r="BY15" i="2" s="1"/>
  <c r="BZ15" i="2" s="1"/>
  <c r="CA15" i="2" s="1"/>
  <c r="CB15" i="2" s="1"/>
  <c r="CC15" i="2" s="1"/>
  <c r="CD15" i="2" s="1"/>
  <c r="CE15" i="2" s="1"/>
  <c r="CF15" i="2" s="1"/>
  <c r="CG15" i="2" s="1"/>
  <c r="CH15" i="2" s="1"/>
  <c r="CI15" i="2" s="1"/>
  <c r="CJ15" i="2" s="1"/>
  <c r="CK15" i="2" s="1"/>
  <c r="CL15" i="2" s="1"/>
  <c r="CM15" i="2" s="1"/>
  <c r="CN15" i="2" s="1"/>
  <c r="CO15" i="2" s="1"/>
  <c r="CP15" i="2" s="1"/>
  <c r="CQ15" i="2" s="1"/>
  <c r="CR15" i="2" s="1"/>
  <c r="CS15" i="2" s="1"/>
  <c r="CT15" i="2" s="1"/>
  <c r="CU15" i="2" s="1"/>
  <c r="CV15" i="2" s="1"/>
  <c r="CW15" i="2" s="1"/>
  <c r="CX15" i="2" s="1"/>
  <c r="CY15" i="2" s="1"/>
  <c r="CZ15" i="2" s="1"/>
  <c r="DA15" i="2" s="1"/>
  <c r="DB15" i="2" s="1"/>
  <c r="DC15" i="2" s="1"/>
  <c r="DD15" i="2" s="1"/>
  <c r="DE15" i="2" s="1"/>
  <c r="DF15" i="2" s="1"/>
  <c r="DG15" i="2" s="1"/>
  <c r="DH15" i="2" s="1"/>
  <c r="DI15" i="2" s="1"/>
  <c r="DJ15" i="2" s="1"/>
  <c r="DK15" i="2" s="1"/>
  <c r="DL15" i="2" s="1"/>
  <c r="DM15" i="2" s="1"/>
  <c r="DN15" i="2" s="1"/>
  <c r="DO15" i="2" s="1"/>
  <c r="DP15" i="2" s="1"/>
  <c r="DQ15" i="2" s="1"/>
  <c r="DR15" i="2" s="1"/>
  <c r="DS15" i="2" s="1"/>
  <c r="DT15" i="2" s="1"/>
  <c r="DU15" i="2" s="1"/>
  <c r="DV15" i="2" s="1"/>
  <c r="DW15" i="2" s="1"/>
  <c r="DX15" i="2" s="1"/>
  <c r="DY15" i="2" s="1"/>
  <c r="DZ15" i="2" s="1"/>
  <c r="EA15" i="2" s="1"/>
  <c r="EB15" i="2" s="1"/>
  <c r="EC15" i="2" s="1"/>
  <c r="ED15" i="2" s="1"/>
  <c r="EE15" i="2" s="1"/>
  <c r="EF15" i="2" s="1"/>
  <c r="EG15" i="2" s="1"/>
  <c r="EH15" i="2" s="1"/>
  <c r="EI15" i="2" s="1"/>
  <c r="EJ15" i="2" s="1"/>
  <c r="EK15" i="2" s="1"/>
  <c r="EL15" i="2" s="1"/>
  <c r="EM15" i="2" s="1"/>
  <c r="EN15" i="2" s="1"/>
  <c r="EO15" i="2" s="1"/>
  <c r="EP15" i="2" s="1"/>
  <c r="EQ15" i="2" s="1"/>
  <c r="ER15" i="2" s="1"/>
  <c r="ES15" i="2" s="1"/>
  <c r="ET15" i="2" s="1"/>
  <c r="EU15" i="2" s="1"/>
  <c r="EV15" i="2" s="1"/>
  <c r="EW15" i="2" s="1"/>
  <c r="EX15" i="2" s="1"/>
  <c r="EY15" i="2" s="1"/>
  <c r="EZ15" i="2" s="1"/>
  <c r="FA15" i="2" s="1"/>
  <c r="FB15" i="2" s="1"/>
  <c r="FC15" i="2" s="1"/>
  <c r="FD15" i="2" s="1"/>
  <c r="FE15" i="2" s="1"/>
  <c r="FF15" i="2" s="1"/>
  <c r="FG15" i="2" s="1"/>
  <c r="FH15" i="2" s="1"/>
  <c r="FI15" i="2" s="1"/>
  <c r="FJ15" i="2" s="1"/>
  <c r="FK15" i="2" s="1"/>
  <c r="FL15" i="2" s="1"/>
  <c r="FM15" i="2" s="1"/>
  <c r="FN15" i="2" s="1"/>
  <c r="FO15" i="2" s="1"/>
  <c r="FP15" i="2" s="1"/>
  <c r="FQ15" i="2" s="1"/>
  <c r="FR15" i="2" s="1"/>
  <c r="FS15" i="2" s="1"/>
  <c r="FT15" i="2" s="1"/>
  <c r="FU15" i="2" s="1"/>
  <c r="FV15" i="2" s="1"/>
  <c r="FW15" i="2" s="1"/>
  <c r="FX15" i="2" s="1"/>
  <c r="FY15" i="2" s="1"/>
  <c r="FZ15" i="2" s="1"/>
  <c r="GA15" i="2" s="1"/>
  <c r="GB15" i="2" s="1"/>
  <c r="GC15" i="2" s="1"/>
  <c r="GD15" i="2" s="1"/>
  <c r="GE15" i="2" s="1"/>
  <c r="GF15" i="2" s="1"/>
  <c r="GG15" i="2" s="1"/>
  <c r="GH15" i="2" s="1"/>
  <c r="GI15" i="2" s="1"/>
  <c r="GJ15" i="2" s="1"/>
  <c r="GK15" i="2" s="1"/>
  <c r="GL15" i="2" s="1"/>
  <c r="GM15" i="2" s="1"/>
  <c r="GN15" i="2" s="1"/>
  <c r="GO15" i="2" s="1"/>
  <c r="GP15" i="2" s="1"/>
  <c r="GQ15" i="2" s="1"/>
  <c r="GR15" i="2" s="1"/>
  <c r="GS15" i="2" s="1"/>
  <c r="GT15" i="2" s="1"/>
  <c r="GU15" i="2" s="1"/>
  <c r="GV15" i="2" s="1"/>
  <c r="B9" i="2"/>
  <c r="G5" i="3" s="1"/>
  <c r="AS20" i="2" l="1"/>
  <c r="AS22" i="2" s="1"/>
  <c r="AS23" i="2" s="1"/>
  <c r="D5" i="3"/>
  <c r="F5" i="3"/>
  <c r="E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tc={9F2A8D96-BE3C-634A-A468-A761CD121394}</author>
    <author>tc={66E27F50-5F77-C541-A8BB-BB4B5E474CE5}</author>
  </authors>
  <commentList>
    <comment ref="X62" authorId="0" shapeId="0" xr:uid="{9F2A8D96-BE3C-634A-A468-A761CD121394}">
      <text>
        <t>[Kommentartråd]
Din versjon av Excel lar deg lese denne kommentartråden. Eventuelle endringer i den vil imidlertid bli fjernet hvis filen åpnes i en nyere versjon av Excel. Finn ut mer: https://go.microsoft.com/fwlink/?linkid=870924
Kommentar:
    Oppkjøp</t>
      </text>
    </comment>
    <comment ref="X65" authorId="1" shapeId="0" xr:uid="{66E27F50-5F77-C541-A8BB-BB4B5E474CE5}">
      <text>
        <t>[Kommentartråd]
Din versjon av Excel lar deg lese denne kommentartråden. Eventuelle endringer i den vil imidlertid bli fjernet hvis filen åpnes i en nyere versjon av Excel. Finn ut mer: https://go.microsoft.com/fwlink/?linkid=870924
Kommentar:
    Hentet inn 1360,290 i ny EK og 380 i lån</t>
      </text>
    </comment>
  </commentList>
</comments>
</file>

<file path=xl/sharedStrings.xml><?xml version="1.0" encoding="utf-8"?>
<sst xmlns="http://schemas.openxmlformats.org/spreadsheetml/2006/main" count="158" uniqueCount="113">
  <si>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</si>
  <si>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</si>
  <si>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</si>
  <si>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</si>
  <si>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</si>
  <si>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</si>
  <si>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</si>
  <si>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</si>
  <si>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</si>
  <si>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</si>
  <si>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</si>
  <si>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</si>
  <si>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</si>
  <si>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</si>
  <si>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</si>
  <si>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</si>
  <si>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</si>
  <si>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</si>
  <si>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</si>
  <si>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</si>
  <si>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</si>
  <si>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</si>
  <si>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</si>
  <si>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</si>
  <si>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</si>
  <si>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</si>
  <si>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</si>
  <si>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</si>
  <si>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</si>
  <si>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EV/EBIT</t>
  </si>
  <si>
    <t>P/E</t>
  </si>
  <si>
    <t>Q225</t>
  </si>
  <si>
    <t>FY 2019</t>
  </si>
  <si>
    <t>FY 2020</t>
  </si>
  <si>
    <t>FY 2021</t>
  </si>
  <si>
    <t>Q325</t>
  </si>
  <si>
    <t>Q425</t>
  </si>
  <si>
    <t>Q125</t>
  </si>
  <si>
    <t>Revenue y/y</t>
  </si>
  <si>
    <t>EBIT margin</t>
  </si>
  <si>
    <t>Nedside</t>
  </si>
  <si>
    <t>FY 2017</t>
  </si>
  <si>
    <t>FY 2018</t>
  </si>
  <si>
    <t>ROE</t>
  </si>
  <si>
    <t>MC SEKm</t>
  </si>
  <si>
    <t>Cash SEKm</t>
  </si>
  <si>
    <t>Debt SEKm</t>
  </si>
  <si>
    <t>EV SEKm</t>
  </si>
  <si>
    <t>SEKm</t>
  </si>
  <si>
    <t>Balanse SEKm</t>
  </si>
  <si>
    <t xml:space="preserve">Cash flow SEKm </t>
  </si>
  <si>
    <t>Revenue</t>
  </si>
  <si>
    <t>Capitalised development</t>
  </si>
  <si>
    <t>Other external expensee</t>
  </si>
  <si>
    <t>Personell costs</t>
  </si>
  <si>
    <t>D/A</t>
  </si>
  <si>
    <t>Other opex</t>
  </si>
  <si>
    <t>Total opex</t>
  </si>
  <si>
    <t>Operating profit (EBIT)</t>
  </si>
  <si>
    <t>Net financial items</t>
  </si>
  <si>
    <t>PTP</t>
  </si>
  <si>
    <t>Tax</t>
  </si>
  <si>
    <t>Net income</t>
  </si>
  <si>
    <t>Shares</t>
  </si>
  <si>
    <t>EPS</t>
  </si>
  <si>
    <t xml:space="preserve">ARPL </t>
  </si>
  <si>
    <t>y/y</t>
  </si>
  <si>
    <t>Number of published listings, thousand</t>
  </si>
  <si>
    <t>Goodwill</t>
  </si>
  <si>
    <t>Customer relations</t>
  </si>
  <si>
    <t>Right of use assets</t>
  </si>
  <si>
    <t>Other non-curretn assets</t>
  </si>
  <si>
    <t>accounts receivables</t>
  </si>
  <si>
    <t>Other current assets</t>
  </si>
  <si>
    <t>Cash</t>
  </si>
  <si>
    <t>Total assets</t>
  </si>
  <si>
    <t>Equity</t>
  </si>
  <si>
    <t>Total Equity</t>
  </si>
  <si>
    <t>Long-term liabilities to banks</t>
  </si>
  <si>
    <t>Lease liabilities</t>
  </si>
  <si>
    <t>Deferred tax liabilities</t>
  </si>
  <si>
    <t>Accrued expenses and deferred income</t>
  </si>
  <si>
    <t>Other current liabilities</t>
  </si>
  <si>
    <t>Total debt</t>
  </si>
  <si>
    <t>Total E/D</t>
  </si>
  <si>
    <t>Model OP</t>
  </si>
  <si>
    <t>Reported OP</t>
  </si>
  <si>
    <t>Adjustment for non-cash</t>
  </si>
  <si>
    <t>Interest paid and received</t>
  </si>
  <si>
    <t>Paid income tax</t>
  </si>
  <si>
    <t>WC</t>
  </si>
  <si>
    <t>CFFO</t>
  </si>
  <si>
    <t>Capex</t>
  </si>
  <si>
    <t>CFFI</t>
  </si>
  <si>
    <t>Loans raised</t>
  </si>
  <si>
    <t>Loans repaid</t>
  </si>
  <si>
    <t>Amortisation of lease liabilties</t>
  </si>
  <si>
    <t>News share issue following excercise of warrents</t>
  </si>
  <si>
    <t>Repurchase of warrents</t>
  </si>
  <si>
    <t>Buybacks</t>
  </si>
  <si>
    <t>Dividends</t>
  </si>
  <si>
    <t>CFFF</t>
  </si>
  <si>
    <t>CIC</t>
  </si>
  <si>
    <t>FCF</t>
  </si>
  <si>
    <t>Opex y/y</t>
  </si>
  <si>
    <t>Disocunt</t>
  </si>
  <si>
    <t>TV</t>
  </si>
  <si>
    <t>NPV</t>
  </si>
  <si>
    <t>NPV/Share</t>
  </si>
  <si>
    <t>Opp/nedside</t>
  </si>
  <si>
    <t>10% vekst og konstante marginer</t>
  </si>
  <si>
    <t>EBITDA</t>
  </si>
  <si>
    <t>EBITDA 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</si>
</sst>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kr&quot;\ #,##0.00_);[Red]\(&quot;kr&quot;\ #,##0.00\)"/>
    <numFmt numFmtId="164" formatCode="#,##0.0"/>
    <numFmt numFmtId="165" formatCode="0.0"/>
    <numFmt numFmtId="166" formatCode="0.0\ %"/>
    <numFmt numFmtId="167" formatCode="#,##0.000"/>
  </numFmts>
  <fonts count="8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165" fontId="2" fillId="0" borderId="1" xfId="0" applyNumberFormat="1" applyFont="1" applyBorder="1"/>
    <xf numFmtId="165" fontId="2" fillId="0" borderId="0" xfId="0" applyNumberFormat="1" applyFont="1"/>
    <xf numFmtId="166" fontId="2" fillId="0" borderId="0" xfId="0" applyNumberFormat="1" applyFont="1"/>
    <xf numFmtId="0" fontId="4" fillId="0" borderId="0" xfId="0" applyFont="1"/>
    <xf numFmtId="3" fontId="1" fillId="0" borderId="0" xfId="0" applyNumberFormat="1" applyFont="1"/>
    <xf numFmtId="3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right"/>
    </xf>
    <xf numFmtId="2" fontId="2" fillId="0" borderId="0" xfId="0" applyNumberFormat="1" applyFont="1"/>
    <xf numFmtId="10" fontId="2" fillId="0" borderId="0" xfId="0" applyNumberFormat="1" applyFont="1"/>
    <xf numFmtId="10" fontId="2" fillId="0" borderId="1" xfId="0" applyNumberFormat="1" applyFont="1" applyBorder="1"/>
    <xf numFmtId="4" fontId="2" fillId="0" borderId="1" xfId="0" applyNumberFormat="1" applyFont="1" applyBorder="1"/>
    <xf numFmtId="166" fontId="1" fillId="0" borderId="0" xfId="0" applyNumberFormat="1" applyFont="1"/>
    <xf numFmtId="10" fontId="4" fillId="0" borderId="0" xfId="0" applyNumberFormat="1" applyFont="1"/>
    <xf numFmtId="10" fontId="4" fillId="0" borderId="1" xfId="0" applyNumberFormat="1" applyFont="1" applyBorder="1"/>
    <xf numFmtId="164" fontId="2" fillId="0" borderId="0" xfId="0" applyNumberFormat="1" applyFont="1"/>
    <xf numFmtId="4" fontId="2" fillId="0" borderId="0" xfId="0" applyNumberFormat="1" applyFont="1"/>
    <xf numFmtId="10" fontId="1" fillId="0" borderId="0" xfId="0" applyNumberFormat="1" applyFont="1"/>
    <xf numFmtId="3" fontId="4" fillId="0" borderId="0" xfId="0" applyNumberFormat="1" applyFont="1"/>
    <xf numFmtId="10" fontId="1" fillId="0" borderId="1" xfId="0" applyNumberFormat="1" applyFont="1" applyBorder="1"/>
    <xf numFmtId="0" fontId="5" fillId="0" borderId="2" xfId="0" applyFont="1" applyBorder="1"/>
    <xf numFmtId="0" fontId="6" fillId="0" borderId="2" xfId="0" applyFont="1" applyBorder="1"/>
    <xf numFmtId="0" fontId="2" fillId="0" borderId="3" xfId="0" applyFont="1" applyBorder="1"/>
    <xf numFmtId="9" fontId="2" fillId="0" borderId="0" xfId="0" applyNumberFormat="1" applyFont="1"/>
    <xf numFmtId="8" fontId="2" fillId="0" borderId="3" xfId="0" applyNumberFormat="1" applyFont="1" applyBorder="1"/>
    <xf numFmtId="2" fontId="1" fillId="0" borderId="0" xfId="0" applyNumberFormat="1" applyFont="1"/>
    <xf numFmtId="167" fontId="2" fillId="0" borderId="0" xfId="0" applyNumberFormat="1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3" fontId="1" fillId="0" borderId="0" xfId="0" applyNumberFormat="1" applyFont="1" applyBorder="1"/>
    <xf numFmtId="3" fontId="2" fillId="0" borderId="0" xfId="0" applyNumberFormat="1" applyFont="1" applyBorder="1"/>
    <xf numFmtId="164" fontId="2" fillId="0" borderId="0" xfId="0" applyNumberFormat="1" applyFont="1" applyBorder="1"/>
    <xf numFmtId="4" fontId="2" fillId="0" borderId="0" xfId="0" applyNumberFormat="1" applyFont="1" applyBorder="1"/>
    <xf numFmtId="10" fontId="1" fillId="0" borderId="0" xfId="0" applyNumberFormat="1" applyFont="1" applyBorder="1"/>
    <xf numFmtId="10" fontId="2" fillId="0" borderId="0" xfId="0" applyNumberFormat="1" applyFont="1" applyBorder="1"/>
    <xf numFmtId="166" fontId="1" fillId="0" borderId="0" xfId="0" applyNumberFormat="1" applyFont="1" applyBorder="1"/>
    <xf numFmtId="166" fontId="2" fillId="0" borderId="0" xfId="0" applyNumberFormat="1" applyFont="1" applyBorder="1"/>
    <xf numFmtId="3" fontId="4" fillId="0" borderId="0" xfId="0" applyNumberFormat="1" applyFont="1" applyBorder="1"/>
    <xf numFmtId="0" fontId="4" fillId="0" borderId="0" xfId="0" applyFont="1" applyBorder="1"/>
    <xf numFmtId="0" fontId="1" fillId="0" borderId="0" xfId="0" applyFont="1" applyBorder="1"/>
    <xf numFmtId="10" fontId="3" fillId="0" borderId="0" xfId="0" applyNumberFormat="1" applyFont="1"/>
    <xf numFmtId="10" fontId="3" fillId="0" borderId="0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330200</xdr:colOff>
      <xdr:row>0</xdr:row>
      <xdr:rowOff>25400</xdr:rowOff>
    </xdr:from>
    <xdr:to>
      <xdr:col>15</xdr:col>
      <xdr:colOff>707815</xdr:colOff>
      <xdr:row>41</xdr:row>
      <xdr:rowOff>190500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DC70D8B5-F617-D38D-714F-9390E9F925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94800" y="25400"/>
          <a:ext cx="4505115" cy="100584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89A0B7FB-FA72-F34B-9641-B1AD43CDD8DB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X62" dT="2025-09-24T17:54:53.02" personId="{89A0B7FB-FA72-F34B-9641-B1AD43CDD8DB}" id="{9F2A8D96-BE3C-634A-A468-A761CD121394}">
    <text>Oppkjøp</text>
  </threadedComment>
  <threadedComment ref="X65" dT="2025-09-24T17:55:31.72" personId="{89A0B7FB-FA72-F34B-9641-B1AD43CDD8DB}" id="{66E27F50-5F77-C541-A8BB-BB4B5E474CE5}">
    <text>Hentet inn 1360,290 i ny EK og 380 i lån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5:G19"/>
  <sheetViews>
    <sheetView showGridLines="0" workbookViewId="0">
      <selection activeCell="R18" sqref="R18"/>
    </sheetView>
  </sheetViews>
  <sheetFormatPr baseColWidth="10" defaultRowHeight="19" x14ac:dyDescent="0.25"/>
  <cols>
    <col min="1" max="6" width="10.83203125" style="2"/>
    <col min="7" max="7" width="18.83203125" style="2" customWidth="1"/>
    <col min="8" max="16384" width="10.83203125" style="2"/>
  </cols>
  <sheetData>
    <row r="5" spans="1:7" x14ac:dyDescent="0.25">
      <c r="A5" s="1"/>
      <c r="G5" s="1"/>
    </row>
    <row r="6" spans="1:7" x14ac:dyDescent="0.25">
      <c r="A6" s="1"/>
    </row>
    <row r="7" spans="1:7" x14ac:dyDescent="0.25">
      <c r="A7" s="1"/>
    </row>
    <row r="8" spans="1:7" x14ac:dyDescent="0.25">
      <c r="A8" s="1"/>
    </row>
    <row r="19" spans="1:1" x14ac:dyDescent="0.25">
      <c r="A19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GV129"/>
  <sheetViews>
    <sheetView showGridLines="0" tabSelected="1" workbookViewId="0">
      <pane xSplit="3" ySplit="3" topLeftCell="AD4" activePane="bottomRight" state="frozen"/>
      <selection pane="topRight" activeCell="D1" sqref="D1"/>
      <selection pane="bottomLeft" activeCell="A4" sqref="A4"/>
      <selection pane="bottomRight" activeCell="AL25" sqref="AL25"/>
    </sheetView>
  </sheetViews>
  <sheetFormatPr baseColWidth="10" defaultRowHeight="19" x14ac:dyDescent="0.25"/>
  <cols>
    <col min="1" max="1" width="16.33203125" style="2" bestFit="1" customWidth="1"/>
    <col min="2" max="2" width="10.83203125" style="4"/>
    <col min="3" max="3" width="37.33203125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0.832031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17" width="10.83203125" style="2"/>
    <col min="18" max="18" width="10.83203125" style="36"/>
    <col min="19" max="30" width="10.83203125" style="2"/>
    <col min="31" max="31" width="12" style="2" bestFit="1" customWidth="1"/>
    <col min="32" max="32" width="10.83203125" style="4"/>
    <col min="33" max="43" width="10.83203125" style="2"/>
    <col min="44" max="44" width="14.1640625" style="2" bestFit="1" customWidth="1"/>
    <col min="45" max="45" width="14" style="2" bestFit="1" customWidth="1"/>
    <col min="46" max="16384" width="10.83203125" style="2"/>
  </cols>
  <sheetData>
    <row r="1" spans="1:204" x14ac:dyDescent="0.25"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AB1" s="1"/>
    </row>
    <row r="3" spans="1:204" x14ac:dyDescent="0.25">
      <c r="A3" s="1" t="s">
        <v>0</v>
      </c>
      <c r="C3" s="2" t="s">
        <v>48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37</v>
      </c>
      <c r="Q3" s="7" t="s">
        <v>31</v>
      </c>
      <c r="R3" s="37" t="s">
        <v>35</v>
      </c>
      <c r="S3" s="7" t="s">
        <v>36</v>
      </c>
      <c r="V3" s="7"/>
      <c r="W3" s="7"/>
      <c r="X3" s="7" t="s">
        <v>41</v>
      </c>
      <c r="Y3" s="7" t="s">
        <v>42</v>
      </c>
      <c r="Z3" s="7" t="s">
        <v>32</v>
      </c>
      <c r="AA3" s="7" t="s">
        <v>33</v>
      </c>
      <c r="AB3" s="7" t="s">
        <v>34</v>
      </c>
      <c r="AC3" s="7" t="s">
        <v>15</v>
      </c>
      <c r="AD3" s="7" t="s">
        <v>16</v>
      </c>
      <c r="AE3" s="7" t="s">
        <v>17</v>
      </c>
      <c r="AF3" s="16" t="s">
        <v>18</v>
      </c>
      <c r="AG3" s="7" t="s">
        <v>19</v>
      </c>
      <c r="AH3" s="7" t="s">
        <v>20</v>
      </c>
      <c r="AI3" s="7" t="s">
        <v>21</v>
      </c>
      <c r="AJ3" s="7" t="s">
        <v>22</v>
      </c>
      <c r="AK3" s="7" t="s">
        <v>23</v>
      </c>
      <c r="AL3" s="7" t="s">
        <v>24</v>
      </c>
      <c r="AM3" s="7" t="s">
        <v>25</v>
      </c>
      <c r="AN3" s="7" t="s">
        <v>26</v>
      </c>
      <c r="AO3" s="7" t="s">
        <v>27</v>
      </c>
      <c r="AP3" s="7" t="s">
        <v>28</v>
      </c>
    </row>
    <row r="4" spans="1:204" x14ac:dyDescent="0.25">
      <c r="A4" s="2" t="s">
        <v>1</v>
      </c>
      <c r="B4" s="20">
        <v>143.5</v>
      </c>
      <c r="C4" s="1" t="s">
        <v>51</v>
      </c>
      <c r="D4" s="12">
        <v>180.1</v>
      </c>
      <c r="E4" s="12">
        <v>270.5</v>
      </c>
      <c r="F4" s="12">
        <v>240</v>
      </c>
      <c r="G4" s="12">
        <v>202</v>
      </c>
      <c r="H4" s="12">
        <v>190.5</v>
      </c>
      <c r="I4" s="12">
        <v>268.39999999999998</v>
      </c>
      <c r="J4" s="12">
        <v>272.7</v>
      </c>
      <c r="K4" s="12">
        <v>275.8</v>
      </c>
      <c r="L4" s="12">
        <v>254</v>
      </c>
      <c r="M4" s="12">
        <v>405.6</v>
      </c>
      <c r="N4" s="12">
        <v>372.6</v>
      </c>
      <c r="O4" s="12">
        <v>364.5</v>
      </c>
      <c r="P4" s="12">
        <v>329</v>
      </c>
      <c r="Q4" s="12">
        <v>484</v>
      </c>
      <c r="R4" s="38">
        <v>367.2</v>
      </c>
      <c r="S4" s="12">
        <v>348</v>
      </c>
      <c r="V4" s="12"/>
      <c r="W4" s="12"/>
      <c r="X4" s="12">
        <v>318.47500000000002</v>
      </c>
      <c r="Y4" s="12">
        <v>374</v>
      </c>
      <c r="Z4" s="12">
        <v>446.36900000000003</v>
      </c>
      <c r="AA4" s="12">
        <v>545.846</v>
      </c>
      <c r="AB4" s="12">
        <v>729.9</v>
      </c>
      <c r="AC4" s="12">
        <v>891.8</v>
      </c>
      <c r="AD4" s="12">
        <v>1007</v>
      </c>
      <c r="AE4" s="12">
        <v>1396.7</v>
      </c>
      <c r="AF4" s="13">
        <v>1528</v>
      </c>
      <c r="AG4" s="12">
        <f>AF4*1.1</f>
        <v>1680.8000000000002</v>
      </c>
      <c r="AH4" s="12">
        <f>AG4*1.12</f>
        <v>1882.4960000000003</v>
      </c>
      <c r="AI4" s="12">
        <f>AH4*1.15</f>
        <v>2164.8704000000002</v>
      </c>
      <c r="AJ4" s="12">
        <f t="shared" ref="AJ4:AP4" si="0">AI4*1.15</f>
        <v>2489.6009600000002</v>
      </c>
      <c r="AK4" s="12">
        <f t="shared" si="0"/>
        <v>2863.0411039999999</v>
      </c>
      <c r="AL4" s="12">
        <f t="shared" si="0"/>
        <v>3292.4972695999995</v>
      </c>
      <c r="AM4" s="12">
        <f t="shared" si="0"/>
        <v>3786.3718600399993</v>
      </c>
      <c r="AN4" s="12">
        <f t="shared" si="0"/>
        <v>4354.3276390459987</v>
      </c>
      <c r="AO4" s="12">
        <f t="shared" si="0"/>
        <v>5007.4767849028985</v>
      </c>
      <c r="AP4" s="12">
        <f t="shared" si="0"/>
        <v>5758.5983026383328</v>
      </c>
    </row>
    <row r="5" spans="1:204" x14ac:dyDescent="0.25">
      <c r="A5" s="2" t="s">
        <v>2</v>
      </c>
      <c r="B5" s="5">
        <v>95.008346000000003</v>
      </c>
      <c r="C5" s="2" t="s">
        <v>52</v>
      </c>
      <c r="D5" s="14">
        <v>2.5</v>
      </c>
      <c r="E5" s="14">
        <v>2.9</v>
      </c>
      <c r="F5" s="14">
        <v>1.3</v>
      </c>
      <c r="G5" s="14">
        <v>3.3</v>
      </c>
      <c r="H5" s="14">
        <v>3.4</v>
      </c>
      <c r="I5" s="14">
        <v>2.2999999999999998</v>
      </c>
      <c r="J5" s="14">
        <v>3.2</v>
      </c>
      <c r="K5" s="14">
        <v>4</v>
      </c>
      <c r="L5" s="14">
        <v>3.9</v>
      </c>
      <c r="M5" s="14">
        <v>2.7</v>
      </c>
      <c r="N5" s="14">
        <v>1.2</v>
      </c>
      <c r="O5" s="14">
        <v>2.9</v>
      </c>
      <c r="P5" s="14">
        <v>6.4</v>
      </c>
      <c r="Q5" s="14">
        <v>2</v>
      </c>
      <c r="R5" s="39">
        <v>3.7</v>
      </c>
      <c r="S5" s="14">
        <v>3.8</v>
      </c>
      <c r="T5" s="14"/>
      <c r="V5" s="14"/>
      <c r="W5" s="14"/>
      <c r="X5" s="14">
        <v>0</v>
      </c>
      <c r="Y5" s="14">
        <v>0</v>
      </c>
      <c r="Z5" s="14">
        <v>4.3</v>
      </c>
      <c r="AA5" s="14">
        <v>3.9</v>
      </c>
      <c r="AB5" s="14">
        <v>4.5999999999999996</v>
      </c>
      <c r="AC5" s="14">
        <v>10</v>
      </c>
      <c r="AD5" s="14">
        <v>13</v>
      </c>
      <c r="AE5" s="14">
        <v>10.7</v>
      </c>
      <c r="AF5" s="15">
        <v>16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0</v>
      </c>
      <c r="AM5" s="14">
        <v>0</v>
      </c>
      <c r="AN5" s="14">
        <v>0</v>
      </c>
      <c r="AO5" s="14">
        <v>0</v>
      </c>
      <c r="AP5" s="14">
        <v>0</v>
      </c>
    </row>
    <row r="6" spans="1:204" x14ac:dyDescent="0.25">
      <c r="A6" s="2" t="s">
        <v>44</v>
      </c>
      <c r="B6" s="5">
        <f>B4*B5</f>
        <v>13633.697651</v>
      </c>
      <c r="C6" s="2" t="s">
        <v>53</v>
      </c>
      <c r="D6" s="14">
        <v>-59</v>
      </c>
      <c r="E6" s="14">
        <v>-86.8</v>
      </c>
      <c r="F6" s="14">
        <v>-79.2</v>
      </c>
      <c r="G6" s="14">
        <v>-74</v>
      </c>
      <c r="H6" s="14">
        <v>-63.2</v>
      </c>
      <c r="I6" s="14">
        <v>-85.2</v>
      </c>
      <c r="J6" s="14">
        <v>-82.5</v>
      </c>
      <c r="K6" s="14">
        <v>-92.8</v>
      </c>
      <c r="L6" s="14">
        <v>-86.9</v>
      </c>
      <c r="M6" s="14">
        <v>-137.69999999999999</v>
      </c>
      <c r="N6" s="14">
        <v>-120.1</v>
      </c>
      <c r="O6" s="14">
        <v>-136</v>
      </c>
      <c r="P6" s="14">
        <v>-118</v>
      </c>
      <c r="Q6" s="14">
        <v>-165.7</v>
      </c>
      <c r="R6" s="39">
        <v>-131.69999999999999</v>
      </c>
      <c r="S6" s="14">
        <v>-133.6</v>
      </c>
      <c r="V6" s="14"/>
      <c r="W6" s="14"/>
      <c r="X6" s="14">
        <v>-181.48</v>
      </c>
      <c r="Y6" s="14">
        <v>-166.75200000000001</v>
      </c>
      <c r="Z6" s="14">
        <v>-189</v>
      </c>
      <c r="AA6" s="14">
        <v>-245.30799999999999</v>
      </c>
      <c r="AB6" s="14">
        <v>-299.89999999999998</v>
      </c>
      <c r="AC6" s="14">
        <v>-299</v>
      </c>
      <c r="AD6" s="14">
        <v>-323.7</v>
      </c>
      <c r="AE6" s="14">
        <v>-480.7</v>
      </c>
      <c r="AF6" s="15">
        <v>-549</v>
      </c>
      <c r="AG6" s="14">
        <f>AF6*1.065</f>
        <v>-584.68499999999995</v>
      </c>
      <c r="AH6" s="14">
        <f t="shared" ref="AH6:AP6" si="1">AG6*1.1</f>
        <v>-643.15350000000001</v>
      </c>
      <c r="AI6" s="14">
        <f>AH6*1.15</f>
        <v>-739.6265249999999</v>
      </c>
      <c r="AJ6" s="14">
        <f t="shared" ref="AJ6:AP6" si="2">AI6*1.15</f>
        <v>-850.57050374999983</v>
      </c>
      <c r="AK6" s="14">
        <f t="shared" si="2"/>
        <v>-978.15607931249974</v>
      </c>
      <c r="AL6" s="14">
        <f t="shared" si="2"/>
        <v>-1124.8794912093747</v>
      </c>
      <c r="AM6" s="14">
        <f t="shared" si="2"/>
        <v>-1293.6114148907809</v>
      </c>
      <c r="AN6" s="14">
        <f t="shared" si="2"/>
        <v>-1487.653127124398</v>
      </c>
      <c r="AO6" s="14">
        <f t="shared" si="2"/>
        <v>-1710.8010961930577</v>
      </c>
      <c r="AP6" s="14">
        <f t="shared" si="2"/>
        <v>-1967.4212606220162</v>
      </c>
    </row>
    <row r="7" spans="1:204" x14ac:dyDescent="0.25">
      <c r="A7" s="2" t="s">
        <v>45</v>
      </c>
      <c r="B7" s="5">
        <f>S40</f>
        <v>103.3</v>
      </c>
      <c r="C7" s="2" t="s">
        <v>54</v>
      </c>
      <c r="D7" s="14">
        <v>-37.799999999999997</v>
      </c>
      <c r="E7" s="14">
        <v>-41</v>
      </c>
      <c r="F7" s="14">
        <v>-32.700000000000003</v>
      </c>
      <c r="G7" s="14">
        <v>-41.7</v>
      </c>
      <c r="H7" s="14">
        <v>-43.1</v>
      </c>
      <c r="I7" s="14">
        <v>-44.4</v>
      </c>
      <c r="J7" s="14">
        <v>-37</v>
      </c>
      <c r="K7" s="14">
        <v>-45.1</v>
      </c>
      <c r="L7" s="14">
        <v>-50.9</v>
      </c>
      <c r="M7" s="14">
        <v>-53.9</v>
      </c>
      <c r="N7" s="14">
        <v>-45.7</v>
      </c>
      <c r="O7" s="14">
        <v>-54.7</v>
      </c>
      <c r="P7" s="14">
        <v>-59.5</v>
      </c>
      <c r="Q7" s="14">
        <v>-58.7</v>
      </c>
      <c r="R7" s="39">
        <v>-43.3</v>
      </c>
      <c r="S7" s="14">
        <v>-64.400000000000006</v>
      </c>
      <c r="X7" s="14">
        <v>-60.5</v>
      </c>
      <c r="Y7" s="14">
        <v>-69.885000000000005</v>
      </c>
      <c r="Z7" s="14">
        <v>-88.679000000000002</v>
      </c>
      <c r="AA7" s="14">
        <v>-114.756</v>
      </c>
      <c r="AB7" s="14">
        <v>-130</v>
      </c>
      <c r="AC7" s="14">
        <v>-153.19999999999999</v>
      </c>
      <c r="AD7" s="14">
        <v>-169.6</v>
      </c>
      <c r="AE7" s="14">
        <v>-205.2</v>
      </c>
      <c r="AF7" s="15">
        <v>-226</v>
      </c>
      <c r="AG7" s="14">
        <f t="shared" ref="AG7:AG9" si="3">AF7*1.065</f>
        <v>-240.69</v>
      </c>
      <c r="AH7" s="14">
        <f t="shared" ref="AG7:AP9" si="4">AG7*1.1</f>
        <v>-264.75900000000001</v>
      </c>
      <c r="AI7" s="14">
        <f t="shared" ref="AI7:AP9" si="5">AH7*1.15</f>
        <v>-304.47284999999999</v>
      </c>
      <c r="AJ7" s="14">
        <f t="shared" si="5"/>
        <v>-350.14377749999994</v>
      </c>
      <c r="AK7" s="14">
        <f t="shared" si="5"/>
        <v>-402.66534412499988</v>
      </c>
      <c r="AL7" s="14">
        <f t="shared" si="5"/>
        <v>-463.06514574374984</v>
      </c>
      <c r="AM7" s="14">
        <f t="shared" si="5"/>
        <v>-532.52491760531223</v>
      </c>
      <c r="AN7" s="14">
        <f t="shared" si="5"/>
        <v>-612.403655246109</v>
      </c>
      <c r="AO7" s="14">
        <f t="shared" si="5"/>
        <v>-704.26420353302524</v>
      </c>
      <c r="AP7" s="14">
        <f t="shared" si="5"/>
        <v>-809.90383406297894</v>
      </c>
    </row>
    <row r="8" spans="1:204" x14ac:dyDescent="0.25">
      <c r="A8" s="2" t="s">
        <v>46</v>
      </c>
      <c r="B8" s="5">
        <f>S44</f>
        <v>596.9</v>
      </c>
      <c r="C8" s="2" t="s">
        <v>55</v>
      </c>
      <c r="D8" s="14">
        <v>-17.7</v>
      </c>
      <c r="E8" s="14">
        <v>-17.8</v>
      </c>
      <c r="F8" s="14">
        <v>-17.600000000000001</v>
      </c>
      <c r="G8" s="14">
        <v>-17.5</v>
      </c>
      <c r="H8" s="14">
        <v>-19.100000000000001</v>
      </c>
      <c r="I8" s="14">
        <v>-19</v>
      </c>
      <c r="J8" s="14">
        <v>-19.100000000000001</v>
      </c>
      <c r="K8" s="14">
        <v>-20.100000000000001</v>
      </c>
      <c r="L8" s="14">
        <v>-20.8</v>
      </c>
      <c r="M8" s="14">
        <v>-20.6</v>
      </c>
      <c r="N8" s="14">
        <v>-21.9</v>
      </c>
      <c r="O8" s="14">
        <v>-22.7</v>
      </c>
      <c r="P8" s="14">
        <v>-22.5</v>
      </c>
      <c r="Q8" s="14">
        <v>-23.2</v>
      </c>
      <c r="R8" s="39">
        <v>-24.1</v>
      </c>
      <c r="S8" s="14">
        <v>-23.9</v>
      </c>
      <c r="V8" s="14"/>
      <c r="W8" s="14"/>
      <c r="X8" s="14">
        <v>-63.3</v>
      </c>
      <c r="Y8" s="14">
        <v>-64.793000000000006</v>
      </c>
      <c r="Z8" s="14">
        <v>-73.2</v>
      </c>
      <c r="AA8" s="14">
        <v>-77.447000000000003</v>
      </c>
      <c r="AB8" s="14">
        <v>-79</v>
      </c>
      <c r="AC8" s="14">
        <v>-70.599999999999994</v>
      </c>
      <c r="AD8" s="14">
        <v>-77.3</v>
      </c>
      <c r="AE8" s="14">
        <v>-86</v>
      </c>
      <c r="AF8" s="15">
        <v>-94</v>
      </c>
      <c r="AG8" s="14">
        <f t="shared" si="3"/>
        <v>-100.11</v>
      </c>
      <c r="AH8" s="14">
        <f t="shared" si="4"/>
        <v>-110.12100000000001</v>
      </c>
      <c r="AI8" s="14">
        <f t="shared" si="5"/>
        <v>-126.63915</v>
      </c>
      <c r="AJ8" s="14">
        <f t="shared" si="5"/>
        <v>-145.63502249999999</v>
      </c>
      <c r="AK8" s="14">
        <f t="shared" si="5"/>
        <v>-167.48027587499999</v>
      </c>
      <c r="AL8" s="14">
        <f t="shared" si="5"/>
        <v>-192.60231725624996</v>
      </c>
      <c r="AM8" s="14">
        <f t="shared" si="5"/>
        <v>-221.49266484468743</v>
      </c>
      <c r="AN8" s="14">
        <f t="shared" si="5"/>
        <v>-254.71656457139051</v>
      </c>
      <c r="AO8" s="14">
        <f t="shared" si="5"/>
        <v>-292.92404925709906</v>
      </c>
      <c r="AP8" s="14">
        <f t="shared" si="5"/>
        <v>-336.86265664566389</v>
      </c>
    </row>
    <row r="9" spans="1:204" x14ac:dyDescent="0.25">
      <c r="A9" s="3" t="s">
        <v>47</v>
      </c>
      <c r="B9" s="6">
        <f>B6-B7+B8</f>
        <v>14127.297651000001</v>
      </c>
      <c r="C9" s="2" t="s">
        <v>56</v>
      </c>
      <c r="D9" s="14">
        <v>0</v>
      </c>
      <c r="E9" s="14">
        <v>0</v>
      </c>
      <c r="F9" s="14">
        <v>0</v>
      </c>
      <c r="G9" s="14">
        <v>0</v>
      </c>
      <c r="H9" s="14">
        <v>-0.4</v>
      </c>
      <c r="I9" s="14">
        <v>0</v>
      </c>
      <c r="J9" s="14">
        <v>0</v>
      </c>
      <c r="K9" s="14">
        <v>-0.4</v>
      </c>
      <c r="L9" s="14">
        <v>-0.4</v>
      </c>
      <c r="M9" s="14">
        <v>-0.5</v>
      </c>
      <c r="N9" s="14">
        <v>-0.4</v>
      </c>
      <c r="O9" s="14">
        <v>-0.4</v>
      </c>
      <c r="P9" s="14">
        <v>-0.4</v>
      </c>
      <c r="Q9" s="14">
        <v>-0.7</v>
      </c>
      <c r="R9" s="39">
        <v>-0.5</v>
      </c>
      <c r="S9" s="14">
        <v>-0.5</v>
      </c>
      <c r="V9" s="14"/>
      <c r="W9" s="14"/>
      <c r="X9" s="14">
        <v>0</v>
      </c>
      <c r="Y9" s="14">
        <v>0</v>
      </c>
      <c r="Z9" s="14">
        <v>-1</v>
      </c>
      <c r="AA9" s="14">
        <v>-1.7</v>
      </c>
      <c r="AB9" s="14">
        <v>-1.7</v>
      </c>
      <c r="AC9" s="14">
        <v>-1.5</v>
      </c>
      <c r="AD9" s="14">
        <v>-1.6</v>
      </c>
      <c r="AE9" s="14">
        <v>-1.7</v>
      </c>
      <c r="AF9" s="15">
        <v>-2</v>
      </c>
      <c r="AG9" s="14">
        <f t="shared" si="3"/>
        <v>-2.13</v>
      </c>
      <c r="AH9" s="14">
        <f t="shared" si="4"/>
        <v>-2.343</v>
      </c>
      <c r="AI9" s="14">
        <f t="shared" si="5"/>
        <v>-2.6944499999999998</v>
      </c>
      <c r="AJ9" s="14">
        <f t="shared" si="5"/>
        <v>-3.0986174999999996</v>
      </c>
      <c r="AK9" s="14">
        <f t="shared" si="5"/>
        <v>-3.5634101249999994</v>
      </c>
      <c r="AL9" s="14">
        <f t="shared" si="5"/>
        <v>-4.0979216437499995</v>
      </c>
      <c r="AM9" s="14">
        <f t="shared" si="5"/>
        <v>-4.7126098903124989</v>
      </c>
      <c r="AN9" s="14">
        <f t="shared" si="5"/>
        <v>-5.4195013738593731</v>
      </c>
      <c r="AO9" s="14">
        <f t="shared" si="5"/>
        <v>-6.232426579938279</v>
      </c>
      <c r="AP9" s="14">
        <f t="shared" si="5"/>
        <v>-7.1672905669290206</v>
      </c>
    </row>
    <row r="10" spans="1:204" x14ac:dyDescent="0.25">
      <c r="C10" s="2" t="s">
        <v>57</v>
      </c>
      <c r="D10" s="14">
        <f t="shared" ref="D10:Q10" si="6">SUM(D6:D9)</f>
        <v>-114.5</v>
      </c>
      <c r="E10" s="14">
        <f t="shared" si="6"/>
        <v>-145.6</v>
      </c>
      <c r="F10" s="14">
        <f t="shared" si="6"/>
        <v>-129.5</v>
      </c>
      <c r="G10" s="14">
        <f t="shared" si="6"/>
        <v>-133.19999999999999</v>
      </c>
      <c r="H10" s="14">
        <f t="shared" si="6"/>
        <v>-125.80000000000001</v>
      </c>
      <c r="I10" s="14">
        <f t="shared" si="6"/>
        <v>-148.6</v>
      </c>
      <c r="J10" s="14">
        <f t="shared" si="6"/>
        <v>-138.6</v>
      </c>
      <c r="K10" s="14">
        <f t="shared" si="6"/>
        <v>-158.4</v>
      </c>
      <c r="L10" s="14">
        <f t="shared" si="6"/>
        <v>-159.00000000000003</v>
      </c>
      <c r="M10" s="14">
        <f t="shared" si="6"/>
        <v>-212.7</v>
      </c>
      <c r="N10" s="14">
        <f t="shared" si="6"/>
        <v>-188.10000000000002</v>
      </c>
      <c r="O10" s="14">
        <f t="shared" si="6"/>
        <v>-213.79999999999998</v>
      </c>
      <c r="P10" s="14">
        <f t="shared" si="6"/>
        <v>-200.4</v>
      </c>
      <c r="Q10" s="14">
        <f t="shared" si="6"/>
        <v>-248.29999999999995</v>
      </c>
      <c r="R10" s="39">
        <f>SUM(R6:R9)</f>
        <v>-199.6</v>
      </c>
      <c r="S10" s="39">
        <f>SUM(S6:S9)</f>
        <v>-222.4</v>
      </c>
      <c r="V10" s="14"/>
      <c r="W10" s="14"/>
      <c r="X10" s="14">
        <f t="shared" ref="X10:AE10" si="7">SUM(X6:X9)</f>
        <v>-305.27999999999997</v>
      </c>
      <c r="Y10" s="14">
        <f t="shared" si="7"/>
        <v>-301.43</v>
      </c>
      <c r="Z10" s="14">
        <f t="shared" si="7"/>
        <v>-351.87899999999996</v>
      </c>
      <c r="AA10" s="14">
        <f t="shared" si="7"/>
        <v>-439.21099999999996</v>
      </c>
      <c r="AB10" s="14">
        <f t="shared" si="7"/>
        <v>-510.59999999999997</v>
      </c>
      <c r="AC10" s="14">
        <f t="shared" si="7"/>
        <v>-524.29999999999995</v>
      </c>
      <c r="AD10" s="14">
        <f t="shared" si="7"/>
        <v>-572.19999999999993</v>
      </c>
      <c r="AE10" s="14">
        <f t="shared" si="7"/>
        <v>-773.6</v>
      </c>
      <c r="AF10" s="15">
        <f t="shared" ref="AF10:AP10" si="8">SUM(AF6:AF9)</f>
        <v>-871</v>
      </c>
      <c r="AG10" s="14">
        <f t="shared" si="8"/>
        <v>-927.61500000000001</v>
      </c>
      <c r="AH10" s="14">
        <f t="shared" si="8"/>
        <v>-1020.3765</v>
      </c>
      <c r="AI10" s="14">
        <f t="shared" si="8"/>
        <v>-1173.4329749999997</v>
      </c>
      <c r="AJ10" s="14">
        <f t="shared" si="8"/>
        <v>-1349.4479212499998</v>
      </c>
      <c r="AK10" s="14">
        <f t="shared" si="8"/>
        <v>-1551.8651094374995</v>
      </c>
      <c r="AL10" s="14">
        <f t="shared" si="8"/>
        <v>-1784.6448758531244</v>
      </c>
      <c r="AM10" s="14">
        <f t="shared" si="8"/>
        <v>-2052.3416072310929</v>
      </c>
      <c r="AN10" s="14">
        <f t="shared" si="8"/>
        <v>-2360.1928483157567</v>
      </c>
      <c r="AO10" s="14">
        <f t="shared" si="8"/>
        <v>-2714.2217755631204</v>
      </c>
      <c r="AP10" s="14">
        <f t="shared" si="8"/>
        <v>-3121.3550418975879</v>
      </c>
    </row>
    <row r="11" spans="1:204" x14ac:dyDescent="0.25">
      <c r="C11" s="1" t="s">
        <v>58</v>
      </c>
      <c r="D11" s="12">
        <f t="shared" ref="D11:Q11" si="9">D4+D10+D5</f>
        <v>68.099999999999994</v>
      </c>
      <c r="E11" s="12">
        <f t="shared" si="9"/>
        <v>127.80000000000001</v>
      </c>
      <c r="F11" s="12">
        <f t="shared" si="9"/>
        <v>111.8</v>
      </c>
      <c r="G11" s="12">
        <f t="shared" si="9"/>
        <v>72.100000000000009</v>
      </c>
      <c r="H11" s="12">
        <f t="shared" si="9"/>
        <v>68.099999999999994</v>
      </c>
      <c r="I11" s="12">
        <f t="shared" si="9"/>
        <v>122.09999999999998</v>
      </c>
      <c r="J11" s="12">
        <f t="shared" si="9"/>
        <v>137.29999999999998</v>
      </c>
      <c r="K11" s="12">
        <f t="shared" si="9"/>
        <v>121.4</v>
      </c>
      <c r="L11" s="12">
        <f t="shared" si="9"/>
        <v>98.899999999999977</v>
      </c>
      <c r="M11" s="12">
        <f t="shared" si="9"/>
        <v>195.60000000000002</v>
      </c>
      <c r="N11" s="12">
        <f t="shared" si="9"/>
        <v>185.7</v>
      </c>
      <c r="O11" s="12">
        <f t="shared" si="9"/>
        <v>153.60000000000002</v>
      </c>
      <c r="P11" s="12">
        <f t="shared" si="9"/>
        <v>135</v>
      </c>
      <c r="Q11" s="12">
        <f t="shared" si="9"/>
        <v>237.70000000000005</v>
      </c>
      <c r="R11" s="38">
        <f>R4+R10+R5</f>
        <v>171.29999999999998</v>
      </c>
      <c r="S11" s="38">
        <f>S4+S10+S5</f>
        <v>129.4</v>
      </c>
      <c r="V11" s="14"/>
      <c r="W11" s="14"/>
      <c r="X11" s="12">
        <f t="shared" ref="X11:AE11" si="10">X4+X10+X5</f>
        <v>13.19500000000005</v>
      </c>
      <c r="Y11" s="12">
        <f t="shared" si="10"/>
        <v>72.569999999999993</v>
      </c>
      <c r="Z11" s="12">
        <f t="shared" si="10"/>
        <v>98.790000000000063</v>
      </c>
      <c r="AA11" s="12">
        <f t="shared" si="10"/>
        <v>110.53500000000005</v>
      </c>
      <c r="AB11" s="12">
        <f t="shared" si="10"/>
        <v>223.9</v>
      </c>
      <c r="AC11" s="12">
        <f t="shared" si="10"/>
        <v>377.5</v>
      </c>
      <c r="AD11" s="12">
        <f t="shared" si="10"/>
        <v>447.80000000000007</v>
      </c>
      <c r="AE11" s="12">
        <f t="shared" si="10"/>
        <v>633.80000000000007</v>
      </c>
      <c r="AF11" s="13">
        <f t="shared" ref="AF11:AP11" si="11">AF4+AF10+AF5</f>
        <v>673</v>
      </c>
      <c r="AG11" s="12">
        <f t="shared" si="11"/>
        <v>753.18500000000017</v>
      </c>
      <c r="AH11" s="12">
        <f t="shared" si="11"/>
        <v>862.11950000000036</v>
      </c>
      <c r="AI11" s="12">
        <f t="shared" si="11"/>
        <v>991.43742500000053</v>
      </c>
      <c r="AJ11" s="12">
        <f t="shared" si="11"/>
        <v>1140.1530387500004</v>
      </c>
      <c r="AK11" s="12">
        <f t="shared" si="11"/>
        <v>1311.1759945625004</v>
      </c>
      <c r="AL11" s="12">
        <f t="shared" si="11"/>
        <v>1507.8523937468751</v>
      </c>
      <c r="AM11" s="12">
        <f t="shared" si="11"/>
        <v>1734.0302528089064</v>
      </c>
      <c r="AN11" s="12">
        <f t="shared" si="11"/>
        <v>1994.134790730242</v>
      </c>
      <c r="AO11" s="12">
        <f t="shared" si="11"/>
        <v>2293.2550093397781</v>
      </c>
      <c r="AP11" s="12">
        <f t="shared" si="11"/>
        <v>2637.243260740745</v>
      </c>
    </row>
    <row r="12" spans="1:204" x14ac:dyDescent="0.25">
      <c r="C12" s="2" t="s">
        <v>59</v>
      </c>
      <c r="D12" s="14">
        <v>-1.6</v>
      </c>
      <c r="E12" s="14">
        <v>-1.2</v>
      </c>
      <c r="F12" s="14">
        <v>-1.4</v>
      </c>
      <c r="G12" s="14">
        <v>-2.6</v>
      </c>
      <c r="H12" s="14">
        <v>-4.0999999999999996</v>
      </c>
      <c r="I12" s="14">
        <v>-5.7</v>
      </c>
      <c r="J12" s="14">
        <v>-7.4</v>
      </c>
      <c r="K12" s="14">
        <v>-3.6</v>
      </c>
      <c r="L12" s="14">
        <v>-7.6</v>
      </c>
      <c r="M12" s="14">
        <v>-8</v>
      </c>
      <c r="N12" s="14">
        <v>-7.5</v>
      </c>
      <c r="O12" s="14">
        <v>-3.6</v>
      </c>
      <c r="P12" s="14">
        <v>-5.3</v>
      </c>
      <c r="Q12" s="14">
        <v>-4.4000000000000004</v>
      </c>
      <c r="R12" s="39">
        <v>-4.5</v>
      </c>
      <c r="S12" s="14">
        <v>-3.3</v>
      </c>
      <c r="V12" s="12"/>
      <c r="W12" s="12"/>
      <c r="X12" s="14">
        <v>-36.130000000000003</v>
      </c>
      <c r="Y12" s="14">
        <v>-25.587</v>
      </c>
      <c r="Z12" s="14">
        <v>-15</v>
      </c>
      <c r="AA12" s="14">
        <v>-23.722999999999999</v>
      </c>
      <c r="AB12" s="14">
        <v>-25.8</v>
      </c>
      <c r="AC12" s="14">
        <v>-6.8</v>
      </c>
      <c r="AD12" s="14">
        <v>-20.8</v>
      </c>
      <c r="AE12" s="14">
        <v>-26.7</v>
      </c>
      <c r="AF12" s="15">
        <v>-18</v>
      </c>
      <c r="AG12" s="14">
        <v>0</v>
      </c>
      <c r="AH12" s="14">
        <v>0</v>
      </c>
      <c r="AI12" s="14">
        <v>0</v>
      </c>
      <c r="AJ12" s="14">
        <v>0</v>
      </c>
      <c r="AK12" s="14">
        <v>0</v>
      </c>
      <c r="AL12" s="14">
        <v>0</v>
      </c>
      <c r="AM12" s="14">
        <v>0</v>
      </c>
      <c r="AN12" s="14">
        <v>0</v>
      </c>
      <c r="AO12" s="14">
        <v>0</v>
      </c>
      <c r="AP12" s="14">
        <v>0</v>
      </c>
    </row>
    <row r="13" spans="1:204" x14ac:dyDescent="0.25">
      <c r="C13" s="2" t="s">
        <v>60</v>
      </c>
      <c r="D13" s="14">
        <f t="shared" ref="D13:Q13" si="12">SUM(D11:D12)</f>
        <v>66.5</v>
      </c>
      <c r="E13" s="14">
        <f t="shared" si="12"/>
        <v>126.60000000000001</v>
      </c>
      <c r="F13" s="14">
        <f t="shared" si="12"/>
        <v>110.39999999999999</v>
      </c>
      <c r="G13" s="14">
        <f t="shared" si="12"/>
        <v>69.500000000000014</v>
      </c>
      <c r="H13" s="14">
        <f t="shared" si="12"/>
        <v>63.999999999999993</v>
      </c>
      <c r="I13" s="14">
        <f t="shared" si="12"/>
        <v>116.39999999999998</v>
      </c>
      <c r="J13" s="14">
        <f t="shared" si="12"/>
        <v>129.89999999999998</v>
      </c>
      <c r="K13" s="14">
        <f t="shared" si="12"/>
        <v>117.80000000000001</v>
      </c>
      <c r="L13" s="14">
        <f t="shared" si="12"/>
        <v>91.299999999999983</v>
      </c>
      <c r="M13" s="14">
        <f t="shared" si="12"/>
        <v>187.60000000000002</v>
      </c>
      <c r="N13" s="14">
        <f t="shared" si="12"/>
        <v>178.2</v>
      </c>
      <c r="O13" s="14">
        <f t="shared" si="12"/>
        <v>150.00000000000003</v>
      </c>
      <c r="P13" s="14">
        <f t="shared" si="12"/>
        <v>129.69999999999999</v>
      </c>
      <c r="Q13" s="14">
        <f t="shared" si="12"/>
        <v>233.30000000000004</v>
      </c>
      <c r="R13" s="39">
        <f t="shared" ref="R13:S13" si="13">SUM(R11:R12)</f>
        <v>166.79999999999998</v>
      </c>
      <c r="S13" s="39">
        <f t="shared" si="13"/>
        <v>126.10000000000001</v>
      </c>
      <c r="V13" s="14"/>
      <c r="W13" s="14"/>
      <c r="X13" s="14">
        <f t="shared" ref="X13:AE13" si="14">SUM(X11:X12)</f>
        <v>-22.934999999999953</v>
      </c>
      <c r="Y13" s="14">
        <f t="shared" si="14"/>
        <v>46.98299999999999</v>
      </c>
      <c r="Z13" s="14">
        <f t="shared" si="14"/>
        <v>83.790000000000063</v>
      </c>
      <c r="AA13" s="14">
        <f t="shared" si="14"/>
        <v>86.812000000000054</v>
      </c>
      <c r="AB13" s="14">
        <f t="shared" si="14"/>
        <v>198.1</v>
      </c>
      <c r="AC13" s="14">
        <f t="shared" si="14"/>
        <v>370.7</v>
      </c>
      <c r="AD13" s="14">
        <f t="shared" si="14"/>
        <v>427.00000000000006</v>
      </c>
      <c r="AE13" s="14">
        <f t="shared" si="14"/>
        <v>607.1</v>
      </c>
      <c r="AF13" s="15">
        <f t="shared" ref="AF13:AP13" si="15">SUM(AF11:AF12)</f>
        <v>655</v>
      </c>
      <c r="AG13" s="14">
        <f t="shared" si="15"/>
        <v>753.18500000000017</v>
      </c>
      <c r="AH13" s="14">
        <f t="shared" si="15"/>
        <v>862.11950000000036</v>
      </c>
      <c r="AI13" s="14">
        <f t="shared" si="15"/>
        <v>991.43742500000053</v>
      </c>
      <c r="AJ13" s="14">
        <f t="shared" si="15"/>
        <v>1140.1530387500004</v>
      </c>
      <c r="AK13" s="14">
        <f t="shared" si="15"/>
        <v>1311.1759945625004</v>
      </c>
      <c r="AL13" s="14">
        <f t="shared" si="15"/>
        <v>1507.8523937468751</v>
      </c>
      <c r="AM13" s="14">
        <f t="shared" si="15"/>
        <v>1734.0302528089064</v>
      </c>
      <c r="AN13" s="14">
        <f t="shared" si="15"/>
        <v>1994.134790730242</v>
      </c>
      <c r="AO13" s="14">
        <f t="shared" si="15"/>
        <v>2293.2550093397781</v>
      </c>
      <c r="AP13" s="14">
        <f t="shared" si="15"/>
        <v>2637.243260740745</v>
      </c>
    </row>
    <row r="14" spans="1:204" x14ac:dyDescent="0.25">
      <c r="C14" s="2" t="s">
        <v>61</v>
      </c>
      <c r="D14" s="14">
        <v>-13.77</v>
      </c>
      <c r="E14" s="14">
        <v>-26.3</v>
      </c>
      <c r="F14" s="14">
        <v>-22.7</v>
      </c>
      <c r="G14" s="14">
        <v>-14.2</v>
      </c>
      <c r="H14" s="14">
        <v>-13.3</v>
      </c>
      <c r="I14" s="14">
        <v>-24.1</v>
      </c>
      <c r="J14" s="14">
        <v>-26.7</v>
      </c>
      <c r="K14" s="14">
        <v>-24.6</v>
      </c>
      <c r="L14" s="14">
        <v>-18.899999999999999</v>
      </c>
      <c r="M14" s="14">
        <v>-38.9</v>
      </c>
      <c r="N14" s="14">
        <v>-36.799999999999997</v>
      </c>
      <c r="O14" s="14">
        <v>-31.1</v>
      </c>
      <c r="P14" s="14">
        <v>-26.8</v>
      </c>
      <c r="Q14" s="14">
        <v>-48.3</v>
      </c>
      <c r="R14" s="39">
        <v>-34.4</v>
      </c>
      <c r="S14" s="14">
        <v>-26.2</v>
      </c>
      <c r="V14" s="12"/>
      <c r="W14" s="12"/>
      <c r="X14" s="14">
        <v>-2.2000000000000002</v>
      </c>
      <c r="Y14" s="14">
        <v>5.5</v>
      </c>
      <c r="Z14" s="14">
        <v>-18</v>
      </c>
      <c r="AA14" s="14">
        <v>-19</v>
      </c>
      <c r="AB14" s="14">
        <v>-41.6</v>
      </c>
      <c r="AC14" s="14">
        <v>-76.900000000000006</v>
      </c>
      <c r="AD14" s="14">
        <v>-88.7</v>
      </c>
      <c r="AE14" s="14">
        <v>-125.7</v>
      </c>
      <c r="AF14" s="15">
        <v>-136</v>
      </c>
      <c r="AG14" s="14">
        <f t="shared" ref="AG14:AP14" si="16">AG13*-0.2</f>
        <v>-150.63700000000003</v>
      </c>
      <c r="AH14" s="14">
        <f t="shared" si="16"/>
        <v>-172.42390000000009</v>
      </c>
      <c r="AI14" s="14">
        <f t="shared" si="16"/>
        <v>-198.28748500000012</v>
      </c>
      <c r="AJ14" s="14">
        <f t="shared" si="16"/>
        <v>-228.03060775000009</v>
      </c>
      <c r="AK14" s="14">
        <f t="shared" si="16"/>
        <v>-262.2351989125001</v>
      </c>
      <c r="AL14" s="14">
        <f t="shared" si="16"/>
        <v>-301.57047874937501</v>
      </c>
      <c r="AM14" s="14">
        <f t="shared" si="16"/>
        <v>-346.80605056178132</v>
      </c>
      <c r="AN14" s="14">
        <f t="shared" si="16"/>
        <v>-398.82695814604841</v>
      </c>
      <c r="AO14" s="14">
        <f t="shared" si="16"/>
        <v>-458.65100186795564</v>
      </c>
      <c r="AP14" s="14">
        <f t="shared" si="16"/>
        <v>-527.44865214814899</v>
      </c>
    </row>
    <row r="15" spans="1:204" x14ac:dyDescent="0.25">
      <c r="C15" s="1" t="s">
        <v>62</v>
      </c>
      <c r="D15" s="12">
        <f t="shared" ref="D15:Q15" si="17">SUM(D13:D14)</f>
        <v>52.730000000000004</v>
      </c>
      <c r="E15" s="12">
        <f t="shared" si="17"/>
        <v>100.30000000000001</v>
      </c>
      <c r="F15" s="12">
        <f t="shared" si="17"/>
        <v>87.699999999999989</v>
      </c>
      <c r="G15" s="12">
        <f t="shared" si="17"/>
        <v>55.300000000000011</v>
      </c>
      <c r="H15" s="12">
        <f t="shared" si="17"/>
        <v>50.699999999999989</v>
      </c>
      <c r="I15" s="12">
        <f t="shared" si="17"/>
        <v>92.299999999999983</v>
      </c>
      <c r="J15" s="12">
        <f t="shared" si="17"/>
        <v>103.19999999999997</v>
      </c>
      <c r="K15" s="12">
        <f t="shared" si="17"/>
        <v>93.200000000000017</v>
      </c>
      <c r="L15" s="12">
        <f t="shared" si="17"/>
        <v>72.399999999999977</v>
      </c>
      <c r="M15" s="12">
        <f t="shared" si="17"/>
        <v>148.70000000000002</v>
      </c>
      <c r="N15" s="12">
        <f t="shared" si="17"/>
        <v>141.39999999999998</v>
      </c>
      <c r="O15" s="12">
        <f t="shared" si="17"/>
        <v>118.90000000000003</v>
      </c>
      <c r="P15" s="12">
        <f t="shared" si="17"/>
        <v>102.89999999999999</v>
      </c>
      <c r="Q15" s="12">
        <f t="shared" si="17"/>
        <v>185.00000000000006</v>
      </c>
      <c r="R15" s="38">
        <f t="shared" ref="R15:S15" si="18">SUM(R13:R14)</f>
        <v>132.39999999999998</v>
      </c>
      <c r="S15" s="38">
        <f t="shared" si="18"/>
        <v>99.9</v>
      </c>
      <c r="T15" s="1"/>
      <c r="U15" s="14">
        <f>SUM(P15:S15)</f>
        <v>520.20000000000005</v>
      </c>
      <c r="V15" s="14"/>
      <c r="W15" s="14"/>
      <c r="X15" s="12">
        <f t="shared" ref="X15:AE15" si="19">SUM(X13:X14)</f>
        <v>-25.134999999999952</v>
      </c>
      <c r="Y15" s="12">
        <f t="shared" si="19"/>
        <v>52.48299999999999</v>
      </c>
      <c r="Z15" s="12">
        <f t="shared" si="19"/>
        <v>65.790000000000063</v>
      </c>
      <c r="AA15" s="12">
        <f t="shared" si="19"/>
        <v>67.812000000000054</v>
      </c>
      <c r="AB15" s="12">
        <f t="shared" si="19"/>
        <v>156.5</v>
      </c>
      <c r="AC15" s="12">
        <f t="shared" si="19"/>
        <v>293.79999999999995</v>
      </c>
      <c r="AD15" s="12">
        <f t="shared" si="19"/>
        <v>338.30000000000007</v>
      </c>
      <c r="AE15" s="12">
        <f t="shared" si="19"/>
        <v>481.40000000000003</v>
      </c>
      <c r="AF15" s="13">
        <f t="shared" ref="AF15:AP15" si="20">SUM(AF13:AF14)</f>
        <v>519</v>
      </c>
      <c r="AG15" s="12">
        <f t="shared" si="20"/>
        <v>602.54800000000012</v>
      </c>
      <c r="AH15" s="12">
        <f t="shared" si="20"/>
        <v>689.69560000000024</v>
      </c>
      <c r="AI15" s="12">
        <f t="shared" si="20"/>
        <v>793.14994000000047</v>
      </c>
      <c r="AJ15" s="12">
        <f t="shared" si="20"/>
        <v>912.12243100000035</v>
      </c>
      <c r="AK15" s="12">
        <f t="shared" si="20"/>
        <v>1048.9407956500004</v>
      </c>
      <c r="AL15" s="12">
        <f t="shared" si="20"/>
        <v>1206.2819149975001</v>
      </c>
      <c r="AM15" s="12">
        <f t="shared" si="20"/>
        <v>1387.224202247125</v>
      </c>
      <c r="AN15" s="12">
        <f t="shared" si="20"/>
        <v>1595.3078325841936</v>
      </c>
      <c r="AO15" s="12">
        <f t="shared" si="20"/>
        <v>1834.6040074718226</v>
      </c>
      <c r="AP15" s="12">
        <f t="shared" si="20"/>
        <v>2109.794608592596</v>
      </c>
      <c r="AQ15" s="12">
        <f>AP15*(1+$AS$19)</f>
        <v>2088.6966625066698</v>
      </c>
      <c r="AR15" s="12">
        <f t="shared" ref="AR15:DC15" si="21">AQ15*(1+$AS$19)</f>
        <v>2067.8096958816031</v>
      </c>
      <c r="AS15" s="12">
        <f t="shared" si="21"/>
        <v>2047.1315989227871</v>
      </c>
      <c r="AT15" s="12">
        <f t="shared" si="21"/>
        <v>2026.6602829335593</v>
      </c>
      <c r="AU15" s="12">
        <f t="shared" si="21"/>
        <v>2006.3936801042237</v>
      </c>
      <c r="AV15" s="12">
        <f t="shared" si="21"/>
        <v>1986.3297433031814</v>
      </c>
      <c r="AW15" s="12">
        <f t="shared" si="21"/>
        <v>1966.4664458701495</v>
      </c>
      <c r="AX15" s="12">
        <f t="shared" si="21"/>
        <v>1946.801781411448</v>
      </c>
      <c r="AY15" s="12">
        <f t="shared" si="21"/>
        <v>1927.3337635973335</v>
      </c>
      <c r="AZ15" s="12">
        <f t="shared" si="21"/>
        <v>1908.0604259613601</v>
      </c>
      <c r="BA15" s="12">
        <f t="shared" si="21"/>
        <v>1888.9798217017465</v>
      </c>
      <c r="BB15" s="12">
        <f t="shared" si="21"/>
        <v>1870.090023484729</v>
      </c>
      <c r="BC15" s="12">
        <f t="shared" si="21"/>
        <v>1851.3891232498818</v>
      </c>
      <c r="BD15" s="12">
        <f t="shared" si="21"/>
        <v>1832.875232017383</v>
      </c>
      <c r="BE15" s="12">
        <f t="shared" si="21"/>
        <v>1814.5464796972092</v>
      </c>
      <c r="BF15" s="12">
        <f t="shared" si="21"/>
        <v>1796.401014900237</v>
      </c>
      <c r="BG15" s="12">
        <f t="shared" si="21"/>
        <v>1778.4370047512346</v>
      </c>
      <c r="BH15" s="12">
        <f t="shared" si="21"/>
        <v>1760.6526347037222</v>
      </c>
      <c r="BI15" s="12">
        <f t="shared" si="21"/>
        <v>1743.046108356685</v>
      </c>
      <c r="BJ15" s="12">
        <f t="shared" si="21"/>
        <v>1725.6156472731182</v>
      </c>
      <c r="BK15" s="12">
        <f t="shared" si="21"/>
        <v>1708.359490800387</v>
      </c>
      <c r="BL15" s="12">
        <f t="shared" si="21"/>
        <v>1691.275895892383</v>
      </c>
      <c r="BM15" s="12">
        <f t="shared" si="21"/>
        <v>1674.3631369334591</v>
      </c>
      <c r="BN15" s="12">
        <f t="shared" si="21"/>
        <v>1657.6195055641244</v>
      </c>
      <c r="BO15" s="12">
        <f t="shared" si="21"/>
        <v>1641.0433105084833</v>
      </c>
      <c r="BP15" s="12">
        <f t="shared" si="21"/>
        <v>1624.6328774033984</v>
      </c>
      <c r="BQ15" s="12">
        <f t="shared" si="21"/>
        <v>1608.3865486293644</v>
      </c>
      <c r="BR15" s="12">
        <f t="shared" si="21"/>
        <v>1592.3026831430707</v>
      </c>
      <c r="BS15" s="12">
        <f t="shared" si="21"/>
        <v>1576.37965631164</v>
      </c>
      <c r="BT15" s="12">
        <f t="shared" si="21"/>
        <v>1560.6158597485237</v>
      </c>
      <c r="BU15" s="12">
        <f t="shared" si="21"/>
        <v>1545.0097011510384</v>
      </c>
      <c r="BV15" s="12">
        <f t="shared" si="21"/>
        <v>1529.5596041395279</v>
      </c>
      <c r="BW15" s="12">
        <f t="shared" si="21"/>
        <v>1514.2640080981325</v>
      </c>
      <c r="BX15" s="12">
        <f t="shared" si="21"/>
        <v>1499.1213680171511</v>
      </c>
      <c r="BY15" s="12">
        <f t="shared" si="21"/>
        <v>1484.1301543369796</v>
      </c>
      <c r="BZ15" s="12">
        <f t="shared" si="21"/>
        <v>1469.2888527936097</v>
      </c>
      <c r="CA15" s="12">
        <f t="shared" si="21"/>
        <v>1454.5959642656737</v>
      </c>
      <c r="CB15" s="12">
        <f t="shared" si="21"/>
        <v>1440.050004623017</v>
      </c>
      <c r="CC15" s="12">
        <f t="shared" si="21"/>
        <v>1425.6495045767867</v>
      </c>
      <c r="CD15" s="12">
        <f t="shared" si="21"/>
        <v>1411.3930095310188</v>
      </c>
      <c r="CE15" s="12">
        <f t="shared" si="21"/>
        <v>1397.2790794357086</v>
      </c>
      <c r="CF15" s="12">
        <f t="shared" si="21"/>
        <v>1383.3062886413516</v>
      </c>
      <c r="CG15" s="12">
        <f t="shared" si="21"/>
        <v>1369.4732257549381</v>
      </c>
      <c r="CH15" s="12">
        <f t="shared" si="21"/>
        <v>1355.7784934973886</v>
      </c>
      <c r="CI15" s="12">
        <f t="shared" si="21"/>
        <v>1342.2207085624148</v>
      </c>
      <c r="CJ15" s="12">
        <f t="shared" si="21"/>
        <v>1328.7985014767905</v>
      </c>
      <c r="CK15" s="12">
        <f t="shared" si="21"/>
        <v>1315.5105164620227</v>
      </c>
      <c r="CL15" s="12">
        <f t="shared" si="21"/>
        <v>1302.3554112974025</v>
      </c>
      <c r="CM15" s="12">
        <f t="shared" si="21"/>
        <v>1289.3318571844284</v>
      </c>
      <c r="CN15" s="12">
        <f t="shared" si="21"/>
        <v>1276.4385386125841</v>
      </c>
      <c r="CO15" s="12">
        <f t="shared" si="21"/>
        <v>1263.6741532264582</v>
      </c>
      <c r="CP15" s="12">
        <f t="shared" si="21"/>
        <v>1251.0374116941937</v>
      </c>
      <c r="CQ15" s="12">
        <f t="shared" si="21"/>
        <v>1238.5270375772518</v>
      </c>
      <c r="CR15" s="12">
        <f t="shared" si="21"/>
        <v>1226.1417672014793</v>
      </c>
      <c r="CS15" s="12">
        <f t="shared" si="21"/>
        <v>1213.8803495294644</v>
      </c>
      <c r="CT15" s="12">
        <f t="shared" si="21"/>
        <v>1201.7415460341697</v>
      </c>
      <c r="CU15" s="12">
        <f t="shared" si="21"/>
        <v>1189.724130573828</v>
      </c>
      <c r="CV15" s="12">
        <f t="shared" si="21"/>
        <v>1177.8268892680896</v>
      </c>
      <c r="CW15" s="12">
        <f t="shared" si="21"/>
        <v>1166.0486203754087</v>
      </c>
      <c r="CX15" s="12">
        <f t="shared" si="21"/>
        <v>1154.3881341716547</v>
      </c>
      <c r="CY15" s="12">
        <f t="shared" si="21"/>
        <v>1142.8442528299381</v>
      </c>
      <c r="CZ15" s="12">
        <f t="shared" si="21"/>
        <v>1131.4158103016387</v>
      </c>
      <c r="DA15" s="12">
        <f t="shared" si="21"/>
        <v>1120.1016521986223</v>
      </c>
      <c r="DB15" s="12">
        <f t="shared" si="21"/>
        <v>1108.9006356766361</v>
      </c>
      <c r="DC15" s="12">
        <f t="shared" si="21"/>
        <v>1097.8116293198698</v>
      </c>
      <c r="DD15" s="12">
        <f t="shared" ref="DD15:FO15" si="22">DC15*(1+$AS$19)</f>
        <v>1086.833513026671</v>
      </c>
      <c r="DE15" s="12">
        <f t="shared" si="22"/>
        <v>1075.9651778964042</v>
      </c>
      <c r="DF15" s="12">
        <f t="shared" si="22"/>
        <v>1065.2055261174401</v>
      </c>
      <c r="DG15" s="12">
        <f t="shared" si="22"/>
        <v>1054.5534708562657</v>
      </c>
      <c r="DH15" s="12">
        <f t="shared" si="22"/>
        <v>1044.007936147703</v>
      </c>
      <c r="DI15" s="12">
        <f t="shared" si="22"/>
        <v>1033.567856786226</v>
      </c>
      <c r="DJ15" s="12">
        <f t="shared" si="22"/>
        <v>1023.2321782183637</v>
      </c>
      <c r="DK15" s="12">
        <f t="shared" si="22"/>
        <v>1012.9998564361802</v>
      </c>
      <c r="DL15" s="12">
        <f t="shared" si="22"/>
        <v>1002.8698578718183</v>
      </c>
      <c r="DM15" s="12">
        <f t="shared" si="22"/>
        <v>992.84115929310019</v>
      </c>
      <c r="DN15" s="12">
        <f t="shared" si="22"/>
        <v>982.91274770016923</v>
      </c>
      <c r="DO15" s="12">
        <f t="shared" si="22"/>
        <v>973.08362022316749</v>
      </c>
      <c r="DP15" s="12">
        <f t="shared" si="22"/>
        <v>963.35278402093581</v>
      </c>
      <c r="DQ15" s="12">
        <f t="shared" si="22"/>
        <v>953.71925618072646</v>
      </c>
      <c r="DR15" s="12">
        <f t="shared" si="22"/>
        <v>944.18206361891919</v>
      </c>
      <c r="DS15" s="12">
        <f t="shared" si="22"/>
        <v>934.74024298273002</v>
      </c>
      <c r="DT15" s="12">
        <f t="shared" si="22"/>
        <v>925.39284055290273</v>
      </c>
      <c r="DU15" s="12">
        <f t="shared" si="22"/>
        <v>916.13891214737373</v>
      </c>
      <c r="DV15" s="12">
        <f t="shared" si="22"/>
        <v>906.97752302590004</v>
      </c>
      <c r="DW15" s="12">
        <f t="shared" si="22"/>
        <v>897.90774779564106</v>
      </c>
      <c r="DX15" s="12">
        <f t="shared" si="22"/>
        <v>888.92867031768469</v>
      </c>
      <c r="DY15" s="12">
        <f t="shared" si="22"/>
        <v>880.03938361450787</v>
      </c>
      <c r="DZ15" s="12">
        <f t="shared" si="22"/>
        <v>871.23898977836279</v>
      </c>
      <c r="EA15" s="12">
        <f t="shared" si="22"/>
        <v>862.52659988057917</v>
      </c>
      <c r="EB15" s="12">
        <f t="shared" si="22"/>
        <v>853.90133388177333</v>
      </c>
      <c r="EC15" s="12">
        <f t="shared" si="22"/>
        <v>845.36232054295556</v>
      </c>
      <c r="ED15" s="12">
        <f t="shared" si="22"/>
        <v>836.90869733752595</v>
      </c>
      <c r="EE15" s="12">
        <f t="shared" si="22"/>
        <v>828.53961036415069</v>
      </c>
      <c r="EF15" s="12">
        <f t="shared" si="22"/>
        <v>820.25421426050923</v>
      </c>
      <c r="EG15" s="12">
        <f t="shared" si="22"/>
        <v>812.0516721179041</v>
      </c>
      <c r="EH15" s="12">
        <f t="shared" si="22"/>
        <v>803.9311553967251</v>
      </c>
      <c r="EI15" s="12">
        <f t="shared" si="22"/>
        <v>795.89184384275779</v>
      </c>
      <c r="EJ15" s="12">
        <f t="shared" si="22"/>
        <v>787.93292540433026</v>
      </c>
      <c r="EK15" s="12">
        <f t="shared" si="22"/>
        <v>780.05359615028692</v>
      </c>
      <c r="EL15" s="12">
        <f t="shared" si="22"/>
        <v>772.25306018878405</v>
      </c>
      <c r="EM15" s="12">
        <f t="shared" si="22"/>
        <v>764.53052958689625</v>
      </c>
      <c r="EN15" s="12">
        <f t="shared" si="22"/>
        <v>756.88522429102727</v>
      </c>
      <c r="EO15" s="12">
        <f t="shared" si="22"/>
        <v>749.31637204811705</v>
      </c>
      <c r="EP15" s="12">
        <f t="shared" si="22"/>
        <v>741.82320832763583</v>
      </c>
      <c r="EQ15" s="12">
        <f t="shared" si="22"/>
        <v>734.40497624435943</v>
      </c>
      <c r="ER15" s="12">
        <f t="shared" si="22"/>
        <v>727.06092648191589</v>
      </c>
      <c r="ES15" s="12">
        <f t="shared" si="22"/>
        <v>719.79031721709669</v>
      </c>
      <c r="ET15" s="12">
        <f t="shared" si="22"/>
        <v>712.5924140449257</v>
      </c>
      <c r="EU15" s="12">
        <f t="shared" si="22"/>
        <v>705.46648990447648</v>
      </c>
      <c r="EV15" s="12">
        <f t="shared" si="22"/>
        <v>698.41182500543175</v>
      </c>
      <c r="EW15" s="12">
        <f t="shared" si="22"/>
        <v>691.42770675537747</v>
      </c>
      <c r="EX15" s="12">
        <f t="shared" si="22"/>
        <v>684.51342968782365</v>
      </c>
      <c r="EY15" s="12">
        <f t="shared" si="22"/>
        <v>677.66829539094545</v>
      </c>
      <c r="EZ15" s="12">
        <f t="shared" si="22"/>
        <v>670.89161243703597</v>
      </c>
      <c r="FA15" s="12">
        <f t="shared" si="22"/>
        <v>664.1826963126656</v>
      </c>
      <c r="FB15" s="12">
        <f t="shared" si="22"/>
        <v>657.54086934953898</v>
      </c>
      <c r="FC15" s="12">
        <f t="shared" si="22"/>
        <v>650.96546065604355</v>
      </c>
      <c r="FD15" s="12">
        <f t="shared" si="22"/>
        <v>644.45580604948316</v>
      </c>
      <c r="FE15" s="12">
        <f t="shared" si="22"/>
        <v>638.01124798898832</v>
      </c>
      <c r="FF15" s="12">
        <f t="shared" si="22"/>
        <v>631.63113550909839</v>
      </c>
      <c r="FG15" s="12">
        <f t="shared" si="22"/>
        <v>625.3148241540074</v>
      </c>
      <c r="FH15" s="12">
        <f t="shared" si="22"/>
        <v>619.06167591246731</v>
      </c>
      <c r="FI15" s="12">
        <f t="shared" si="22"/>
        <v>612.87105915334269</v>
      </c>
      <c r="FJ15" s="12">
        <f t="shared" si="22"/>
        <v>606.74234856180931</v>
      </c>
      <c r="FK15" s="12">
        <f t="shared" si="22"/>
        <v>600.67492507619124</v>
      </c>
      <c r="FL15" s="12">
        <f t="shared" si="22"/>
        <v>594.66817582542933</v>
      </c>
      <c r="FM15" s="12">
        <f t="shared" si="22"/>
        <v>588.72149406717506</v>
      </c>
      <c r="FN15" s="12">
        <f t="shared" si="22"/>
        <v>582.83427912650325</v>
      </c>
      <c r="FO15" s="12">
        <f t="shared" si="22"/>
        <v>577.00593633523818</v>
      </c>
      <c r="FP15" s="12">
        <f t="shared" ref="FP15:GV15" si="23">FO15*(1+$AS$19)</f>
        <v>571.23587697188577</v>
      </c>
      <c r="FQ15" s="12">
        <f t="shared" si="23"/>
        <v>565.52351820216688</v>
      </c>
      <c r="FR15" s="12">
        <f t="shared" si="23"/>
        <v>559.86828302014521</v>
      </c>
      <c r="FS15" s="12">
        <f t="shared" si="23"/>
        <v>554.26960018994373</v>
      </c>
      <c r="FT15" s="12">
        <f t="shared" si="23"/>
        <v>548.72690418804427</v>
      </c>
      <c r="FU15" s="12">
        <f t="shared" si="23"/>
        <v>543.23963514616378</v>
      </c>
      <c r="FV15" s="12">
        <f t="shared" si="23"/>
        <v>537.80723879470213</v>
      </c>
      <c r="FW15" s="12">
        <f t="shared" si="23"/>
        <v>532.42916640675514</v>
      </c>
      <c r="FX15" s="12">
        <f t="shared" si="23"/>
        <v>527.10487474268757</v>
      </c>
      <c r="FY15" s="12">
        <f t="shared" si="23"/>
        <v>521.83382599526067</v>
      </c>
      <c r="FZ15" s="12">
        <f t="shared" si="23"/>
        <v>516.61548773530808</v>
      </c>
      <c r="GA15" s="12">
        <f t="shared" si="23"/>
        <v>511.44933285795497</v>
      </c>
      <c r="GB15" s="12">
        <f t="shared" si="23"/>
        <v>506.33483952937542</v>
      </c>
      <c r="GC15" s="12">
        <f t="shared" si="23"/>
        <v>501.27149113408166</v>
      </c>
      <c r="GD15" s="12">
        <f t="shared" si="23"/>
        <v>496.25877622274083</v>
      </c>
      <c r="GE15" s="12">
        <f t="shared" si="23"/>
        <v>491.29618846051341</v>
      </c>
      <c r="GF15" s="12">
        <f t="shared" si="23"/>
        <v>486.38322657590828</v>
      </c>
      <c r="GG15" s="12">
        <f t="shared" si="23"/>
        <v>481.51939431014921</v>
      </c>
      <c r="GH15" s="12">
        <f t="shared" si="23"/>
        <v>476.70420036704769</v>
      </c>
      <c r="GI15" s="12">
        <f t="shared" si="23"/>
        <v>471.93715836337719</v>
      </c>
      <c r="GJ15" s="12">
        <f t="shared" si="23"/>
        <v>467.21778677974339</v>
      </c>
      <c r="GK15" s="12">
        <f t="shared" si="23"/>
        <v>462.54560891194598</v>
      </c>
      <c r="GL15" s="12">
        <f t="shared" si="23"/>
        <v>457.92015282282654</v>
      </c>
      <c r="GM15" s="12">
        <f t="shared" si="23"/>
        <v>453.34095129459826</v>
      </c>
      <c r="GN15" s="12">
        <f t="shared" si="23"/>
        <v>448.80754178165228</v>
      </c>
      <c r="GO15" s="12">
        <f t="shared" si="23"/>
        <v>444.31946636383577</v>
      </c>
      <c r="GP15" s="12">
        <f t="shared" si="23"/>
        <v>439.87627170019744</v>
      </c>
      <c r="GQ15" s="12">
        <f t="shared" si="23"/>
        <v>435.47750898319543</v>
      </c>
      <c r="GR15" s="12">
        <f t="shared" si="23"/>
        <v>431.12273389336349</v>
      </c>
      <c r="GS15" s="12">
        <f t="shared" si="23"/>
        <v>426.81150655442985</v>
      </c>
      <c r="GT15" s="12">
        <f t="shared" si="23"/>
        <v>422.54339148888556</v>
      </c>
      <c r="GU15" s="12">
        <f t="shared" si="23"/>
        <v>418.31795757399669</v>
      </c>
      <c r="GV15" s="12">
        <f t="shared" si="23"/>
        <v>414.13477799825671</v>
      </c>
    </row>
    <row r="16" spans="1:204" x14ac:dyDescent="0.25">
      <c r="C16" s="2" t="s">
        <v>63</v>
      </c>
      <c r="D16" s="24">
        <v>101.131478</v>
      </c>
      <c r="E16" s="24">
        <v>100.822301</v>
      </c>
      <c r="F16" s="24">
        <v>99.433622999999997</v>
      </c>
      <c r="G16" s="24">
        <v>98.838795000000005</v>
      </c>
      <c r="H16" s="24">
        <v>98.236929000000003</v>
      </c>
      <c r="I16" s="24">
        <v>97.681991999999994</v>
      </c>
      <c r="J16" s="24">
        <v>97.042210999999995</v>
      </c>
      <c r="K16" s="24">
        <v>96.535933</v>
      </c>
      <c r="L16" s="24">
        <v>96.146180999999999</v>
      </c>
      <c r="M16" s="24">
        <v>96.146298000000002</v>
      </c>
      <c r="N16" s="24">
        <v>95.812287999999995</v>
      </c>
      <c r="O16" s="24">
        <v>95.566788000000003</v>
      </c>
      <c r="P16" s="24">
        <v>95.257288000000003</v>
      </c>
      <c r="Q16" s="24">
        <v>95.008346000000003</v>
      </c>
      <c r="R16" s="40">
        <v>95.008346000000003</v>
      </c>
      <c r="S16" s="40">
        <v>94.058502000000004</v>
      </c>
      <c r="V16" s="24"/>
      <c r="W16" s="24"/>
      <c r="X16" s="24">
        <v>100.719421</v>
      </c>
      <c r="Y16" s="24">
        <v>100.719421</v>
      </c>
      <c r="Z16" s="24">
        <v>100.719421</v>
      </c>
      <c r="AA16" s="24">
        <v>100.719421</v>
      </c>
      <c r="AB16" s="24">
        <v>100.999394</v>
      </c>
      <c r="AC16" s="24">
        <v>100.34598200000001</v>
      </c>
      <c r="AD16" s="24">
        <v>97.638240999999994</v>
      </c>
      <c r="AE16" s="24">
        <v>96.146298000000002</v>
      </c>
      <c r="AF16" s="5">
        <v>96.146298000000002</v>
      </c>
      <c r="AG16" s="40">
        <v>94.058502000000004</v>
      </c>
      <c r="AH16" s="40">
        <v>94.058502000000004</v>
      </c>
      <c r="AI16" s="40">
        <v>94.058502000000004</v>
      </c>
      <c r="AJ16" s="40">
        <v>94.058502000000004</v>
      </c>
      <c r="AK16" s="40">
        <v>94.058502000000004</v>
      </c>
      <c r="AL16" s="40">
        <v>94.058502000000004</v>
      </c>
      <c r="AM16" s="40">
        <v>94.058502000000004</v>
      </c>
      <c r="AN16" s="40">
        <v>94.058502000000004</v>
      </c>
      <c r="AO16" s="40">
        <v>94.058502000000004</v>
      </c>
      <c r="AP16" s="40">
        <v>94.058502000000004</v>
      </c>
    </row>
    <row r="17" spans="3:45" x14ac:dyDescent="0.25">
      <c r="C17" s="2" t="s">
        <v>64</v>
      </c>
      <c r="D17" s="25">
        <f t="shared" ref="D17:P17" si="24">D15/D16</f>
        <v>0.52140046840806586</v>
      </c>
      <c r="E17" s="25">
        <f t="shared" si="24"/>
        <v>0.99481958857495245</v>
      </c>
      <c r="F17" s="25">
        <f t="shared" si="24"/>
        <v>0.88199541919537605</v>
      </c>
      <c r="G17" s="25">
        <f t="shared" si="24"/>
        <v>0.55949690604787328</v>
      </c>
      <c r="H17" s="25">
        <f t="shared" si="24"/>
        <v>0.51609919524255476</v>
      </c>
      <c r="I17" s="25">
        <f t="shared" si="24"/>
        <v>0.9449029254030773</v>
      </c>
      <c r="J17" s="25">
        <f t="shared" si="24"/>
        <v>1.0634547475427985</v>
      </c>
      <c r="K17" s="25">
        <f t="shared" si="24"/>
        <v>0.96544361362312636</v>
      </c>
      <c r="L17" s="25">
        <f t="shared" si="24"/>
        <v>0.75302002894945952</v>
      </c>
      <c r="M17" s="25">
        <f t="shared" si="24"/>
        <v>1.546601409447923</v>
      </c>
      <c r="N17" s="25">
        <f t="shared" si="24"/>
        <v>1.4758023521993335</v>
      </c>
      <c r="O17" s="25">
        <f t="shared" si="24"/>
        <v>1.2441560764812984</v>
      </c>
      <c r="P17" s="25">
        <f t="shared" si="24"/>
        <v>1.0802323072645108</v>
      </c>
      <c r="Q17" s="25">
        <f>Q15/Q16</f>
        <v>1.9471973546408234</v>
      </c>
      <c r="R17" s="41">
        <f>R15/R16</f>
        <v>1.3935617824564588</v>
      </c>
      <c r="S17" s="41">
        <f>S15/S16</f>
        <v>1.0621049440060186</v>
      </c>
      <c r="U17" s="25">
        <f>SUM(P17:S17)</f>
        <v>5.4830963883678114</v>
      </c>
      <c r="V17" s="25"/>
      <c r="W17" s="25"/>
      <c r="X17" s="25">
        <f t="shared" ref="X17:AC17" si="25">X15/X16</f>
        <v>-0.24955465143112721</v>
      </c>
      <c r="Y17" s="25">
        <f t="shared" si="25"/>
        <v>0.52108123218857649</v>
      </c>
      <c r="Z17" s="25">
        <f t="shared" si="25"/>
        <v>0.65320073672782597</v>
      </c>
      <c r="AA17" s="25">
        <f t="shared" si="25"/>
        <v>0.67327630884613665</v>
      </c>
      <c r="AB17" s="25">
        <f t="shared" si="25"/>
        <v>1.549514247580535</v>
      </c>
      <c r="AC17" s="25">
        <f t="shared" si="25"/>
        <v>2.9278700964827862</v>
      </c>
      <c r="AD17" s="25">
        <f>AD15/AD16</f>
        <v>3.4648309569608089</v>
      </c>
      <c r="AE17" s="25">
        <f>AE15/AE16</f>
        <v>5.0069530498199732</v>
      </c>
      <c r="AF17" s="20">
        <v>5.48</v>
      </c>
      <c r="AG17" s="25">
        <f t="shared" ref="AF17:AP17" si="26">AG15/AG16</f>
        <v>6.4060981962055923</v>
      </c>
      <c r="AH17" s="25">
        <f t="shared" si="26"/>
        <v>7.3326236898818591</v>
      </c>
      <c r="AI17" s="25">
        <f t="shared" si="26"/>
        <v>8.4325172433641402</v>
      </c>
      <c r="AJ17" s="25">
        <f t="shared" si="26"/>
        <v>9.6973948298687596</v>
      </c>
      <c r="AK17" s="25">
        <f t="shared" si="26"/>
        <v>11.152004054349073</v>
      </c>
      <c r="AL17" s="25">
        <f t="shared" si="26"/>
        <v>12.82480466250143</v>
      </c>
      <c r="AM17" s="25">
        <f t="shared" si="26"/>
        <v>14.748525361876643</v>
      </c>
      <c r="AN17" s="25">
        <f t="shared" si="26"/>
        <v>16.960804166158137</v>
      </c>
      <c r="AO17" s="25">
        <f t="shared" si="26"/>
        <v>19.504924791081859</v>
      </c>
      <c r="AP17" s="25">
        <f t="shared" si="26"/>
        <v>22.430663509744136</v>
      </c>
    </row>
    <row r="18" spans="3:45" x14ac:dyDescent="0.25"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39"/>
      <c r="S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8"/>
      <c r="AG18" s="9"/>
      <c r="AH18" s="9"/>
      <c r="AI18" s="9"/>
      <c r="AJ18" s="9"/>
      <c r="AK18" s="9"/>
      <c r="AL18" s="9"/>
      <c r="AM18" s="9"/>
      <c r="AN18" s="9"/>
      <c r="AO18" s="9"/>
      <c r="AP18" s="9"/>
      <c r="AR18" s="2" t="s">
        <v>105</v>
      </c>
      <c r="AS18" s="32">
        <v>0.08</v>
      </c>
    </row>
    <row r="19" spans="3:45" x14ac:dyDescent="0.25">
      <c r="C19" s="1" t="s">
        <v>38</v>
      </c>
      <c r="D19" s="14"/>
      <c r="E19" s="14"/>
      <c r="F19" s="14"/>
      <c r="G19" s="14"/>
      <c r="H19" s="26">
        <f t="shared" ref="H19:P19" si="27">(H4-D4)/D4</f>
        <v>5.7745696835091648E-2</v>
      </c>
      <c r="I19" s="26">
        <f t="shared" si="27"/>
        <v>-7.7634011090573852E-3</v>
      </c>
      <c r="J19" s="26">
        <f t="shared" si="27"/>
        <v>0.13624999999999995</v>
      </c>
      <c r="K19" s="26">
        <f t="shared" si="27"/>
        <v>0.36534653465346539</v>
      </c>
      <c r="L19" s="26">
        <f t="shared" si="27"/>
        <v>0.33333333333333331</v>
      </c>
      <c r="M19" s="26">
        <f t="shared" si="27"/>
        <v>0.51117734724292119</v>
      </c>
      <c r="N19" s="26">
        <f t="shared" si="27"/>
        <v>0.3663366336633665</v>
      </c>
      <c r="O19" s="26">
        <f t="shared" si="27"/>
        <v>0.32160986221899923</v>
      </c>
      <c r="P19" s="26">
        <f t="shared" si="27"/>
        <v>0.29527559055118108</v>
      </c>
      <c r="Q19" s="26">
        <f>(Q4-M4)/M4</f>
        <v>0.19329388560157784</v>
      </c>
      <c r="R19" s="42">
        <f>(R4-N4)/N4</f>
        <v>-1.4492753623188496E-2</v>
      </c>
      <c r="S19" s="26">
        <f>(S4-O4)/O4</f>
        <v>-4.5267489711934158E-2</v>
      </c>
      <c r="V19" s="26"/>
      <c r="W19" s="26"/>
      <c r="X19" s="26" t="e">
        <f t="shared" ref="X19:AD19" si="28">(X4-W4)/W4</f>
        <v>#DIV/0!</v>
      </c>
      <c r="Y19" s="26">
        <f t="shared" si="28"/>
        <v>0.17434649501530725</v>
      </c>
      <c r="Z19" s="26">
        <f t="shared" si="28"/>
        <v>0.19350000000000009</v>
      </c>
      <c r="AA19" s="26">
        <f t="shared" si="28"/>
        <v>0.22285821820063662</v>
      </c>
      <c r="AB19" s="26">
        <f t="shared" si="28"/>
        <v>0.33719034306379447</v>
      </c>
      <c r="AC19" s="26">
        <f t="shared" si="28"/>
        <v>0.22181120701465951</v>
      </c>
      <c r="AD19" s="26">
        <f t="shared" si="28"/>
        <v>0.12917694550347616</v>
      </c>
      <c r="AE19" s="26">
        <f>(AE4-AD4)/AD4</f>
        <v>0.38699106256206561</v>
      </c>
      <c r="AF19" s="28">
        <f t="shared" ref="AF19:AP19" si="29">(AF4-AE4)/AE4</f>
        <v>9.4007302928331024E-2</v>
      </c>
      <c r="AG19" s="26">
        <f t="shared" si="29"/>
        <v>0.10000000000000012</v>
      </c>
      <c r="AH19" s="26">
        <f t="shared" si="29"/>
        <v>0.12000000000000006</v>
      </c>
      <c r="AI19" s="26">
        <f t="shared" si="29"/>
        <v>0.14999999999999994</v>
      </c>
      <c r="AJ19" s="26">
        <f t="shared" si="29"/>
        <v>0.14999999999999997</v>
      </c>
      <c r="AK19" s="26">
        <f t="shared" si="29"/>
        <v>0.14999999999999986</v>
      </c>
      <c r="AL19" s="26">
        <f t="shared" si="29"/>
        <v>0.14999999999999988</v>
      </c>
      <c r="AM19" s="26">
        <f t="shared" si="29"/>
        <v>0.14999999999999997</v>
      </c>
      <c r="AN19" s="26">
        <f t="shared" si="29"/>
        <v>0.14999999999999986</v>
      </c>
      <c r="AO19" s="26">
        <f t="shared" si="29"/>
        <v>0.15000000000000002</v>
      </c>
      <c r="AP19" s="26">
        <f t="shared" si="29"/>
        <v>0.14999999999999991</v>
      </c>
      <c r="AR19" s="2" t="s">
        <v>106</v>
      </c>
      <c r="AS19" s="32">
        <v>-0.01</v>
      </c>
    </row>
    <row r="20" spans="3:45" x14ac:dyDescent="0.25">
      <c r="C20" s="1" t="s">
        <v>104</v>
      </c>
      <c r="D20" s="14"/>
      <c r="E20" s="14"/>
      <c r="F20" s="14"/>
      <c r="G20" s="14"/>
      <c r="H20" s="26">
        <f t="shared" ref="H20:P20" si="30">(H10-D10)/D10</f>
        <v>9.8689956331877826E-2</v>
      </c>
      <c r="I20" s="26">
        <f t="shared" si="30"/>
        <v>2.0604395604395604E-2</v>
      </c>
      <c r="J20" s="26">
        <f t="shared" si="30"/>
        <v>7.0270270270270233E-2</v>
      </c>
      <c r="K20" s="26">
        <f t="shared" si="30"/>
        <v>0.18918918918918934</v>
      </c>
      <c r="L20" s="26">
        <f t="shared" si="30"/>
        <v>0.26391096979332285</v>
      </c>
      <c r="M20" s="26">
        <f t="shared" si="30"/>
        <v>0.43135935397039027</v>
      </c>
      <c r="N20" s="26">
        <f t="shared" si="30"/>
        <v>0.35714285714285737</v>
      </c>
      <c r="O20" s="26">
        <f t="shared" si="30"/>
        <v>0.34974747474747458</v>
      </c>
      <c r="P20" s="26">
        <f t="shared" si="30"/>
        <v>0.26037735849056587</v>
      </c>
      <c r="Q20" s="26">
        <f>(Q10-M10)/M10</f>
        <v>0.16737188528443803</v>
      </c>
      <c r="R20" s="42">
        <f>(R10-N10)/N10</f>
        <v>6.1137692716639928E-2</v>
      </c>
      <c r="S20" s="26">
        <f>(S10-O10)/O10</f>
        <v>4.0224508886810215E-2</v>
      </c>
      <c r="V20" s="26"/>
      <c r="W20" s="26"/>
      <c r="X20" s="26"/>
      <c r="Y20" s="26">
        <f>(Y10-X10)/X10</f>
        <v>-1.2611373165618339E-2</v>
      </c>
      <c r="Z20" s="26">
        <f t="shared" ref="Z20:AP20" si="31">(Z10-Y10)/Y10</f>
        <v>0.16736555750920595</v>
      </c>
      <c r="AA20" s="26">
        <f t="shared" si="31"/>
        <v>0.24818758721037631</v>
      </c>
      <c r="AB20" s="26">
        <f t="shared" si="31"/>
        <v>0.16253918959224614</v>
      </c>
      <c r="AC20" s="26">
        <f t="shared" si="31"/>
        <v>2.6831179005092028E-2</v>
      </c>
      <c r="AD20" s="26">
        <f t="shared" si="31"/>
        <v>9.1359908449361024E-2</v>
      </c>
      <c r="AE20" s="26">
        <f t="shared" si="31"/>
        <v>0.35197483397413509</v>
      </c>
      <c r="AF20" s="28">
        <f t="shared" si="31"/>
        <v>0.12590486039296792</v>
      </c>
      <c r="AG20" s="26">
        <f t="shared" si="31"/>
        <v>6.5000000000000016E-2</v>
      </c>
      <c r="AH20" s="26">
        <f t="shared" si="31"/>
        <v>9.999999999999995E-2</v>
      </c>
      <c r="AI20" s="26">
        <f t="shared" si="31"/>
        <v>0.14999999999999977</v>
      </c>
      <c r="AJ20" s="26">
        <f t="shared" si="31"/>
        <v>0.15000000000000011</v>
      </c>
      <c r="AK20" s="26">
        <f t="shared" si="31"/>
        <v>0.14999999999999983</v>
      </c>
      <c r="AL20" s="26">
        <f t="shared" si="31"/>
        <v>0.14999999999999997</v>
      </c>
      <c r="AM20" s="26">
        <f t="shared" si="31"/>
        <v>0.14999999999999991</v>
      </c>
      <c r="AN20" s="26">
        <f t="shared" si="31"/>
        <v>0.14999999999999994</v>
      </c>
      <c r="AO20" s="26">
        <f t="shared" si="31"/>
        <v>0.15000000000000011</v>
      </c>
      <c r="AP20" s="26">
        <f t="shared" si="31"/>
        <v>0.14999999999999974</v>
      </c>
      <c r="AR20" s="31" t="s">
        <v>107</v>
      </c>
      <c r="AS20" s="33">
        <f>NPV(AS18,AF15:GV15)</f>
        <v>17368.825785183388</v>
      </c>
    </row>
    <row r="21" spans="3:45" x14ac:dyDescent="0.25">
      <c r="C21" s="2" t="s">
        <v>39</v>
      </c>
      <c r="D21" s="18">
        <f t="shared" ref="D21:Q21" si="32">D11/D4</f>
        <v>0.37812326485285952</v>
      </c>
      <c r="E21" s="18">
        <f t="shared" si="32"/>
        <v>0.47245841035120151</v>
      </c>
      <c r="F21" s="18">
        <f t="shared" si="32"/>
        <v>0.46583333333333332</v>
      </c>
      <c r="G21" s="18">
        <f t="shared" si="32"/>
        <v>0.35693069306930697</v>
      </c>
      <c r="H21" s="18">
        <f t="shared" si="32"/>
        <v>0.35748031496062987</v>
      </c>
      <c r="I21" s="18">
        <f t="shared" si="32"/>
        <v>0.4549180327868852</v>
      </c>
      <c r="J21" s="18">
        <f t="shared" si="32"/>
        <v>0.50348368170150348</v>
      </c>
      <c r="K21" s="18">
        <f t="shared" si="32"/>
        <v>0.44017403915881076</v>
      </c>
      <c r="L21" s="18">
        <f t="shared" si="32"/>
        <v>0.38937007874015739</v>
      </c>
      <c r="M21" s="18">
        <f t="shared" si="32"/>
        <v>0.48224852071005919</v>
      </c>
      <c r="N21" s="18">
        <f t="shared" si="32"/>
        <v>0.49838969404186789</v>
      </c>
      <c r="O21" s="18">
        <f t="shared" si="32"/>
        <v>0.42139917695473256</v>
      </c>
      <c r="P21" s="18">
        <f t="shared" si="32"/>
        <v>0.41033434650455924</v>
      </c>
      <c r="Q21" s="18">
        <f t="shared" si="32"/>
        <v>0.49111570247933894</v>
      </c>
      <c r="R21" s="43">
        <f t="shared" ref="R21:S21" si="33">R11/R4</f>
        <v>0.46650326797385616</v>
      </c>
      <c r="S21" s="18">
        <f t="shared" si="33"/>
        <v>0.37183908045977015</v>
      </c>
      <c r="V21" s="18"/>
      <c r="W21" s="18"/>
      <c r="X21" s="18">
        <f t="shared" ref="X21:AP21" si="34">X11/X4</f>
        <v>4.1431823534029515E-2</v>
      </c>
      <c r="Y21" s="18">
        <f t="shared" si="34"/>
        <v>0.19403743315508021</v>
      </c>
      <c r="Z21" s="18">
        <f t="shared" si="34"/>
        <v>0.22131913282508431</v>
      </c>
      <c r="AA21" s="18">
        <f t="shared" si="34"/>
        <v>0.20250217094198739</v>
      </c>
      <c r="AB21" s="18">
        <f t="shared" si="34"/>
        <v>0.30675434991094674</v>
      </c>
      <c r="AC21" s="18">
        <f t="shared" si="34"/>
        <v>0.42330118860731109</v>
      </c>
      <c r="AD21" s="18">
        <f t="shared" si="34"/>
        <v>0.44468718967229404</v>
      </c>
      <c r="AE21" s="18">
        <f t="shared" si="34"/>
        <v>0.45378391923820438</v>
      </c>
      <c r="AF21" s="19">
        <f t="shared" si="34"/>
        <v>0.44044502617801046</v>
      </c>
      <c r="AG21" s="18">
        <f t="shared" si="34"/>
        <v>0.44811101856258928</v>
      </c>
      <c r="AH21" s="18">
        <f t="shared" si="34"/>
        <v>0.45796617894540026</v>
      </c>
      <c r="AI21" s="18">
        <f t="shared" si="34"/>
        <v>0.45796617894540032</v>
      </c>
      <c r="AJ21" s="18">
        <f t="shared" si="34"/>
        <v>0.45796617894540026</v>
      </c>
      <c r="AK21" s="18">
        <f t="shared" si="34"/>
        <v>0.45796617894540032</v>
      </c>
      <c r="AL21" s="18">
        <f t="shared" si="34"/>
        <v>0.45796617894540026</v>
      </c>
      <c r="AM21" s="18">
        <f t="shared" si="34"/>
        <v>0.45796617894540026</v>
      </c>
      <c r="AN21" s="18">
        <f t="shared" si="34"/>
        <v>0.45796617894540026</v>
      </c>
      <c r="AO21" s="18">
        <f t="shared" si="34"/>
        <v>0.4579661789454002</v>
      </c>
      <c r="AP21" s="18">
        <f t="shared" si="34"/>
        <v>0.45796617894540026</v>
      </c>
      <c r="AR21" s="2" t="s">
        <v>2</v>
      </c>
      <c r="AS21" s="9">
        <v>95.008346000000003</v>
      </c>
    </row>
    <row r="22" spans="3:45" x14ac:dyDescent="0.25">
      <c r="C22" s="2" t="s">
        <v>43</v>
      </c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38"/>
      <c r="S22" s="12"/>
      <c r="V22" s="12"/>
      <c r="W22" s="12"/>
      <c r="X22" s="18"/>
      <c r="Y22" s="18"/>
      <c r="Z22" s="18"/>
      <c r="AA22" s="18"/>
      <c r="AB22" s="18"/>
      <c r="AC22" s="18">
        <f>AC15/G43</f>
        <v>0.20506735534305853</v>
      </c>
      <c r="AD22" s="18">
        <f>AD15/K43</f>
        <v>0.26857732613528112</v>
      </c>
      <c r="AE22" s="18">
        <f>AE15/O43</f>
        <v>0.38552094177945062</v>
      </c>
      <c r="AR22" s="2" t="s">
        <v>108</v>
      </c>
      <c r="AS22" s="9">
        <f>AS20/AS21</f>
        <v>182.81368444392652</v>
      </c>
    </row>
    <row r="23" spans="3:45" x14ac:dyDescent="0.25"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38"/>
      <c r="S23" s="12"/>
      <c r="V23" s="12"/>
      <c r="W23" s="12"/>
      <c r="X23" s="18"/>
      <c r="Y23" s="18"/>
      <c r="Z23" s="18"/>
      <c r="AA23" s="18"/>
      <c r="AB23" s="18"/>
      <c r="AC23" s="18"/>
      <c r="AD23" s="18"/>
      <c r="AE23" s="18"/>
      <c r="AR23" s="1" t="s">
        <v>109</v>
      </c>
      <c r="AS23" s="26">
        <f>(AS22-B4)/B4</f>
        <v>0.27396295779739732</v>
      </c>
    </row>
    <row r="24" spans="3:45" x14ac:dyDescent="0.25">
      <c r="C24" s="2" t="s">
        <v>111</v>
      </c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38"/>
      <c r="S24" s="12">
        <v>153.69999999999999</v>
      </c>
      <c r="V24" s="12"/>
      <c r="W24" s="12"/>
      <c r="X24" s="18"/>
      <c r="Y24" s="18"/>
      <c r="Z24" s="18"/>
      <c r="AA24" s="18"/>
      <c r="AB24" s="18"/>
      <c r="AC24" s="18"/>
      <c r="AD24" s="18"/>
      <c r="AE24" s="18"/>
    </row>
    <row r="25" spans="3:45" x14ac:dyDescent="0.25">
      <c r="C25" s="22" t="s">
        <v>112</v>
      </c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50"/>
      <c r="S25" s="49"/>
      <c r="T25" s="22"/>
      <c r="U25" s="22"/>
      <c r="V25" s="49"/>
      <c r="W25" s="49"/>
      <c r="X25" s="22"/>
      <c r="Y25" s="22"/>
      <c r="Z25" s="22"/>
      <c r="AA25" s="22"/>
      <c r="AB25" s="22"/>
      <c r="AC25" s="22"/>
      <c r="AD25" s="22"/>
      <c r="AE25" s="22"/>
      <c r="AF25" s="23"/>
      <c r="AG25" s="22"/>
      <c r="AH25" s="22"/>
      <c r="AI25" s="22"/>
      <c r="AJ25" s="22"/>
      <c r="AK25" s="22"/>
      <c r="AL25" s="22"/>
      <c r="AM25" s="22"/>
      <c r="AN25" s="22"/>
      <c r="AO25" s="22"/>
      <c r="AP25" s="22"/>
    </row>
    <row r="26" spans="3:45" x14ac:dyDescent="0.25">
      <c r="M26" s="9"/>
      <c r="Q26" s="9"/>
      <c r="V26" s="9"/>
      <c r="W26" s="9"/>
      <c r="X26" s="9"/>
      <c r="Y26" s="9"/>
      <c r="Z26" s="9"/>
      <c r="AA26" s="9"/>
      <c r="AB26" s="9"/>
      <c r="AC26" s="9"/>
      <c r="AD26" s="9"/>
      <c r="AE26" s="9"/>
    </row>
    <row r="27" spans="3:45" x14ac:dyDescent="0.25">
      <c r="C27" s="2" t="s">
        <v>65</v>
      </c>
      <c r="D27" s="14">
        <v>2681</v>
      </c>
      <c r="E27" s="14">
        <v>3163</v>
      </c>
      <c r="F27" s="14">
        <v>3404</v>
      </c>
      <c r="G27" s="14">
        <v>4044</v>
      </c>
      <c r="H27" s="14">
        <v>3706</v>
      </c>
      <c r="I27" s="14">
        <v>4138</v>
      </c>
      <c r="J27" s="14">
        <v>4343</v>
      </c>
      <c r="K27" s="14">
        <v>5911</v>
      </c>
      <c r="L27" s="14">
        <v>4911</v>
      </c>
      <c r="M27" s="14">
        <v>6274</v>
      </c>
      <c r="N27" s="14">
        <v>6183</v>
      </c>
      <c r="O27" s="14">
        <v>8452</v>
      </c>
      <c r="P27" s="14">
        <v>6722</v>
      </c>
      <c r="Q27" s="14">
        <v>8451</v>
      </c>
      <c r="R27" s="39">
        <v>7477</v>
      </c>
      <c r="S27" s="14">
        <v>10916</v>
      </c>
      <c r="V27" s="14"/>
      <c r="W27" s="14"/>
      <c r="X27" s="14">
        <v>946</v>
      </c>
      <c r="Y27" s="14">
        <v>1079</v>
      </c>
      <c r="Z27" s="14">
        <v>1414</v>
      </c>
      <c r="AA27" s="14">
        <v>1760</v>
      </c>
      <c r="AB27" s="14">
        <v>2467</v>
      </c>
      <c r="AC27" s="14">
        <v>3275</v>
      </c>
      <c r="AD27" s="14">
        <v>4490</v>
      </c>
      <c r="AE27" s="14">
        <v>6382</v>
      </c>
    </row>
    <row r="28" spans="3:45" x14ac:dyDescent="0.25">
      <c r="C28" s="2" t="s">
        <v>66</v>
      </c>
      <c r="D28" s="18"/>
      <c r="E28" s="18"/>
      <c r="F28" s="18"/>
      <c r="G28" s="18"/>
      <c r="H28" s="18">
        <f t="shared" ref="H28:P28" si="35">(H27-D27)/D27</f>
        <v>0.38232002983961211</v>
      </c>
      <c r="I28" s="18">
        <f t="shared" si="35"/>
        <v>0.30825165981662977</v>
      </c>
      <c r="J28" s="18">
        <f t="shared" si="35"/>
        <v>0.27585193889541715</v>
      </c>
      <c r="K28" s="18">
        <f t="shared" si="35"/>
        <v>0.46167161226508407</v>
      </c>
      <c r="L28" s="18">
        <f t="shared" si="35"/>
        <v>0.32514840798704803</v>
      </c>
      <c r="M28" s="18">
        <f t="shared" si="35"/>
        <v>0.51619139681005322</v>
      </c>
      <c r="N28" s="18">
        <f t="shared" si="35"/>
        <v>0.42367027400414459</v>
      </c>
      <c r="O28" s="18">
        <f t="shared" si="35"/>
        <v>0.42987650143799694</v>
      </c>
      <c r="P28" s="18">
        <f t="shared" si="35"/>
        <v>0.36876399918550196</v>
      </c>
      <c r="Q28" s="18">
        <f>(Q27-M27)/M27</f>
        <v>0.34698756773987888</v>
      </c>
      <c r="R28" s="43">
        <f t="shared" ref="R28:S28" si="36">(R27-N27)/N27</f>
        <v>0.20928351932718744</v>
      </c>
      <c r="S28" s="18">
        <f t="shared" si="36"/>
        <v>0.29152863227638431</v>
      </c>
      <c r="V28" s="18"/>
      <c r="W28" s="18"/>
      <c r="X28" s="18"/>
      <c r="Y28" s="18">
        <f t="shared" ref="Y28:AD28" si="37">(Y27-X27)/X27</f>
        <v>0.14059196617336153</v>
      </c>
      <c r="Z28" s="18">
        <f t="shared" si="37"/>
        <v>0.31047265987025024</v>
      </c>
      <c r="AA28" s="18">
        <f t="shared" si="37"/>
        <v>0.24469589816124471</v>
      </c>
      <c r="AB28" s="18">
        <f t="shared" si="37"/>
        <v>0.40170454545454548</v>
      </c>
      <c r="AC28" s="18">
        <f t="shared" si="37"/>
        <v>0.32752330766112686</v>
      </c>
      <c r="AD28" s="18">
        <f t="shared" si="37"/>
        <v>0.37099236641221373</v>
      </c>
      <c r="AE28" s="18">
        <f>(AE27-AD27)/AD27</f>
        <v>0.42138084632516704</v>
      </c>
    </row>
    <row r="29" spans="3:45" x14ac:dyDescent="0.25"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44"/>
      <c r="S29" s="21"/>
      <c r="T29" s="1"/>
      <c r="U29" s="1"/>
      <c r="V29" s="21"/>
      <c r="W29" s="21"/>
      <c r="X29" s="21"/>
      <c r="Y29" s="21"/>
      <c r="Z29" s="21"/>
      <c r="AA29" s="21"/>
      <c r="AB29" s="21"/>
      <c r="AC29" s="21"/>
      <c r="AD29" s="21"/>
      <c r="AE29" s="21"/>
    </row>
    <row r="30" spans="3:45" x14ac:dyDescent="0.25">
      <c r="C30" s="2" t="s">
        <v>67</v>
      </c>
      <c r="D30" s="2">
        <v>45.7</v>
      </c>
      <c r="E30" s="2">
        <v>64.5</v>
      </c>
      <c r="F30" s="2">
        <v>52.2</v>
      </c>
      <c r="G30" s="2">
        <v>35.799999999999997</v>
      </c>
      <c r="H30" s="2">
        <v>36.9</v>
      </c>
      <c r="I30" s="2">
        <v>50.6</v>
      </c>
      <c r="J30" s="2">
        <v>50.1</v>
      </c>
      <c r="K30" s="2">
        <v>37.700000000000003</v>
      </c>
      <c r="L30" s="2">
        <v>41.1</v>
      </c>
      <c r="M30" s="2">
        <v>55.7</v>
      </c>
      <c r="N30" s="2">
        <v>51.5</v>
      </c>
      <c r="O30" s="2">
        <v>37.1</v>
      </c>
      <c r="P30" s="2">
        <v>41.2</v>
      </c>
      <c r="Q30" s="2">
        <v>50.5</v>
      </c>
      <c r="R30" s="36">
        <v>41.6</v>
      </c>
      <c r="S30" s="2">
        <v>27.3</v>
      </c>
      <c r="V30" s="14"/>
      <c r="W30" s="14"/>
      <c r="X30" s="14">
        <v>215000</v>
      </c>
      <c r="Y30" s="14">
        <v>204000</v>
      </c>
      <c r="Z30" s="14">
        <v>190000</v>
      </c>
      <c r="AA30" s="14">
        <v>189300</v>
      </c>
      <c r="AB30" s="14">
        <v>198400</v>
      </c>
      <c r="AC30" s="14">
        <v>198300</v>
      </c>
      <c r="AD30" s="14">
        <v>175300</v>
      </c>
      <c r="AE30" s="14">
        <v>185300</v>
      </c>
    </row>
    <row r="31" spans="3:45" x14ac:dyDescent="0.25">
      <c r="C31" s="2" t="s">
        <v>66</v>
      </c>
      <c r="D31" s="10"/>
      <c r="E31" s="10"/>
      <c r="F31" s="10"/>
      <c r="G31" s="10"/>
      <c r="H31" s="10">
        <f t="shared" ref="H31:P31" si="38">(H30-D30)/D30</f>
        <v>-0.19256017505470469</v>
      </c>
      <c r="I31" s="10">
        <f t="shared" si="38"/>
        <v>-0.21550387596899223</v>
      </c>
      <c r="J31" s="10">
        <f t="shared" si="38"/>
        <v>-4.0229885057471292E-2</v>
      </c>
      <c r="K31" s="10">
        <f t="shared" si="38"/>
        <v>5.3072625698324188E-2</v>
      </c>
      <c r="L31" s="10">
        <f t="shared" si="38"/>
        <v>0.11382113821138219</v>
      </c>
      <c r="M31" s="10">
        <f t="shared" si="38"/>
        <v>0.10079051383399212</v>
      </c>
      <c r="N31" s="10">
        <f t="shared" si="38"/>
        <v>2.7944111776447077E-2</v>
      </c>
      <c r="O31" s="10">
        <f t="shared" si="38"/>
        <v>-1.5915119363395264E-2</v>
      </c>
      <c r="P31" s="10">
        <f t="shared" si="38"/>
        <v>2.4330900243309346E-3</v>
      </c>
      <c r="Q31" s="10">
        <f>(Q30-M30)/M30</f>
        <v>-9.3357271095152655E-2</v>
      </c>
      <c r="R31" s="45">
        <f>(R30-N30)/N30</f>
        <v>-0.19223300970873783</v>
      </c>
      <c r="S31" s="10">
        <f t="shared" ref="S31" si="39">(S30-O30)/O30</f>
        <v>-0.26415094339622641</v>
      </c>
      <c r="T31" s="18"/>
      <c r="U31" s="18"/>
      <c r="V31" s="10"/>
      <c r="W31" s="18"/>
      <c r="X31" s="18"/>
      <c r="Y31" s="18">
        <f t="shared" ref="Y31:AD31" si="40">(Y30-X30)/X30</f>
        <v>-5.1162790697674418E-2</v>
      </c>
      <c r="Z31" s="18">
        <f t="shared" si="40"/>
        <v>-6.8627450980392163E-2</v>
      </c>
      <c r="AA31" s="18">
        <f t="shared" si="40"/>
        <v>-3.6842105263157894E-3</v>
      </c>
      <c r="AB31" s="18">
        <f t="shared" si="40"/>
        <v>4.8071843634442682E-2</v>
      </c>
      <c r="AC31" s="18">
        <f t="shared" si="40"/>
        <v>-5.0403225806451612E-4</v>
      </c>
      <c r="AD31" s="18">
        <f t="shared" si="40"/>
        <v>-0.11598587997982854</v>
      </c>
      <c r="AE31" s="18">
        <f>(AE30-AD30)/AD30</f>
        <v>5.7045065601825443E-2</v>
      </c>
      <c r="AF31" s="19"/>
      <c r="AG31" s="18"/>
      <c r="AH31" s="18"/>
      <c r="AI31" s="18"/>
      <c r="AJ31" s="18"/>
      <c r="AK31" s="18"/>
      <c r="AL31" s="18"/>
      <c r="AM31" s="18"/>
      <c r="AN31" s="18"/>
      <c r="AO31" s="18"/>
      <c r="AP31" s="18"/>
    </row>
    <row r="32" spans="3:45" x14ac:dyDescent="0.25"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43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spans="3:35" x14ac:dyDescent="0.25">
      <c r="C33" s="1" t="s">
        <v>49</v>
      </c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</row>
    <row r="34" spans="3:35" x14ac:dyDescent="0.25">
      <c r="C34" s="2" t="s">
        <v>68</v>
      </c>
      <c r="D34" s="14">
        <v>903</v>
      </c>
      <c r="E34" s="14">
        <v>903</v>
      </c>
      <c r="F34" s="14">
        <v>903</v>
      </c>
      <c r="G34" s="14">
        <v>903</v>
      </c>
      <c r="H34" s="14">
        <v>903</v>
      </c>
      <c r="I34" s="14">
        <v>903</v>
      </c>
      <c r="J34" s="14">
        <v>903</v>
      </c>
      <c r="K34" s="14">
        <v>903</v>
      </c>
      <c r="L34" s="14">
        <v>903</v>
      </c>
      <c r="M34" s="14">
        <v>902.8</v>
      </c>
      <c r="N34" s="14">
        <v>903</v>
      </c>
      <c r="O34" s="14">
        <v>903</v>
      </c>
      <c r="P34" s="14">
        <v>903</v>
      </c>
      <c r="Q34" s="14">
        <v>902.8</v>
      </c>
      <c r="R34" s="39">
        <v>902.8</v>
      </c>
      <c r="S34" s="14">
        <v>903</v>
      </c>
    </row>
    <row r="35" spans="3:35" x14ac:dyDescent="0.25">
      <c r="C35" s="2" t="s">
        <v>69</v>
      </c>
      <c r="D35" s="14">
        <v>800.9</v>
      </c>
      <c r="E35" s="14">
        <v>787</v>
      </c>
      <c r="F35" s="14">
        <v>773.2</v>
      </c>
      <c r="G35" s="14">
        <v>759.3</v>
      </c>
      <c r="H35" s="14">
        <v>745.5</v>
      </c>
      <c r="I35" s="14">
        <v>731.6</v>
      </c>
      <c r="J35" s="14">
        <v>717.8</v>
      </c>
      <c r="K35" s="14">
        <v>703.9</v>
      </c>
      <c r="L35" s="14">
        <v>690.1</v>
      </c>
      <c r="M35" s="14">
        <v>676.2</v>
      </c>
      <c r="N35" s="14">
        <v>662.4</v>
      </c>
      <c r="O35" s="14">
        <v>648.5</v>
      </c>
      <c r="P35" s="14">
        <v>634.70000000000005</v>
      </c>
      <c r="Q35" s="14">
        <v>620.79999999999995</v>
      </c>
      <c r="R35" s="39">
        <v>607</v>
      </c>
      <c r="S35" s="14">
        <v>593.20000000000005</v>
      </c>
      <c r="AI35" s="14"/>
    </row>
    <row r="36" spans="3:35" x14ac:dyDescent="0.25">
      <c r="C36" s="2" t="s">
        <v>70</v>
      </c>
      <c r="D36" s="14">
        <v>6.3</v>
      </c>
      <c r="E36" s="14">
        <v>4.4000000000000004</v>
      </c>
      <c r="F36" s="14">
        <v>2.5</v>
      </c>
      <c r="G36" s="14">
        <v>0.6</v>
      </c>
      <c r="H36" s="14">
        <v>53.7</v>
      </c>
      <c r="I36" s="14">
        <v>50.9</v>
      </c>
      <c r="J36" s="14">
        <v>48</v>
      </c>
      <c r="K36" s="14">
        <v>45.2</v>
      </c>
      <c r="L36" s="14">
        <v>42.4</v>
      </c>
      <c r="M36" s="14">
        <v>39.6</v>
      </c>
      <c r="N36" s="14">
        <v>36.1</v>
      </c>
      <c r="O36" s="14">
        <v>36.9</v>
      </c>
      <c r="P36" s="14">
        <v>33.799999999999997</v>
      </c>
      <c r="Q36" s="14">
        <v>30.8</v>
      </c>
      <c r="R36" s="39">
        <v>27.7</v>
      </c>
      <c r="S36" s="14">
        <v>23.8</v>
      </c>
      <c r="AI36" s="14"/>
    </row>
    <row r="37" spans="3:35" x14ac:dyDescent="0.25">
      <c r="C37" s="2" t="s">
        <v>71</v>
      </c>
      <c r="D37" s="14">
        <v>257.5</v>
      </c>
      <c r="E37" s="14">
        <v>259.60000000000002</v>
      </c>
      <c r="F37" s="14">
        <v>260</v>
      </c>
      <c r="G37" s="14">
        <v>263.3</v>
      </c>
      <c r="H37" s="14">
        <v>276.7</v>
      </c>
      <c r="I37" s="14">
        <v>282.2</v>
      </c>
      <c r="J37" s="14">
        <v>287.39999999999998</v>
      </c>
      <c r="K37" s="14">
        <v>292.5</v>
      </c>
      <c r="L37" s="14">
        <v>296.5</v>
      </c>
      <c r="M37" s="14">
        <v>299.2</v>
      </c>
      <c r="N37" s="14">
        <v>297.2</v>
      </c>
      <c r="O37" s="14">
        <v>297</v>
      </c>
      <c r="P37" s="14">
        <v>301</v>
      </c>
      <c r="Q37" s="14">
        <v>298.39999999999998</v>
      </c>
      <c r="R37" s="39">
        <v>298</v>
      </c>
      <c r="S37" s="14">
        <v>296.8</v>
      </c>
      <c r="AI37" s="14"/>
    </row>
    <row r="38" spans="3:35" x14ac:dyDescent="0.25">
      <c r="C38" s="2" t="s">
        <v>72</v>
      </c>
      <c r="D38" s="14">
        <v>38.200000000000003</v>
      </c>
      <c r="E38" s="14">
        <v>56</v>
      </c>
      <c r="F38" s="14">
        <v>47.9</v>
      </c>
      <c r="G38" s="14">
        <v>31.5</v>
      </c>
      <c r="H38" s="14">
        <v>35</v>
      </c>
      <c r="I38" s="14">
        <v>43.5</v>
      </c>
      <c r="J38" s="14">
        <v>54.1</v>
      </c>
      <c r="K38" s="14">
        <v>38.299999999999997</v>
      </c>
      <c r="L38" s="14">
        <v>48.1</v>
      </c>
      <c r="M38" s="14">
        <v>40.299999999999997</v>
      </c>
      <c r="N38" s="14">
        <v>35.4</v>
      </c>
      <c r="O38" s="14">
        <v>29.8</v>
      </c>
      <c r="P38" s="14">
        <v>35.1</v>
      </c>
      <c r="Q38" s="14">
        <v>41.2</v>
      </c>
      <c r="R38" s="39">
        <v>42.3</v>
      </c>
      <c r="S38" s="14">
        <v>28.9</v>
      </c>
      <c r="AI38" s="14"/>
    </row>
    <row r="39" spans="3:35" x14ac:dyDescent="0.25">
      <c r="C39" s="2" t="s">
        <v>73</v>
      </c>
      <c r="D39" s="14">
        <v>23.3</v>
      </c>
      <c r="E39" s="14">
        <v>26.4</v>
      </c>
      <c r="F39" s="14">
        <v>42.5</v>
      </c>
      <c r="G39" s="14">
        <v>36.700000000000003</v>
      </c>
      <c r="H39" s="14">
        <v>29.1</v>
      </c>
      <c r="I39" s="14">
        <v>40.200000000000003</v>
      </c>
      <c r="J39" s="14">
        <v>49.2</v>
      </c>
      <c r="K39" s="14">
        <v>70.7</v>
      </c>
      <c r="L39" s="14">
        <v>128.6</v>
      </c>
      <c r="M39" s="14">
        <v>174.7</v>
      </c>
      <c r="N39" s="14">
        <v>235.6</v>
      </c>
      <c r="O39" s="14">
        <v>167.2</v>
      </c>
      <c r="P39" s="14">
        <v>204.5</v>
      </c>
      <c r="Q39" s="14">
        <v>215.2</v>
      </c>
      <c r="R39" s="39">
        <v>194.6</v>
      </c>
      <c r="S39" s="14">
        <v>147.6</v>
      </c>
      <c r="AI39" s="14"/>
    </row>
    <row r="40" spans="3:35" x14ac:dyDescent="0.25">
      <c r="C40" s="2" t="s">
        <v>74</v>
      </c>
      <c r="D40" s="14">
        <v>96.3</v>
      </c>
      <c r="E40" s="14">
        <v>138.19999999999999</v>
      </c>
      <c r="F40" s="14">
        <v>124</v>
      </c>
      <c r="G40" s="14">
        <v>100.4</v>
      </c>
      <c r="H40" s="14">
        <v>79.8</v>
      </c>
      <c r="I40" s="14">
        <v>156.4</v>
      </c>
      <c r="J40" s="14">
        <v>156</v>
      </c>
      <c r="K40" s="14">
        <v>102.6</v>
      </c>
      <c r="L40" s="14">
        <v>96.5</v>
      </c>
      <c r="M40" s="14">
        <v>118.9</v>
      </c>
      <c r="N40" s="14">
        <v>145.1</v>
      </c>
      <c r="O40" s="14">
        <v>111.7</v>
      </c>
      <c r="P40" s="14">
        <v>70.5</v>
      </c>
      <c r="Q40" s="14">
        <v>130.30000000000001</v>
      </c>
      <c r="R40" s="39">
        <v>195.6</v>
      </c>
      <c r="S40" s="14">
        <v>103.3</v>
      </c>
      <c r="AI40" s="14"/>
    </row>
    <row r="41" spans="3:35" x14ac:dyDescent="0.25">
      <c r="C41" s="1" t="s">
        <v>75</v>
      </c>
      <c r="D41" s="12">
        <f t="shared" ref="D41:P41" si="41">SUM(D34:D40)</f>
        <v>2125.5</v>
      </c>
      <c r="E41" s="12">
        <f t="shared" si="41"/>
        <v>2174.6</v>
      </c>
      <c r="F41" s="12">
        <f t="shared" si="41"/>
        <v>2153.1000000000004</v>
      </c>
      <c r="G41" s="12">
        <f t="shared" si="41"/>
        <v>2094.7999999999997</v>
      </c>
      <c r="H41" s="12">
        <f t="shared" si="41"/>
        <v>2122.8000000000002</v>
      </c>
      <c r="I41" s="12">
        <f t="shared" si="41"/>
        <v>2207.8000000000002</v>
      </c>
      <c r="J41" s="12">
        <f t="shared" si="41"/>
        <v>2215.4999999999995</v>
      </c>
      <c r="K41" s="12">
        <f t="shared" si="41"/>
        <v>2156.1999999999998</v>
      </c>
      <c r="L41" s="12">
        <f t="shared" si="41"/>
        <v>2205.1999999999998</v>
      </c>
      <c r="M41" s="12">
        <f t="shared" si="41"/>
        <v>2251.6999999999998</v>
      </c>
      <c r="N41" s="12">
        <f t="shared" si="41"/>
        <v>2314.8000000000002</v>
      </c>
      <c r="O41" s="12">
        <f t="shared" si="41"/>
        <v>2194.1</v>
      </c>
      <c r="P41" s="12">
        <f t="shared" si="41"/>
        <v>2182.6</v>
      </c>
      <c r="Q41" s="12">
        <f>SUM(Q34:Q40)</f>
        <v>2239.5</v>
      </c>
      <c r="R41" s="38">
        <f t="shared" ref="R41:S41" si="42">SUM(R34:R40)</f>
        <v>2268</v>
      </c>
      <c r="S41" s="12">
        <f t="shared" si="42"/>
        <v>2096.6</v>
      </c>
      <c r="AI41" s="14"/>
    </row>
    <row r="42" spans="3:35" x14ac:dyDescent="0.25">
      <c r="C42" s="2" t="s">
        <v>76</v>
      </c>
      <c r="D42" s="14">
        <v>1569.4</v>
      </c>
      <c r="E42" s="14">
        <v>1576.1</v>
      </c>
      <c r="F42" s="14">
        <v>1457.4</v>
      </c>
      <c r="G42" s="14">
        <v>1432.7</v>
      </c>
      <c r="H42" s="14">
        <v>1388.9</v>
      </c>
      <c r="I42" s="14">
        <v>1292.2</v>
      </c>
      <c r="J42" s="14">
        <v>1276</v>
      </c>
      <c r="K42" s="14">
        <v>1259.5999999999999</v>
      </c>
      <c r="L42" s="14">
        <v>1216.3</v>
      </c>
      <c r="M42" s="14">
        <v>1197</v>
      </c>
      <c r="N42" s="14">
        <v>1214.2</v>
      </c>
      <c r="O42" s="14">
        <v>1248.7</v>
      </c>
      <c r="P42" s="14">
        <v>1232.8</v>
      </c>
      <c r="Q42" s="14">
        <v>1145.2</v>
      </c>
      <c r="R42" s="39">
        <v>1129.2</v>
      </c>
      <c r="S42" s="14">
        <v>1072.2</v>
      </c>
      <c r="AI42" s="14"/>
    </row>
    <row r="43" spans="3:35" x14ac:dyDescent="0.25">
      <c r="C43" s="11" t="s">
        <v>77</v>
      </c>
      <c r="D43" s="27">
        <f t="shared" ref="D43:P43" si="43">D42</f>
        <v>1569.4</v>
      </c>
      <c r="E43" s="27">
        <f t="shared" si="43"/>
        <v>1576.1</v>
      </c>
      <c r="F43" s="27">
        <f t="shared" si="43"/>
        <v>1457.4</v>
      </c>
      <c r="G43" s="27">
        <f t="shared" si="43"/>
        <v>1432.7</v>
      </c>
      <c r="H43" s="27">
        <f t="shared" si="43"/>
        <v>1388.9</v>
      </c>
      <c r="I43" s="27">
        <f t="shared" si="43"/>
        <v>1292.2</v>
      </c>
      <c r="J43" s="27">
        <f t="shared" si="43"/>
        <v>1276</v>
      </c>
      <c r="K43" s="27">
        <f t="shared" si="43"/>
        <v>1259.5999999999999</v>
      </c>
      <c r="L43" s="27">
        <f t="shared" si="43"/>
        <v>1216.3</v>
      </c>
      <c r="M43" s="27">
        <f t="shared" si="43"/>
        <v>1197</v>
      </c>
      <c r="N43" s="27">
        <f t="shared" si="43"/>
        <v>1214.2</v>
      </c>
      <c r="O43" s="27">
        <f t="shared" si="43"/>
        <v>1248.7</v>
      </c>
      <c r="P43" s="27">
        <f t="shared" si="43"/>
        <v>1232.8</v>
      </c>
      <c r="Q43" s="27">
        <f>Q42</f>
        <v>1145.2</v>
      </c>
      <c r="R43" s="46">
        <f t="shared" ref="R43:S43" si="44">R42</f>
        <v>1129.2</v>
      </c>
      <c r="S43" s="27">
        <f t="shared" si="44"/>
        <v>1072.2</v>
      </c>
      <c r="AI43" s="14"/>
    </row>
    <row r="44" spans="3:35" x14ac:dyDescent="0.25">
      <c r="C44" s="2" t="s">
        <v>78</v>
      </c>
      <c r="D44" s="14">
        <v>213.3</v>
      </c>
      <c r="E44" s="14">
        <v>213.5</v>
      </c>
      <c r="F44" s="14">
        <v>298.39999999999998</v>
      </c>
      <c r="G44" s="14">
        <v>328.5</v>
      </c>
      <c r="H44" s="14">
        <v>348.8</v>
      </c>
      <c r="I44" s="14">
        <v>498.9</v>
      </c>
      <c r="J44" s="14">
        <v>497.9</v>
      </c>
      <c r="K44" s="14">
        <v>497.1</v>
      </c>
      <c r="L44" s="14">
        <v>527.4</v>
      </c>
      <c r="M44" s="14">
        <v>522.70000000000005</v>
      </c>
      <c r="N44" s="14">
        <v>547.9</v>
      </c>
      <c r="O44" s="14">
        <v>468.5</v>
      </c>
      <c r="P44" s="14">
        <v>438.8</v>
      </c>
      <c r="Q44" s="14">
        <v>546.4</v>
      </c>
      <c r="R44" s="39">
        <v>596.6</v>
      </c>
      <c r="S44" s="14">
        <v>596.9</v>
      </c>
      <c r="AI44" s="14"/>
    </row>
    <row r="45" spans="3:35" x14ac:dyDescent="0.25">
      <c r="C45" s="2" t="s">
        <v>79</v>
      </c>
      <c r="D45" s="14">
        <v>0</v>
      </c>
      <c r="E45" s="14">
        <v>0</v>
      </c>
      <c r="F45" s="14">
        <v>0</v>
      </c>
      <c r="G45" s="14">
        <v>0</v>
      </c>
      <c r="H45" s="14">
        <v>43.9</v>
      </c>
      <c r="I45" s="14">
        <v>41.1</v>
      </c>
      <c r="J45" s="14">
        <v>38.299999999999997</v>
      </c>
      <c r="K45" s="14">
        <v>35.5</v>
      </c>
      <c r="L45" s="14">
        <v>32.700000000000003</v>
      </c>
      <c r="M45" s="14">
        <v>29.8</v>
      </c>
      <c r="N45" s="14">
        <v>26.9</v>
      </c>
      <c r="O45" s="14">
        <v>26</v>
      </c>
      <c r="P45" s="14">
        <v>22.8</v>
      </c>
      <c r="Q45" s="14">
        <v>19.7</v>
      </c>
      <c r="R45" s="39">
        <v>16.5</v>
      </c>
      <c r="S45" s="14">
        <v>13.3</v>
      </c>
      <c r="AI45" s="14"/>
    </row>
    <row r="46" spans="3:35" x14ac:dyDescent="0.25">
      <c r="C46" s="2" t="s">
        <v>80</v>
      </c>
      <c r="D46" s="14">
        <v>217.7</v>
      </c>
      <c r="E46" s="14">
        <v>215.2</v>
      </c>
      <c r="F46" s="14">
        <v>212.4</v>
      </c>
      <c r="G46" s="14">
        <v>210.2</v>
      </c>
      <c r="H46" s="14">
        <v>208.8</v>
      </c>
      <c r="I46" s="14">
        <v>206.9</v>
      </c>
      <c r="J46" s="14">
        <v>205.3</v>
      </c>
      <c r="K46" s="14">
        <v>203.7</v>
      </c>
      <c r="L46" s="14">
        <v>201.7</v>
      </c>
      <c r="M46" s="14">
        <v>199.5</v>
      </c>
      <c r="N46" s="14">
        <v>196.4</v>
      </c>
      <c r="O46" s="14">
        <v>193.5</v>
      </c>
      <c r="P46" s="14">
        <v>191.3</v>
      </c>
      <c r="Q46" s="14">
        <v>187.9</v>
      </c>
      <c r="R46" s="39">
        <v>185.1</v>
      </c>
      <c r="S46" s="14">
        <v>182.1</v>
      </c>
      <c r="AI46" s="14"/>
    </row>
    <row r="47" spans="3:35" x14ac:dyDescent="0.25">
      <c r="C47" s="2" t="s">
        <v>79</v>
      </c>
      <c r="D47" s="27">
        <v>4.5</v>
      </c>
      <c r="E47" s="14">
        <v>2.6</v>
      </c>
      <c r="F47" s="14">
        <v>0.7</v>
      </c>
      <c r="G47" s="14">
        <v>0</v>
      </c>
      <c r="H47" s="14">
        <v>7.8</v>
      </c>
      <c r="I47" s="14">
        <v>7.9</v>
      </c>
      <c r="J47" s="14">
        <v>8</v>
      </c>
      <c r="K47" s="14">
        <v>8.1</v>
      </c>
      <c r="L47" s="14">
        <v>8.1</v>
      </c>
      <c r="M47" s="14">
        <v>8.1999999999999993</v>
      </c>
      <c r="N47" s="14">
        <v>8.3000000000000007</v>
      </c>
      <c r="O47" s="14">
        <v>9.1</v>
      </c>
      <c r="P47" s="14">
        <v>9.1999999999999993</v>
      </c>
      <c r="Q47" s="14">
        <v>9.3000000000000007</v>
      </c>
      <c r="R47" s="39">
        <v>9.4</v>
      </c>
      <c r="S47" s="14">
        <v>9.5</v>
      </c>
      <c r="AI47" s="14"/>
    </row>
    <row r="48" spans="3:35" x14ac:dyDescent="0.25">
      <c r="C48" s="2" t="s">
        <v>81</v>
      </c>
      <c r="D48" s="14">
        <v>77.7</v>
      </c>
      <c r="E48" s="14">
        <v>105.7</v>
      </c>
      <c r="F48" s="14">
        <v>105.1</v>
      </c>
      <c r="G48" s="14">
        <v>81.099999999999994</v>
      </c>
      <c r="H48" s="14">
        <v>96.7</v>
      </c>
      <c r="I48" s="14">
        <v>127.3</v>
      </c>
      <c r="J48" s="14">
        <v>141.30000000000001</v>
      </c>
      <c r="K48" s="14">
        <v>110.9</v>
      </c>
      <c r="L48" s="14">
        <v>164.4</v>
      </c>
      <c r="M48" s="14">
        <v>221.6</v>
      </c>
      <c r="N48" s="14">
        <v>236.7</v>
      </c>
      <c r="O48" s="14">
        <v>193.6</v>
      </c>
      <c r="P48" s="14">
        <v>226.5</v>
      </c>
      <c r="Q48" s="14">
        <v>255.3</v>
      </c>
      <c r="R48" s="39">
        <v>248.8</v>
      </c>
      <c r="S48" s="14">
        <v>177.2</v>
      </c>
      <c r="AI48" s="14"/>
    </row>
    <row r="49" spans="3:31" x14ac:dyDescent="0.25">
      <c r="C49" s="2" t="s">
        <v>82</v>
      </c>
      <c r="D49" s="14">
        <v>42.7</v>
      </c>
      <c r="E49" s="14">
        <v>61.3</v>
      </c>
      <c r="F49" s="14">
        <v>78.8</v>
      </c>
      <c r="G49" s="14">
        <v>42.1</v>
      </c>
      <c r="H49" s="14">
        <v>27.6</v>
      </c>
      <c r="I49" s="14">
        <v>33.299999999999997</v>
      </c>
      <c r="J49" s="14">
        <v>48.5</v>
      </c>
      <c r="K49" s="14">
        <v>41.1</v>
      </c>
      <c r="L49" s="14">
        <v>54.4</v>
      </c>
      <c r="M49" s="14">
        <v>72.900000000000006</v>
      </c>
      <c r="N49" s="14">
        <v>84.8</v>
      </c>
      <c r="O49" s="14">
        <v>54.5</v>
      </c>
      <c r="P49" s="14">
        <v>61</v>
      </c>
      <c r="Q49" s="14">
        <v>75.7</v>
      </c>
      <c r="R49" s="39">
        <v>82.4</v>
      </c>
      <c r="S49" s="14">
        <v>46.2</v>
      </c>
    </row>
    <row r="50" spans="3:31" x14ac:dyDescent="0.25">
      <c r="C50" s="11" t="s">
        <v>83</v>
      </c>
      <c r="D50" s="27">
        <f t="shared" ref="D50:P50" si="45">SUM(D44:D49)</f>
        <v>555.90000000000009</v>
      </c>
      <c r="E50" s="27">
        <f t="shared" si="45"/>
        <v>598.29999999999995</v>
      </c>
      <c r="F50" s="27">
        <f t="shared" si="45"/>
        <v>695.39999999999986</v>
      </c>
      <c r="G50" s="27">
        <f t="shared" si="45"/>
        <v>661.90000000000009</v>
      </c>
      <c r="H50" s="27">
        <f t="shared" si="45"/>
        <v>733.6</v>
      </c>
      <c r="I50" s="27">
        <f t="shared" si="45"/>
        <v>915.39999999999986</v>
      </c>
      <c r="J50" s="27">
        <f t="shared" si="45"/>
        <v>939.3</v>
      </c>
      <c r="K50" s="27">
        <f t="shared" si="45"/>
        <v>896.4</v>
      </c>
      <c r="L50" s="27">
        <f t="shared" si="45"/>
        <v>988.69999999999993</v>
      </c>
      <c r="M50" s="27">
        <f t="shared" si="45"/>
        <v>1054.7</v>
      </c>
      <c r="N50" s="27">
        <f t="shared" si="45"/>
        <v>1100.9999999999998</v>
      </c>
      <c r="O50" s="27">
        <f t="shared" si="45"/>
        <v>945.2</v>
      </c>
      <c r="P50" s="27">
        <f t="shared" si="45"/>
        <v>949.60000000000014</v>
      </c>
      <c r="Q50" s="27">
        <f>SUM(Q44:Q49)</f>
        <v>1094.3</v>
      </c>
      <c r="R50" s="46">
        <f t="shared" ref="R50:S50" si="46">SUM(R44:R49)</f>
        <v>1138.8000000000002</v>
      </c>
      <c r="S50" s="27">
        <f t="shared" si="46"/>
        <v>1025.2</v>
      </c>
    </row>
    <row r="51" spans="3:31" x14ac:dyDescent="0.25">
      <c r="C51" s="1" t="s">
        <v>84</v>
      </c>
      <c r="D51" s="12">
        <f t="shared" ref="D51:P51" si="47">D43+D50</f>
        <v>2125.3000000000002</v>
      </c>
      <c r="E51" s="12">
        <f t="shared" si="47"/>
        <v>2174.3999999999996</v>
      </c>
      <c r="F51" s="12">
        <f t="shared" si="47"/>
        <v>2152.8000000000002</v>
      </c>
      <c r="G51" s="12">
        <f t="shared" si="47"/>
        <v>2094.6000000000004</v>
      </c>
      <c r="H51" s="12">
        <f t="shared" si="47"/>
        <v>2122.5</v>
      </c>
      <c r="I51" s="12">
        <f t="shared" si="47"/>
        <v>2207.6</v>
      </c>
      <c r="J51" s="12">
        <f t="shared" si="47"/>
        <v>2215.3000000000002</v>
      </c>
      <c r="K51" s="12">
        <f t="shared" si="47"/>
        <v>2156</v>
      </c>
      <c r="L51" s="12">
        <f t="shared" si="47"/>
        <v>2205</v>
      </c>
      <c r="M51" s="12">
        <f t="shared" si="47"/>
        <v>2251.6999999999998</v>
      </c>
      <c r="N51" s="12">
        <f t="shared" si="47"/>
        <v>2315.1999999999998</v>
      </c>
      <c r="O51" s="12">
        <f t="shared" si="47"/>
        <v>2193.9</v>
      </c>
      <c r="P51" s="12">
        <f t="shared" si="47"/>
        <v>2182.4</v>
      </c>
      <c r="Q51" s="12">
        <f>Q43+Q50</f>
        <v>2239.5</v>
      </c>
      <c r="R51" s="38">
        <f t="shared" ref="R51:S51" si="48">R43+R50</f>
        <v>2268</v>
      </c>
      <c r="S51" s="12">
        <f t="shared" si="48"/>
        <v>2097.4</v>
      </c>
    </row>
    <row r="53" spans="3:31" x14ac:dyDescent="0.25">
      <c r="C53" s="1" t="s">
        <v>50</v>
      </c>
    </row>
    <row r="54" spans="3:31" x14ac:dyDescent="0.25">
      <c r="C54" s="2" t="s">
        <v>85</v>
      </c>
      <c r="D54" s="14">
        <f>D11</f>
        <v>68.099999999999994</v>
      </c>
      <c r="E54" s="14">
        <f>E11</f>
        <v>127.80000000000001</v>
      </c>
      <c r="F54" s="14">
        <f>F11</f>
        <v>111.8</v>
      </c>
      <c r="G54" s="14">
        <f>G11</f>
        <v>72.100000000000009</v>
      </c>
      <c r="H54" s="14">
        <f>H11</f>
        <v>68.099999999999994</v>
      </c>
      <c r="I54" s="14">
        <f>I11</f>
        <v>122.09999999999998</v>
      </c>
      <c r="J54" s="14">
        <f>J11</f>
        <v>137.29999999999998</v>
      </c>
      <c r="K54" s="14">
        <f>K11</f>
        <v>121.4</v>
      </c>
      <c r="L54" s="14">
        <f>L11</f>
        <v>98.899999999999977</v>
      </c>
      <c r="M54" s="14">
        <f>M11</f>
        <v>195.60000000000002</v>
      </c>
      <c r="N54" s="14">
        <f>N11</f>
        <v>185.7</v>
      </c>
      <c r="O54" s="14">
        <f>O11</f>
        <v>153.60000000000002</v>
      </c>
      <c r="P54" s="14">
        <f>P11</f>
        <v>135</v>
      </c>
      <c r="Q54" s="14">
        <f>Q11</f>
        <v>237.70000000000005</v>
      </c>
      <c r="R54" s="39">
        <f>R11</f>
        <v>171.29999999999998</v>
      </c>
      <c r="S54" s="14">
        <f>S11</f>
        <v>129.4</v>
      </c>
      <c r="V54" s="14"/>
      <c r="W54" s="14"/>
      <c r="X54" s="14">
        <f>X11</f>
        <v>13.19500000000005</v>
      </c>
      <c r="Y54" s="14">
        <f>Y11</f>
        <v>72.569999999999993</v>
      </c>
      <c r="Z54" s="14">
        <f>Z11</f>
        <v>98.790000000000063</v>
      </c>
      <c r="AA54" s="14">
        <f>AA11</f>
        <v>110.53500000000005</v>
      </c>
      <c r="AB54" s="14">
        <f>AB11</f>
        <v>223.9</v>
      </c>
      <c r="AC54" s="14">
        <f>AC11</f>
        <v>377.5</v>
      </c>
      <c r="AD54" s="14">
        <f>AD11</f>
        <v>447.80000000000007</v>
      </c>
      <c r="AE54" s="14">
        <f>AE11</f>
        <v>633.80000000000007</v>
      </c>
    </row>
    <row r="55" spans="3:31" x14ac:dyDescent="0.25">
      <c r="C55" s="2" t="s">
        <v>86</v>
      </c>
      <c r="D55" s="14">
        <v>68</v>
      </c>
      <c r="E55" s="14">
        <v>128</v>
      </c>
      <c r="F55" s="14">
        <v>111</v>
      </c>
      <c r="G55" s="14">
        <v>72</v>
      </c>
      <c r="H55" s="14">
        <v>68</v>
      </c>
      <c r="I55" s="14">
        <v>122</v>
      </c>
      <c r="J55" s="14">
        <v>137</v>
      </c>
      <c r="K55" s="14">
        <v>122</v>
      </c>
      <c r="L55" s="14">
        <v>99</v>
      </c>
      <c r="M55" s="14">
        <v>195.6</v>
      </c>
      <c r="N55" s="14">
        <v>186</v>
      </c>
      <c r="O55" s="14">
        <v>154</v>
      </c>
      <c r="P55" s="14">
        <v>135</v>
      </c>
      <c r="Q55" s="14">
        <v>238</v>
      </c>
      <c r="R55" s="39">
        <v>171</v>
      </c>
      <c r="S55" s="14">
        <v>130</v>
      </c>
      <c r="V55" s="14"/>
      <c r="W55" s="14"/>
      <c r="X55" s="14">
        <v>13</v>
      </c>
      <c r="Y55" s="14">
        <v>73</v>
      </c>
      <c r="Z55" s="14">
        <v>99</v>
      </c>
      <c r="AA55" s="14">
        <v>111</v>
      </c>
      <c r="AB55" s="14">
        <v>224</v>
      </c>
      <c r="AC55" s="14">
        <v>378</v>
      </c>
      <c r="AD55" s="14">
        <v>448.2</v>
      </c>
      <c r="AE55" s="14">
        <v>634</v>
      </c>
    </row>
    <row r="56" spans="3:31" x14ac:dyDescent="0.25">
      <c r="C56" s="2" t="s">
        <v>87</v>
      </c>
      <c r="D56" s="14">
        <v>17.7</v>
      </c>
      <c r="E56" s="14">
        <v>17.7</v>
      </c>
      <c r="F56" s="14">
        <v>17.7</v>
      </c>
      <c r="G56" s="14">
        <v>17.600000000000001</v>
      </c>
      <c r="H56" s="14">
        <v>19.100000000000001</v>
      </c>
      <c r="I56" s="14">
        <v>19</v>
      </c>
      <c r="J56" s="14">
        <v>19.100000000000001</v>
      </c>
      <c r="K56" s="14">
        <v>20.100000000000001</v>
      </c>
      <c r="L56" s="14">
        <v>20.8</v>
      </c>
      <c r="M56" s="14">
        <v>20.6</v>
      </c>
      <c r="N56" s="14">
        <v>22.3</v>
      </c>
      <c r="O56" s="14">
        <v>22.7</v>
      </c>
      <c r="P56" s="14">
        <v>23.1</v>
      </c>
      <c r="Q56" s="14">
        <v>23.1</v>
      </c>
      <c r="R56" s="39">
        <v>24.4</v>
      </c>
      <c r="S56" s="14">
        <v>24.3</v>
      </c>
      <c r="V56" s="14"/>
      <c r="W56" s="14"/>
      <c r="X56" s="14">
        <v>63.3</v>
      </c>
      <c r="Y56" s="14">
        <v>64.8</v>
      </c>
      <c r="Z56" s="14">
        <v>73.2</v>
      </c>
      <c r="AA56" s="14">
        <v>77.447999999999993</v>
      </c>
      <c r="AB56" s="14">
        <v>79</v>
      </c>
      <c r="AC56" s="14">
        <v>70.599999999999994</v>
      </c>
      <c r="AD56" s="14">
        <v>77.3</v>
      </c>
      <c r="AE56" s="14">
        <v>86</v>
      </c>
    </row>
    <row r="57" spans="3:31" x14ac:dyDescent="0.25">
      <c r="C57" s="2" t="s">
        <v>88</v>
      </c>
      <c r="D57" s="14">
        <v>-1.2</v>
      </c>
      <c r="E57" s="14">
        <v>-1</v>
      </c>
      <c r="F57" s="14">
        <v>-1.4</v>
      </c>
      <c r="G57" s="14">
        <v>-2.5</v>
      </c>
      <c r="H57" s="14">
        <v>-3.8</v>
      </c>
      <c r="I57" s="14">
        <v>-5.7</v>
      </c>
      <c r="J57" s="14">
        <v>-8.4</v>
      </c>
      <c r="K57" s="14">
        <v>-4.3</v>
      </c>
      <c r="L57" s="14">
        <v>-7.4</v>
      </c>
      <c r="M57" s="14">
        <v>-7.6</v>
      </c>
      <c r="N57" s="14">
        <v>-7.2</v>
      </c>
      <c r="O57" s="14">
        <v>-3.1</v>
      </c>
      <c r="P57" s="14">
        <v>-5</v>
      </c>
      <c r="Q57" s="14">
        <v>-6.7</v>
      </c>
      <c r="R57" s="39">
        <v>-4.4000000000000004</v>
      </c>
      <c r="S57" s="14">
        <v>-3</v>
      </c>
      <c r="V57" s="14"/>
      <c r="W57" s="14"/>
      <c r="X57" s="14">
        <v>-10</v>
      </c>
      <c r="Y57" s="14">
        <f>-15.7</f>
        <v>-15.7</v>
      </c>
      <c r="Z57" s="14">
        <v>-20</v>
      </c>
      <c r="AA57" s="14">
        <f>-23.4</f>
        <v>-23.4</v>
      </c>
      <c r="AB57" s="14">
        <f>-15</f>
        <v>-15</v>
      </c>
      <c r="AC57" s="14">
        <f>0.6-6.7</f>
        <v>-6.1000000000000005</v>
      </c>
      <c r="AD57" s="14">
        <f>3.2-25.4</f>
        <v>-22.2</v>
      </c>
      <c r="AE57" s="14">
        <f>3.3-28.6</f>
        <v>-25.3</v>
      </c>
    </row>
    <row r="58" spans="3:31" x14ac:dyDescent="0.25">
      <c r="C58" s="2" t="s">
        <v>89</v>
      </c>
      <c r="D58" s="14">
        <v>-26.9</v>
      </c>
      <c r="E58" s="14">
        <v>-12.1</v>
      </c>
      <c r="F58" s="14">
        <v>-12.2</v>
      </c>
      <c r="G58" s="14">
        <v>-43</v>
      </c>
      <c r="H58" s="14">
        <v>-32.799999999999997</v>
      </c>
      <c r="I58" s="14">
        <v>-26</v>
      </c>
      <c r="J58" s="14">
        <v>-26</v>
      </c>
      <c r="K58" s="14">
        <v>-18.399999999999999</v>
      </c>
      <c r="L58" s="14">
        <v>-20.6</v>
      </c>
      <c r="M58" s="14">
        <v>-24.7</v>
      </c>
      <c r="N58" s="14">
        <v>-37.9</v>
      </c>
      <c r="O58" s="14">
        <v>-44.5</v>
      </c>
      <c r="P58" s="14">
        <v>-37.4</v>
      </c>
      <c r="Q58" s="14">
        <v>-34.6</v>
      </c>
      <c r="R58" s="39">
        <v>34.6</v>
      </c>
      <c r="S58" s="14">
        <v>-48.5</v>
      </c>
      <c r="V58" s="14"/>
      <c r="W58" s="14"/>
      <c r="X58" s="14">
        <v>-22.2</v>
      </c>
      <c r="Y58" s="14">
        <v>-18</v>
      </c>
      <c r="Z58" s="14">
        <v>-17</v>
      </c>
      <c r="AA58" s="14">
        <v>-38.982999999999997</v>
      </c>
      <c r="AB58" s="14">
        <v>-49.6</v>
      </c>
      <c r="AC58" s="14">
        <v>-94.2</v>
      </c>
      <c r="AD58" s="14">
        <v>-103.2</v>
      </c>
      <c r="AE58" s="14">
        <v>-127.7</v>
      </c>
    </row>
    <row r="59" spans="3:31" x14ac:dyDescent="0.25">
      <c r="C59" s="2" t="s">
        <v>90</v>
      </c>
      <c r="D59" s="14">
        <v>15.3</v>
      </c>
      <c r="E59" s="14">
        <v>9.1999999999999993</v>
      </c>
      <c r="F59" s="14">
        <v>-4.4000000000000004</v>
      </c>
      <c r="G59" s="14">
        <v>-11.9</v>
      </c>
      <c r="H59" s="14">
        <v>23.1</v>
      </c>
      <c r="I59" s="14">
        <v>16.7</v>
      </c>
      <c r="J59" s="14">
        <v>7.3</v>
      </c>
      <c r="K59" s="14">
        <v>-51.3</v>
      </c>
      <c r="L59" s="14">
        <v>-1.2</v>
      </c>
      <c r="M59" s="14">
        <v>20.9</v>
      </c>
      <c r="N59" s="14">
        <v>-31</v>
      </c>
      <c r="O59" s="14">
        <v>11</v>
      </c>
      <c r="P59" s="14">
        <v>5</v>
      </c>
      <c r="Q59" s="14">
        <v>9.6999999999999993</v>
      </c>
      <c r="R59" s="39">
        <v>17.100000000000001</v>
      </c>
      <c r="S59" s="14">
        <v>-28.2</v>
      </c>
      <c r="V59" s="14"/>
      <c r="W59" s="14"/>
      <c r="X59" s="14">
        <v>16</v>
      </c>
      <c r="Y59" s="14">
        <v>-13.4</v>
      </c>
      <c r="Z59" s="14">
        <v>4</v>
      </c>
      <c r="AA59" s="14">
        <v>1.3</v>
      </c>
      <c r="AB59" s="14">
        <v>-3.3</v>
      </c>
      <c r="AC59" s="14">
        <v>8.1999999999999993</v>
      </c>
      <c r="AD59" s="14">
        <v>-4.2</v>
      </c>
      <c r="AE59" s="14">
        <v>-0.3</v>
      </c>
    </row>
    <row r="60" spans="3:31" x14ac:dyDescent="0.25">
      <c r="C60" s="1" t="s">
        <v>91</v>
      </c>
      <c r="D60" s="12">
        <f t="shared" ref="D60:P60" si="49">SUM(D55:D59)</f>
        <v>72.900000000000006</v>
      </c>
      <c r="E60" s="12">
        <f t="shared" si="49"/>
        <v>141.79999999999998</v>
      </c>
      <c r="F60" s="12">
        <f t="shared" si="49"/>
        <v>110.69999999999997</v>
      </c>
      <c r="G60" s="12">
        <f t="shared" si="49"/>
        <v>32.199999999999996</v>
      </c>
      <c r="H60" s="12">
        <f t="shared" si="49"/>
        <v>73.599999999999994</v>
      </c>
      <c r="I60" s="12">
        <f t="shared" si="49"/>
        <v>126.00000000000001</v>
      </c>
      <c r="J60" s="12">
        <f t="shared" si="49"/>
        <v>129</v>
      </c>
      <c r="K60" s="12">
        <f t="shared" si="49"/>
        <v>68.09999999999998</v>
      </c>
      <c r="L60" s="12">
        <f t="shared" si="49"/>
        <v>90.59999999999998</v>
      </c>
      <c r="M60" s="12">
        <f t="shared" si="49"/>
        <v>204.8</v>
      </c>
      <c r="N60" s="12">
        <f t="shared" si="49"/>
        <v>132.20000000000002</v>
      </c>
      <c r="O60" s="12">
        <f t="shared" si="49"/>
        <v>140.1</v>
      </c>
      <c r="P60" s="12">
        <f t="shared" si="49"/>
        <v>120.69999999999999</v>
      </c>
      <c r="Q60" s="12">
        <f>SUM(Q55:Q59)</f>
        <v>229.50000000000003</v>
      </c>
      <c r="R60" s="38">
        <f t="shared" ref="R60:S60" si="50">SUM(R55:R59)</f>
        <v>242.7</v>
      </c>
      <c r="S60" s="12">
        <f t="shared" si="50"/>
        <v>74.600000000000009</v>
      </c>
      <c r="V60" s="12"/>
      <c r="W60" s="12"/>
      <c r="X60" s="12">
        <f t="shared" ref="X60:AD60" si="51">SUM(X55:X59)</f>
        <v>60.099999999999994</v>
      </c>
      <c r="Y60" s="12">
        <f t="shared" si="51"/>
        <v>90.7</v>
      </c>
      <c r="Z60" s="12">
        <f t="shared" si="51"/>
        <v>139.19999999999999</v>
      </c>
      <c r="AA60" s="12">
        <f t="shared" si="51"/>
        <v>127.36499999999997</v>
      </c>
      <c r="AB60" s="12">
        <f t="shared" si="51"/>
        <v>235.1</v>
      </c>
      <c r="AC60" s="12">
        <f t="shared" si="51"/>
        <v>356.5</v>
      </c>
      <c r="AD60" s="12">
        <f t="shared" si="51"/>
        <v>395.90000000000003</v>
      </c>
      <c r="AE60" s="12">
        <f>SUM(AE55:AE59)</f>
        <v>566.70000000000005</v>
      </c>
    </row>
    <row r="61" spans="3:31" x14ac:dyDescent="0.25">
      <c r="D61" s="12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39"/>
      <c r="S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</row>
    <row r="62" spans="3:31" x14ac:dyDescent="0.25">
      <c r="C62" s="2" t="s">
        <v>92</v>
      </c>
      <c r="D62" s="14">
        <v>-4</v>
      </c>
      <c r="E62" s="14">
        <v>-4.0999999999999996</v>
      </c>
      <c r="F62" s="14">
        <v>-2.2999999999999998</v>
      </c>
      <c r="G62" s="14">
        <v>-5.0999999999999996</v>
      </c>
      <c r="H62" s="14">
        <v>-15</v>
      </c>
      <c r="I62" s="14">
        <v>-7.8</v>
      </c>
      <c r="J62" s="14">
        <v>-7.5</v>
      </c>
      <c r="K62" s="14">
        <v>-8.5</v>
      </c>
      <c r="L62" s="14">
        <v>-8.1</v>
      </c>
      <c r="M62" s="14">
        <v>-6.7</v>
      </c>
      <c r="N62" s="14">
        <v>-3.2</v>
      </c>
      <c r="O62" s="14">
        <v>-5.5</v>
      </c>
      <c r="P62" s="14">
        <v>-9.5</v>
      </c>
      <c r="Q62" s="14">
        <v>-3.7</v>
      </c>
      <c r="R62" s="39">
        <v>-6.6</v>
      </c>
      <c r="S62" s="14">
        <v>-5.9</v>
      </c>
      <c r="V62" s="14"/>
      <c r="W62" s="14"/>
      <c r="X62" s="14">
        <v>-1457.354</v>
      </c>
      <c r="Y62" s="14">
        <v>-7</v>
      </c>
      <c r="Z62" s="14">
        <v>-11</v>
      </c>
      <c r="AA62" s="14">
        <v>-7</v>
      </c>
      <c r="AB62" s="14">
        <v>17.7</v>
      </c>
      <c r="AC62" s="14">
        <v>-15.5</v>
      </c>
      <c r="AD62" s="14">
        <v>-4.2</v>
      </c>
      <c r="AE62" s="14">
        <v>-23.5</v>
      </c>
    </row>
    <row r="63" spans="3:31" x14ac:dyDescent="0.25">
      <c r="C63" s="1" t="s">
        <v>93</v>
      </c>
      <c r="D63" s="12">
        <f t="shared" ref="D63:P63" si="52">D62</f>
        <v>-4</v>
      </c>
      <c r="E63" s="12">
        <f t="shared" si="52"/>
        <v>-4.0999999999999996</v>
      </c>
      <c r="F63" s="12">
        <f t="shared" si="52"/>
        <v>-2.2999999999999998</v>
      </c>
      <c r="G63" s="12">
        <f t="shared" si="52"/>
        <v>-5.0999999999999996</v>
      </c>
      <c r="H63" s="12">
        <f t="shared" si="52"/>
        <v>-15</v>
      </c>
      <c r="I63" s="12">
        <f t="shared" si="52"/>
        <v>-7.8</v>
      </c>
      <c r="J63" s="12">
        <f t="shared" si="52"/>
        <v>-7.5</v>
      </c>
      <c r="K63" s="12">
        <f t="shared" si="52"/>
        <v>-8.5</v>
      </c>
      <c r="L63" s="12">
        <f t="shared" si="52"/>
        <v>-8.1</v>
      </c>
      <c r="M63" s="12">
        <f t="shared" si="52"/>
        <v>-6.7</v>
      </c>
      <c r="N63" s="12">
        <f t="shared" si="52"/>
        <v>-3.2</v>
      </c>
      <c r="O63" s="12">
        <f t="shared" si="52"/>
        <v>-5.5</v>
      </c>
      <c r="P63" s="12">
        <f t="shared" si="52"/>
        <v>-9.5</v>
      </c>
      <c r="Q63" s="12">
        <f>Q62</f>
        <v>-3.7</v>
      </c>
      <c r="R63" s="38">
        <f t="shared" ref="R63:S63" si="53">R62</f>
        <v>-6.6</v>
      </c>
      <c r="S63" s="12">
        <f t="shared" si="53"/>
        <v>-5.9</v>
      </c>
      <c r="V63" s="12"/>
      <c r="W63" s="12"/>
      <c r="X63" s="12">
        <f t="shared" ref="X63:AD63" si="54">X62</f>
        <v>-1457.354</v>
      </c>
      <c r="Y63" s="12">
        <f t="shared" si="54"/>
        <v>-7</v>
      </c>
      <c r="Z63" s="12">
        <f t="shared" si="54"/>
        <v>-11</v>
      </c>
      <c r="AA63" s="12">
        <f t="shared" si="54"/>
        <v>-7</v>
      </c>
      <c r="AB63" s="12">
        <f t="shared" si="54"/>
        <v>17.7</v>
      </c>
      <c r="AC63" s="12">
        <f t="shared" si="54"/>
        <v>-15.5</v>
      </c>
      <c r="AD63" s="12">
        <f t="shared" si="54"/>
        <v>-4.2</v>
      </c>
      <c r="AE63" s="12">
        <f>AE62</f>
        <v>-23.5</v>
      </c>
    </row>
    <row r="64" spans="3:31" x14ac:dyDescent="0.25"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39"/>
      <c r="S64" s="14"/>
      <c r="T64" s="1"/>
      <c r="U64" s="1"/>
      <c r="V64" s="12"/>
      <c r="W64" s="12"/>
      <c r="X64" s="12"/>
      <c r="Y64" s="12"/>
      <c r="Z64" s="14"/>
      <c r="AA64" s="14"/>
      <c r="AB64" s="14"/>
      <c r="AC64" s="14"/>
      <c r="AD64" s="14"/>
      <c r="AE64" s="14"/>
    </row>
    <row r="65" spans="3:33" x14ac:dyDescent="0.25">
      <c r="C65" s="2" t="s">
        <v>94</v>
      </c>
      <c r="D65" s="14">
        <v>0</v>
      </c>
      <c r="E65" s="14">
        <v>0</v>
      </c>
      <c r="F65" s="14">
        <v>85</v>
      </c>
      <c r="G65" s="14">
        <v>30</v>
      </c>
      <c r="H65" s="14">
        <v>35</v>
      </c>
      <c r="I65" s="14">
        <v>150</v>
      </c>
      <c r="J65" s="14">
        <v>0</v>
      </c>
      <c r="K65" s="14">
        <v>0</v>
      </c>
      <c r="L65" s="14">
        <v>30</v>
      </c>
      <c r="M65" s="14">
        <v>95</v>
      </c>
      <c r="N65" s="14">
        <v>55</v>
      </c>
      <c r="O65" s="14">
        <v>0</v>
      </c>
      <c r="P65" s="14">
        <v>0</v>
      </c>
      <c r="Q65" s="14">
        <v>680</v>
      </c>
      <c r="R65" s="39">
        <v>100</v>
      </c>
      <c r="S65" s="14">
        <v>60</v>
      </c>
      <c r="T65" s="1"/>
      <c r="U65" s="1"/>
      <c r="V65" s="12"/>
      <c r="W65" s="12"/>
      <c r="X65" s="14">
        <f>380.8+1360.29</f>
        <v>1741.09</v>
      </c>
      <c r="Y65" s="14">
        <v>262.38499999999999</v>
      </c>
      <c r="Z65" s="14">
        <v>285.72500000000002</v>
      </c>
      <c r="AA65" s="14">
        <v>0</v>
      </c>
      <c r="AB65" s="14">
        <v>500</v>
      </c>
      <c r="AC65" s="14">
        <v>115</v>
      </c>
      <c r="AD65" s="14">
        <v>185</v>
      </c>
      <c r="AE65" s="14">
        <v>180</v>
      </c>
    </row>
    <row r="66" spans="3:33" x14ac:dyDescent="0.25">
      <c r="C66" s="2" t="s">
        <v>95</v>
      </c>
      <c r="D66" s="14">
        <v>-65</v>
      </c>
      <c r="E66" s="14">
        <v>0</v>
      </c>
      <c r="F66" s="14">
        <v>0</v>
      </c>
      <c r="G66" s="14">
        <v>0</v>
      </c>
      <c r="H66" s="14">
        <v>-15</v>
      </c>
      <c r="I66" s="14">
        <v>0</v>
      </c>
      <c r="J66" s="14">
        <v>0</v>
      </c>
      <c r="K66" s="14">
        <v>0</v>
      </c>
      <c r="L66" s="14">
        <v>0</v>
      </c>
      <c r="M66" s="14">
        <v>-100</v>
      </c>
      <c r="N66" s="14">
        <v>-30</v>
      </c>
      <c r="O66" s="14">
        <v>-80</v>
      </c>
      <c r="P66" s="14">
        <v>-30</v>
      </c>
      <c r="Q66" s="14">
        <v>-570</v>
      </c>
      <c r="R66" s="39">
        <v>-50</v>
      </c>
      <c r="S66" s="14">
        <v>-60</v>
      </c>
      <c r="T66" s="1"/>
      <c r="U66" s="1"/>
      <c r="V66" s="14"/>
      <c r="W66" s="14"/>
      <c r="X66" s="14">
        <v>-210</v>
      </c>
      <c r="Y66" s="14">
        <v>-169.77799999999999</v>
      </c>
      <c r="Z66" s="14">
        <v>-125</v>
      </c>
      <c r="AA66" s="14">
        <v>0</v>
      </c>
      <c r="AB66" s="14">
        <v>-908.6</v>
      </c>
      <c r="AC66" s="14">
        <v>-65</v>
      </c>
      <c r="AD66" s="14">
        <v>-15</v>
      </c>
      <c r="AE66" s="14">
        <v>-210</v>
      </c>
    </row>
    <row r="67" spans="3:33" x14ac:dyDescent="0.25">
      <c r="C67" s="2" t="s">
        <v>96</v>
      </c>
      <c r="D67" s="14">
        <v>-1.9</v>
      </c>
      <c r="E67" s="14">
        <v>-2</v>
      </c>
      <c r="F67" s="14">
        <v>-1.9</v>
      </c>
      <c r="G67" s="14">
        <v>0.7</v>
      </c>
      <c r="H67" s="14">
        <v>-4.8</v>
      </c>
      <c r="I67" s="14">
        <v>-2.7</v>
      </c>
      <c r="J67" s="14">
        <v>-2.7</v>
      </c>
      <c r="K67" s="14">
        <v>-2.8</v>
      </c>
      <c r="L67" s="14">
        <v>-2.8</v>
      </c>
      <c r="M67" s="14">
        <v>-2.7</v>
      </c>
      <c r="N67" s="14">
        <v>-2.9</v>
      </c>
      <c r="O67" s="14">
        <v>-3.2</v>
      </c>
      <c r="P67" s="14">
        <v>-3.1</v>
      </c>
      <c r="Q67" s="14">
        <v>-3.1</v>
      </c>
      <c r="R67" s="39">
        <v>-3.2</v>
      </c>
      <c r="S67" s="14">
        <v>-3.1</v>
      </c>
      <c r="T67" s="1"/>
      <c r="U67" s="1"/>
      <c r="V67" s="14"/>
      <c r="W67" s="14"/>
      <c r="X67" s="14">
        <v>0</v>
      </c>
      <c r="Y67" s="14">
        <v>0</v>
      </c>
      <c r="Z67" s="14">
        <f>-325.555-6</f>
        <v>-331.55500000000001</v>
      </c>
      <c r="AA67" s="14">
        <f>-7-86.24</f>
        <v>-93.24</v>
      </c>
      <c r="AB67" s="14">
        <v>-7.5</v>
      </c>
      <c r="AC67" s="14">
        <v>-6.5</v>
      </c>
      <c r="AD67" s="14">
        <v>-13</v>
      </c>
      <c r="AE67" s="14">
        <v>-11.6</v>
      </c>
    </row>
    <row r="68" spans="3:33" x14ac:dyDescent="0.25">
      <c r="C68" s="2" t="s">
        <v>97</v>
      </c>
      <c r="D68" s="14">
        <v>0</v>
      </c>
      <c r="E68" s="14">
        <v>3.5</v>
      </c>
      <c r="F68" s="14">
        <v>0</v>
      </c>
      <c r="G68" s="14">
        <v>1.1000000000000001</v>
      </c>
      <c r="H68" s="14">
        <v>0</v>
      </c>
      <c r="I68" s="14">
        <v>4.2</v>
      </c>
      <c r="J68" s="14">
        <v>0.8</v>
      </c>
      <c r="K68" s="14">
        <v>0</v>
      </c>
      <c r="L68" s="14">
        <v>0</v>
      </c>
      <c r="M68" s="14">
        <v>50.9</v>
      </c>
      <c r="N68" s="14">
        <v>0</v>
      </c>
      <c r="O68" s="14">
        <v>0</v>
      </c>
      <c r="P68" s="14">
        <v>0</v>
      </c>
      <c r="Q68" s="14">
        <v>31</v>
      </c>
      <c r="R68" s="39">
        <v>0</v>
      </c>
      <c r="S68" s="14">
        <v>0</v>
      </c>
      <c r="T68" s="1"/>
      <c r="U68" s="1"/>
      <c r="V68" s="14"/>
      <c r="W68" s="14"/>
      <c r="X68" s="14">
        <v>0</v>
      </c>
      <c r="Y68" s="14">
        <v>0</v>
      </c>
      <c r="Z68" s="14">
        <v>-50</v>
      </c>
      <c r="AA68" s="14">
        <v>0</v>
      </c>
      <c r="AB68" s="14">
        <f>11.8-1</f>
        <v>10.8</v>
      </c>
      <c r="AC68" s="14">
        <f>4.6-0.2</f>
        <v>4.3999999999999995</v>
      </c>
      <c r="AD68" s="14">
        <v>5</v>
      </c>
      <c r="AE68" s="14">
        <v>50.9</v>
      </c>
    </row>
    <row r="69" spans="3:33" x14ac:dyDescent="0.25">
      <c r="C69" s="2" t="s">
        <v>98</v>
      </c>
      <c r="D69" s="14">
        <v>0</v>
      </c>
      <c r="E69" s="14">
        <v>-0.7</v>
      </c>
      <c r="F69" s="14">
        <v>0</v>
      </c>
      <c r="G69" s="14">
        <v>0</v>
      </c>
      <c r="H69" s="14">
        <v>0</v>
      </c>
      <c r="I69" s="14">
        <v>0</v>
      </c>
      <c r="J69" s="14">
        <v>-0.4</v>
      </c>
      <c r="K69" s="14">
        <v>0</v>
      </c>
      <c r="L69" s="14">
        <v>0</v>
      </c>
      <c r="M69" s="14">
        <v>0</v>
      </c>
      <c r="N69" s="14">
        <v>0</v>
      </c>
      <c r="O69" s="14">
        <v>-0.7</v>
      </c>
      <c r="P69" s="14">
        <v>0</v>
      </c>
      <c r="Q69" s="14">
        <v>-1</v>
      </c>
      <c r="R69" s="39">
        <v>0</v>
      </c>
      <c r="S69" s="14">
        <v>-0.1</v>
      </c>
      <c r="T69" s="1"/>
      <c r="U69" s="1"/>
      <c r="V69" s="14"/>
      <c r="W69" s="14"/>
      <c r="X69" s="14">
        <v>0</v>
      </c>
      <c r="Y69" s="14">
        <v>0</v>
      </c>
      <c r="Z69" s="14">
        <v>2</v>
      </c>
      <c r="AA69" s="14">
        <v>0</v>
      </c>
      <c r="AB69" s="14">
        <v>0</v>
      </c>
      <c r="AC69" s="14">
        <v>-0.8</v>
      </c>
      <c r="AD69" s="14">
        <v>-0.4</v>
      </c>
      <c r="AE69" s="14">
        <v>-0.7</v>
      </c>
    </row>
    <row r="70" spans="3:33" x14ac:dyDescent="0.25">
      <c r="C70" s="2" t="s">
        <v>99</v>
      </c>
      <c r="D70" s="14">
        <v>0</v>
      </c>
      <c r="E70" s="14">
        <v>-40.299999999999997</v>
      </c>
      <c r="F70" s="14">
        <v>-205.5</v>
      </c>
      <c r="G70" s="14">
        <v>-80.3</v>
      </c>
      <c r="H70" s="14">
        <v>-94.5</v>
      </c>
      <c r="I70" s="14">
        <v>-94.8</v>
      </c>
      <c r="J70" s="14">
        <v>-119.5</v>
      </c>
      <c r="K70" s="14">
        <v>-109.7</v>
      </c>
      <c r="L70" s="14">
        <v>-115.7</v>
      </c>
      <c r="M70" s="14">
        <v>-103.7</v>
      </c>
      <c r="N70" s="14">
        <v>-124.6</v>
      </c>
      <c r="O70" s="14">
        <v>-83.7</v>
      </c>
      <c r="P70" s="14">
        <v>-119.3</v>
      </c>
      <c r="Q70" s="14">
        <v>-141</v>
      </c>
      <c r="R70" s="39">
        <v>-148.69999999999999</v>
      </c>
      <c r="S70" s="14">
        <v>-157.6</v>
      </c>
      <c r="T70" s="1"/>
      <c r="U70" s="1"/>
      <c r="V70" s="12"/>
      <c r="W70" s="12"/>
      <c r="X70" s="14">
        <v>0</v>
      </c>
      <c r="Y70" s="14">
        <v>0</v>
      </c>
      <c r="Z70" s="14">
        <v>0</v>
      </c>
      <c r="AA70" s="14">
        <v>0</v>
      </c>
      <c r="AB70" s="14">
        <v>0</v>
      </c>
      <c r="AC70" s="14">
        <v>-326.10000000000002</v>
      </c>
      <c r="AD70" s="14">
        <v>-418.5</v>
      </c>
      <c r="AE70" s="14">
        <v>-427.7</v>
      </c>
    </row>
    <row r="71" spans="3:33" x14ac:dyDescent="0.25">
      <c r="C71" s="2" t="s">
        <v>100</v>
      </c>
      <c r="D71" s="14">
        <v>0</v>
      </c>
      <c r="E71" s="14">
        <v>-55.6</v>
      </c>
      <c r="F71" s="14">
        <v>0</v>
      </c>
      <c r="G71" s="14">
        <v>0</v>
      </c>
      <c r="H71" s="14">
        <v>0</v>
      </c>
      <c r="I71" s="14">
        <v>-98</v>
      </c>
      <c r="J71" s="14">
        <v>0</v>
      </c>
      <c r="K71" s="14">
        <v>0</v>
      </c>
      <c r="L71" s="14">
        <v>0</v>
      </c>
      <c r="M71" s="14">
        <v>-115.2</v>
      </c>
      <c r="N71" s="14">
        <v>0</v>
      </c>
      <c r="O71" s="14">
        <v>0</v>
      </c>
      <c r="P71" s="14">
        <v>0</v>
      </c>
      <c r="Q71" s="14">
        <v>-161.6</v>
      </c>
      <c r="R71" s="39">
        <v>0</v>
      </c>
      <c r="S71" s="14">
        <v>0</v>
      </c>
      <c r="V71" s="14"/>
      <c r="W71" s="14"/>
      <c r="X71" s="14">
        <v>0</v>
      </c>
      <c r="Y71" s="14">
        <v>0</v>
      </c>
      <c r="Z71" s="14">
        <v>0</v>
      </c>
      <c r="AA71" s="14">
        <v>0</v>
      </c>
      <c r="AB71" s="14">
        <v>0</v>
      </c>
      <c r="AC71" s="14">
        <v>-55.6</v>
      </c>
      <c r="AD71" s="14">
        <v>-98</v>
      </c>
      <c r="AE71" s="14">
        <v>-115.2</v>
      </c>
      <c r="AG71" s="14">
        <f>SUM(AE70:AE71)</f>
        <v>-542.9</v>
      </c>
    </row>
    <row r="72" spans="3:33" x14ac:dyDescent="0.25">
      <c r="C72" s="1" t="s">
        <v>101</v>
      </c>
      <c r="D72" s="12">
        <f t="shared" ref="D72:P72" si="55">SUM(D65:D71)</f>
        <v>-66.900000000000006</v>
      </c>
      <c r="E72" s="12">
        <f t="shared" si="55"/>
        <v>-95.1</v>
      </c>
      <c r="F72" s="12">
        <f t="shared" si="55"/>
        <v>-122.4</v>
      </c>
      <c r="G72" s="12">
        <f t="shared" si="55"/>
        <v>-48.5</v>
      </c>
      <c r="H72" s="12">
        <f t="shared" si="55"/>
        <v>-79.3</v>
      </c>
      <c r="I72" s="12">
        <f t="shared" si="55"/>
        <v>-41.3</v>
      </c>
      <c r="J72" s="12">
        <f t="shared" si="55"/>
        <v>-121.8</v>
      </c>
      <c r="K72" s="12">
        <f t="shared" si="55"/>
        <v>-112.5</v>
      </c>
      <c r="L72" s="12">
        <f t="shared" si="55"/>
        <v>-88.5</v>
      </c>
      <c r="M72" s="12">
        <f t="shared" si="55"/>
        <v>-175.70000000000002</v>
      </c>
      <c r="N72" s="12">
        <f t="shared" si="55"/>
        <v>-102.5</v>
      </c>
      <c r="O72" s="12">
        <f t="shared" si="55"/>
        <v>-167.60000000000002</v>
      </c>
      <c r="P72" s="12">
        <f t="shared" si="55"/>
        <v>-152.4</v>
      </c>
      <c r="Q72" s="12">
        <f>SUM(Q65:Q71)</f>
        <v>-165.7</v>
      </c>
      <c r="R72" s="38">
        <f t="shared" ref="R72:S72" si="56">SUM(R65:R71)</f>
        <v>-101.89999999999999</v>
      </c>
      <c r="S72" s="12">
        <f t="shared" si="56"/>
        <v>-160.79999999999998</v>
      </c>
      <c r="V72" s="12"/>
      <c r="W72" s="12"/>
      <c r="X72" s="12">
        <f t="shared" ref="X72:AD72" si="57">SUM(X65:X71)</f>
        <v>1531.09</v>
      </c>
      <c r="Y72" s="12">
        <f t="shared" si="57"/>
        <v>92.606999999999999</v>
      </c>
      <c r="Z72" s="12">
        <f t="shared" si="57"/>
        <v>-218.82999999999998</v>
      </c>
      <c r="AA72" s="12">
        <f t="shared" si="57"/>
        <v>-93.24</v>
      </c>
      <c r="AB72" s="12">
        <f t="shared" si="57"/>
        <v>-405.3</v>
      </c>
      <c r="AC72" s="12">
        <f t="shared" si="57"/>
        <v>-334.6</v>
      </c>
      <c r="AD72" s="12">
        <f t="shared" si="57"/>
        <v>-354.9</v>
      </c>
      <c r="AE72" s="12">
        <f>SUM(AE65:AE71)</f>
        <v>-534.29999999999995</v>
      </c>
    </row>
    <row r="73" spans="3:33" x14ac:dyDescent="0.25"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39"/>
      <c r="S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</row>
    <row r="74" spans="3:33" x14ac:dyDescent="0.25">
      <c r="C74" s="2" t="s">
        <v>102</v>
      </c>
      <c r="D74" s="14">
        <f t="shared" ref="D74:P74" si="58">D60+D63+D72</f>
        <v>2</v>
      </c>
      <c r="E74" s="14">
        <f t="shared" si="58"/>
        <v>42.599999999999994</v>
      </c>
      <c r="F74" s="14">
        <f t="shared" si="58"/>
        <v>-14.000000000000028</v>
      </c>
      <c r="G74" s="14">
        <f t="shared" si="58"/>
        <v>-21.400000000000006</v>
      </c>
      <c r="H74" s="14">
        <f t="shared" si="58"/>
        <v>-20.700000000000003</v>
      </c>
      <c r="I74" s="14">
        <f t="shared" si="58"/>
        <v>76.90000000000002</v>
      </c>
      <c r="J74" s="14">
        <f t="shared" si="58"/>
        <v>-0.29999999999999716</v>
      </c>
      <c r="K74" s="14">
        <f t="shared" si="58"/>
        <v>-52.90000000000002</v>
      </c>
      <c r="L74" s="14">
        <f t="shared" si="58"/>
        <v>-6.0000000000000142</v>
      </c>
      <c r="M74" s="14">
        <f t="shared" si="58"/>
        <v>22.400000000000006</v>
      </c>
      <c r="N74" s="14">
        <f t="shared" si="58"/>
        <v>26.500000000000028</v>
      </c>
      <c r="O74" s="14">
        <f t="shared" si="58"/>
        <v>-33.000000000000028</v>
      </c>
      <c r="P74" s="14">
        <f t="shared" si="58"/>
        <v>-41.200000000000017</v>
      </c>
      <c r="Q74" s="14">
        <f>Q60+Q63+Q72</f>
        <v>60.100000000000051</v>
      </c>
      <c r="R74" s="39">
        <f t="shared" ref="R74:S74" si="59">R60+R63+R72</f>
        <v>134.19999999999999</v>
      </c>
      <c r="S74" s="14">
        <f t="shared" si="59"/>
        <v>-92.09999999999998</v>
      </c>
      <c r="V74" s="14"/>
      <c r="W74" s="14"/>
      <c r="X74" s="14">
        <f t="shared" ref="X74:AE74" si="60">X60+X63+X72</f>
        <v>133.83599999999979</v>
      </c>
      <c r="Y74" s="14">
        <f t="shared" si="60"/>
        <v>176.30700000000002</v>
      </c>
      <c r="Z74" s="14">
        <f t="shared" si="60"/>
        <v>-90.63</v>
      </c>
      <c r="AA74" s="14">
        <f t="shared" si="60"/>
        <v>27.124999999999972</v>
      </c>
      <c r="AB74" s="14">
        <f t="shared" si="60"/>
        <v>-152.50000000000003</v>
      </c>
      <c r="AC74" s="14">
        <f t="shared" si="60"/>
        <v>6.3999999999999773</v>
      </c>
      <c r="AD74" s="14">
        <f t="shared" si="60"/>
        <v>36.800000000000068</v>
      </c>
      <c r="AE74" s="14">
        <f t="shared" si="60"/>
        <v>8.9000000000000909</v>
      </c>
    </row>
    <row r="75" spans="3:33" x14ac:dyDescent="0.25"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39"/>
      <c r="S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</row>
    <row r="76" spans="3:33" x14ac:dyDescent="0.25">
      <c r="C76" s="2" t="s">
        <v>103</v>
      </c>
      <c r="D76" s="14">
        <f t="shared" ref="D76:P76" si="61">D60+D62</f>
        <v>68.900000000000006</v>
      </c>
      <c r="E76" s="14">
        <f t="shared" si="61"/>
        <v>137.69999999999999</v>
      </c>
      <c r="F76" s="14">
        <f t="shared" si="61"/>
        <v>108.39999999999998</v>
      </c>
      <c r="G76" s="14">
        <f t="shared" si="61"/>
        <v>27.099999999999994</v>
      </c>
      <c r="H76" s="14">
        <f t="shared" si="61"/>
        <v>58.599999999999994</v>
      </c>
      <c r="I76" s="14">
        <f t="shared" si="61"/>
        <v>118.20000000000002</v>
      </c>
      <c r="J76" s="14">
        <f t="shared" si="61"/>
        <v>121.5</v>
      </c>
      <c r="K76" s="14">
        <f t="shared" si="61"/>
        <v>59.59999999999998</v>
      </c>
      <c r="L76" s="14">
        <f t="shared" si="61"/>
        <v>82.499999999999986</v>
      </c>
      <c r="M76" s="14">
        <f t="shared" si="61"/>
        <v>198.10000000000002</v>
      </c>
      <c r="N76" s="14">
        <f t="shared" si="61"/>
        <v>129.00000000000003</v>
      </c>
      <c r="O76" s="14">
        <f t="shared" si="61"/>
        <v>134.6</v>
      </c>
      <c r="P76" s="14">
        <f t="shared" si="61"/>
        <v>111.19999999999999</v>
      </c>
      <c r="Q76" s="14">
        <f>Q60+Q62</f>
        <v>225.80000000000004</v>
      </c>
      <c r="R76" s="39">
        <f t="shared" ref="R76:S76" si="62">R60+R62</f>
        <v>236.1</v>
      </c>
      <c r="S76" s="14">
        <f t="shared" si="62"/>
        <v>68.7</v>
      </c>
      <c r="U76" s="14"/>
      <c r="V76" s="35"/>
      <c r="W76" s="14"/>
      <c r="X76" s="14">
        <f t="shared" ref="X76:AE76" si="63">X60+X62</f>
        <v>-1397.2540000000001</v>
      </c>
      <c r="Y76" s="14">
        <f t="shared" si="63"/>
        <v>83.7</v>
      </c>
      <c r="Z76" s="14">
        <f t="shared" si="63"/>
        <v>128.19999999999999</v>
      </c>
      <c r="AA76" s="14">
        <f t="shared" si="63"/>
        <v>120.36499999999997</v>
      </c>
      <c r="AB76" s="14">
        <f t="shared" si="63"/>
        <v>252.79999999999998</v>
      </c>
      <c r="AC76" s="14">
        <f t="shared" si="63"/>
        <v>341</v>
      </c>
      <c r="AD76" s="14">
        <f t="shared" si="63"/>
        <v>391.70000000000005</v>
      </c>
      <c r="AE76" s="14">
        <f t="shared" si="63"/>
        <v>543.20000000000005</v>
      </c>
    </row>
    <row r="78" spans="3:33" x14ac:dyDescent="0.25"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47"/>
      <c r="S78" s="11"/>
    </row>
    <row r="79" spans="3:33" x14ac:dyDescent="0.25"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48"/>
      <c r="S79" s="1"/>
    </row>
    <row r="82" spans="4:31" x14ac:dyDescent="0.25">
      <c r="V82" s="14"/>
      <c r="W82" s="14"/>
      <c r="X82" s="14"/>
      <c r="Y82" s="14"/>
      <c r="Z82" s="14"/>
      <c r="AA82" s="14"/>
      <c r="AB82" s="14"/>
      <c r="AC82" s="14"/>
      <c r="AD82" s="14"/>
      <c r="AE82" s="14"/>
    </row>
    <row r="83" spans="4:31" x14ac:dyDescent="0.25">
      <c r="V83" s="14"/>
      <c r="W83" s="14"/>
      <c r="X83" s="14"/>
      <c r="Y83" s="14"/>
      <c r="Z83" s="14"/>
      <c r="AA83" s="14"/>
      <c r="AB83" s="14"/>
      <c r="AC83" s="14"/>
      <c r="AD83" s="14"/>
      <c r="AE83" s="14"/>
    </row>
    <row r="84" spans="4:31" x14ac:dyDescent="0.25"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39"/>
      <c r="S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</row>
    <row r="85" spans="4:31" x14ac:dyDescent="0.25"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39"/>
      <c r="S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</row>
    <row r="86" spans="4:31" x14ac:dyDescent="0.25"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39"/>
      <c r="S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</row>
    <row r="87" spans="4:31" x14ac:dyDescent="0.25"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39"/>
      <c r="S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</row>
    <row r="88" spans="4:31" x14ac:dyDescent="0.25"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39"/>
      <c r="S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</row>
    <row r="89" spans="4:31" x14ac:dyDescent="0.25"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39"/>
      <c r="S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</row>
    <row r="90" spans="4:31" x14ac:dyDescent="0.25"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39"/>
      <c r="S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</row>
    <row r="91" spans="4:31" x14ac:dyDescent="0.25"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39"/>
      <c r="S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</row>
    <row r="92" spans="4:31" x14ac:dyDescent="0.25"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39"/>
      <c r="S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</row>
    <row r="93" spans="4:31" x14ac:dyDescent="0.25"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39"/>
      <c r="S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</row>
    <row r="94" spans="4:31" x14ac:dyDescent="0.25"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39"/>
      <c r="S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</row>
    <row r="95" spans="4:31" x14ac:dyDescent="0.25"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39"/>
      <c r="S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</row>
    <row r="96" spans="4:31" x14ac:dyDescent="0.25"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39"/>
      <c r="S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</row>
    <row r="97" spans="3:32" x14ac:dyDescent="0.25">
      <c r="C97" s="1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38"/>
      <c r="S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</row>
    <row r="98" spans="3:32" x14ac:dyDescent="0.25">
      <c r="C98" s="1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38"/>
      <c r="S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</row>
    <row r="99" spans="3:32" x14ac:dyDescent="0.25"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47"/>
      <c r="S99" s="11"/>
      <c r="T99" s="11"/>
      <c r="U99" s="11"/>
      <c r="V99" s="11"/>
      <c r="W99" s="22"/>
      <c r="X99" s="22"/>
      <c r="Y99" s="22"/>
      <c r="Z99" s="22"/>
      <c r="AA99" s="22"/>
      <c r="AB99" s="22"/>
      <c r="AC99" s="22"/>
      <c r="AD99" s="22"/>
      <c r="AE99" s="22"/>
      <c r="AF99" s="23"/>
    </row>
    <row r="100" spans="3:32" x14ac:dyDescent="0.25"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39"/>
      <c r="S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</row>
    <row r="101" spans="3:32" x14ac:dyDescent="0.25"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39"/>
      <c r="S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</row>
    <row r="102" spans="3:32" x14ac:dyDescent="0.25"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39"/>
      <c r="S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</row>
    <row r="103" spans="3:32" x14ac:dyDescent="0.25"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39"/>
      <c r="S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</row>
    <row r="104" spans="3:32" x14ac:dyDescent="0.25"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39"/>
      <c r="S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</row>
    <row r="105" spans="3:32" x14ac:dyDescent="0.25"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39"/>
      <c r="S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</row>
    <row r="106" spans="3:32" x14ac:dyDescent="0.25"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39"/>
      <c r="S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</row>
    <row r="107" spans="3:32" x14ac:dyDescent="0.25"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39"/>
      <c r="S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</row>
    <row r="108" spans="3:32" x14ac:dyDescent="0.25"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39"/>
      <c r="S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</row>
    <row r="109" spans="3:32" x14ac:dyDescent="0.25"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39"/>
      <c r="S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</row>
    <row r="110" spans="3:32" x14ac:dyDescent="0.25">
      <c r="C110" s="1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38"/>
      <c r="S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</row>
    <row r="111" spans="3:32" x14ac:dyDescent="0.25"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39"/>
      <c r="S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</row>
    <row r="112" spans="3:32" x14ac:dyDescent="0.25"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39"/>
      <c r="S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</row>
    <row r="113" spans="3:31" x14ac:dyDescent="0.25"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39"/>
      <c r="S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</row>
    <row r="114" spans="3:31" x14ac:dyDescent="0.25"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39"/>
      <c r="S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</row>
    <row r="115" spans="3:31" x14ac:dyDescent="0.25"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39"/>
      <c r="S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</row>
    <row r="116" spans="3:31" x14ac:dyDescent="0.25"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39"/>
      <c r="S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</row>
    <row r="117" spans="3:31" x14ac:dyDescent="0.25"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39"/>
      <c r="S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</row>
    <row r="118" spans="3:31" x14ac:dyDescent="0.25"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39"/>
      <c r="S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</row>
    <row r="119" spans="3:31" x14ac:dyDescent="0.25"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39"/>
      <c r="S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</row>
    <row r="120" spans="3:31" x14ac:dyDescent="0.25"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39"/>
      <c r="S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</row>
    <row r="121" spans="3:31" x14ac:dyDescent="0.25"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39"/>
      <c r="S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</row>
    <row r="122" spans="3:31" x14ac:dyDescent="0.25"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39"/>
      <c r="S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</row>
    <row r="123" spans="3:31" x14ac:dyDescent="0.25">
      <c r="C123" s="1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38"/>
      <c r="S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</row>
    <row r="124" spans="3:31" x14ac:dyDescent="0.25"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2"/>
      <c r="R124" s="39"/>
      <c r="S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</row>
    <row r="125" spans="3:31" x14ac:dyDescent="0.25"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39"/>
      <c r="S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</row>
    <row r="126" spans="3:31" x14ac:dyDescent="0.25"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39"/>
      <c r="S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</row>
    <row r="127" spans="3:31" x14ac:dyDescent="0.25"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39"/>
      <c r="S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</row>
    <row r="128" spans="3:31" x14ac:dyDescent="0.25"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39"/>
      <c r="S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</row>
    <row r="129" spans="4:31" x14ac:dyDescent="0.25"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39"/>
      <c r="S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</row>
  </sheetData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A1"/>
  <sheetViews>
    <sheetView showGridLines="0" workbookViewId="0">
      <selection activeCell="D6" sqref="D6"/>
    </sheetView>
  </sheetViews>
  <sheetFormatPr baseColWidth="10" defaultRowHeight="16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G6"/>
  <sheetViews>
    <sheetView showGridLines="0" workbookViewId="0">
      <selection activeCell="G10" sqref="G10"/>
    </sheetView>
  </sheetViews>
  <sheetFormatPr baseColWidth="10" defaultRowHeight="16" x14ac:dyDescent="0.2"/>
  <cols>
    <col min="3" max="3" width="29.5" bestFit="1" customWidth="1"/>
    <col min="4" max="7" width="18.6640625" bestFit="1" customWidth="1"/>
  </cols>
  <sheetData>
    <row r="4" spans="3:7" ht="62" x14ac:dyDescent="0.7">
      <c r="C4" s="29"/>
      <c r="D4" s="29">
        <v>2025</v>
      </c>
      <c r="E4" s="29">
        <v>2026</v>
      </c>
      <c r="F4" s="29">
        <v>2027</v>
      </c>
      <c r="G4" s="29">
        <v>2028</v>
      </c>
    </row>
    <row r="5" spans="3:7" ht="62" x14ac:dyDescent="0.7">
      <c r="C5" s="29" t="s">
        <v>29</v>
      </c>
      <c r="D5" s="30">
        <f>Modell!$B$9/Modell!AF11</f>
        <v>20.991526970282319</v>
      </c>
      <c r="E5" s="30">
        <f>Modell!$B$9/Modell!AG11</f>
        <v>18.756743231742529</v>
      </c>
      <c r="F5" s="30">
        <f>Modell!$B$9/Modell!AH11</f>
        <v>16.386704686531271</v>
      </c>
      <c r="G5" s="30">
        <f>Modell!$B$9/Modell!AI11</f>
        <v>14.249308423070667</v>
      </c>
    </row>
    <row r="6" spans="3:7" ht="62" x14ac:dyDescent="0.7">
      <c r="C6" s="29" t="s">
        <v>30</v>
      </c>
      <c r="D6" s="30">
        <f>Modell!$B$4/Modell!AF17</f>
        <v>26.186131386861312</v>
      </c>
      <c r="E6" s="30">
        <f>Modell!$B$4/Modell!AG17</f>
        <v>22.400530807504129</v>
      </c>
      <c r="F6" s="30">
        <f>Modell!$B$4/Modell!AH17</f>
        <v>19.57007560581798</v>
      </c>
      <c r="G6" s="30">
        <f>Modell!$B$4/Modell!AI17</f>
        <v>17.01745704853737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E88D3-8920-4B4C-A6FE-8E4196A56417}">
  <dimension ref="A3:GB23"/>
  <sheetViews>
    <sheetView showGridLines="0" workbookViewId="0">
      <pane xSplit="3" ySplit="3" topLeftCell="K4" activePane="bottomRight" state="frozen"/>
      <selection pane="topRight" activeCell="D1" sqref="D1"/>
      <selection pane="bottomLeft" activeCell="A4" sqref="A4"/>
      <selection pane="bottomRight" activeCell="R27" sqref="R27"/>
    </sheetView>
  </sheetViews>
  <sheetFormatPr baseColWidth="10" defaultRowHeight="19" x14ac:dyDescent="0.25"/>
  <cols>
    <col min="1" max="1" width="10.83203125" style="2"/>
    <col min="2" max="2" width="24.1640625" style="4" customWidth="1"/>
    <col min="3" max="3" width="31.5" style="2" customWidth="1"/>
    <col min="4" max="23" width="10.83203125" style="2"/>
    <col min="24" max="24" width="14.1640625" style="2" bestFit="1" customWidth="1"/>
    <col min="25" max="25" width="13.33203125" style="2" bestFit="1" customWidth="1"/>
    <col min="26" max="16384" width="10.83203125" style="2"/>
  </cols>
  <sheetData>
    <row r="3" spans="1:184" x14ac:dyDescent="0.25">
      <c r="A3" s="1" t="s">
        <v>40</v>
      </c>
      <c r="D3" s="7" t="s">
        <v>41</v>
      </c>
      <c r="E3" s="7" t="s">
        <v>42</v>
      </c>
      <c r="F3" s="7" t="s">
        <v>32</v>
      </c>
      <c r="G3" s="7" t="s">
        <v>33</v>
      </c>
      <c r="H3" s="7" t="s">
        <v>34</v>
      </c>
      <c r="I3" s="7" t="s">
        <v>15</v>
      </c>
      <c r="J3" s="7" t="s">
        <v>16</v>
      </c>
      <c r="K3" s="7" t="s">
        <v>17</v>
      </c>
      <c r="L3" s="16" t="s">
        <v>18</v>
      </c>
      <c r="M3" s="7" t="s">
        <v>19</v>
      </c>
      <c r="N3" s="7" t="s">
        <v>20</v>
      </c>
      <c r="O3" s="7" t="s">
        <v>21</v>
      </c>
      <c r="P3" s="7" t="s">
        <v>22</v>
      </c>
      <c r="Q3" s="7" t="s">
        <v>23</v>
      </c>
      <c r="R3" s="7" t="s">
        <v>24</v>
      </c>
      <c r="S3" s="7" t="s">
        <v>25</v>
      </c>
      <c r="T3" s="7" t="s">
        <v>26</v>
      </c>
      <c r="U3" s="7" t="s">
        <v>27</v>
      </c>
      <c r="V3" s="7" t="s">
        <v>28</v>
      </c>
    </row>
    <row r="4" spans="1:184" x14ac:dyDescent="0.25">
      <c r="A4" s="1" t="s">
        <v>110</v>
      </c>
      <c r="C4" s="1" t="s">
        <v>51</v>
      </c>
      <c r="D4" s="12">
        <v>318.47500000000002</v>
      </c>
      <c r="E4" s="12">
        <v>374</v>
      </c>
      <c r="F4" s="12">
        <v>446.36900000000003</v>
      </c>
      <c r="G4" s="12">
        <v>545.846</v>
      </c>
      <c r="H4" s="12">
        <v>729.9</v>
      </c>
      <c r="I4" s="12">
        <v>891.8</v>
      </c>
      <c r="J4" s="12">
        <v>1007</v>
      </c>
      <c r="K4" s="12">
        <v>1396.7</v>
      </c>
      <c r="L4" s="13">
        <f>K4*1.11</f>
        <v>1550.3370000000002</v>
      </c>
      <c r="M4" s="12">
        <f>L4*1.1</f>
        <v>1705.3707000000004</v>
      </c>
      <c r="N4" s="12">
        <f t="shared" ref="N4:V4" si="0">M4*1.1</f>
        <v>1875.9077700000005</v>
      </c>
      <c r="O4" s="12">
        <f t="shared" si="0"/>
        <v>2063.4985470000006</v>
      </c>
      <c r="P4" s="12">
        <f t="shared" si="0"/>
        <v>2269.848401700001</v>
      </c>
      <c r="Q4" s="12">
        <f t="shared" si="0"/>
        <v>2496.8332418700011</v>
      </c>
      <c r="R4" s="12">
        <f t="shared" si="0"/>
        <v>2746.5165660570015</v>
      </c>
      <c r="S4" s="12">
        <f t="shared" si="0"/>
        <v>3021.1682226627017</v>
      </c>
      <c r="T4" s="12">
        <f t="shared" si="0"/>
        <v>3323.2850449289722</v>
      </c>
      <c r="U4" s="12">
        <f t="shared" si="0"/>
        <v>3655.6135494218697</v>
      </c>
      <c r="V4" s="12">
        <f t="shared" si="0"/>
        <v>4021.1749043640571</v>
      </c>
    </row>
    <row r="5" spans="1:184" x14ac:dyDescent="0.25">
      <c r="A5" s="34">
        <f>Y22</f>
        <v>130.28724824882357</v>
      </c>
      <c r="C5" s="2" t="s">
        <v>52</v>
      </c>
      <c r="D5" s="14">
        <v>0</v>
      </c>
      <c r="E5" s="14">
        <v>0</v>
      </c>
      <c r="F5" s="14">
        <v>4.3</v>
      </c>
      <c r="G5" s="14">
        <v>3.9</v>
      </c>
      <c r="H5" s="14">
        <v>4.5999999999999996</v>
      </c>
      <c r="I5" s="14">
        <v>10</v>
      </c>
      <c r="J5" s="14">
        <v>13</v>
      </c>
      <c r="K5" s="14">
        <v>10.7</v>
      </c>
      <c r="L5" s="15">
        <v>0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0</v>
      </c>
      <c r="V5" s="14">
        <v>0</v>
      </c>
    </row>
    <row r="6" spans="1:184" x14ac:dyDescent="0.25">
      <c r="A6" s="26">
        <f>Y23</f>
        <v>-9.2074925095306112E-2</v>
      </c>
      <c r="C6" s="2" t="s">
        <v>53</v>
      </c>
      <c r="D6" s="14">
        <v>-181.48</v>
      </c>
      <c r="E6" s="14">
        <v>-166.75200000000001</v>
      </c>
      <c r="F6" s="14">
        <v>-189</v>
      </c>
      <c r="G6" s="14">
        <v>-245.30799999999999</v>
      </c>
      <c r="H6" s="14">
        <v>-299.89999999999998</v>
      </c>
      <c r="I6" s="14">
        <v>-299</v>
      </c>
      <c r="J6" s="14">
        <v>-323.7</v>
      </c>
      <c r="K6" s="14">
        <v>-480.7</v>
      </c>
      <c r="L6" s="15">
        <f t="shared" ref="L6:L9" si="1">K6*1.15</f>
        <v>-552.80499999999995</v>
      </c>
      <c r="M6" s="14">
        <f>L6*1.1</f>
        <v>-608.08550000000002</v>
      </c>
      <c r="N6" s="14">
        <f t="shared" ref="N6:V6" si="2">M6*1.1</f>
        <v>-668.89405000000011</v>
      </c>
      <c r="O6" s="14">
        <f t="shared" si="2"/>
        <v>-735.78345500000023</v>
      </c>
      <c r="P6" s="14">
        <f t="shared" si="2"/>
        <v>-809.3618005000003</v>
      </c>
      <c r="Q6" s="14">
        <f t="shared" si="2"/>
        <v>-890.29798055000037</v>
      </c>
      <c r="R6" s="14">
        <f t="shared" si="2"/>
        <v>-979.3277786050005</v>
      </c>
      <c r="S6" s="14">
        <f t="shared" si="2"/>
        <v>-1077.2605564655007</v>
      </c>
      <c r="T6" s="14">
        <f t="shared" si="2"/>
        <v>-1184.9866121120508</v>
      </c>
      <c r="U6" s="14">
        <f t="shared" si="2"/>
        <v>-1303.485273323256</v>
      </c>
      <c r="V6" s="14">
        <f t="shared" si="2"/>
        <v>-1433.8338006555819</v>
      </c>
    </row>
    <row r="7" spans="1:184" x14ac:dyDescent="0.25">
      <c r="C7" s="2" t="s">
        <v>54</v>
      </c>
      <c r="D7" s="14">
        <v>-60.5</v>
      </c>
      <c r="E7" s="14">
        <v>-69.885000000000005</v>
      </c>
      <c r="F7" s="14">
        <v>-88.679000000000002</v>
      </c>
      <c r="G7" s="14">
        <v>-114.756</v>
      </c>
      <c r="H7" s="14">
        <v>-130</v>
      </c>
      <c r="I7" s="14">
        <v>-153.19999999999999</v>
      </c>
      <c r="J7" s="14">
        <v>-169.6</v>
      </c>
      <c r="K7" s="14">
        <v>-205.2</v>
      </c>
      <c r="L7" s="15">
        <f t="shared" si="1"/>
        <v>-235.97999999999996</v>
      </c>
      <c r="M7" s="14">
        <f t="shared" ref="M7:V9" si="3">L7*1.1</f>
        <v>-259.57799999999997</v>
      </c>
      <c r="N7" s="14">
        <f t="shared" si="3"/>
        <v>-285.53579999999999</v>
      </c>
      <c r="O7" s="14">
        <f t="shared" si="3"/>
        <v>-314.08938000000001</v>
      </c>
      <c r="P7" s="14">
        <f t="shared" si="3"/>
        <v>-345.49831800000004</v>
      </c>
      <c r="Q7" s="14">
        <f t="shared" si="3"/>
        <v>-380.04814980000009</v>
      </c>
      <c r="R7" s="14">
        <f t="shared" si="3"/>
        <v>-418.05296478000014</v>
      </c>
      <c r="S7" s="14">
        <f t="shared" si="3"/>
        <v>-459.8582612580002</v>
      </c>
      <c r="T7" s="14">
        <f t="shared" si="3"/>
        <v>-505.84408738380029</v>
      </c>
      <c r="U7" s="14">
        <f t="shared" si="3"/>
        <v>-556.42849612218038</v>
      </c>
      <c r="V7" s="14">
        <f t="shared" si="3"/>
        <v>-612.07134573439851</v>
      </c>
    </row>
    <row r="8" spans="1:184" x14ac:dyDescent="0.25">
      <c r="C8" s="2" t="s">
        <v>55</v>
      </c>
      <c r="D8" s="14">
        <v>-63.3</v>
      </c>
      <c r="E8" s="14">
        <v>-64.793000000000006</v>
      </c>
      <c r="F8" s="14">
        <v>-73.2</v>
      </c>
      <c r="G8" s="14">
        <v>-77.447000000000003</v>
      </c>
      <c r="H8" s="14">
        <v>-79</v>
      </c>
      <c r="I8" s="14">
        <v>-70.599999999999994</v>
      </c>
      <c r="J8" s="14">
        <v>-77.3</v>
      </c>
      <c r="K8" s="14">
        <v>-86</v>
      </c>
      <c r="L8" s="15">
        <f t="shared" si="1"/>
        <v>-98.899999999999991</v>
      </c>
      <c r="M8" s="14">
        <f t="shared" si="3"/>
        <v>-108.79</v>
      </c>
      <c r="N8" s="14">
        <f t="shared" si="3"/>
        <v>-119.66900000000001</v>
      </c>
      <c r="O8" s="14">
        <f t="shared" si="3"/>
        <v>-131.63590000000002</v>
      </c>
      <c r="P8" s="14">
        <f t="shared" si="3"/>
        <v>-144.79949000000005</v>
      </c>
      <c r="Q8" s="14">
        <f t="shared" si="3"/>
        <v>-159.27943900000005</v>
      </c>
      <c r="R8" s="14">
        <f t="shared" si="3"/>
        <v>-175.20738290000008</v>
      </c>
      <c r="S8" s="14">
        <f t="shared" si="3"/>
        <v>-192.72812119000011</v>
      </c>
      <c r="T8" s="14">
        <f t="shared" si="3"/>
        <v>-212.00093330900015</v>
      </c>
      <c r="U8" s="14">
        <f t="shared" si="3"/>
        <v>-233.20102663990019</v>
      </c>
      <c r="V8" s="14">
        <f t="shared" si="3"/>
        <v>-256.52112930389023</v>
      </c>
    </row>
    <row r="9" spans="1:184" x14ac:dyDescent="0.25">
      <c r="C9" s="2" t="s">
        <v>56</v>
      </c>
      <c r="D9" s="14">
        <v>0</v>
      </c>
      <c r="E9" s="14">
        <v>0</v>
      </c>
      <c r="F9" s="14">
        <v>-1</v>
      </c>
      <c r="G9" s="14">
        <v>-1.7</v>
      </c>
      <c r="H9" s="14">
        <v>-1.7</v>
      </c>
      <c r="I9" s="14">
        <v>-1.5</v>
      </c>
      <c r="J9" s="14">
        <v>-1.6</v>
      </c>
      <c r="K9" s="14">
        <v>-1.7</v>
      </c>
      <c r="L9" s="15">
        <f t="shared" si="1"/>
        <v>-1.9549999999999998</v>
      </c>
      <c r="M9" s="14">
        <f t="shared" si="3"/>
        <v>-2.1505000000000001</v>
      </c>
      <c r="N9" s="14">
        <f t="shared" si="3"/>
        <v>-2.3655500000000003</v>
      </c>
      <c r="O9" s="14">
        <f t="shared" si="3"/>
        <v>-2.6021050000000003</v>
      </c>
      <c r="P9" s="14">
        <f t="shared" si="3"/>
        <v>-2.8623155000000007</v>
      </c>
      <c r="Q9" s="14">
        <f t="shared" si="3"/>
        <v>-3.1485470500000008</v>
      </c>
      <c r="R9" s="14">
        <f t="shared" si="3"/>
        <v>-3.4634017550000014</v>
      </c>
      <c r="S9" s="14">
        <f t="shared" si="3"/>
        <v>-3.8097419305000018</v>
      </c>
      <c r="T9" s="14">
        <f t="shared" si="3"/>
        <v>-4.1907161235500023</v>
      </c>
      <c r="U9" s="14">
        <f t="shared" si="3"/>
        <v>-4.6097877359050026</v>
      </c>
      <c r="V9" s="14">
        <f t="shared" si="3"/>
        <v>-5.0707665094955034</v>
      </c>
    </row>
    <row r="10" spans="1:184" x14ac:dyDescent="0.25">
      <c r="C10" s="2" t="s">
        <v>57</v>
      </c>
      <c r="D10" s="14">
        <f t="shared" ref="D10:K10" si="4">SUM(D6:D9)</f>
        <v>-305.27999999999997</v>
      </c>
      <c r="E10" s="14">
        <f t="shared" si="4"/>
        <v>-301.43</v>
      </c>
      <c r="F10" s="14">
        <f t="shared" si="4"/>
        <v>-351.87899999999996</v>
      </c>
      <c r="G10" s="14">
        <f t="shared" si="4"/>
        <v>-439.21099999999996</v>
      </c>
      <c r="H10" s="14">
        <f t="shared" si="4"/>
        <v>-510.59999999999997</v>
      </c>
      <c r="I10" s="14">
        <f t="shared" si="4"/>
        <v>-524.29999999999995</v>
      </c>
      <c r="J10" s="14">
        <f t="shared" si="4"/>
        <v>-572.19999999999993</v>
      </c>
      <c r="K10" s="14">
        <f t="shared" si="4"/>
        <v>-773.6</v>
      </c>
      <c r="L10" s="15">
        <f t="shared" ref="L10" si="5">SUM(L6:L9)</f>
        <v>-889.63999999999987</v>
      </c>
      <c r="M10" s="14">
        <f t="shared" ref="M10:V10" si="6">SUM(M6:M9)</f>
        <v>-978.60399999999993</v>
      </c>
      <c r="N10" s="14">
        <f t="shared" si="6"/>
        <v>-1076.4644000000001</v>
      </c>
      <c r="O10" s="14">
        <f t="shared" si="6"/>
        <v>-1184.1108400000001</v>
      </c>
      <c r="P10" s="14">
        <f t="shared" si="6"/>
        <v>-1302.5219240000004</v>
      </c>
      <c r="Q10" s="14">
        <f t="shared" si="6"/>
        <v>-1432.7741164000006</v>
      </c>
      <c r="R10" s="14">
        <f t="shared" si="6"/>
        <v>-1576.0515280400007</v>
      </c>
      <c r="S10" s="14">
        <f t="shared" si="6"/>
        <v>-1733.6566808440009</v>
      </c>
      <c r="T10" s="14">
        <f t="shared" si="6"/>
        <v>-1907.0223489284012</v>
      </c>
      <c r="U10" s="14">
        <f t="shared" si="6"/>
        <v>-2097.724583821242</v>
      </c>
      <c r="V10" s="14">
        <f t="shared" si="6"/>
        <v>-2307.4970422033662</v>
      </c>
    </row>
    <row r="11" spans="1:184" x14ac:dyDescent="0.25">
      <c r="C11" s="1" t="s">
        <v>58</v>
      </c>
      <c r="D11" s="12">
        <f t="shared" ref="D11:L11" si="7">D4+D10+D5</f>
        <v>13.19500000000005</v>
      </c>
      <c r="E11" s="12">
        <f t="shared" si="7"/>
        <v>72.569999999999993</v>
      </c>
      <c r="F11" s="12">
        <f t="shared" si="7"/>
        <v>98.790000000000063</v>
      </c>
      <c r="G11" s="12">
        <f t="shared" si="7"/>
        <v>110.53500000000005</v>
      </c>
      <c r="H11" s="12">
        <f t="shared" si="7"/>
        <v>223.9</v>
      </c>
      <c r="I11" s="12">
        <f t="shared" si="7"/>
        <v>377.5</v>
      </c>
      <c r="J11" s="12">
        <f t="shared" si="7"/>
        <v>447.80000000000007</v>
      </c>
      <c r="K11" s="12">
        <f t="shared" si="7"/>
        <v>633.80000000000007</v>
      </c>
      <c r="L11" s="13">
        <f t="shared" si="7"/>
        <v>660.69700000000034</v>
      </c>
      <c r="M11" s="12">
        <f t="shared" ref="M11:V11" si="8">M4+M10+M5</f>
        <v>726.76670000000047</v>
      </c>
      <c r="N11" s="12">
        <f t="shared" si="8"/>
        <v>799.44337000000041</v>
      </c>
      <c r="O11" s="12">
        <f t="shared" si="8"/>
        <v>879.38770700000055</v>
      </c>
      <c r="P11" s="12">
        <f t="shared" si="8"/>
        <v>967.32647770000062</v>
      </c>
      <c r="Q11" s="12">
        <f t="shared" si="8"/>
        <v>1064.0591254700005</v>
      </c>
      <c r="R11" s="12">
        <f t="shared" si="8"/>
        <v>1170.4650380170008</v>
      </c>
      <c r="S11" s="12">
        <f t="shared" si="8"/>
        <v>1287.5115418187008</v>
      </c>
      <c r="T11" s="12">
        <f t="shared" si="8"/>
        <v>1416.2626960005709</v>
      </c>
      <c r="U11" s="12">
        <f t="shared" si="8"/>
        <v>1557.8889656006277</v>
      </c>
      <c r="V11" s="12">
        <f t="shared" si="8"/>
        <v>1713.6778621606909</v>
      </c>
    </row>
    <row r="12" spans="1:184" x14ac:dyDescent="0.25">
      <c r="C12" s="2" t="s">
        <v>59</v>
      </c>
      <c r="D12" s="14">
        <v>-36.130000000000003</v>
      </c>
      <c r="E12" s="14">
        <v>-25.587</v>
      </c>
      <c r="F12" s="14">
        <v>-15</v>
      </c>
      <c r="G12" s="14">
        <v>-23.722999999999999</v>
      </c>
      <c r="H12" s="14">
        <v>-25.8</v>
      </c>
      <c r="I12" s="14">
        <v>-6.8</v>
      </c>
      <c r="J12" s="14">
        <v>-20.8</v>
      </c>
      <c r="K12" s="14">
        <v>-26.7</v>
      </c>
      <c r="L12" s="15">
        <v>0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0</v>
      </c>
      <c r="V12" s="14">
        <v>0</v>
      </c>
    </row>
    <row r="13" spans="1:184" x14ac:dyDescent="0.25">
      <c r="C13" s="2" t="s">
        <v>60</v>
      </c>
      <c r="D13" s="14">
        <f t="shared" ref="D13:K13" si="9">SUM(D11:D12)</f>
        <v>-22.934999999999953</v>
      </c>
      <c r="E13" s="14">
        <f t="shared" si="9"/>
        <v>46.98299999999999</v>
      </c>
      <c r="F13" s="14">
        <f t="shared" si="9"/>
        <v>83.790000000000063</v>
      </c>
      <c r="G13" s="14">
        <f t="shared" si="9"/>
        <v>86.812000000000054</v>
      </c>
      <c r="H13" s="14">
        <f t="shared" si="9"/>
        <v>198.1</v>
      </c>
      <c r="I13" s="14">
        <f t="shared" si="9"/>
        <v>370.7</v>
      </c>
      <c r="J13" s="14">
        <f t="shared" si="9"/>
        <v>427.00000000000006</v>
      </c>
      <c r="K13" s="14">
        <f t="shared" si="9"/>
        <v>607.1</v>
      </c>
      <c r="L13" s="15">
        <f t="shared" ref="L13" si="10">SUM(L11:L12)</f>
        <v>660.69700000000034</v>
      </c>
      <c r="M13" s="14">
        <f t="shared" ref="M13:V13" si="11">SUM(M11:M12)</f>
        <v>726.76670000000047</v>
      </c>
      <c r="N13" s="14">
        <f t="shared" si="11"/>
        <v>799.44337000000041</v>
      </c>
      <c r="O13" s="14">
        <f t="shared" si="11"/>
        <v>879.38770700000055</v>
      </c>
      <c r="P13" s="14">
        <f t="shared" si="11"/>
        <v>967.32647770000062</v>
      </c>
      <c r="Q13" s="14">
        <f t="shared" si="11"/>
        <v>1064.0591254700005</v>
      </c>
      <c r="R13" s="14">
        <f t="shared" si="11"/>
        <v>1170.4650380170008</v>
      </c>
      <c r="S13" s="14">
        <f t="shared" si="11"/>
        <v>1287.5115418187008</v>
      </c>
      <c r="T13" s="14">
        <f t="shared" si="11"/>
        <v>1416.2626960005709</v>
      </c>
      <c r="U13" s="14">
        <f t="shared" si="11"/>
        <v>1557.8889656006277</v>
      </c>
      <c r="V13" s="14">
        <f t="shared" si="11"/>
        <v>1713.6778621606909</v>
      </c>
    </row>
    <row r="14" spans="1:184" x14ac:dyDescent="0.25">
      <c r="C14" s="2" t="s">
        <v>61</v>
      </c>
      <c r="D14" s="14">
        <v>-2.2000000000000002</v>
      </c>
      <c r="E14" s="14">
        <v>5.5</v>
      </c>
      <c r="F14" s="14">
        <v>-18</v>
      </c>
      <c r="G14" s="14">
        <v>-19</v>
      </c>
      <c r="H14" s="14">
        <v>-41.6</v>
      </c>
      <c r="I14" s="14">
        <v>-76.900000000000006</v>
      </c>
      <c r="J14" s="14">
        <v>-88.7</v>
      </c>
      <c r="K14" s="14">
        <v>-125.7</v>
      </c>
      <c r="L14" s="15">
        <f>L13*-0.2</f>
        <v>-132.13940000000008</v>
      </c>
      <c r="M14" s="14">
        <f t="shared" ref="M14:V14" si="12">M13*-0.2</f>
        <v>-145.35334000000009</v>
      </c>
      <c r="N14" s="14">
        <f t="shared" si="12"/>
        <v>-159.88867400000009</v>
      </c>
      <c r="O14" s="14">
        <f t="shared" si="12"/>
        <v>-175.87754140000013</v>
      </c>
      <c r="P14" s="14">
        <f t="shared" si="12"/>
        <v>-193.46529554000014</v>
      </c>
      <c r="Q14" s="14">
        <f t="shared" si="12"/>
        <v>-212.81182509400011</v>
      </c>
      <c r="R14" s="14">
        <f t="shared" si="12"/>
        <v>-234.09300760340017</v>
      </c>
      <c r="S14" s="14">
        <f t="shared" si="12"/>
        <v>-257.50230836374016</v>
      </c>
      <c r="T14" s="14">
        <f t="shared" si="12"/>
        <v>-283.2525392001142</v>
      </c>
      <c r="U14" s="14">
        <f t="shared" si="12"/>
        <v>-311.57779312012553</v>
      </c>
      <c r="V14" s="14">
        <f t="shared" si="12"/>
        <v>-342.73557243213821</v>
      </c>
    </row>
    <row r="15" spans="1:184" x14ac:dyDescent="0.25">
      <c r="C15" s="1" t="s">
        <v>62</v>
      </c>
      <c r="D15" s="12">
        <f t="shared" ref="D15:K15" si="13">SUM(D13:D14)</f>
        <v>-25.134999999999952</v>
      </c>
      <c r="E15" s="12">
        <f t="shared" si="13"/>
        <v>52.48299999999999</v>
      </c>
      <c r="F15" s="12">
        <f t="shared" si="13"/>
        <v>65.790000000000063</v>
      </c>
      <c r="G15" s="12">
        <f t="shared" si="13"/>
        <v>67.812000000000054</v>
      </c>
      <c r="H15" s="12">
        <f t="shared" si="13"/>
        <v>156.5</v>
      </c>
      <c r="I15" s="12">
        <f t="shared" si="13"/>
        <v>293.79999999999995</v>
      </c>
      <c r="J15" s="12">
        <f t="shared" si="13"/>
        <v>338.30000000000007</v>
      </c>
      <c r="K15" s="12">
        <f t="shared" si="13"/>
        <v>481.40000000000003</v>
      </c>
      <c r="L15" s="13">
        <f t="shared" ref="L15" si="14">SUM(L13:L14)</f>
        <v>528.55760000000032</v>
      </c>
      <c r="M15" s="12">
        <f t="shared" ref="M15:V15" si="15">SUM(M13:M14)</f>
        <v>581.41336000000035</v>
      </c>
      <c r="N15" s="12">
        <f t="shared" si="15"/>
        <v>639.55469600000038</v>
      </c>
      <c r="O15" s="12">
        <f t="shared" si="15"/>
        <v>703.51016560000039</v>
      </c>
      <c r="P15" s="12">
        <f t="shared" si="15"/>
        <v>773.86118216000045</v>
      </c>
      <c r="Q15" s="12">
        <f t="shared" si="15"/>
        <v>851.24730037600034</v>
      </c>
      <c r="R15" s="12">
        <f t="shared" si="15"/>
        <v>936.37203041360067</v>
      </c>
      <c r="S15" s="12">
        <f t="shared" si="15"/>
        <v>1030.0092334549606</v>
      </c>
      <c r="T15" s="12">
        <f t="shared" si="15"/>
        <v>1133.0101568004568</v>
      </c>
      <c r="U15" s="12">
        <f t="shared" si="15"/>
        <v>1246.3111724805021</v>
      </c>
      <c r="V15" s="12">
        <f t="shared" si="15"/>
        <v>1370.9422897285526</v>
      </c>
      <c r="W15" s="12">
        <f>V15*(1+$Y$19)</f>
        <v>1357.2328668312671</v>
      </c>
      <c r="X15" s="12">
        <f t="shared" ref="X15:CI15" si="16">W15*(1+$Y$19)</f>
        <v>1343.6605381629545</v>
      </c>
      <c r="Y15" s="12">
        <f t="shared" si="16"/>
        <v>1330.2239327813249</v>
      </c>
      <c r="Z15" s="12">
        <f t="shared" si="16"/>
        <v>1316.9216934535116</v>
      </c>
      <c r="AA15" s="12">
        <f t="shared" si="16"/>
        <v>1303.7524765189764</v>
      </c>
      <c r="AB15" s="12">
        <f t="shared" si="16"/>
        <v>1290.7149517537866</v>
      </c>
      <c r="AC15" s="12">
        <f t="shared" si="16"/>
        <v>1277.8078022362488</v>
      </c>
      <c r="AD15" s="12">
        <f t="shared" si="16"/>
        <v>1265.0297242138863</v>
      </c>
      <c r="AE15" s="12">
        <f t="shared" si="16"/>
        <v>1252.3794269717475</v>
      </c>
      <c r="AF15" s="12">
        <f t="shared" si="16"/>
        <v>1239.8556327020301</v>
      </c>
      <c r="AG15" s="12">
        <f t="shared" si="16"/>
        <v>1227.4570763750098</v>
      </c>
      <c r="AH15" s="12">
        <f t="shared" si="16"/>
        <v>1215.1825056112598</v>
      </c>
      <c r="AI15" s="12">
        <f t="shared" si="16"/>
        <v>1203.0306805551472</v>
      </c>
      <c r="AJ15" s="12">
        <f t="shared" si="16"/>
        <v>1191.0003737495958</v>
      </c>
      <c r="AK15" s="12">
        <f t="shared" si="16"/>
        <v>1179.0903700120998</v>
      </c>
      <c r="AL15" s="12">
        <f t="shared" si="16"/>
        <v>1167.2994663119789</v>
      </c>
      <c r="AM15" s="12">
        <f t="shared" si="16"/>
        <v>1155.626471648859</v>
      </c>
      <c r="AN15" s="12">
        <f t="shared" si="16"/>
        <v>1144.0702069323704</v>
      </c>
      <c r="AO15" s="12">
        <f t="shared" si="16"/>
        <v>1132.6295048630468</v>
      </c>
      <c r="AP15" s="12">
        <f t="shared" si="16"/>
        <v>1121.3032098144163</v>
      </c>
      <c r="AQ15" s="12">
        <f t="shared" si="16"/>
        <v>1110.0901777162721</v>
      </c>
      <c r="AR15" s="12">
        <f t="shared" si="16"/>
        <v>1098.9892759391093</v>
      </c>
      <c r="AS15" s="12">
        <f t="shared" si="16"/>
        <v>1087.9993831797183</v>
      </c>
      <c r="AT15" s="12">
        <f t="shared" si="16"/>
        <v>1077.119389347921</v>
      </c>
      <c r="AU15" s="12">
        <f t="shared" si="16"/>
        <v>1066.3481954544418</v>
      </c>
      <c r="AV15" s="12">
        <f t="shared" si="16"/>
        <v>1055.6847134998973</v>
      </c>
      <c r="AW15" s="12">
        <f t="shared" si="16"/>
        <v>1045.1278663648982</v>
      </c>
      <c r="AX15" s="12">
        <f t="shared" si="16"/>
        <v>1034.6765877012492</v>
      </c>
      <c r="AY15" s="12">
        <f t="shared" si="16"/>
        <v>1024.3298218242367</v>
      </c>
      <c r="AZ15" s="12">
        <f t="shared" si="16"/>
        <v>1014.0865236059943</v>
      </c>
      <c r="BA15" s="12">
        <f t="shared" si="16"/>
        <v>1003.9456583699343</v>
      </c>
      <c r="BB15" s="12">
        <f t="shared" si="16"/>
        <v>993.90620178623499</v>
      </c>
      <c r="BC15" s="12">
        <f t="shared" si="16"/>
        <v>983.96713976837259</v>
      </c>
      <c r="BD15" s="12">
        <f t="shared" si="16"/>
        <v>974.1274683706888</v>
      </c>
      <c r="BE15" s="12">
        <f t="shared" si="16"/>
        <v>964.38619368698187</v>
      </c>
      <c r="BF15" s="12">
        <f t="shared" si="16"/>
        <v>954.74233175011204</v>
      </c>
      <c r="BG15" s="12">
        <f t="shared" si="16"/>
        <v>945.19490843261087</v>
      </c>
      <c r="BH15" s="12">
        <f t="shared" si="16"/>
        <v>935.74295934828478</v>
      </c>
      <c r="BI15" s="12">
        <f t="shared" si="16"/>
        <v>926.38552975480195</v>
      </c>
      <c r="BJ15" s="12">
        <f t="shared" si="16"/>
        <v>917.1216744572539</v>
      </c>
      <c r="BK15" s="12">
        <f t="shared" si="16"/>
        <v>907.95045771268133</v>
      </c>
      <c r="BL15" s="12">
        <f t="shared" si="16"/>
        <v>898.87095313555449</v>
      </c>
      <c r="BM15" s="12">
        <f t="shared" si="16"/>
        <v>889.88224360419895</v>
      </c>
      <c r="BN15" s="12">
        <f t="shared" si="16"/>
        <v>880.98342116815695</v>
      </c>
      <c r="BO15" s="12">
        <f t="shared" si="16"/>
        <v>872.17358695647533</v>
      </c>
      <c r="BP15" s="12">
        <f t="shared" si="16"/>
        <v>863.45185108691055</v>
      </c>
      <c r="BQ15" s="12">
        <f t="shared" si="16"/>
        <v>854.81733257604139</v>
      </c>
      <c r="BR15" s="12">
        <f t="shared" si="16"/>
        <v>846.26915925028095</v>
      </c>
      <c r="BS15" s="12">
        <f t="shared" si="16"/>
        <v>837.80646765777817</v>
      </c>
      <c r="BT15" s="12">
        <f t="shared" si="16"/>
        <v>829.42840298120041</v>
      </c>
      <c r="BU15" s="12">
        <f t="shared" si="16"/>
        <v>821.13411895138836</v>
      </c>
      <c r="BV15" s="12">
        <f t="shared" si="16"/>
        <v>812.9227777618745</v>
      </c>
      <c r="BW15" s="12">
        <f t="shared" si="16"/>
        <v>804.79354998425572</v>
      </c>
      <c r="BX15" s="12">
        <f t="shared" si="16"/>
        <v>796.74561448441318</v>
      </c>
      <c r="BY15" s="12">
        <f t="shared" si="16"/>
        <v>788.77815833956902</v>
      </c>
      <c r="BZ15" s="12">
        <f t="shared" si="16"/>
        <v>780.89037675617328</v>
      </c>
      <c r="CA15" s="12">
        <f t="shared" si="16"/>
        <v>773.08147298861149</v>
      </c>
      <c r="CB15" s="12">
        <f t="shared" si="16"/>
        <v>765.35065825872539</v>
      </c>
      <c r="CC15" s="12">
        <f t="shared" si="16"/>
        <v>757.69715167613811</v>
      </c>
      <c r="CD15" s="12">
        <f t="shared" si="16"/>
        <v>750.12018015937667</v>
      </c>
      <c r="CE15" s="12">
        <f t="shared" si="16"/>
        <v>742.61897835778291</v>
      </c>
      <c r="CF15" s="12">
        <f t="shared" si="16"/>
        <v>735.19278857420511</v>
      </c>
      <c r="CG15" s="12">
        <f t="shared" si="16"/>
        <v>727.84086068846307</v>
      </c>
      <c r="CH15" s="12">
        <f t="shared" si="16"/>
        <v>720.56245208157839</v>
      </c>
      <c r="CI15" s="12">
        <f t="shared" si="16"/>
        <v>713.35682756076255</v>
      </c>
      <c r="CJ15" s="12">
        <f t="shared" ref="CJ15:EU15" si="17">CI15*(1+$Y$19)</f>
        <v>706.22325928515488</v>
      </c>
      <c r="CK15" s="12">
        <f t="shared" si="17"/>
        <v>699.16102669230338</v>
      </c>
      <c r="CL15" s="12">
        <f t="shared" si="17"/>
        <v>692.16941642538029</v>
      </c>
      <c r="CM15" s="12">
        <f t="shared" si="17"/>
        <v>685.24772226112646</v>
      </c>
      <c r="CN15" s="12">
        <f t="shared" si="17"/>
        <v>678.39524503851521</v>
      </c>
      <c r="CO15" s="12">
        <f t="shared" si="17"/>
        <v>671.61129258813003</v>
      </c>
      <c r="CP15" s="12">
        <f t="shared" si="17"/>
        <v>664.89517966224867</v>
      </c>
      <c r="CQ15" s="12">
        <f t="shared" si="17"/>
        <v>658.24622786562622</v>
      </c>
      <c r="CR15" s="12">
        <f t="shared" si="17"/>
        <v>651.66376558696993</v>
      </c>
      <c r="CS15" s="12">
        <f t="shared" si="17"/>
        <v>645.14712793110027</v>
      </c>
      <c r="CT15" s="12">
        <f t="shared" si="17"/>
        <v>638.69565665178925</v>
      </c>
      <c r="CU15" s="12">
        <f t="shared" si="17"/>
        <v>632.30870008527131</v>
      </c>
      <c r="CV15" s="12">
        <f t="shared" si="17"/>
        <v>625.98561308441856</v>
      </c>
      <c r="CW15" s="12">
        <f t="shared" si="17"/>
        <v>619.72575695357432</v>
      </c>
      <c r="CX15" s="12">
        <f t="shared" si="17"/>
        <v>613.52849938403858</v>
      </c>
      <c r="CY15" s="12">
        <f t="shared" si="17"/>
        <v>607.39321439019818</v>
      </c>
      <c r="CZ15" s="12">
        <f t="shared" si="17"/>
        <v>601.31928224629621</v>
      </c>
      <c r="DA15" s="12">
        <f t="shared" si="17"/>
        <v>595.30608942383321</v>
      </c>
      <c r="DB15" s="12">
        <f t="shared" si="17"/>
        <v>589.35302852959489</v>
      </c>
      <c r="DC15" s="12">
        <f t="shared" si="17"/>
        <v>583.45949824429897</v>
      </c>
      <c r="DD15" s="12">
        <f t="shared" si="17"/>
        <v>577.62490326185593</v>
      </c>
      <c r="DE15" s="12">
        <f t="shared" si="17"/>
        <v>571.84865422923735</v>
      </c>
      <c r="DF15" s="12">
        <f t="shared" si="17"/>
        <v>566.13016768694501</v>
      </c>
      <c r="DG15" s="12">
        <f t="shared" si="17"/>
        <v>560.46886601007554</v>
      </c>
      <c r="DH15" s="12">
        <f t="shared" si="17"/>
        <v>554.86417734997474</v>
      </c>
      <c r="DI15" s="12">
        <f t="shared" si="17"/>
        <v>549.31553557647499</v>
      </c>
      <c r="DJ15" s="12">
        <f t="shared" si="17"/>
        <v>543.82238022071022</v>
      </c>
      <c r="DK15" s="12">
        <f t="shared" si="17"/>
        <v>538.38415641850315</v>
      </c>
      <c r="DL15" s="12">
        <f t="shared" si="17"/>
        <v>533.00031485431816</v>
      </c>
      <c r="DM15" s="12">
        <f t="shared" si="17"/>
        <v>527.67031170577502</v>
      </c>
      <c r="DN15" s="12">
        <f t="shared" si="17"/>
        <v>522.39360858871726</v>
      </c>
      <c r="DO15" s="12">
        <f t="shared" si="17"/>
        <v>517.16967250283005</v>
      </c>
      <c r="DP15" s="12">
        <f t="shared" si="17"/>
        <v>511.99797577780174</v>
      </c>
      <c r="DQ15" s="12">
        <f t="shared" si="17"/>
        <v>506.87799602002372</v>
      </c>
      <c r="DR15" s="12">
        <f t="shared" si="17"/>
        <v>501.80921605982348</v>
      </c>
      <c r="DS15" s="12">
        <f t="shared" si="17"/>
        <v>496.79112389922523</v>
      </c>
      <c r="DT15" s="12">
        <f t="shared" si="17"/>
        <v>491.82321266023297</v>
      </c>
      <c r="DU15" s="12">
        <f t="shared" si="17"/>
        <v>486.90498053363063</v>
      </c>
      <c r="DV15" s="12">
        <f t="shared" si="17"/>
        <v>482.03593072829432</v>
      </c>
      <c r="DW15" s="12">
        <f t="shared" si="17"/>
        <v>477.21557142101136</v>
      </c>
      <c r="DX15" s="12">
        <f t="shared" si="17"/>
        <v>472.44341570680126</v>
      </c>
      <c r="DY15" s="12">
        <f t="shared" si="17"/>
        <v>467.71898154973326</v>
      </c>
      <c r="DZ15" s="12">
        <f t="shared" si="17"/>
        <v>463.04179173423591</v>
      </c>
      <c r="EA15" s="12">
        <f t="shared" si="17"/>
        <v>458.41137381689356</v>
      </c>
      <c r="EB15" s="12">
        <f t="shared" si="17"/>
        <v>453.82726007872463</v>
      </c>
      <c r="EC15" s="12">
        <f t="shared" si="17"/>
        <v>449.28898747793738</v>
      </c>
      <c r="ED15" s="12">
        <f t="shared" si="17"/>
        <v>444.79609760315799</v>
      </c>
      <c r="EE15" s="12">
        <f t="shared" si="17"/>
        <v>440.34813662712639</v>
      </c>
      <c r="EF15" s="12">
        <f t="shared" si="17"/>
        <v>435.94465526085514</v>
      </c>
      <c r="EG15" s="12">
        <f t="shared" si="17"/>
        <v>431.58520870824657</v>
      </c>
      <c r="EH15" s="12">
        <f t="shared" si="17"/>
        <v>427.26935662116409</v>
      </c>
      <c r="EI15" s="12">
        <f t="shared" si="17"/>
        <v>422.99666305495242</v>
      </c>
      <c r="EJ15" s="12">
        <f t="shared" si="17"/>
        <v>418.76669642440288</v>
      </c>
      <c r="EK15" s="12">
        <f t="shared" si="17"/>
        <v>414.57902946015884</v>
      </c>
      <c r="EL15" s="12">
        <f t="shared" si="17"/>
        <v>410.43323916555727</v>
      </c>
      <c r="EM15" s="12">
        <f t="shared" si="17"/>
        <v>406.32890677390168</v>
      </c>
      <c r="EN15" s="12">
        <f t="shared" si="17"/>
        <v>402.26561770616269</v>
      </c>
      <c r="EO15" s="12">
        <f t="shared" si="17"/>
        <v>398.24296152910108</v>
      </c>
      <c r="EP15" s="12">
        <f t="shared" si="17"/>
        <v>394.26053191381004</v>
      </c>
      <c r="EQ15" s="12">
        <f t="shared" si="17"/>
        <v>390.31792659467192</v>
      </c>
      <c r="ER15" s="12">
        <f t="shared" si="17"/>
        <v>386.41474732872518</v>
      </c>
      <c r="ES15" s="12">
        <f t="shared" si="17"/>
        <v>382.55059985543795</v>
      </c>
      <c r="ET15" s="12">
        <f t="shared" si="17"/>
        <v>378.72509385688357</v>
      </c>
      <c r="EU15" s="12">
        <f t="shared" si="17"/>
        <v>374.93784291831474</v>
      </c>
      <c r="EV15" s="12">
        <f t="shared" ref="EV15:GB15" si="18">EU15*(1+$Y$19)</f>
        <v>371.1884644891316</v>
      </c>
      <c r="EW15" s="12">
        <f t="shared" si="18"/>
        <v>367.47657984424029</v>
      </c>
      <c r="EX15" s="12">
        <f t="shared" si="18"/>
        <v>363.80181404579787</v>
      </c>
      <c r="EY15" s="12">
        <f t="shared" si="18"/>
        <v>360.1637959053399</v>
      </c>
      <c r="EZ15" s="12">
        <f t="shared" si="18"/>
        <v>356.5621579462865</v>
      </c>
      <c r="FA15" s="12">
        <f t="shared" si="18"/>
        <v>352.99653636682365</v>
      </c>
      <c r="FB15" s="12">
        <f t="shared" si="18"/>
        <v>349.46657100315542</v>
      </c>
      <c r="FC15" s="12">
        <f t="shared" si="18"/>
        <v>345.97190529312388</v>
      </c>
      <c r="FD15" s="12">
        <f t="shared" si="18"/>
        <v>342.51218624019265</v>
      </c>
      <c r="FE15" s="12">
        <f t="shared" si="18"/>
        <v>339.08706437779074</v>
      </c>
      <c r="FF15" s="12">
        <f t="shared" si="18"/>
        <v>335.69619373401281</v>
      </c>
      <c r="FG15" s="12">
        <f t="shared" si="18"/>
        <v>332.33923179667266</v>
      </c>
      <c r="FH15" s="12">
        <f t="shared" si="18"/>
        <v>329.01583947870591</v>
      </c>
      <c r="FI15" s="12">
        <f t="shared" si="18"/>
        <v>325.72568108391886</v>
      </c>
      <c r="FJ15" s="12">
        <f t="shared" si="18"/>
        <v>322.46842427307968</v>
      </c>
      <c r="FK15" s="12">
        <f t="shared" si="18"/>
        <v>319.24374003034887</v>
      </c>
      <c r="FL15" s="12">
        <f t="shared" si="18"/>
        <v>316.05130263004537</v>
      </c>
      <c r="FM15" s="12">
        <f t="shared" si="18"/>
        <v>312.89078960374491</v>
      </c>
      <c r="FN15" s="12">
        <f t="shared" si="18"/>
        <v>309.76188170770746</v>
      </c>
      <c r="FO15" s="12">
        <f t="shared" si="18"/>
        <v>306.66426289063037</v>
      </c>
      <c r="FP15" s="12">
        <f t="shared" si="18"/>
        <v>303.59762026172405</v>
      </c>
      <c r="FQ15" s="12">
        <f t="shared" si="18"/>
        <v>300.56164405910681</v>
      </c>
      <c r="FR15" s="12">
        <f t="shared" si="18"/>
        <v>297.55602761851571</v>
      </c>
      <c r="FS15" s="12">
        <f t="shared" si="18"/>
        <v>294.58046734233056</v>
      </c>
      <c r="FT15" s="12">
        <f t="shared" si="18"/>
        <v>291.63466266890725</v>
      </c>
      <c r="FU15" s="12">
        <f t="shared" si="18"/>
        <v>288.71831604221819</v>
      </c>
      <c r="FV15" s="12">
        <f t="shared" si="18"/>
        <v>285.83113288179601</v>
      </c>
      <c r="FW15" s="12">
        <f t="shared" si="18"/>
        <v>282.97282155297802</v>
      </c>
      <c r="FX15" s="12">
        <f t="shared" si="18"/>
        <v>280.14309333744825</v>
      </c>
      <c r="FY15" s="12">
        <f t="shared" si="18"/>
        <v>277.34166240407376</v>
      </c>
      <c r="FZ15" s="12">
        <f t="shared" si="18"/>
        <v>274.56824578003301</v>
      </c>
      <c r="GA15" s="12">
        <f t="shared" si="18"/>
        <v>271.82256332223267</v>
      </c>
      <c r="GB15" s="12">
        <f t="shared" si="18"/>
        <v>269.10433768901032</v>
      </c>
    </row>
    <row r="16" spans="1:184" x14ac:dyDescent="0.25">
      <c r="C16" s="2" t="s">
        <v>63</v>
      </c>
      <c r="D16" s="24">
        <v>100.719421</v>
      </c>
      <c r="E16" s="24">
        <v>100.719421</v>
      </c>
      <c r="F16" s="24">
        <v>100.719421</v>
      </c>
      <c r="G16" s="24">
        <v>100.719421</v>
      </c>
      <c r="H16" s="24">
        <v>100.999394</v>
      </c>
      <c r="I16" s="24">
        <v>100.34598200000001</v>
      </c>
      <c r="J16" s="24">
        <v>97.638240999999994</v>
      </c>
      <c r="K16" s="24">
        <v>96.146298000000002</v>
      </c>
      <c r="L16" s="5">
        <v>96.146298000000002</v>
      </c>
      <c r="M16" s="24">
        <v>96.146298000000002</v>
      </c>
      <c r="N16" s="24">
        <v>96.146298000000002</v>
      </c>
      <c r="O16" s="24">
        <v>96.146298000000002</v>
      </c>
      <c r="P16" s="24">
        <v>96.146298000000002</v>
      </c>
      <c r="Q16" s="24">
        <v>96.146298000000002</v>
      </c>
      <c r="R16" s="24">
        <v>96.146298000000002</v>
      </c>
      <c r="S16" s="24">
        <v>96.146298000000002</v>
      </c>
      <c r="T16" s="24">
        <v>96.146298000000002</v>
      </c>
      <c r="U16" s="24">
        <v>96.146298000000002</v>
      </c>
      <c r="V16" s="24">
        <v>96.146298000000002</v>
      </c>
    </row>
    <row r="17" spans="3:25" x14ac:dyDescent="0.25">
      <c r="C17" s="2" t="s">
        <v>64</v>
      </c>
      <c r="D17" s="25">
        <f t="shared" ref="D17:I17" si="19">D15/D16</f>
        <v>-0.24955465143112721</v>
      </c>
      <c r="E17" s="25">
        <f t="shared" si="19"/>
        <v>0.52108123218857649</v>
      </c>
      <c r="F17" s="25">
        <f t="shared" si="19"/>
        <v>0.65320073672782597</v>
      </c>
      <c r="G17" s="25">
        <f t="shared" si="19"/>
        <v>0.67327630884613665</v>
      </c>
      <c r="H17" s="25">
        <f t="shared" si="19"/>
        <v>1.549514247580535</v>
      </c>
      <c r="I17" s="25">
        <f t="shared" si="19"/>
        <v>2.9278700964827862</v>
      </c>
      <c r="J17" s="25">
        <f>J15/J16</f>
        <v>3.4648309569608089</v>
      </c>
      <c r="K17" s="25">
        <f>K15/K16</f>
        <v>5.0069530498199732</v>
      </c>
      <c r="L17" s="20">
        <f t="shared" ref="L17" si="20">L15/L16</f>
        <v>5.4974305926994749</v>
      </c>
      <c r="M17" s="25">
        <f t="shared" ref="M17:V17" si="21">M15/M16</f>
        <v>6.0471736519694224</v>
      </c>
      <c r="N17" s="25">
        <f t="shared" si="21"/>
        <v>6.6518910171663643</v>
      </c>
      <c r="O17" s="25">
        <f t="shared" si="21"/>
        <v>7.3170801188830001</v>
      </c>
      <c r="P17" s="25">
        <f t="shared" si="21"/>
        <v>8.0487881307713014</v>
      </c>
      <c r="Q17" s="25">
        <f t="shared" si="21"/>
        <v>8.8536669438484292</v>
      </c>
      <c r="R17" s="25">
        <f t="shared" si="21"/>
        <v>9.7390336382332752</v>
      </c>
      <c r="S17" s="25">
        <f t="shared" si="21"/>
        <v>10.712937002056602</v>
      </c>
      <c r="T17" s="25">
        <f t="shared" si="21"/>
        <v>11.784230702262263</v>
      </c>
      <c r="U17" s="25">
        <f t="shared" si="21"/>
        <v>12.962653772488485</v>
      </c>
      <c r="V17" s="25">
        <f t="shared" si="21"/>
        <v>14.258919149737336</v>
      </c>
    </row>
    <row r="18" spans="3:25" x14ac:dyDescent="0.25">
      <c r="D18" s="14"/>
      <c r="E18" s="14"/>
      <c r="F18" s="14"/>
      <c r="G18" s="14"/>
      <c r="H18" s="14"/>
      <c r="I18" s="14"/>
      <c r="J18" s="14"/>
      <c r="K18" s="14"/>
      <c r="L18" s="8"/>
      <c r="M18" s="9"/>
      <c r="N18" s="9"/>
      <c r="O18" s="9"/>
      <c r="P18" s="9"/>
      <c r="Q18" s="9"/>
      <c r="R18" s="9"/>
      <c r="S18" s="9"/>
      <c r="T18" s="9"/>
      <c r="U18" s="9"/>
      <c r="V18" s="9"/>
      <c r="X18" s="2" t="s">
        <v>105</v>
      </c>
      <c r="Y18" s="32">
        <v>0.08</v>
      </c>
    </row>
    <row r="19" spans="3:25" x14ac:dyDescent="0.25">
      <c r="C19" s="1" t="s">
        <v>38</v>
      </c>
      <c r="D19" s="26"/>
      <c r="E19" s="26">
        <f t="shared" ref="E19:J19" si="22">(E4-D4)/D4</f>
        <v>0.17434649501530725</v>
      </c>
      <c r="F19" s="26">
        <f t="shared" si="22"/>
        <v>0.19350000000000009</v>
      </c>
      <c r="G19" s="26">
        <f t="shared" si="22"/>
        <v>0.22285821820063662</v>
      </c>
      <c r="H19" s="26">
        <f t="shared" si="22"/>
        <v>0.33719034306379447</v>
      </c>
      <c r="I19" s="26">
        <f t="shared" si="22"/>
        <v>0.22181120701465951</v>
      </c>
      <c r="J19" s="26">
        <f t="shared" si="22"/>
        <v>0.12917694550347616</v>
      </c>
      <c r="K19" s="26">
        <f>(K4-J4)/J4</f>
        <v>0.38699106256206561</v>
      </c>
      <c r="L19" s="28">
        <f t="shared" ref="L19:V19" si="23">(L4-K4)/K4</f>
        <v>0.11000000000000013</v>
      </c>
      <c r="M19" s="26">
        <f t="shared" si="23"/>
        <v>0.1000000000000001</v>
      </c>
      <c r="N19" s="26">
        <f t="shared" si="23"/>
        <v>0.10000000000000003</v>
      </c>
      <c r="O19" s="26">
        <f t="shared" si="23"/>
        <v>0.10000000000000003</v>
      </c>
      <c r="P19" s="26">
        <f t="shared" si="23"/>
        <v>0.10000000000000016</v>
      </c>
      <c r="Q19" s="26">
        <f t="shared" si="23"/>
        <v>0.1</v>
      </c>
      <c r="R19" s="26">
        <f t="shared" si="23"/>
        <v>0.1000000000000001</v>
      </c>
      <c r="S19" s="26">
        <f t="shared" si="23"/>
        <v>0.10000000000000005</v>
      </c>
      <c r="T19" s="26">
        <f t="shared" si="23"/>
        <v>0.10000000000000009</v>
      </c>
      <c r="U19" s="26">
        <f t="shared" si="23"/>
        <v>0.1000000000000001</v>
      </c>
      <c r="V19" s="26">
        <f t="shared" si="23"/>
        <v>0.1000000000000001</v>
      </c>
      <c r="X19" s="2" t="s">
        <v>106</v>
      </c>
      <c r="Y19" s="32">
        <v>-0.01</v>
      </c>
    </row>
    <row r="20" spans="3:25" x14ac:dyDescent="0.25">
      <c r="C20" s="1" t="s">
        <v>104</v>
      </c>
      <c r="D20" s="26"/>
      <c r="E20" s="26">
        <f>(E10-D10)/D10</f>
        <v>-1.2611373165618339E-2</v>
      </c>
      <c r="F20" s="26">
        <f t="shared" ref="F20:V20" si="24">(F10-E10)/E10</f>
        <v>0.16736555750920595</v>
      </c>
      <c r="G20" s="26">
        <f t="shared" si="24"/>
        <v>0.24818758721037631</v>
      </c>
      <c r="H20" s="26">
        <f t="shared" si="24"/>
        <v>0.16253918959224614</v>
      </c>
      <c r="I20" s="26">
        <f t="shared" si="24"/>
        <v>2.6831179005092028E-2</v>
      </c>
      <c r="J20" s="26">
        <f t="shared" si="24"/>
        <v>9.1359908449361024E-2</v>
      </c>
      <c r="K20" s="26">
        <f t="shared" si="24"/>
        <v>0.35197483397413509</v>
      </c>
      <c r="L20" s="28">
        <f t="shared" si="24"/>
        <v>0.1499999999999998</v>
      </c>
      <c r="M20" s="26">
        <f t="shared" si="24"/>
        <v>0.10000000000000007</v>
      </c>
      <c r="N20" s="26">
        <f t="shared" si="24"/>
        <v>0.10000000000000014</v>
      </c>
      <c r="O20" s="26">
        <f t="shared" si="24"/>
        <v>9.9999999999999978E-2</v>
      </c>
      <c r="P20" s="26">
        <f t="shared" si="24"/>
        <v>0.10000000000000026</v>
      </c>
      <c r="Q20" s="26">
        <f t="shared" si="24"/>
        <v>0.10000000000000016</v>
      </c>
      <c r="R20" s="26">
        <f t="shared" si="24"/>
        <v>0.10000000000000002</v>
      </c>
      <c r="S20" s="26">
        <f t="shared" si="24"/>
        <v>0.1000000000000001</v>
      </c>
      <c r="T20" s="26">
        <f t="shared" si="24"/>
        <v>0.10000000000000014</v>
      </c>
      <c r="U20" s="26">
        <f t="shared" si="24"/>
        <v>0.10000000000000035</v>
      </c>
      <c r="V20" s="26">
        <f t="shared" si="24"/>
        <v>9.999999999999995E-2</v>
      </c>
      <c r="X20" s="31" t="s">
        <v>107</v>
      </c>
      <c r="Y20" s="33">
        <f>NPV(Y18,L15:GB15)</f>
        <v>12378.375961012125</v>
      </c>
    </row>
    <row r="21" spans="3:25" x14ac:dyDescent="0.25">
      <c r="C21" s="2" t="s">
        <v>39</v>
      </c>
      <c r="D21" s="18">
        <f t="shared" ref="D21:V21" si="25">D11/D4</f>
        <v>4.1431823534029515E-2</v>
      </c>
      <c r="E21" s="18">
        <f t="shared" si="25"/>
        <v>0.19403743315508021</v>
      </c>
      <c r="F21" s="18">
        <f t="shared" si="25"/>
        <v>0.22131913282508431</v>
      </c>
      <c r="G21" s="18">
        <f t="shared" si="25"/>
        <v>0.20250217094198739</v>
      </c>
      <c r="H21" s="18">
        <f t="shared" si="25"/>
        <v>0.30675434991094674</v>
      </c>
      <c r="I21" s="18">
        <f t="shared" si="25"/>
        <v>0.42330118860731109</v>
      </c>
      <c r="J21" s="18">
        <f t="shared" si="25"/>
        <v>0.44468718967229404</v>
      </c>
      <c r="K21" s="18">
        <f t="shared" si="25"/>
        <v>0.45378391923820438</v>
      </c>
      <c r="L21" s="19">
        <f t="shared" si="25"/>
        <v>0.42616347284493644</v>
      </c>
      <c r="M21" s="18">
        <f t="shared" si="25"/>
        <v>0.4261634728449365</v>
      </c>
      <c r="N21" s="18">
        <f t="shared" si="25"/>
        <v>0.42616347284493639</v>
      </c>
      <c r="O21" s="18">
        <f t="shared" si="25"/>
        <v>0.42616347284493644</v>
      </c>
      <c r="P21" s="18">
        <f t="shared" si="25"/>
        <v>0.42616347284493639</v>
      </c>
      <c r="Q21" s="18">
        <f t="shared" si="25"/>
        <v>0.42616347284493633</v>
      </c>
      <c r="R21" s="18">
        <f t="shared" si="25"/>
        <v>0.42616347284493633</v>
      </c>
      <c r="S21" s="18">
        <f t="shared" si="25"/>
        <v>0.42616347284493633</v>
      </c>
      <c r="T21" s="18">
        <f t="shared" si="25"/>
        <v>0.42616347284493628</v>
      </c>
      <c r="U21" s="18">
        <f t="shared" si="25"/>
        <v>0.42616347284493616</v>
      </c>
      <c r="V21" s="18">
        <f t="shared" si="25"/>
        <v>0.42616347284493622</v>
      </c>
      <c r="X21" s="2" t="s">
        <v>2</v>
      </c>
      <c r="Y21" s="9">
        <v>95.008346000000003</v>
      </c>
    </row>
    <row r="22" spans="3:25" x14ac:dyDescent="0.25">
      <c r="X22" s="2" t="s">
        <v>108</v>
      </c>
      <c r="Y22" s="17">
        <f>Y20/Y21</f>
        <v>130.28724824882357</v>
      </c>
    </row>
    <row r="23" spans="3:25" x14ac:dyDescent="0.25">
      <c r="X23" s="1" t="s">
        <v>109</v>
      </c>
      <c r="Y23" s="26">
        <f>(Y22-Modell!B4)/Modell!B4</f>
        <v>-9.2074925095306112E-2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5</vt:i4>
      </vt:variant>
    </vt:vector>
  </HeadingPairs>
  <TitlesOfParts>
    <vt:vector size="5" baseType="lpstr">
      <vt:lpstr>Info</vt:lpstr>
      <vt:lpstr>Modell</vt:lpstr>
      <vt:lpstr>Segementer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2025-02-09T20:32:11Z</dcterms:created>
  <dcterms:modified xsi:type="dcterms:W3CDTF">2026-01-29T08:15:10Z</dcterms:modified>
</cp:coreProperties>
</file>