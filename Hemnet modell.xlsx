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F81EDA2-E1D5-F44E-AD3B-731ABE121CD1}" xr6:coauthVersionLast="47" xr6:coauthVersionMax="47" xr10:uidLastSave="{00000000-0000-0000-0000-000000000000}"/>
  <bookViews>
    <workbookView xWindow="24120" yWindow="500" windowWidth="2672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5" l="1"/>
  <c r="A5" i="5"/>
  <c r="B8" i="2"/>
  <c r="B7" i="2"/>
  <c r="R10" i="2"/>
  <c r="R11" i="2" s="1"/>
  <c r="R28" i="2"/>
  <c r="S71" i="2"/>
  <c r="S73" i="2"/>
  <c r="R69" i="2"/>
  <c r="S69" i="2"/>
  <c r="R60" i="2"/>
  <c r="S60" i="2"/>
  <c r="R57" i="2"/>
  <c r="S57" i="2"/>
  <c r="S51" i="2"/>
  <c r="R47" i="2"/>
  <c r="R48" i="2" s="1"/>
  <c r="S47" i="2"/>
  <c r="S48" i="2"/>
  <c r="R40" i="2"/>
  <c r="S40" i="2"/>
  <c r="R38" i="2"/>
  <c r="S38" i="2"/>
  <c r="S28" i="2"/>
  <c r="R25" i="2"/>
  <c r="S25" i="2"/>
  <c r="R19" i="2"/>
  <c r="AC22" i="2"/>
  <c r="AD22" i="2"/>
  <c r="AE22" i="2"/>
  <c r="AI6" i="2"/>
  <c r="AJ6" i="2" s="1"/>
  <c r="AK6" i="2" s="1"/>
  <c r="AL6" i="2" s="1"/>
  <c r="AM6" i="2" s="1"/>
  <c r="AN6" i="2" s="1"/>
  <c r="AO6" i="2" s="1"/>
  <c r="AP6" i="2" s="1"/>
  <c r="AI7" i="2"/>
  <c r="AJ7" i="2" s="1"/>
  <c r="AK7" i="2" s="1"/>
  <c r="AL7" i="2" s="1"/>
  <c r="AM7" i="2" s="1"/>
  <c r="AN7" i="2" s="1"/>
  <c r="AO7" i="2" s="1"/>
  <c r="AP7" i="2" s="1"/>
  <c r="AI8" i="2"/>
  <c r="AJ8" i="2" s="1"/>
  <c r="AK8" i="2" s="1"/>
  <c r="AL8" i="2" s="1"/>
  <c r="AM8" i="2" s="1"/>
  <c r="AN8" i="2" s="1"/>
  <c r="AO8" i="2" s="1"/>
  <c r="AP8" i="2" s="1"/>
  <c r="AI9" i="2"/>
  <c r="AJ9" i="2" s="1"/>
  <c r="AK9" i="2" s="1"/>
  <c r="AL9" i="2" s="1"/>
  <c r="AM9" i="2" s="1"/>
  <c r="AN9" i="2" s="1"/>
  <c r="AO9" i="2" s="1"/>
  <c r="AP9" i="2" s="1"/>
  <c r="AH7" i="2"/>
  <c r="AH8" i="2"/>
  <c r="AH9" i="2"/>
  <c r="AH6" i="2"/>
  <c r="AG7" i="2"/>
  <c r="AG10" i="2" s="1"/>
  <c r="AG8" i="2"/>
  <c r="AG9" i="2"/>
  <c r="AG6" i="2"/>
  <c r="AH4" i="2"/>
  <c r="AI4" i="2" s="1"/>
  <c r="AG4" i="2"/>
  <c r="N6" i="5"/>
  <c r="O6" i="5" s="1"/>
  <c r="P6" i="5" s="1"/>
  <c r="Q6" i="5" s="1"/>
  <c r="R6" i="5" s="1"/>
  <c r="S6" i="5" s="1"/>
  <c r="T6" i="5" s="1"/>
  <c r="U6" i="5" s="1"/>
  <c r="V6" i="5" s="1"/>
  <c r="N7" i="5"/>
  <c r="O7" i="5" s="1"/>
  <c r="P7" i="5" s="1"/>
  <c r="Q7" i="5" s="1"/>
  <c r="R7" i="5" s="1"/>
  <c r="S7" i="5" s="1"/>
  <c r="T7" i="5" s="1"/>
  <c r="U7" i="5" s="1"/>
  <c r="V7" i="5" s="1"/>
  <c r="N8" i="5"/>
  <c r="O8" i="5"/>
  <c r="P8" i="5"/>
  <c r="Q8" i="5"/>
  <c r="R8" i="5"/>
  <c r="S8" i="5"/>
  <c r="T8" i="5" s="1"/>
  <c r="U8" i="5" s="1"/>
  <c r="V8" i="5" s="1"/>
  <c r="N9" i="5"/>
  <c r="O9" i="5" s="1"/>
  <c r="P9" i="5" s="1"/>
  <c r="Q9" i="5" s="1"/>
  <c r="R9" i="5" s="1"/>
  <c r="S9" i="5" s="1"/>
  <c r="T9" i="5" s="1"/>
  <c r="U9" i="5" s="1"/>
  <c r="V9" i="5" s="1"/>
  <c r="M7" i="5"/>
  <c r="M8" i="5"/>
  <c r="M9" i="5"/>
  <c r="M6" i="5"/>
  <c r="N4" i="5"/>
  <c r="O4" i="5" s="1"/>
  <c r="P4" i="5" s="1"/>
  <c r="Q4" i="5" s="1"/>
  <c r="R4" i="5" s="1"/>
  <c r="S4" i="5" s="1"/>
  <c r="T4" i="5" s="1"/>
  <c r="U4" i="5" s="1"/>
  <c r="V4" i="5" s="1"/>
  <c r="M4" i="5"/>
  <c r="I21" i="5"/>
  <c r="F21" i="5"/>
  <c r="K20" i="5"/>
  <c r="K19" i="5"/>
  <c r="J19" i="5"/>
  <c r="I19" i="5"/>
  <c r="H19" i="5"/>
  <c r="G19" i="5"/>
  <c r="F19" i="5"/>
  <c r="E19" i="5"/>
  <c r="D19" i="5"/>
  <c r="J13" i="5"/>
  <c r="J15" i="5" s="1"/>
  <c r="J17" i="5" s="1"/>
  <c r="I13" i="5"/>
  <c r="I15" i="5" s="1"/>
  <c r="I17" i="5" s="1"/>
  <c r="F13" i="5"/>
  <c r="F15" i="5" s="1"/>
  <c r="F17" i="5" s="1"/>
  <c r="J11" i="5"/>
  <c r="J21" i="5" s="1"/>
  <c r="I11" i="5"/>
  <c r="F11" i="5"/>
  <c r="E11" i="5"/>
  <c r="E21" i="5" s="1"/>
  <c r="D11" i="5"/>
  <c r="D21" i="5" s="1"/>
  <c r="M10" i="5"/>
  <c r="M20" i="5" s="1"/>
  <c r="K10" i="5"/>
  <c r="K11" i="5" s="1"/>
  <c r="J10" i="5"/>
  <c r="J20" i="5" s="1"/>
  <c r="I10" i="5"/>
  <c r="H10" i="5"/>
  <c r="H20" i="5" s="1"/>
  <c r="G10" i="5"/>
  <c r="G20" i="5" s="1"/>
  <c r="F10" i="5"/>
  <c r="F20" i="5" s="1"/>
  <c r="E10" i="5"/>
  <c r="E20" i="5" s="1"/>
  <c r="D10" i="5"/>
  <c r="L9" i="5"/>
  <c r="L8" i="5"/>
  <c r="L7" i="5"/>
  <c r="L6" i="5"/>
  <c r="L10" i="5" s="1"/>
  <c r="L20" i="5" s="1"/>
  <c r="L4" i="5"/>
  <c r="L11" i="5" s="1"/>
  <c r="D6" i="3"/>
  <c r="AF6" i="2"/>
  <c r="AF7" i="2"/>
  <c r="AF8" i="2"/>
  <c r="AF9" i="2"/>
  <c r="F10" i="2"/>
  <c r="F11" i="2" s="1"/>
  <c r="F13" i="2" s="1"/>
  <c r="F15" i="2" s="1"/>
  <c r="G40" i="2"/>
  <c r="G10" i="2"/>
  <c r="K20" i="2" s="1"/>
  <c r="D10" i="2"/>
  <c r="D11" i="2" s="1"/>
  <c r="D13" i="2" s="1"/>
  <c r="D15" i="2" s="1"/>
  <c r="H10" i="2"/>
  <c r="H11" i="2" s="1"/>
  <c r="H13" i="2" s="1"/>
  <c r="H15" i="2" s="1"/>
  <c r="I69" i="2"/>
  <c r="E10" i="2"/>
  <c r="E11" i="2" s="1"/>
  <c r="E13" i="2" s="1"/>
  <c r="E15" i="2" s="1"/>
  <c r="I10" i="2"/>
  <c r="M20" i="2" s="1"/>
  <c r="Z20" i="2"/>
  <c r="AA20" i="2"/>
  <c r="AB20" i="2"/>
  <c r="AC20" i="2"/>
  <c r="AD20" i="2"/>
  <c r="AE20" i="2"/>
  <c r="Y20" i="2"/>
  <c r="L20" i="2"/>
  <c r="N20" i="2"/>
  <c r="O20" i="2"/>
  <c r="P20" i="2"/>
  <c r="Q20" i="2"/>
  <c r="AF10" i="2"/>
  <c r="AF11" i="2" s="1"/>
  <c r="AF13" i="2" s="1"/>
  <c r="AF14" i="2" s="1"/>
  <c r="AF19" i="2"/>
  <c r="J10" i="2"/>
  <c r="J11" i="2" s="1"/>
  <c r="J13" i="2" s="1"/>
  <c r="J15" i="2" s="1"/>
  <c r="N10" i="2"/>
  <c r="N11" i="2" s="1"/>
  <c r="N13" i="2" s="1"/>
  <c r="N15" i="2" s="1"/>
  <c r="O69" i="2"/>
  <c r="K10" i="2"/>
  <c r="K11" i="2" s="1"/>
  <c r="K13" i="2" s="1"/>
  <c r="K15" i="2" s="1"/>
  <c r="O10" i="2"/>
  <c r="O11" i="2" s="1"/>
  <c r="O13" i="2" s="1"/>
  <c r="O15" i="2" s="1"/>
  <c r="L10" i="2"/>
  <c r="L11" i="2" s="1"/>
  <c r="L13" i="2" s="1"/>
  <c r="L15" i="2" s="1"/>
  <c r="P10" i="2"/>
  <c r="P11" i="2" s="1"/>
  <c r="P13" i="2" s="1"/>
  <c r="P15" i="2" s="1"/>
  <c r="AF4" i="2"/>
  <c r="AD28" i="2"/>
  <c r="AC28" i="2"/>
  <c r="AB28" i="2"/>
  <c r="AA28" i="2"/>
  <c r="Z28" i="2"/>
  <c r="Y28" i="2"/>
  <c r="AE28" i="2"/>
  <c r="X62" i="2"/>
  <c r="X69" i="2" s="1"/>
  <c r="Y54" i="2"/>
  <c r="X10" i="2"/>
  <c r="X11" i="2" s="1"/>
  <c r="Y10" i="2"/>
  <c r="Y11" i="2" s="1"/>
  <c r="Z64" i="2"/>
  <c r="AA64" i="2"/>
  <c r="AA54" i="2"/>
  <c r="Z10" i="2"/>
  <c r="Z11" i="2" s="1"/>
  <c r="AA10" i="2"/>
  <c r="AA11" i="2" s="1"/>
  <c r="AB65" i="2"/>
  <c r="AB69" i="2" s="1"/>
  <c r="AB54" i="2"/>
  <c r="AB57" i="2" s="1"/>
  <c r="AC65" i="2"/>
  <c r="AC69" i="2" s="1"/>
  <c r="AC54" i="2"/>
  <c r="AC57" i="2" s="1"/>
  <c r="AC73" i="2" s="1"/>
  <c r="AB10" i="2"/>
  <c r="AB11" i="2" s="1"/>
  <c r="AC10" i="2"/>
  <c r="AC11" i="2" s="1"/>
  <c r="Y25" i="2"/>
  <c r="Z25" i="2"/>
  <c r="AA25" i="2"/>
  <c r="AB25" i="2"/>
  <c r="AC25" i="2"/>
  <c r="AD25" i="2"/>
  <c r="AE25" i="2"/>
  <c r="X19" i="2"/>
  <c r="Y19" i="2"/>
  <c r="Z19" i="2"/>
  <c r="AA19" i="2"/>
  <c r="AB19" i="2"/>
  <c r="AC19" i="2"/>
  <c r="AD19" i="2"/>
  <c r="AE19" i="2"/>
  <c r="AD69" i="2"/>
  <c r="AA69" i="2"/>
  <c r="Z69" i="2"/>
  <c r="Y69" i="2"/>
  <c r="AD60" i="2"/>
  <c r="AC60" i="2"/>
  <c r="AB60" i="2"/>
  <c r="AA60" i="2"/>
  <c r="Z60" i="2"/>
  <c r="Y60" i="2"/>
  <c r="X60" i="2"/>
  <c r="AD57" i="2"/>
  <c r="AA57" i="2"/>
  <c r="Z57" i="2"/>
  <c r="Y57" i="2"/>
  <c r="Y73" i="2" s="1"/>
  <c r="X57" i="2"/>
  <c r="AD54" i="2"/>
  <c r="AD73" i="2"/>
  <c r="AD71" i="2"/>
  <c r="AE69" i="2"/>
  <c r="AE60" i="2"/>
  <c r="AE57" i="2"/>
  <c r="AE73" i="2" s="1"/>
  <c r="AE54" i="2"/>
  <c r="AD10" i="2"/>
  <c r="AD11" i="2" s="1"/>
  <c r="AD13" i="2" s="1"/>
  <c r="AD15" i="2" s="1"/>
  <c r="AD17" i="2" s="1"/>
  <c r="AE10" i="2"/>
  <c r="AE11" i="2" s="1"/>
  <c r="AE13" i="2" s="1"/>
  <c r="AE15" i="2" s="1"/>
  <c r="AE17" i="2" s="1"/>
  <c r="H25" i="2"/>
  <c r="I25" i="2"/>
  <c r="J25" i="2"/>
  <c r="K25" i="2"/>
  <c r="L25" i="2"/>
  <c r="M25" i="2"/>
  <c r="N25" i="2"/>
  <c r="O25" i="2"/>
  <c r="P25" i="2"/>
  <c r="Q25" i="2"/>
  <c r="H28" i="2"/>
  <c r="I28" i="2"/>
  <c r="J28" i="2"/>
  <c r="K28" i="2"/>
  <c r="L28" i="2"/>
  <c r="M28" i="2"/>
  <c r="N28" i="2"/>
  <c r="O28" i="2"/>
  <c r="P28" i="2"/>
  <c r="Q28" i="2"/>
  <c r="R71" i="2" l="1"/>
  <c r="R73" i="2"/>
  <c r="R13" i="2"/>
  <c r="R15" i="2" s="1"/>
  <c r="R17" i="2" s="1"/>
  <c r="R51" i="2"/>
  <c r="R20" i="2"/>
  <c r="R21" i="2"/>
  <c r="AH10" i="2"/>
  <c r="AH11" i="2" s="1"/>
  <c r="AH21" i="2" s="1"/>
  <c r="AI10" i="2"/>
  <c r="AI19" i="2"/>
  <c r="AJ4" i="2"/>
  <c r="AH19" i="2"/>
  <c r="AG19" i="2"/>
  <c r="AG11" i="2"/>
  <c r="AG13" i="2" s="1"/>
  <c r="N10" i="5"/>
  <c r="N19" i="5"/>
  <c r="N11" i="5"/>
  <c r="N21" i="5" s="1"/>
  <c r="O10" i="5"/>
  <c r="O20" i="5" s="1"/>
  <c r="M11" i="5"/>
  <c r="M21" i="5" s="1"/>
  <c r="N20" i="5"/>
  <c r="O19" i="5"/>
  <c r="K21" i="5"/>
  <c r="K13" i="5"/>
  <c r="K15" i="5" s="1"/>
  <c r="K17" i="5" s="1"/>
  <c r="L21" i="5"/>
  <c r="L13" i="5"/>
  <c r="M19" i="5"/>
  <c r="I20" i="5"/>
  <c r="L19" i="5"/>
  <c r="G11" i="5"/>
  <c r="D13" i="5"/>
  <c r="D15" i="5" s="1"/>
  <c r="D17" i="5" s="1"/>
  <c r="H11" i="5"/>
  <c r="E13" i="5"/>
  <c r="E15" i="5" s="1"/>
  <c r="E17" i="5" s="1"/>
  <c r="AF20" i="2"/>
  <c r="AG20" i="2"/>
  <c r="AF15" i="2"/>
  <c r="AF17" i="2" s="1"/>
  <c r="AF21" i="2"/>
  <c r="J20" i="2"/>
  <c r="G11" i="2"/>
  <c r="G13" i="2" s="1"/>
  <c r="G15" i="2" s="1"/>
  <c r="H20" i="2"/>
  <c r="I20" i="2"/>
  <c r="I11" i="2"/>
  <c r="I13" i="2" s="1"/>
  <c r="I15" i="2" s="1"/>
  <c r="AE71" i="2"/>
  <c r="AD51" i="2"/>
  <c r="AE51" i="2"/>
  <c r="AD21" i="2"/>
  <c r="AE21" i="2"/>
  <c r="X21" i="2"/>
  <c r="X51" i="2"/>
  <c r="X13" i="2"/>
  <c r="X15" i="2" s="1"/>
  <c r="X17" i="2" s="1"/>
  <c r="Y13" i="2"/>
  <c r="Y15" i="2" s="1"/>
  <c r="Y17" i="2" s="1"/>
  <c r="Y51" i="2"/>
  <c r="Y21" i="2"/>
  <c r="Z71" i="2"/>
  <c r="Z73" i="2"/>
  <c r="AA71" i="2"/>
  <c r="AA73" i="2"/>
  <c r="Z13" i="2"/>
  <c r="Z15" i="2" s="1"/>
  <c r="Z17" i="2" s="1"/>
  <c r="Z21" i="2"/>
  <c r="Z51" i="2"/>
  <c r="AA21" i="2"/>
  <c r="AA13" i="2"/>
  <c r="AA15" i="2" s="1"/>
  <c r="AA17" i="2" s="1"/>
  <c r="AA51" i="2"/>
  <c r="AB71" i="2"/>
  <c r="AB73" i="2"/>
  <c r="AC71" i="2"/>
  <c r="AB21" i="2"/>
  <c r="AB51" i="2"/>
  <c r="AB13" i="2"/>
  <c r="AB15" i="2" s="1"/>
  <c r="AB17" i="2" s="1"/>
  <c r="AC13" i="2"/>
  <c r="AC15" i="2" s="1"/>
  <c r="AC17" i="2" s="1"/>
  <c r="AC21" i="2"/>
  <c r="AC51" i="2"/>
  <c r="X71" i="2"/>
  <c r="X73" i="2"/>
  <c r="Y71" i="2"/>
  <c r="AH20" i="2" l="1"/>
  <c r="AH13" i="2"/>
  <c r="AI20" i="2"/>
  <c r="AI11" i="2"/>
  <c r="AI21" i="2" s="1"/>
  <c r="AJ10" i="2"/>
  <c r="AK4" i="2"/>
  <c r="AJ19" i="2"/>
  <c r="AG21" i="2"/>
  <c r="M13" i="5"/>
  <c r="N13" i="5"/>
  <c r="O11" i="5"/>
  <c r="O21" i="5" s="1"/>
  <c r="P10" i="5"/>
  <c r="N14" i="5"/>
  <c r="N15" i="5" s="1"/>
  <c r="N17" i="5" s="1"/>
  <c r="P19" i="5"/>
  <c r="H21" i="5"/>
  <c r="H13" i="5"/>
  <c r="H15" i="5" s="1"/>
  <c r="H17" i="5" s="1"/>
  <c r="G21" i="5"/>
  <c r="G13" i="5"/>
  <c r="G15" i="5" s="1"/>
  <c r="G17" i="5" s="1"/>
  <c r="L14" i="5"/>
  <c r="L15" i="5" s="1"/>
  <c r="L17" i="5" s="1"/>
  <c r="M14" i="5"/>
  <c r="M15" i="5" s="1"/>
  <c r="M17" i="5" s="1"/>
  <c r="AH14" i="2"/>
  <c r="AH15" i="2" s="1"/>
  <c r="AH17" i="2" s="1"/>
  <c r="F6" i="3" s="1"/>
  <c r="AG14" i="2"/>
  <c r="AG15" i="2" s="1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P57" i="2"/>
  <c r="O57" i="2"/>
  <c r="O71" i="2" s="1"/>
  <c r="N57" i="2"/>
  <c r="N73" i="2" s="1"/>
  <c r="M57" i="2"/>
  <c r="L57" i="2"/>
  <c r="L73" i="2" s="1"/>
  <c r="K57" i="2"/>
  <c r="K73" i="2" s="1"/>
  <c r="J57" i="2"/>
  <c r="J73" i="2" s="1"/>
  <c r="I57" i="2"/>
  <c r="I73" i="2" s="1"/>
  <c r="H57" i="2"/>
  <c r="H73" i="2" s="1"/>
  <c r="G57" i="2"/>
  <c r="G73" i="2" s="1"/>
  <c r="F57" i="2"/>
  <c r="F73" i="2" s="1"/>
  <c r="E57" i="2"/>
  <c r="D57" i="2"/>
  <c r="D73" i="2" s="1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P69" i="2"/>
  <c r="N69" i="2"/>
  <c r="M69" i="2"/>
  <c r="L69" i="2"/>
  <c r="K69" i="2"/>
  <c r="J69" i="2"/>
  <c r="H69" i="2"/>
  <c r="G69" i="2"/>
  <c r="F69" i="2"/>
  <c r="E69" i="2"/>
  <c r="D69" i="2"/>
  <c r="E73" i="2"/>
  <c r="M73" i="2"/>
  <c r="Q69" i="2"/>
  <c r="Q60" i="2"/>
  <c r="Q57" i="2"/>
  <c r="Q73" i="2" s="1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40" i="2"/>
  <c r="E40" i="2"/>
  <c r="F40" i="2"/>
  <c r="H40" i="2"/>
  <c r="I40" i="2"/>
  <c r="J40" i="2"/>
  <c r="K40" i="2"/>
  <c r="L40" i="2"/>
  <c r="M40" i="2"/>
  <c r="N40" i="2"/>
  <c r="O40" i="2"/>
  <c r="P40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47" i="2"/>
  <c r="Q40" i="2"/>
  <c r="Q48" i="2" s="1"/>
  <c r="Q38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H19" i="2"/>
  <c r="I19" i="2"/>
  <c r="J19" i="2"/>
  <c r="K19" i="2"/>
  <c r="L19" i="2"/>
  <c r="M19" i="2"/>
  <c r="N19" i="2"/>
  <c r="O19" i="2"/>
  <c r="P19" i="2"/>
  <c r="Q19" i="2"/>
  <c r="M10" i="2"/>
  <c r="M11" i="2" s="1"/>
  <c r="M13" i="2" s="1"/>
  <c r="M15" i="2" s="1"/>
  <c r="M17" i="2" s="1"/>
  <c r="D17" i="2"/>
  <c r="E17" i="2"/>
  <c r="F17" i="2"/>
  <c r="G17" i="2"/>
  <c r="H17" i="2"/>
  <c r="I17" i="2"/>
  <c r="J17" i="2"/>
  <c r="K17" i="2"/>
  <c r="L17" i="2"/>
  <c r="N17" i="2"/>
  <c r="O17" i="2"/>
  <c r="P17" i="2"/>
  <c r="Q10" i="2"/>
  <c r="Q11" i="2" s="1"/>
  <c r="AI13" i="2" l="1"/>
  <c r="AI14" i="2" s="1"/>
  <c r="AI15" i="2" s="1"/>
  <c r="AI17" i="2" s="1"/>
  <c r="AJ20" i="2"/>
  <c r="AJ11" i="2"/>
  <c r="AK10" i="2"/>
  <c r="AK20" i="2" s="1"/>
  <c r="AK19" i="2"/>
  <c r="AL4" i="2"/>
  <c r="AG17" i="2"/>
  <c r="E6" i="3" s="1"/>
  <c r="O13" i="5"/>
  <c r="Q10" i="5"/>
  <c r="Q20" i="5" s="1"/>
  <c r="P20" i="5"/>
  <c r="P11" i="5"/>
  <c r="Q19" i="5"/>
  <c r="O14" i="5"/>
  <c r="O15" i="5" s="1"/>
  <c r="O17" i="5" s="1"/>
  <c r="F48" i="2"/>
  <c r="H71" i="2"/>
  <c r="D48" i="2"/>
  <c r="E48" i="2"/>
  <c r="I48" i="2"/>
  <c r="G71" i="2"/>
  <c r="F71" i="2"/>
  <c r="E71" i="2"/>
  <c r="N71" i="2"/>
  <c r="J48" i="2"/>
  <c r="N48" i="2"/>
  <c r="O73" i="2"/>
  <c r="K48" i="2"/>
  <c r="O48" i="2"/>
  <c r="P71" i="2"/>
  <c r="P73" i="2"/>
  <c r="L48" i="2"/>
  <c r="P48" i="2"/>
  <c r="I71" i="2"/>
  <c r="D71" i="2"/>
  <c r="L71" i="2"/>
  <c r="M71" i="2"/>
  <c r="J71" i="2"/>
  <c r="K71" i="2"/>
  <c r="Q13" i="2"/>
  <c r="Q15" i="2" s="1"/>
  <c r="Q17" i="2" s="1"/>
  <c r="Q51" i="2"/>
  <c r="Q21" i="2"/>
  <c r="H48" i="2"/>
  <c r="G48" i="2"/>
  <c r="Q71" i="2"/>
  <c r="M48" i="2"/>
  <c r="AK11" i="2" l="1"/>
  <c r="AK21" i="2" s="1"/>
  <c r="AL10" i="2"/>
  <c r="AL20" i="2" s="1"/>
  <c r="AJ21" i="2"/>
  <c r="AJ13" i="2"/>
  <c r="AJ14" i="2" s="1"/>
  <c r="AJ15" i="2" s="1"/>
  <c r="AJ17" i="2" s="1"/>
  <c r="AL19" i="2"/>
  <c r="AM4" i="2"/>
  <c r="AL11" i="2"/>
  <c r="Q11" i="5"/>
  <c r="P21" i="5"/>
  <c r="P13" i="5"/>
  <c r="P14" i="5" s="1"/>
  <c r="P15" i="5" s="1"/>
  <c r="P17" i="5" s="1"/>
  <c r="R10" i="5"/>
  <c r="R20" i="5" s="1"/>
  <c r="R19" i="5"/>
  <c r="R11" i="5"/>
  <c r="Q21" i="5"/>
  <c r="Q13" i="5"/>
  <c r="AK13" i="2" l="1"/>
  <c r="AK14" i="2" s="1"/>
  <c r="AK15" i="2" s="1"/>
  <c r="AM10" i="2"/>
  <c r="AM20" i="2" s="1"/>
  <c r="AL21" i="2"/>
  <c r="AL13" i="2"/>
  <c r="AN4" i="2"/>
  <c r="AM19" i="2"/>
  <c r="AK17" i="2"/>
  <c r="S10" i="5"/>
  <c r="Q14" i="5"/>
  <c r="Q15" i="5"/>
  <c r="S19" i="5"/>
  <c r="S11" i="5"/>
  <c r="R21" i="5"/>
  <c r="R13" i="5"/>
  <c r="AM11" i="2" l="1"/>
  <c r="AN10" i="2"/>
  <c r="AN20" i="2" s="1"/>
  <c r="AM13" i="2"/>
  <c r="AM14" i="2" s="1"/>
  <c r="AM15" i="2" s="1"/>
  <c r="AM17" i="2" s="1"/>
  <c r="AM21" i="2"/>
  <c r="AN19" i="2"/>
  <c r="AN11" i="2"/>
  <c r="AO4" i="2"/>
  <c r="AL14" i="2"/>
  <c r="AL15" i="2" s="1"/>
  <c r="S20" i="5"/>
  <c r="T10" i="5"/>
  <c r="T20" i="5" s="1"/>
  <c r="R14" i="5"/>
  <c r="R15" i="5" s="1"/>
  <c r="S21" i="5"/>
  <c r="S13" i="5"/>
  <c r="T11" i="5"/>
  <c r="T19" i="5"/>
  <c r="Q17" i="5"/>
  <c r="AP10" i="2" l="1"/>
  <c r="AO10" i="2"/>
  <c r="AO20" i="2" s="1"/>
  <c r="AL17" i="2"/>
  <c r="AN13" i="2"/>
  <c r="AN21" i="2"/>
  <c r="AP4" i="2"/>
  <c r="AO19" i="2"/>
  <c r="AO11" i="2"/>
  <c r="V10" i="5"/>
  <c r="U10" i="5"/>
  <c r="U20" i="5" s="1"/>
  <c r="R17" i="5"/>
  <c r="T21" i="5"/>
  <c r="T13" i="5"/>
  <c r="T14" i="5" s="1"/>
  <c r="T15" i="5" s="1"/>
  <c r="T17" i="5" s="1"/>
  <c r="U11" i="5"/>
  <c r="U19" i="5"/>
  <c r="S14" i="5"/>
  <c r="S15" i="5" s="1"/>
  <c r="AP20" i="2" l="1"/>
  <c r="AO21" i="2"/>
  <c r="AO13" i="2"/>
  <c r="AO14" i="2" s="1"/>
  <c r="AO15" i="2" s="1"/>
  <c r="AO17" i="2" s="1"/>
  <c r="AP19" i="2"/>
  <c r="AP11" i="2"/>
  <c r="AN14" i="2"/>
  <c r="AN15" i="2" s="1"/>
  <c r="V20" i="5"/>
  <c r="S17" i="5"/>
  <c r="U21" i="5"/>
  <c r="U13" i="5"/>
  <c r="U14" i="5" s="1"/>
  <c r="U15" i="5" s="1"/>
  <c r="U17" i="5" s="1"/>
  <c r="V19" i="5"/>
  <c r="V11" i="5"/>
  <c r="AN17" i="2" l="1"/>
  <c r="AP13" i="2"/>
  <c r="AP21" i="2"/>
  <c r="V13" i="5"/>
  <c r="V21" i="5"/>
  <c r="AP14" i="2" l="1"/>
  <c r="V14" i="5"/>
  <c r="V15" i="5" s="1"/>
  <c r="AP15" i="2" l="1"/>
  <c r="W15" i="5"/>
  <c r="X15" i="5" s="1"/>
  <c r="Y15" i="5" s="1"/>
  <c r="Z15" i="5" s="1"/>
  <c r="AA15" i="5" s="1"/>
  <c r="AB15" i="5" s="1"/>
  <c r="AC15" i="5" s="1"/>
  <c r="AD15" i="5" s="1"/>
  <c r="AE15" i="5" s="1"/>
  <c r="AF15" i="5" s="1"/>
  <c r="AG15" i="5" s="1"/>
  <c r="AH15" i="5" s="1"/>
  <c r="AI15" i="5" s="1"/>
  <c r="AJ15" i="5" s="1"/>
  <c r="AK15" i="5" s="1"/>
  <c r="AL15" i="5" s="1"/>
  <c r="AM15" i="5" s="1"/>
  <c r="AN15" i="5" s="1"/>
  <c r="AO15" i="5" s="1"/>
  <c r="AP15" i="5" s="1"/>
  <c r="AQ15" i="5" s="1"/>
  <c r="AR15" i="5" s="1"/>
  <c r="AS15" i="5" s="1"/>
  <c r="AT15" i="5" s="1"/>
  <c r="AU15" i="5" s="1"/>
  <c r="AV15" i="5" s="1"/>
  <c r="AW15" i="5" s="1"/>
  <c r="AX15" i="5" s="1"/>
  <c r="AY15" i="5" s="1"/>
  <c r="AZ15" i="5" s="1"/>
  <c r="BA15" i="5" s="1"/>
  <c r="BB15" i="5" s="1"/>
  <c r="BC15" i="5" s="1"/>
  <c r="BD15" i="5" s="1"/>
  <c r="BE15" i="5" s="1"/>
  <c r="BF15" i="5" s="1"/>
  <c r="BG15" i="5" s="1"/>
  <c r="BH15" i="5" s="1"/>
  <c r="BI15" i="5" s="1"/>
  <c r="BJ15" i="5" s="1"/>
  <c r="BK15" i="5" s="1"/>
  <c r="BL15" i="5" s="1"/>
  <c r="BM15" i="5" s="1"/>
  <c r="BN15" i="5" s="1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CA15" i="5" s="1"/>
  <c r="CB15" i="5" s="1"/>
  <c r="CC15" i="5" s="1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CS15" i="5" s="1"/>
  <c r="CT15" i="5" s="1"/>
  <c r="CU15" i="5" s="1"/>
  <c r="CV15" i="5" s="1"/>
  <c r="CW15" i="5" s="1"/>
  <c r="CX15" i="5" s="1"/>
  <c r="CY15" i="5" s="1"/>
  <c r="CZ15" i="5" s="1"/>
  <c r="DA15" i="5" s="1"/>
  <c r="DB15" i="5" s="1"/>
  <c r="DC15" i="5" s="1"/>
  <c r="DD15" i="5" s="1"/>
  <c r="DE15" i="5" s="1"/>
  <c r="DF15" i="5" s="1"/>
  <c r="DG15" i="5" s="1"/>
  <c r="DH15" i="5" s="1"/>
  <c r="DI15" i="5" s="1"/>
  <c r="DJ15" i="5" s="1"/>
  <c r="DK15" i="5" s="1"/>
  <c r="DL15" i="5" s="1"/>
  <c r="DM15" i="5" s="1"/>
  <c r="DN15" i="5" s="1"/>
  <c r="DO15" i="5" s="1"/>
  <c r="DP15" i="5" s="1"/>
  <c r="DQ15" i="5" s="1"/>
  <c r="DR15" i="5" s="1"/>
  <c r="DS15" i="5" s="1"/>
  <c r="DT15" i="5" s="1"/>
  <c r="DU15" i="5" s="1"/>
  <c r="DV15" i="5" s="1"/>
  <c r="DW15" i="5" s="1"/>
  <c r="DX15" i="5" s="1"/>
  <c r="DY15" i="5" s="1"/>
  <c r="DZ15" i="5" s="1"/>
  <c r="EA15" i="5" s="1"/>
  <c r="EB15" i="5" s="1"/>
  <c r="EC15" i="5" s="1"/>
  <c r="ED15" i="5" s="1"/>
  <c r="EE15" i="5" s="1"/>
  <c r="EF15" i="5" s="1"/>
  <c r="EG15" i="5" s="1"/>
  <c r="EH15" i="5" s="1"/>
  <c r="EI15" i="5" s="1"/>
  <c r="EJ15" i="5" s="1"/>
  <c r="EK15" i="5" s="1"/>
  <c r="EL15" i="5" s="1"/>
  <c r="EM15" i="5" s="1"/>
  <c r="EN15" i="5" s="1"/>
  <c r="EO15" i="5" s="1"/>
  <c r="EP15" i="5" s="1"/>
  <c r="EQ15" i="5" s="1"/>
  <c r="ER15" i="5" s="1"/>
  <c r="ES15" i="5" s="1"/>
  <c r="ET15" i="5" s="1"/>
  <c r="EU15" i="5" s="1"/>
  <c r="EV15" i="5" s="1"/>
  <c r="EW15" i="5" s="1"/>
  <c r="EX15" i="5" s="1"/>
  <c r="EY15" i="5" s="1"/>
  <c r="EZ15" i="5" s="1"/>
  <c r="FA15" i="5" s="1"/>
  <c r="FB15" i="5" s="1"/>
  <c r="FC15" i="5" s="1"/>
  <c r="FD15" i="5" s="1"/>
  <c r="FE15" i="5" s="1"/>
  <c r="FF15" i="5" s="1"/>
  <c r="FG15" i="5" s="1"/>
  <c r="FH15" i="5" s="1"/>
  <c r="FI15" i="5" s="1"/>
  <c r="FJ15" i="5" s="1"/>
  <c r="FK15" i="5" s="1"/>
  <c r="FL15" i="5" s="1"/>
  <c r="FM15" i="5" s="1"/>
  <c r="FN15" i="5" s="1"/>
  <c r="FO15" i="5" s="1"/>
  <c r="FP15" i="5" s="1"/>
  <c r="FQ15" i="5" s="1"/>
  <c r="FR15" i="5" s="1"/>
  <c r="FS15" i="5" s="1"/>
  <c r="FT15" i="5" s="1"/>
  <c r="FU15" i="5" s="1"/>
  <c r="FV15" i="5" s="1"/>
  <c r="FW15" i="5" s="1"/>
  <c r="FX15" i="5" s="1"/>
  <c r="FY15" i="5" s="1"/>
  <c r="FZ15" i="5" s="1"/>
  <c r="GA15" i="5" s="1"/>
  <c r="GB15" i="5" s="1"/>
  <c r="Y20" i="5" s="1"/>
  <c r="Y22" i="5" s="1"/>
  <c r="Y23" i="5" s="1"/>
  <c r="V17" i="5"/>
  <c r="AQ15" i="2" l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EO15" i="2" s="1"/>
  <c r="EP15" i="2" s="1"/>
  <c r="EQ15" i="2" s="1"/>
  <c r="ER15" i="2" s="1"/>
  <c r="ES15" i="2" s="1"/>
  <c r="ET15" i="2" s="1"/>
  <c r="EU15" i="2" s="1"/>
  <c r="EV15" i="2" s="1"/>
  <c r="EW15" i="2" s="1"/>
  <c r="EX15" i="2" s="1"/>
  <c r="EY15" i="2" s="1"/>
  <c r="EZ15" i="2" s="1"/>
  <c r="FA15" i="2" s="1"/>
  <c r="FB15" i="2" s="1"/>
  <c r="FC15" i="2" s="1"/>
  <c r="FD15" i="2" s="1"/>
  <c r="FE15" i="2" s="1"/>
  <c r="FF15" i="2" s="1"/>
  <c r="FG15" i="2" s="1"/>
  <c r="FH15" i="2" s="1"/>
  <c r="FI15" i="2" s="1"/>
  <c r="FJ15" i="2" s="1"/>
  <c r="FK15" i="2" s="1"/>
  <c r="FL15" i="2" s="1"/>
  <c r="FM15" i="2" s="1"/>
  <c r="FN15" i="2" s="1"/>
  <c r="FO15" i="2" s="1"/>
  <c r="FP15" i="2" s="1"/>
  <c r="FQ15" i="2" s="1"/>
  <c r="FR15" i="2" s="1"/>
  <c r="FS15" i="2" s="1"/>
  <c r="FT15" i="2" s="1"/>
  <c r="FU15" i="2" s="1"/>
  <c r="FV15" i="2" s="1"/>
  <c r="FW15" i="2" s="1"/>
  <c r="FX15" i="2" s="1"/>
  <c r="FY15" i="2" s="1"/>
  <c r="FZ15" i="2" s="1"/>
  <c r="GA15" i="2" s="1"/>
  <c r="GB15" i="2" s="1"/>
  <c r="GC15" i="2" s="1"/>
  <c r="GD15" i="2" s="1"/>
  <c r="GE15" i="2" s="1"/>
  <c r="GF15" i="2" s="1"/>
  <c r="GG15" i="2" s="1"/>
  <c r="GH15" i="2" s="1"/>
  <c r="GI15" i="2" s="1"/>
  <c r="GJ15" i="2" s="1"/>
  <c r="GK15" i="2" s="1"/>
  <c r="GL15" i="2" s="1"/>
  <c r="GM15" i="2" s="1"/>
  <c r="GN15" i="2" s="1"/>
  <c r="GO15" i="2" s="1"/>
  <c r="GP15" i="2" s="1"/>
  <c r="GQ15" i="2" s="1"/>
  <c r="GR15" i="2" s="1"/>
  <c r="GS15" i="2" s="1"/>
  <c r="GT15" i="2" s="1"/>
  <c r="GU15" i="2" s="1"/>
  <c r="GV15" i="2" s="1"/>
  <c r="AP17" i="2"/>
  <c r="AS20" i="2" l="1"/>
  <c r="AS22" i="2" s="1"/>
  <c r="AS23" i="2" s="1"/>
  <c r="B6" i="2" l="1"/>
  <c r="B9" i="2" l="1"/>
  <c r="D5" i="3" l="1"/>
  <c r="F5" i="3"/>
  <c r="E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tc={9F2A8D96-BE3C-634A-A468-A761CD121394}</author>
    <author>tc={66E27F50-5F77-C541-A8BB-BB4B5E474CE5}</author>
  </authors>
  <commentList>
    <comment ref="X59" authorId="0" shapeId="0" xr:uid="{9F2A8D96-BE3C-634A-A468-A761CD12139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Oppkjøp</t>
      </text>
    </comment>
    <comment ref="X62" authorId="1" shapeId="0" xr:uid="{66E27F50-5F77-C541-A8BB-BB4B5E474CE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Hentet inn 1360,290 i ny EK og 380 i lån</t>
      </text>
    </comment>
  </commentList>
</comments>
</file>

<file path=xl/sharedStrings.xml><?xml version="1.0" encoding="utf-8"?>
<sst xmlns="http://schemas.openxmlformats.org/spreadsheetml/2006/main" count="139" uniqueCount="111">
  <si>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</si>
  <si>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</si>
  <si>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</si>
  <si>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</si>
  <si>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</si>
  <si>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</si>
  <si>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</si>
  <si>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</si>
  <si>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</si>
  <si>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</si>
  <si>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</si>
  <si>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</si>
  <si>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</si>
  <si>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</si>
  <si>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</si>
  <si>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</si>
  <si>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</si>
  <si>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</si>
  <si>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</si>
  <si>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</si>
  <si>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</si>
  <si>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</si>
  <si>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</si>
  <si>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</si>
  <si>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</si>
  <si>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</si>
  <si>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</si>
  <si>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</si>
  <si>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</si>
  <si>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</si>
  <si>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</si>
  <si>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</si>
  <si>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</si>
  <si>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</si>
  <si>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</si>
  <si>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</si>
  <si>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</si>
  <si>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</si>
  <si>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</si>
  <si>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</si>
  <si>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</si>
  <si>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2017</t>
  </si>
  <si>
    <t>FY 2018</t>
  </si>
  <si>
    <t>ROE</t>
  </si>
  <si>
    <t>MC SEKm</t>
  </si>
  <si>
    <t>Cash SEKm</t>
  </si>
  <si>
    <t>Debt SEKm</t>
  </si>
  <si>
    <t>EV SEKm</t>
  </si>
  <si>
    <t>SEKm</t>
  </si>
  <si>
    <t>Balanse SEKm</t>
  </si>
  <si>
    <t xml:space="preserve">Cash flow SEKm </t>
  </si>
  <si>
    <t>Revenue</t>
  </si>
  <si>
    <t>Capitalised development</t>
  </si>
  <si>
    <t>Other external expensee</t>
  </si>
  <si>
    <t>Personell costs</t>
  </si>
  <si>
    <t>D/A</t>
  </si>
  <si>
    <t>Other opex</t>
  </si>
  <si>
    <t>Total opex</t>
  </si>
  <si>
    <t>Operating profit (EBIT)</t>
  </si>
  <si>
    <t>Net financial items</t>
  </si>
  <si>
    <t>PTP</t>
  </si>
  <si>
    <t>Tax</t>
  </si>
  <si>
    <t>Net income</t>
  </si>
  <si>
    <t>Shares</t>
  </si>
  <si>
    <t>EPS</t>
  </si>
  <si>
    <t xml:space="preserve">ARPL </t>
  </si>
  <si>
    <t>y/y</t>
  </si>
  <si>
    <t>Number of published listings, thousand</t>
  </si>
  <si>
    <t>Goodwill</t>
  </si>
  <si>
    <t>Customer relations</t>
  </si>
  <si>
    <t>Right of use assets</t>
  </si>
  <si>
    <t>Other non-curretn assets</t>
  </si>
  <si>
    <t>accounts receivables</t>
  </si>
  <si>
    <t>Other current assets</t>
  </si>
  <si>
    <t>Cash</t>
  </si>
  <si>
    <t>Total assets</t>
  </si>
  <si>
    <t>Equity</t>
  </si>
  <si>
    <t>Total Equity</t>
  </si>
  <si>
    <t>Long-term liabilities to banks</t>
  </si>
  <si>
    <t>Lease liabilities</t>
  </si>
  <si>
    <t>Deferred tax liabilities</t>
  </si>
  <si>
    <t>Accrued expenses and deferred income</t>
  </si>
  <si>
    <t>Other current liabilities</t>
  </si>
  <si>
    <t>Total debt</t>
  </si>
  <si>
    <t>Total E/D</t>
  </si>
  <si>
    <t>Model OP</t>
  </si>
  <si>
    <t>Reported OP</t>
  </si>
  <si>
    <t>Adjustment for non-cash</t>
  </si>
  <si>
    <t>Interest paid and received</t>
  </si>
  <si>
    <t>Paid income tax</t>
  </si>
  <si>
    <t>WC</t>
  </si>
  <si>
    <t>CFFO</t>
  </si>
  <si>
    <t>Capex</t>
  </si>
  <si>
    <t>CFFI</t>
  </si>
  <si>
    <t>Loans raised</t>
  </si>
  <si>
    <t>Loans repaid</t>
  </si>
  <si>
    <t>Amortisation of lease liabilties</t>
  </si>
  <si>
    <t>News share issue following excercise of warrents</t>
  </si>
  <si>
    <t>Repurchase of warrents</t>
  </si>
  <si>
    <t>Buybacks</t>
  </si>
  <si>
    <t>Dividends</t>
  </si>
  <si>
    <t>CFFF</t>
  </si>
  <si>
    <t>CIC</t>
  </si>
  <si>
    <t>FCF</t>
  </si>
  <si>
    <t>Opex y/y</t>
  </si>
  <si>
    <t>Disocunt</t>
  </si>
  <si>
    <t>TV</t>
  </si>
  <si>
    <t>NPV</t>
  </si>
  <si>
    <t>NPV/Share</t>
  </si>
  <si>
    <t>Opp/nedside</t>
  </si>
  <si>
    <t>15% vekst og konstante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</si>
</sst>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8" formatCode="#,##0.00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64" fontId="2" fillId="0" borderId="0" xfId="0" applyNumberFormat="1" applyFont="1"/>
    <xf numFmtId="4" fontId="2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0" fontId="1" fillId="0" borderId="1" xfId="0" applyNumberFormat="1" applyFont="1" applyBorder="1"/>
    <xf numFmtId="0" fontId="5" fillId="0" borderId="2" xfId="0" applyFont="1" applyBorder="1"/>
    <xf numFmtId="0" fontId="6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64" fontId="2" fillId="0" borderId="0" xfId="0" applyNumberFormat="1" applyFont="1" applyBorder="1"/>
    <xf numFmtId="4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165" fontId="2" fillId="0" borderId="0" xfId="0" applyNumberFormat="1" applyFont="1" applyBorder="1"/>
    <xf numFmtId="166" fontId="1" fillId="0" borderId="0" xfId="0" applyNumberFormat="1" applyFont="1" applyBorder="1"/>
    <xf numFmtId="166" fontId="2" fillId="0" borderId="0" xfId="0" applyNumberFormat="1" applyFont="1" applyBorder="1"/>
    <xf numFmtId="3" fontId="4" fillId="0" borderId="0" xfId="0" applyNumberFormat="1" applyFont="1" applyBorder="1"/>
    <xf numFmtId="0" fontId="4" fillId="0" borderId="0" xfId="0" applyFont="1" applyBorder="1"/>
    <xf numFmtId="0" fontId="1" fillId="0" borderId="0" xfId="0" applyFont="1" applyBorder="1"/>
    <xf numFmtId="0" fontId="2" fillId="0" borderId="0" xfId="0" applyNumberFormat="1" applyFont="1"/>
    <xf numFmtId="2" fontId="1" fillId="0" borderId="0" xfId="0" applyNumberFormat="1" applyFont="1"/>
    <xf numFmtId="168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330200</xdr:colOff>
      <xdr:row>0</xdr:row>
      <xdr:rowOff>25400</xdr:rowOff>
    </xdr:from>
    <xdr:to>
      <xdr:col>15</xdr:col>
      <xdr:colOff>707815</xdr:colOff>
      <xdr:row>41</xdr:row>
      <xdr:rowOff>190500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DC70D8B5-F617-D38D-714F-9390E9F92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94800" y="25400"/>
          <a:ext cx="4505115" cy="10058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9A0B7FB-FA72-F34B-9641-B1AD43CDD8D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59" dT="2025-09-24T17:54:53.02" personId="{89A0B7FB-FA72-F34B-9641-B1AD43CDD8DB}" id="{9F2A8D96-BE3C-634A-A468-A761CD121394}">
    <text>Oppkjøp</text>
  </threadedComment>
  <threadedComment ref="X62" dT="2025-09-24T17:55:31.72" personId="{89A0B7FB-FA72-F34B-9641-B1AD43CDD8DB}" id="{66E27F50-5F77-C541-A8BB-BB4B5E474CE5}">
    <text>Hentet inn 1360,290 i ny EK og 380 i lån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19"/>
  <sheetViews>
    <sheetView showGridLines="0" workbookViewId="0">
      <selection activeCell="F40" sqref="F40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V126"/>
  <sheetViews>
    <sheetView showGridLines="0" tabSelected="1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T5" sqref="T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3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2"/>
    <col min="17" max="17" width="10.83203125" style="34"/>
    <col min="18" max="30" width="10.83203125" style="2"/>
    <col min="31" max="31" width="12" style="2" bestFit="1" customWidth="1"/>
    <col min="32" max="32" width="10.83203125" style="4"/>
    <col min="33" max="44" width="10.83203125" style="2"/>
    <col min="45" max="45" width="14" style="2" bestFit="1" customWidth="1"/>
    <col min="46" max="16384" width="10.83203125" style="2"/>
  </cols>
  <sheetData>
    <row r="1" spans="1:204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204" x14ac:dyDescent="0.25">
      <c r="A3" s="1" t="s">
        <v>0</v>
      </c>
      <c r="C3" s="2" t="s">
        <v>48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35" t="s">
        <v>31</v>
      </c>
      <c r="R3" s="7" t="s">
        <v>35</v>
      </c>
      <c r="S3" s="7" t="s">
        <v>36</v>
      </c>
      <c r="V3" s="7"/>
      <c r="W3" s="7"/>
      <c r="X3" s="7" t="s">
        <v>41</v>
      </c>
      <c r="Y3" s="7" t="s">
        <v>42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6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204" x14ac:dyDescent="0.25">
      <c r="A4" s="2" t="s">
        <v>1</v>
      </c>
      <c r="B4" s="20">
        <v>225</v>
      </c>
      <c r="C4" s="1" t="s">
        <v>51</v>
      </c>
      <c r="D4" s="12">
        <v>180.1</v>
      </c>
      <c r="E4" s="12">
        <v>270.5</v>
      </c>
      <c r="F4" s="12">
        <v>240</v>
      </c>
      <c r="G4" s="12">
        <v>202</v>
      </c>
      <c r="H4" s="12">
        <v>190.5</v>
      </c>
      <c r="I4" s="12">
        <v>268.39999999999998</v>
      </c>
      <c r="J4" s="12">
        <v>272.7</v>
      </c>
      <c r="K4" s="12">
        <v>275.8</v>
      </c>
      <c r="L4" s="12">
        <v>254</v>
      </c>
      <c r="M4" s="12">
        <v>405.6</v>
      </c>
      <c r="N4" s="12">
        <v>372.6</v>
      </c>
      <c r="O4" s="12">
        <v>364.5</v>
      </c>
      <c r="P4" s="12">
        <v>329</v>
      </c>
      <c r="Q4" s="36">
        <v>484</v>
      </c>
      <c r="R4" s="36">
        <v>367.2</v>
      </c>
      <c r="S4" s="12"/>
      <c r="V4" s="12"/>
      <c r="W4" s="12"/>
      <c r="X4" s="12">
        <v>318.47500000000002</v>
      </c>
      <c r="Y4" s="12">
        <v>374</v>
      </c>
      <c r="Z4" s="12">
        <v>446.36900000000003</v>
      </c>
      <c r="AA4" s="12">
        <v>545.846</v>
      </c>
      <c r="AB4" s="12">
        <v>729.9</v>
      </c>
      <c r="AC4" s="12">
        <v>891.8</v>
      </c>
      <c r="AD4" s="12">
        <v>1007</v>
      </c>
      <c r="AE4" s="12">
        <v>1396.7</v>
      </c>
      <c r="AF4" s="13">
        <f>AE4*1.16</f>
        <v>1620.172</v>
      </c>
      <c r="AG4" s="12">
        <f>AF4*1.17</f>
        <v>1895.60124</v>
      </c>
      <c r="AH4" s="12">
        <f t="shared" ref="AH4:AP4" si="0">AG4*1.17</f>
        <v>2217.8534507999998</v>
      </c>
      <c r="AI4" s="12">
        <f t="shared" si="0"/>
        <v>2594.8885374359998</v>
      </c>
      <c r="AJ4" s="12">
        <f t="shared" si="0"/>
        <v>3036.0195888001194</v>
      </c>
      <c r="AK4" s="12">
        <f t="shared" si="0"/>
        <v>3552.1429188961397</v>
      </c>
      <c r="AL4" s="12">
        <f t="shared" si="0"/>
        <v>4156.0072151084833</v>
      </c>
      <c r="AM4" s="12">
        <f t="shared" si="0"/>
        <v>4862.5284416769255</v>
      </c>
      <c r="AN4" s="12">
        <f t="shared" si="0"/>
        <v>5689.1582767620021</v>
      </c>
      <c r="AO4" s="12">
        <f t="shared" si="0"/>
        <v>6656.3151838115418</v>
      </c>
      <c r="AP4" s="12">
        <f t="shared" si="0"/>
        <v>7787.8887650595034</v>
      </c>
    </row>
    <row r="5" spans="1:204" x14ac:dyDescent="0.25">
      <c r="A5" s="2" t="s">
        <v>2</v>
      </c>
      <c r="B5" s="5">
        <v>95.008346000000003</v>
      </c>
      <c r="C5" s="2" t="s">
        <v>52</v>
      </c>
      <c r="D5" s="14">
        <v>2.5</v>
      </c>
      <c r="E5" s="14">
        <v>2.9</v>
      </c>
      <c r="F5" s="14">
        <v>1.3</v>
      </c>
      <c r="G5" s="14">
        <v>3.3</v>
      </c>
      <c r="H5" s="14">
        <v>3.4</v>
      </c>
      <c r="I5" s="14">
        <v>2.2999999999999998</v>
      </c>
      <c r="J5" s="14">
        <v>3.2</v>
      </c>
      <c r="K5" s="14">
        <v>4</v>
      </c>
      <c r="L5" s="14">
        <v>3.9</v>
      </c>
      <c r="M5" s="14">
        <v>2.7</v>
      </c>
      <c r="N5" s="14">
        <v>1.2</v>
      </c>
      <c r="O5" s="14">
        <v>2.9</v>
      </c>
      <c r="P5" s="14">
        <v>6.4</v>
      </c>
      <c r="Q5" s="37">
        <v>2</v>
      </c>
      <c r="R5" s="37">
        <v>3.7</v>
      </c>
      <c r="S5" s="14"/>
      <c r="T5" s="14"/>
      <c r="V5" s="14"/>
      <c r="W5" s="14"/>
      <c r="X5" s="14">
        <v>0</v>
      </c>
      <c r="Y5" s="14">
        <v>0</v>
      </c>
      <c r="Z5" s="14">
        <v>4.3</v>
      </c>
      <c r="AA5" s="14">
        <v>3.9</v>
      </c>
      <c r="AB5" s="14">
        <v>4.5999999999999996</v>
      </c>
      <c r="AC5" s="14">
        <v>10</v>
      </c>
      <c r="AD5" s="14">
        <v>13</v>
      </c>
      <c r="AE5" s="14">
        <v>10.7</v>
      </c>
      <c r="AF5" s="15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</row>
    <row r="6" spans="1:204" x14ac:dyDescent="0.25">
      <c r="A6" s="2" t="s">
        <v>44</v>
      </c>
      <c r="B6" s="5">
        <f>B4*B5</f>
        <v>21376.877850000001</v>
      </c>
      <c r="C6" s="2" t="s">
        <v>53</v>
      </c>
      <c r="D6" s="14">
        <v>-59</v>
      </c>
      <c r="E6" s="14">
        <v>-86.8</v>
      </c>
      <c r="F6" s="14">
        <v>-79.2</v>
      </c>
      <c r="G6" s="14">
        <v>-74</v>
      </c>
      <c r="H6" s="14">
        <v>-63.2</v>
      </c>
      <c r="I6" s="14">
        <v>-85.2</v>
      </c>
      <c r="J6" s="14">
        <v>-82.5</v>
      </c>
      <c r="K6" s="14">
        <v>-92.8</v>
      </c>
      <c r="L6" s="14">
        <v>-86.9</v>
      </c>
      <c r="M6" s="14">
        <v>-137.69999999999999</v>
      </c>
      <c r="N6" s="14">
        <v>-120.1</v>
      </c>
      <c r="O6" s="14">
        <v>-136</v>
      </c>
      <c r="P6" s="14">
        <v>-118</v>
      </c>
      <c r="Q6" s="37">
        <v>-165.7</v>
      </c>
      <c r="R6" s="37">
        <v>-131.69999999999999</v>
      </c>
      <c r="S6" s="14"/>
      <c r="V6" s="14"/>
      <c r="W6" s="14"/>
      <c r="X6" s="14">
        <v>-181.48</v>
      </c>
      <c r="Y6" s="14">
        <v>-166.75200000000001</v>
      </c>
      <c r="Z6" s="14">
        <v>-189</v>
      </c>
      <c r="AA6" s="14">
        <v>-245.30799999999999</v>
      </c>
      <c r="AB6" s="14">
        <v>-299.89999999999998</v>
      </c>
      <c r="AC6" s="14">
        <v>-299</v>
      </c>
      <c r="AD6" s="14">
        <v>-323.7</v>
      </c>
      <c r="AE6" s="14">
        <v>-480.7</v>
      </c>
      <c r="AF6" s="15">
        <f t="shared" ref="AF6:AF9" si="1">AE6*1.15</f>
        <v>-552.80499999999995</v>
      </c>
      <c r="AG6" s="14">
        <f>AF6*1.05</f>
        <v>-580.44524999999999</v>
      </c>
      <c r="AH6" s="14">
        <f>AG6*1.17</f>
        <v>-679.12094249999996</v>
      </c>
      <c r="AI6" s="14">
        <f t="shared" ref="AI6:AP6" si="2">AH6*1.17</f>
        <v>-794.57150272499985</v>
      </c>
      <c r="AJ6" s="14">
        <f t="shared" si="2"/>
        <v>-929.64865818824978</v>
      </c>
      <c r="AK6" s="14">
        <f t="shared" si="2"/>
        <v>-1087.6889300802522</v>
      </c>
      <c r="AL6" s="14">
        <f t="shared" si="2"/>
        <v>-1272.5960481938951</v>
      </c>
      <c r="AM6" s="14">
        <f t="shared" si="2"/>
        <v>-1488.9373763868571</v>
      </c>
      <c r="AN6" s="14">
        <f t="shared" si="2"/>
        <v>-1742.0567303726227</v>
      </c>
      <c r="AO6" s="14">
        <f t="shared" si="2"/>
        <v>-2038.2063745359685</v>
      </c>
      <c r="AP6" s="14">
        <f t="shared" si="2"/>
        <v>-2384.7014582070829</v>
      </c>
    </row>
    <row r="7" spans="1:204" x14ac:dyDescent="0.25">
      <c r="A7" s="2" t="s">
        <v>45</v>
      </c>
      <c r="B7" s="5">
        <f>R37</f>
        <v>195.6</v>
      </c>
      <c r="C7" s="2" t="s">
        <v>54</v>
      </c>
      <c r="D7" s="14">
        <v>-37.799999999999997</v>
      </c>
      <c r="E7" s="14">
        <v>-41</v>
      </c>
      <c r="F7" s="14">
        <v>-32.700000000000003</v>
      </c>
      <c r="G7" s="14">
        <v>-41.7</v>
      </c>
      <c r="H7" s="14">
        <v>-43.1</v>
      </c>
      <c r="I7" s="14">
        <v>-44.4</v>
      </c>
      <c r="J7" s="14">
        <v>-37</v>
      </c>
      <c r="K7" s="14">
        <v>-45.1</v>
      </c>
      <c r="L7" s="14">
        <v>-50.9</v>
      </c>
      <c r="M7" s="14">
        <v>-53.9</v>
      </c>
      <c r="N7" s="14">
        <v>-45.7</v>
      </c>
      <c r="O7" s="14">
        <v>-54.7</v>
      </c>
      <c r="P7" s="14">
        <v>-59.5</v>
      </c>
      <c r="Q7" s="37">
        <v>-58.7</v>
      </c>
      <c r="R7" s="37">
        <v>-43.3</v>
      </c>
      <c r="S7" s="14"/>
      <c r="X7" s="14">
        <v>-60.5</v>
      </c>
      <c r="Y7" s="14">
        <v>-69.885000000000005</v>
      </c>
      <c r="Z7" s="14">
        <v>-88.679000000000002</v>
      </c>
      <c r="AA7" s="14">
        <v>-114.756</v>
      </c>
      <c r="AB7" s="14">
        <v>-130</v>
      </c>
      <c r="AC7" s="14">
        <v>-153.19999999999999</v>
      </c>
      <c r="AD7" s="14">
        <v>-169.6</v>
      </c>
      <c r="AE7" s="14">
        <v>-205.2</v>
      </c>
      <c r="AF7" s="15">
        <f t="shared" si="1"/>
        <v>-235.97999999999996</v>
      </c>
      <c r="AG7" s="14">
        <f t="shared" ref="AG7:AG9" si="3">AF7*1.05</f>
        <v>-247.77899999999997</v>
      </c>
      <c r="AH7" s="14">
        <f t="shared" ref="AH7:AP9" si="4">AG7*1.17</f>
        <v>-289.90142999999995</v>
      </c>
      <c r="AI7" s="14">
        <f t="shared" si="4"/>
        <v>-339.18467309999994</v>
      </c>
      <c r="AJ7" s="14">
        <f t="shared" si="4"/>
        <v>-396.84606752699989</v>
      </c>
      <c r="AK7" s="14">
        <f t="shared" si="4"/>
        <v>-464.30989900658983</v>
      </c>
      <c r="AL7" s="14">
        <f t="shared" si="4"/>
        <v>-543.24258183771008</v>
      </c>
      <c r="AM7" s="14">
        <f t="shared" si="4"/>
        <v>-635.5938207501207</v>
      </c>
      <c r="AN7" s="14">
        <f t="shared" si="4"/>
        <v>-743.64477027764121</v>
      </c>
      <c r="AO7" s="14">
        <f t="shared" si="4"/>
        <v>-870.06438122484019</v>
      </c>
      <c r="AP7" s="14">
        <f t="shared" si="4"/>
        <v>-1017.975326033063</v>
      </c>
    </row>
    <row r="8" spans="1:204" x14ac:dyDescent="0.25">
      <c r="A8" s="2" t="s">
        <v>46</v>
      </c>
      <c r="B8" s="5">
        <f>R41</f>
        <v>596.6</v>
      </c>
      <c r="C8" s="2" t="s">
        <v>55</v>
      </c>
      <c r="D8" s="14">
        <v>-17.7</v>
      </c>
      <c r="E8" s="14">
        <v>-17.8</v>
      </c>
      <c r="F8" s="14">
        <v>-17.600000000000001</v>
      </c>
      <c r="G8" s="14">
        <v>-17.5</v>
      </c>
      <c r="H8" s="14">
        <v>-19.100000000000001</v>
      </c>
      <c r="I8" s="14">
        <v>-19</v>
      </c>
      <c r="J8" s="14">
        <v>-19.100000000000001</v>
      </c>
      <c r="K8" s="14">
        <v>-20.100000000000001</v>
      </c>
      <c r="L8" s="14">
        <v>-20.8</v>
      </c>
      <c r="M8" s="14">
        <v>-20.6</v>
      </c>
      <c r="N8" s="14">
        <v>-21.9</v>
      </c>
      <c r="O8" s="14">
        <v>-22.7</v>
      </c>
      <c r="P8" s="14">
        <v>-22.5</v>
      </c>
      <c r="Q8" s="37">
        <v>-23.2</v>
      </c>
      <c r="R8" s="37">
        <v>-24.1</v>
      </c>
      <c r="S8" s="14"/>
      <c r="V8" s="14"/>
      <c r="W8" s="14"/>
      <c r="X8" s="14">
        <v>-63.3</v>
      </c>
      <c r="Y8" s="14">
        <v>-64.793000000000006</v>
      </c>
      <c r="Z8" s="14">
        <v>-73.2</v>
      </c>
      <c r="AA8" s="14">
        <v>-77.447000000000003</v>
      </c>
      <c r="AB8" s="14">
        <v>-79</v>
      </c>
      <c r="AC8" s="14">
        <v>-70.599999999999994</v>
      </c>
      <c r="AD8" s="14">
        <v>-77.3</v>
      </c>
      <c r="AE8" s="14">
        <v>-86</v>
      </c>
      <c r="AF8" s="15">
        <f t="shared" si="1"/>
        <v>-98.899999999999991</v>
      </c>
      <c r="AG8" s="14">
        <f t="shared" si="3"/>
        <v>-103.845</v>
      </c>
      <c r="AH8" s="14">
        <f t="shared" si="4"/>
        <v>-121.49865</v>
      </c>
      <c r="AI8" s="14">
        <f t="shared" si="4"/>
        <v>-142.15342049999998</v>
      </c>
      <c r="AJ8" s="14">
        <f t="shared" si="4"/>
        <v>-166.31950198499996</v>
      </c>
      <c r="AK8" s="14">
        <f t="shared" si="4"/>
        <v>-194.59381732244995</v>
      </c>
      <c r="AL8" s="14">
        <f t="shared" si="4"/>
        <v>-227.67476626726642</v>
      </c>
      <c r="AM8" s="14">
        <f t="shared" si="4"/>
        <v>-266.37947653270169</v>
      </c>
      <c r="AN8" s="14">
        <f t="shared" si="4"/>
        <v>-311.66398754326093</v>
      </c>
      <c r="AO8" s="14">
        <f t="shared" si="4"/>
        <v>-364.64686542561526</v>
      </c>
      <c r="AP8" s="14">
        <f t="shared" si="4"/>
        <v>-426.63683254796985</v>
      </c>
    </row>
    <row r="9" spans="1:204" x14ac:dyDescent="0.25">
      <c r="A9" s="3" t="s">
        <v>47</v>
      </c>
      <c r="B9" s="6">
        <f>B6-B7+B8</f>
        <v>21777.877850000001</v>
      </c>
      <c r="C9" s="2" t="s">
        <v>56</v>
      </c>
      <c r="D9" s="14">
        <v>0</v>
      </c>
      <c r="E9" s="14">
        <v>0</v>
      </c>
      <c r="F9" s="14">
        <v>0</v>
      </c>
      <c r="G9" s="14">
        <v>0</v>
      </c>
      <c r="H9" s="14">
        <v>-0.4</v>
      </c>
      <c r="I9" s="14">
        <v>0</v>
      </c>
      <c r="J9" s="14">
        <v>0</v>
      </c>
      <c r="K9" s="14">
        <v>-0.4</v>
      </c>
      <c r="L9" s="14">
        <v>-0.4</v>
      </c>
      <c r="M9" s="14">
        <v>-0.5</v>
      </c>
      <c r="N9" s="14">
        <v>-0.4</v>
      </c>
      <c r="O9" s="14">
        <v>-0.4</v>
      </c>
      <c r="P9" s="14">
        <v>-0.4</v>
      </c>
      <c r="Q9" s="37">
        <v>-0.7</v>
      </c>
      <c r="R9" s="37">
        <v>-0.5</v>
      </c>
      <c r="S9" s="14"/>
      <c r="V9" s="14"/>
      <c r="W9" s="14"/>
      <c r="X9" s="14">
        <v>0</v>
      </c>
      <c r="Y9" s="14">
        <v>0</v>
      </c>
      <c r="Z9" s="14">
        <v>-1</v>
      </c>
      <c r="AA9" s="14">
        <v>-1.7</v>
      </c>
      <c r="AB9" s="14">
        <v>-1.7</v>
      </c>
      <c r="AC9" s="14">
        <v>-1.5</v>
      </c>
      <c r="AD9" s="14">
        <v>-1.6</v>
      </c>
      <c r="AE9" s="14">
        <v>-1.7</v>
      </c>
      <c r="AF9" s="15">
        <f t="shared" si="1"/>
        <v>-1.9549999999999998</v>
      </c>
      <c r="AG9" s="14">
        <f t="shared" si="3"/>
        <v>-2.0527500000000001</v>
      </c>
      <c r="AH9" s="14">
        <f t="shared" si="4"/>
        <v>-2.4017174999999997</v>
      </c>
      <c r="AI9" s="14">
        <f t="shared" si="4"/>
        <v>-2.8100094749999993</v>
      </c>
      <c r="AJ9" s="14">
        <f t="shared" si="4"/>
        <v>-3.2877110857499989</v>
      </c>
      <c r="AK9" s="14">
        <f t="shared" si="4"/>
        <v>-3.8466219703274986</v>
      </c>
      <c r="AL9" s="14">
        <f t="shared" si="4"/>
        <v>-4.5005477052831733</v>
      </c>
      <c r="AM9" s="14">
        <f t="shared" si="4"/>
        <v>-5.2656408151813121</v>
      </c>
      <c r="AN9" s="14">
        <f t="shared" si="4"/>
        <v>-6.1607997537621344</v>
      </c>
      <c r="AO9" s="14">
        <f t="shared" si="4"/>
        <v>-7.2081357119016971</v>
      </c>
      <c r="AP9" s="14">
        <f t="shared" si="4"/>
        <v>-8.4335187829249847</v>
      </c>
    </row>
    <row r="10" spans="1:204" x14ac:dyDescent="0.25">
      <c r="C10" s="2" t="s">
        <v>57</v>
      </c>
      <c r="D10" s="14">
        <f t="shared" ref="D10:Q10" si="5">SUM(D6:D9)</f>
        <v>-114.5</v>
      </c>
      <c r="E10" s="14">
        <f t="shared" si="5"/>
        <v>-145.6</v>
      </c>
      <c r="F10" s="14">
        <f t="shared" si="5"/>
        <v>-129.5</v>
      </c>
      <c r="G10" s="14">
        <f t="shared" si="5"/>
        <v>-133.19999999999999</v>
      </c>
      <c r="H10" s="14">
        <f t="shared" si="5"/>
        <v>-125.80000000000001</v>
      </c>
      <c r="I10" s="14">
        <f t="shared" si="5"/>
        <v>-148.6</v>
      </c>
      <c r="J10" s="14">
        <f t="shared" si="5"/>
        <v>-138.6</v>
      </c>
      <c r="K10" s="14">
        <f t="shared" si="5"/>
        <v>-158.4</v>
      </c>
      <c r="L10" s="14">
        <f t="shared" si="5"/>
        <v>-159.00000000000003</v>
      </c>
      <c r="M10" s="14">
        <f t="shared" si="5"/>
        <v>-212.7</v>
      </c>
      <c r="N10" s="14">
        <f t="shared" si="5"/>
        <v>-188.10000000000002</v>
      </c>
      <c r="O10" s="14">
        <f t="shared" si="5"/>
        <v>-213.79999999999998</v>
      </c>
      <c r="P10" s="14">
        <f t="shared" si="5"/>
        <v>-200.4</v>
      </c>
      <c r="Q10" s="37">
        <f t="shared" si="5"/>
        <v>-248.29999999999995</v>
      </c>
      <c r="R10" s="37">
        <f>SUM(R6:R9)</f>
        <v>-199.6</v>
      </c>
      <c r="S10" s="14"/>
      <c r="V10" s="14"/>
      <c r="W10" s="14"/>
      <c r="X10" s="14">
        <f t="shared" ref="X10:AE10" si="6">SUM(X6:X9)</f>
        <v>-305.27999999999997</v>
      </c>
      <c r="Y10" s="14">
        <f t="shared" si="6"/>
        <v>-301.43</v>
      </c>
      <c r="Z10" s="14">
        <f t="shared" si="6"/>
        <v>-351.87899999999996</v>
      </c>
      <c r="AA10" s="14">
        <f t="shared" si="6"/>
        <v>-439.21099999999996</v>
      </c>
      <c r="AB10" s="14">
        <f t="shared" si="6"/>
        <v>-510.59999999999997</v>
      </c>
      <c r="AC10" s="14">
        <f t="shared" si="6"/>
        <v>-524.29999999999995</v>
      </c>
      <c r="AD10" s="14">
        <f t="shared" si="6"/>
        <v>-572.19999999999993</v>
      </c>
      <c r="AE10" s="14">
        <f t="shared" si="6"/>
        <v>-773.6</v>
      </c>
      <c r="AF10" s="15">
        <f t="shared" ref="AF10:AP10" si="7">SUM(AF6:AF9)</f>
        <v>-889.63999999999987</v>
      </c>
      <c r="AG10" s="14">
        <f t="shared" si="7"/>
        <v>-934.12199999999996</v>
      </c>
      <c r="AH10" s="14">
        <f t="shared" si="7"/>
        <v>-1092.9227399999997</v>
      </c>
      <c r="AI10" s="14">
        <f t="shared" si="7"/>
        <v>-1278.7196058</v>
      </c>
      <c r="AJ10" s="14">
        <f t="shared" si="7"/>
        <v>-1496.1019387859997</v>
      </c>
      <c r="AK10" s="14">
        <f t="shared" si="7"/>
        <v>-1750.4392683796195</v>
      </c>
      <c r="AL10" s="14">
        <f t="shared" si="7"/>
        <v>-2048.0139440041548</v>
      </c>
      <c r="AM10" s="14">
        <f t="shared" si="7"/>
        <v>-2396.1763144848605</v>
      </c>
      <c r="AN10" s="14">
        <f t="shared" si="7"/>
        <v>-2803.5262879472871</v>
      </c>
      <c r="AO10" s="14">
        <f t="shared" si="7"/>
        <v>-3280.125756898326</v>
      </c>
      <c r="AP10" s="14">
        <f t="shared" si="7"/>
        <v>-3837.7471355710409</v>
      </c>
    </row>
    <row r="11" spans="1:204" x14ac:dyDescent="0.25">
      <c r="C11" s="1" t="s">
        <v>58</v>
      </c>
      <c r="D11" s="12">
        <f t="shared" ref="D11:Q11" si="8">D4+D10+D5</f>
        <v>68.099999999999994</v>
      </c>
      <c r="E11" s="12">
        <f t="shared" si="8"/>
        <v>127.80000000000001</v>
      </c>
      <c r="F11" s="12">
        <f t="shared" si="8"/>
        <v>111.8</v>
      </c>
      <c r="G11" s="12">
        <f t="shared" si="8"/>
        <v>72.100000000000009</v>
      </c>
      <c r="H11" s="12">
        <f t="shared" si="8"/>
        <v>68.099999999999994</v>
      </c>
      <c r="I11" s="12">
        <f t="shared" si="8"/>
        <v>122.09999999999998</v>
      </c>
      <c r="J11" s="12">
        <f t="shared" si="8"/>
        <v>137.29999999999998</v>
      </c>
      <c r="K11" s="12">
        <f t="shared" si="8"/>
        <v>121.4</v>
      </c>
      <c r="L11" s="12">
        <f t="shared" si="8"/>
        <v>98.899999999999977</v>
      </c>
      <c r="M11" s="12">
        <f t="shared" si="8"/>
        <v>195.60000000000002</v>
      </c>
      <c r="N11" s="12">
        <f t="shared" si="8"/>
        <v>185.7</v>
      </c>
      <c r="O11" s="12">
        <f t="shared" si="8"/>
        <v>153.60000000000002</v>
      </c>
      <c r="P11" s="12">
        <f t="shared" si="8"/>
        <v>135</v>
      </c>
      <c r="Q11" s="36">
        <f t="shared" si="8"/>
        <v>237.70000000000005</v>
      </c>
      <c r="R11" s="36">
        <f>R4+R10+R5</f>
        <v>171.29999999999998</v>
      </c>
      <c r="S11" s="12"/>
      <c r="U11" s="14"/>
      <c r="V11" s="14"/>
      <c r="W11" s="14"/>
      <c r="X11" s="12">
        <f t="shared" ref="X11:AE11" si="9">X4+X10+X5</f>
        <v>13.19500000000005</v>
      </c>
      <c r="Y11" s="12">
        <f t="shared" si="9"/>
        <v>72.569999999999993</v>
      </c>
      <c r="Z11" s="12">
        <f t="shared" si="9"/>
        <v>98.790000000000063</v>
      </c>
      <c r="AA11" s="12">
        <f t="shared" si="9"/>
        <v>110.53500000000005</v>
      </c>
      <c r="AB11" s="12">
        <f t="shared" si="9"/>
        <v>223.9</v>
      </c>
      <c r="AC11" s="12">
        <f t="shared" si="9"/>
        <v>377.5</v>
      </c>
      <c r="AD11" s="12">
        <f t="shared" si="9"/>
        <v>447.80000000000007</v>
      </c>
      <c r="AE11" s="12">
        <f t="shared" si="9"/>
        <v>633.80000000000007</v>
      </c>
      <c r="AF11" s="13">
        <f t="shared" ref="AF11:AP11" si="10">AF4+AF10+AF5</f>
        <v>730.53200000000015</v>
      </c>
      <c r="AG11" s="12">
        <f t="shared" si="10"/>
        <v>961.47924</v>
      </c>
      <c r="AH11" s="12">
        <f t="shared" si="10"/>
        <v>1124.9307108</v>
      </c>
      <c r="AI11" s="12">
        <f t="shared" si="10"/>
        <v>1316.1689316359998</v>
      </c>
      <c r="AJ11" s="12">
        <f t="shared" si="10"/>
        <v>1539.9176500141198</v>
      </c>
      <c r="AK11" s="12">
        <f t="shared" si="10"/>
        <v>1801.7036505165202</v>
      </c>
      <c r="AL11" s="12">
        <f t="shared" si="10"/>
        <v>2107.9932711043284</v>
      </c>
      <c r="AM11" s="12">
        <f t="shared" si="10"/>
        <v>2466.3521271920649</v>
      </c>
      <c r="AN11" s="12">
        <f t="shared" si="10"/>
        <v>2885.631988814715</v>
      </c>
      <c r="AO11" s="12">
        <f t="shared" si="10"/>
        <v>3376.1894269132158</v>
      </c>
      <c r="AP11" s="12">
        <f t="shared" si="10"/>
        <v>3950.1416294884625</v>
      </c>
    </row>
    <row r="12" spans="1:204" x14ac:dyDescent="0.25">
      <c r="C12" s="2" t="s">
        <v>59</v>
      </c>
      <c r="D12" s="14">
        <v>-1.6</v>
      </c>
      <c r="E12" s="14">
        <v>-1.2</v>
      </c>
      <c r="F12" s="14">
        <v>-1.4</v>
      </c>
      <c r="G12" s="14">
        <v>-2.6</v>
      </c>
      <c r="H12" s="14">
        <v>-4.0999999999999996</v>
      </c>
      <c r="I12" s="14">
        <v>-5.7</v>
      </c>
      <c r="J12" s="14">
        <v>-7.4</v>
      </c>
      <c r="K12" s="14">
        <v>-3.6</v>
      </c>
      <c r="L12" s="14">
        <v>-7.6</v>
      </c>
      <c r="M12" s="14">
        <v>-8</v>
      </c>
      <c r="N12" s="14">
        <v>-7.5</v>
      </c>
      <c r="O12" s="14">
        <v>-3.6</v>
      </c>
      <c r="P12" s="14">
        <v>-5.3</v>
      </c>
      <c r="Q12" s="37">
        <v>-4.4000000000000004</v>
      </c>
      <c r="R12" s="37">
        <v>-4.5</v>
      </c>
      <c r="S12" s="14"/>
      <c r="V12" s="12"/>
      <c r="W12" s="12"/>
      <c r="X12" s="14">
        <v>-36.130000000000003</v>
      </c>
      <c r="Y12" s="14">
        <v>-25.587</v>
      </c>
      <c r="Z12" s="14">
        <v>-15</v>
      </c>
      <c r="AA12" s="14">
        <v>-23.722999999999999</v>
      </c>
      <c r="AB12" s="14">
        <v>-25.8</v>
      </c>
      <c r="AC12" s="14">
        <v>-6.8</v>
      </c>
      <c r="AD12" s="14">
        <v>-20.8</v>
      </c>
      <c r="AE12" s="14">
        <v>-26.7</v>
      </c>
      <c r="AF12" s="15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</row>
    <row r="13" spans="1:204" x14ac:dyDescent="0.25">
      <c r="C13" s="2" t="s">
        <v>60</v>
      </c>
      <c r="D13" s="14">
        <f t="shared" ref="D13:Q13" si="11">SUM(D11:D12)</f>
        <v>66.5</v>
      </c>
      <c r="E13" s="14">
        <f t="shared" si="11"/>
        <v>126.60000000000001</v>
      </c>
      <c r="F13" s="14">
        <f t="shared" si="11"/>
        <v>110.39999999999999</v>
      </c>
      <c r="G13" s="14">
        <f t="shared" si="11"/>
        <v>69.500000000000014</v>
      </c>
      <c r="H13" s="14">
        <f t="shared" si="11"/>
        <v>63.999999999999993</v>
      </c>
      <c r="I13" s="14">
        <f t="shared" si="11"/>
        <v>116.39999999999998</v>
      </c>
      <c r="J13" s="14">
        <f t="shared" si="11"/>
        <v>129.89999999999998</v>
      </c>
      <c r="K13" s="14">
        <f t="shared" si="11"/>
        <v>117.80000000000001</v>
      </c>
      <c r="L13" s="14">
        <f t="shared" si="11"/>
        <v>91.299999999999983</v>
      </c>
      <c r="M13" s="14">
        <f t="shared" si="11"/>
        <v>187.60000000000002</v>
      </c>
      <c r="N13" s="14">
        <f t="shared" si="11"/>
        <v>178.2</v>
      </c>
      <c r="O13" s="14">
        <f t="shared" si="11"/>
        <v>150.00000000000003</v>
      </c>
      <c r="P13" s="14">
        <f t="shared" si="11"/>
        <v>129.69999999999999</v>
      </c>
      <c r="Q13" s="37">
        <f t="shared" si="11"/>
        <v>233.30000000000004</v>
      </c>
      <c r="R13" s="37">
        <f t="shared" ref="R13" si="12">SUM(R11:R12)</f>
        <v>166.79999999999998</v>
      </c>
      <c r="S13" s="14"/>
      <c r="V13" s="14"/>
      <c r="W13" s="14"/>
      <c r="X13" s="14">
        <f t="shared" ref="X13:AE13" si="13">SUM(X11:X12)</f>
        <v>-22.934999999999953</v>
      </c>
      <c r="Y13" s="14">
        <f t="shared" si="13"/>
        <v>46.98299999999999</v>
      </c>
      <c r="Z13" s="14">
        <f t="shared" si="13"/>
        <v>83.790000000000063</v>
      </c>
      <c r="AA13" s="14">
        <f t="shared" si="13"/>
        <v>86.812000000000054</v>
      </c>
      <c r="AB13" s="14">
        <f t="shared" si="13"/>
        <v>198.1</v>
      </c>
      <c r="AC13" s="14">
        <f t="shared" si="13"/>
        <v>370.7</v>
      </c>
      <c r="AD13" s="14">
        <f t="shared" si="13"/>
        <v>427.00000000000006</v>
      </c>
      <c r="AE13" s="14">
        <f t="shared" si="13"/>
        <v>607.1</v>
      </c>
      <c r="AF13" s="15">
        <f t="shared" ref="AF13:AP13" si="14">SUM(AF11:AF12)</f>
        <v>730.53200000000015</v>
      </c>
      <c r="AG13" s="14">
        <f t="shared" si="14"/>
        <v>961.47924</v>
      </c>
      <c r="AH13" s="14">
        <f t="shared" si="14"/>
        <v>1124.9307108</v>
      </c>
      <c r="AI13" s="14">
        <f t="shared" si="14"/>
        <v>1316.1689316359998</v>
      </c>
      <c r="AJ13" s="14">
        <f t="shared" si="14"/>
        <v>1539.9176500141198</v>
      </c>
      <c r="AK13" s="14">
        <f t="shared" si="14"/>
        <v>1801.7036505165202</v>
      </c>
      <c r="AL13" s="14">
        <f t="shared" si="14"/>
        <v>2107.9932711043284</v>
      </c>
      <c r="AM13" s="14">
        <f t="shared" si="14"/>
        <v>2466.3521271920649</v>
      </c>
      <c r="AN13" s="14">
        <f t="shared" si="14"/>
        <v>2885.631988814715</v>
      </c>
      <c r="AO13" s="14">
        <f t="shared" si="14"/>
        <v>3376.1894269132158</v>
      </c>
      <c r="AP13" s="14">
        <f t="shared" si="14"/>
        <v>3950.1416294884625</v>
      </c>
    </row>
    <row r="14" spans="1:204" x14ac:dyDescent="0.25">
      <c r="C14" s="2" t="s">
        <v>61</v>
      </c>
      <c r="D14" s="14">
        <v>-13.77</v>
      </c>
      <c r="E14" s="14">
        <v>-26.3</v>
      </c>
      <c r="F14" s="14">
        <v>-22.7</v>
      </c>
      <c r="G14" s="14">
        <v>-14.2</v>
      </c>
      <c r="H14" s="14">
        <v>-13.3</v>
      </c>
      <c r="I14" s="14">
        <v>-24.1</v>
      </c>
      <c r="J14" s="14">
        <v>-26.7</v>
      </c>
      <c r="K14" s="14">
        <v>-24.6</v>
      </c>
      <c r="L14" s="14">
        <v>-18.899999999999999</v>
      </c>
      <c r="M14" s="14">
        <v>-38.9</v>
      </c>
      <c r="N14" s="14">
        <v>-36.799999999999997</v>
      </c>
      <c r="O14" s="14">
        <v>-31.1</v>
      </c>
      <c r="P14" s="14">
        <v>-26.8</v>
      </c>
      <c r="Q14" s="37">
        <v>-48.3</v>
      </c>
      <c r="R14" s="37">
        <v>-34.4</v>
      </c>
      <c r="S14" s="14"/>
      <c r="V14" s="12"/>
      <c r="W14" s="12"/>
      <c r="X14" s="14">
        <v>-2.2000000000000002</v>
      </c>
      <c r="Y14" s="14">
        <v>5.5</v>
      </c>
      <c r="Z14" s="14">
        <v>-18</v>
      </c>
      <c r="AA14" s="14">
        <v>-19</v>
      </c>
      <c r="AB14" s="14">
        <v>-41.6</v>
      </c>
      <c r="AC14" s="14">
        <v>-76.900000000000006</v>
      </c>
      <c r="AD14" s="14">
        <v>-88.7</v>
      </c>
      <c r="AE14" s="14">
        <v>-125.7</v>
      </c>
      <c r="AF14" s="15">
        <f>AF13*-0.2</f>
        <v>-146.10640000000004</v>
      </c>
      <c r="AG14" s="14">
        <f t="shared" ref="AG14:AP14" si="15">AG13*-0.2</f>
        <v>-192.29584800000001</v>
      </c>
      <c r="AH14" s="14">
        <f t="shared" si="15"/>
        <v>-224.98614216000001</v>
      </c>
      <c r="AI14" s="14">
        <f t="shared" si="15"/>
        <v>-263.23378632719999</v>
      </c>
      <c r="AJ14" s="14">
        <f t="shared" si="15"/>
        <v>-307.98353000282395</v>
      </c>
      <c r="AK14" s="14">
        <f t="shared" si="15"/>
        <v>-360.34073010330405</v>
      </c>
      <c r="AL14" s="14">
        <f t="shared" si="15"/>
        <v>-421.59865422086568</v>
      </c>
      <c r="AM14" s="14">
        <f t="shared" si="15"/>
        <v>-493.27042543841299</v>
      </c>
      <c r="AN14" s="14">
        <f t="shared" si="15"/>
        <v>-577.12639776294304</v>
      </c>
      <c r="AO14" s="14">
        <f t="shared" si="15"/>
        <v>-675.23788538264319</v>
      </c>
      <c r="AP14" s="14">
        <f t="shared" si="15"/>
        <v>-790.02832589769253</v>
      </c>
    </row>
    <row r="15" spans="1:204" x14ac:dyDescent="0.25">
      <c r="C15" s="1" t="s">
        <v>62</v>
      </c>
      <c r="D15" s="12">
        <f t="shared" ref="D15:Q15" si="16">SUM(D13:D14)</f>
        <v>52.730000000000004</v>
      </c>
      <c r="E15" s="12">
        <f t="shared" si="16"/>
        <v>100.30000000000001</v>
      </c>
      <c r="F15" s="12">
        <f t="shared" si="16"/>
        <v>87.699999999999989</v>
      </c>
      <c r="G15" s="12">
        <f t="shared" si="16"/>
        <v>55.300000000000011</v>
      </c>
      <c r="H15" s="12">
        <f t="shared" si="16"/>
        <v>50.699999999999989</v>
      </c>
      <c r="I15" s="12">
        <f t="shared" si="16"/>
        <v>92.299999999999983</v>
      </c>
      <c r="J15" s="12">
        <f t="shared" si="16"/>
        <v>103.19999999999997</v>
      </c>
      <c r="K15" s="12">
        <f t="shared" si="16"/>
        <v>93.200000000000017</v>
      </c>
      <c r="L15" s="12">
        <f t="shared" si="16"/>
        <v>72.399999999999977</v>
      </c>
      <c r="M15" s="12">
        <f t="shared" si="16"/>
        <v>148.70000000000002</v>
      </c>
      <c r="N15" s="12">
        <f t="shared" si="16"/>
        <v>141.39999999999998</v>
      </c>
      <c r="O15" s="12">
        <f t="shared" si="16"/>
        <v>118.90000000000003</v>
      </c>
      <c r="P15" s="12">
        <f t="shared" si="16"/>
        <v>102.89999999999999</v>
      </c>
      <c r="Q15" s="36">
        <f t="shared" si="16"/>
        <v>185.00000000000006</v>
      </c>
      <c r="R15" s="36">
        <f t="shared" ref="R15" si="17">SUM(R13:R14)</f>
        <v>132.39999999999998</v>
      </c>
      <c r="S15" s="12"/>
      <c r="T15" s="1"/>
      <c r="V15" s="14"/>
      <c r="W15" s="14"/>
      <c r="X15" s="12">
        <f t="shared" ref="X15:AE15" si="18">SUM(X13:X14)</f>
        <v>-25.134999999999952</v>
      </c>
      <c r="Y15" s="12">
        <f t="shared" si="18"/>
        <v>52.48299999999999</v>
      </c>
      <c r="Z15" s="12">
        <f t="shared" si="18"/>
        <v>65.790000000000063</v>
      </c>
      <c r="AA15" s="12">
        <f t="shared" si="18"/>
        <v>67.812000000000054</v>
      </c>
      <c r="AB15" s="12">
        <f t="shared" si="18"/>
        <v>156.5</v>
      </c>
      <c r="AC15" s="12">
        <f t="shared" si="18"/>
        <v>293.79999999999995</v>
      </c>
      <c r="AD15" s="12">
        <f t="shared" si="18"/>
        <v>338.30000000000007</v>
      </c>
      <c r="AE15" s="12">
        <f t="shared" si="18"/>
        <v>481.40000000000003</v>
      </c>
      <c r="AF15" s="13">
        <f t="shared" ref="AF15:AP15" si="19">SUM(AF13:AF14)</f>
        <v>584.42560000000014</v>
      </c>
      <c r="AG15" s="12">
        <f t="shared" si="19"/>
        <v>769.18339200000003</v>
      </c>
      <c r="AH15" s="12">
        <f t="shared" si="19"/>
        <v>899.94456864000006</v>
      </c>
      <c r="AI15" s="12">
        <f t="shared" si="19"/>
        <v>1052.9351453087997</v>
      </c>
      <c r="AJ15" s="12">
        <f t="shared" si="19"/>
        <v>1231.9341200112958</v>
      </c>
      <c r="AK15" s="12">
        <f t="shared" si="19"/>
        <v>1441.3629204132162</v>
      </c>
      <c r="AL15" s="12">
        <f t="shared" si="19"/>
        <v>1686.3946168834627</v>
      </c>
      <c r="AM15" s="12">
        <f t="shared" si="19"/>
        <v>1973.0817017536519</v>
      </c>
      <c r="AN15" s="12">
        <f t="shared" si="19"/>
        <v>2308.5055910517722</v>
      </c>
      <c r="AO15" s="12">
        <f t="shared" si="19"/>
        <v>2700.9515415305727</v>
      </c>
      <c r="AP15" s="12">
        <f t="shared" si="19"/>
        <v>3160.1133035907701</v>
      </c>
      <c r="AQ15" s="12">
        <f>AP15*(1+$AS$19)</f>
        <v>3128.5121705548622</v>
      </c>
      <c r="AR15" s="12">
        <f t="shared" ref="AR15:DC15" si="20">AQ15*(1+$AS$19)</f>
        <v>3097.2270488493136</v>
      </c>
      <c r="AS15" s="12">
        <f t="shared" si="20"/>
        <v>3066.2547783608206</v>
      </c>
      <c r="AT15" s="12">
        <f t="shared" si="20"/>
        <v>3035.5922305772124</v>
      </c>
      <c r="AU15" s="12">
        <f t="shared" si="20"/>
        <v>3005.2363082714401</v>
      </c>
      <c r="AV15" s="12">
        <f t="shared" si="20"/>
        <v>2975.1839451887258</v>
      </c>
      <c r="AW15" s="12">
        <f t="shared" si="20"/>
        <v>2945.4321057368384</v>
      </c>
      <c r="AX15" s="12">
        <f t="shared" si="20"/>
        <v>2915.97778467947</v>
      </c>
      <c r="AY15" s="12">
        <f t="shared" si="20"/>
        <v>2886.8180068326751</v>
      </c>
      <c r="AZ15" s="12">
        <f t="shared" si="20"/>
        <v>2857.9498267643485</v>
      </c>
      <c r="BA15" s="12">
        <f t="shared" si="20"/>
        <v>2829.370328496705</v>
      </c>
      <c r="BB15" s="12">
        <f t="shared" si="20"/>
        <v>2801.0766252117378</v>
      </c>
      <c r="BC15" s="12">
        <f t="shared" si="20"/>
        <v>2773.0658589596205</v>
      </c>
      <c r="BD15" s="12">
        <f t="shared" si="20"/>
        <v>2745.3352003700243</v>
      </c>
      <c r="BE15" s="12">
        <f t="shared" si="20"/>
        <v>2717.881848366324</v>
      </c>
      <c r="BF15" s="12">
        <f t="shared" si="20"/>
        <v>2690.7030298826608</v>
      </c>
      <c r="BG15" s="12">
        <f t="shared" si="20"/>
        <v>2663.7959995838341</v>
      </c>
      <c r="BH15" s="12">
        <f t="shared" si="20"/>
        <v>2637.158039587996</v>
      </c>
      <c r="BI15" s="12">
        <f t="shared" si="20"/>
        <v>2610.7864591921161</v>
      </c>
      <c r="BJ15" s="12">
        <f t="shared" si="20"/>
        <v>2584.6785946001951</v>
      </c>
      <c r="BK15" s="12">
        <f t="shared" si="20"/>
        <v>2558.8318086541931</v>
      </c>
      <c r="BL15" s="12">
        <f t="shared" si="20"/>
        <v>2533.243490567651</v>
      </c>
      <c r="BM15" s="12">
        <f t="shared" si="20"/>
        <v>2507.9110556619744</v>
      </c>
      <c r="BN15" s="12">
        <f t="shared" si="20"/>
        <v>2482.8319451053544</v>
      </c>
      <c r="BO15" s="12">
        <f t="shared" si="20"/>
        <v>2458.0036256543008</v>
      </c>
      <c r="BP15" s="12">
        <f t="shared" si="20"/>
        <v>2433.423589397758</v>
      </c>
      <c r="BQ15" s="12">
        <f t="shared" si="20"/>
        <v>2409.0893535037803</v>
      </c>
      <c r="BR15" s="12">
        <f t="shared" si="20"/>
        <v>2384.9984599687423</v>
      </c>
      <c r="BS15" s="12">
        <f t="shared" si="20"/>
        <v>2361.1484753690547</v>
      </c>
      <c r="BT15" s="12">
        <f t="shared" si="20"/>
        <v>2337.5369906153642</v>
      </c>
      <c r="BU15" s="12">
        <f t="shared" si="20"/>
        <v>2314.1616207092106</v>
      </c>
      <c r="BV15" s="12">
        <f t="shared" si="20"/>
        <v>2291.0200045021184</v>
      </c>
      <c r="BW15" s="12">
        <f t="shared" si="20"/>
        <v>2268.1098044570972</v>
      </c>
      <c r="BX15" s="12">
        <f t="shared" si="20"/>
        <v>2245.428706412526</v>
      </c>
      <c r="BY15" s="12">
        <f t="shared" si="20"/>
        <v>2222.9744193484007</v>
      </c>
      <c r="BZ15" s="12">
        <f t="shared" si="20"/>
        <v>2200.7446751549169</v>
      </c>
      <c r="CA15" s="12">
        <f t="shared" si="20"/>
        <v>2178.7372284033677</v>
      </c>
      <c r="CB15" s="12">
        <f t="shared" si="20"/>
        <v>2156.9498561193341</v>
      </c>
      <c r="CC15" s="12">
        <f t="shared" si="20"/>
        <v>2135.3803575581405</v>
      </c>
      <c r="CD15" s="12">
        <f t="shared" si="20"/>
        <v>2114.0265539825591</v>
      </c>
      <c r="CE15" s="12">
        <f t="shared" si="20"/>
        <v>2092.8862884427335</v>
      </c>
      <c r="CF15" s="12">
        <f t="shared" si="20"/>
        <v>2071.9574255583061</v>
      </c>
      <c r="CG15" s="12">
        <f t="shared" si="20"/>
        <v>2051.2378513027229</v>
      </c>
      <c r="CH15" s="12">
        <f t="shared" si="20"/>
        <v>2030.7254727896957</v>
      </c>
      <c r="CI15" s="12">
        <f t="shared" si="20"/>
        <v>2010.4182180617988</v>
      </c>
      <c r="CJ15" s="12">
        <f t="shared" si="20"/>
        <v>1990.3140358811809</v>
      </c>
      <c r="CK15" s="12">
        <f t="shared" si="20"/>
        <v>1970.4108955223689</v>
      </c>
      <c r="CL15" s="12">
        <f t="shared" si="20"/>
        <v>1950.7067865671452</v>
      </c>
      <c r="CM15" s="12">
        <f t="shared" si="20"/>
        <v>1931.1997187014738</v>
      </c>
      <c r="CN15" s="12">
        <f t="shared" si="20"/>
        <v>1911.8877215144589</v>
      </c>
      <c r="CO15" s="12">
        <f t="shared" si="20"/>
        <v>1892.7688442993144</v>
      </c>
      <c r="CP15" s="12">
        <f t="shared" si="20"/>
        <v>1873.8411558563212</v>
      </c>
      <c r="CQ15" s="12">
        <f t="shared" si="20"/>
        <v>1855.1027442977579</v>
      </c>
      <c r="CR15" s="12">
        <f t="shared" si="20"/>
        <v>1836.5517168547804</v>
      </c>
      <c r="CS15" s="12">
        <f t="shared" si="20"/>
        <v>1818.1861996862326</v>
      </c>
      <c r="CT15" s="12">
        <f t="shared" si="20"/>
        <v>1800.0043376893702</v>
      </c>
      <c r="CU15" s="12">
        <f t="shared" si="20"/>
        <v>1782.0042943124765</v>
      </c>
      <c r="CV15" s="12">
        <f t="shared" si="20"/>
        <v>1764.1842513693518</v>
      </c>
      <c r="CW15" s="12">
        <f t="shared" si="20"/>
        <v>1746.5424088556583</v>
      </c>
      <c r="CX15" s="12">
        <f t="shared" si="20"/>
        <v>1729.0769847671017</v>
      </c>
      <c r="CY15" s="12">
        <f t="shared" si="20"/>
        <v>1711.7862149194307</v>
      </c>
      <c r="CZ15" s="12">
        <f t="shared" si="20"/>
        <v>1694.6683527702364</v>
      </c>
      <c r="DA15" s="12">
        <f t="shared" si="20"/>
        <v>1677.7216692425341</v>
      </c>
      <c r="DB15" s="12">
        <f t="shared" si="20"/>
        <v>1660.9444525501087</v>
      </c>
      <c r="DC15" s="12">
        <f t="shared" si="20"/>
        <v>1644.3350080246075</v>
      </c>
      <c r="DD15" s="12">
        <f t="shared" ref="DD15:FO15" si="21">DC15*(1+$AS$19)</f>
        <v>1627.8916579443614</v>
      </c>
      <c r="DE15" s="12">
        <f t="shared" si="21"/>
        <v>1611.6127413649178</v>
      </c>
      <c r="DF15" s="12">
        <f t="shared" si="21"/>
        <v>1595.4966139512687</v>
      </c>
      <c r="DG15" s="12">
        <f t="shared" si="21"/>
        <v>1579.5416478117561</v>
      </c>
      <c r="DH15" s="12">
        <f t="shared" si="21"/>
        <v>1563.7462313336384</v>
      </c>
      <c r="DI15" s="12">
        <f t="shared" si="21"/>
        <v>1548.1087690203021</v>
      </c>
      <c r="DJ15" s="12">
        <f t="shared" si="21"/>
        <v>1532.627681330099</v>
      </c>
      <c r="DK15" s="12">
        <f t="shared" si="21"/>
        <v>1517.3014045167979</v>
      </c>
      <c r="DL15" s="12">
        <f t="shared" si="21"/>
        <v>1502.1283904716299</v>
      </c>
      <c r="DM15" s="12">
        <f t="shared" si="21"/>
        <v>1487.1071065669137</v>
      </c>
      <c r="DN15" s="12">
        <f t="shared" si="21"/>
        <v>1472.2360355012445</v>
      </c>
      <c r="DO15" s="12">
        <f t="shared" si="21"/>
        <v>1457.5136751462321</v>
      </c>
      <c r="DP15" s="12">
        <f t="shared" si="21"/>
        <v>1442.9385383947697</v>
      </c>
      <c r="DQ15" s="12">
        <f t="shared" si="21"/>
        <v>1428.509153010822</v>
      </c>
      <c r="DR15" s="12">
        <f t="shared" si="21"/>
        <v>1414.2240614807138</v>
      </c>
      <c r="DS15" s="12">
        <f t="shared" si="21"/>
        <v>1400.0818208659066</v>
      </c>
      <c r="DT15" s="12">
        <f t="shared" si="21"/>
        <v>1386.0810026572476</v>
      </c>
      <c r="DU15" s="12">
        <f t="shared" si="21"/>
        <v>1372.2201926306752</v>
      </c>
      <c r="DV15" s="12">
        <f t="shared" si="21"/>
        <v>1358.4979907043685</v>
      </c>
      <c r="DW15" s="12">
        <f t="shared" si="21"/>
        <v>1344.9130107973249</v>
      </c>
      <c r="DX15" s="12">
        <f t="shared" si="21"/>
        <v>1331.4638806893515</v>
      </c>
      <c r="DY15" s="12">
        <f t="shared" si="21"/>
        <v>1318.149241882458</v>
      </c>
      <c r="DZ15" s="12">
        <f t="shared" si="21"/>
        <v>1304.9677494636335</v>
      </c>
      <c r="EA15" s="12">
        <f t="shared" si="21"/>
        <v>1291.9180719689971</v>
      </c>
      <c r="EB15" s="12">
        <f t="shared" si="21"/>
        <v>1278.998891249307</v>
      </c>
      <c r="EC15" s="12">
        <f t="shared" si="21"/>
        <v>1266.2089023368139</v>
      </c>
      <c r="ED15" s="12">
        <f t="shared" si="21"/>
        <v>1253.5468133134457</v>
      </c>
      <c r="EE15" s="12">
        <f t="shared" si="21"/>
        <v>1241.0113451803113</v>
      </c>
      <c r="EF15" s="12">
        <f t="shared" si="21"/>
        <v>1228.6012317285081</v>
      </c>
      <c r="EG15" s="12">
        <f t="shared" si="21"/>
        <v>1216.3152194112231</v>
      </c>
      <c r="EH15" s="12">
        <f t="shared" si="21"/>
        <v>1204.1520672171109</v>
      </c>
      <c r="EI15" s="12">
        <f t="shared" si="21"/>
        <v>1192.1105465449398</v>
      </c>
      <c r="EJ15" s="12">
        <f t="shared" si="21"/>
        <v>1180.1894410794903</v>
      </c>
      <c r="EK15" s="12">
        <f t="shared" si="21"/>
        <v>1168.3875466686954</v>
      </c>
      <c r="EL15" s="12">
        <f t="shared" si="21"/>
        <v>1156.7036712020085</v>
      </c>
      <c r="EM15" s="12">
        <f t="shared" si="21"/>
        <v>1145.1366344899884</v>
      </c>
      <c r="EN15" s="12">
        <f t="shared" si="21"/>
        <v>1133.6852681450885</v>
      </c>
      <c r="EO15" s="12">
        <f t="shared" si="21"/>
        <v>1122.3484154636376</v>
      </c>
      <c r="EP15" s="12">
        <f t="shared" si="21"/>
        <v>1111.1249313090011</v>
      </c>
      <c r="EQ15" s="12">
        <f t="shared" si="21"/>
        <v>1100.0136819959112</v>
      </c>
      <c r="ER15" s="12">
        <f t="shared" si="21"/>
        <v>1089.013545175952</v>
      </c>
      <c r="ES15" s="12">
        <f t="shared" si="21"/>
        <v>1078.1234097241925</v>
      </c>
      <c r="ET15" s="12">
        <f t="shared" si="21"/>
        <v>1067.3421756269506</v>
      </c>
      <c r="EU15" s="12">
        <f t="shared" si="21"/>
        <v>1056.668753870681</v>
      </c>
      <c r="EV15" s="12">
        <f t="shared" si="21"/>
        <v>1046.1020663319741</v>
      </c>
      <c r="EW15" s="12">
        <f t="shared" si="21"/>
        <v>1035.6410456686544</v>
      </c>
      <c r="EX15" s="12">
        <f t="shared" si="21"/>
        <v>1025.284635211968</v>
      </c>
      <c r="EY15" s="12">
        <f t="shared" si="21"/>
        <v>1015.0317888598482</v>
      </c>
      <c r="EZ15" s="12">
        <f t="shared" si="21"/>
        <v>1004.8814709712498</v>
      </c>
      <c r="FA15" s="12">
        <f t="shared" si="21"/>
        <v>994.83265626153729</v>
      </c>
      <c r="FB15" s="12">
        <f t="shared" si="21"/>
        <v>984.88432969892187</v>
      </c>
      <c r="FC15" s="12">
        <f t="shared" si="21"/>
        <v>975.03548640193264</v>
      </c>
      <c r="FD15" s="12">
        <f t="shared" si="21"/>
        <v>965.28513153791334</v>
      </c>
      <c r="FE15" s="12">
        <f t="shared" si="21"/>
        <v>955.63228022253418</v>
      </c>
      <c r="FF15" s="12">
        <f t="shared" si="21"/>
        <v>946.07595742030878</v>
      </c>
      <c r="FG15" s="12">
        <f t="shared" si="21"/>
        <v>936.61519784610573</v>
      </c>
      <c r="FH15" s="12">
        <f t="shared" si="21"/>
        <v>927.24904586764467</v>
      </c>
      <c r="FI15" s="12">
        <f t="shared" si="21"/>
        <v>917.97655540896824</v>
      </c>
      <c r="FJ15" s="12">
        <f t="shared" si="21"/>
        <v>908.79678985487851</v>
      </c>
      <c r="FK15" s="12">
        <f t="shared" si="21"/>
        <v>899.70882195632976</v>
      </c>
      <c r="FL15" s="12">
        <f t="shared" si="21"/>
        <v>890.7117337367664</v>
      </c>
      <c r="FM15" s="12">
        <f t="shared" si="21"/>
        <v>881.8046163993987</v>
      </c>
      <c r="FN15" s="12">
        <f t="shared" si="21"/>
        <v>872.98657023540466</v>
      </c>
      <c r="FO15" s="12">
        <f t="shared" si="21"/>
        <v>864.25670453305065</v>
      </c>
      <c r="FP15" s="12">
        <f t="shared" ref="FP15:GV15" si="22">FO15*(1+$AS$19)</f>
        <v>855.61413748772009</v>
      </c>
      <c r="FQ15" s="12">
        <f t="shared" si="22"/>
        <v>847.05799611284283</v>
      </c>
      <c r="FR15" s="12">
        <f t="shared" si="22"/>
        <v>838.58741615171436</v>
      </c>
      <c r="FS15" s="12">
        <f t="shared" si="22"/>
        <v>830.20154199019726</v>
      </c>
      <c r="FT15" s="12">
        <f t="shared" si="22"/>
        <v>821.89952657029528</v>
      </c>
      <c r="FU15" s="12">
        <f t="shared" si="22"/>
        <v>813.68053130459236</v>
      </c>
      <c r="FV15" s="12">
        <f t="shared" si="22"/>
        <v>805.54372599154647</v>
      </c>
      <c r="FW15" s="12">
        <f t="shared" si="22"/>
        <v>797.48828873163097</v>
      </c>
      <c r="FX15" s="12">
        <f t="shared" si="22"/>
        <v>789.51340584431466</v>
      </c>
      <c r="FY15" s="12">
        <f t="shared" si="22"/>
        <v>781.61827178587146</v>
      </c>
      <c r="FZ15" s="12">
        <f t="shared" si="22"/>
        <v>773.80208906801272</v>
      </c>
      <c r="GA15" s="12">
        <f t="shared" si="22"/>
        <v>766.06406817733262</v>
      </c>
      <c r="GB15" s="12">
        <f t="shared" si="22"/>
        <v>758.4034274955593</v>
      </c>
      <c r="GC15" s="12">
        <f t="shared" si="22"/>
        <v>750.81939322060373</v>
      </c>
      <c r="GD15" s="12">
        <f t="shared" si="22"/>
        <v>743.31119928839769</v>
      </c>
      <c r="GE15" s="12">
        <f t="shared" si="22"/>
        <v>735.87808729551375</v>
      </c>
      <c r="GF15" s="12">
        <f t="shared" si="22"/>
        <v>728.51930642255866</v>
      </c>
      <c r="GG15" s="12">
        <f t="shared" si="22"/>
        <v>721.23411335833305</v>
      </c>
      <c r="GH15" s="12">
        <f t="shared" si="22"/>
        <v>714.02177222474972</v>
      </c>
      <c r="GI15" s="12">
        <f t="shared" si="22"/>
        <v>706.88155450250224</v>
      </c>
      <c r="GJ15" s="12">
        <f t="shared" si="22"/>
        <v>699.81273895747722</v>
      </c>
      <c r="GK15" s="12">
        <f t="shared" si="22"/>
        <v>692.81461156790249</v>
      </c>
      <c r="GL15" s="12">
        <f t="shared" si="22"/>
        <v>685.88646545222343</v>
      </c>
      <c r="GM15" s="12">
        <f t="shared" si="22"/>
        <v>679.02760079770121</v>
      </c>
      <c r="GN15" s="12">
        <f t="shared" si="22"/>
        <v>672.2373247897242</v>
      </c>
      <c r="GO15" s="12">
        <f t="shared" si="22"/>
        <v>665.51495154182692</v>
      </c>
      <c r="GP15" s="12">
        <f t="shared" si="22"/>
        <v>658.8598020264086</v>
      </c>
      <c r="GQ15" s="12">
        <f t="shared" si="22"/>
        <v>652.27120400614456</v>
      </c>
      <c r="GR15" s="12">
        <f t="shared" si="22"/>
        <v>645.74849196608307</v>
      </c>
      <c r="GS15" s="12">
        <f t="shared" si="22"/>
        <v>639.29100704642224</v>
      </c>
      <c r="GT15" s="12">
        <f t="shared" si="22"/>
        <v>632.89809697595797</v>
      </c>
      <c r="GU15" s="12">
        <f t="shared" si="22"/>
        <v>626.56911600619833</v>
      </c>
      <c r="GV15" s="12">
        <f t="shared" si="22"/>
        <v>620.30342484613629</v>
      </c>
    </row>
    <row r="16" spans="1:204" x14ac:dyDescent="0.25">
      <c r="C16" s="2" t="s">
        <v>63</v>
      </c>
      <c r="D16" s="24">
        <v>101.131478</v>
      </c>
      <c r="E16" s="24">
        <v>100.822301</v>
      </c>
      <c r="F16" s="24">
        <v>99.433622999999997</v>
      </c>
      <c r="G16" s="24">
        <v>98.838795000000005</v>
      </c>
      <c r="H16" s="24">
        <v>98.236929000000003</v>
      </c>
      <c r="I16" s="24">
        <v>97.681991999999994</v>
      </c>
      <c r="J16" s="24">
        <v>97.042210999999995</v>
      </c>
      <c r="K16" s="24">
        <v>96.535933</v>
      </c>
      <c r="L16" s="24">
        <v>96.146180999999999</v>
      </c>
      <c r="M16" s="24">
        <v>96.146298000000002</v>
      </c>
      <c r="N16" s="24">
        <v>95.812287999999995</v>
      </c>
      <c r="O16" s="24">
        <v>95.566788000000003</v>
      </c>
      <c r="P16" s="24">
        <v>95.257288000000003</v>
      </c>
      <c r="Q16" s="38">
        <v>95.008346000000003</v>
      </c>
      <c r="R16" s="38">
        <v>95.008346000000003</v>
      </c>
      <c r="S16" s="24"/>
      <c r="V16" s="24"/>
      <c r="W16" s="24"/>
      <c r="X16" s="24">
        <v>100.719421</v>
      </c>
      <c r="Y16" s="24">
        <v>100.719421</v>
      </c>
      <c r="Z16" s="24">
        <v>100.719421</v>
      </c>
      <c r="AA16" s="24">
        <v>100.719421</v>
      </c>
      <c r="AB16" s="24">
        <v>100.999394</v>
      </c>
      <c r="AC16" s="24">
        <v>100.34598200000001</v>
      </c>
      <c r="AD16" s="24">
        <v>97.638240999999994</v>
      </c>
      <c r="AE16" s="24">
        <v>96.146298000000002</v>
      </c>
      <c r="AF16" s="5">
        <v>96.146298000000002</v>
      </c>
      <c r="AG16" s="24">
        <v>96.146298000000002</v>
      </c>
      <c r="AH16" s="24">
        <v>96.146298000000002</v>
      </c>
      <c r="AI16" s="24">
        <v>96.146298000000002</v>
      </c>
      <c r="AJ16" s="24">
        <v>96.146298000000002</v>
      </c>
      <c r="AK16" s="24">
        <v>96.146298000000002</v>
      </c>
      <c r="AL16" s="24">
        <v>96.146298000000002</v>
      </c>
      <c r="AM16" s="24">
        <v>96.146298000000002</v>
      </c>
      <c r="AN16" s="24">
        <v>96.146298000000002</v>
      </c>
      <c r="AO16" s="24">
        <v>96.146298000000002</v>
      </c>
      <c r="AP16" s="24">
        <v>96.146298000000002</v>
      </c>
    </row>
    <row r="17" spans="3:45" x14ac:dyDescent="0.25">
      <c r="C17" s="2" t="s">
        <v>64</v>
      </c>
      <c r="D17" s="25">
        <f t="shared" ref="D17:P17" si="23">D15/D16</f>
        <v>0.52140046840806586</v>
      </c>
      <c r="E17" s="25">
        <f t="shared" si="23"/>
        <v>0.99481958857495245</v>
      </c>
      <c r="F17" s="25">
        <f t="shared" si="23"/>
        <v>0.88199541919537605</v>
      </c>
      <c r="G17" s="25">
        <f t="shared" si="23"/>
        <v>0.55949690604787328</v>
      </c>
      <c r="H17" s="25">
        <f t="shared" si="23"/>
        <v>0.51609919524255476</v>
      </c>
      <c r="I17" s="25">
        <f t="shared" si="23"/>
        <v>0.9449029254030773</v>
      </c>
      <c r="J17" s="25">
        <f t="shared" si="23"/>
        <v>1.0634547475427985</v>
      </c>
      <c r="K17" s="25">
        <f t="shared" si="23"/>
        <v>0.96544361362312636</v>
      </c>
      <c r="L17" s="25">
        <f t="shared" si="23"/>
        <v>0.75302002894945952</v>
      </c>
      <c r="M17" s="25">
        <f t="shared" si="23"/>
        <v>1.546601409447923</v>
      </c>
      <c r="N17" s="25">
        <f t="shared" si="23"/>
        <v>1.4758023521993335</v>
      </c>
      <c r="O17" s="25">
        <f t="shared" si="23"/>
        <v>1.2441560764812984</v>
      </c>
      <c r="P17" s="25">
        <f t="shared" si="23"/>
        <v>1.0802323072645108</v>
      </c>
      <c r="Q17" s="39">
        <f>Q15/Q16</f>
        <v>1.9471973546408234</v>
      </c>
      <c r="R17" s="39">
        <f>R15/R16</f>
        <v>1.3935617824564588</v>
      </c>
      <c r="S17" s="14"/>
      <c r="V17" s="25"/>
      <c r="W17" s="25"/>
      <c r="X17" s="25">
        <f t="shared" ref="X17:AC17" si="24">X15/X16</f>
        <v>-0.24955465143112721</v>
      </c>
      <c r="Y17" s="25">
        <f t="shared" si="24"/>
        <v>0.52108123218857649</v>
      </c>
      <c r="Z17" s="25">
        <f t="shared" si="24"/>
        <v>0.65320073672782597</v>
      </c>
      <c r="AA17" s="25">
        <f t="shared" si="24"/>
        <v>0.67327630884613665</v>
      </c>
      <c r="AB17" s="25">
        <f t="shared" si="24"/>
        <v>1.549514247580535</v>
      </c>
      <c r="AC17" s="25">
        <f t="shared" si="24"/>
        <v>2.9278700964827862</v>
      </c>
      <c r="AD17" s="25">
        <f>AD15/AD16</f>
        <v>3.4648309569608089</v>
      </c>
      <c r="AE17" s="25">
        <f>AE15/AE16</f>
        <v>5.0069530498199732</v>
      </c>
      <c r="AF17" s="20">
        <f t="shared" ref="AF17:AP17" si="25">AF15/AF16</f>
        <v>6.0785034073802837</v>
      </c>
      <c r="AG17" s="25">
        <f t="shared" si="25"/>
        <v>8.0001352938206729</v>
      </c>
      <c r="AH17" s="25">
        <f t="shared" si="25"/>
        <v>9.3601582937701888</v>
      </c>
      <c r="AI17" s="25">
        <f t="shared" si="25"/>
        <v>10.951385203711117</v>
      </c>
      <c r="AJ17" s="25">
        <f t="shared" si="25"/>
        <v>12.813120688342007</v>
      </c>
      <c r="AK17" s="25">
        <f t="shared" si="25"/>
        <v>14.99135120536015</v>
      </c>
      <c r="AL17" s="25">
        <f t="shared" si="25"/>
        <v>17.539880910271375</v>
      </c>
      <c r="AM17" s="25">
        <f t="shared" si="25"/>
        <v>20.521660665017514</v>
      </c>
      <c r="AN17" s="25">
        <f t="shared" si="25"/>
        <v>24.010342978070483</v>
      </c>
      <c r="AO17" s="25">
        <f t="shared" si="25"/>
        <v>28.092101284342458</v>
      </c>
      <c r="AP17" s="25">
        <f t="shared" si="25"/>
        <v>32.867758502680672</v>
      </c>
    </row>
    <row r="18" spans="3:45" x14ac:dyDescent="0.25"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37"/>
      <c r="R18" s="14"/>
      <c r="S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8"/>
      <c r="AG18" s="9"/>
      <c r="AH18" s="9"/>
      <c r="AI18" s="9"/>
      <c r="AJ18" s="9"/>
      <c r="AK18" s="9"/>
      <c r="AL18" s="9"/>
      <c r="AM18" s="9"/>
      <c r="AN18" s="9"/>
      <c r="AO18" s="9"/>
      <c r="AP18" s="9"/>
      <c r="AR18" s="2" t="s">
        <v>105</v>
      </c>
      <c r="AS18" s="32">
        <v>0.08</v>
      </c>
    </row>
    <row r="19" spans="3:45" x14ac:dyDescent="0.25">
      <c r="C19" s="1" t="s">
        <v>38</v>
      </c>
      <c r="D19" s="14"/>
      <c r="E19" s="14"/>
      <c r="F19" s="14"/>
      <c r="G19" s="14"/>
      <c r="H19" s="26">
        <f t="shared" ref="H19:P19" si="26">(H4-D4)/D4</f>
        <v>5.7745696835091648E-2</v>
      </c>
      <c r="I19" s="26">
        <f t="shared" si="26"/>
        <v>-7.7634011090573852E-3</v>
      </c>
      <c r="J19" s="26">
        <f t="shared" si="26"/>
        <v>0.13624999999999995</v>
      </c>
      <c r="K19" s="26">
        <f t="shared" si="26"/>
        <v>0.36534653465346539</v>
      </c>
      <c r="L19" s="26">
        <f t="shared" si="26"/>
        <v>0.33333333333333331</v>
      </c>
      <c r="M19" s="26">
        <f t="shared" si="26"/>
        <v>0.51117734724292119</v>
      </c>
      <c r="N19" s="26">
        <f t="shared" si="26"/>
        <v>0.3663366336633665</v>
      </c>
      <c r="O19" s="26">
        <f t="shared" si="26"/>
        <v>0.32160986221899923</v>
      </c>
      <c r="P19" s="26">
        <f t="shared" si="26"/>
        <v>0.29527559055118108</v>
      </c>
      <c r="Q19" s="40">
        <f>(Q4-M4)/M4</f>
        <v>0.19329388560157784</v>
      </c>
      <c r="R19" s="40">
        <f>(R4-N4)/N4</f>
        <v>-1.4492753623188496E-2</v>
      </c>
      <c r="S19" s="14"/>
      <c r="V19" s="26"/>
      <c r="W19" s="26"/>
      <c r="X19" s="26" t="e">
        <f t="shared" ref="X19:AD19" si="27">(X4-W4)/W4</f>
        <v>#DIV/0!</v>
      </c>
      <c r="Y19" s="26">
        <f t="shared" si="27"/>
        <v>0.17434649501530725</v>
      </c>
      <c r="Z19" s="26">
        <f t="shared" si="27"/>
        <v>0.19350000000000009</v>
      </c>
      <c r="AA19" s="26">
        <f t="shared" si="27"/>
        <v>0.22285821820063662</v>
      </c>
      <c r="AB19" s="26">
        <f t="shared" si="27"/>
        <v>0.33719034306379447</v>
      </c>
      <c r="AC19" s="26">
        <f t="shared" si="27"/>
        <v>0.22181120701465951</v>
      </c>
      <c r="AD19" s="26">
        <f t="shared" si="27"/>
        <v>0.12917694550347616</v>
      </c>
      <c r="AE19" s="26">
        <f>(AE4-AD4)/AD4</f>
        <v>0.38699106256206561</v>
      </c>
      <c r="AF19" s="28">
        <f t="shared" ref="AF19:AP19" si="28">(AF4-AE4)/AE4</f>
        <v>0.15999999999999998</v>
      </c>
      <c r="AG19" s="26">
        <f t="shared" si="28"/>
        <v>0.16999999999999996</v>
      </c>
      <c r="AH19" s="26">
        <f t="shared" si="28"/>
        <v>0.1699999999999999</v>
      </c>
      <c r="AI19" s="26">
        <f t="shared" si="28"/>
        <v>0.16999999999999998</v>
      </c>
      <c r="AJ19" s="26">
        <f t="shared" si="28"/>
        <v>0.1699999999999999</v>
      </c>
      <c r="AK19" s="26">
        <f t="shared" si="28"/>
        <v>0.16999999999999998</v>
      </c>
      <c r="AL19" s="26">
        <f t="shared" si="28"/>
        <v>0.16999999999999996</v>
      </c>
      <c r="AM19" s="26">
        <f t="shared" si="28"/>
        <v>0.17</v>
      </c>
      <c r="AN19" s="26">
        <f t="shared" si="28"/>
        <v>0.16999999999999985</v>
      </c>
      <c r="AO19" s="26">
        <f t="shared" si="28"/>
        <v>0.1699999999999999</v>
      </c>
      <c r="AP19" s="26">
        <f t="shared" si="28"/>
        <v>0.16999999999999993</v>
      </c>
      <c r="AR19" s="2" t="s">
        <v>106</v>
      </c>
      <c r="AS19" s="32">
        <v>-0.01</v>
      </c>
    </row>
    <row r="20" spans="3:45" x14ac:dyDescent="0.25">
      <c r="C20" s="1" t="s">
        <v>104</v>
      </c>
      <c r="D20" s="14"/>
      <c r="E20" s="14"/>
      <c r="F20" s="14"/>
      <c r="G20" s="14"/>
      <c r="H20" s="26">
        <f t="shared" ref="H20:P20" si="29">(H10-D10)/D10</f>
        <v>9.8689956331877826E-2</v>
      </c>
      <c r="I20" s="26">
        <f t="shared" si="29"/>
        <v>2.0604395604395604E-2</v>
      </c>
      <c r="J20" s="26">
        <f t="shared" si="29"/>
        <v>7.0270270270270233E-2</v>
      </c>
      <c r="K20" s="26">
        <f t="shared" si="29"/>
        <v>0.18918918918918934</v>
      </c>
      <c r="L20" s="26">
        <f t="shared" si="29"/>
        <v>0.26391096979332285</v>
      </c>
      <c r="M20" s="26">
        <f t="shared" si="29"/>
        <v>0.43135935397039027</v>
      </c>
      <c r="N20" s="26">
        <f t="shared" si="29"/>
        <v>0.35714285714285737</v>
      </c>
      <c r="O20" s="26">
        <f t="shared" si="29"/>
        <v>0.34974747474747458</v>
      </c>
      <c r="P20" s="26">
        <f t="shared" si="29"/>
        <v>0.26037735849056587</v>
      </c>
      <c r="Q20" s="40">
        <f>(Q10-M10)/M10</f>
        <v>0.16737188528443803</v>
      </c>
      <c r="R20" s="40">
        <f>(R10-N10)/N10</f>
        <v>6.1137692716639928E-2</v>
      </c>
      <c r="S20" s="14"/>
      <c r="V20" s="26"/>
      <c r="W20" s="26"/>
      <c r="X20" s="26"/>
      <c r="Y20" s="26">
        <f>(Y10-X10)/X10</f>
        <v>-1.2611373165618339E-2</v>
      </c>
      <c r="Z20" s="26">
        <f t="shared" ref="Z20:AP20" si="30">(Z10-Y10)/Y10</f>
        <v>0.16736555750920595</v>
      </c>
      <c r="AA20" s="26">
        <f t="shared" si="30"/>
        <v>0.24818758721037631</v>
      </c>
      <c r="AB20" s="26">
        <f t="shared" si="30"/>
        <v>0.16253918959224614</v>
      </c>
      <c r="AC20" s="26">
        <f t="shared" si="30"/>
        <v>2.6831179005092028E-2</v>
      </c>
      <c r="AD20" s="26">
        <f t="shared" si="30"/>
        <v>9.1359908449361024E-2</v>
      </c>
      <c r="AE20" s="26">
        <f t="shared" si="30"/>
        <v>0.35197483397413509</v>
      </c>
      <c r="AF20" s="28">
        <f t="shared" si="30"/>
        <v>0.1499999999999998</v>
      </c>
      <c r="AG20" s="26">
        <f t="shared" si="30"/>
        <v>5.00000000000001E-2</v>
      </c>
      <c r="AH20" s="26">
        <f t="shared" si="30"/>
        <v>0.16999999999999979</v>
      </c>
      <c r="AI20" s="26">
        <f t="shared" si="30"/>
        <v>0.17000000000000023</v>
      </c>
      <c r="AJ20" s="26">
        <f t="shared" si="30"/>
        <v>0.16999999999999979</v>
      </c>
      <c r="AK20" s="26">
        <f t="shared" si="30"/>
        <v>0.16999999999999996</v>
      </c>
      <c r="AL20" s="26">
        <f t="shared" si="30"/>
        <v>0.16999999999999998</v>
      </c>
      <c r="AM20" s="26">
        <f t="shared" si="30"/>
        <v>0.16999999999999971</v>
      </c>
      <c r="AN20" s="26">
        <f t="shared" si="30"/>
        <v>0.1700000000000001</v>
      </c>
      <c r="AO20" s="26">
        <f t="shared" si="30"/>
        <v>0.17000000000000004</v>
      </c>
      <c r="AP20" s="26">
        <f t="shared" si="30"/>
        <v>0.16999999999999982</v>
      </c>
      <c r="AR20" s="31" t="s">
        <v>107</v>
      </c>
      <c r="AS20" s="33">
        <f>NPV(AS18,AF15:GV15)</f>
        <v>25155.356475641329</v>
      </c>
    </row>
    <row r="21" spans="3:45" x14ac:dyDescent="0.25">
      <c r="C21" s="2" t="s">
        <v>39</v>
      </c>
      <c r="D21" s="18">
        <f t="shared" ref="D21:Q21" si="31">D11/D4</f>
        <v>0.37812326485285952</v>
      </c>
      <c r="E21" s="18">
        <f t="shared" si="31"/>
        <v>0.47245841035120151</v>
      </c>
      <c r="F21" s="18">
        <f t="shared" si="31"/>
        <v>0.46583333333333332</v>
      </c>
      <c r="G21" s="18">
        <f t="shared" si="31"/>
        <v>0.35693069306930697</v>
      </c>
      <c r="H21" s="18">
        <f t="shared" si="31"/>
        <v>0.35748031496062987</v>
      </c>
      <c r="I21" s="18">
        <f t="shared" si="31"/>
        <v>0.4549180327868852</v>
      </c>
      <c r="J21" s="18">
        <f t="shared" si="31"/>
        <v>0.50348368170150348</v>
      </c>
      <c r="K21" s="18">
        <f t="shared" si="31"/>
        <v>0.44017403915881076</v>
      </c>
      <c r="L21" s="18">
        <f t="shared" si="31"/>
        <v>0.38937007874015739</v>
      </c>
      <c r="M21" s="18">
        <f t="shared" si="31"/>
        <v>0.48224852071005919</v>
      </c>
      <c r="N21" s="18">
        <f t="shared" si="31"/>
        <v>0.49838969404186789</v>
      </c>
      <c r="O21" s="18">
        <f t="shared" si="31"/>
        <v>0.42139917695473256</v>
      </c>
      <c r="P21" s="18">
        <f t="shared" si="31"/>
        <v>0.41033434650455924</v>
      </c>
      <c r="Q21" s="41">
        <f t="shared" si="31"/>
        <v>0.49111570247933894</v>
      </c>
      <c r="R21" s="41">
        <f t="shared" ref="R21" si="32">R11/R4</f>
        <v>0.46650326797385616</v>
      </c>
      <c r="S21" s="14"/>
      <c r="V21" s="18"/>
      <c r="W21" s="18"/>
      <c r="X21" s="18">
        <f t="shared" ref="X21:AP21" si="33">X11/X4</f>
        <v>4.1431823534029515E-2</v>
      </c>
      <c r="Y21" s="18">
        <f t="shared" si="33"/>
        <v>0.19403743315508021</v>
      </c>
      <c r="Z21" s="18">
        <f t="shared" si="33"/>
        <v>0.22131913282508431</v>
      </c>
      <c r="AA21" s="18">
        <f t="shared" si="33"/>
        <v>0.20250217094198739</v>
      </c>
      <c r="AB21" s="18">
        <f t="shared" si="33"/>
        <v>0.30675434991094674</v>
      </c>
      <c r="AC21" s="18">
        <f t="shared" si="33"/>
        <v>0.42330118860731109</v>
      </c>
      <c r="AD21" s="18">
        <f t="shared" si="33"/>
        <v>0.44468718967229404</v>
      </c>
      <c r="AE21" s="18">
        <f t="shared" si="33"/>
        <v>0.45378391923820438</v>
      </c>
      <c r="AF21" s="19">
        <f t="shared" si="33"/>
        <v>0.45089780591196499</v>
      </c>
      <c r="AG21" s="18">
        <f t="shared" si="33"/>
        <v>0.50721597966458387</v>
      </c>
      <c r="AH21" s="18">
        <f t="shared" si="33"/>
        <v>0.50721597966458398</v>
      </c>
      <c r="AI21" s="18">
        <f t="shared" si="33"/>
        <v>0.50721597966458387</v>
      </c>
      <c r="AJ21" s="18">
        <f t="shared" si="33"/>
        <v>0.50721597966458387</v>
      </c>
      <c r="AK21" s="18">
        <f t="shared" si="33"/>
        <v>0.50721597966458387</v>
      </c>
      <c r="AL21" s="18">
        <f t="shared" si="33"/>
        <v>0.50721597966458387</v>
      </c>
      <c r="AM21" s="18">
        <f t="shared" si="33"/>
        <v>0.50721597966458398</v>
      </c>
      <c r="AN21" s="18">
        <f t="shared" si="33"/>
        <v>0.50721597966458398</v>
      </c>
      <c r="AO21" s="18">
        <f t="shared" si="33"/>
        <v>0.50721597966458387</v>
      </c>
      <c r="AP21" s="18">
        <f t="shared" si="33"/>
        <v>0.50721597966458387</v>
      </c>
      <c r="AR21" s="2" t="s">
        <v>2</v>
      </c>
      <c r="AS21" s="9">
        <v>95.008346000000003</v>
      </c>
    </row>
    <row r="22" spans="3:45" x14ac:dyDescent="0.25">
      <c r="C22" s="2" t="s">
        <v>43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36"/>
      <c r="R22" s="12"/>
      <c r="S22" s="12"/>
      <c r="V22" s="12"/>
      <c r="W22" s="12"/>
      <c r="X22" s="18"/>
      <c r="Y22" s="18"/>
      <c r="Z22" s="18"/>
      <c r="AA22" s="18"/>
      <c r="AB22" s="18"/>
      <c r="AC22" s="18">
        <f>AC15/G40</f>
        <v>0.20506735534305853</v>
      </c>
      <c r="AD22" s="18">
        <f>AD15/K40</f>
        <v>0.26857732613528112</v>
      </c>
      <c r="AE22" s="18">
        <f>AE15/O40</f>
        <v>0.38552094177945062</v>
      </c>
      <c r="AR22" s="2" t="s">
        <v>108</v>
      </c>
      <c r="AS22" s="9">
        <f>AS20/AS21</f>
        <v>264.76996532116584</v>
      </c>
    </row>
    <row r="23" spans="3:45" x14ac:dyDescent="0.25">
      <c r="M23" s="9"/>
      <c r="Q23" s="42"/>
      <c r="V23" s="9"/>
      <c r="W23" s="9"/>
      <c r="X23" s="9"/>
      <c r="Y23" s="9"/>
      <c r="Z23" s="9"/>
      <c r="AA23" s="9"/>
      <c r="AB23" s="9"/>
      <c r="AC23" s="9"/>
      <c r="AD23" s="9"/>
      <c r="AE23" s="9"/>
      <c r="AR23" s="1" t="s">
        <v>109</v>
      </c>
      <c r="AS23" s="26">
        <f>(AS22-B4)/B4</f>
        <v>0.17675540142740373</v>
      </c>
    </row>
    <row r="24" spans="3:45" x14ac:dyDescent="0.25">
      <c r="C24" s="2" t="s">
        <v>65</v>
      </c>
      <c r="D24" s="14">
        <v>2681</v>
      </c>
      <c r="E24" s="14">
        <v>3163</v>
      </c>
      <c r="F24" s="14">
        <v>3404</v>
      </c>
      <c r="G24" s="14">
        <v>4044</v>
      </c>
      <c r="H24" s="14">
        <v>3706</v>
      </c>
      <c r="I24" s="14">
        <v>4138</v>
      </c>
      <c r="J24" s="14">
        <v>4343</v>
      </c>
      <c r="K24" s="14">
        <v>5911</v>
      </c>
      <c r="L24" s="14">
        <v>4911</v>
      </c>
      <c r="M24" s="14">
        <v>6274</v>
      </c>
      <c r="N24" s="14">
        <v>6183</v>
      </c>
      <c r="O24" s="14">
        <v>8452</v>
      </c>
      <c r="P24" s="14">
        <v>6722</v>
      </c>
      <c r="Q24" s="37">
        <v>8451</v>
      </c>
      <c r="R24" s="14">
        <v>7477</v>
      </c>
      <c r="S24" s="14"/>
      <c r="V24" s="14"/>
      <c r="W24" s="14"/>
      <c r="X24" s="14">
        <v>946</v>
      </c>
      <c r="Y24" s="14">
        <v>1079</v>
      </c>
      <c r="Z24" s="14">
        <v>1414</v>
      </c>
      <c r="AA24" s="14">
        <v>1760</v>
      </c>
      <c r="AB24" s="14">
        <v>2467</v>
      </c>
      <c r="AC24" s="14">
        <v>3275</v>
      </c>
      <c r="AD24" s="14">
        <v>4490</v>
      </c>
      <c r="AE24" s="14">
        <v>6382</v>
      </c>
    </row>
    <row r="25" spans="3:45" x14ac:dyDescent="0.25">
      <c r="C25" s="2" t="s">
        <v>66</v>
      </c>
      <c r="D25" s="18"/>
      <c r="E25" s="18"/>
      <c r="F25" s="18"/>
      <c r="G25" s="18"/>
      <c r="H25" s="18">
        <f t="shared" ref="H25:P25" si="34">(H24-D24)/D24</f>
        <v>0.38232002983961211</v>
      </c>
      <c r="I25" s="18">
        <f t="shared" si="34"/>
        <v>0.30825165981662977</v>
      </c>
      <c r="J25" s="18">
        <f t="shared" si="34"/>
        <v>0.27585193889541715</v>
      </c>
      <c r="K25" s="18">
        <f t="shared" si="34"/>
        <v>0.46167161226508407</v>
      </c>
      <c r="L25" s="18">
        <f t="shared" si="34"/>
        <v>0.32514840798704803</v>
      </c>
      <c r="M25" s="18">
        <f t="shared" si="34"/>
        <v>0.51619139681005322</v>
      </c>
      <c r="N25" s="18">
        <f t="shared" si="34"/>
        <v>0.42367027400414459</v>
      </c>
      <c r="O25" s="18">
        <f t="shared" si="34"/>
        <v>0.42987650143799694</v>
      </c>
      <c r="P25" s="18">
        <f t="shared" si="34"/>
        <v>0.36876399918550196</v>
      </c>
      <c r="Q25" s="41">
        <f>(Q24-M24)/M24</f>
        <v>0.34698756773987888</v>
      </c>
      <c r="R25" s="41">
        <f t="shared" ref="R25:S25" si="35">(R24-N24)/N24</f>
        <v>0.20928351932718744</v>
      </c>
      <c r="S25" s="41">
        <f t="shared" si="35"/>
        <v>-1</v>
      </c>
      <c r="V25" s="18"/>
      <c r="W25" s="18"/>
      <c r="X25" s="18"/>
      <c r="Y25" s="18">
        <f t="shared" ref="Y25:AD25" si="36">(Y24-X24)/X24</f>
        <v>0.14059196617336153</v>
      </c>
      <c r="Z25" s="18">
        <f t="shared" si="36"/>
        <v>0.31047265987025024</v>
      </c>
      <c r="AA25" s="18">
        <f t="shared" si="36"/>
        <v>0.24469589816124471</v>
      </c>
      <c r="AB25" s="18">
        <f t="shared" si="36"/>
        <v>0.40170454545454548</v>
      </c>
      <c r="AC25" s="18">
        <f t="shared" si="36"/>
        <v>0.32752330766112686</v>
      </c>
      <c r="AD25" s="18">
        <f t="shared" si="36"/>
        <v>0.37099236641221373</v>
      </c>
      <c r="AE25" s="18">
        <f>(AE24-AD24)/AD24</f>
        <v>0.42138084632516704</v>
      </c>
    </row>
    <row r="26" spans="3:45" x14ac:dyDescent="0.25"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43"/>
      <c r="R26" s="21"/>
      <c r="S26" s="21"/>
      <c r="T26" s="1"/>
      <c r="U26" s="1"/>
      <c r="V26" s="21"/>
      <c r="W26" s="21"/>
      <c r="X26" s="21"/>
      <c r="Y26" s="21"/>
      <c r="Z26" s="21"/>
      <c r="AA26" s="21"/>
      <c r="AB26" s="21"/>
      <c r="AC26" s="21"/>
      <c r="AD26" s="21"/>
      <c r="AE26" s="21"/>
    </row>
    <row r="27" spans="3:45" x14ac:dyDescent="0.25">
      <c r="C27" s="2" t="s">
        <v>67</v>
      </c>
      <c r="D27" s="2">
        <v>45.7</v>
      </c>
      <c r="E27" s="2">
        <v>64.5</v>
      </c>
      <c r="F27" s="2">
        <v>52.2</v>
      </c>
      <c r="G27" s="2">
        <v>35.799999999999997</v>
      </c>
      <c r="H27" s="2">
        <v>36.9</v>
      </c>
      <c r="I27" s="2">
        <v>50.6</v>
      </c>
      <c r="J27" s="2">
        <v>50.1</v>
      </c>
      <c r="K27" s="2">
        <v>37.700000000000003</v>
      </c>
      <c r="L27" s="2">
        <v>41.1</v>
      </c>
      <c r="M27" s="2">
        <v>55.7</v>
      </c>
      <c r="N27" s="2">
        <v>51.5</v>
      </c>
      <c r="O27" s="2">
        <v>37.1</v>
      </c>
      <c r="P27" s="2">
        <v>41.2</v>
      </c>
      <c r="Q27" s="34">
        <v>50.5</v>
      </c>
      <c r="R27" s="48">
        <v>41.6</v>
      </c>
      <c r="S27" s="48"/>
      <c r="V27" s="14"/>
      <c r="W27" s="14"/>
      <c r="X27" s="14">
        <v>215000</v>
      </c>
      <c r="Y27" s="14">
        <v>204000</v>
      </c>
      <c r="Z27" s="14">
        <v>190000</v>
      </c>
      <c r="AA27" s="14">
        <v>189300</v>
      </c>
      <c r="AB27" s="14">
        <v>198400</v>
      </c>
      <c r="AC27" s="14">
        <v>198300</v>
      </c>
      <c r="AD27" s="14">
        <v>175300</v>
      </c>
      <c r="AE27" s="14">
        <v>185300</v>
      </c>
    </row>
    <row r="28" spans="3:45" x14ac:dyDescent="0.25">
      <c r="C28" s="2" t="s">
        <v>66</v>
      </c>
      <c r="D28" s="10"/>
      <c r="E28" s="10"/>
      <c r="F28" s="10"/>
      <c r="G28" s="10"/>
      <c r="H28" s="10">
        <f t="shared" ref="H28:P28" si="37">(H27-D27)/D27</f>
        <v>-0.19256017505470469</v>
      </c>
      <c r="I28" s="10">
        <f t="shared" si="37"/>
        <v>-0.21550387596899223</v>
      </c>
      <c r="J28" s="10">
        <f t="shared" si="37"/>
        <v>-4.0229885057471292E-2</v>
      </c>
      <c r="K28" s="10">
        <f t="shared" si="37"/>
        <v>5.3072625698324188E-2</v>
      </c>
      <c r="L28" s="10">
        <f t="shared" si="37"/>
        <v>0.11382113821138219</v>
      </c>
      <c r="M28" s="10">
        <f t="shared" si="37"/>
        <v>0.10079051383399212</v>
      </c>
      <c r="N28" s="10">
        <f t="shared" si="37"/>
        <v>2.7944111776447077E-2</v>
      </c>
      <c r="O28" s="10">
        <f t="shared" si="37"/>
        <v>-1.5915119363395264E-2</v>
      </c>
      <c r="P28" s="10">
        <f t="shared" si="37"/>
        <v>2.4330900243309346E-3</v>
      </c>
      <c r="Q28" s="44">
        <f>(Q27-M27)/M27</f>
        <v>-9.3357271095152655E-2</v>
      </c>
      <c r="R28" s="44">
        <f>(R27-N27)/N27</f>
        <v>-0.19223300970873783</v>
      </c>
      <c r="S28" s="44">
        <f t="shared" ref="R28:S28" si="38">(S27-O27)/O27</f>
        <v>-1</v>
      </c>
      <c r="T28" s="18"/>
      <c r="U28" s="18"/>
      <c r="V28" s="10"/>
      <c r="W28" s="18"/>
      <c r="X28" s="18"/>
      <c r="Y28" s="18">
        <f t="shared" ref="Y28:AD28" si="39">(Y27-X27)/X27</f>
        <v>-5.1162790697674418E-2</v>
      </c>
      <c r="Z28" s="18">
        <f t="shared" si="39"/>
        <v>-6.8627450980392163E-2</v>
      </c>
      <c r="AA28" s="18">
        <f t="shared" si="39"/>
        <v>-3.6842105263157894E-3</v>
      </c>
      <c r="AB28" s="18">
        <f t="shared" si="39"/>
        <v>4.8071843634442682E-2</v>
      </c>
      <c r="AC28" s="18">
        <f t="shared" si="39"/>
        <v>-5.0403225806451612E-4</v>
      </c>
      <c r="AD28" s="18">
        <f t="shared" si="39"/>
        <v>-0.11598587997982854</v>
      </c>
      <c r="AE28" s="18">
        <f>(AE27-AD27)/AD27</f>
        <v>5.7045065601825443E-2</v>
      </c>
      <c r="AF28" s="19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spans="3:45" x14ac:dyDescent="0.25"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41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spans="3:45" x14ac:dyDescent="0.25">
      <c r="C30" s="1" t="s">
        <v>49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</row>
    <row r="31" spans="3:45" x14ac:dyDescent="0.25">
      <c r="C31" s="2" t="s">
        <v>68</v>
      </c>
      <c r="D31" s="14">
        <v>903</v>
      </c>
      <c r="E31" s="14">
        <v>903</v>
      </c>
      <c r="F31" s="14">
        <v>903</v>
      </c>
      <c r="G31" s="14">
        <v>903</v>
      </c>
      <c r="H31" s="14">
        <v>903</v>
      </c>
      <c r="I31" s="14">
        <v>903</v>
      </c>
      <c r="J31" s="14">
        <v>903</v>
      </c>
      <c r="K31" s="14">
        <v>903</v>
      </c>
      <c r="L31" s="14">
        <v>903</v>
      </c>
      <c r="M31" s="14">
        <v>902.8</v>
      </c>
      <c r="N31" s="14">
        <v>903</v>
      </c>
      <c r="O31" s="14">
        <v>903</v>
      </c>
      <c r="P31" s="14">
        <v>903</v>
      </c>
      <c r="Q31" s="37">
        <v>902.8</v>
      </c>
      <c r="R31" s="14">
        <v>902.8</v>
      </c>
      <c r="S31" s="14"/>
    </row>
    <row r="32" spans="3:45" x14ac:dyDescent="0.25">
      <c r="C32" s="2" t="s">
        <v>69</v>
      </c>
      <c r="D32" s="14">
        <v>800.9</v>
      </c>
      <c r="E32" s="14">
        <v>787</v>
      </c>
      <c r="F32" s="14">
        <v>773.2</v>
      </c>
      <c r="G32" s="14">
        <v>759.3</v>
      </c>
      <c r="H32" s="14">
        <v>745.5</v>
      </c>
      <c r="I32" s="14">
        <v>731.6</v>
      </c>
      <c r="J32" s="14">
        <v>717.8</v>
      </c>
      <c r="K32" s="14">
        <v>703.9</v>
      </c>
      <c r="L32" s="14">
        <v>690.1</v>
      </c>
      <c r="M32" s="14">
        <v>676.2</v>
      </c>
      <c r="N32" s="14">
        <v>662.4</v>
      </c>
      <c r="O32" s="14">
        <v>648.5</v>
      </c>
      <c r="P32" s="14">
        <v>634.70000000000005</v>
      </c>
      <c r="Q32" s="37">
        <v>620.79999999999995</v>
      </c>
      <c r="R32" s="14">
        <v>607</v>
      </c>
      <c r="S32" s="14"/>
    </row>
    <row r="33" spans="3:19" x14ac:dyDescent="0.25">
      <c r="C33" s="2" t="s">
        <v>70</v>
      </c>
      <c r="D33" s="14">
        <v>6.3</v>
      </c>
      <c r="E33" s="14">
        <v>4.4000000000000004</v>
      </c>
      <c r="F33" s="14">
        <v>2.5</v>
      </c>
      <c r="G33" s="14">
        <v>0.6</v>
      </c>
      <c r="H33" s="14">
        <v>53.7</v>
      </c>
      <c r="I33" s="14">
        <v>50.9</v>
      </c>
      <c r="J33" s="14">
        <v>48</v>
      </c>
      <c r="K33" s="14">
        <v>45.2</v>
      </c>
      <c r="L33" s="14">
        <v>42.4</v>
      </c>
      <c r="M33" s="14">
        <v>39.6</v>
      </c>
      <c r="N33" s="14">
        <v>36.1</v>
      </c>
      <c r="O33" s="14">
        <v>36.9</v>
      </c>
      <c r="P33" s="14">
        <v>33.799999999999997</v>
      </c>
      <c r="Q33" s="37">
        <v>30.8</v>
      </c>
      <c r="R33" s="14">
        <v>27.7</v>
      </c>
      <c r="S33" s="14"/>
    </row>
    <row r="34" spans="3:19" x14ac:dyDescent="0.25">
      <c r="C34" s="2" t="s">
        <v>71</v>
      </c>
      <c r="D34" s="14">
        <v>257.5</v>
      </c>
      <c r="E34" s="14">
        <v>259.60000000000002</v>
      </c>
      <c r="F34" s="14">
        <v>260</v>
      </c>
      <c r="G34" s="14">
        <v>263.3</v>
      </c>
      <c r="H34" s="14">
        <v>276.7</v>
      </c>
      <c r="I34" s="14">
        <v>282.2</v>
      </c>
      <c r="J34" s="14">
        <v>287.39999999999998</v>
      </c>
      <c r="K34" s="14">
        <v>292.5</v>
      </c>
      <c r="L34" s="14">
        <v>296.5</v>
      </c>
      <c r="M34" s="14">
        <v>299.2</v>
      </c>
      <c r="N34" s="14">
        <v>297.2</v>
      </c>
      <c r="O34" s="14">
        <v>297</v>
      </c>
      <c r="P34" s="14">
        <v>301</v>
      </c>
      <c r="Q34" s="37">
        <v>298.39999999999998</v>
      </c>
      <c r="R34" s="14">
        <v>298</v>
      </c>
      <c r="S34" s="14"/>
    </row>
    <row r="35" spans="3:19" x14ac:dyDescent="0.25">
      <c r="C35" s="2" t="s">
        <v>72</v>
      </c>
      <c r="D35" s="14">
        <v>38.200000000000003</v>
      </c>
      <c r="E35" s="14">
        <v>56</v>
      </c>
      <c r="F35" s="14">
        <v>47.9</v>
      </c>
      <c r="G35" s="14">
        <v>31.5</v>
      </c>
      <c r="H35" s="14">
        <v>35</v>
      </c>
      <c r="I35" s="14">
        <v>43.5</v>
      </c>
      <c r="J35" s="14">
        <v>54.1</v>
      </c>
      <c r="K35" s="14">
        <v>38.299999999999997</v>
      </c>
      <c r="L35" s="14">
        <v>48.1</v>
      </c>
      <c r="M35" s="14">
        <v>40.299999999999997</v>
      </c>
      <c r="N35" s="14">
        <v>35.4</v>
      </c>
      <c r="O35" s="14">
        <v>29.8</v>
      </c>
      <c r="P35" s="14">
        <v>35.1</v>
      </c>
      <c r="Q35" s="37">
        <v>41.2</v>
      </c>
      <c r="R35" s="14">
        <v>42.3</v>
      </c>
      <c r="S35" s="14"/>
    </row>
    <row r="36" spans="3:19" x14ac:dyDescent="0.25">
      <c r="C36" s="2" t="s">
        <v>73</v>
      </c>
      <c r="D36" s="14">
        <v>23.3</v>
      </c>
      <c r="E36" s="14">
        <v>26.4</v>
      </c>
      <c r="F36" s="14">
        <v>42.5</v>
      </c>
      <c r="G36" s="14">
        <v>36.700000000000003</v>
      </c>
      <c r="H36" s="14">
        <v>29.1</v>
      </c>
      <c r="I36" s="14">
        <v>40.200000000000003</v>
      </c>
      <c r="J36" s="14">
        <v>49.2</v>
      </c>
      <c r="K36" s="14">
        <v>70.7</v>
      </c>
      <c r="L36" s="14">
        <v>128.6</v>
      </c>
      <c r="M36" s="14">
        <v>174.7</v>
      </c>
      <c r="N36" s="14">
        <v>235.6</v>
      </c>
      <c r="O36" s="14">
        <v>167.2</v>
      </c>
      <c r="P36" s="14">
        <v>204.5</v>
      </c>
      <c r="Q36" s="37">
        <v>215.2</v>
      </c>
      <c r="R36" s="14">
        <v>194.6</v>
      </c>
      <c r="S36" s="14"/>
    </row>
    <row r="37" spans="3:19" x14ac:dyDescent="0.25">
      <c r="C37" s="2" t="s">
        <v>74</v>
      </c>
      <c r="D37" s="14">
        <v>96.3</v>
      </c>
      <c r="E37" s="14">
        <v>138.19999999999999</v>
      </c>
      <c r="F37" s="14">
        <v>124</v>
      </c>
      <c r="G37" s="14">
        <v>100.4</v>
      </c>
      <c r="H37" s="14">
        <v>79.8</v>
      </c>
      <c r="I37" s="14">
        <v>156.4</v>
      </c>
      <c r="J37" s="14">
        <v>156</v>
      </c>
      <c r="K37" s="14">
        <v>102.6</v>
      </c>
      <c r="L37" s="14">
        <v>96.5</v>
      </c>
      <c r="M37" s="14">
        <v>118.9</v>
      </c>
      <c r="N37" s="14">
        <v>145.1</v>
      </c>
      <c r="O37" s="14">
        <v>111.7</v>
      </c>
      <c r="P37" s="14">
        <v>70.5</v>
      </c>
      <c r="Q37" s="37">
        <v>130.30000000000001</v>
      </c>
      <c r="R37" s="14">
        <v>195.6</v>
      </c>
      <c r="S37" s="14"/>
    </row>
    <row r="38" spans="3:19" x14ac:dyDescent="0.25">
      <c r="C38" s="1" t="s">
        <v>75</v>
      </c>
      <c r="D38" s="12">
        <f t="shared" ref="D38:P38" si="40">SUM(D31:D37)</f>
        <v>2125.5</v>
      </c>
      <c r="E38" s="12">
        <f t="shared" si="40"/>
        <v>2174.6</v>
      </c>
      <c r="F38" s="12">
        <f t="shared" si="40"/>
        <v>2153.1000000000004</v>
      </c>
      <c r="G38" s="12">
        <f t="shared" si="40"/>
        <v>2094.7999999999997</v>
      </c>
      <c r="H38" s="12">
        <f t="shared" si="40"/>
        <v>2122.8000000000002</v>
      </c>
      <c r="I38" s="12">
        <f t="shared" si="40"/>
        <v>2207.8000000000002</v>
      </c>
      <c r="J38" s="12">
        <f t="shared" si="40"/>
        <v>2215.4999999999995</v>
      </c>
      <c r="K38" s="12">
        <f t="shared" si="40"/>
        <v>2156.1999999999998</v>
      </c>
      <c r="L38" s="12">
        <f t="shared" si="40"/>
        <v>2205.1999999999998</v>
      </c>
      <c r="M38" s="12">
        <f t="shared" si="40"/>
        <v>2251.6999999999998</v>
      </c>
      <c r="N38" s="12">
        <f t="shared" si="40"/>
        <v>2314.8000000000002</v>
      </c>
      <c r="O38" s="12">
        <f t="shared" si="40"/>
        <v>2194.1</v>
      </c>
      <c r="P38" s="12">
        <f t="shared" si="40"/>
        <v>2182.6</v>
      </c>
      <c r="Q38" s="36">
        <f>SUM(Q31:Q37)</f>
        <v>2239.5</v>
      </c>
      <c r="R38" s="36">
        <f t="shared" ref="R38:S38" si="41">SUM(R31:R37)</f>
        <v>2268</v>
      </c>
      <c r="S38" s="36">
        <f t="shared" si="41"/>
        <v>0</v>
      </c>
    </row>
    <row r="39" spans="3:19" x14ac:dyDescent="0.25">
      <c r="C39" s="2" t="s">
        <v>76</v>
      </c>
      <c r="D39" s="14">
        <v>1569.4</v>
      </c>
      <c r="E39" s="14">
        <v>1576.1</v>
      </c>
      <c r="F39" s="14">
        <v>1457.4</v>
      </c>
      <c r="G39" s="14">
        <v>1432.7</v>
      </c>
      <c r="H39" s="14">
        <v>1388.9</v>
      </c>
      <c r="I39" s="14">
        <v>1292.2</v>
      </c>
      <c r="J39" s="14">
        <v>1276</v>
      </c>
      <c r="K39" s="14">
        <v>1259.5999999999999</v>
      </c>
      <c r="L39" s="14">
        <v>1216.3</v>
      </c>
      <c r="M39" s="14">
        <v>1197</v>
      </c>
      <c r="N39" s="14">
        <v>1214.2</v>
      </c>
      <c r="O39" s="14">
        <v>1248.7</v>
      </c>
      <c r="P39" s="14">
        <v>1232.8</v>
      </c>
      <c r="Q39" s="37">
        <v>1145.2</v>
      </c>
      <c r="R39" s="14">
        <v>1129.2</v>
      </c>
      <c r="S39" s="14"/>
    </row>
    <row r="40" spans="3:19" x14ac:dyDescent="0.25">
      <c r="C40" s="11" t="s">
        <v>77</v>
      </c>
      <c r="D40" s="27">
        <f t="shared" ref="D40:P40" si="42">D39</f>
        <v>1569.4</v>
      </c>
      <c r="E40" s="27">
        <f t="shared" si="42"/>
        <v>1576.1</v>
      </c>
      <c r="F40" s="27">
        <f t="shared" si="42"/>
        <v>1457.4</v>
      </c>
      <c r="G40" s="27">
        <f t="shared" si="42"/>
        <v>1432.7</v>
      </c>
      <c r="H40" s="27">
        <f t="shared" si="42"/>
        <v>1388.9</v>
      </c>
      <c r="I40" s="27">
        <f t="shared" si="42"/>
        <v>1292.2</v>
      </c>
      <c r="J40" s="27">
        <f t="shared" si="42"/>
        <v>1276</v>
      </c>
      <c r="K40" s="27">
        <f t="shared" si="42"/>
        <v>1259.5999999999999</v>
      </c>
      <c r="L40" s="27">
        <f t="shared" si="42"/>
        <v>1216.3</v>
      </c>
      <c r="M40" s="27">
        <f t="shared" si="42"/>
        <v>1197</v>
      </c>
      <c r="N40" s="27">
        <f t="shared" si="42"/>
        <v>1214.2</v>
      </c>
      <c r="O40" s="27">
        <f t="shared" si="42"/>
        <v>1248.7</v>
      </c>
      <c r="P40" s="27">
        <f t="shared" si="42"/>
        <v>1232.8</v>
      </c>
      <c r="Q40" s="45">
        <f>Q39</f>
        <v>1145.2</v>
      </c>
      <c r="R40" s="45">
        <f t="shared" ref="R40:S40" si="43">R39</f>
        <v>1129.2</v>
      </c>
      <c r="S40" s="45">
        <f t="shared" si="43"/>
        <v>0</v>
      </c>
    </row>
    <row r="41" spans="3:19" x14ac:dyDescent="0.25">
      <c r="C41" s="2" t="s">
        <v>78</v>
      </c>
      <c r="D41" s="14">
        <v>213.3</v>
      </c>
      <c r="E41" s="14">
        <v>213.5</v>
      </c>
      <c r="F41" s="14">
        <v>298.39999999999998</v>
      </c>
      <c r="G41" s="14">
        <v>328.5</v>
      </c>
      <c r="H41" s="14">
        <v>348.8</v>
      </c>
      <c r="I41" s="14">
        <v>498.9</v>
      </c>
      <c r="J41" s="14">
        <v>497.9</v>
      </c>
      <c r="K41" s="14">
        <v>497.1</v>
      </c>
      <c r="L41" s="14">
        <v>527.4</v>
      </c>
      <c r="M41" s="14">
        <v>522.70000000000005</v>
      </c>
      <c r="N41" s="14">
        <v>547.9</v>
      </c>
      <c r="O41" s="14">
        <v>468.5</v>
      </c>
      <c r="P41" s="14">
        <v>438.8</v>
      </c>
      <c r="Q41" s="37">
        <v>546.4</v>
      </c>
      <c r="R41" s="14">
        <v>596.6</v>
      </c>
      <c r="S41" s="14"/>
    </row>
    <row r="42" spans="3:19" x14ac:dyDescent="0.25">
      <c r="C42" s="2" t="s">
        <v>79</v>
      </c>
      <c r="D42" s="14">
        <v>0</v>
      </c>
      <c r="E42" s="14">
        <v>0</v>
      </c>
      <c r="F42" s="14">
        <v>0</v>
      </c>
      <c r="G42" s="14">
        <v>0</v>
      </c>
      <c r="H42" s="14">
        <v>43.9</v>
      </c>
      <c r="I42" s="14">
        <v>41.1</v>
      </c>
      <c r="J42" s="14">
        <v>38.299999999999997</v>
      </c>
      <c r="K42" s="14">
        <v>35.5</v>
      </c>
      <c r="L42" s="14">
        <v>32.700000000000003</v>
      </c>
      <c r="M42" s="14">
        <v>29.8</v>
      </c>
      <c r="N42" s="14">
        <v>26.9</v>
      </c>
      <c r="O42" s="14">
        <v>26</v>
      </c>
      <c r="P42" s="14">
        <v>22.8</v>
      </c>
      <c r="Q42" s="37">
        <v>19.7</v>
      </c>
      <c r="R42" s="14">
        <v>16.5</v>
      </c>
      <c r="S42" s="14"/>
    </row>
    <row r="43" spans="3:19" x14ac:dyDescent="0.25">
      <c r="C43" s="2" t="s">
        <v>80</v>
      </c>
      <c r="D43" s="14">
        <v>217.7</v>
      </c>
      <c r="E43" s="14">
        <v>215.2</v>
      </c>
      <c r="F43" s="14">
        <v>212.4</v>
      </c>
      <c r="G43" s="14">
        <v>210.2</v>
      </c>
      <c r="H43" s="14">
        <v>208.8</v>
      </c>
      <c r="I43" s="14">
        <v>206.9</v>
      </c>
      <c r="J43" s="14">
        <v>205.3</v>
      </c>
      <c r="K43" s="14">
        <v>203.7</v>
      </c>
      <c r="L43" s="14">
        <v>201.7</v>
      </c>
      <c r="M43" s="14">
        <v>199.5</v>
      </c>
      <c r="N43" s="14">
        <v>196.4</v>
      </c>
      <c r="O43" s="14">
        <v>193.5</v>
      </c>
      <c r="P43" s="14">
        <v>191.3</v>
      </c>
      <c r="Q43" s="37">
        <v>187.9</v>
      </c>
      <c r="R43" s="14">
        <v>185.1</v>
      </c>
      <c r="S43" s="14"/>
    </row>
    <row r="44" spans="3:19" x14ac:dyDescent="0.25">
      <c r="C44" s="2" t="s">
        <v>79</v>
      </c>
      <c r="D44" s="27">
        <v>4.5</v>
      </c>
      <c r="E44" s="14">
        <v>2.6</v>
      </c>
      <c r="F44" s="14">
        <v>0.7</v>
      </c>
      <c r="G44" s="14">
        <v>0</v>
      </c>
      <c r="H44" s="14">
        <v>7.8</v>
      </c>
      <c r="I44" s="14">
        <v>7.9</v>
      </c>
      <c r="J44" s="14">
        <v>8</v>
      </c>
      <c r="K44" s="14">
        <v>8.1</v>
      </c>
      <c r="L44" s="14">
        <v>8.1</v>
      </c>
      <c r="M44" s="14">
        <v>8.1999999999999993</v>
      </c>
      <c r="N44" s="14">
        <v>8.3000000000000007</v>
      </c>
      <c r="O44" s="14">
        <v>9.1</v>
      </c>
      <c r="P44" s="14">
        <v>9.1999999999999993</v>
      </c>
      <c r="Q44" s="37">
        <v>9.3000000000000007</v>
      </c>
      <c r="R44" s="14">
        <v>9.4</v>
      </c>
      <c r="S44" s="14"/>
    </row>
    <row r="45" spans="3:19" x14ac:dyDescent="0.25">
      <c r="C45" s="2" t="s">
        <v>81</v>
      </c>
      <c r="D45" s="14">
        <v>77.7</v>
      </c>
      <c r="E45" s="14">
        <v>105.7</v>
      </c>
      <c r="F45" s="14">
        <v>105.1</v>
      </c>
      <c r="G45" s="14">
        <v>81.099999999999994</v>
      </c>
      <c r="H45" s="14">
        <v>96.7</v>
      </c>
      <c r="I45" s="14">
        <v>127.3</v>
      </c>
      <c r="J45" s="14">
        <v>141.30000000000001</v>
      </c>
      <c r="K45" s="14">
        <v>110.9</v>
      </c>
      <c r="L45" s="14">
        <v>164.4</v>
      </c>
      <c r="M45" s="14">
        <v>221.6</v>
      </c>
      <c r="N45" s="14">
        <v>236.7</v>
      </c>
      <c r="O45" s="14">
        <v>193.6</v>
      </c>
      <c r="P45" s="14">
        <v>226.5</v>
      </c>
      <c r="Q45" s="37">
        <v>255.3</v>
      </c>
      <c r="R45" s="14">
        <v>248.8</v>
      </c>
      <c r="S45" s="14"/>
    </row>
    <row r="46" spans="3:19" x14ac:dyDescent="0.25">
      <c r="C46" s="2" t="s">
        <v>82</v>
      </c>
      <c r="D46" s="14">
        <v>42.7</v>
      </c>
      <c r="E46" s="14">
        <v>61.3</v>
      </c>
      <c r="F46" s="14">
        <v>78.8</v>
      </c>
      <c r="G46" s="14">
        <v>42.1</v>
      </c>
      <c r="H46" s="14">
        <v>27.6</v>
      </c>
      <c r="I46" s="14">
        <v>33.299999999999997</v>
      </c>
      <c r="J46" s="14">
        <v>48.5</v>
      </c>
      <c r="K46" s="14">
        <v>41.1</v>
      </c>
      <c r="L46" s="14">
        <v>54.4</v>
      </c>
      <c r="M46" s="14">
        <v>72.900000000000006</v>
      </c>
      <c r="N46" s="14">
        <v>84.8</v>
      </c>
      <c r="O46" s="14">
        <v>54.5</v>
      </c>
      <c r="P46" s="14">
        <v>61</v>
      </c>
      <c r="Q46" s="37">
        <v>75.7</v>
      </c>
      <c r="R46" s="14">
        <v>82.4</v>
      </c>
      <c r="S46" s="14"/>
    </row>
    <row r="47" spans="3:19" x14ac:dyDescent="0.25">
      <c r="C47" s="11" t="s">
        <v>83</v>
      </c>
      <c r="D47" s="27">
        <f t="shared" ref="D47:P47" si="44">SUM(D41:D46)</f>
        <v>555.90000000000009</v>
      </c>
      <c r="E47" s="27">
        <f t="shared" si="44"/>
        <v>598.29999999999995</v>
      </c>
      <c r="F47" s="27">
        <f t="shared" si="44"/>
        <v>695.39999999999986</v>
      </c>
      <c r="G47" s="27">
        <f t="shared" si="44"/>
        <v>661.90000000000009</v>
      </c>
      <c r="H47" s="27">
        <f t="shared" si="44"/>
        <v>733.6</v>
      </c>
      <c r="I47" s="27">
        <f t="shared" si="44"/>
        <v>915.39999999999986</v>
      </c>
      <c r="J47" s="27">
        <f t="shared" si="44"/>
        <v>939.3</v>
      </c>
      <c r="K47" s="27">
        <f t="shared" si="44"/>
        <v>896.4</v>
      </c>
      <c r="L47" s="27">
        <f t="shared" si="44"/>
        <v>988.69999999999993</v>
      </c>
      <c r="M47" s="27">
        <f t="shared" si="44"/>
        <v>1054.7</v>
      </c>
      <c r="N47" s="27">
        <f t="shared" si="44"/>
        <v>1100.9999999999998</v>
      </c>
      <c r="O47" s="27">
        <f t="shared" si="44"/>
        <v>945.2</v>
      </c>
      <c r="P47" s="27">
        <f t="shared" si="44"/>
        <v>949.60000000000014</v>
      </c>
      <c r="Q47" s="45">
        <f>SUM(Q41:Q46)</f>
        <v>1094.3</v>
      </c>
      <c r="R47" s="45">
        <f t="shared" ref="R47:S47" si="45">SUM(R41:R46)</f>
        <v>1138.8000000000002</v>
      </c>
      <c r="S47" s="45">
        <f t="shared" si="45"/>
        <v>0</v>
      </c>
    </row>
    <row r="48" spans="3:19" x14ac:dyDescent="0.25">
      <c r="C48" s="1" t="s">
        <v>84</v>
      </c>
      <c r="D48" s="12">
        <f t="shared" ref="D48:P48" si="46">D40+D47</f>
        <v>2125.3000000000002</v>
      </c>
      <c r="E48" s="12">
        <f t="shared" si="46"/>
        <v>2174.3999999999996</v>
      </c>
      <c r="F48" s="12">
        <f t="shared" si="46"/>
        <v>2152.8000000000002</v>
      </c>
      <c r="G48" s="12">
        <f t="shared" si="46"/>
        <v>2094.6000000000004</v>
      </c>
      <c r="H48" s="12">
        <f t="shared" si="46"/>
        <v>2122.5</v>
      </c>
      <c r="I48" s="12">
        <f t="shared" si="46"/>
        <v>2207.6</v>
      </c>
      <c r="J48" s="12">
        <f t="shared" si="46"/>
        <v>2215.3000000000002</v>
      </c>
      <c r="K48" s="12">
        <f t="shared" si="46"/>
        <v>2156</v>
      </c>
      <c r="L48" s="12">
        <f t="shared" si="46"/>
        <v>2205</v>
      </c>
      <c r="M48" s="12">
        <f t="shared" si="46"/>
        <v>2251.6999999999998</v>
      </c>
      <c r="N48" s="12">
        <f t="shared" si="46"/>
        <v>2315.1999999999998</v>
      </c>
      <c r="O48" s="12">
        <f t="shared" si="46"/>
        <v>2193.9</v>
      </c>
      <c r="P48" s="12">
        <f t="shared" si="46"/>
        <v>2182.4</v>
      </c>
      <c r="Q48" s="36">
        <f>Q40+Q47</f>
        <v>2239.5</v>
      </c>
      <c r="R48" s="36">
        <f t="shared" ref="R48:S48" si="47">R40+R47</f>
        <v>2268</v>
      </c>
      <c r="S48" s="36">
        <f t="shared" si="47"/>
        <v>0</v>
      </c>
    </row>
    <row r="50" spans="3:31" x14ac:dyDescent="0.25">
      <c r="C50" s="1" t="s">
        <v>50</v>
      </c>
    </row>
    <row r="51" spans="3:31" x14ac:dyDescent="0.25">
      <c r="C51" s="2" t="s">
        <v>85</v>
      </c>
      <c r="D51" s="14">
        <f t="shared" ref="D51:S51" si="48">D11</f>
        <v>68.099999999999994</v>
      </c>
      <c r="E51" s="14">
        <f t="shared" si="48"/>
        <v>127.80000000000001</v>
      </c>
      <c r="F51" s="14">
        <f t="shared" si="48"/>
        <v>111.8</v>
      </c>
      <c r="G51" s="14">
        <f t="shared" si="48"/>
        <v>72.100000000000009</v>
      </c>
      <c r="H51" s="14">
        <f t="shared" si="48"/>
        <v>68.099999999999994</v>
      </c>
      <c r="I51" s="14">
        <f t="shared" si="48"/>
        <v>122.09999999999998</v>
      </c>
      <c r="J51" s="14">
        <f t="shared" si="48"/>
        <v>137.29999999999998</v>
      </c>
      <c r="K51" s="14">
        <f t="shared" si="48"/>
        <v>121.4</v>
      </c>
      <c r="L51" s="14">
        <f t="shared" si="48"/>
        <v>98.899999999999977</v>
      </c>
      <c r="M51" s="14">
        <f t="shared" si="48"/>
        <v>195.60000000000002</v>
      </c>
      <c r="N51" s="14">
        <f t="shared" si="48"/>
        <v>185.7</v>
      </c>
      <c r="O51" s="14">
        <f t="shared" si="48"/>
        <v>153.60000000000002</v>
      </c>
      <c r="P51" s="14">
        <f t="shared" si="48"/>
        <v>135</v>
      </c>
      <c r="Q51" s="37">
        <f t="shared" si="48"/>
        <v>237.70000000000005</v>
      </c>
      <c r="R51" s="37">
        <f t="shared" si="48"/>
        <v>171.29999999999998</v>
      </c>
      <c r="S51" s="37">
        <f t="shared" si="48"/>
        <v>0</v>
      </c>
      <c r="V51" s="14"/>
      <c r="W51" s="14"/>
      <c r="X51" s="14">
        <f t="shared" ref="X51:AE51" si="49">X11</f>
        <v>13.19500000000005</v>
      </c>
      <c r="Y51" s="14">
        <f t="shared" si="49"/>
        <v>72.569999999999993</v>
      </c>
      <c r="Z51" s="14">
        <f t="shared" si="49"/>
        <v>98.790000000000063</v>
      </c>
      <c r="AA51" s="14">
        <f t="shared" si="49"/>
        <v>110.53500000000005</v>
      </c>
      <c r="AB51" s="14">
        <f t="shared" si="49"/>
        <v>223.9</v>
      </c>
      <c r="AC51" s="14">
        <f t="shared" si="49"/>
        <v>377.5</v>
      </c>
      <c r="AD51" s="14">
        <f t="shared" si="49"/>
        <v>447.80000000000007</v>
      </c>
      <c r="AE51" s="14">
        <f t="shared" si="49"/>
        <v>633.80000000000007</v>
      </c>
    </row>
    <row r="52" spans="3:31" x14ac:dyDescent="0.25">
      <c r="C52" s="2" t="s">
        <v>86</v>
      </c>
      <c r="D52" s="14">
        <v>68</v>
      </c>
      <c r="E52" s="14">
        <v>128</v>
      </c>
      <c r="F52" s="14">
        <v>111</v>
      </c>
      <c r="G52" s="14">
        <v>72</v>
      </c>
      <c r="H52" s="14">
        <v>68</v>
      </c>
      <c r="I52" s="14">
        <v>122</v>
      </c>
      <c r="J52" s="14">
        <v>137</v>
      </c>
      <c r="K52" s="14">
        <v>122</v>
      </c>
      <c r="L52" s="14">
        <v>99</v>
      </c>
      <c r="M52" s="14">
        <v>195.6</v>
      </c>
      <c r="N52" s="14">
        <v>186</v>
      </c>
      <c r="O52" s="14">
        <v>154</v>
      </c>
      <c r="P52" s="14">
        <v>135</v>
      </c>
      <c r="Q52" s="37">
        <v>238</v>
      </c>
      <c r="R52" s="14">
        <v>171</v>
      </c>
      <c r="S52" s="14"/>
      <c r="V52" s="14"/>
      <c r="W52" s="14"/>
      <c r="X52" s="14">
        <v>13</v>
      </c>
      <c r="Y52" s="14">
        <v>73</v>
      </c>
      <c r="Z52" s="14">
        <v>99</v>
      </c>
      <c r="AA52" s="14">
        <v>111</v>
      </c>
      <c r="AB52" s="14">
        <v>224</v>
      </c>
      <c r="AC52" s="14">
        <v>378</v>
      </c>
      <c r="AD52" s="14">
        <v>448.2</v>
      </c>
      <c r="AE52" s="14">
        <v>634</v>
      </c>
    </row>
    <row r="53" spans="3:31" x14ac:dyDescent="0.25">
      <c r="C53" s="2" t="s">
        <v>87</v>
      </c>
      <c r="D53" s="14">
        <v>17.7</v>
      </c>
      <c r="E53" s="14">
        <v>17.7</v>
      </c>
      <c r="F53" s="14">
        <v>17.7</v>
      </c>
      <c r="G53" s="14">
        <v>17.600000000000001</v>
      </c>
      <c r="H53" s="14">
        <v>19.100000000000001</v>
      </c>
      <c r="I53" s="14">
        <v>19</v>
      </c>
      <c r="J53" s="14">
        <v>19.100000000000001</v>
      </c>
      <c r="K53" s="14">
        <v>20.100000000000001</v>
      </c>
      <c r="L53" s="14">
        <v>20.8</v>
      </c>
      <c r="M53" s="14">
        <v>20.6</v>
      </c>
      <c r="N53" s="14">
        <v>22.3</v>
      </c>
      <c r="O53" s="14">
        <v>22.7</v>
      </c>
      <c r="P53" s="14">
        <v>23.1</v>
      </c>
      <c r="Q53" s="37">
        <v>23.1</v>
      </c>
      <c r="R53" s="14">
        <v>24.4</v>
      </c>
      <c r="S53" s="14"/>
      <c r="V53" s="14"/>
      <c r="W53" s="14"/>
      <c r="X53" s="14">
        <v>63.3</v>
      </c>
      <c r="Y53" s="14">
        <v>64.8</v>
      </c>
      <c r="Z53" s="14">
        <v>73.2</v>
      </c>
      <c r="AA53" s="14">
        <v>77.447999999999993</v>
      </c>
      <c r="AB53" s="14">
        <v>79</v>
      </c>
      <c r="AC53" s="14">
        <v>70.599999999999994</v>
      </c>
      <c r="AD53" s="14">
        <v>77.3</v>
      </c>
      <c r="AE53" s="14">
        <v>86</v>
      </c>
    </row>
    <row r="54" spans="3:31" x14ac:dyDescent="0.25">
      <c r="C54" s="2" t="s">
        <v>88</v>
      </c>
      <c r="D54" s="14">
        <v>-1.2</v>
      </c>
      <c r="E54" s="14">
        <v>-1</v>
      </c>
      <c r="F54" s="14">
        <v>-1.4</v>
      </c>
      <c r="G54" s="14">
        <v>-2.5</v>
      </c>
      <c r="H54" s="14">
        <v>-3.8</v>
      </c>
      <c r="I54" s="14">
        <v>-5.7</v>
      </c>
      <c r="J54" s="14">
        <v>-8.4</v>
      </c>
      <c r="K54" s="14">
        <v>-4.3</v>
      </c>
      <c r="L54" s="14">
        <v>-7.4</v>
      </c>
      <c r="M54" s="14">
        <v>-7.6</v>
      </c>
      <c r="N54" s="14">
        <v>-7.2</v>
      </c>
      <c r="O54" s="14">
        <v>-3.1</v>
      </c>
      <c r="P54" s="14">
        <v>-5</v>
      </c>
      <c r="Q54" s="37">
        <v>-6.7</v>
      </c>
      <c r="R54" s="14">
        <v>-4.4000000000000004</v>
      </c>
      <c r="S54" s="14"/>
      <c r="V54" s="14"/>
      <c r="W54" s="14"/>
      <c r="X54" s="14">
        <v>-10</v>
      </c>
      <c r="Y54" s="14">
        <f>-15.7</f>
        <v>-15.7</v>
      </c>
      <c r="Z54" s="14">
        <v>-20</v>
      </c>
      <c r="AA54" s="14">
        <f>-23.4</f>
        <v>-23.4</v>
      </c>
      <c r="AB54" s="14">
        <f>-15</f>
        <v>-15</v>
      </c>
      <c r="AC54" s="14">
        <f>0.6-6.7</f>
        <v>-6.1000000000000005</v>
      </c>
      <c r="AD54" s="14">
        <f>3.2-25.4</f>
        <v>-22.2</v>
      </c>
      <c r="AE54" s="14">
        <f>3.3-28.6</f>
        <v>-25.3</v>
      </c>
    </row>
    <row r="55" spans="3:31" x14ac:dyDescent="0.25">
      <c r="C55" s="2" t="s">
        <v>89</v>
      </c>
      <c r="D55" s="14">
        <v>-26.9</v>
      </c>
      <c r="E55" s="14">
        <v>-12.1</v>
      </c>
      <c r="F55" s="14">
        <v>-12.2</v>
      </c>
      <c r="G55" s="14">
        <v>-43</v>
      </c>
      <c r="H55" s="14">
        <v>-32.799999999999997</v>
      </c>
      <c r="I55" s="14">
        <v>-26</v>
      </c>
      <c r="J55" s="14">
        <v>-26</v>
      </c>
      <c r="K55" s="14">
        <v>-18.399999999999999</v>
      </c>
      <c r="L55" s="14">
        <v>-20.6</v>
      </c>
      <c r="M55" s="14">
        <v>-24.7</v>
      </c>
      <c r="N55" s="14">
        <v>-37.9</v>
      </c>
      <c r="O55" s="14">
        <v>-44.5</v>
      </c>
      <c r="P55" s="14">
        <v>-37.4</v>
      </c>
      <c r="Q55" s="37">
        <v>-34.6</v>
      </c>
      <c r="R55" s="14">
        <v>34.6</v>
      </c>
      <c r="S55" s="14"/>
      <c r="V55" s="14"/>
      <c r="W55" s="14"/>
      <c r="X55" s="14">
        <v>-22.2</v>
      </c>
      <c r="Y55" s="14">
        <v>-18</v>
      </c>
      <c r="Z55" s="14">
        <v>-17</v>
      </c>
      <c r="AA55" s="14">
        <v>-38.982999999999997</v>
      </c>
      <c r="AB55" s="14">
        <v>-49.6</v>
      </c>
      <c r="AC55" s="14">
        <v>-94.2</v>
      </c>
      <c r="AD55" s="14">
        <v>-103.2</v>
      </c>
      <c r="AE55" s="14">
        <v>-127.7</v>
      </c>
    </row>
    <row r="56" spans="3:31" x14ac:dyDescent="0.25">
      <c r="C56" s="2" t="s">
        <v>90</v>
      </c>
      <c r="D56" s="14">
        <v>15.3</v>
      </c>
      <c r="E56" s="14">
        <v>9.1999999999999993</v>
      </c>
      <c r="F56" s="14">
        <v>-4.4000000000000004</v>
      </c>
      <c r="G56" s="14">
        <v>-11.9</v>
      </c>
      <c r="H56" s="14">
        <v>23.1</v>
      </c>
      <c r="I56" s="14">
        <v>16.7</v>
      </c>
      <c r="J56" s="14">
        <v>7.3</v>
      </c>
      <c r="K56" s="14">
        <v>-51.3</v>
      </c>
      <c r="L56" s="14">
        <v>-1.2</v>
      </c>
      <c r="M56" s="14">
        <v>20.9</v>
      </c>
      <c r="N56" s="14">
        <v>-31</v>
      </c>
      <c r="O56" s="14">
        <v>11</v>
      </c>
      <c r="P56" s="14">
        <v>5</v>
      </c>
      <c r="Q56" s="37">
        <v>9.6999999999999993</v>
      </c>
      <c r="R56" s="14">
        <v>17.100000000000001</v>
      </c>
      <c r="S56" s="14"/>
      <c r="V56" s="14"/>
      <c r="W56" s="14"/>
      <c r="X56" s="14">
        <v>16</v>
      </c>
      <c r="Y56" s="14">
        <v>-13.4</v>
      </c>
      <c r="Z56" s="14">
        <v>4</v>
      </c>
      <c r="AA56" s="14">
        <v>1.3</v>
      </c>
      <c r="AB56" s="14">
        <v>-3.3</v>
      </c>
      <c r="AC56" s="14">
        <v>8.1999999999999993</v>
      </c>
      <c r="AD56" s="14">
        <v>-4.2</v>
      </c>
      <c r="AE56" s="14">
        <v>-0.3</v>
      </c>
    </row>
    <row r="57" spans="3:31" x14ac:dyDescent="0.25">
      <c r="C57" s="1" t="s">
        <v>91</v>
      </c>
      <c r="D57" s="12">
        <f t="shared" ref="D57:P57" si="50">SUM(D52:D56)</f>
        <v>72.900000000000006</v>
      </c>
      <c r="E57" s="12">
        <f t="shared" si="50"/>
        <v>141.79999999999998</v>
      </c>
      <c r="F57" s="12">
        <f t="shared" si="50"/>
        <v>110.69999999999997</v>
      </c>
      <c r="G57" s="12">
        <f t="shared" si="50"/>
        <v>32.199999999999996</v>
      </c>
      <c r="H57" s="12">
        <f t="shared" si="50"/>
        <v>73.599999999999994</v>
      </c>
      <c r="I57" s="12">
        <f t="shared" si="50"/>
        <v>126.00000000000001</v>
      </c>
      <c r="J57" s="12">
        <f t="shared" si="50"/>
        <v>129</v>
      </c>
      <c r="K57" s="12">
        <f t="shared" si="50"/>
        <v>68.09999999999998</v>
      </c>
      <c r="L57" s="12">
        <f t="shared" si="50"/>
        <v>90.59999999999998</v>
      </c>
      <c r="M57" s="12">
        <f t="shared" si="50"/>
        <v>204.8</v>
      </c>
      <c r="N57" s="12">
        <f t="shared" si="50"/>
        <v>132.20000000000002</v>
      </c>
      <c r="O57" s="12">
        <f t="shared" si="50"/>
        <v>140.1</v>
      </c>
      <c r="P57" s="12">
        <f t="shared" si="50"/>
        <v>120.69999999999999</v>
      </c>
      <c r="Q57" s="36">
        <f>SUM(Q52:Q56)</f>
        <v>229.50000000000003</v>
      </c>
      <c r="R57" s="36">
        <f t="shared" ref="R57:S57" si="51">SUM(R52:R56)</f>
        <v>242.7</v>
      </c>
      <c r="S57" s="36">
        <f t="shared" si="51"/>
        <v>0</v>
      </c>
      <c r="V57" s="12"/>
      <c r="W57" s="12"/>
      <c r="X57" s="12">
        <f t="shared" ref="X57:AD57" si="52">SUM(X52:X56)</f>
        <v>60.099999999999994</v>
      </c>
      <c r="Y57" s="12">
        <f t="shared" si="52"/>
        <v>90.7</v>
      </c>
      <c r="Z57" s="12">
        <f t="shared" si="52"/>
        <v>139.19999999999999</v>
      </c>
      <c r="AA57" s="12">
        <f t="shared" si="52"/>
        <v>127.36499999999997</v>
      </c>
      <c r="AB57" s="12">
        <f t="shared" si="52"/>
        <v>235.1</v>
      </c>
      <c r="AC57" s="12">
        <f t="shared" si="52"/>
        <v>356.5</v>
      </c>
      <c r="AD57" s="12">
        <f t="shared" si="52"/>
        <v>395.90000000000003</v>
      </c>
      <c r="AE57" s="12">
        <f>SUM(AE52:AE56)</f>
        <v>566.70000000000005</v>
      </c>
    </row>
    <row r="58" spans="3:31" x14ac:dyDescent="0.25">
      <c r="D58" s="12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37"/>
      <c r="R58" s="14"/>
      <c r="S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spans="3:31" x14ac:dyDescent="0.25">
      <c r="C59" s="2" t="s">
        <v>92</v>
      </c>
      <c r="D59" s="14">
        <v>-4</v>
      </c>
      <c r="E59" s="14">
        <v>-4.0999999999999996</v>
      </c>
      <c r="F59" s="14">
        <v>-2.2999999999999998</v>
      </c>
      <c r="G59" s="14">
        <v>-5.0999999999999996</v>
      </c>
      <c r="H59" s="14">
        <v>-15</v>
      </c>
      <c r="I59" s="14">
        <v>-7.8</v>
      </c>
      <c r="J59" s="14">
        <v>-7.5</v>
      </c>
      <c r="K59" s="14">
        <v>-8.5</v>
      </c>
      <c r="L59" s="14">
        <v>-8.1</v>
      </c>
      <c r="M59" s="14">
        <v>-6.7</v>
      </c>
      <c r="N59" s="14">
        <v>-3.2</v>
      </c>
      <c r="O59" s="14">
        <v>-5.5</v>
      </c>
      <c r="P59" s="14">
        <v>-9.5</v>
      </c>
      <c r="Q59" s="37">
        <v>-3.7</v>
      </c>
      <c r="R59" s="14">
        <v>-6.6</v>
      </c>
      <c r="S59" s="14"/>
      <c r="V59" s="14"/>
      <c r="W59" s="14"/>
      <c r="X59" s="14">
        <v>-1457.354</v>
      </c>
      <c r="Y59" s="14">
        <v>-7</v>
      </c>
      <c r="Z59" s="14">
        <v>-11</v>
      </c>
      <c r="AA59" s="14">
        <v>-7</v>
      </c>
      <c r="AB59" s="14">
        <v>17.7</v>
      </c>
      <c r="AC59" s="14">
        <v>-15.5</v>
      </c>
      <c r="AD59" s="14">
        <v>-4.2</v>
      </c>
      <c r="AE59" s="14">
        <v>-23.5</v>
      </c>
    </row>
    <row r="60" spans="3:31" x14ac:dyDescent="0.25">
      <c r="C60" s="1" t="s">
        <v>93</v>
      </c>
      <c r="D60" s="12">
        <f t="shared" ref="D60:P60" si="53">D59</f>
        <v>-4</v>
      </c>
      <c r="E60" s="12">
        <f t="shared" si="53"/>
        <v>-4.0999999999999996</v>
      </c>
      <c r="F60" s="12">
        <f t="shared" si="53"/>
        <v>-2.2999999999999998</v>
      </c>
      <c r="G60" s="12">
        <f t="shared" si="53"/>
        <v>-5.0999999999999996</v>
      </c>
      <c r="H60" s="12">
        <f t="shared" si="53"/>
        <v>-15</v>
      </c>
      <c r="I60" s="12">
        <f t="shared" si="53"/>
        <v>-7.8</v>
      </c>
      <c r="J60" s="12">
        <f t="shared" si="53"/>
        <v>-7.5</v>
      </c>
      <c r="K60" s="12">
        <f t="shared" si="53"/>
        <v>-8.5</v>
      </c>
      <c r="L60" s="12">
        <f t="shared" si="53"/>
        <v>-8.1</v>
      </c>
      <c r="M60" s="12">
        <f t="shared" si="53"/>
        <v>-6.7</v>
      </c>
      <c r="N60" s="12">
        <f t="shared" si="53"/>
        <v>-3.2</v>
      </c>
      <c r="O60" s="12">
        <f t="shared" si="53"/>
        <v>-5.5</v>
      </c>
      <c r="P60" s="12">
        <f t="shared" si="53"/>
        <v>-9.5</v>
      </c>
      <c r="Q60" s="36">
        <f>Q59</f>
        <v>-3.7</v>
      </c>
      <c r="R60" s="36">
        <f t="shared" ref="R60:S60" si="54">R59</f>
        <v>-6.6</v>
      </c>
      <c r="S60" s="36">
        <f t="shared" si="54"/>
        <v>0</v>
      </c>
      <c r="V60" s="12"/>
      <c r="W60" s="12"/>
      <c r="X60" s="12">
        <f t="shared" ref="X60:AD60" si="55">X59</f>
        <v>-1457.354</v>
      </c>
      <c r="Y60" s="12">
        <f t="shared" si="55"/>
        <v>-7</v>
      </c>
      <c r="Z60" s="12">
        <f t="shared" si="55"/>
        <v>-11</v>
      </c>
      <c r="AA60" s="12">
        <f t="shared" si="55"/>
        <v>-7</v>
      </c>
      <c r="AB60" s="12">
        <f t="shared" si="55"/>
        <v>17.7</v>
      </c>
      <c r="AC60" s="12">
        <f t="shared" si="55"/>
        <v>-15.5</v>
      </c>
      <c r="AD60" s="12">
        <f t="shared" si="55"/>
        <v>-4.2</v>
      </c>
      <c r="AE60" s="12">
        <f>AE59</f>
        <v>-23.5</v>
      </c>
    </row>
    <row r="61" spans="3:31" x14ac:dyDescent="0.25"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37"/>
      <c r="R61" s="14"/>
      <c r="S61" s="14"/>
      <c r="T61" s="1"/>
      <c r="U61" s="1"/>
      <c r="V61" s="12"/>
      <c r="W61" s="12"/>
      <c r="X61" s="12"/>
      <c r="Y61" s="12"/>
      <c r="Z61" s="14"/>
      <c r="AA61" s="14"/>
      <c r="AB61" s="14"/>
      <c r="AC61" s="14"/>
      <c r="AD61" s="14"/>
      <c r="AE61" s="14"/>
    </row>
    <row r="62" spans="3:31" x14ac:dyDescent="0.25">
      <c r="C62" s="2" t="s">
        <v>94</v>
      </c>
      <c r="D62" s="14">
        <v>0</v>
      </c>
      <c r="E62" s="14">
        <v>0</v>
      </c>
      <c r="F62" s="14">
        <v>85</v>
      </c>
      <c r="G62" s="14">
        <v>30</v>
      </c>
      <c r="H62" s="14">
        <v>35</v>
      </c>
      <c r="I62" s="14">
        <v>150</v>
      </c>
      <c r="J62" s="14">
        <v>0</v>
      </c>
      <c r="K62" s="14">
        <v>0</v>
      </c>
      <c r="L62" s="14">
        <v>30</v>
      </c>
      <c r="M62" s="14">
        <v>95</v>
      </c>
      <c r="N62" s="14">
        <v>55</v>
      </c>
      <c r="O62" s="14">
        <v>0</v>
      </c>
      <c r="P62" s="14">
        <v>0</v>
      </c>
      <c r="Q62" s="37">
        <v>680</v>
      </c>
      <c r="R62" s="14">
        <v>100</v>
      </c>
      <c r="S62" s="14"/>
      <c r="T62" s="1"/>
      <c r="U62" s="1"/>
      <c r="V62" s="12"/>
      <c r="W62" s="12"/>
      <c r="X62" s="14">
        <f>380.8+1360.29</f>
        <v>1741.09</v>
      </c>
      <c r="Y62" s="14">
        <v>262.38499999999999</v>
      </c>
      <c r="Z62" s="14">
        <v>285.72500000000002</v>
      </c>
      <c r="AA62" s="14">
        <v>0</v>
      </c>
      <c r="AB62" s="14">
        <v>500</v>
      </c>
      <c r="AC62" s="14">
        <v>115</v>
      </c>
      <c r="AD62" s="14">
        <v>185</v>
      </c>
      <c r="AE62" s="14">
        <v>180</v>
      </c>
    </row>
    <row r="63" spans="3:31" x14ac:dyDescent="0.25">
      <c r="C63" s="2" t="s">
        <v>95</v>
      </c>
      <c r="D63" s="14">
        <v>-65</v>
      </c>
      <c r="E63" s="14">
        <v>0</v>
      </c>
      <c r="F63" s="14">
        <v>0</v>
      </c>
      <c r="G63" s="14">
        <v>0</v>
      </c>
      <c r="H63" s="14">
        <v>-15</v>
      </c>
      <c r="I63" s="14">
        <v>0</v>
      </c>
      <c r="J63" s="14">
        <v>0</v>
      </c>
      <c r="K63" s="14">
        <v>0</v>
      </c>
      <c r="L63" s="14">
        <v>0</v>
      </c>
      <c r="M63" s="14">
        <v>-100</v>
      </c>
      <c r="N63" s="14">
        <v>-30</v>
      </c>
      <c r="O63" s="14">
        <v>-80</v>
      </c>
      <c r="P63" s="14">
        <v>-30</v>
      </c>
      <c r="Q63" s="37">
        <v>-570</v>
      </c>
      <c r="R63" s="14">
        <v>-50</v>
      </c>
      <c r="S63" s="14"/>
      <c r="T63" s="1"/>
      <c r="U63" s="1"/>
      <c r="V63" s="14"/>
      <c r="W63" s="14"/>
      <c r="X63" s="14">
        <v>-210</v>
      </c>
      <c r="Y63" s="14">
        <v>-169.77799999999999</v>
      </c>
      <c r="Z63" s="14">
        <v>-125</v>
      </c>
      <c r="AA63" s="14">
        <v>0</v>
      </c>
      <c r="AB63" s="14">
        <v>-908.6</v>
      </c>
      <c r="AC63" s="14">
        <v>-65</v>
      </c>
      <c r="AD63" s="14">
        <v>-15</v>
      </c>
      <c r="AE63" s="14">
        <v>-210</v>
      </c>
    </row>
    <row r="64" spans="3:31" x14ac:dyDescent="0.25">
      <c r="C64" s="2" t="s">
        <v>96</v>
      </c>
      <c r="D64" s="14">
        <v>-1.9</v>
      </c>
      <c r="E64" s="14">
        <v>-2</v>
      </c>
      <c r="F64" s="14">
        <v>-1.9</v>
      </c>
      <c r="G64" s="14">
        <v>0.7</v>
      </c>
      <c r="H64" s="14">
        <v>-4.8</v>
      </c>
      <c r="I64" s="14">
        <v>-2.7</v>
      </c>
      <c r="J64" s="14">
        <v>-2.7</v>
      </c>
      <c r="K64" s="14">
        <v>-2.8</v>
      </c>
      <c r="L64" s="14">
        <v>-2.8</v>
      </c>
      <c r="M64" s="14">
        <v>-2.7</v>
      </c>
      <c r="N64" s="14">
        <v>-2.9</v>
      </c>
      <c r="O64" s="14">
        <v>-3.2</v>
      </c>
      <c r="P64" s="14">
        <v>-3.1</v>
      </c>
      <c r="Q64" s="37">
        <v>-3.1</v>
      </c>
      <c r="R64" s="14">
        <v>-3.2</v>
      </c>
      <c r="S64" s="14"/>
      <c r="T64" s="1"/>
      <c r="U64" s="1"/>
      <c r="V64" s="14"/>
      <c r="W64" s="14"/>
      <c r="X64" s="14">
        <v>0</v>
      </c>
      <c r="Y64" s="14">
        <v>0</v>
      </c>
      <c r="Z64" s="14">
        <f>-325.555-6</f>
        <v>-331.55500000000001</v>
      </c>
      <c r="AA64" s="14">
        <f>-7-86.24</f>
        <v>-93.24</v>
      </c>
      <c r="AB64" s="14">
        <v>-7.5</v>
      </c>
      <c r="AC64" s="14">
        <v>-6.5</v>
      </c>
      <c r="AD64" s="14">
        <v>-13</v>
      </c>
      <c r="AE64" s="14">
        <v>-11.6</v>
      </c>
    </row>
    <row r="65" spans="3:31" x14ac:dyDescent="0.25">
      <c r="C65" s="2" t="s">
        <v>97</v>
      </c>
      <c r="D65" s="14">
        <v>0</v>
      </c>
      <c r="E65" s="14">
        <v>3.5</v>
      </c>
      <c r="F65" s="14">
        <v>0</v>
      </c>
      <c r="G65" s="14">
        <v>1.1000000000000001</v>
      </c>
      <c r="H65" s="14">
        <v>0</v>
      </c>
      <c r="I65" s="14">
        <v>4.2</v>
      </c>
      <c r="J65" s="14">
        <v>0.8</v>
      </c>
      <c r="K65" s="14">
        <v>0</v>
      </c>
      <c r="L65" s="14">
        <v>0</v>
      </c>
      <c r="M65" s="14">
        <v>50.9</v>
      </c>
      <c r="N65" s="14">
        <v>0</v>
      </c>
      <c r="O65" s="14">
        <v>0</v>
      </c>
      <c r="P65" s="14">
        <v>0</v>
      </c>
      <c r="Q65" s="37">
        <v>31</v>
      </c>
      <c r="R65" s="14">
        <v>0</v>
      </c>
      <c r="S65" s="14"/>
      <c r="T65" s="1"/>
      <c r="U65" s="1"/>
      <c r="V65" s="14"/>
      <c r="W65" s="14"/>
      <c r="X65" s="14">
        <v>0</v>
      </c>
      <c r="Y65" s="14">
        <v>0</v>
      </c>
      <c r="Z65" s="14">
        <v>-50</v>
      </c>
      <c r="AA65" s="14">
        <v>0</v>
      </c>
      <c r="AB65" s="14">
        <f>11.8-1</f>
        <v>10.8</v>
      </c>
      <c r="AC65" s="14">
        <f>4.6-0.2</f>
        <v>4.3999999999999995</v>
      </c>
      <c r="AD65" s="14">
        <v>5</v>
      </c>
      <c r="AE65" s="14">
        <v>50.9</v>
      </c>
    </row>
    <row r="66" spans="3:31" x14ac:dyDescent="0.25">
      <c r="C66" s="2" t="s">
        <v>98</v>
      </c>
      <c r="D66" s="14">
        <v>0</v>
      </c>
      <c r="E66" s="14">
        <v>-0.7</v>
      </c>
      <c r="F66" s="14">
        <v>0</v>
      </c>
      <c r="G66" s="14">
        <v>0</v>
      </c>
      <c r="H66" s="14">
        <v>0</v>
      </c>
      <c r="I66" s="14">
        <v>0</v>
      </c>
      <c r="J66" s="14">
        <v>-0.4</v>
      </c>
      <c r="K66" s="14">
        <v>0</v>
      </c>
      <c r="L66" s="14">
        <v>0</v>
      </c>
      <c r="M66" s="14">
        <v>0</v>
      </c>
      <c r="N66" s="14">
        <v>0</v>
      </c>
      <c r="O66" s="14">
        <v>-0.7</v>
      </c>
      <c r="P66" s="14">
        <v>0</v>
      </c>
      <c r="Q66" s="37">
        <v>-1</v>
      </c>
      <c r="R66" s="14">
        <v>0</v>
      </c>
      <c r="S66" s="14"/>
      <c r="T66" s="1"/>
      <c r="U66" s="1"/>
      <c r="V66" s="14"/>
      <c r="W66" s="14"/>
      <c r="X66" s="14">
        <v>0</v>
      </c>
      <c r="Y66" s="14">
        <v>0</v>
      </c>
      <c r="Z66" s="14">
        <v>2</v>
      </c>
      <c r="AA66" s="14">
        <v>0</v>
      </c>
      <c r="AB66" s="14">
        <v>0</v>
      </c>
      <c r="AC66" s="14">
        <v>-0.8</v>
      </c>
      <c r="AD66" s="14">
        <v>-0.4</v>
      </c>
      <c r="AE66" s="14">
        <v>-0.7</v>
      </c>
    </row>
    <row r="67" spans="3:31" x14ac:dyDescent="0.25">
      <c r="C67" s="2" t="s">
        <v>99</v>
      </c>
      <c r="D67" s="14">
        <v>0</v>
      </c>
      <c r="E67" s="14">
        <v>-40.299999999999997</v>
      </c>
      <c r="F67" s="14">
        <v>-205.5</v>
      </c>
      <c r="G67" s="14">
        <v>-80.3</v>
      </c>
      <c r="H67" s="14">
        <v>-94.5</v>
      </c>
      <c r="I67" s="14">
        <v>-94.8</v>
      </c>
      <c r="J67" s="14">
        <v>-119.5</v>
      </c>
      <c r="K67" s="14">
        <v>-109.7</v>
      </c>
      <c r="L67" s="14">
        <v>-115.7</v>
      </c>
      <c r="M67" s="14">
        <v>-103.7</v>
      </c>
      <c r="N67" s="14">
        <v>-124.6</v>
      </c>
      <c r="O67" s="14">
        <v>-83.7</v>
      </c>
      <c r="P67" s="14">
        <v>-119.3</v>
      </c>
      <c r="Q67" s="37">
        <v>-141</v>
      </c>
      <c r="R67" s="14">
        <v>-148.69999999999999</v>
      </c>
      <c r="S67" s="14"/>
      <c r="T67" s="1"/>
      <c r="U67" s="1"/>
      <c r="V67" s="12"/>
      <c r="W67" s="12"/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-326.10000000000002</v>
      </c>
      <c r="AD67" s="14">
        <v>-418.5</v>
      </c>
      <c r="AE67" s="14">
        <v>-427.7</v>
      </c>
    </row>
    <row r="68" spans="3:31" x14ac:dyDescent="0.25">
      <c r="C68" s="2" t="s">
        <v>100</v>
      </c>
      <c r="D68" s="14">
        <v>0</v>
      </c>
      <c r="E68" s="14">
        <v>-55.6</v>
      </c>
      <c r="F68" s="14">
        <v>0</v>
      </c>
      <c r="G68" s="14">
        <v>0</v>
      </c>
      <c r="H68" s="14">
        <v>0</v>
      </c>
      <c r="I68" s="14">
        <v>-98</v>
      </c>
      <c r="J68" s="14">
        <v>0</v>
      </c>
      <c r="K68" s="14">
        <v>0</v>
      </c>
      <c r="L68" s="14">
        <v>0</v>
      </c>
      <c r="M68" s="14">
        <v>-115.2</v>
      </c>
      <c r="N68" s="14">
        <v>0</v>
      </c>
      <c r="O68" s="14">
        <v>0</v>
      </c>
      <c r="P68" s="14">
        <v>0</v>
      </c>
      <c r="Q68" s="37">
        <v>-161.6</v>
      </c>
      <c r="R68" s="14">
        <v>0</v>
      </c>
      <c r="S68" s="14"/>
      <c r="V68" s="14"/>
      <c r="W68" s="14"/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-55.6</v>
      </c>
      <c r="AD68" s="14">
        <v>-98</v>
      </c>
      <c r="AE68" s="14">
        <v>-115.2</v>
      </c>
    </row>
    <row r="69" spans="3:31" x14ac:dyDescent="0.25">
      <c r="C69" s="1" t="s">
        <v>101</v>
      </c>
      <c r="D69" s="12">
        <f t="shared" ref="D69:P69" si="56">SUM(D62:D68)</f>
        <v>-66.900000000000006</v>
      </c>
      <c r="E69" s="12">
        <f t="shared" si="56"/>
        <v>-95.1</v>
      </c>
      <c r="F69" s="12">
        <f t="shared" si="56"/>
        <v>-122.4</v>
      </c>
      <c r="G69" s="12">
        <f t="shared" si="56"/>
        <v>-48.5</v>
      </c>
      <c r="H69" s="12">
        <f t="shared" si="56"/>
        <v>-79.3</v>
      </c>
      <c r="I69" s="12">
        <f t="shared" si="56"/>
        <v>-41.3</v>
      </c>
      <c r="J69" s="12">
        <f t="shared" si="56"/>
        <v>-121.8</v>
      </c>
      <c r="K69" s="12">
        <f t="shared" si="56"/>
        <v>-112.5</v>
      </c>
      <c r="L69" s="12">
        <f t="shared" si="56"/>
        <v>-88.5</v>
      </c>
      <c r="M69" s="12">
        <f t="shared" si="56"/>
        <v>-175.70000000000002</v>
      </c>
      <c r="N69" s="12">
        <f t="shared" si="56"/>
        <v>-102.5</v>
      </c>
      <c r="O69" s="12">
        <f t="shared" si="56"/>
        <v>-167.60000000000002</v>
      </c>
      <c r="P69" s="12">
        <f t="shared" si="56"/>
        <v>-152.4</v>
      </c>
      <c r="Q69" s="36">
        <f>SUM(Q62:Q68)</f>
        <v>-165.7</v>
      </c>
      <c r="R69" s="36">
        <f t="shared" ref="R69:S69" si="57">SUM(R62:R68)</f>
        <v>-101.89999999999999</v>
      </c>
      <c r="S69" s="36">
        <f t="shared" si="57"/>
        <v>0</v>
      </c>
      <c r="V69" s="12"/>
      <c r="W69" s="12"/>
      <c r="X69" s="12">
        <f t="shared" ref="X69:AD69" si="58">SUM(X62:X68)</f>
        <v>1531.09</v>
      </c>
      <c r="Y69" s="12">
        <f t="shared" si="58"/>
        <v>92.606999999999999</v>
      </c>
      <c r="Z69" s="12">
        <f t="shared" si="58"/>
        <v>-218.82999999999998</v>
      </c>
      <c r="AA69" s="12">
        <f t="shared" si="58"/>
        <v>-93.24</v>
      </c>
      <c r="AB69" s="12">
        <f t="shared" si="58"/>
        <v>-405.3</v>
      </c>
      <c r="AC69" s="12">
        <f t="shared" si="58"/>
        <v>-334.6</v>
      </c>
      <c r="AD69" s="12">
        <f t="shared" si="58"/>
        <v>-354.9</v>
      </c>
      <c r="AE69" s="12">
        <f>SUM(AE62:AE68)</f>
        <v>-534.29999999999995</v>
      </c>
    </row>
    <row r="70" spans="3:31" x14ac:dyDescent="0.25"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37"/>
      <c r="R70" s="14"/>
      <c r="S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spans="3:31" x14ac:dyDescent="0.25">
      <c r="C71" s="2" t="s">
        <v>102</v>
      </c>
      <c r="D71" s="14">
        <f t="shared" ref="D71:P71" si="59">D57+D60+D69</f>
        <v>2</v>
      </c>
      <c r="E71" s="14">
        <f t="shared" si="59"/>
        <v>42.599999999999994</v>
      </c>
      <c r="F71" s="14">
        <f t="shared" si="59"/>
        <v>-14.000000000000028</v>
      </c>
      <c r="G71" s="14">
        <f t="shared" si="59"/>
        <v>-21.400000000000006</v>
      </c>
      <c r="H71" s="14">
        <f t="shared" si="59"/>
        <v>-20.700000000000003</v>
      </c>
      <c r="I71" s="14">
        <f t="shared" si="59"/>
        <v>76.90000000000002</v>
      </c>
      <c r="J71" s="14">
        <f t="shared" si="59"/>
        <v>-0.29999999999999716</v>
      </c>
      <c r="K71" s="14">
        <f t="shared" si="59"/>
        <v>-52.90000000000002</v>
      </c>
      <c r="L71" s="14">
        <f t="shared" si="59"/>
        <v>-6.0000000000000142</v>
      </c>
      <c r="M71" s="14">
        <f t="shared" si="59"/>
        <v>22.400000000000006</v>
      </c>
      <c r="N71" s="14">
        <f t="shared" si="59"/>
        <v>26.500000000000028</v>
      </c>
      <c r="O71" s="14">
        <f t="shared" si="59"/>
        <v>-33.000000000000028</v>
      </c>
      <c r="P71" s="14">
        <f t="shared" si="59"/>
        <v>-41.200000000000017</v>
      </c>
      <c r="Q71" s="37">
        <f>Q57+Q60+Q69</f>
        <v>60.100000000000051</v>
      </c>
      <c r="R71" s="37">
        <f t="shared" ref="R71:S71" si="60">R57+R60+R69</f>
        <v>134.19999999999999</v>
      </c>
      <c r="S71" s="37">
        <f t="shared" si="60"/>
        <v>0</v>
      </c>
      <c r="V71" s="14"/>
      <c r="W71" s="14"/>
      <c r="X71" s="14">
        <f t="shared" ref="X71:AE71" si="61">X57+X60+X69</f>
        <v>133.83599999999979</v>
      </c>
      <c r="Y71" s="14">
        <f t="shared" si="61"/>
        <v>176.30700000000002</v>
      </c>
      <c r="Z71" s="14">
        <f t="shared" si="61"/>
        <v>-90.63</v>
      </c>
      <c r="AA71" s="14">
        <f t="shared" si="61"/>
        <v>27.124999999999972</v>
      </c>
      <c r="AB71" s="14">
        <f t="shared" si="61"/>
        <v>-152.50000000000003</v>
      </c>
      <c r="AC71" s="14">
        <f t="shared" si="61"/>
        <v>6.3999999999999773</v>
      </c>
      <c r="AD71" s="14">
        <f t="shared" si="61"/>
        <v>36.800000000000068</v>
      </c>
      <c r="AE71" s="14">
        <f t="shared" si="61"/>
        <v>8.9000000000000909</v>
      </c>
    </row>
    <row r="72" spans="3:31" x14ac:dyDescent="0.25"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37"/>
      <c r="R72" s="37"/>
      <c r="S72" s="37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spans="3:31" x14ac:dyDescent="0.25">
      <c r="C73" s="2" t="s">
        <v>103</v>
      </c>
      <c r="D73" s="14">
        <f t="shared" ref="D73:P73" si="62">D57+D59</f>
        <v>68.900000000000006</v>
      </c>
      <c r="E73" s="14">
        <f t="shared" si="62"/>
        <v>137.69999999999999</v>
      </c>
      <c r="F73" s="14">
        <f t="shared" si="62"/>
        <v>108.39999999999998</v>
      </c>
      <c r="G73" s="14">
        <f t="shared" si="62"/>
        <v>27.099999999999994</v>
      </c>
      <c r="H73" s="14">
        <f t="shared" si="62"/>
        <v>58.599999999999994</v>
      </c>
      <c r="I73" s="14">
        <f t="shared" si="62"/>
        <v>118.20000000000002</v>
      </c>
      <c r="J73" s="14">
        <f t="shared" si="62"/>
        <v>121.5</v>
      </c>
      <c r="K73" s="14">
        <f t="shared" si="62"/>
        <v>59.59999999999998</v>
      </c>
      <c r="L73" s="14">
        <f t="shared" si="62"/>
        <v>82.499999999999986</v>
      </c>
      <c r="M73" s="14">
        <f t="shared" si="62"/>
        <v>198.10000000000002</v>
      </c>
      <c r="N73" s="14">
        <f t="shared" si="62"/>
        <v>129.00000000000003</v>
      </c>
      <c r="O73" s="14">
        <f t="shared" si="62"/>
        <v>134.6</v>
      </c>
      <c r="P73" s="14">
        <f t="shared" si="62"/>
        <v>111.19999999999999</v>
      </c>
      <c r="Q73" s="37">
        <f>Q57+Q59</f>
        <v>225.80000000000004</v>
      </c>
      <c r="R73" s="37">
        <f t="shared" ref="R73:S73" si="63">R57+R59</f>
        <v>236.1</v>
      </c>
      <c r="S73" s="37">
        <f t="shared" si="63"/>
        <v>0</v>
      </c>
      <c r="V73" s="50"/>
      <c r="W73" s="14"/>
      <c r="X73" s="14">
        <f t="shared" ref="X73:AE73" si="64">X57+X59</f>
        <v>-1397.2540000000001</v>
      </c>
      <c r="Y73" s="14">
        <f t="shared" si="64"/>
        <v>83.7</v>
      </c>
      <c r="Z73" s="14">
        <f t="shared" si="64"/>
        <v>128.19999999999999</v>
      </c>
      <c r="AA73" s="14">
        <f t="shared" si="64"/>
        <v>120.36499999999997</v>
      </c>
      <c r="AB73" s="14">
        <f t="shared" si="64"/>
        <v>252.79999999999998</v>
      </c>
      <c r="AC73" s="14">
        <f t="shared" si="64"/>
        <v>341</v>
      </c>
      <c r="AD73" s="14">
        <f t="shared" si="64"/>
        <v>391.70000000000005</v>
      </c>
      <c r="AE73" s="14">
        <f t="shared" si="64"/>
        <v>543.20000000000005</v>
      </c>
    </row>
    <row r="74" spans="3:31" x14ac:dyDescent="0.25">
      <c r="R74" s="34"/>
      <c r="S74" s="34"/>
    </row>
    <row r="75" spans="3:31" x14ac:dyDescent="0.25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46"/>
      <c r="R75" s="11"/>
      <c r="S75" s="11"/>
    </row>
    <row r="76" spans="3:31" x14ac:dyDescent="0.25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47"/>
      <c r="R76" s="1"/>
      <c r="S76" s="1"/>
    </row>
    <row r="79" spans="3:31" x14ac:dyDescent="0.25"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3:31" x14ac:dyDescent="0.25"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3:32" x14ac:dyDescent="0.25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37"/>
      <c r="R81" s="14"/>
      <c r="S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3:32" x14ac:dyDescent="0.25"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37"/>
      <c r="R82" s="14"/>
      <c r="S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3:32" x14ac:dyDescent="0.25"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37"/>
      <c r="R83" s="14"/>
      <c r="S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spans="3:32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37"/>
      <c r="R84" s="14"/>
      <c r="S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3:32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37"/>
      <c r="R85" s="14"/>
      <c r="S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spans="3:32" x14ac:dyDescent="0.25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37"/>
      <c r="R86" s="14"/>
      <c r="S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3:32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37"/>
      <c r="R87" s="14"/>
      <c r="S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spans="3:32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37"/>
      <c r="R88" s="14"/>
      <c r="S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spans="3:32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37"/>
      <c r="R89" s="14"/>
      <c r="S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3:32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37"/>
      <c r="R90" s="14"/>
      <c r="S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spans="3:32" x14ac:dyDescent="0.25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37"/>
      <c r="R91" s="14"/>
      <c r="S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3:32" x14ac:dyDescent="0.25"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37"/>
      <c r="R92" s="14"/>
      <c r="S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spans="3:32" x14ac:dyDescent="0.25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37"/>
      <c r="R93" s="14"/>
      <c r="S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3:32" x14ac:dyDescent="0.25">
      <c r="C94" s="1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36"/>
      <c r="R94" s="12"/>
      <c r="S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spans="3:32" x14ac:dyDescent="0.25">
      <c r="C95" s="1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36"/>
      <c r="R95" s="12"/>
      <c r="S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spans="3:32" x14ac:dyDescent="0.25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46"/>
      <c r="R96" s="11"/>
      <c r="S96" s="11"/>
      <c r="T96" s="11"/>
      <c r="U96" s="11"/>
      <c r="V96" s="11"/>
      <c r="W96" s="22"/>
      <c r="X96" s="22"/>
      <c r="Y96" s="22"/>
      <c r="Z96" s="22"/>
      <c r="AA96" s="22"/>
      <c r="AB96" s="22"/>
      <c r="AC96" s="22"/>
      <c r="AD96" s="22"/>
      <c r="AE96" s="22"/>
      <c r="AF96" s="23"/>
    </row>
    <row r="97" spans="3:31" x14ac:dyDescent="0.25"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37"/>
      <c r="R97" s="14"/>
      <c r="S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3:31" x14ac:dyDescent="0.25"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37"/>
      <c r="R98" s="14"/>
      <c r="S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3:31" x14ac:dyDescent="0.25"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37"/>
      <c r="R99" s="14"/>
      <c r="S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3:31" x14ac:dyDescent="0.25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37"/>
      <c r="R100" s="14"/>
      <c r="S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3:31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37"/>
      <c r="R101" s="14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3:31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37"/>
      <c r="R102" s="14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1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37"/>
      <c r="R103" s="14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3:31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37"/>
      <c r="R104" s="14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3:31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37"/>
      <c r="R105" s="14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3:31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37"/>
      <c r="R106" s="14"/>
      <c r="S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3:31" x14ac:dyDescent="0.25">
      <c r="C107" s="1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36"/>
      <c r="R107" s="12"/>
      <c r="S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3:31" x14ac:dyDescent="0.25"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37"/>
      <c r="R108" s="14"/>
      <c r="S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3:31" x14ac:dyDescent="0.25"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37"/>
      <c r="R109" s="14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3:31" x14ac:dyDescent="0.25"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37"/>
      <c r="R110" s="14"/>
      <c r="S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3:31" x14ac:dyDescent="0.25"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37"/>
      <c r="R111" s="14"/>
      <c r="S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3:31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37"/>
      <c r="R112" s="14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37"/>
      <c r="R113" s="14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37"/>
      <c r="R114" s="14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3:31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37"/>
      <c r="R115" s="14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3:31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37"/>
      <c r="R116" s="14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3:31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37"/>
      <c r="R117" s="14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3:31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37"/>
      <c r="R118" s="14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3:31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37"/>
      <c r="R119" s="14"/>
      <c r="S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3:31" x14ac:dyDescent="0.25">
      <c r="C120" s="1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36"/>
      <c r="R120" s="12"/>
      <c r="S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3:31" x14ac:dyDescent="0.25"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36"/>
      <c r="R121" s="14"/>
      <c r="S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3:31" x14ac:dyDescent="0.25"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37"/>
      <c r="R122" s="14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3:31" x14ac:dyDescent="0.25"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37"/>
      <c r="R123" s="14"/>
      <c r="S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3:31" x14ac:dyDescent="0.25"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37"/>
      <c r="R124" s="14"/>
      <c r="S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3:31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37"/>
      <c r="R125" s="14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37"/>
      <c r="R126" s="14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1"/>
  <sheetViews>
    <sheetView showGridLines="0" workbookViewId="0">
      <selection activeCell="D6" sqref="D6"/>
    </sheetView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13" sqref="F13"/>
    </sheetView>
  </sheetViews>
  <sheetFormatPr baseColWidth="10" defaultRowHeight="16" x14ac:dyDescent="0.2"/>
  <cols>
    <col min="3" max="3" width="29.5" bestFit="1" customWidth="1"/>
    <col min="4" max="6" width="18.6640625" bestFit="1" customWidth="1"/>
  </cols>
  <sheetData>
    <row r="4" spans="3:6" ht="62" x14ac:dyDescent="0.7">
      <c r="C4" s="29"/>
      <c r="D4" s="29">
        <v>2025</v>
      </c>
      <c r="E4" s="29">
        <v>2026</v>
      </c>
      <c r="F4" s="29">
        <v>2027</v>
      </c>
    </row>
    <row r="5" spans="3:6" ht="62" x14ac:dyDescent="0.7">
      <c r="C5" s="29" t="s">
        <v>29</v>
      </c>
      <c r="D5" s="30">
        <f>Modell!$B$9/Modell!AF11</f>
        <v>29.810984118423281</v>
      </c>
      <c r="E5" s="30">
        <f>Modell!$B$9/Modell!AG11</f>
        <v>22.650388010457721</v>
      </c>
      <c r="F5" s="30">
        <f>Modell!$B$9/Modell!AH11</f>
        <v>19.359305991844206</v>
      </c>
    </row>
    <row r="6" spans="3:6" ht="62" x14ac:dyDescent="0.7">
      <c r="C6" s="29" t="s">
        <v>30</v>
      </c>
      <c r="D6" s="30">
        <f>Modell!$B$4/Modell!AF17</f>
        <v>37.015690363324254</v>
      </c>
      <c r="E6" s="30">
        <f>Modell!$B$4/Modell!AG17</f>
        <v>28.124524365705494</v>
      </c>
      <c r="F6" s="30">
        <f>Modell!$B$4/Modell!AH17</f>
        <v>24.038055013423495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B23"/>
  <sheetViews>
    <sheetView showGridLines="0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W32" sqref="W32"/>
    </sheetView>
  </sheetViews>
  <sheetFormatPr baseColWidth="10" defaultRowHeight="19" x14ac:dyDescent="0.25"/>
  <cols>
    <col min="1" max="1" width="10.83203125" style="2"/>
    <col min="2" max="2" width="21.6640625" style="4" customWidth="1"/>
    <col min="3" max="3" width="31.5" style="2" customWidth="1"/>
    <col min="4" max="23" width="10.83203125" style="2"/>
    <col min="24" max="24" width="13" style="2" bestFit="1" customWidth="1"/>
    <col min="25" max="25" width="13.33203125" style="2" bestFit="1" customWidth="1"/>
    <col min="26" max="16384" width="10.83203125" style="2"/>
  </cols>
  <sheetData>
    <row r="3" spans="1:184" x14ac:dyDescent="0.25">
      <c r="A3" s="1" t="s">
        <v>40</v>
      </c>
      <c r="D3" s="7" t="s">
        <v>41</v>
      </c>
      <c r="E3" s="7" t="s">
        <v>42</v>
      </c>
      <c r="F3" s="7" t="s">
        <v>32</v>
      </c>
      <c r="G3" s="7" t="s">
        <v>33</v>
      </c>
      <c r="H3" s="7" t="s">
        <v>34</v>
      </c>
      <c r="I3" s="7" t="s">
        <v>15</v>
      </c>
      <c r="J3" s="7" t="s">
        <v>16</v>
      </c>
      <c r="K3" s="7" t="s">
        <v>17</v>
      </c>
      <c r="L3" s="16" t="s">
        <v>18</v>
      </c>
      <c r="M3" s="7" t="s">
        <v>19</v>
      </c>
      <c r="N3" s="7" t="s">
        <v>20</v>
      </c>
      <c r="O3" s="7" t="s">
        <v>21</v>
      </c>
      <c r="P3" s="7" t="s">
        <v>22</v>
      </c>
      <c r="Q3" s="7" t="s">
        <v>23</v>
      </c>
      <c r="R3" s="7" t="s">
        <v>24</v>
      </c>
      <c r="S3" s="7" t="s">
        <v>25</v>
      </c>
      <c r="T3" s="7" t="s">
        <v>26</v>
      </c>
      <c r="U3" s="7" t="s">
        <v>27</v>
      </c>
      <c r="V3" s="7" t="s">
        <v>28</v>
      </c>
    </row>
    <row r="4" spans="1:184" x14ac:dyDescent="0.25">
      <c r="A4" s="1" t="s">
        <v>110</v>
      </c>
      <c r="D4" s="12">
        <v>318.47500000000002</v>
      </c>
      <c r="E4" s="12">
        <v>374</v>
      </c>
      <c r="F4" s="12">
        <v>446.36900000000003</v>
      </c>
      <c r="G4" s="12">
        <v>545.846</v>
      </c>
      <c r="H4" s="12">
        <v>729.9</v>
      </c>
      <c r="I4" s="12">
        <v>891.8</v>
      </c>
      <c r="J4" s="12">
        <v>1007</v>
      </c>
      <c r="K4" s="12">
        <v>1396.7</v>
      </c>
      <c r="L4" s="13">
        <f>K4*1.16</f>
        <v>1620.172</v>
      </c>
      <c r="M4" s="12">
        <f>L4*1.15</f>
        <v>1863.1977999999999</v>
      </c>
      <c r="N4" s="12">
        <f t="shared" ref="N4:V4" si="0">M4*1.15</f>
        <v>2142.6774699999996</v>
      </c>
      <c r="O4" s="12">
        <f t="shared" si="0"/>
        <v>2464.0790904999994</v>
      </c>
      <c r="P4" s="12">
        <f t="shared" si="0"/>
        <v>2833.6909540749994</v>
      </c>
      <c r="Q4" s="12">
        <f t="shared" si="0"/>
        <v>3258.7445971862489</v>
      </c>
      <c r="R4" s="12">
        <f t="shared" si="0"/>
        <v>3747.5562867641861</v>
      </c>
      <c r="S4" s="12">
        <f t="shared" si="0"/>
        <v>4309.6897297788137</v>
      </c>
      <c r="T4" s="12">
        <f t="shared" si="0"/>
        <v>4956.1431892456358</v>
      </c>
      <c r="U4" s="12">
        <f t="shared" si="0"/>
        <v>5699.5646676324805</v>
      </c>
      <c r="V4" s="12">
        <f t="shared" si="0"/>
        <v>6554.4993677773518</v>
      </c>
    </row>
    <row r="5" spans="1:184" x14ac:dyDescent="0.25">
      <c r="A5" s="49">
        <f>Y22</f>
        <v>204.86791610044151</v>
      </c>
      <c r="D5" s="14">
        <v>0</v>
      </c>
      <c r="E5" s="14">
        <v>0</v>
      </c>
      <c r="F5" s="14">
        <v>4.3</v>
      </c>
      <c r="G5" s="14">
        <v>3.9</v>
      </c>
      <c r="H5" s="14">
        <v>4.5999999999999996</v>
      </c>
      <c r="I5" s="14">
        <v>10</v>
      </c>
      <c r="J5" s="14">
        <v>13</v>
      </c>
      <c r="K5" s="14">
        <v>10.7</v>
      </c>
      <c r="L5" s="15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</row>
    <row r="6" spans="1:184" x14ac:dyDescent="0.25">
      <c r="A6" s="26">
        <f>Y23</f>
        <v>-8.94759284424822E-2</v>
      </c>
      <c r="D6" s="14">
        <v>-181.48</v>
      </c>
      <c r="E6" s="14">
        <v>-166.75200000000001</v>
      </c>
      <c r="F6" s="14">
        <v>-189</v>
      </c>
      <c r="G6" s="14">
        <v>-245.30799999999999</v>
      </c>
      <c r="H6" s="14">
        <v>-299.89999999999998</v>
      </c>
      <c r="I6" s="14">
        <v>-299</v>
      </c>
      <c r="J6" s="14">
        <v>-323.7</v>
      </c>
      <c r="K6" s="14">
        <v>-480.7</v>
      </c>
      <c r="L6" s="15">
        <f t="shared" ref="L6:M9" si="1">K6*1.15</f>
        <v>-552.80499999999995</v>
      </c>
      <c r="M6" s="14">
        <f>L6*1.15</f>
        <v>-635.72574999999995</v>
      </c>
      <c r="N6" s="14">
        <f t="shared" ref="N6:V6" si="2">M6*1.15</f>
        <v>-731.08461249999993</v>
      </c>
      <c r="O6" s="14">
        <f t="shared" si="2"/>
        <v>-840.74730437499989</v>
      </c>
      <c r="P6" s="14">
        <f t="shared" si="2"/>
        <v>-966.85940003124983</v>
      </c>
      <c r="Q6" s="14">
        <f t="shared" si="2"/>
        <v>-1111.8883100359371</v>
      </c>
      <c r="R6" s="14">
        <f t="shared" si="2"/>
        <v>-1278.6715565413276</v>
      </c>
      <c r="S6" s="14">
        <f t="shared" si="2"/>
        <v>-1470.4722900225267</v>
      </c>
      <c r="T6" s="14">
        <f t="shared" si="2"/>
        <v>-1691.0431335259057</v>
      </c>
      <c r="U6" s="14">
        <f t="shared" si="2"/>
        <v>-1944.6996035547913</v>
      </c>
      <c r="V6" s="14">
        <f t="shared" si="2"/>
        <v>-2236.40454408801</v>
      </c>
    </row>
    <row r="7" spans="1:184" x14ac:dyDescent="0.25">
      <c r="D7" s="14">
        <v>-60.5</v>
      </c>
      <c r="E7" s="14">
        <v>-69.885000000000005</v>
      </c>
      <c r="F7" s="14">
        <v>-88.679000000000002</v>
      </c>
      <c r="G7" s="14">
        <v>-114.756</v>
      </c>
      <c r="H7" s="14">
        <v>-130</v>
      </c>
      <c r="I7" s="14">
        <v>-153.19999999999999</v>
      </c>
      <c r="J7" s="14">
        <v>-169.6</v>
      </c>
      <c r="K7" s="14">
        <v>-205.2</v>
      </c>
      <c r="L7" s="15">
        <f t="shared" si="1"/>
        <v>-235.97999999999996</v>
      </c>
      <c r="M7" s="14">
        <f t="shared" si="1"/>
        <v>-271.37699999999995</v>
      </c>
      <c r="N7" s="14">
        <f t="shared" ref="N7:V7" si="3">M7*1.15</f>
        <v>-312.08354999999995</v>
      </c>
      <c r="O7" s="14">
        <f t="shared" si="3"/>
        <v>-358.89608249999992</v>
      </c>
      <c r="P7" s="14">
        <f t="shared" si="3"/>
        <v>-412.73049487499986</v>
      </c>
      <c r="Q7" s="14">
        <f t="shared" si="3"/>
        <v>-474.64006910624983</v>
      </c>
      <c r="R7" s="14">
        <f t="shared" si="3"/>
        <v>-545.83607947218729</v>
      </c>
      <c r="S7" s="14">
        <f t="shared" si="3"/>
        <v>-627.71149139301531</v>
      </c>
      <c r="T7" s="14">
        <f t="shared" si="3"/>
        <v>-721.86821510196751</v>
      </c>
      <c r="U7" s="14">
        <f t="shared" si="3"/>
        <v>-830.14844736726252</v>
      </c>
      <c r="V7" s="14">
        <f t="shared" si="3"/>
        <v>-954.67071447235185</v>
      </c>
    </row>
    <row r="8" spans="1:184" x14ac:dyDescent="0.25">
      <c r="D8" s="14">
        <v>-63.3</v>
      </c>
      <c r="E8" s="14">
        <v>-64.793000000000006</v>
      </c>
      <c r="F8" s="14">
        <v>-73.2</v>
      </c>
      <c r="G8" s="14">
        <v>-77.447000000000003</v>
      </c>
      <c r="H8" s="14">
        <v>-79</v>
      </c>
      <c r="I8" s="14">
        <v>-70.599999999999994</v>
      </c>
      <c r="J8" s="14">
        <v>-77.3</v>
      </c>
      <c r="K8" s="14">
        <v>-86</v>
      </c>
      <c r="L8" s="15">
        <f t="shared" si="1"/>
        <v>-98.899999999999991</v>
      </c>
      <c r="M8" s="14">
        <f t="shared" si="1"/>
        <v>-113.73499999999999</v>
      </c>
      <c r="N8" s="14">
        <f t="shared" ref="N8:V8" si="4">M8*1.15</f>
        <v>-130.79524999999998</v>
      </c>
      <c r="O8" s="14">
        <f t="shared" si="4"/>
        <v>-150.41453749999997</v>
      </c>
      <c r="P8" s="14">
        <f t="shared" si="4"/>
        <v>-172.97671812499993</v>
      </c>
      <c r="Q8" s="14">
        <f t="shared" si="4"/>
        <v>-198.92322584374992</v>
      </c>
      <c r="R8" s="14">
        <f t="shared" si="4"/>
        <v>-228.76170972031238</v>
      </c>
      <c r="S8" s="14">
        <f t="shared" si="4"/>
        <v>-263.07596617835924</v>
      </c>
      <c r="T8" s="14">
        <f t="shared" si="4"/>
        <v>-302.53736110511312</v>
      </c>
      <c r="U8" s="14">
        <f t="shared" si="4"/>
        <v>-347.91796527088007</v>
      </c>
      <c r="V8" s="14">
        <f t="shared" si="4"/>
        <v>-400.10566006151208</v>
      </c>
    </row>
    <row r="9" spans="1:184" x14ac:dyDescent="0.25">
      <c r="D9" s="14">
        <v>0</v>
      </c>
      <c r="E9" s="14">
        <v>0</v>
      </c>
      <c r="F9" s="14">
        <v>-1</v>
      </c>
      <c r="G9" s="14">
        <v>-1.7</v>
      </c>
      <c r="H9" s="14">
        <v>-1.7</v>
      </c>
      <c r="I9" s="14">
        <v>-1.5</v>
      </c>
      <c r="J9" s="14">
        <v>-1.6</v>
      </c>
      <c r="K9" s="14">
        <v>-1.7</v>
      </c>
      <c r="L9" s="15">
        <f t="shared" si="1"/>
        <v>-1.9549999999999998</v>
      </c>
      <c r="M9" s="14">
        <f t="shared" si="1"/>
        <v>-2.2482499999999996</v>
      </c>
      <c r="N9" s="14">
        <f t="shared" ref="N9:V9" si="5">M9*1.15</f>
        <v>-2.5854874999999993</v>
      </c>
      <c r="O9" s="14">
        <f t="shared" si="5"/>
        <v>-2.973310624999999</v>
      </c>
      <c r="P9" s="14">
        <f t="shared" si="5"/>
        <v>-3.4193072187499984</v>
      </c>
      <c r="Q9" s="14">
        <f t="shared" si="5"/>
        <v>-3.932203301562498</v>
      </c>
      <c r="R9" s="14">
        <f t="shared" si="5"/>
        <v>-4.5220337967968725</v>
      </c>
      <c r="S9" s="14">
        <f t="shared" si="5"/>
        <v>-5.200338866316403</v>
      </c>
      <c r="T9" s="14">
        <f t="shared" si="5"/>
        <v>-5.9803896962638632</v>
      </c>
      <c r="U9" s="14">
        <f t="shared" si="5"/>
        <v>-6.877448150703442</v>
      </c>
      <c r="V9" s="14">
        <f t="shared" si="5"/>
        <v>-7.909065373308958</v>
      </c>
    </row>
    <row r="10" spans="1:184" x14ac:dyDescent="0.25">
      <c r="D10" s="14">
        <f t="shared" ref="D10:K10" si="6">SUM(D6:D9)</f>
        <v>-305.27999999999997</v>
      </c>
      <c r="E10" s="14">
        <f t="shared" si="6"/>
        <v>-301.43</v>
      </c>
      <c r="F10" s="14">
        <f t="shared" si="6"/>
        <v>-351.87899999999996</v>
      </c>
      <c r="G10" s="14">
        <f t="shared" si="6"/>
        <v>-439.21099999999996</v>
      </c>
      <c r="H10" s="14">
        <f t="shared" si="6"/>
        <v>-510.59999999999997</v>
      </c>
      <c r="I10" s="14">
        <f t="shared" si="6"/>
        <v>-524.29999999999995</v>
      </c>
      <c r="J10" s="14">
        <f t="shared" si="6"/>
        <v>-572.19999999999993</v>
      </c>
      <c r="K10" s="14">
        <f t="shared" si="6"/>
        <v>-773.6</v>
      </c>
      <c r="L10" s="15">
        <f t="shared" ref="L10:V10" si="7">SUM(L6:L9)</f>
        <v>-889.63999999999987</v>
      </c>
      <c r="M10" s="14">
        <f t="shared" si="7"/>
        <v>-1023.0859999999999</v>
      </c>
      <c r="N10" s="14">
        <f t="shared" si="7"/>
        <v>-1176.5488999999998</v>
      </c>
      <c r="O10" s="14">
        <f t="shared" si="7"/>
        <v>-1353.0312349999999</v>
      </c>
      <c r="P10" s="14">
        <f t="shared" si="7"/>
        <v>-1555.9859202499997</v>
      </c>
      <c r="Q10" s="14">
        <f t="shared" si="7"/>
        <v>-1789.3838082874995</v>
      </c>
      <c r="R10" s="14">
        <f t="shared" si="7"/>
        <v>-2057.791379530624</v>
      </c>
      <c r="S10" s="14">
        <f t="shared" si="7"/>
        <v>-2366.4600864602176</v>
      </c>
      <c r="T10" s="14">
        <f t="shared" si="7"/>
        <v>-2721.4290994292501</v>
      </c>
      <c r="U10" s="14">
        <f t="shared" si="7"/>
        <v>-3129.6434643436373</v>
      </c>
      <c r="V10" s="14">
        <f t="shared" si="7"/>
        <v>-3599.0899839951826</v>
      </c>
    </row>
    <row r="11" spans="1:184" x14ac:dyDescent="0.25">
      <c r="D11" s="12">
        <f t="shared" ref="D11:K11" si="8">D4+D10+D5</f>
        <v>13.19500000000005</v>
      </c>
      <c r="E11" s="12">
        <f t="shared" si="8"/>
        <v>72.569999999999993</v>
      </c>
      <c r="F11" s="12">
        <f t="shared" si="8"/>
        <v>98.790000000000063</v>
      </c>
      <c r="G11" s="12">
        <f t="shared" si="8"/>
        <v>110.53500000000005</v>
      </c>
      <c r="H11" s="12">
        <f t="shared" si="8"/>
        <v>223.9</v>
      </c>
      <c r="I11" s="12">
        <f t="shared" si="8"/>
        <v>377.5</v>
      </c>
      <c r="J11" s="12">
        <f t="shared" si="8"/>
        <v>447.80000000000007</v>
      </c>
      <c r="K11" s="12">
        <f t="shared" si="8"/>
        <v>633.80000000000007</v>
      </c>
      <c r="L11" s="13">
        <f t="shared" ref="L11:V11" si="9">L4+L10+L5</f>
        <v>730.53200000000015</v>
      </c>
      <c r="M11" s="12">
        <f t="shared" si="9"/>
        <v>840.11180000000002</v>
      </c>
      <c r="N11" s="12">
        <f t="shared" si="9"/>
        <v>966.12856999999985</v>
      </c>
      <c r="O11" s="12">
        <f t="shared" si="9"/>
        <v>1111.0478554999995</v>
      </c>
      <c r="P11" s="12">
        <f t="shared" si="9"/>
        <v>1277.7050338249996</v>
      </c>
      <c r="Q11" s="12">
        <f t="shared" si="9"/>
        <v>1469.3607888987494</v>
      </c>
      <c r="R11" s="12">
        <f t="shared" si="9"/>
        <v>1689.7649072335621</v>
      </c>
      <c r="S11" s="12">
        <f t="shared" si="9"/>
        <v>1943.2296433185961</v>
      </c>
      <c r="T11" s="12">
        <f t="shared" si="9"/>
        <v>2234.7140898163857</v>
      </c>
      <c r="U11" s="12">
        <f t="shared" si="9"/>
        <v>2569.9212032888431</v>
      </c>
      <c r="V11" s="12">
        <f t="shared" si="9"/>
        <v>2955.4093837821692</v>
      </c>
    </row>
    <row r="12" spans="1:184" x14ac:dyDescent="0.25">
      <c r="D12" s="14">
        <v>-36.130000000000003</v>
      </c>
      <c r="E12" s="14">
        <v>-25.587</v>
      </c>
      <c r="F12" s="14">
        <v>-15</v>
      </c>
      <c r="G12" s="14">
        <v>-23.722999999999999</v>
      </c>
      <c r="H12" s="14">
        <v>-25.8</v>
      </c>
      <c r="I12" s="14">
        <v>-6.8</v>
      </c>
      <c r="J12" s="14">
        <v>-20.8</v>
      </c>
      <c r="K12" s="14">
        <v>-26.7</v>
      </c>
      <c r="L12" s="15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</row>
    <row r="13" spans="1:184" x14ac:dyDescent="0.25">
      <c r="D13" s="14">
        <f t="shared" ref="D13:K13" si="10">SUM(D11:D12)</f>
        <v>-22.934999999999953</v>
      </c>
      <c r="E13" s="14">
        <f t="shared" si="10"/>
        <v>46.98299999999999</v>
      </c>
      <c r="F13" s="14">
        <f t="shared" si="10"/>
        <v>83.790000000000063</v>
      </c>
      <c r="G13" s="14">
        <f t="shared" si="10"/>
        <v>86.812000000000054</v>
      </c>
      <c r="H13" s="14">
        <f t="shared" si="10"/>
        <v>198.1</v>
      </c>
      <c r="I13" s="14">
        <f t="shared" si="10"/>
        <v>370.7</v>
      </c>
      <c r="J13" s="14">
        <f t="shared" si="10"/>
        <v>427.00000000000006</v>
      </c>
      <c r="K13" s="14">
        <f t="shared" si="10"/>
        <v>607.1</v>
      </c>
      <c r="L13" s="15">
        <f t="shared" ref="L13:V13" si="11">SUM(L11:L12)</f>
        <v>730.53200000000015</v>
      </c>
      <c r="M13" s="14">
        <f t="shared" si="11"/>
        <v>840.11180000000002</v>
      </c>
      <c r="N13" s="14">
        <f t="shared" si="11"/>
        <v>966.12856999999985</v>
      </c>
      <c r="O13" s="14">
        <f t="shared" si="11"/>
        <v>1111.0478554999995</v>
      </c>
      <c r="P13" s="14">
        <f t="shared" si="11"/>
        <v>1277.7050338249996</v>
      </c>
      <c r="Q13" s="14">
        <f t="shared" si="11"/>
        <v>1469.3607888987494</v>
      </c>
      <c r="R13" s="14">
        <f t="shared" si="11"/>
        <v>1689.7649072335621</v>
      </c>
      <c r="S13" s="14">
        <f t="shared" si="11"/>
        <v>1943.2296433185961</v>
      </c>
      <c r="T13" s="14">
        <f t="shared" si="11"/>
        <v>2234.7140898163857</v>
      </c>
      <c r="U13" s="14">
        <f t="shared" si="11"/>
        <v>2569.9212032888431</v>
      </c>
      <c r="V13" s="14">
        <f t="shared" si="11"/>
        <v>2955.4093837821692</v>
      </c>
    </row>
    <row r="14" spans="1:184" x14ac:dyDescent="0.25">
      <c r="D14" s="14">
        <v>-2.2000000000000002</v>
      </c>
      <c r="E14" s="14">
        <v>5.5</v>
      </c>
      <c r="F14" s="14">
        <v>-18</v>
      </c>
      <c r="G14" s="14">
        <v>-19</v>
      </c>
      <c r="H14" s="14">
        <v>-41.6</v>
      </c>
      <c r="I14" s="14">
        <v>-76.900000000000006</v>
      </c>
      <c r="J14" s="14">
        <v>-88.7</v>
      </c>
      <c r="K14" s="14">
        <v>-125.7</v>
      </c>
      <c r="L14" s="15">
        <f>L13*-0.2</f>
        <v>-146.10640000000004</v>
      </c>
      <c r="M14" s="14">
        <f t="shared" ref="M14:V14" si="12">M13*-0.2</f>
        <v>-168.02236000000002</v>
      </c>
      <c r="N14" s="14">
        <f t="shared" si="12"/>
        <v>-193.22571399999998</v>
      </c>
      <c r="O14" s="14">
        <f t="shared" si="12"/>
        <v>-222.20957109999992</v>
      </c>
      <c r="P14" s="14">
        <f t="shared" si="12"/>
        <v>-255.54100676499993</v>
      </c>
      <c r="Q14" s="14">
        <f t="shared" si="12"/>
        <v>-293.8721577797499</v>
      </c>
      <c r="R14" s="14">
        <f t="shared" si="12"/>
        <v>-337.95298144671244</v>
      </c>
      <c r="S14" s="14">
        <f t="shared" si="12"/>
        <v>-388.64592866371925</v>
      </c>
      <c r="T14" s="14">
        <f t="shared" si="12"/>
        <v>-446.94281796327715</v>
      </c>
      <c r="U14" s="14">
        <f t="shared" si="12"/>
        <v>-513.98424065776862</v>
      </c>
      <c r="V14" s="14">
        <f t="shared" si="12"/>
        <v>-591.08187675643387</v>
      </c>
    </row>
    <row r="15" spans="1:184" x14ac:dyDescent="0.25">
      <c r="D15" s="12">
        <f t="shared" ref="D15:K15" si="13">SUM(D13:D14)</f>
        <v>-25.134999999999952</v>
      </c>
      <c r="E15" s="12">
        <f t="shared" si="13"/>
        <v>52.48299999999999</v>
      </c>
      <c r="F15" s="12">
        <f t="shared" si="13"/>
        <v>65.790000000000063</v>
      </c>
      <c r="G15" s="12">
        <f t="shared" si="13"/>
        <v>67.812000000000054</v>
      </c>
      <c r="H15" s="12">
        <f t="shared" si="13"/>
        <v>156.5</v>
      </c>
      <c r="I15" s="12">
        <f t="shared" si="13"/>
        <v>293.79999999999995</v>
      </c>
      <c r="J15" s="12">
        <f t="shared" si="13"/>
        <v>338.30000000000007</v>
      </c>
      <c r="K15" s="12">
        <f t="shared" si="13"/>
        <v>481.40000000000003</v>
      </c>
      <c r="L15" s="13">
        <f t="shared" ref="L15:V15" si="14">SUM(L13:L14)</f>
        <v>584.42560000000014</v>
      </c>
      <c r="M15" s="12">
        <f t="shared" si="14"/>
        <v>672.08943999999997</v>
      </c>
      <c r="N15" s="12">
        <f t="shared" si="14"/>
        <v>772.90285599999993</v>
      </c>
      <c r="O15" s="12">
        <f t="shared" si="14"/>
        <v>888.83828439999957</v>
      </c>
      <c r="P15" s="12">
        <f t="shared" si="14"/>
        <v>1022.1640270599997</v>
      </c>
      <c r="Q15" s="12">
        <f t="shared" si="14"/>
        <v>1175.4886311189996</v>
      </c>
      <c r="R15" s="12">
        <f t="shared" si="14"/>
        <v>1351.8119257868498</v>
      </c>
      <c r="S15" s="12">
        <f t="shared" si="14"/>
        <v>1554.583714654877</v>
      </c>
      <c r="T15" s="12">
        <f t="shared" si="14"/>
        <v>1787.7712718531086</v>
      </c>
      <c r="U15" s="12">
        <f t="shared" si="14"/>
        <v>2055.9369626310745</v>
      </c>
      <c r="V15" s="12">
        <f t="shared" si="14"/>
        <v>2364.3275070257355</v>
      </c>
      <c r="W15" s="12">
        <f>V15*(1+$Y$19)</f>
        <v>2340.684231955478</v>
      </c>
      <c r="X15" s="12">
        <f t="shared" ref="X15:CI15" si="15">W15*(1+$Y$19)</f>
        <v>2317.2773896359231</v>
      </c>
      <c r="Y15" s="12">
        <f t="shared" si="15"/>
        <v>2294.104615739564</v>
      </c>
      <c r="Z15" s="12">
        <f t="shared" si="15"/>
        <v>2271.1635695821683</v>
      </c>
      <c r="AA15" s="12">
        <f t="shared" si="15"/>
        <v>2248.4519338863465</v>
      </c>
      <c r="AB15" s="12">
        <f t="shared" si="15"/>
        <v>2225.9674145474833</v>
      </c>
      <c r="AC15" s="12">
        <f t="shared" si="15"/>
        <v>2203.7077404020083</v>
      </c>
      <c r="AD15" s="12">
        <f t="shared" si="15"/>
        <v>2181.6706629979881</v>
      </c>
      <c r="AE15" s="12">
        <f t="shared" si="15"/>
        <v>2159.8539563680083</v>
      </c>
      <c r="AF15" s="12">
        <f t="shared" si="15"/>
        <v>2138.2554168043284</v>
      </c>
      <c r="AG15" s="12">
        <f t="shared" si="15"/>
        <v>2116.8728626362849</v>
      </c>
      <c r="AH15" s="12">
        <f t="shared" si="15"/>
        <v>2095.7041340099222</v>
      </c>
      <c r="AI15" s="12">
        <f t="shared" si="15"/>
        <v>2074.7470926698229</v>
      </c>
      <c r="AJ15" s="12">
        <f t="shared" si="15"/>
        <v>2053.9996217431249</v>
      </c>
      <c r="AK15" s="12">
        <f t="shared" si="15"/>
        <v>2033.4596255256936</v>
      </c>
      <c r="AL15" s="12">
        <f t="shared" si="15"/>
        <v>2013.1250292704367</v>
      </c>
      <c r="AM15" s="12">
        <f t="shared" si="15"/>
        <v>1992.9937789777323</v>
      </c>
      <c r="AN15" s="12">
        <f t="shared" si="15"/>
        <v>1973.0638411879549</v>
      </c>
      <c r="AO15" s="12">
        <f t="shared" si="15"/>
        <v>1953.3332027760755</v>
      </c>
      <c r="AP15" s="12">
        <f t="shared" si="15"/>
        <v>1933.7998707483148</v>
      </c>
      <c r="AQ15" s="12">
        <f t="shared" si="15"/>
        <v>1914.4618720408316</v>
      </c>
      <c r="AR15" s="12">
        <f t="shared" si="15"/>
        <v>1895.3172533204233</v>
      </c>
      <c r="AS15" s="12">
        <f t="shared" si="15"/>
        <v>1876.3640807872191</v>
      </c>
      <c r="AT15" s="12">
        <f t="shared" si="15"/>
        <v>1857.6004399793469</v>
      </c>
      <c r="AU15" s="12">
        <f t="shared" si="15"/>
        <v>1839.0244355795535</v>
      </c>
      <c r="AV15" s="12">
        <f t="shared" si="15"/>
        <v>1820.6341912237579</v>
      </c>
      <c r="AW15" s="12">
        <f t="shared" si="15"/>
        <v>1802.4278493115203</v>
      </c>
      <c r="AX15" s="12">
        <f t="shared" si="15"/>
        <v>1784.4035708184051</v>
      </c>
      <c r="AY15" s="12">
        <f t="shared" si="15"/>
        <v>1766.5595351102211</v>
      </c>
      <c r="AZ15" s="12">
        <f t="shared" si="15"/>
        <v>1748.8939397591189</v>
      </c>
      <c r="BA15" s="12">
        <f t="shared" si="15"/>
        <v>1731.4050003615278</v>
      </c>
      <c r="BB15" s="12">
        <f t="shared" si="15"/>
        <v>1714.0909503579126</v>
      </c>
      <c r="BC15" s="12">
        <f t="shared" si="15"/>
        <v>1696.9500408543333</v>
      </c>
      <c r="BD15" s="12">
        <f t="shared" si="15"/>
        <v>1679.98054044579</v>
      </c>
      <c r="BE15" s="12">
        <f t="shared" si="15"/>
        <v>1663.1807350413321</v>
      </c>
      <c r="BF15" s="12">
        <f t="shared" si="15"/>
        <v>1646.5489276909188</v>
      </c>
      <c r="BG15" s="12">
        <f t="shared" si="15"/>
        <v>1630.0834384140096</v>
      </c>
      <c r="BH15" s="12">
        <f t="shared" si="15"/>
        <v>1613.7826040298694</v>
      </c>
      <c r="BI15" s="12">
        <f t="shared" si="15"/>
        <v>1597.6447779895707</v>
      </c>
      <c r="BJ15" s="12">
        <f t="shared" si="15"/>
        <v>1581.6683302096749</v>
      </c>
      <c r="BK15" s="12">
        <f t="shared" si="15"/>
        <v>1565.851646907578</v>
      </c>
      <c r="BL15" s="12">
        <f t="shared" si="15"/>
        <v>1550.1931304385023</v>
      </c>
      <c r="BM15" s="12">
        <f t="shared" si="15"/>
        <v>1534.6911991341174</v>
      </c>
      <c r="BN15" s="12">
        <f t="shared" si="15"/>
        <v>1519.3442871427762</v>
      </c>
      <c r="BO15" s="12">
        <f t="shared" si="15"/>
        <v>1504.1508442713484</v>
      </c>
      <c r="BP15" s="12">
        <f t="shared" si="15"/>
        <v>1489.109335828635</v>
      </c>
      <c r="BQ15" s="12">
        <f t="shared" si="15"/>
        <v>1474.2182424703487</v>
      </c>
      <c r="BR15" s="12">
        <f t="shared" si="15"/>
        <v>1459.4760600456452</v>
      </c>
      <c r="BS15" s="12">
        <f t="shared" si="15"/>
        <v>1444.8812994451887</v>
      </c>
      <c r="BT15" s="12">
        <f t="shared" si="15"/>
        <v>1430.4324864507369</v>
      </c>
      <c r="BU15" s="12">
        <f t="shared" si="15"/>
        <v>1416.1281615862295</v>
      </c>
      <c r="BV15" s="12">
        <f t="shared" si="15"/>
        <v>1401.9668799703672</v>
      </c>
      <c r="BW15" s="12">
        <f t="shared" si="15"/>
        <v>1387.9472111706636</v>
      </c>
      <c r="BX15" s="12">
        <f t="shared" si="15"/>
        <v>1374.0677390589569</v>
      </c>
      <c r="BY15" s="12">
        <f t="shared" si="15"/>
        <v>1360.3270616683674</v>
      </c>
      <c r="BZ15" s="12">
        <f t="shared" si="15"/>
        <v>1346.7237910516837</v>
      </c>
      <c r="CA15" s="12">
        <f t="shared" si="15"/>
        <v>1333.2565531411669</v>
      </c>
      <c r="CB15" s="12">
        <f t="shared" si="15"/>
        <v>1319.9239876097552</v>
      </c>
      <c r="CC15" s="12">
        <f t="shared" si="15"/>
        <v>1306.7247477336575</v>
      </c>
      <c r="CD15" s="12">
        <f t="shared" si="15"/>
        <v>1293.6575002563209</v>
      </c>
      <c r="CE15" s="12">
        <f t="shared" si="15"/>
        <v>1280.7209252537577</v>
      </c>
      <c r="CF15" s="12">
        <f t="shared" si="15"/>
        <v>1267.9137160012201</v>
      </c>
      <c r="CG15" s="12">
        <f t="shared" si="15"/>
        <v>1255.2345788412078</v>
      </c>
      <c r="CH15" s="12">
        <f t="shared" si="15"/>
        <v>1242.6822330527957</v>
      </c>
      <c r="CI15" s="12">
        <f t="shared" si="15"/>
        <v>1230.2554107222677</v>
      </c>
      <c r="CJ15" s="12">
        <f t="shared" ref="CJ15:EU15" si="16">CI15*(1+$Y$19)</f>
        <v>1217.952856615045</v>
      </c>
      <c r="CK15" s="12">
        <f t="shared" si="16"/>
        <v>1205.7733280488944</v>
      </c>
      <c r="CL15" s="12">
        <f t="shared" si="16"/>
        <v>1193.7155947684055</v>
      </c>
      <c r="CM15" s="12">
        <f t="shared" si="16"/>
        <v>1181.7784388207215</v>
      </c>
      <c r="CN15" s="12">
        <f t="shared" si="16"/>
        <v>1169.9606544325143</v>
      </c>
      <c r="CO15" s="12">
        <f t="shared" si="16"/>
        <v>1158.2610478881891</v>
      </c>
      <c r="CP15" s="12">
        <f t="shared" si="16"/>
        <v>1146.6784374093072</v>
      </c>
      <c r="CQ15" s="12">
        <f t="shared" si="16"/>
        <v>1135.2116530352141</v>
      </c>
      <c r="CR15" s="12">
        <f t="shared" si="16"/>
        <v>1123.859536504862</v>
      </c>
      <c r="CS15" s="12">
        <f t="shared" si="16"/>
        <v>1112.6209411398133</v>
      </c>
      <c r="CT15" s="12">
        <f t="shared" si="16"/>
        <v>1101.4947317284152</v>
      </c>
      <c r="CU15" s="12">
        <f t="shared" si="16"/>
        <v>1090.479784411131</v>
      </c>
      <c r="CV15" s="12">
        <f t="shared" si="16"/>
        <v>1079.5749865670198</v>
      </c>
      <c r="CW15" s="12">
        <f t="shared" si="16"/>
        <v>1068.7792367013496</v>
      </c>
      <c r="CX15" s="12">
        <f t="shared" si="16"/>
        <v>1058.0914443343361</v>
      </c>
      <c r="CY15" s="12">
        <f t="shared" si="16"/>
        <v>1047.5105298909928</v>
      </c>
      <c r="CZ15" s="12">
        <f t="shared" si="16"/>
        <v>1037.0354245920828</v>
      </c>
      <c r="DA15" s="12">
        <f t="shared" si="16"/>
        <v>1026.6650703461619</v>
      </c>
      <c r="DB15" s="12">
        <f t="shared" si="16"/>
        <v>1016.3984196427002</v>
      </c>
      <c r="DC15" s="12">
        <f t="shared" si="16"/>
        <v>1006.2344354462732</v>
      </c>
      <c r="DD15" s="12">
        <f t="shared" si="16"/>
        <v>996.17209109181044</v>
      </c>
      <c r="DE15" s="12">
        <f t="shared" si="16"/>
        <v>986.21037018089237</v>
      </c>
      <c r="DF15" s="12">
        <f t="shared" si="16"/>
        <v>976.34826647908346</v>
      </c>
      <c r="DG15" s="12">
        <f t="shared" si="16"/>
        <v>966.58478381429256</v>
      </c>
      <c r="DH15" s="12">
        <f t="shared" si="16"/>
        <v>956.91893597614967</v>
      </c>
      <c r="DI15" s="12">
        <f t="shared" si="16"/>
        <v>947.34974661638819</v>
      </c>
      <c r="DJ15" s="12">
        <f t="shared" si="16"/>
        <v>937.87624915022434</v>
      </c>
      <c r="DK15" s="12">
        <f t="shared" si="16"/>
        <v>928.4974866587221</v>
      </c>
      <c r="DL15" s="12">
        <f t="shared" si="16"/>
        <v>919.21251179213482</v>
      </c>
      <c r="DM15" s="12">
        <f t="shared" si="16"/>
        <v>910.02038667421346</v>
      </c>
      <c r="DN15" s="12">
        <f t="shared" si="16"/>
        <v>900.92018280747129</v>
      </c>
      <c r="DO15" s="12">
        <f t="shared" si="16"/>
        <v>891.91098097939653</v>
      </c>
      <c r="DP15" s="12">
        <f t="shared" si="16"/>
        <v>882.99187116960252</v>
      </c>
      <c r="DQ15" s="12">
        <f t="shared" si="16"/>
        <v>874.16195245790652</v>
      </c>
      <c r="DR15" s="12">
        <f t="shared" si="16"/>
        <v>865.42033293332747</v>
      </c>
      <c r="DS15" s="12">
        <f t="shared" si="16"/>
        <v>856.76612960399416</v>
      </c>
      <c r="DT15" s="12">
        <f t="shared" si="16"/>
        <v>848.19846830795416</v>
      </c>
      <c r="DU15" s="12">
        <f t="shared" si="16"/>
        <v>839.71648362487463</v>
      </c>
      <c r="DV15" s="12">
        <f t="shared" si="16"/>
        <v>831.31931878862588</v>
      </c>
      <c r="DW15" s="12">
        <f t="shared" si="16"/>
        <v>823.00612560073967</v>
      </c>
      <c r="DX15" s="12">
        <f t="shared" si="16"/>
        <v>814.77606434473228</v>
      </c>
      <c r="DY15" s="12">
        <f t="shared" si="16"/>
        <v>806.62830370128495</v>
      </c>
      <c r="DZ15" s="12">
        <f t="shared" si="16"/>
        <v>798.56202066427204</v>
      </c>
      <c r="EA15" s="12">
        <f t="shared" si="16"/>
        <v>790.57640045762935</v>
      </c>
      <c r="EB15" s="12">
        <f t="shared" si="16"/>
        <v>782.67063645305302</v>
      </c>
      <c r="EC15" s="12">
        <f t="shared" si="16"/>
        <v>774.84393008852248</v>
      </c>
      <c r="ED15" s="12">
        <f t="shared" si="16"/>
        <v>767.09549078763723</v>
      </c>
      <c r="EE15" s="12">
        <f t="shared" si="16"/>
        <v>759.42453587976081</v>
      </c>
      <c r="EF15" s="12">
        <f t="shared" si="16"/>
        <v>751.83029052096322</v>
      </c>
      <c r="EG15" s="12">
        <f t="shared" si="16"/>
        <v>744.31198761575354</v>
      </c>
      <c r="EH15" s="12">
        <f t="shared" si="16"/>
        <v>736.868867739596</v>
      </c>
      <c r="EI15" s="12">
        <f t="shared" si="16"/>
        <v>729.5001790622</v>
      </c>
      <c r="EJ15" s="12">
        <f t="shared" si="16"/>
        <v>722.20517727157801</v>
      </c>
      <c r="EK15" s="12">
        <f t="shared" si="16"/>
        <v>714.98312549886225</v>
      </c>
      <c r="EL15" s="12">
        <f t="shared" si="16"/>
        <v>707.83329424387364</v>
      </c>
      <c r="EM15" s="12">
        <f t="shared" si="16"/>
        <v>700.75496130143495</v>
      </c>
      <c r="EN15" s="12">
        <f t="shared" si="16"/>
        <v>693.74741168842058</v>
      </c>
      <c r="EO15" s="12">
        <f t="shared" si="16"/>
        <v>686.80993757153635</v>
      </c>
      <c r="EP15" s="12">
        <f t="shared" si="16"/>
        <v>679.94183819582099</v>
      </c>
      <c r="EQ15" s="12">
        <f t="shared" si="16"/>
        <v>673.14241981386283</v>
      </c>
      <c r="ER15" s="12">
        <f t="shared" si="16"/>
        <v>666.41099561572423</v>
      </c>
      <c r="ES15" s="12">
        <f t="shared" si="16"/>
        <v>659.74688565956694</v>
      </c>
      <c r="ET15" s="12">
        <f t="shared" si="16"/>
        <v>653.14941680297125</v>
      </c>
      <c r="EU15" s="12">
        <f t="shared" si="16"/>
        <v>646.61792263494158</v>
      </c>
      <c r="EV15" s="12">
        <f t="shared" ref="EV15:GB15" si="17">EU15*(1+$Y$19)</f>
        <v>640.15174340859221</v>
      </c>
      <c r="EW15" s="12">
        <f t="shared" si="17"/>
        <v>633.75022597450629</v>
      </c>
      <c r="EX15" s="12">
        <f t="shared" si="17"/>
        <v>627.41272371476123</v>
      </c>
      <c r="EY15" s="12">
        <f t="shared" si="17"/>
        <v>621.13859647761365</v>
      </c>
      <c r="EZ15" s="12">
        <f t="shared" si="17"/>
        <v>614.92721051283752</v>
      </c>
      <c r="FA15" s="12">
        <f t="shared" si="17"/>
        <v>608.77793840770914</v>
      </c>
      <c r="FB15" s="12">
        <f t="shared" si="17"/>
        <v>602.69015902363208</v>
      </c>
      <c r="FC15" s="12">
        <f t="shared" si="17"/>
        <v>596.66325743339576</v>
      </c>
      <c r="FD15" s="12">
        <f t="shared" si="17"/>
        <v>590.69662485906179</v>
      </c>
      <c r="FE15" s="12">
        <f t="shared" si="17"/>
        <v>584.78965861047118</v>
      </c>
      <c r="FF15" s="12">
        <f t="shared" si="17"/>
        <v>578.94176202436643</v>
      </c>
      <c r="FG15" s="12">
        <f t="shared" si="17"/>
        <v>573.1523444041228</v>
      </c>
      <c r="FH15" s="12">
        <f t="shared" si="17"/>
        <v>567.42082096008153</v>
      </c>
      <c r="FI15" s="12">
        <f t="shared" si="17"/>
        <v>561.74661275048072</v>
      </c>
      <c r="FJ15" s="12">
        <f t="shared" si="17"/>
        <v>556.1291466229759</v>
      </c>
      <c r="FK15" s="12">
        <f t="shared" si="17"/>
        <v>550.56785515674608</v>
      </c>
      <c r="FL15" s="12">
        <f t="shared" si="17"/>
        <v>545.06217660517859</v>
      </c>
      <c r="FM15" s="12">
        <f t="shared" si="17"/>
        <v>539.61155483912682</v>
      </c>
      <c r="FN15" s="12">
        <f t="shared" si="17"/>
        <v>534.2154392907355</v>
      </c>
      <c r="FO15" s="12">
        <f t="shared" si="17"/>
        <v>528.87328489782817</v>
      </c>
      <c r="FP15" s="12">
        <f t="shared" si="17"/>
        <v>523.5845520488499</v>
      </c>
      <c r="FQ15" s="12">
        <f t="shared" si="17"/>
        <v>518.34870652836139</v>
      </c>
      <c r="FR15" s="12">
        <f t="shared" si="17"/>
        <v>513.16521946307773</v>
      </c>
      <c r="FS15" s="12">
        <f t="shared" si="17"/>
        <v>508.03356726844697</v>
      </c>
      <c r="FT15" s="12">
        <f t="shared" si="17"/>
        <v>502.95323159576247</v>
      </c>
      <c r="FU15" s="12">
        <f t="shared" si="17"/>
        <v>497.92369927980485</v>
      </c>
      <c r="FV15" s="12">
        <f t="shared" si="17"/>
        <v>492.94446228700679</v>
      </c>
      <c r="FW15" s="12">
        <f t="shared" si="17"/>
        <v>488.01501766413674</v>
      </c>
      <c r="FX15" s="12">
        <f t="shared" si="17"/>
        <v>483.13486748749534</v>
      </c>
      <c r="FY15" s="12">
        <f t="shared" si="17"/>
        <v>478.30351881262038</v>
      </c>
      <c r="FZ15" s="12">
        <f t="shared" si="17"/>
        <v>473.52048362449415</v>
      </c>
      <c r="GA15" s="12">
        <f t="shared" si="17"/>
        <v>468.78527878824923</v>
      </c>
      <c r="GB15" s="12">
        <f t="shared" si="17"/>
        <v>464.09742600036674</v>
      </c>
    </row>
    <row r="16" spans="1:184" x14ac:dyDescent="0.25">
      <c r="D16" s="24">
        <v>100.719421</v>
      </c>
      <c r="E16" s="24">
        <v>100.719421</v>
      </c>
      <c r="F16" s="24">
        <v>100.719421</v>
      </c>
      <c r="G16" s="24">
        <v>100.719421</v>
      </c>
      <c r="H16" s="24">
        <v>100.999394</v>
      </c>
      <c r="I16" s="24">
        <v>100.34598200000001</v>
      </c>
      <c r="J16" s="24">
        <v>97.638240999999994</v>
      </c>
      <c r="K16" s="24">
        <v>96.146298000000002</v>
      </c>
      <c r="L16" s="5">
        <v>96.146298000000002</v>
      </c>
      <c r="M16" s="24">
        <v>96.146298000000002</v>
      </c>
      <c r="N16" s="24">
        <v>96.146298000000002</v>
      </c>
      <c r="O16" s="24">
        <v>96.146298000000002</v>
      </c>
      <c r="P16" s="24">
        <v>96.146298000000002</v>
      </c>
      <c r="Q16" s="24">
        <v>96.146298000000002</v>
      </c>
      <c r="R16" s="24">
        <v>96.146298000000002</v>
      </c>
      <c r="S16" s="24">
        <v>96.146298000000002</v>
      </c>
      <c r="T16" s="24">
        <v>96.146298000000002</v>
      </c>
      <c r="U16" s="24">
        <v>96.146298000000002</v>
      </c>
      <c r="V16" s="24">
        <v>96.146298000000002</v>
      </c>
    </row>
    <row r="17" spans="4:25" x14ac:dyDescent="0.25">
      <c r="D17" s="25">
        <f t="shared" ref="D17:I17" si="18">D15/D16</f>
        <v>-0.24955465143112721</v>
      </c>
      <c r="E17" s="25">
        <f t="shared" si="18"/>
        <v>0.52108123218857649</v>
      </c>
      <c r="F17" s="25">
        <f t="shared" si="18"/>
        <v>0.65320073672782597</v>
      </c>
      <c r="G17" s="25">
        <f t="shared" si="18"/>
        <v>0.67327630884613665</v>
      </c>
      <c r="H17" s="25">
        <f t="shared" si="18"/>
        <v>1.549514247580535</v>
      </c>
      <c r="I17" s="25">
        <f t="shared" si="18"/>
        <v>2.9278700964827862</v>
      </c>
      <c r="J17" s="25">
        <f>J15/J16</f>
        <v>3.4648309569608089</v>
      </c>
      <c r="K17" s="25">
        <f>K15/K16</f>
        <v>5.0069530498199732</v>
      </c>
      <c r="L17" s="20">
        <f t="shared" ref="L17:V17" si="19">L15/L16</f>
        <v>6.0785034073802837</v>
      </c>
      <c r="M17" s="25">
        <f t="shared" si="19"/>
        <v>6.9902789184873235</v>
      </c>
      <c r="N17" s="25">
        <f t="shared" si="19"/>
        <v>8.0388207562604226</v>
      </c>
      <c r="O17" s="25">
        <f t="shared" si="19"/>
        <v>9.2446438696994822</v>
      </c>
      <c r="P17" s="25">
        <f t="shared" si="19"/>
        <v>10.631340450154406</v>
      </c>
      <c r="Q17" s="25">
        <f t="shared" si="19"/>
        <v>12.226041517677567</v>
      </c>
      <c r="R17" s="25">
        <f t="shared" si="19"/>
        <v>14.059947745329204</v>
      </c>
      <c r="S17" s="25">
        <f t="shared" si="19"/>
        <v>16.168939907128582</v>
      </c>
      <c r="T17" s="25">
        <f t="shared" si="19"/>
        <v>18.594280893197869</v>
      </c>
      <c r="U17" s="25">
        <f t="shared" si="19"/>
        <v>21.383423027177546</v>
      </c>
      <c r="V17" s="25">
        <f t="shared" si="19"/>
        <v>24.590936481254175</v>
      </c>
    </row>
    <row r="18" spans="4:25" x14ac:dyDescent="0.25">
      <c r="D18" s="14"/>
      <c r="E18" s="14"/>
      <c r="F18" s="14"/>
      <c r="G18" s="14"/>
      <c r="H18" s="14"/>
      <c r="I18" s="14"/>
      <c r="J18" s="14"/>
      <c r="K18" s="14"/>
      <c r="L18" s="8"/>
      <c r="M18" s="9"/>
      <c r="N18" s="9"/>
      <c r="O18" s="9"/>
      <c r="P18" s="9"/>
      <c r="Q18" s="9"/>
      <c r="R18" s="9"/>
      <c r="S18" s="9"/>
      <c r="T18" s="9"/>
      <c r="U18" s="9"/>
      <c r="V18" s="9"/>
      <c r="X18" s="2" t="s">
        <v>105</v>
      </c>
      <c r="Y18" s="32">
        <v>0.08</v>
      </c>
    </row>
    <row r="19" spans="4:25" x14ac:dyDescent="0.25">
      <c r="D19" s="26" t="e">
        <f t="shared" ref="D19:J19" si="20">(D4-C4)/C4</f>
        <v>#DIV/0!</v>
      </c>
      <c r="E19" s="26">
        <f t="shared" si="20"/>
        <v>0.17434649501530725</v>
      </c>
      <c r="F19" s="26">
        <f t="shared" si="20"/>
        <v>0.19350000000000009</v>
      </c>
      <c r="G19" s="26">
        <f t="shared" si="20"/>
        <v>0.22285821820063662</v>
      </c>
      <c r="H19" s="26">
        <f t="shared" si="20"/>
        <v>0.33719034306379447</v>
      </c>
      <c r="I19" s="26">
        <f t="shared" si="20"/>
        <v>0.22181120701465951</v>
      </c>
      <c r="J19" s="26">
        <f t="shared" si="20"/>
        <v>0.12917694550347616</v>
      </c>
      <c r="K19" s="26">
        <f>(K4-J4)/J4</f>
        <v>0.38699106256206561</v>
      </c>
      <c r="L19" s="28">
        <f t="shared" ref="L19:V19" si="21">(L4-K4)/K4</f>
        <v>0.15999999999999998</v>
      </c>
      <c r="M19" s="26">
        <f t="shared" si="21"/>
        <v>0.14999999999999994</v>
      </c>
      <c r="N19" s="26">
        <f t="shared" si="21"/>
        <v>0.14999999999999986</v>
      </c>
      <c r="O19" s="26">
        <f t="shared" si="21"/>
        <v>0.14999999999999994</v>
      </c>
      <c r="P19" s="26">
        <f t="shared" si="21"/>
        <v>0.15</v>
      </c>
      <c r="Q19" s="26">
        <f t="shared" si="21"/>
        <v>0.14999999999999988</v>
      </c>
      <c r="R19" s="26">
        <f t="shared" si="21"/>
        <v>0.14999999999999994</v>
      </c>
      <c r="S19" s="26">
        <f t="shared" si="21"/>
        <v>0.14999999999999991</v>
      </c>
      <c r="T19" s="26">
        <f t="shared" si="21"/>
        <v>0.15000000000000002</v>
      </c>
      <c r="U19" s="26">
        <f t="shared" si="21"/>
        <v>0.14999999999999986</v>
      </c>
      <c r="V19" s="26">
        <f t="shared" si="21"/>
        <v>0.14999999999999988</v>
      </c>
      <c r="X19" s="2" t="s">
        <v>106</v>
      </c>
      <c r="Y19" s="32">
        <v>-0.01</v>
      </c>
    </row>
    <row r="20" spans="4:25" x14ac:dyDescent="0.25">
      <c r="D20" s="26"/>
      <c r="E20" s="26">
        <f>(E10-D10)/D10</f>
        <v>-1.2611373165618339E-2</v>
      </c>
      <c r="F20" s="26">
        <f t="shared" ref="F20:V20" si="22">(F10-E10)/E10</f>
        <v>0.16736555750920595</v>
      </c>
      <c r="G20" s="26">
        <f t="shared" si="22"/>
        <v>0.24818758721037631</v>
      </c>
      <c r="H20" s="26">
        <f t="shared" si="22"/>
        <v>0.16253918959224614</v>
      </c>
      <c r="I20" s="26">
        <f t="shared" si="22"/>
        <v>2.6831179005092028E-2</v>
      </c>
      <c r="J20" s="26">
        <f t="shared" si="22"/>
        <v>9.1359908449361024E-2</v>
      </c>
      <c r="K20" s="26">
        <f t="shared" si="22"/>
        <v>0.35197483397413509</v>
      </c>
      <c r="L20" s="28">
        <f t="shared" si="22"/>
        <v>0.1499999999999998</v>
      </c>
      <c r="M20" s="26">
        <f t="shared" si="22"/>
        <v>0.15000000000000005</v>
      </c>
      <c r="N20" s="26">
        <f t="shared" si="22"/>
        <v>0.14999999999999988</v>
      </c>
      <c r="O20" s="26">
        <f t="shared" si="22"/>
        <v>0.15000000000000016</v>
      </c>
      <c r="P20" s="26">
        <f t="shared" si="22"/>
        <v>0.14999999999999986</v>
      </c>
      <c r="Q20" s="26">
        <f t="shared" si="22"/>
        <v>0.14999999999999991</v>
      </c>
      <c r="R20" s="26">
        <f t="shared" si="22"/>
        <v>0.14999999999999977</v>
      </c>
      <c r="S20" s="26">
        <f t="shared" si="22"/>
        <v>0.14999999999999997</v>
      </c>
      <c r="T20" s="26">
        <f t="shared" si="22"/>
        <v>0.14999999999999994</v>
      </c>
      <c r="U20" s="26">
        <f t="shared" si="22"/>
        <v>0.14999999999999991</v>
      </c>
      <c r="V20" s="26">
        <f t="shared" si="22"/>
        <v>0.14999999999999988</v>
      </c>
      <c r="X20" s="31" t="s">
        <v>107</v>
      </c>
      <c r="Y20" s="33">
        <f>NPV(Y18,L15:GB15)</f>
        <v>19464.161857169718</v>
      </c>
    </row>
    <row r="21" spans="4:25" x14ac:dyDescent="0.25">
      <c r="D21" s="18">
        <f t="shared" ref="D21:V21" si="23">D11/D4</f>
        <v>4.1431823534029515E-2</v>
      </c>
      <c r="E21" s="18">
        <f t="shared" si="23"/>
        <v>0.19403743315508021</v>
      </c>
      <c r="F21" s="18">
        <f t="shared" si="23"/>
        <v>0.22131913282508431</v>
      </c>
      <c r="G21" s="18">
        <f t="shared" si="23"/>
        <v>0.20250217094198739</v>
      </c>
      <c r="H21" s="18">
        <f t="shared" si="23"/>
        <v>0.30675434991094674</v>
      </c>
      <c r="I21" s="18">
        <f t="shared" si="23"/>
        <v>0.42330118860731109</v>
      </c>
      <c r="J21" s="18">
        <f t="shared" si="23"/>
        <v>0.44468718967229404</v>
      </c>
      <c r="K21" s="18">
        <f t="shared" si="23"/>
        <v>0.45378391923820438</v>
      </c>
      <c r="L21" s="19">
        <f t="shared" si="23"/>
        <v>0.45089780591196499</v>
      </c>
      <c r="M21" s="18">
        <f t="shared" si="23"/>
        <v>0.45089780591196493</v>
      </c>
      <c r="N21" s="18">
        <f t="shared" si="23"/>
        <v>0.45089780591196493</v>
      </c>
      <c r="O21" s="18">
        <f t="shared" si="23"/>
        <v>0.45089780591196482</v>
      </c>
      <c r="P21" s="18">
        <f t="shared" si="23"/>
        <v>0.45089780591196488</v>
      </c>
      <c r="Q21" s="18">
        <f t="shared" si="23"/>
        <v>0.45089780591196488</v>
      </c>
      <c r="R21" s="18">
        <f t="shared" si="23"/>
        <v>0.45089780591196499</v>
      </c>
      <c r="S21" s="18">
        <f t="shared" si="23"/>
        <v>0.45089780591196493</v>
      </c>
      <c r="T21" s="18">
        <f t="shared" si="23"/>
        <v>0.45089780591196493</v>
      </c>
      <c r="U21" s="18">
        <f t="shared" si="23"/>
        <v>0.45089780591196493</v>
      </c>
      <c r="V21" s="18">
        <f t="shared" si="23"/>
        <v>0.45089780591196493</v>
      </c>
      <c r="X21" s="2" t="s">
        <v>2</v>
      </c>
      <c r="Y21" s="9">
        <v>95.008346000000003</v>
      </c>
    </row>
    <row r="22" spans="4:25" x14ac:dyDescent="0.25">
      <c r="X22" s="2" t="s">
        <v>108</v>
      </c>
      <c r="Y22" s="17">
        <f>Y20/Y21</f>
        <v>204.86791610044151</v>
      </c>
    </row>
    <row r="23" spans="4:25" x14ac:dyDescent="0.25">
      <c r="X23" s="1" t="s">
        <v>109</v>
      </c>
      <c r="Y23" s="26">
        <f>(Y22-Modell!B4)/Modell!B4</f>
        <v>-8.94759284424822E-2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2025-10-25T07:40:03Z</dcterms:modified>
</cp:coreProperties>
</file>