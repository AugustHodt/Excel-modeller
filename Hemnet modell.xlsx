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C7E8E4F0-15E2-4E47-B649-6B19E2111F0D}" xr6:coauthVersionLast="47" xr6:coauthVersionMax="47" xr10:uidLastSave="{00000000-0000-0000-0000-000000000000}"/>
  <bookViews>
    <workbookView xWindow="25240" yWindow="500" windowWidth="25960" windowHeight="26740" activeTab="1" xr2:uid="{5AE0DF26-B7DD-1242-A60E-253C73A930AF}"/>
  </bookViews>
  <sheets>
    <sheet name="Info" sheetId="1" r:id="rId1"/>
    <sheet name="Modell" sheetId="2" r:id="rId2"/>
    <sheet name="Månedstall" sheetId="6" r:id="rId3"/>
    <sheet name="Nøkkeltall" sheetId="3" r:id="rId4"/>
    <sheet name="Nedsideberegn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O21" i="1"/>
  <c r="P21" i="1" s="1"/>
  <c r="N21" i="1"/>
  <c r="O20" i="1"/>
  <c r="O19" i="1"/>
  <c r="O18" i="1"/>
  <c r="B12" i="2"/>
  <c r="O17" i="1"/>
  <c r="W17" i="1"/>
  <c r="W16" i="1"/>
  <c r="W15" i="1"/>
  <c r="W14" i="1"/>
  <c r="W13" i="1"/>
  <c r="W12" i="1"/>
  <c r="W11" i="1"/>
  <c r="U17" i="1"/>
  <c r="U16" i="1"/>
  <c r="U15" i="1"/>
  <c r="U13" i="1"/>
  <c r="U14" i="1"/>
  <c r="U12" i="1"/>
  <c r="U11" i="1"/>
  <c r="B8" i="2"/>
  <c r="B7" i="2"/>
  <c r="U73" i="2"/>
  <c r="U64" i="2"/>
  <c r="U61" i="2"/>
  <c r="U77" i="2" s="1"/>
  <c r="U51" i="2"/>
  <c r="U44" i="2"/>
  <c r="U42" i="2"/>
  <c r="U32" i="2"/>
  <c r="U29" i="2"/>
  <c r="U26" i="2"/>
  <c r="U25" i="2"/>
  <c r="U19" i="2"/>
  <c r="U10" i="2"/>
  <c r="U11" i="2" s="1"/>
  <c r="U13" i="2" s="1"/>
  <c r="U15" i="2" s="1"/>
  <c r="U17" i="2" s="1"/>
  <c r="AI7" i="2"/>
  <c r="AI8" i="2"/>
  <c r="AI9" i="2"/>
  <c r="AI6" i="2"/>
  <c r="V11" i="1"/>
  <c r="V12" i="1"/>
  <c r="V13" i="1"/>
  <c r="V14" i="1"/>
  <c r="V15" i="1"/>
  <c r="V16" i="1"/>
  <c r="V17" i="1"/>
  <c r="O16" i="1"/>
  <c r="O15" i="1"/>
  <c r="O14" i="1"/>
  <c r="P19" i="1" s="1"/>
  <c r="O11" i="1"/>
  <c r="P15" i="1" s="1"/>
  <c r="O12" i="1"/>
  <c r="P20" i="1" s="1"/>
  <c r="O13" i="1"/>
  <c r="P18" i="1"/>
  <c r="N20" i="1"/>
  <c r="N19" i="1"/>
  <c r="N18" i="1"/>
  <c r="N17" i="1"/>
  <c r="N16" i="1"/>
  <c r="N15" i="1"/>
  <c r="N14" i="1"/>
  <c r="N13" i="1"/>
  <c r="N12" i="1"/>
  <c r="N11" i="1"/>
  <c r="AI4" i="2"/>
  <c r="Z44" i="2"/>
  <c r="AA44" i="2"/>
  <c r="AB44" i="2"/>
  <c r="AC44" i="2"/>
  <c r="AD44" i="2"/>
  <c r="Z51" i="2"/>
  <c r="Z52" i="2" s="1"/>
  <c r="AA51" i="2"/>
  <c r="AB51" i="2"/>
  <c r="AC51" i="2"/>
  <c r="AD51" i="2"/>
  <c r="AA52" i="2"/>
  <c r="AB52" i="2"/>
  <c r="AC52" i="2"/>
  <c r="AD52" i="2"/>
  <c r="Z42" i="2"/>
  <c r="AA42" i="2"/>
  <c r="AB42" i="2"/>
  <c r="AC42" i="2"/>
  <c r="AD42" i="2"/>
  <c r="AH60" i="2"/>
  <c r="AH61" i="2" s="1"/>
  <c r="AH57" i="2"/>
  <c r="AH55" i="2"/>
  <c r="AE51" i="2"/>
  <c r="AE44" i="2"/>
  <c r="AE52" i="2" s="1"/>
  <c r="AE42" i="2"/>
  <c r="AF51" i="2"/>
  <c r="AF44" i="2"/>
  <c r="AF52" i="2" s="1"/>
  <c r="AF42" i="2"/>
  <c r="AG51" i="2"/>
  <c r="AG44" i="2"/>
  <c r="AG52" i="2" s="1"/>
  <c r="AG42" i="2"/>
  <c r="AH51" i="2"/>
  <c r="AH44" i="2"/>
  <c r="AH52" i="2" s="1"/>
  <c r="AH42" i="2"/>
  <c r="AH73" i="2"/>
  <c r="AH64" i="2"/>
  <c r="AH29" i="2"/>
  <c r="U75" i="2" l="1"/>
  <c r="U52" i="2"/>
  <c r="U20" i="2"/>
  <c r="U55" i="2"/>
  <c r="U21" i="2"/>
  <c r="P13" i="1"/>
  <c r="P11" i="1"/>
  <c r="P17" i="1"/>
  <c r="P16" i="1"/>
  <c r="P12" i="1"/>
  <c r="P14" i="1"/>
  <c r="AH75" i="2"/>
  <c r="AH77" i="2"/>
  <c r="AA25" i="2"/>
  <c r="Z25" i="2"/>
  <c r="AG25" i="2"/>
  <c r="AF25" i="2"/>
  <c r="AE25" i="2"/>
  <c r="AD25" i="2"/>
  <c r="AC25" i="2"/>
  <c r="AB25" i="2"/>
  <c r="AH25" i="2"/>
  <c r="K26" i="2"/>
  <c r="K25" i="2"/>
  <c r="L25" i="2"/>
  <c r="AK7" i="2"/>
  <c r="AL7" i="2" s="1"/>
  <c r="AM7" i="2" s="1"/>
  <c r="AN7" i="2" s="1"/>
  <c r="AO7" i="2" s="1"/>
  <c r="AP7" i="2" s="1"/>
  <c r="AQ7" i="2" s="1"/>
  <c r="AR7" i="2" s="1"/>
  <c r="AJ7" i="2"/>
  <c r="AJ8" i="2"/>
  <c r="AK8" i="2" s="1"/>
  <c r="AL8" i="2" s="1"/>
  <c r="AM8" i="2" s="1"/>
  <c r="AN8" i="2" s="1"/>
  <c r="AO8" i="2" s="1"/>
  <c r="AP8" i="2" s="1"/>
  <c r="AQ8" i="2" s="1"/>
  <c r="AR8" i="2" s="1"/>
  <c r="AJ9" i="2"/>
  <c r="AK9" i="2" s="1"/>
  <c r="AL9" i="2" s="1"/>
  <c r="AM9" i="2" s="1"/>
  <c r="AN9" i="2" s="1"/>
  <c r="AO9" i="2" s="1"/>
  <c r="AP9" i="2" s="1"/>
  <c r="AQ9" i="2" s="1"/>
  <c r="AR9" i="2" s="1"/>
  <c r="AJ6" i="2"/>
  <c r="AK6" i="2" s="1"/>
  <c r="AL6" i="2" s="1"/>
  <c r="AM6" i="2" s="1"/>
  <c r="AN6" i="2" s="1"/>
  <c r="AO6" i="2" s="1"/>
  <c r="AP6" i="2" s="1"/>
  <c r="AQ6" i="2" s="1"/>
  <c r="AR6" i="2" s="1"/>
  <c r="AJ4" i="2"/>
  <c r="AK4" i="2" s="1"/>
  <c r="AL4" i="2" s="1"/>
  <c r="AM4" i="2" s="1"/>
  <c r="AN4" i="2" s="1"/>
  <c r="AO4" i="2" s="1"/>
  <c r="AP4" i="2" s="1"/>
  <c r="AQ4" i="2" s="1"/>
  <c r="AR4" i="2" s="1"/>
  <c r="T73" i="2"/>
  <c r="T64" i="2"/>
  <c r="T61" i="2"/>
  <c r="T75" i="2" s="1"/>
  <c r="T55" i="2"/>
  <c r="T51" i="2"/>
  <c r="T44" i="2"/>
  <c r="T42" i="2"/>
  <c r="T10" i="2"/>
  <c r="T11" i="2" s="1"/>
  <c r="G26" i="2"/>
  <c r="H26" i="2"/>
  <c r="I26" i="2"/>
  <c r="J26" i="2"/>
  <c r="L26" i="2"/>
  <c r="M26" i="2"/>
  <c r="N26" i="2"/>
  <c r="O26" i="2"/>
  <c r="P26" i="2"/>
  <c r="Q26" i="2"/>
  <c r="R26" i="2"/>
  <c r="S26" i="2"/>
  <c r="T26" i="2"/>
  <c r="D25" i="2"/>
  <c r="E25" i="2"/>
  <c r="F25" i="2"/>
  <c r="G25" i="2"/>
  <c r="H25" i="2"/>
  <c r="I25" i="2"/>
  <c r="J25" i="2"/>
  <c r="M25" i="2"/>
  <c r="N25" i="2"/>
  <c r="O25" i="2"/>
  <c r="P25" i="2"/>
  <c r="Q25" i="2"/>
  <c r="R25" i="2"/>
  <c r="S25" i="2"/>
  <c r="T25" i="2"/>
  <c r="T32" i="2"/>
  <c r="T29" i="2"/>
  <c r="T19" i="2"/>
  <c r="N6" i="5"/>
  <c r="O6" i="5" s="1"/>
  <c r="P6" i="5" s="1"/>
  <c r="Q6" i="5" s="1"/>
  <c r="R6" i="5" s="1"/>
  <c r="S6" i="5" s="1"/>
  <c r="T6" i="5" s="1"/>
  <c r="U6" i="5" s="1"/>
  <c r="V6" i="5" s="1"/>
  <c r="N7" i="5"/>
  <c r="O7" i="5" s="1"/>
  <c r="P7" i="5" s="1"/>
  <c r="Q7" i="5" s="1"/>
  <c r="R7" i="5" s="1"/>
  <c r="S7" i="5" s="1"/>
  <c r="T7" i="5" s="1"/>
  <c r="U7" i="5" s="1"/>
  <c r="V7" i="5" s="1"/>
  <c r="N8" i="5"/>
  <c r="O8" i="5"/>
  <c r="P8" i="5"/>
  <c r="Q8" i="5"/>
  <c r="R8" i="5" s="1"/>
  <c r="S8" i="5" s="1"/>
  <c r="T8" i="5" s="1"/>
  <c r="U8" i="5" s="1"/>
  <c r="V8" i="5" s="1"/>
  <c r="N9" i="5"/>
  <c r="O9" i="5"/>
  <c r="P9" i="5"/>
  <c r="Q9" i="5" s="1"/>
  <c r="R9" i="5" s="1"/>
  <c r="S9" i="5" s="1"/>
  <c r="T9" i="5" s="1"/>
  <c r="U9" i="5" s="1"/>
  <c r="V9" i="5" s="1"/>
  <c r="M7" i="5"/>
  <c r="M8" i="5"/>
  <c r="M9" i="5"/>
  <c r="M6" i="5"/>
  <c r="N4" i="5"/>
  <c r="O4" i="5" s="1"/>
  <c r="P4" i="5" s="1"/>
  <c r="Q4" i="5" s="1"/>
  <c r="R4" i="5" s="1"/>
  <c r="S4" i="5" s="1"/>
  <c r="T4" i="5" s="1"/>
  <c r="U4" i="5" s="1"/>
  <c r="V4" i="5" s="1"/>
  <c r="M4" i="5"/>
  <c r="L10" i="5"/>
  <c r="L11" i="5" s="1"/>
  <c r="L13" i="5" s="1"/>
  <c r="L15" i="5" s="1"/>
  <c r="S10" i="2"/>
  <c r="S11" i="2" s="1"/>
  <c r="S19" i="2"/>
  <c r="R10" i="2"/>
  <c r="R11" i="2" s="1"/>
  <c r="R32" i="2"/>
  <c r="R73" i="2"/>
  <c r="S73" i="2"/>
  <c r="R64" i="2"/>
  <c r="S64" i="2"/>
  <c r="R61" i="2"/>
  <c r="S61" i="2"/>
  <c r="S77" i="2" s="1"/>
  <c r="R51" i="2"/>
  <c r="S51" i="2"/>
  <c r="R44" i="2"/>
  <c r="S44" i="2"/>
  <c r="R42" i="2"/>
  <c r="S42" i="2"/>
  <c r="S32" i="2"/>
  <c r="R29" i="2"/>
  <c r="S29" i="2"/>
  <c r="R19" i="2"/>
  <c r="I21" i="5"/>
  <c r="F21" i="5"/>
  <c r="K20" i="5"/>
  <c r="K19" i="5"/>
  <c r="J19" i="5"/>
  <c r="I19" i="5"/>
  <c r="H19" i="5"/>
  <c r="G19" i="5"/>
  <c r="F19" i="5"/>
  <c r="E19" i="5"/>
  <c r="J13" i="5"/>
  <c r="J15" i="5" s="1"/>
  <c r="J17" i="5" s="1"/>
  <c r="I13" i="5"/>
  <c r="I15" i="5" s="1"/>
  <c r="I17" i="5" s="1"/>
  <c r="F13" i="5"/>
  <c r="F15" i="5" s="1"/>
  <c r="F17" i="5" s="1"/>
  <c r="J11" i="5"/>
  <c r="J21" i="5" s="1"/>
  <c r="I11" i="5"/>
  <c r="F11" i="5"/>
  <c r="E11" i="5"/>
  <c r="E21" i="5" s="1"/>
  <c r="D11" i="5"/>
  <c r="D21" i="5" s="1"/>
  <c r="K10" i="5"/>
  <c r="K11" i="5" s="1"/>
  <c r="J10" i="5"/>
  <c r="J20" i="5" s="1"/>
  <c r="I10" i="5"/>
  <c r="H10" i="5"/>
  <c r="H20" i="5" s="1"/>
  <c r="G10" i="5"/>
  <c r="G20" i="5" s="1"/>
  <c r="F10" i="5"/>
  <c r="F20" i="5" s="1"/>
  <c r="E10" i="5"/>
  <c r="E20" i="5" s="1"/>
  <c r="D10" i="5"/>
  <c r="L20" i="5"/>
  <c r="F10" i="2"/>
  <c r="F11" i="2" s="1"/>
  <c r="F13" i="2" s="1"/>
  <c r="F15" i="2" s="1"/>
  <c r="G44" i="2"/>
  <c r="G10" i="2"/>
  <c r="D10" i="2"/>
  <c r="D11" i="2" s="1"/>
  <c r="D13" i="2" s="1"/>
  <c r="D15" i="2" s="1"/>
  <c r="H10" i="2"/>
  <c r="H11" i="2" s="1"/>
  <c r="H13" i="2" s="1"/>
  <c r="H15" i="2" s="1"/>
  <c r="I73" i="2"/>
  <c r="E10" i="2"/>
  <c r="E11" i="2" s="1"/>
  <c r="E13" i="2" s="1"/>
  <c r="E15" i="2" s="1"/>
  <c r="I10" i="2"/>
  <c r="J10" i="2"/>
  <c r="J11" i="2" s="1"/>
  <c r="J13" i="2" s="1"/>
  <c r="J15" i="2" s="1"/>
  <c r="N10" i="2"/>
  <c r="N11" i="2" s="1"/>
  <c r="N13" i="2" s="1"/>
  <c r="N15" i="2" s="1"/>
  <c r="O73" i="2"/>
  <c r="K10" i="2"/>
  <c r="K11" i="2" s="1"/>
  <c r="K13" i="2" s="1"/>
  <c r="K15" i="2" s="1"/>
  <c r="O10" i="2"/>
  <c r="O11" i="2" s="1"/>
  <c r="O13" i="2" s="1"/>
  <c r="O15" i="2" s="1"/>
  <c r="L10" i="2"/>
  <c r="L11" i="2" s="1"/>
  <c r="L13" i="2" s="1"/>
  <c r="L15" i="2" s="1"/>
  <c r="P10" i="2"/>
  <c r="P11" i="2" s="1"/>
  <c r="P13" i="2" s="1"/>
  <c r="P15" i="2" s="1"/>
  <c r="AF32" i="2"/>
  <c r="AE32" i="2"/>
  <c r="AD32" i="2"/>
  <c r="AC32" i="2"/>
  <c r="AB32" i="2"/>
  <c r="AA32" i="2"/>
  <c r="AG32" i="2"/>
  <c r="Z66" i="2"/>
  <c r="Z73" i="2" s="1"/>
  <c r="AA58" i="2"/>
  <c r="Z10" i="2"/>
  <c r="Z11" i="2" s="1"/>
  <c r="AA10" i="2"/>
  <c r="AA11" i="2" s="1"/>
  <c r="AB68" i="2"/>
  <c r="AB73" i="2" s="1"/>
  <c r="AC68" i="2"/>
  <c r="AC73" i="2" s="1"/>
  <c r="AC58" i="2"/>
  <c r="AC61" i="2" s="1"/>
  <c r="AB10" i="2"/>
  <c r="AB11" i="2" s="1"/>
  <c r="AC10" i="2"/>
  <c r="AC11" i="2" s="1"/>
  <c r="AD69" i="2"/>
  <c r="AD73" i="2" s="1"/>
  <c r="AD58" i="2"/>
  <c r="AD61" i="2" s="1"/>
  <c r="AE69" i="2"/>
  <c r="AE73" i="2" s="1"/>
  <c r="AE58" i="2"/>
  <c r="AE61" i="2" s="1"/>
  <c r="AE77" i="2" s="1"/>
  <c r="AD10" i="2"/>
  <c r="AD11" i="2" s="1"/>
  <c r="AE10" i="2"/>
  <c r="AE11" i="2" s="1"/>
  <c r="AA29" i="2"/>
  <c r="AB29" i="2"/>
  <c r="AC29" i="2"/>
  <c r="AD29" i="2"/>
  <c r="AE29" i="2"/>
  <c r="AF29" i="2"/>
  <c r="AG29" i="2"/>
  <c r="Z19" i="2"/>
  <c r="AA19" i="2"/>
  <c r="AB19" i="2"/>
  <c r="AC19" i="2"/>
  <c r="AD19" i="2"/>
  <c r="AE19" i="2"/>
  <c r="AF19" i="2"/>
  <c r="AG19" i="2"/>
  <c r="AF73" i="2"/>
  <c r="AA73" i="2"/>
  <c r="AF64" i="2"/>
  <c r="AE64" i="2"/>
  <c r="AD64" i="2"/>
  <c r="AC64" i="2"/>
  <c r="AB64" i="2"/>
  <c r="AA64" i="2"/>
  <c r="Z64" i="2"/>
  <c r="AB61" i="2"/>
  <c r="AA61" i="2"/>
  <c r="AA77" i="2" s="1"/>
  <c r="Z61" i="2"/>
  <c r="AF58" i="2"/>
  <c r="AF61" i="2" s="1"/>
  <c r="AG73" i="2"/>
  <c r="AG64" i="2"/>
  <c r="AG58" i="2"/>
  <c r="AG61" i="2" s="1"/>
  <c r="AG77" i="2" s="1"/>
  <c r="AF10" i="2"/>
  <c r="AF11" i="2" s="1"/>
  <c r="AF13" i="2" s="1"/>
  <c r="AF15" i="2" s="1"/>
  <c r="AF17" i="2" s="1"/>
  <c r="AG10" i="2"/>
  <c r="AG11" i="2" s="1"/>
  <c r="AG13" i="2" s="1"/>
  <c r="AG15" i="2" s="1"/>
  <c r="AG17" i="2" s="1"/>
  <c r="H29" i="2"/>
  <c r="I29" i="2"/>
  <c r="J29" i="2"/>
  <c r="K29" i="2"/>
  <c r="L29" i="2"/>
  <c r="M29" i="2"/>
  <c r="N29" i="2"/>
  <c r="O29" i="2"/>
  <c r="P29" i="2"/>
  <c r="Q29" i="2"/>
  <c r="H32" i="2"/>
  <c r="I32" i="2"/>
  <c r="J32" i="2"/>
  <c r="K32" i="2"/>
  <c r="L32" i="2"/>
  <c r="M32" i="2"/>
  <c r="N32" i="2"/>
  <c r="O32" i="2"/>
  <c r="P32" i="2"/>
  <c r="Q32" i="2"/>
  <c r="T77" i="2" l="1"/>
  <c r="T52" i="2"/>
  <c r="T13" i="2"/>
  <c r="T15" i="2" s="1"/>
  <c r="T17" i="2" s="1"/>
  <c r="T21" i="2"/>
  <c r="T20" i="2"/>
  <c r="AH10" i="2"/>
  <c r="AH20" i="2" s="1"/>
  <c r="S13" i="2"/>
  <c r="S15" i="2" s="1"/>
  <c r="S17" i="2" s="1"/>
  <c r="S21" i="2"/>
  <c r="S55" i="2"/>
  <c r="K20" i="2"/>
  <c r="N20" i="2"/>
  <c r="S52" i="2"/>
  <c r="AE20" i="2"/>
  <c r="AF77" i="2"/>
  <c r="AF75" i="2"/>
  <c r="O20" i="2"/>
  <c r="AC20" i="2"/>
  <c r="R52" i="2"/>
  <c r="P20" i="2"/>
  <c r="AD20" i="2"/>
  <c r="AB20" i="2"/>
  <c r="L20" i="2"/>
  <c r="AA20" i="2"/>
  <c r="AG20" i="2"/>
  <c r="AF20" i="2"/>
  <c r="S20" i="2"/>
  <c r="S75" i="2"/>
  <c r="M10" i="5"/>
  <c r="M20" i="5" s="1"/>
  <c r="AH19" i="2"/>
  <c r="AH11" i="2"/>
  <c r="AH13" i="2" s="1"/>
  <c r="R75" i="2"/>
  <c r="R77" i="2"/>
  <c r="R13" i="2"/>
  <c r="R15" i="2" s="1"/>
  <c r="R17" i="2" s="1"/>
  <c r="R55" i="2"/>
  <c r="R20" i="2"/>
  <c r="R21" i="2"/>
  <c r="AK19" i="2"/>
  <c r="AJ19" i="2"/>
  <c r="AI19" i="2"/>
  <c r="N19" i="5"/>
  <c r="O19" i="5"/>
  <c r="K21" i="5"/>
  <c r="K13" i="5"/>
  <c r="K15" i="5" s="1"/>
  <c r="K17" i="5" s="1"/>
  <c r="L21" i="5"/>
  <c r="M19" i="5"/>
  <c r="I20" i="5"/>
  <c r="L19" i="5"/>
  <c r="G11" i="5"/>
  <c r="D13" i="5"/>
  <c r="D15" i="5" s="1"/>
  <c r="D17" i="5" s="1"/>
  <c r="H11" i="5"/>
  <c r="E13" i="5"/>
  <c r="E15" i="5" s="1"/>
  <c r="E17" i="5" s="1"/>
  <c r="J20" i="2"/>
  <c r="G11" i="2"/>
  <c r="G13" i="2" s="1"/>
  <c r="G15" i="2" s="1"/>
  <c r="H20" i="2"/>
  <c r="I20" i="2"/>
  <c r="I11" i="2"/>
  <c r="I13" i="2" s="1"/>
  <c r="I15" i="2" s="1"/>
  <c r="AG75" i="2"/>
  <c r="AF55" i="2"/>
  <c r="AG55" i="2"/>
  <c r="AF21" i="2"/>
  <c r="AG21" i="2"/>
  <c r="Z21" i="2"/>
  <c r="Z55" i="2"/>
  <c r="Z13" i="2"/>
  <c r="Z15" i="2" s="1"/>
  <c r="Z17" i="2" s="1"/>
  <c r="AA13" i="2"/>
  <c r="AA15" i="2" s="1"/>
  <c r="AA17" i="2" s="1"/>
  <c r="AA55" i="2"/>
  <c r="AA21" i="2"/>
  <c r="AB75" i="2"/>
  <c r="AB77" i="2"/>
  <c r="AC75" i="2"/>
  <c r="AC77" i="2"/>
  <c r="AB13" i="2"/>
  <c r="AB15" i="2" s="1"/>
  <c r="AB17" i="2" s="1"/>
  <c r="AB21" i="2"/>
  <c r="AB55" i="2"/>
  <c r="AC21" i="2"/>
  <c r="AC13" i="2"/>
  <c r="AC15" i="2" s="1"/>
  <c r="AC17" i="2" s="1"/>
  <c r="AC55" i="2"/>
  <c r="AD75" i="2"/>
  <c r="AD77" i="2"/>
  <c r="AE75" i="2"/>
  <c r="AD21" i="2"/>
  <c r="AD55" i="2"/>
  <c r="AD13" i="2"/>
  <c r="AD15" i="2" s="1"/>
  <c r="AD17" i="2" s="1"/>
  <c r="AE13" i="2"/>
  <c r="AE15" i="2" s="1"/>
  <c r="AE21" i="2"/>
  <c r="AE55" i="2"/>
  <c r="Z75" i="2"/>
  <c r="Z77" i="2"/>
  <c r="AA75" i="2"/>
  <c r="M11" i="5" l="1"/>
  <c r="M21" i="5" s="1"/>
  <c r="O10" i="5"/>
  <c r="O11" i="5" s="1"/>
  <c r="O21" i="5" s="1"/>
  <c r="N10" i="5"/>
  <c r="N11" i="5" s="1"/>
  <c r="N21" i="5" s="1"/>
  <c r="AE17" i="2"/>
  <c r="AE22" i="2"/>
  <c r="AI10" i="2"/>
  <c r="AH21" i="2"/>
  <c r="AH15" i="2"/>
  <c r="AL19" i="2"/>
  <c r="P10" i="5"/>
  <c r="P19" i="5"/>
  <c r="H21" i="5"/>
  <c r="H13" i="5"/>
  <c r="H15" i="5" s="1"/>
  <c r="H17" i="5" s="1"/>
  <c r="G21" i="5"/>
  <c r="G13" i="5"/>
  <c r="G15" i="5" s="1"/>
  <c r="G17" i="5" s="1"/>
  <c r="P55" i="2"/>
  <c r="O55" i="2"/>
  <c r="N55" i="2"/>
  <c r="L55" i="2"/>
  <c r="K55" i="2"/>
  <c r="J55" i="2"/>
  <c r="I55" i="2"/>
  <c r="H55" i="2"/>
  <c r="G55" i="2"/>
  <c r="F55" i="2"/>
  <c r="E55" i="2"/>
  <c r="D55" i="2"/>
  <c r="P61" i="2"/>
  <c r="O61" i="2"/>
  <c r="N61" i="2"/>
  <c r="N77" i="2" s="1"/>
  <c r="M61" i="2"/>
  <c r="M77" i="2" s="1"/>
  <c r="L61" i="2"/>
  <c r="L77" i="2" s="1"/>
  <c r="K61" i="2"/>
  <c r="K77" i="2" s="1"/>
  <c r="J61" i="2"/>
  <c r="J77" i="2" s="1"/>
  <c r="I61" i="2"/>
  <c r="I77" i="2" s="1"/>
  <c r="H61" i="2"/>
  <c r="H77" i="2" s="1"/>
  <c r="G61" i="2"/>
  <c r="G77" i="2" s="1"/>
  <c r="F61" i="2"/>
  <c r="F77" i="2" s="1"/>
  <c r="E61" i="2"/>
  <c r="E77" i="2" s="1"/>
  <c r="D61" i="2"/>
  <c r="D77" i="2" s="1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P73" i="2"/>
  <c r="N73" i="2"/>
  <c r="M73" i="2"/>
  <c r="L73" i="2"/>
  <c r="K73" i="2"/>
  <c r="J73" i="2"/>
  <c r="H73" i="2"/>
  <c r="G73" i="2"/>
  <c r="F73" i="2"/>
  <c r="E73" i="2"/>
  <c r="D73" i="2"/>
  <c r="Q73" i="2"/>
  <c r="Q64" i="2"/>
  <c r="Q61" i="2"/>
  <c r="Q77" i="2" s="1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D44" i="2"/>
  <c r="E44" i="2"/>
  <c r="F44" i="2"/>
  <c r="H44" i="2"/>
  <c r="I44" i="2"/>
  <c r="J44" i="2"/>
  <c r="K44" i="2"/>
  <c r="AF22" i="2" s="1"/>
  <c r="L44" i="2"/>
  <c r="M44" i="2"/>
  <c r="N44" i="2"/>
  <c r="O44" i="2"/>
  <c r="AG22" i="2" s="1"/>
  <c r="P44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51" i="2"/>
  <c r="Q44" i="2"/>
  <c r="Q52" i="2" s="1"/>
  <c r="Q42" i="2"/>
  <c r="D21" i="2"/>
  <c r="E21" i="2"/>
  <c r="F21" i="2"/>
  <c r="G21" i="2"/>
  <c r="H21" i="2"/>
  <c r="I21" i="2"/>
  <c r="J21" i="2"/>
  <c r="K21" i="2"/>
  <c r="L21" i="2"/>
  <c r="N21" i="2"/>
  <c r="O21" i="2"/>
  <c r="P21" i="2"/>
  <c r="H19" i="2"/>
  <c r="I19" i="2"/>
  <c r="J19" i="2"/>
  <c r="K19" i="2"/>
  <c r="L19" i="2"/>
  <c r="M19" i="2"/>
  <c r="N19" i="2"/>
  <c r="O19" i="2"/>
  <c r="P19" i="2"/>
  <c r="Q19" i="2"/>
  <c r="M10" i="2"/>
  <c r="D17" i="2"/>
  <c r="E17" i="2"/>
  <c r="F17" i="2"/>
  <c r="G17" i="2"/>
  <c r="H17" i="2"/>
  <c r="I17" i="2"/>
  <c r="J17" i="2"/>
  <c r="K17" i="2"/>
  <c r="L17" i="2"/>
  <c r="N17" i="2"/>
  <c r="O17" i="2"/>
  <c r="P17" i="2"/>
  <c r="Q10" i="2"/>
  <c r="N13" i="5" l="1"/>
  <c r="N14" i="5" s="1"/>
  <c r="N15" i="5" s="1"/>
  <c r="N17" i="5" s="1"/>
  <c r="M13" i="5"/>
  <c r="M14" i="5" s="1"/>
  <c r="M15" i="5" s="1"/>
  <c r="M17" i="5" s="1"/>
  <c r="O20" i="5"/>
  <c r="N20" i="5"/>
  <c r="O75" i="2"/>
  <c r="AI20" i="2"/>
  <c r="AI11" i="2"/>
  <c r="AI24" i="2" s="1"/>
  <c r="AI25" i="2" s="1"/>
  <c r="Q11" i="2"/>
  <c r="Q20" i="2"/>
  <c r="AJ10" i="2"/>
  <c r="M11" i="2"/>
  <c r="M20" i="2"/>
  <c r="AM19" i="2"/>
  <c r="O13" i="5"/>
  <c r="O14" i="5" s="1"/>
  <c r="O15" i="5" s="1"/>
  <c r="O17" i="5" s="1"/>
  <c r="Q10" i="5"/>
  <c r="Q20" i="5" s="1"/>
  <c r="P20" i="5"/>
  <c r="P11" i="5"/>
  <c r="Q19" i="5"/>
  <c r="F52" i="2"/>
  <c r="H75" i="2"/>
  <c r="D52" i="2"/>
  <c r="E52" i="2"/>
  <c r="I52" i="2"/>
  <c r="G75" i="2"/>
  <c r="F75" i="2"/>
  <c r="E75" i="2"/>
  <c r="N75" i="2"/>
  <c r="J52" i="2"/>
  <c r="N52" i="2"/>
  <c r="O77" i="2"/>
  <c r="K52" i="2"/>
  <c r="O52" i="2"/>
  <c r="P75" i="2"/>
  <c r="P77" i="2"/>
  <c r="L52" i="2"/>
  <c r="P52" i="2"/>
  <c r="I75" i="2"/>
  <c r="D75" i="2"/>
  <c r="L75" i="2"/>
  <c r="M75" i="2"/>
  <c r="J75" i="2"/>
  <c r="K75" i="2"/>
  <c r="H52" i="2"/>
  <c r="G52" i="2"/>
  <c r="Q75" i="2"/>
  <c r="M52" i="2"/>
  <c r="Q13" i="2" l="1"/>
  <c r="Q15" i="2" s="1"/>
  <c r="Q17" i="2" s="1"/>
  <c r="Q55" i="2"/>
  <c r="Q21" i="2"/>
  <c r="AJ11" i="2"/>
  <c r="AJ24" i="2" s="1"/>
  <c r="AJ25" i="2" s="1"/>
  <c r="AJ20" i="2"/>
  <c r="M13" i="2"/>
  <c r="M15" i="2" s="1"/>
  <c r="M17" i="2" s="1"/>
  <c r="M55" i="2"/>
  <c r="M21" i="2"/>
  <c r="AK10" i="2"/>
  <c r="AI13" i="2"/>
  <c r="AI14" i="2" s="1"/>
  <c r="AI15" i="2" s="1"/>
  <c r="AI17" i="2" s="1"/>
  <c r="D6" i="3" s="1"/>
  <c r="AI21" i="2"/>
  <c r="AN19" i="2"/>
  <c r="Q11" i="5"/>
  <c r="Q21" i="5" s="1"/>
  <c r="P21" i="5"/>
  <c r="P13" i="5"/>
  <c r="P14" i="5" s="1"/>
  <c r="P15" i="5" s="1"/>
  <c r="P17" i="5" s="1"/>
  <c r="R10" i="5"/>
  <c r="R20" i="5" s="1"/>
  <c r="R19" i="5"/>
  <c r="R11" i="5" l="1"/>
  <c r="AK11" i="2"/>
  <c r="AK24" i="2" s="1"/>
  <c r="AK25" i="2" s="1"/>
  <c r="AK20" i="2"/>
  <c r="AL10" i="2"/>
  <c r="AJ21" i="2"/>
  <c r="AJ13" i="2"/>
  <c r="AJ14" i="2" s="1"/>
  <c r="AJ15" i="2" s="1"/>
  <c r="AJ17" i="2" s="1"/>
  <c r="E6" i="3" s="1"/>
  <c r="Q13" i="5"/>
  <c r="Q14" i="5" s="1"/>
  <c r="Q15" i="5" s="1"/>
  <c r="AO19" i="2"/>
  <c r="S10" i="5"/>
  <c r="S11" i="5" s="1"/>
  <c r="S19" i="5"/>
  <c r="R21" i="5"/>
  <c r="R13" i="5"/>
  <c r="AL20" i="2" l="1"/>
  <c r="AL11" i="2"/>
  <c r="AL24" i="2" s="1"/>
  <c r="AL25" i="2" s="1"/>
  <c r="AM10" i="2"/>
  <c r="AK21" i="2"/>
  <c r="AK13" i="2"/>
  <c r="AK14" i="2" s="1"/>
  <c r="AK15" i="2" s="1"/>
  <c r="AK17" i="2" s="1"/>
  <c r="F6" i="3" s="1"/>
  <c r="AP19" i="2"/>
  <c r="S20" i="5"/>
  <c r="T10" i="5"/>
  <c r="T20" i="5" s="1"/>
  <c r="R14" i="5"/>
  <c r="R15" i="5" s="1"/>
  <c r="S21" i="5"/>
  <c r="S13" i="5"/>
  <c r="T19" i="5"/>
  <c r="Q17" i="5"/>
  <c r="T11" i="5" l="1"/>
  <c r="AM20" i="2"/>
  <c r="AM11" i="2"/>
  <c r="AM24" i="2" s="1"/>
  <c r="AM25" i="2" s="1"/>
  <c r="AN10" i="2"/>
  <c r="AL21" i="2"/>
  <c r="AL13" i="2"/>
  <c r="AL14" i="2" s="1"/>
  <c r="AL15" i="2" s="1"/>
  <c r="AL17" i="2" s="1"/>
  <c r="AQ19" i="2"/>
  <c r="V10" i="5"/>
  <c r="U10" i="5"/>
  <c r="U20" i="5" s="1"/>
  <c r="R17" i="5"/>
  <c r="T21" i="5"/>
  <c r="T13" i="5"/>
  <c r="T14" i="5" s="1"/>
  <c r="T15" i="5" s="1"/>
  <c r="T17" i="5" s="1"/>
  <c r="U11" i="5"/>
  <c r="U19" i="5"/>
  <c r="S14" i="5"/>
  <c r="S15" i="5" s="1"/>
  <c r="AN20" i="2" l="1"/>
  <c r="AN11" i="2"/>
  <c r="AN24" i="2" s="1"/>
  <c r="AN25" i="2" s="1"/>
  <c r="AO10" i="2"/>
  <c r="AM21" i="2"/>
  <c r="AM13" i="2"/>
  <c r="AM14" i="2" s="1"/>
  <c r="AM15" i="2" s="1"/>
  <c r="AM17" i="2" s="1"/>
  <c r="AR19" i="2"/>
  <c r="V20" i="5"/>
  <c r="S17" i="5"/>
  <c r="U21" i="5"/>
  <c r="U13" i="5"/>
  <c r="U14" i="5" s="1"/>
  <c r="U15" i="5" s="1"/>
  <c r="U17" i="5" s="1"/>
  <c r="V19" i="5"/>
  <c r="V11" i="5"/>
  <c r="AO20" i="2" l="1"/>
  <c r="AO11" i="2"/>
  <c r="AO24" i="2" s="1"/>
  <c r="AO25" i="2" s="1"/>
  <c r="AP10" i="2"/>
  <c r="AN13" i="2"/>
  <c r="AN14" i="2" s="1"/>
  <c r="AN15" i="2" s="1"/>
  <c r="AN17" i="2" s="1"/>
  <c r="AN21" i="2"/>
  <c r="V13" i="5"/>
  <c r="V21" i="5"/>
  <c r="AP20" i="2" l="1"/>
  <c r="AP11" i="2"/>
  <c r="AP24" i="2" s="1"/>
  <c r="AP25" i="2" s="1"/>
  <c r="AR10" i="2"/>
  <c r="AQ10" i="2"/>
  <c r="AO13" i="2"/>
  <c r="AO14" i="2" s="1"/>
  <c r="AO15" i="2" s="1"/>
  <c r="AO17" i="2" s="1"/>
  <c r="AO21" i="2"/>
  <c r="V14" i="5"/>
  <c r="V15" i="5" s="1"/>
  <c r="AQ20" i="2" l="1"/>
  <c r="AQ11" i="2"/>
  <c r="AQ24" i="2" s="1"/>
  <c r="AQ25" i="2" s="1"/>
  <c r="AR20" i="2"/>
  <c r="AR11" i="2"/>
  <c r="AR24" i="2" s="1"/>
  <c r="AR25" i="2" s="1"/>
  <c r="AP21" i="2"/>
  <c r="AP13" i="2"/>
  <c r="AP14" i="2" s="1"/>
  <c r="AP15" i="2" s="1"/>
  <c r="AP17" i="2" s="1"/>
  <c r="W15" i="5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EG15" i="5" s="1"/>
  <c r="EH15" i="5" s="1"/>
  <c r="EI15" i="5" s="1"/>
  <c r="EJ15" i="5" s="1"/>
  <c r="EK15" i="5" s="1"/>
  <c r="EL15" i="5" s="1"/>
  <c r="EM15" i="5" s="1"/>
  <c r="EN15" i="5" s="1"/>
  <c r="EO15" i="5" s="1"/>
  <c r="EP15" i="5" s="1"/>
  <c r="EQ15" i="5" s="1"/>
  <c r="ER15" i="5" s="1"/>
  <c r="ES15" i="5" s="1"/>
  <c r="ET15" i="5" s="1"/>
  <c r="EU15" i="5" s="1"/>
  <c r="EV15" i="5" s="1"/>
  <c r="EW15" i="5" s="1"/>
  <c r="EX15" i="5" s="1"/>
  <c r="EY15" i="5" s="1"/>
  <c r="EZ15" i="5" s="1"/>
  <c r="FA15" i="5" s="1"/>
  <c r="FB15" i="5" s="1"/>
  <c r="FC15" i="5" s="1"/>
  <c r="FD15" i="5" s="1"/>
  <c r="FE15" i="5" s="1"/>
  <c r="FF15" i="5" s="1"/>
  <c r="FG15" i="5" s="1"/>
  <c r="FH15" i="5" s="1"/>
  <c r="FI15" i="5" s="1"/>
  <c r="FJ15" i="5" s="1"/>
  <c r="FK15" i="5" s="1"/>
  <c r="FL15" i="5" s="1"/>
  <c r="FM15" i="5" s="1"/>
  <c r="FN15" i="5" s="1"/>
  <c r="FO15" i="5" s="1"/>
  <c r="FP15" i="5" s="1"/>
  <c r="FQ15" i="5" s="1"/>
  <c r="FR15" i="5" s="1"/>
  <c r="FS15" i="5" s="1"/>
  <c r="FT15" i="5" s="1"/>
  <c r="FU15" i="5" s="1"/>
  <c r="FV15" i="5" s="1"/>
  <c r="FW15" i="5" s="1"/>
  <c r="FX15" i="5" s="1"/>
  <c r="FY15" i="5" s="1"/>
  <c r="FZ15" i="5" s="1"/>
  <c r="GA15" i="5" s="1"/>
  <c r="GB15" i="5" s="1"/>
  <c r="Y20" i="5" s="1"/>
  <c r="Y22" i="5" s="1"/>
  <c r="V17" i="5"/>
  <c r="AR21" i="2" l="1"/>
  <c r="AR13" i="2"/>
  <c r="AQ13" i="2"/>
  <c r="AQ14" i="2" s="1"/>
  <c r="AQ15" i="2" s="1"/>
  <c r="AQ17" i="2" s="1"/>
  <c r="AQ21" i="2"/>
  <c r="Y23" i="5"/>
  <c r="A6" i="5" s="1"/>
  <c r="A5" i="5"/>
  <c r="AR14" i="2" l="1"/>
  <c r="AR15" i="2" s="1"/>
  <c r="AS15" i="2" l="1"/>
  <c r="AR17" i="2"/>
  <c r="B6" i="2"/>
  <c r="AT15" i="2" l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B9" i="2"/>
  <c r="F5" i="3" s="1"/>
  <c r="AU20" i="2" l="1"/>
  <c r="AU22" i="2" s="1"/>
  <c r="AU23" i="2" s="1"/>
  <c r="E5" i="3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tc={9F2A8D96-BE3C-634A-A468-A761CD121394}</author>
    <author>tc={66E27F50-5F77-C541-A8BB-BB4B5E474CE5}</author>
  </authors>
  <commentList>
    <comment ref="Z63" authorId="0" shapeId="0" xr:uid="{9F2A8D96-BE3C-634A-A468-A761CD12139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Oppkjøp</t>
      </text>
    </comment>
    <comment ref="Z66" authorId="1" shapeId="0" xr:uid="{66E27F50-5F77-C541-A8BB-BB4B5E474CE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Hentet inn 1360,290 i ny EK og 380 i lån</t>
      </text>
    </comment>
  </commentList>
</comments>
</file>

<file path=xl/sharedStrings.xml><?xml version="1.0" encoding="utf-8"?>
<sst xmlns="http://schemas.openxmlformats.org/spreadsheetml/2006/main" count="234" uniqueCount="176">
  <si>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</si>
  <si>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</si>
  <si>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</si>
  <si>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</si>
  <si>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</si>
  <si>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</si>
  <si>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</si>
  <si>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</si>
  <si>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</si>
  <si>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</si>
  <si>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</si>
  <si>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</si>
  <si>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</si>
  <si>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</si>
  <si>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</si>
  <si>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</si>
  <si>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</si>
  <si>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</si>
  <si>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</si>
  <si>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</si>
  <si>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</si>
  <si>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</si>
  <si>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</si>
  <si>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</si>
  <si>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</si>
  <si>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</si>
  <si>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</si>
  <si>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</si>
  <si>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</si>
  <si>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</si>
  <si>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</si>
  <si>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</si>
  <si>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</si>
  <si>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</si>
  <si>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</si>
  <si>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</si>
  <si>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</si>
  <si>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</si>
  <si>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</si>
  <si>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</si>
  <si>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</si>
  <si>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2017</t>
  </si>
  <si>
    <t>FY 2018</t>
  </si>
  <si>
    <t>ROE</t>
  </si>
  <si>
    <t>MC SEKm</t>
  </si>
  <si>
    <t>Cash SEKm</t>
  </si>
  <si>
    <t>Debt SEKm</t>
  </si>
  <si>
    <t>EV SEKm</t>
  </si>
  <si>
    <t>SEKm</t>
  </si>
  <si>
    <t>Balanse SEKm</t>
  </si>
  <si>
    <t xml:space="preserve">Cash flow SEKm </t>
  </si>
  <si>
    <t>Revenue</t>
  </si>
  <si>
    <t>Capitalised development</t>
  </si>
  <si>
    <t>Other external expensee</t>
  </si>
  <si>
    <t>Personell costs</t>
  </si>
  <si>
    <t>D/A</t>
  </si>
  <si>
    <t>Other opex</t>
  </si>
  <si>
    <t>Total opex</t>
  </si>
  <si>
    <t>Operating profit (EBIT)</t>
  </si>
  <si>
    <t>Net financial items</t>
  </si>
  <si>
    <t>PTP</t>
  </si>
  <si>
    <t>Tax</t>
  </si>
  <si>
    <t>Net income</t>
  </si>
  <si>
    <t>Shares</t>
  </si>
  <si>
    <t>EPS</t>
  </si>
  <si>
    <t xml:space="preserve">ARPL </t>
  </si>
  <si>
    <t>y/y</t>
  </si>
  <si>
    <t>Number of published listings, thousand</t>
  </si>
  <si>
    <t>Goodwill</t>
  </si>
  <si>
    <t>Customer relations</t>
  </si>
  <si>
    <t>Right of use assets</t>
  </si>
  <si>
    <t>accounts receivables</t>
  </si>
  <si>
    <t>Other current assets</t>
  </si>
  <si>
    <t>Cash</t>
  </si>
  <si>
    <t>Total assets</t>
  </si>
  <si>
    <t>Equity</t>
  </si>
  <si>
    <t>Total Equity</t>
  </si>
  <si>
    <t>Long-term liabilities to banks</t>
  </si>
  <si>
    <t>Lease liabilities</t>
  </si>
  <si>
    <t>Deferred tax liabilities</t>
  </si>
  <si>
    <t>Accrued expenses and deferred income</t>
  </si>
  <si>
    <t>Other current liabilities</t>
  </si>
  <si>
    <t>Total debt</t>
  </si>
  <si>
    <t>Total E/D</t>
  </si>
  <si>
    <t>Model OP</t>
  </si>
  <si>
    <t>Reported OP</t>
  </si>
  <si>
    <t>Adjustment for non-cash</t>
  </si>
  <si>
    <t>Interest paid and received</t>
  </si>
  <si>
    <t>Paid income tax</t>
  </si>
  <si>
    <t>WC</t>
  </si>
  <si>
    <t>CFFO</t>
  </si>
  <si>
    <t>Capex</t>
  </si>
  <si>
    <t>CFFI</t>
  </si>
  <si>
    <t>Loans raised</t>
  </si>
  <si>
    <t>Loans repaid</t>
  </si>
  <si>
    <t>Amortisation of lease liabilties</t>
  </si>
  <si>
    <t>News share issue following excercise of warrents</t>
  </si>
  <si>
    <t>Repurchase of warrents</t>
  </si>
  <si>
    <t>Buybacks</t>
  </si>
  <si>
    <t>Dividends</t>
  </si>
  <si>
    <t>CFFF</t>
  </si>
  <si>
    <t>CIC</t>
  </si>
  <si>
    <t>FCF</t>
  </si>
  <si>
    <t>Opex y/y</t>
  </si>
  <si>
    <t>Disocunt</t>
  </si>
  <si>
    <t>TV</t>
  </si>
  <si>
    <t>NPV</t>
  </si>
  <si>
    <t>NPV/Share</t>
  </si>
  <si>
    <t>Opp/nedside</t>
  </si>
  <si>
    <t>EBITDA</t>
  </si>
  <si>
    <t>EBITDA margin</t>
  </si>
  <si>
    <t>EBITDA LTM</t>
  </si>
  <si>
    <t>Q126</t>
  </si>
  <si>
    <t>Q226</t>
  </si>
  <si>
    <t>Q326</t>
  </si>
  <si>
    <t>Q426</t>
  </si>
  <si>
    <t>0% vekst og konstante marginer</t>
  </si>
  <si>
    <t>Press releases:</t>
  </si>
  <si>
    <t>Tilbakekjøpsprogram</t>
  </si>
  <si>
    <t>Dato kjøp</t>
  </si>
  <si>
    <t>Antall aksjer</t>
  </si>
  <si>
    <t>Akummelert antall aksjer</t>
  </si>
  <si>
    <t>Kjøp </t>
  </si>
  <si>
    <t>Akkumelert kjøp </t>
  </si>
  <si>
    <t>Other non-current assets</t>
  </si>
  <si>
    <t>08.05.26: Hemnet starter nytt tilbakekjøpsprogram på opptil 600 SEKm</t>
  </si>
  <si>
    <t>Januar</t>
  </si>
  <si>
    <t>Februar</t>
  </si>
  <si>
    <t>Mars</t>
  </si>
  <si>
    <t>april</t>
  </si>
  <si>
    <t>mai</t>
  </si>
  <si>
    <t>juni</t>
  </si>
  <si>
    <t>Net sales, total</t>
  </si>
  <si>
    <t>Net sales, property sellers</t>
  </si>
  <si>
    <t>Net sales B2B</t>
  </si>
  <si>
    <t>ARPL paid</t>
  </si>
  <si>
    <t>Published listings (thousand)</t>
  </si>
  <si>
    <t>Paid listings (thousand)</t>
  </si>
  <si>
    <t>juli</t>
  </si>
  <si>
    <t>august</t>
  </si>
  <si>
    <t>september</t>
  </si>
  <si>
    <t>oktober</t>
  </si>
  <si>
    <t>november</t>
  </si>
  <si>
    <t>desember</t>
  </si>
  <si>
    <t>Q1</t>
  </si>
  <si>
    <t>Q2</t>
  </si>
  <si>
    <t>Q3</t>
  </si>
  <si>
    <t>Q4</t>
  </si>
  <si>
    <t>18.05.26: Hemnet kjøper tilbake 80 000 aksjer</t>
  </si>
  <si>
    <t>25.05.26: Hemnet kjøper tilbake 125 000 aksjer</t>
  </si>
  <si>
    <t>01.06.26: Hemnet kjøper tilbake 125 000 aksjer</t>
  </si>
  <si>
    <t>08.06.26: Hemnet kjøper tilbake 125 000 aksjer</t>
  </si>
  <si>
    <t>15.06.26: Hemnet kjøper tilbake 125 000 aksjer</t>
  </si>
  <si>
    <t>22.06.26: CFO Anders Örnulf har bestemt seg for å forlate Hemnet. Ny CFO Peter Messner vil starte 20.juli 2026</t>
  </si>
  <si>
    <t>22.06.26: Hemnet kjøper tilbake 120 000 aksjer</t>
  </si>
  <si>
    <t>07.05.26: Hemnet kjøper tilbake 92 000 aksjer og fullfører tilbakekjøpsprogrammet sitt</t>
  </si>
  <si>
    <t>04.05.26: Hemnet kjøper tilbake 175 000 aksjer</t>
  </si>
  <si>
    <t>27.04.26: Hemnet kjøper tilbake 100 000 aksjer</t>
  </si>
  <si>
    <t>20.04.26: Hemnet kjøper tilbake 100 000 aksjer</t>
  </si>
  <si>
    <t>13.04.26: Hemnet kjøper tilbake 80 000 aksjer</t>
  </si>
  <si>
    <t>07.04.26: Hemnet kjøper tilbake 80 000 aksjer</t>
  </si>
  <si>
    <t>30.03.26: Hemnet kjøper tilbake 143 050 aksjer</t>
  </si>
  <si>
    <t>29.06.26: Hemnet kjøper tilbake 150 000 aksjer</t>
  </si>
  <si>
    <t>Gearing</t>
  </si>
  <si>
    <t>06.07.26: Hemnet kjøper tilbake 150 000 aksjer</t>
  </si>
  <si>
    <t>13.07.26: Hemnet kjøper tilbake 150 000 aksjer</t>
  </si>
  <si>
    <t>20.07.26: Hemnet kjøper tilbake 139 314 aksjer</t>
  </si>
  <si>
    <t>27.07.26: Hemnet kjøper tilbake 125 000 aksjer</t>
  </si>
  <si>
    <t>03.08.26: hemnet kjøper tilbake 123 000 aksjer</t>
  </si>
  <si>
    <t>10.08.26: Hemnet kjøper tilbake 120 000 aksjer</t>
  </si>
  <si>
    <t>17.08.26: Hemnet kjøper tilbake 120 000 aksjer</t>
  </si>
  <si>
    <t>24.08.26: Hemnet kjøper tilbake 233 610 aksjer</t>
  </si>
  <si>
    <t>31.08.26: Hemnet kjøper tilbake 125 000 aksjer</t>
  </si>
  <si>
    <t>07.09.26: Hemnet kjøper tilbake  125 000 aksjer</t>
  </si>
  <si>
    <t xml:space="preserve">09.07.26: Hemnet setter tilbakekjøpsprogrammet på pause </t>
  </si>
  <si>
    <t>Setter programmet på 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</si>
</sst>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0" fontId="1" fillId="0" borderId="0" xfId="0" applyNumberFormat="1" applyFont="1"/>
    <xf numFmtId="3" fontId="4" fillId="0" borderId="0" xfId="0" applyNumberFormat="1" applyFont="1"/>
    <xf numFmtId="10" fontId="1" fillId="0" borderId="1" xfId="0" applyNumberFormat="1" applyFont="1" applyBorder="1"/>
    <xf numFmtId="0" fontId="5" fillId="0" borderId="2" xfId="0" applyFont="1" applyBorder="1"/>
    <xf numFmtId="0" fontId="6" fillId="0" borderId="2" xfId="0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2" fontId="1" fillId="0" borderId="0" xfId="0" applyNumberFormat="1" applyFont="1"/>
    <xf numFmtId="10" fontId="3" fillId="0" borderId="0" xfId="0" applyNumberFormat="1" applyFont="1"/>
    <xf numFmtId="165" fontId="6" fillId="0" borderId="2" xfId="0" applyNumberFormat="1" applyFont="1" applyBorder="1"/>
    <xf numFmtId="1" fontId="2" fillId="0" borderId="1" xfId="0" applyNumberFormat="1" applyFont="1" applyBorder="1"/>
    <xf numFmtId="1" fontId="2" fillId="0" borderId="0" xfId="0" applyNumberFormat="1" applyFont="1"/>
    <xf numFmtId="0" fontId="8" fillId="0" borderId="0" xfId="0" applyFont="1"/>
    <xf numFmtId="10" fontId="10" fillId="0" borderId="0" xfId="0" applyNumberFormat="1" applyFont="1"/>
    <xf numFmtId="3" fontId="8" fillId="0" borderId="0" xfId="0" applyNumberFormat="1" applyFont="1"/>
    <xf numFmtId="0" fontId="8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4" fontId="2" fillId="0" borderId="0" xfId="0" applyNumberFormat="1" applyFont="1"/>
    <xf numFmtId="10" fontId="4" fillId="0" borderId="1" xfId="0" applyNumberFormat="1" applyFont="1" applyBorder="1"/>
    <xf numFmtId="2" fontId="2" fillId="0" borderId="1" xfId="0" applyNumberFormat="1" applyFont="1" applyBorder="1"/>
    <xf numFmtId="14" fontId="11" fillId="2" borderId="0" xfId="0" applyNumberFormat="1" applyFont="1" applyFill="1" applyAlignment="1">
      <alignment horizontal="left"/>
    </xf>
    <xf numFmtId="3" fontId="11" fillId="2" borderId="0" xfId="0" applyNumberFormat="1" applyFont="1" applyFill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89A0B7FB-FA72-F34B-9641-B1AD43CDD8DB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63" dT="2025-09-24T17:54:53.02" personId="{89A0B7FB-FA72-F34B-9641-B1AD43CDD8DB}" id="{9F2A8D96-BE3C-634A-A468-A761CD121394}">
    <text>Oppkjøp</text>
  </threadedComment>
  <threadedComment ref="Z66" dT="2025-09-24T17:55:31.72" personId="{89A0B7FB-FA72-F34B-9641-B1AD43CDD8DB}" id="{66E27F50-5F77-C541-A8BB-BB4B5E474CE5}">
    <text>Hentet inn 1360,290 i ny EK og 380 i lån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297D19-5566-404E-9DBE-2FC34F16CAA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3499f08-ec3b-4b64-8dba-6685d7273fc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W54"/>
  <sheetViews>
    <sheetView showGridLines="0" workbookViewId="0">
      <selection activeCell="M34" sqref="M34"/>
    </sheetView>
  </sheetViews>
  <sheetFormatPr baseColWidth="10" defaultRowHeight="19" x14ac:dyDescent="0.25"/>
  <cols>
    <col min="1" max="1" width="11.83203125" style="2" bestFit="1" customWidth="1"/>
    <col min="2" max="6" width="10.83203125" style="2"/>
    <col min="7" max="7" width="18.83203125" style="2" customWidth="1"/>
    <col min="8" max="11" width="10.83203125" style="2"/>
    <col min="12" max="12" width="25.5" style="43" customWidth="1"/>
    <col min="13" max="13" width="16.33203125" style="44" customWidth="1"/>
    <col min="14" max="14" width="26.1640625" style="44" customWidth="1"/>
    <col min="15" max="15" width="13" style="44" customWidth="1"/>
    <col min="16" max="16" width="17.6640625" style="44" customWidth="1"/>
    <col min="17" max="18" width="10.83203125" style="2"/>
    <col min="19" max="19" width="23.1640625" style="42" customWidth="1"/>
    <col min="20" max="20" width="17.83203125" style="44" customWidth="1"/>
    <col min="21" max="21" width="28.6640625" style="44" customWidth="1"/>
    <col min="22" max="22" width="13.1640625" style="44" customWidth="1"/>
    <col min="23" max="23" width="15.6640625" style="44" customWidth="1"/>
    <col min="24" max="16384" width="10.83203125" style="2"/>
  </cols>
  <sheetData>
    <row r="1" spans="1:23" x14ac:dyDescent="0.25">
      <c r="L1" s="2"/>
      <c r="M1" s="2"/>
      <c r="N1" s="2"/>
      <c r="O1" s="2"/>
      <c r="P1" s="2"/>
      <c r="S1" s="2"/>
      <c r="T1" s="2"/>
      <c r="U1" s="2"/>
      <c r="V1" s="2"/>
      <c r="W1" s="2"/>
    </row>
    <row r="2" spans="1:23" x14ac:dyDescent="0.25">
      <c r="L2" s="2"/>
      <c r="M2" s="2"/>
      <c r="N2" s="2"/>
      <c r="O2" s="2"/>
      <c r="P2" s="2"/>
      <c r="S2" s="2"/>
      <c r="T2" s="2"/>
      <c r="U2" s="2"/>
      <c r="V2" s="2"/>
      <c r="W2" s="2"/>
    </row>
    <row r="3" spans="1:23" x14ac:dyDescent="0.25">
      <c r="L3" s="2"/>
      <c r="M3" s="2"/>
      <c r="N3" s="2"/>
      <c r="O3" s="2"/>
      <c r="P3" s="2"/>
      <c r="S3" s="2"/>
      <c r="T3" s="2"/>
      <c r="U3" s="2"/>
      <c r="V3" s="2"/>
      <c r="W3" s="2"/>
    </row>
    <row r="4" spans="1:23" x14ac:dyDescent="0.25">
      <c r="L4" s="2"/>
      <c r="M4" s="2"/>
      <c r="N4" s="2"/>
      <c r="O4" s="2"/>
      <c r="P4" s="2"/>
      <c r="S4" s="2"/>
      <c r="T4" s="2"/>
      <c r="U4" s="2"/>
      <c r="V4" s="2"/>
      <c r="W4" s="2"/>
    </row>
    <row r="5" spans="1:23" x14ac:dyDescent="0.25">
      <c r="A5" s="1"/>
      <c r="G5" s="1"/>
      <c r="L5" s="2"/>
      <c r="M5" s="2"/>
      <c r="N5" s="2"/>
      <c r="O5" s="2"/>
      <c r="P5" s="2"/>
      <c r="S5" s="2"/>
      <c r="T5" s="2"/>
      <c r="U5" s="2"/>
      <c r="V5" s="2"/>
      <c r="W5" s="2"/>
    </row>
    <row r="6" spans="1:23" x14ac:dyDescent="0.25">
      <c r="A6" s="1"/>
      <c r="L6" s="2"/>
      <c r="M6" s="2"/>
      <c r="N6" s="2"/>
      <c r="O6" s="2"/>
      <c r="P6" s="2"/>
      <c r="S6" s="2"/>
      <c r="T6" s="2"/>
      <c r="U6" s="2"/>
      <c r="V6" s="2"/>
      <c r="W6" s="2"/>
    </row>
    <row r="7" spans="1:23" x14ac:dyDescent="0.25">
      <c r="A7" s="1"/>
      <c r="L7" s="2"/>
      <c r="M7" s="2"/>
      <c r="N7" s="2"/>
      <c r="O7" s="2"/>
      <c r="P7" s="2"/>
      <c r="S7" s="2"/>
      <c r="T7" s="2"/>
      <c r="U7" s="2"/>
      <c r="V7" s="2"/>
      <c r="W7" s="2"/>
    </row>
    <row r="8" spans="1:23" x14ac:dyDescent="0.25">
      <c r="A8" s="1"/>
      <c r="L8" s="2"/>
      <c r="M8" s="2"/>
      <c r="N8" s="2"/>
      <c r="O8" s="2"/>
      <c r="P8" s="2"/>
      <c r="S8" s="2"/>
      <c r="T8" s="2"/>
      <c r="U8" s="2"/>
      <c r="V8" s="2"/>
      <c r="W8" s="2"/>
    </row>
    <row r="9" spans="1:23" x14ac:dyDescent="0.25">
      <c r="L9" s="1" t="s">
        <v>118</v>
      </c>
      <c r="M9" s="2"/>
      <c r="N9" s="2"/>
      <c r="O9" s="2"/>
      <c r="P9"/>
      <c r="S9" s="1" t="s">
        <v>118</v>
      </c>
      <c r="T9" s="2"/>
      <c r="U9" s="2"/>
      <c r="V9" s="2"/>
      <c r="W9"/>
    </row>
    <row r="10" spans="1:23" x14ac:dyDescent="0.25"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S10" s="1" t="s">
        <v>119</v>
      </c>
      <c r="T10" s="1" t="s">
        <v>120</v>
      </c>
      <c r="U10" s="1" t="s">
        <v>121</v>
      </c>
      <c r="V10" s="1" t="s">
        <v>122</v>
      </c>
      <c r="W10" s="1" t="s">
        <v>123</v>
      </c>
    </row>
    <row r="11" spans="1:23" x14ac:dyDescent="0.25">
      <c r="L11" s="42">
        <v>46160</v>
      </c>
      <c r="M11" s="44">
        <v>80000</v>
      </c>
      <c r="N11" s="44">
        <f>M11</f>
        <v>80000</v>
      </c>
      <c r="O11" s="44">
        <f>2060336+2150884+2151590+2201280</f>
        <v>8564090</v>
      </c>
      <c r="P11" s="44">
        <f>O11</f>
        <v>8564090</v>
      </c>
      <c r="S11" s="42">
        <v>46111</v>
      </c>
      <c r="T11" s="44">
        <v>143050</v>
      </c>
      <c r="U11" s="44">
        <f>T11</f>
        <v>143050</v>
      </c>
      <c r="V11" s="44">
        <f>2098438+2056670+2089808+6496357+2009566</f>
        <v>14750839</v>
      </c>
      <c r="W11" s="44">
        <f>V11</f>
        <v>14750839</v>
      </c>
    </row>
    <row r="12" spans="1:23" x14ac:dyDescent="0.25">
      <c r="L12" s="42">
        <v>46167</v>
      </c>
      <c r="M12" s="44">
        <v>125000</v>
      </c>
      <c r="N12" s="44">
        <f>SUM(M11:M12)</f>
        <v>205000</v>
      </c>
      <c r="O12" s="44">
        <f>2367668+2414588+2333464+2452363+2434958</f>
        <v>12003041</v>
      </c>
      <c r="P12" s="44">
        <f>SUM(O11:O12)</f>
        <v>20567131</v>
      </c>
      <c r="S12" s="42">
        <v>46119</v>
      </c>
      <c r="T12" s="44">
        <v>80000</v>
      </c>
      <c r="U12" s="44">
        <f>SUM(T11:T12)</f>
        <v>223050</v>
      </c>
      <c r="V12" s="44">
        <f>1981314+2098874+2135638+2113074</f>
        <v>8328900</v>
      </c>
      <c r="W12" s="44">
        <f>SUM(V11:V12)</f>
        <v>23079739</v>
      </c>
    </row>
    <row r="13" spans="1:23" x14ac:dyDescent="0.25">
      <c r="L13" s="42">
        <v>46174</v>
      </c>
      <c r="M13" s="44">
        <v>125000</v>
      </c>
      <c r="N13" s="44">
        <f>SUM(M11:M13)</f>
        <v>330000</v>
      </c>
      <c r="O13" s="44">
        <f>2357160+2295290+2400070+2435685+2523293</f>
        <v>12011498</v>
      </c>
      <c r="P13" s="44">
        <f>SUM(O11:O13)</f>
        <v>32578629</v>
      </c>
      <c r="S13" s="42">
        <v>46125</v>
      </c>
      <c r="T13" s="44">
        <v>80000</v>
      </c>
      <c r="U13" s="44">
        <f>SUM(T11:T13)</f>
        <v>303050</v>
      </c>
      <c r="V13" s="44">
        <f>2188888+2292750+2147558+2169802</f>
        <v>8798998</v>
      </c>
      <c r="W13" s="44">
        <f>SUM(V11:V13)</f>
        <v>31878737</v>
      </c>
    </row>
    <row r="14" spans="1:23" x14ac:dyDescent="0.25">
      <c r="L14" s="42">
        <v>46181</v>
      </c>
      <c r="M14" s="44">
        <v>125000</v>
      </c>
      <c r="N14" s="44">
        <f>SUM(M11:M14)</f>
        <v>455000</v>
      </c>
      <c r="O14" s="44">
        <f>2317923+2265573+2277198+2427205+2423010</f>
        <v>11710909</v>
      </c>
      <c r="P14" s="44">
        <f>SUM(O11:O14)</f>
        <v>44289538</v>
      </c>
      <c r="S14" s="42">
        <v>46132</v>
      </c>
      <c r="T14" s="44">
        <v>100000</v>
      </c>
      <c r="U14" s="44">
        <f>SUM(T11:T14)</f>
        <v>403050</v>
      </c>
      <c r="V14" s="44">
        <f>2121074+2210124+2232266+2363304+2476244</f>
        <v>11403012</v>
      </c>
      <c r="W14" s="44">
        <f>SUM(V11:V14)</f>
        <v>43281749</v>
      </c>
    </row>
    <row r="15" spans="1:23" x14ac:dyDescent="0.25">
      <c r="L15" s="42">
        <v>46188</v>
      </c>
      <c r="M15" s="44">
        <v>125000</v>
      </c>
      <c r="N15" s="44">
        <f>SUM(M11:M15)</f>
        <v>580000</v>
      </c>
      <c r="O15" s="44">
        <f>2053298+2134355+2142228+2204675+2281223</f>
        <v>10815779</v>
      </c>
      <c r="P15" s="44">
        <f>SUM(O11:O15)</f>
        <v>55105317</v>
      </c>
      <c r="S15" s="42">
        <v>46139</v>
      </c>
      <c r="T15" s="44">
        <v>100000</v>
      </c>
      <c r="U15" s="44">
        <f>SUM(T11:T15)</f>
        <v>503050</v>
      </c>
      <c r="V15" s="44">
        <f>2439114+2459594+2409192+2384776+2282340</f>
        <v>11975016</v>
      </c>
      <c r="W15" s="44">
        <f>SUM(V11:V15)</f>
        <v>55256765</v>
      </c>
    </row>
    <row r="16" spans="1:23" x14ac:dyDescent="0.25">
      <c r="L16" s="42">
        <v>46195</v>
      </c>
      <c r="M16" s="44">
        <v>120000</v>
      </c>
      <c r="N16" s="44">
        <f>SUM(M11:M16)</f>
        <v>700000</v>
      </c>
      <c r="O16" s="44">
        <f>2163444+2189877+2208306+2302131</f>
        <v>8863758</v>
      </c>
      <c r="P16" s="44">
        <f>SUM(O11:O16)</f>
        <v>63969075</v>
      </c>
      <c r="S16" s="42">
        <v>46146</v>
      </c>
      <c r="T16" s="44">
        <v>175000</v>
      </c>
      <c r="U16" s="44">
        <f>SUM(T11:T16)</f>
        <v>678050</v>
      </c>
      <c r="V16" s="44">
        <f>4672408+7157064+4777940+4179655</f>
        <v>20787067</v>
      </c>
      <c r="W16" s="44">
        <f>SUM(V11:V16)</f>
        <v>76043832</v>
      </c>
    </row>
    <row r="17" spans="1:23" x14ac:dyDescent="0.25">
      <c r="L17" s="42">
        <v>46202</v>
      </c>
      <c r="M17" s="44">
        <v>150000</v>
      </c>
      <c r="N17" s="44">
        <f>SUM(M11:M17)</f>
        <v>850000</v>
      </c>
      <c r="O17" s="44">
        <f>2114391+2026527+2118468+2147988+2086704</f>
        <v>10494078</v>
      </c>
      <c r="P17" s="44">
        <f>SUM(O11:O17)</f>
        <v>74463153</v>
      </c>
      <c r="S17" s="42">
        <v>46149</v>
      </c>
      <c r="T17" s="44">
        <v>92000</v>
      </c>
      <c r="U17" s="44">
        <f>SUM(T11:T17)</f>
        <v>770050</v>
      </c>
      <c r="V17" s="44">
        <f>3210424+3522330+4210563</f>
        <v>10943317</v>
      </c>
      <c r="W17" s="44">
        <f>SUM(V11:V17)</f>
        <v>86987149</v>
      </c>
    </row>
    <row r="18" spans="1:23" x14ac:dyDescent="0.25">
      <c r="L18" s="42">
        <v>46209</v>
      </c>
      <c r="M18" s="44">
        <v>150000</v>
      </c>
      <c r="N18" s="44">
        <f>SUM(M11:M18)</f>
        <v>1000000</v>
      </c>
      <c r="O18" s="44">
        <f>2152629+2223816+2245770+2647461+2763897</f>
        <v>12033573</v>
      </c>
      <c r="P18" s="44">
        <f>SUM(O11:O18)</f>
        <v>86496726</v>
      </c>
    </row>
    <row r="19" spans="1:23" x14ac:dyDescent="0.25">
      <c r="A19" s="1"/>
      <c r="L19" s="42">
        <v>46216</v>
      </c>
      <c r="M19" s="44">
        <v>150000</v>
      </c>
      <c r="N19" s="44">
        <f>SUM(M11:M19)</f>
        <v>1150000</v>
      </c>
      <c r="O19" s="44">
        <f>2629713+2603649+2498823+2477481+2466021</f>
        <v>12675687</v>
      </c>
      <c r="P19" s="44">
        <f>SUM(O11:O19)</f>
        <v>99172413</v>
      </c>
    </row>
    <row r="20" spans="1:23" x14ac:dyDescent="0.25">
      <c r="L20" s="42">
        <v>46223</v>
      </c>
      <c r="M20" s="44">
        <v>139314</v>
      </c>
      <c r="N20" s="44">
        <f>SUM(M11:M20)</f>
        <v>1289314</v>
      </c>
      <c r="O20" s="44">
        <f>2425200+2371137+2389767+2052513+2060762</f>
        <v>11299379</v>
      </c>
      <c r="P20" s="44">
        <f>SUM(O11:O20)</f>
        <v>110471792</v>
      </c>
    </row>
    <row r="21" spans="1:23" x14ac:dyDescent="0.25">
      <c r="L21" s="42">
        <v>46230</v>
      </c>
      <c r="M21" s="44">
        <v>125000</v>
      </c>
      <c r="N21" s="44">
        <f>SUM(M11:M21)</f>
        <v>1414314</v>
      </c>
      <c r="O21" s="44">
        <f>2172578+2193673+2159755+2098008+2075510</f>
        <v>10699524</v>
      </c>
      <c r="P21" s="44">
        <f>SUM(O11:O21)</f>
        <v>121171316</v>
      </c>
    </row>
    <row r="22" spans="1:23" x14ac:dyDescent="0.25">
      <c r="L22" s="42">
        <v>46237</v>
      </c>
      <c r="M22" s="44">
        <v>123000</v>
      </c>
      <c r="N22" s="44">
        <f>SUM(M11:M22)</f>
        <v>1537314</v>
      </c>
      <c r="O22" s="44">
        <f>2144525+2270753+2318220+2203942+2067048</f>
        <v>11004488</v>
      </c>
      <c r="P22" s="44">
        <f>SUM(O11:O22)</f>
        <v>132175804</v>
      </c>
    </row>
    <row r="23" spans="1:23" x14ac:dyDescent="0.25">
      <c r="L23" s="42">
        <v>46244</v>
      </c>
      <c r="M23" s="44">
        <v>120000</v>
      </c>
      <c r="N23" s="44">
        <f>SUM(M11:M23)</f>
        <v>1657314</v>
      </c>
      <c r="O23" s="44">
        <f>1993606+1992838+1993927+1976184+2073434</f>
        <v>10029989</v>
      </c>
      <c r="P23" s="44">
        <f>SUM(O11:O23)</f>
        <v>142205793</v>
      </c>
    </row>
    <row r="24" spans="1:23" x14ac:dyDescent="0.25">
      <c r="L24" s="42">
        <v>46251</v>
      </c>
      <c r="M24" s="44">
        <v>120000</v>
      </c>
      <c r="N24" s="44">
        <f>SUM(M11:M24)</f>
        <v>1777314</v>
      </c>
      <c r="O24" s="44">
        <f>2115127+2196410+2249364+2290718+2447254</f>
        <v>11298873</v>
      </c>
      <c r="P24" s="44">
        <f>SUM(O11:O24)</f>
        <v>153504666</v>
      </c>
    </row>
    <row r="25" spans="1:23" x14ac:dyDescent="0.25">
      <c r="L25" s="42">
        <v>46258</v>
      </c>
      <c r="M25" s="44">
        <v>233610</v>
      </c>
      <c r="N25" s="44">
        <f>SUM(M11:M25)</f>
        <v>2010924</v>
      </c>
      <c r="O25" s="44">
        <f>9964430+6154114+2528405+2516355+2465148</f>
        <v>23628452</v>
      </c>
      <c r="P25" s="44">
        <f>SUM(O11:O25)</f>
        <v>177133118</v>
      </c>
    </row>
    <row r="26" spans="1:23" x14ac:dyDescent="0.25">
      <c r="L26" s="42">
        <v>46265</v>
      </c>
      <c r="M26" s="44">
        <v>125000</v>
      </c>
      <c r="N26" s="44">
        <f>SUM(M11:M26)</f>
        <v>2135924</v>
      </c>
      <c r="O26" s="44">
        <f>2417395+2540775+2513665+2497990+2472325</f>
        <v>12442150</v>
      </c>
      <c r="P26" s="44">
        <f>SUM(O11:O26)</f>
        <v>189575268</v>
      </c>
    </row>
    <row r="27" spans="1:23" x14ac:dyDescent="0.25">
      <c r="A27" s="1" t="s">
        <v>117</v>
      </c>
      <c r="L27" s="42">
        <v>46272</v>
      </c>
      <c r="M27" s="44">
        <v>125000</v>
      </c>
      <c r="N27" s="44">
        <f>SUM(M11:M27)</f>
        <v>2260924</v>
      </c>
      <c r="O27" s="44">
        <f>2413280+2294688+2224273+2258573+2250153</f>
        <v>11440967</v>
      </c>
      <c r="P27" s="44">
        <f>SUM(O11:O27)</f>
        <v>201016235</v>
      </c>
    </row>
    <row r="28" spans="1:23" x14ac:dyDescent="0.25">
      <c r="A28" s="2" t="s">
        <v>174</v>
      </c>
      <c r="L28" s="48">
        <v>46274</v>
      </c>
      <c r="M28" s="49"/>
      <c r="N28" s="49"/>
      <c r="O28" s="49" t="s">
        <v>175</v>
      </c>
      <c r="P28" s="49"/>
    </row>
    <row r="29" spans="1:23" x14ac:dyDescent="0.25">
      <c r="A29" s="2" t="s">
        <v>173</v>
      </c>
    </row>
    <row r="30" spans="1:23" x14ac:dyDescent="0.25">
      <c r="A30" s="45" t="s">
        <v>172</v>
      </c>
    </row>
    <row r="31" spans="1:23" x14ac:dyDescent="0.25">
      <c r="A31" s="2" t="s">
        <v>171</v>
      </c>
    </row>
    <row r="32" spans="1:23" x14ac:dyDescent="0.25">
      <c r="A32" s="2" t="s">
        <v>170</v>
      </c>
    </row>
    <row r="33" spans="1:1" x14ac:dyDescent="0.25">
      <c r="A33" s="2" t="s">
        <v>169</v>
      </c>
    </row>
    <row r="34" spans="1:1" x14ac:dyDescent="0.25">
      <c r="A34" s="2" t="s">
        <v>168</v>
      </c>
    </row>
    <row r="35" spans="1:1" x14ac:dyDescent="0.25">
      <c r="A35" s="2" t="s">
        <v>167</v>
      </c>
    </row>
    <row r="36" spans="1:1" x14ac:dyDescent="0.25">
      <c r="A36" s="2" t="s">
        <v>166</v>
      </c>
    </row>
    <row r="37" spans="1:1" x14ac:dyDescent="0.25">
      <c r="A37" s="2" t="s">
        <v>165</v>
      </c>
    </row>
    <row r="38" spans="1:1" x14ac:dyDescent="0.25">
      <c r="A38" s="2" t="s">
        <v>164</v>
      </c>
    </row>
    <row r="39" spans="1:1" x14ac:dyDescent="0.25">
      <c r="A39" s="45" t="s">
        <v>162</v>
      </c>
    </row>
    <row r="40" spans="1:1" x14ac:dyDescent="0.25">
      <c r="A40" s="2" t="s">
        <v>154</v>
      </c>
    </row>
    <row r="41" spans="1:1" x14ac:dyDescent="0.25">
      <c r="A41" s="2" t="s">
        <v>153</v>
      </c>
    </row>
    <row r="42" spans="1:1" x14ac:dyDescent="0.25">
      <c r="A42" s="2" t="s">
        <v>152</v>
      </c>
    </row>
    <row r="43" spans="1:1" x14ac:dyDescent="0.25">
      <c r="A43" s="2" t="s">
        <v>151</v>
      </c>
    </row>
    <row r="44" spans="1:1" x14ac:dyDescent="0.25">
      <c r="A44" s="2" t="s">
        <v>150</v>
      </c>
    </row>
    <row r="45" spans="1:1" x14ac:dyDescent="0.25">
      <c r="A45" s="2" t="s">
        <v>149</v>
      </c>
    </row>
    <row r="46" spans="1:1" x14ac:dyDescent="0.25">
      <c r="A46" s="2" t="s">
        <v>148</v>
      </c>
    </row>
    <row r="47" spans="1:1" x14ac:dyDescent="0.25">
      <c r="A47" s="2" t="s">
        <v>125</v>
      </c>
    </row>
    <row r="48" spans="1:1" x14ac:dyDescent="0.25">
      <c r="A48" s="2" t="s">
        <v>155</v>
      </c>
    </row>
    <row r="49" spans="1:1" x14ac:dyDescent="0.25">
      <c r="A49" s="2" t="s">
        <v>156</v>
      </c>
    </row>
    <row r="50" spans="1:1" x14ac:dyDescent="0.25">
      <c r="A50" s="2" t="s">
        <v>157</v>
      </c>
    </row>
    <row r="51" spans="1:1" x14ac:dyDescent="0.25">
      <c r="A51" s="2" t="s">
        <v>158</v>
      </c>
    </row>
    <row r="52" spans="1:1" x14ac:dyDescent="0.25">
      <c r="A52" s="2" t="s">
        <v>159</v>
      </c>
    </row>
    <row r="53" spans="1:1" x14ac:dyDescent="0.25">
      <c r="A53" s="2" t="s">
        <v>160</v>
      </c>
    </row>
    <row r="54" spans="1:1" x14ac:dyDescent="0.25">
      <c r="A54" s="2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GX130"/>
  <sheetViews>
    <sheetView showGridLines="0" tabSelected="1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7.3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0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2" width="10.83203125" style="2"/>
    <col min="33" max="33" width="12" style="2" bestFit="1" customWidth="1"/>
    <col min="34" max="34" width="10.83203125" style="2"/>
    <col min="35" max="35" width="10.83203125" style="4"/>
    <col min="36" max="45" width="10.83203125" style="2"/>
    <col min="46" max="46" width="14.1640625" style="2" bestFit="1" customWidth="1"/>
    <col min="47" max="47" width="14" style="2" bestFit="1" customWidth="1"/>
    <col min="48" max="16384" width="10.83203125" style="2"/>
  </cols>
  <sheetData>
    <row r="1" spans="1:206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D1" s="1"/>
    </row>
    <row r="3" spans="1:206" x14ac:dyDescent="0.25">
      <c r="A3" s="1" t="s">
        <v>0</v>
      </c>
      <c r="C3" s="2" t="s">
        <v>48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112</v>
      </c>
      <c r="U3" s="7" t="s">
        <v>113</v>
      </c>
      <c r="V3" s="7" t="s">
        <v>114</v>
      </c>
      <c r="W3" s="7" t="s">
        <v>115</v>
      </c>
      <c r="X3" s="7"/>
      <c r="Y3" s="7"/>
      <c r="Z3" s="7" t="s">
        <v>41</v>
      </c>
      <c r="AA3" s="7" t="s">
        <v>42</v>
      </c>
      <c r="AB3" s="7" t="s">
        <v>32</v>
      </c>
      <c r="AC3" s="7" t="s">
        <v>33</v>
      </c>
      <c r="AD3" s="7" t="s">
        <v>34</v>
      </c>
      <c r="AE3" s="7" t="s">
        <v>15</v>
      </c>
      <c r="AF3" s="7" t="s">
        <v>16</v>
      </c>
      <c r="AG3" s="7" t="s">
        <v>17</v>
      </c>
      <c r="AH3" s="7" t="s">
        <v>18</v>
      </c>
      <c r="AI3" s="16" t="s">
        <v>19</v>
      </c>
      <c r="AJ3" s="7" t="s">
        <v>20</v>
      </c>
      <c r="AK3" s="7" t="s">
        <v>21</v>
      </c>
      <c r="AL3" s="7" t="s">
        <v>22</v>
      </c>
      <c r="AM3" s="7" t="s">
        <v>23</v>
      </c>
      <c r="AN3" s="7" t="s">
        <v>24</v>
      </c>
      <c r="AO3" s="7" t="s">
        <v>25</v>
      </c>
      <c r="AP3" s="7" t="s">
        <v>26</v>
      </c>
      <c r="AQ3" s="7" t="s">
        <v>27</v>
      </c>
      <c r="AR3" s="7" t="s">
        <v>28</v>
      </c>
    </row>
    <row r="4" spans="1:206" x14ac:dyDescent="0.25">
      <c r="A4" s="2" t="s">
        <v>1</v>
      </c>
      <c r="B4" s="20">
        <v>69</v>
      </c>
      <c r="C4" s="1" t="s">
        <v>51</v>
      </c>
      <c r="D4" s="12">
        <v>180.1</v>
      </c>
      <c r="E4" s="12">
        <v>270.5</v>
      </c>
      <c r="F4" s="12">
        <v>240</v>
      </c>
      <c r="G4" s="12">
        <v>202</v>
      </c>
      <c r="H4" s="12">
        <v>190.5</v>
      </c>
      <c r="I4" s="12">
        <v>268.39999999999998</v>
      </c>
      <c r="J4" s="12">
        <v>272.7</v>
      </c>
      <c r="K4" s="12">
        <v>275.8</v>
      </c>
      <c r="L4" s="12">
        <v>254</v>
      </c>
      <c r="M4" s="12">
        <v>405.6</v>
      </c>
      <c r="N4" s="12">
        <v>372.6</v>
      </c>
      <c r="O4" s="12">
        <v>364.5</v>
      </c>
      <c r="P4" s="12">
        <v>329</v>
      </c>
      <c r="Q4" s="12">
        <v>484</v>
      </c>
      <c r="R4" s="12">
        <v>367.2</v>
      </c>
      <c r="S4" s="12">
        <v>348</v>
      </c>
      <c r="T4" s="12">
        <v>247.4</v>
      </c>
      <c r="U4" s="12">
        <v>371.7</v>
      </c>
      <c r="V4" s="12"/>
      <c r="W4" s="12"/>
      <c r="X4" s="12"/>
      <c r="Y4" s="12"/>
      <c r="Z4" s="12">
        <v>318.47500000000002</v>
      </c>
      <c r="AA4" s="12">
        <v>374</v>
      </c>
      <c r="AB4" s="12">
        <v>446.36900000000003</v>
      </c>
      <c r="AC4" s="12">
        <v>545.846</v>
      </c>
      <c r="AD4" s="12">
        <v>729.9</v>
      </c>
      <c r="AE4" s="12">
        <v>891.8</v>
      </c>
      <c r="AF4" s="12">
        <v>1007</v>
      </c>
      <c r="AG4" s="12">
        <v>1396.7</v>
      </c>
      <c r="AH4" s="12">
        <v>1528</v>
      </c>
      <c r="AI4" s="13">
        <f>AH4*0.75</f>
        <v>1146</v>
      </c>
      <c r="AJ4" s="12">
        <f>AI4*1.05</f>
        <v>1203.3</v>
      </c>
      <c r="AK4" s="12">
        <f t="shared" ref="AK4:AR4" si="0">AJ4*1.05</f>
        <v>1263.4649999999999</v>
      </c>
      <c r="AL4" s="12">
        <f t="shared" si="0"/>
        <v>1326.63825</v>
      </c>
      <c r="AM4" s="12">
        <f t="shared" si="0"/>
        <v>1392.9701625</v>
      </c>
      <c r="AN4" s="12">
        <f t="shared" si="0"/>
        <v>1462.618670625</v>
      </c>
      <c r="AO4" s="12">
        <f t="shared" si="0"/>
        <v>1535.7496041562501</v>
      </c>
      <c r="AP4" s="12">
        <f t="shared" si="0"/>
        <v>1612.5370843640628</v>
      </c>
      <c r="AQ4" s="12">
        <f t="shared" si="0"/>
        <v>1693.1639385822659</v>
      </c>
      <c r="AR4" s="12">
        <f t="shared" si="0"/>
        <v>1777.8221355113792</v>
      </c>
    </row>
    <row r="5" spans="1:206" x14ac:dyDescent="0.25">
      <c r="A5" s="2" t="s">
        <v>2</v>
      </c>
      <c r="B5" s="5">
        <v>95.008346000000003</v>
      </c>
      <c r="C5" s="2" t="s">
        <v>52</v>
      </c>
      <c r="D5" s="14">
        <v>2.5</v>
      </c>
      <c r="E5" s="14">
        <v>2.9</v>
      </c>
      <c r="F5" s="14">
        <v>1.3</v>
      </c>
      <c r="G5" s="14">
        <v>3.3</v>
      </c>
      <c r="H5" s="14">
        <v>3.4</v>
      </c>
      <c r="I5" s="14">
        <v>2.2999999999999998</v>
      </c>
      <c r="J5" s="14">
        <v>3.2</v>
      </c>
      <c r="K5" s="14">
        <v>4</v>
      </c>
      <c r="L5" s="14">
        <v>3.9</v>
      </c>
      <c r="M5" s="14">
        <v>2.7</v>
      </c>
      <c r="N5" s="14">
        <v>1.2</v>
      </c>
      <c r="O5" s="14">
        <v>2.9</v>
      </c>
      <c r="P5" s="14">
        <v>6.4</v>
      </c>
      <c r="Q5" s="14">
        <v>2</v>
      </c>
      <c r="R5" s="14">
        <v>3.7</v>
      </c>
      <c r="S5" s="14">
        <v>3.8</v>
      </c>
      <c r="T5" s="14">
        <v>4.4000000000000004</v>
      </c>
      <c r="U5" s="14">
        <v>5</v>
      </c>
      <c r="V5" s="14"/>
      <c r="W5" s="14"/>
      <c r="X5" s="14"/>
      <c r="Y5" s="14"/>
      <c r="Z5" s="14">
        <v>0</v>
      </c>
      <c r="AA5" s="14">
        <v>0</v>
      </c>
      <c r="AB5" s="14">
        <v>4.3</v>
      </c>
      <c r="AC5" s="14">
        <v>3.9</v>
      </c>
      <c r="AD5" s="14">
        <v>4.5999999999999996</v>
      </c>
      <c r="AE5" s="14">
        <v>10</v>
      </c>
      <c r="AF5" s="14">
        <v>13</v>
      </c>
      <c r="AG5" s="14">
        <v>10.7</v>
      </c>
      <c r="AH5" s="14">
        <v>16</v>
      </c>
      <c r="AI5" s="15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206" x14ac:dyDescent="0.25">
      <c r="A6" s="2" t="s">
        <v>44</v>
      </c>
      <c r="B6" s="5">
        <f>B4*B5</f>
        <v>6555.5758740000001</v>
      </c>
      <c r="C6" s="2" t="s">
        <v>53</v>
      </c>
      <c r="D6" s="14">
        <v>-59</v>
      </c>
      <c r="E6" s="14">
        <v>-86.8</v>
      </c>
      <c r="F6" s="14">
        <v>-79.2</v>
      </c>
      <c r="G6" s="14">
        <v>-74</v>
      </c>
      <c r="H6" s="14">
        <v>-63.2</v>
      </c>
      <c r="I6" s="14">
        <v>-85.2</v>
      </c>
      <c r="J6" s="14">
        <v>-82.5</v>
      </c>
      <c r="K6" s="14">
        <v>-92.8</v>
      </c>
      <c r="L6" s="14">
        <v>-86.9</v>
      </c>
      <c r="M6" s="14">
        <v>-137.69999999999999</v>
      </c>
      <c r="N6" s="14">
        <v>-120.1</v>
      </c>
      <c r="O6" s="14">
        <v>-136</v>
      </c>
      <c r="P6" s="14">
        <v>-118</v>
      </c>
      <c r="Q6" s="14">
        <v>-165.7</v>
      </c>
      <c r="R6" s="14">
        <v>-131.69999999999999</v>
      </c>
      <c r="S6" s="14">
        <v>-133.6</v>
      </c>
      <c r="T6" s="14">
        <v>-103</v>
      </c>
      <c r="U6" s="14">
        <v>-142.4</v>
      </c>
      <c r="V6" s="14"/>
      <c r="W6" s="14"/>
      <c r="X6" s="14"/>
      <c r="Y6" s="14"/>
      <c r="Z6" s="14">
        <v>-181.48</v>
      </c>
      <c r="AA6" s="14">
        <v>-166.75200000000001</v>
      </c>
      <c r="AB6" s="14">
        <v>-189</v>
      </c>
      <c r="AC6" s="14">
        <v>-245.30799999999999</v>
      </c>
      <c r="AD6" s="14">
        <v>-299.89999999999998</v>
      </c>
      <c r="AE6" s="14">
        <v>-299</v>
      </c>
      <c r="AF6" s="14">
        <v>-323.7</v>
      </c>
      <c r="AG6" s="14">
        <v>-480.7</v>
      </c>
      <c r="AH6" s="14">
        <v>-549</v>
      </c>
      <c r="AI6" s="15">
        <f>AH6*0.85</f>
        <v>-466.65</v>
      </c>
      <c r="AJ6" s="14">
        <f>AI6*1.05</f>
        <v>-489.98250000000002</v>
      </c>
      <c r="AK6" s="14">
        <f t="shared" ref="AK6:AR6" si="1">AJ6*1.05</f>
        <v>-514.48162500000001</v>
      </c>
      <c r="AL6" s="14">
        <f t="shared" si="1"/>
        <v>-540.20570625000005</v>
      </c>
      <c r="AM6" s="14">
        <f t="shared" si="1"/>
        <v>-567.21599156250011</v>
      </c>
      <c r="AN6" s="14">
        <f t="shared" si="1"/>
        <v>-595.57679114062512</v>
      </c>
      <c r="AO6" s="14">
        <f t="shared" si="1"/>
        <v>-625.35563069765635</v>
      </c>
      <c r="AP6" s="14">
        <f t="shared" si="1"/>
        <v>-656.62341223253918</v>
      </c>
      <c r="AQ6" s="14">
        <f t="shared" si="1"/>
        <v>-689.45458284416623</v>
      </c>
      <c r="AR6" s="14">
        <f t="shared" si="1"/>
        <v>-723.92731198637455</v>
      </c>
    </row>
    <row r="7" spans="1:206" x14ac:dyDescent="0.25">
      <c r="A7" s="2" t="s">
        <v>45</v>
      </c>
      <c r="B7" s="5">
        <f>U41</f>
        <v>173.8</v>
      </c>
      <c r="C7" s="2" t="s">
        <v>54</v>
      </c>
      <c r="D7" s="14">
        <v>-37.799999999999997</v>
      </c>
      <c r="E7" s="14">
        <v>-41</v>
      </c>
      <c r="F7" s="14">
        <v>-32.700000000000003</v>
      </c>
      <c r="G7" s="14">
        <v>-41.7</v>
      </c>
      <c r="H7" s="14">
        <v>-43.1</v>
      </c>
      <c r="I7" s="14">
        <v>-44.4</v>
      </c>
      <c r="J7" s="14">
        <v>-37</v>
      </c>
      <c r="K7" s="14">
        <v>-45.1</v>
      </c>
      <c r="L7" s="14">
        <v>-50.9</v>
      </c>
      <c r="M7" s="14">
        <v>-53.9</v>
      </c>
      <c r="N7" s="14">
        <v>-45.7</v>
      </c>
      <c r="O7" s="14">
        <v>-54.7</v>
      </c>
      <c r="P7" s="14">
        <v>-59.5</v>
      </c>
      <c r="Q7" s="14">
        <v>-58.7</v>
      </c>
      <c r="R7" s="14">
        <v>-43.3</v>
      </c>
      <c r="S7" s="14">
        <v>-64.400000000000006</v>
      </c>
      <c r="T7" s="14">
        <v>-59</v>
      </c>
      <c r="U7" s="14">
        <v>-62.9</v>
      </c>
      <c r="Z7" s="14">
        <v>-60.5</v>
      </c>
      <c r="AA7" s="14">
        <v>-69.885000000000005</v>
      </c>
      <c r="AB7" s="14">
        <v>-88.679000000000002</v>
      </c>
      <c r="AC7" s="14">
        <v>-114.756</v>
      </c>
      <c r="AD7" s="14">
        <v>-130</v>
      </c>
      <c r="AE7" s="14">
        <v>-153.19999999999999</v>
      </c>
      <c r="AF7" s="14">
        <v>-169.6</v>
      </c>
      <c r="AG7" s="14">
        <v>-205.2</v>
      </c>
      <c r="AH7" s="14">
        <v>-226</v>
      </c>
      <c r="AI7" s="15">
        <f t="shared" ref="AI7:AI9" si="2">AH7*0.85</f>
        <v>-192.1</v>
      </c>
      <c r="AJ7" s="14">
        <f t="shared" ref="AJ7:AR9" si="3">AI7*1.05</f>
        <v>-201.70500000000001</v>
      </c>
      <c r="AK7" s="14">
        <f t="shared" si="3"/>
        <v>-211.79025000000001</v>
      </c>
      <c r="AL7" s="14">
        <f t="shared" si="3"/>
        <v>-222.37976250000003</v>
      </c>
      <c r="AM7" s="14">
        <f t="shared" si="3"/>
        <v>-233.49875062500004</v>
      </c>
      <c r="AN7" s="14">
        <f t="shared" si="3"/>
        <v>-245.17368815625005</v>
      </c>
      <c r="AO7" s="14">
        <f t="shared" si="3"/>
        <v>-257.43237256406258</v>
      </c>
      <c r="AP7" s="14">
        <f t="shared" si="3"/>
        <v>-270.3039911922657</v>
      </c>
      <c r="AQ7" s="14">
        <f t="shared" si="3"/>
        <v>-283.81919075187898</v>
      </c>
      <c r="AR7" s="14">
        <f t="shared" si="3"/>
        <v>-298.01015028947296</v>
      </c>
    </row>
    <row r="8" spans="1:206" x14ac:dyDescent="0.25">
      <c r="A8" s="2" t="s">
        <v>46</v>
      </c>
      <c r="B8" s="5">
        <f>U45</f>
        <v>846.8</v>
      </c>
      <c r="C8" s="2" t="s">
        <v>55</v>
      </c>
      <c r="D8" s="14">
        <v>-17.7</v>
      </c>
      <c r="E8" s="14">
        <v>-17.8</v>
      </c>
      <c r="F8" s="14">
        <v>-17.600000000000001</v>
      </c>
      <c r="G8" s="14">
        <v>-17.5</v>
      </c>
      <c r="H8" s="14">
        <v>-19.100000000000001</v>
      </c>
      <c r="I8" s="14">
        <v>-19</v>
      </c>
      <c r="J8" s="14">
        <v>-19.100000000000001</v>
      </c>
      <c r="K8" s="14">
        <v>-20.100000000000001</v>
      </c>
      <c r="L8" s="14">
        <v>-20.8</v>
      </c>
      <c r="M8" s="14">
        <v>-20.6</v>
      </c>
      <c r="N8" s="14">
        <v>-21.9</v>
      </c>
      <c r="O8" s="14">
        <v>-22.7</v>
      </c>
      <c r="P8" s="14">
        <v>-22.5</v>
      </c>
      <c r="Q8" s="14">
        <v>-23.2</v>
      </c>
      <c r="R8" s="14">
        <v>-24.1</v>
      </c>
      <c r="S8" s="14">
        <v>-23.9</v>
      </c>
      <c r="T8" s="14">
        <v>-23.9</v>
      </c>
      <c r="U8" s="14">
        <v>-23</v>
      </c>
      <c r="V8" s="14"/>
      <c r="W8" s="14"/>
      <c r="X8" s="14"/>
      <c r="Y8" s="14"/>
      <c r="Z8" s="14">
        <v>-63.3</v>
      </c>
      <c r="AA8" s="14">
        <v>-64.793000000000006</v>
      </c>
      <c r="AB8" s="14">
        <v>-73.2</v>
      </c>
      <c r="AC8" s="14">
        <v>-77.447000000000003</v>
      </c>
      <c r="AD8" s="14">
        <v>-79</v>
      </c>
      <c r="AE8" s="14">
        <v>-70.599999999999994</v>
      </c>
      <c r="AF8" s="14">
        <v>-77.3</v>
      </c>
      <c r="AG8" s="14">
        <v>-86</v>
      </c>
      <c r="AH8" s="14">
        <v>-94</v>
      </c>
      <c r="AI8" s="15">
        <f t="shared" si="2"/>
        <v>-79.899999999999991</v>
      </c>
      <c r="AJ8" s="14">
        <f t="shared" si="3"/>
        <v>-83.894999999999996</v>
      </c>
      <c r="AK8" s="14">
        <f t="shared" si="3"/>
        <v>-88.089749999999995</v>
      </c>
      <c r="AL8" s="14">
        <f t="shared" si="3"/>
        <v>-92.494237499999997</v>
      </c>
      <c r="AM8" s="14">
        <f t="shared" si="3"/>
        <v>-97.118949375</v>
      </c>
      <c r="AN8" s="14">
        <f t="shared" si="3"/>
        <v>-101.97489684375</v>
      </c>
      <c r="AO8" s="14">
        <f t="shared" si="3"/>
        <v>-107.0736416859375</v>
      </c>
      <c r="AP8" s="14">
        <f t="shared" si="3"/>
        <v>-112.42732377023438</v>
      </c>
      <c r="AQ8" s="14">
        <f t="shared" si="3"/>
        <v>-118.04868995874611</v>
      </c>
      <c r="AR8" s="14">
        <f t="shared" si="3"/>
        <v>-123.95112445668342</v>
      </c>
    </row>
    <row r="9" spans="1:206" x14ac:dyDescent="0.25">
      <c r="A9" s="3" t="s">
        <v>47</v>
      </c>
      <c r="B9" s="6">
        <f>B6-B7+B8</f>
        <v>7228.5758740000001</v>
      </c>
      <c r="C9" s="2" t="s">
        <v>56</v>
      </c>
      <c r="D9" s="14">
        <v>0</v>
      </c>
      <c r="E9" s="14">
        <v>0</v>
      </c>
      <c r="F9" s="14">
        <v>0</v>
      </c>
      <c r="G9" s="14">
        <v>0</v>
      </c>
      <c r="H9" s="14">
        <v>-0.4</v>
      </c>
      <c r="I9" s="14">
        <v>0</v>
      </c>
      <c r="J9" s="14">
        <v>0</v>
      </c>
      <c r="K9" s="14">
        <v>-0.4</v>
      </c>
      <c r="L9" s="14">
        <v>-0.4</v>
      </c>
      <c r="M9" s="14">
        <v>-0.5</v>
      </c>
      <c r="N9" s="14">
        <v>-0.4</v>
      </c>
      <c r="O9" s="14">
        <v>-0.4</v>
      </c>
      <c r="P9" s="14">
        <v>-0.4</v>
      </c>
      <c r="Q9" s="14">
        <v>-0.7</v>
      </c>
      <c r="R9" s="14">
        <v>-0.5</v>
      </c>
      <c r="S9" s="14">
        <v>-0.5</v>
      </c>
      <c r="T9" s="14">
        <v>-0.5</v>
      </c>
      <c r="U9" s="14">
        <v>0</v>
      </c>
      <c r="V9" s="14"/>
      <c r="W9" s="14"/>
      <c r="X9" s="14"/>
      <c r="Y9" s="14"/>
      <c r="Z9" s="14">
        <v>0</v>
      </c>
      <c r="AA9" s="14">
        <v>0</v>
      </c>
      <c r="AB9" s="14">
        <v>-1</v>
      </c>
      <c r="AC9" s="14">
        <v>-1.7</v>
      </c>
      <c r="AD9" s="14">
        <v>-1.7</v>
      </c>
      <c r="AE9" s="14">
        <v>-1.5</v>
      </c>
      <c r="AF9" s="14">
        <v>-1.6</v>
      </c>
      <c r="AG9" s="14">
        <v>-1.7</v>
      </c>
      <c r="AH9" s="14">
        <v>-2</v>
      </c>
      <c r="AI9" s="15">
        <f t="shared" si="2"/>
        <v>-1.7</v>
      </c>
      <c r="AJ9" s="14">
        <f t="shared" si="3"/>
        <v>-1.7849999999999999</v>
      </c>
      <c r="AK9" s="14">
        <f t="shared" si="3"/>
        <v>-1.87425</v>
      </c>
      <c r="AL9" s="14">
        <f t="shared" si="3"/>
        <v>-1.9679625000000001</v>
      </c>
      <c r="AM9" s="14">
        <f t="shared" si="3"/>
        <v>-2.0663606250000002</v>
      </c>
      <c r="AN9" s="14">
        <f t="shared" si="3"/>
        <v>-2.1696786562500003</v>
      </c>
      <c r="AO9" s="14">
        <f t="shared" si="3"/>
        <v>-2.2781625890625006</v>
      </c>
      <c r="AP9" s="14">
        <f t="shared" si="3"/>
        <v>-2.3920707185156256</v>
      </c>
      <c r="AQ9" s="14">
        <f t="shared" si="3"/>
        <v>-2.5116742544414068</v>
      </c>
      <c r="AR9" s="14">
        <f t="shared" si="3"/>
        <v>-2.6372579671634773</v>
      </c>
    </row>
    <row r="10" spans="1:206" x14ac:dyDescent="0.25">
      <c r="C10" s="2" t="s">
        <v>57</v>
      </c>
      <c r="D10" s="14">
        <f t="shared" ref="D10:Q10" si="4">SUM(D6:D9)</f>
        <v>-114.5</v>
      </c>
      <c r="E10" s="14">
        <f t="shared" si="4"/>
        <v>-145.6</v>
      </c>
      <c r="F10" s="14">
        <f t="shared" si="4"/>
        <v>-129.5</v>
      </c>
      <c r="G10" s="14">
        <f t="shared" si="4"/>
        <v>-133.19999999999999</v>
      </c>
      <c r="H10" s="14">
        <f t="shared" si="4"/>
        <v>-125.80000000000001</v>
      </c>
      <c r="I10" s="14">
        <f t="shared" si="4"/>
        <v>-148.6</v>
      </c>
      <c r="J10" s="14">
        <f t="shared" si="4"/>
        <v>-138.6</v>
      </c>
      <c r="K10" s="14">
        <f t="shared" si="4"/>
        <v>-158.4</v>
      </c>
      <c r="L10" s="14">
        <f t="shared" si="4"/>
        <v>-159.00000000000003</v>
      </c>
      <c r="M10" s="14">
        <f t="shared" si="4"/>
        <v>-212.7</v>
      </c>
      <c r="N10" s="14">
        <f t="shared" si="4"/>
        <v>-188.10000000000002</v>
      </c>
      <c r="O10" s="14">
        <f t="shared" si="4"/>
        <v>-213.79999999999998</v>
      </c>
      <c r="P10" s="14">
        <f t="shared" si="4"/>
        <v>-200.4</v>
      </c>
      <c r="Q10" s="14">
        <f t="shared" si="4"/>
        <v>-248.29999999999995</v>
      </c>
      <c r="R10" s="14">
        <f>SUM(R6:R9)</f>
        <v>-199.6</v>
      </c>
      <c r="S10" s="14">
        <f>SUM(S6:S9)</f>
        <v>-222.4</v>
      </c>
      <c r="T10" s="14">
        <f>SUM(T6:T9)</f>
        <v>-186.4</v>
      </c>
      <c r="U10" s="14">
        <f>SUM(U6:U9)</f>
        <v>-228.3</v>
      </c>
      <c r="V10" s="14"/>
      <c r="W10" s="14"/>
      <c r="X10" s="14"/>
      <c r="Y10" s="14"/>
      <c r="Z10" s="14">
        <f t="shared" ref="Z10:AG10" si="5">SUM(Z6:Z9)</f>
        <v>-305.27999999999997</v>
      </c>
      <c r="AA10" s="14">
        <f t="shared" si="5"/>
        <v>-301.43</v>
      </c>
      <c r="AB10" s="14">
        <f t="shared" si="5"/>
        <v>-351.87899999999996</v>
      </c>
      <c r="AC10" s="14">
        <f t="shared" si="5"/>
        <v>-439.21099999999996</v>
      </c>
      <c r="AD10" s="14">
        <f t="shared" si="5"/>
        <v>-510.59999999999997</v>
      </c>
      <c r="AE10" s="14">
        <f t="shared" si="5"/>
        <v>-524.29999999999995</v>
      </c>
      <c r="AF10" s="14">
        <f t="shared" si="5"/>
        <v>-572.19999999999993</v>
      </c>
      <c r="AG10" s="14">
        <f t="shared" si="5"/>
        <v>-773.6</v>
      </c>
      <c r="AH10" s="14">
        <f t="shared" ref="AH10:AR10" si="6">SUM(AH6:AH9)</f>
        <v>-871</v>
      </c>
      <c r="AI10" s="15">
        <f t="shared" si="6"/>
        <v>-740.35</v>
      </c>
      <c r="AJ10" s="14">
        <f t="shared" si="6"/>
        <v>-777.36749999999995</v>
      </c>
      <c r="AK10" s="14">
        <f t="shared" si="6"/>
        <v>-816.23587499999996</v>
      </c>
      <c r="AL10" s="14">
        <f t="shared" si="6"/>
        <v>-857.04766875000007</v>
      </c>
      <c r="AM10" s="14">
        <f t="shared" si="6"/>
        <v>-899.90005218750025</v>
      </c>
      <c r="AN10" s="14">
        <f t="shared" si="6"/>
        <v>-944.89505479687512</v>
      </c>
      <c r="AO10" s="14">
        <f t="shared" si="6"/>
        <v>-992.13980753671899</v>
      </c>
      <c r="AP10" s="14">
        <f t="shared" si="6"/>
        <v>-1041.7467979135549</v>
      </c>
      <c r="AQ10" s="14">
        <f t="shared" si="6"/>
        <v>-1093.8341378092327</v>
      </c>
      <c r="AR10" s="14">
        <f t="shared" si="6"/>
        <v>-1148.5258446996945</v>
      </c>
    </row>
    <row r="11" spans="1:206" x14ac:dyDescent="0.25">
      <c r="C11" s="1" t="s">
        <v>58</v>
      </c>
      <c r="D11" s="12">
        <f t="shared" ref="D11:Q11" si="7">D4+D10+D5</f>
        <v>68.099999999999994</v>
      </c>
      <c r="E11" s="12">
        <f t="shared" si="7"/>
        <v>127.80000000000001</v>
      </c>
      <c r="F11" s="12">
        <f t="shared" si="7"/>
        <v>111.8</v>
      </c>
      <c r="G11" s="12">
        <f t="shared" si="7"/>
        <v>72.100000000000009</v>
      </c>
      <c r="H11" s="12">
        <f t="shared" si="7"/>
        <v>68.099999999999994</v>
      </c>
      <c r="I11" s="12">
        <f t="shared" si="7"/>
        <v>122.09999999999998</v>
      </c>
      <c r="J11" s="12">
        <f t="shared" si="7"/>
        <v>137.29999999999998</v>
      </c>
      <c r="K11" s="12">
        <f t="shared" si="7"/>
        <v>121.4</v>
      </c>
      <c r="L11" s="12">
        <f t="shared" si="7"/>
        <v>98.899999999999977</v>
      </c>
      <c r="M11" s="12">
        <f t="shared" si="7"/>
        <v>195.60000000000002</v>
      </c>
      <c r="N11" s="12">
        <f t="shared" si="7"/>
        <v>185.7</v>
      </c>
      <c r="O11" s="12">
        <f t="shared" si="7"/>
        <v>153.60000000000002</v>
      </c>
      <c r="P11" s="12">
        <f t="shared" si="7"/>
        <v>135</v>
      </c>
      <c r="Q11" s="12">
        <f t="shared" si="7"/>
        <v>237.70000000000005</v>
      </c>
      <c r="R11" s="12">
        <f>R4+R10+R5</f>
        <v>171.29999999999998</v>
      </c>
      <c r="S11" s="12">
        <f>S4+S10+S5</f>
        <v>129.4</v>
      </c>
      <c r="T11" s="12">
        <f>T4+T10+T5</f>
        <v>65.400000000000006</v>
      </c>
      <c r="U11" s="12">
        <f>U4+U10+U5</f>
        <v>148.39999999999998</v>
      </c>
      <c r="V11" s="14"/>
      <c r="W11" s="14"/>
      <c r="X11" s="14"/>
      <c r="Y11" s="14"/>
      <c r="Z11" s="12">
        <f t="shared" ref="Z11:AG11" si="8">Z4+Z10+Z5</f>
        <v>13.19500000000005</v>
      </c>
      <c r="AA11" s="12">
        <f t="shared" si="8"/>
        <v>72.569999999999993</v>
      </c>
      <c r="AB11" s="12">
        <f t="shared" si="8"/>
        <v>98.790000000000063</v>
      </c>
      <c r="AC11" s="12">
        <f t="shared" si="8"/>
        <v>110.53500000000005</v>
      </c>
      <c r="AD11" s="12">
        <f t="shared" si="8"/>
        <v>223.9</v>
      </c>
      <c r="AE11" s="12">
        <f t="shared" si="8"/>
        <v>377.5</v>
      </c>
      <c r="AF11" s="12">
        <f t="shared" si="8"/>
        <v>447.80000000000007</v>
      </c>
      <c r="AG11" s="12">
        <f t="shared" si="8"/>
        <v>633.80000000000007</v>
      </c>
      <c r="AH11" s="12">
        <f t="shared" ref="AH11:AR11" si="9">AH4+AH10+AH5</f>
        <v>673</v>
      </c>
      <c r="AI11" s="13">
        <f t="shared" si="9"/>
        <v>405.65</v>
      </c>
      <c r="AJ11" s="12">
        <f t="shared" si="9"/>
        <v>425.9325</v>
      </c>
      <c r="AK11" s="12">
        <f t="shared" si="9"/>
        <v>447.22912499999995</v>
      </c>
      <c r="AL11" s="12">
        <f t="shared" si="9"/>
        <v>469.5905812499999</v>
      </c>
      <c r="AM11" s="12">
        <f t="shared" si="9"/>
        <v>493.07011031249976</v>
      </c>
      <c r="AN11" s="12">
        <f t="shared" si="9"/>
        <v>517.72361582812493</v>
      </c>
      <c r="AO11" s="12">
        <f t="shared" si="9"/>
        <v>543.60979661953115</v>
      </c>
      <c r="AP11" s="12">
        <f t="shared" si="9"/>
        <v>570.79028645050789</v>
      </c>
      <c r="AQ11" s="12">
        <f t="shared" si="9"/>
        <v>599.32980077303318</v>
      </c>
      <c r="AR11" s="12">
        <f t="shared" si="9"/>
        <v>629.29629081168468</v>
      </c>
    </row>
    <row r="12" spans="1:206" x14ac:dyDescent="0.25">
      <c r="A12" s="2" t="s">
        <v>163</v>
      </c>
      <c r="B12" s="47">
        <f>(B8-B7)/U26</f>
        <v>1.101833660772757</v>
      </c>
      <c r="C12" s="2" t="s">
        <v>59</v>
      </c>
      <c r="D12" s="14">
        <v>-1.6</v>
      </c>
      <c r="E12" s="14">
        <v>-1.2</v>
      </c>
      <c r="F12" s="14">
        <v>-1.4</v>
      </c>
      <c r="G12" s="14">
        <v>-2.6</v>
      </c>
      <c r="H12" s="14">
        <v>-4.0999999999999996</v>
      </c>
      <c r="I12" s="14">
        <v>-5.7</v>
      </c>
      <c r="J12" s="14">
        <v>-7.4</v>
      </c>
      <c r="K12" s="14">
        <v>-3.6</v>
      </c>
      <c r="L12" s="14">
        <v>-7.6</v>
      </c>
      <c r="M12" s="14">
        <v>-8</v>
      </c>
      <c r="N12" s="14">
        <v>-7.5</v>
      </c>
      <c r="O12" s="14">
        <v>-3.6</v>
      </c>
      <c r="P12" s="14">
        <v>-5.3</v>
      </c>
      <c r="Q12" s="14">
        <v>-4.4000000000000004</v>
      </c>
      <c r="R12" s="14">
        <v>-4.5</v>
      </c>
      <c r="S12" s="14">
        <v>-3.3</v>
      </c>
      <c r="T12" s="14">
        <v>-4.5</v>
      </c>
      <c r="U12" s="14">
        <v>-6.4</v>
      </c>
      <c r="V12" s="12"/>
      <c r="W12" s="12"/>
      <c r="X12" s="12"/>
      <c r="Y12" s="12"/>
      <c r="Z12" s="14">
        <v>-36.130000000000003</v>
      </c>
      <c r="AA12" s="14">
        <v>-25.587</v>
      </c>
      <c r="AB12" s="14">
        <v>-15</v>
      </c>
      <c r="AC12" s="14">
        <v>-23.722999999999999</v>
      </c>
      <c r="AD12" s="14">
        <v>-25.8</v>
      </c>
      <c r="AE12" s="14">
        <v>-6.8</v>
      </c>
      <c r="AF12" s="14">
        <v>-20.8</v>
      </c>
      <c r="AG12" s="14">
        <v>-26.7</v>
      </c>
      <c r="AH12" s="14">
        <v>-18</v>
      </c>
      <c r="AI12" s="15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206" x14ac:dyDescent="0.25">
      <c r="C13" s="2" t="s">
        <v>60</v>
      </c>
      <c r="D13" s="14">
        <f t="shared" ref="D13:Q13" si="10">SUM(D11:D12)</f>
        <v>66.5</v>
      </c>
      <c r="E13" s="14">
        <f t="shared" si="10"/>
        <v>126.60000000000001</v>
      </c>
      <c r="F13" s="14">
        <f t="shared" si="10"/>
        <v>110.39999999999999</v>
      </c>
      <c r="G13" s="14">
        <f t="shared" si="10"/>
        <v>69.500000000000014</v>
      </c>
      <c r="H13" s="14">
        <f t="shared" si="10"/>
        <v>63.999999999999993</v>
      </c>
      <c r="I13" s="14">
        <f t="shared" si="10"/>
        <v>116.39999999999998</v>
      </c>
      <c r="J13" s="14">
        <f t="shared" si="10"/>
        <v>129.89999999999998</v>
      </c>
      <c r="K13" s="14">
        <f t="shared" si="10"/>
        <v>117.80000000000001</v>
      </c>
      <c r="L13" s="14">
        <f t="shared" si="10"/>
        <v>91.299999999999983</v>
      </c>
      <c r="M13" s="14">
        <f t="shared" si="10"/>
        <v>187.60000000000002</v>
      </c>
      <c r="N13" s="14">
        <f t="shared" si="10"/>
        <v>178.2</v>
      </c>
      <c r="O13" s="14">
        <f t="shared" si="10"/>
        <v>150.00000000000003</v>
      </c>
      <c r="P13" s="14">
        <f t="shared" si="10"/>
        <v>129.69999999999999</v>
      </c>
      <c r="Q13" s="14">
        <f t="shared" si="10"/>
        <v>233.30000000000004</v>
      </c>
      <c r="R13" s="14">
        <f t="shared" ref="R13:S13" si="11">SUM(R11:R12)</f>
        <v>166.79999999999998</v>
      </c>
      <c r="S13" s="14">
        <f t="shared" si="11"/>
        <v>126.10000000000001</v>
      </c>
      <c r="T13" s="14">
        <f t="shared" ref="T13:U13" si="12">SUM(T11:T12)</f>
        <v>60.900000000000006</v>
      </c>
      <c r="U13" s="14">
        <f t="shared" si="12"/>
        <v>141.99999999999997</v>
      </c>
      <c r="V13" s="14"/>
      <c r="W13" s="14"/>
      <c r="X13" s="14"/>
      <c r="Y13" s="14"/>
      <c r="Z13" s="14">
        <f t="shared" ref="Z13:AG13" si="13">SUM(Z11:Z12)</f>
        <v>-22.934999999999953</v>
      </c>
      <c r="AA13" s="14">
        <f t="shared" si="13"/>
        <v>46.98299999999999</v>
      </c>
      <c r="AB13" s="14">
        <f t="shared" si="13"/>
        <v>83.790000000000063</v>
      </c>
      <c r="AC13" s="14">
        <f t="shared" si="13"/>
        <v>86.812000000000054</v>
      </c>
      <c r="AD13" s="14">
        <f t="shared" si="13"/>
        <v>198.1</v>
      </c>
      <c r="AE13" s="14">
        <f t="shared" si="13"/>
        <v>370.7</v>
      </c>
      <c r="AF13" s="14">
        <f t="shared" si="13"/>
        <v>427.00000000000006</v>
      </c>
      <c r="AG13" s="14">
        <f t="shared" si="13"/>
        <v>607.1</v>
      </c>
      <c r="AH13" s="14">
        <f t="shared" ref="AH13:AR13" si="14">SUM(AH11:AH12)</f>
        <v>655</v>
      </c>
      <c r="AI13" s="15">
        <f t="shared" si="14"/>
        <v>405.65</v>
      </c>
      <c r="AJ13" s="14">
        <f t="shared" si="14"/>
        <v>425.9325</v>
      </c>
      <c r="AK13" s="14">
        <f t="shared" si="14"/>
        <v>447.22912499999995</v>
      </c>
      <c r="AL13" s="14">
        <f t="shared" si="14"/>
        <v>469.5905812499999</v>
      </c>
      <c r="AM13" s="14">
        <f t="shared" si="14"/>
        <v>493.07011031249976</v>
      </c>
      <c r="AN13" s="14">
        <f t="shared" si="14"/>
        <v>517.72361582812493</v>
      </c>
      <c r="AO13" s="14">
        <f t="shared" si="14"/>
        <v>543.60979661953115</v>
      </c>
      <c r="AP13" s="14">
        <f t="shared" si="14"/>
        <v>570.79028645050789</v>
      </c>
      <c r="AQ13" s="14">
        <f t="shared" si="14"/>
        <v>599.32980077303318</v>
      </c>
      <c r="AR13" s="14">
        <f t="shared" si="14"/>
        <v>629.29629081168468</v>
      </c>
    </row>
    <row r="14" spans="1:206" x14ac:dyDescent="0.25">
      <c r="C14" s="2" t="s">
        <v>61</v>
      </c>
      <c r="D14" s="14">
        <v>-13.77</v>
      </c>
      <c r="E14" s="14">
        <v>-26.3</v>
      </c>
      <c r="F14" s="14">
        <v>-22.7</v>
      </c>
      <c r="G14" s="14">
        <v>-14.2</v>
      </c>
      <c r="H14" s="14">
        <v>-13.3</v>
      </c>
      <c r="I14" s="14">
        <v>-24.1</v>
      </c>
      <c r="J14" s="14">
        <v>-26.7</v>
      </c>
      <c r="K14" s="14">
        <v>-24.6</v>
      </c>
      <c r="L14" s="14">
        <v>-18.899999999999999</v>
      </c>
      <c r="M14" s="14">
        <v>-38.9</v>
      </c>
      <c r="N14" s="14">
        <v>-36.799999999999997</v>
      </c>
      <c r="O14" s="14">
        <v>-31.1</v>
      </c>
      <c r="P14" s="14">
        <v>-26.8</v>
      </c>
      <c r="Q14" s="14">
        <v>-48.3</v>
      </c>
      <c r="R14" s="14">
        <v>-34.4</v>
      </c>
      <c r="S14" s="14">
        <v>-26.2</v>
      </c>
      <c r="T14" s="14">
        <v>-12.6</v>
      </c>
      <c r="U14" s="14">
        <v>-29.7</v>
      </c>
      <c r="V14" s="12"/>
      <c r="W14" s="12"/>
      <c r="X14" s="12"/>
      <c r="Y14" s="12"/>
      <c r="Z14" s="14">
        <v>-2.2000000000000002</v>
      </c>
      <c r="AA14" s="14">
        <v>5.5</v>
      </c>
      <c r="AB14" s="14">
        <v>-18</v>
      </c>
      <c r="AC14" s="14">
        <v>-19</v>
      </c>
      <c r="AD14" s="14">
        <v>-41.6</v>
      </c>
      <c r="AE14" s="14">
        <v>-76.900000000000006</v>
      </c>
      <c r="AF14" s="14">
        <v>-88.7</v>
      </c>
      <c r="AG14" s="14">
        <v>-125.7</v>
      </c>
      <c r="AH14" s="14">
        <v>-136</v>
      </c>
      <c r="AI14" s="15">
        <f t="shared" ref="AI14:AR14" si="15">AI13*-0.2</f>
        <v>-81.13</v>
      </c>
      <c r="AJ14" s="14">
        <f t="shared" si="15"/>
        <v>-85.186500000000009</v>
      </c>
      <c r="AK14" s="14">
        <f t="shared" si="15"/>
        <v>-89.445824999999999</v>
      </c>
      <c r="AL14" s="14">
        <f t="shared" si="15"/>
        <v>-93.918116249999983</v>
      </c>
      <c r="AM14" s="14">
        <f t="shared" si="15"/>
        <v>-98.614022062499956</v>
      </c>
      <c r="AN14" s="14">
        <f t="shared" si="15"/>
        <v>-103.54472316562499</v>
      </c>
      <c r="AO14" s="14">
        <f t="shared" si="15"/>
        <v>-108.72195932390623</v>
      </c>
      <c r="AP14" s="14">
        <f t="shared" si="15"/>
        <v>-114.15805729010158</v>
      </c>
      <c r="AQ14" s="14">
        <f t="shared" si="15"/>
        <v>-119.86596015460664</v>
      </c>
      <c r="AR14" s="14">
        <f t="shared" si="15"/>
        <v>-125.85925816233694</v>
      </c>
    </row>
    <row r="15" spans="1:206" x14ac:dyDescent="0.25">
      <c r="C15" s="1" t="s">
        <v>62</v>
      </c>
      <c r="D15" s="12">
        <f t="shared" ref="D15:Q15" si="16">SUM(D13:D14)</f>
        <v>52.730000000000004</v>
      </c>
      <c r="E15" s="12">
        <f t="shared" si="16"/>
        <v>100.30000000000001</v>
      </c>
      <c r="F15" s="12">
        <f t="shared" si="16"/>
        <v>87.699999999999989</v>
      </c>
      <c r="G15" s="12">
        <f t="shared" si="16"/>
        <v>55.300000000000011</v>
      </c>
      <c r="H15" s="12">
        <f t="shared" si="16"/>
        <v>50.699999999999989</v>
      </c>
      <c r="I15" s="12">
        <f t="shared" si="16"/>
        <v>92.299999999999983</v>
      </c>
      <c r="J15" s="12">
        <f t="shared" si="16"/>
        <v>103.19999999999997</v>
      </c>
      <c r="K15" s="12">
        <f t="shared" si="16"/>
        <v>93.200000000000017</v>
      </c>
      <c r="L15" s="12">
        <f t="shared" si="16"/>
        <v>72.399999999999977</v>
      </c>
      <c r="M15" s="12">
        <f t="shared" si="16"/>
        <v>148.70000000000002</v>
      </c>
      <c r="N15" s="12">
        <f t="shared" si="16"/>
        <v>141.39999999999998</v>
      </c>
      <c r="O15" s="12">
        <f t="shared" si="16"/>
        <v>118.90000000000003</v>
      </c>
      <c r="P15" s="12">
        <f t="shared" si="16"/>
        <v>102.89999999999999</v>
      </c>
      <c r="Q15" s="12">
        <f t="shared" si="16"/>
        <v>185.00000000000006</v>
      </c>
      <c r="R15" s="12">
        <f t="shared" ref="R15:S15" si="17">SUM(R13:R14)</f>
        <v>132.39999999999998</v>
      </c>
      <c r="S15" s="12">
        <f t="shared" si="17"/>
        <v>99.9</v>
      </c>
      <c r="T15" s="12">
        <f t="shared" ref="T15:U15" si="18">SUM(T13:T14)</f>
        <v>48.300000000000004</v>
      </c>
      <c r="U15" s="12">
        <f t="shared" si="18"/>
        <v>112.29999999999997</v>
      </c>
      <c r="V15" s="14"/>
      <c r="W15" s="14"/>
      <c r="X15" s="14"/>
      <c r="Y15" s="14"/>
      <c r="Z15" s="12">
        <f t="shared" ref="Z15:AG15" si="19">SUM(Z13:Z14)</f>
        <v>-25.134999999999952</v>
      </c>
      <c r="AA15" s="12">
        <f t="shared" si="19"/>
        <v>52.48299999999999</v>
      </c>
      <c r="AB15" s="12">
        <f t="shared" si="19"/>
        <v>65.790000000000063</v>
      </c>
      <c r="AC15" s="12">
        <f t="shared" si="19"/>
        <v>67.812000000000054</v>
      </c>
      <c r="AD15" s="12">
        <f t="shared" si="19"/>
        <v>156.5</v>
      </c>
      <c r="AE15" s="12">
        <f t="shared" si="19"/>
        <v>293.79999999999995</v>
      </c>
      <c r="AF15" s="12">
        <f t="shared" si="19"/>
        <v>338.30000000000007</v>
      </c>
      <c r="AG15" s="12">
        <f t="shared" si="19"/>
        <v>481.40000000000003</v>
      </c>
      <c r="AH15" s="12">
        <f t="shared" ref="AH15:AR15" si="20">SUM(AH13:AH14)</f>
        <v>519</v>
      </c>
      <c r="AI15" s="13">
        <f t="shared" si="20"/>
        <v>324.52</v>
      </c>
      <c r="AJ15" s="12">
        <f t="shared" si="20"/>
        <v>340.74599999999998</v>
      </c>
      <c r="AK15" s="12">
        <f t="shared" si="20"/>
        <v>357.78329999999994</v>
      </c>
      <c r="AL15" s="12">
        <f t="shared" si="20"/>
        <v>375.67246499999993</v>
      </c>
      <c r="AM15" s="12">
        <f t="shared" si="20"/>
        <v>394.45608824999982</v>
      </c>
      <c r="AN15" s="12">
        <f t="shared" si="20"/>
        <v>414.17889266249995</v>
      </c>
      <c r="AO15" s="12">
        <f t="shared" si="20"/>
        <v>434.88783729562493</v>
      </c>
      <c r="AP15" s="12">
        <f t="shared" si="20"/>
        <v>456.63222916040633</v>
      </c>
      <c r="AQ15" s="12">
        <f t="shared" si="20"/>
        <v>479.46384061842656</v>
      </c>
      <c r="AR15" s="12">
        <f t="shared" si="20"/>
        <v>503.43703264934777</v>
      </c>
      <c r="AS15" s="12">
        <f>AR15*(1+$AU$19)</f>
        <v>498.40266232285427</v>
      </c>
      <c r="AT15" s="12">
        <f t="shared" ref="AT15:DE15" si="21">AS15*(1+$AU$19)</f>
        <v>493.41863569962572</v>
      </c>
      <c r="AU15" s="12">
        <f t="shared" si="21"/>
        <v>488.48444934262949</v>
      </c>
      <c r="AV15" s="12">
        <f t="shared" si="21"/>
        <v>483.59960484920322</v>
      </c>
      <c r="AW15" s="12">
        <f t="shared" si="21"/>
        <v>478.76360880071115</v>
      </c>
      <c r="AX15" s="12">
        <f t="shared" si="21"/>
        <v>473.97597271270405</v>
      </c>
      <c r="AY15" s="12">
        <f t="shared" si="21"/>
        <v>469.23621298557703</v>
      </c>
      <c r="AZ15" s="12">
        <f t="shared" si="21"/>
        <v>464.54385085572125</v>
      </c>
      <c r="BA15" s="12">
        <f t="shared" si="21"/>
        <v>459.89841234716403</v>
      </c>
      <c r="BB15" s="12">
        <f t="shared" si="21"/>
        <v>455.29942822369236</v>
      </c>
      <c r="BC15" s="12">
        <f t="shared" si="21"/>
        <v>450.74643394145545</v>
      </c>
      <c r="BD15" s="12">
        <f t="shared" si="21"/>
        <v>446.23896960204087</v>
      </c>
      <c r="BE15" s="12">
        <f t="shared" si="21"/>
        <v>441.77657990602046</v>
      </c>
      <c r="BF15" s="12">
        <f t="shared" si="21"/>
        <v>437.35881410696027</v>
      </c>
      <c r="BG15" s="12">
        <f t="shared" si="21"/>
        <v>432.98522596589066</v>
      </c>
      <c r="BH15" s="12">
        <f t="shared" si="21"/>
        <v>428.65537370623173</v>
      </c>
      <c r="BI15" s="12">
        <f t="shared" si="21"/>
        <v>424.36881996916941</v>
      </c>
      <c r="BJ15" s="12">
        <f t="shared" si="21"/>
        <v>420.12513176947772</v>
      </c>
      <c r="BK15" s="12">
        <f t="shared" si="21"/>
        <v>415.92388045178296</v>
      </c>
      <c r="BL15" s="12">
        <f t="shared" si="21"/>
        <v>411.76464164726514</v>
      </c>
      <c r="BM15" s="12">
        <f t="shared" si="21"/>
        <v>407.64699523079247</v>
      </c>
      <c r="BN15" s="12">
        <f t="shared" si="21"/>
        <v>403.57052527848452</v>
      </c>
      <c r="BO15" s="12">
        <f t="shared" si="21"/>
        <v>399.53482002569967</v>
      </c>
      <c r="BP15" s="12">
        <f t="shared" si="21"/>
        <v>395.53947182544266</v>
      </c>
      <c r="BQ15" s="12">
        <f t="shared" si="21"/>
        <v>391.58407710718825</v>
      </c>
      <c r="BR15" s="12">
        <f t="shared" si="21"/>
        <v>387.66823633611637</v>
      </c>
      <c r="BS15" s="12">
        <f t="shared" si="21"/>
        <v>383.7915539727552</v>
      </c>
      <c r="BT15" s="12">
        <f t="shared" si="21"/>
        <v>379.95363843302766</v>
      </c>
      <c r="BU15" s="12">
        <f t="shared" si="21"/>
        <v>376.15410204869738</v>
      </c>
      <c r="BV15" s="12">
        <f t="shared" si="21"/>
        <v>372.39256102821042</v>
      </c>
      <c r="BW15" s="12">
        <f t="shared" si="21"/>
        <v>368.66863541792833</v>
      </c>
      <c r="BX15" s="12">
        <f t="shared" si="21"/>
        <v>364.98194906374903</v>
      </c>
      <c r="BY15" s="12">
        <f t="shared" si="21"/>
        <v>361.33212957311156</v>
      </c>
      <c r="BZ15" s="12">
        <f t="shared" si="21"/>
        <v>357.71880827738045</v>
      </c>
      <c r="CA15" s="12">
        <f t="shared" si="21"/>
        <v>354.14162019460662</v>
      </c>
      <c r="CB15" s="12">
        <f t="shared" si="21"/>
        <v>350.60020399266057</v>
      </c>
      <c r="CC15" s="12">
        <f t="shared" si="21"/>
        <v>347.09420195273395</v>
      </c>
      <c r="CD15" s="12">
        <f t="shared" si="21"/>
        <v>343.62325993320661</v>
      </c>
      <c r="CE15" s="12">
        <f t="shared" si="21"/>
        <v>340.18702733387454</v>
      </c>
      <c r="CF15" s="12">
        <f t="shared" si="21"/>
        <v>336.78515706053577</v>
      </c>
      <c r="CG15" s="12">
        <f t="shared" si="21"/>
        <v>333.41730548993041</v>
      </c>
      <c r="CH15" s="12">
        <f t="shared" si="21"/>
        <v>330.08313243503113</v>
      </c>
      <c r="CI15" s="12">
        <f t="shared" si="21"/>
        <v>326.78230111068081</v>
      </c>
      <c r="CJ15" s="12">
        <f t="shared" si="21"/>
        <v>323.51447809957398</v>
      </c>
      <c r="CK15" s="12">
        <f t="shared" si="21"/>
        <v>320.27933331857821</v>
      </c>
      <c r="CL15" s="12">
        <f t="shared" si="21"/>
        <v>317.0765399853924</v>
      </c>
      <c r="CM15" s="12">
        <f t="shared" si="21"/>
        <v>313.9057745855385</v>
      </c>
      <c r="CN15" s="12">
        <f t="shared" si="21"/>
        <v>310.76671683968311</v>
      </c>
      <c r="CO15" s="12">
        <f t="shared" si="21"/>
        <v>307.65904967128625</v>
      </c>
      <c r="CP15" s="12">
        <f t="shared" si="21"/>
        <v>304.58245917457339</v>
      </c>
      <c r="CQ15" s="12">
        <f t="shared" si="21"/>
        <v>301.53663458282767</v>
      </c>
      <c r="CR15" s="12">
        <f t="shared" si="21"/>
        <v>298.52126823699939</v>
      </c>
      <c r="CS15" s="12">
        <f t="shared" si="21"/>
        <v>295.5360555546294</v>
      </c>
      <c r="CT15" s="12">
        <f t="shared" si="21"/>
        <v>292.58069499908311</v>
      </c>
      <c r="CU15" s="12">
        <f t="shared" si="21"/>
        <v>289.65488804909228</v>
      </c>
      <c r="CV15" s="12">
        <f t="shared" si="21"/>
        <v>286.75833916860137</v>
      </c>
      <c r="CW15" s="12">
        <f t="shared" si="21"/>
        <v>283.89075577691534</v>
      </c>
      <c r="CX15" s="12">
        <f t="shared" si="21"/>
        <v>281.05184821914617</v>
      </c>
      <c r="CY15" s="12">
        <f t="shared" si="21"/>
        <v>278.2413297369547</v>
      </c>
      <c r="CZ15" s="12">
        <f t="shared" si="21"/>
        <v>275.45891643958515</v>
      </c>
      <c r="DA15" s="12">
        <f t="shared" si="21"/>
        <v>272.70432727518931</v>
      </c>
      <c r="DB15" s="12">
        <f t="shared" si="21"/>
        <v>269.97728400243744</v>
      </c>
      <c r="DC15" s="12">
        <f t="shared" si="21"/>
        <v>267.27751116241308</v>
      </c>
      <c r="DD15" s="12">
        <f t="shared" si="21"/>
        <v>264.60473605078897</v>
      </c>
      <c r="DE15" s="12">
        <f t="shared" si="21"/>
        <v>261.95868869028106</v>
      </c>
      <c r="DF15" s="12">
        <f t="shared" ref="DF15:FQ15" si="22">DE15*(1+$AU$19)</f>
        <v>259.33910180337824</v>
      </c>
      <c r="DG15" s="12">
        <f t="shared" si="22"/>
        <v>256.74571078534444</v>
      </c>
      <c r="DH15" s="12">
        <f t="shared" si="22"/>
        <v>254.178253677491</v>
      </c>
      <c r="DI15" s="12">
        <f t="shared" si="22"/>
        <v>251.63647114071608</v>
      </c>
      <c r="DJ15" s="12">
        <f t="shared" si="22"/>
        <v>249.12010642930892</v>
      </c>
      <c r="DK15" s="12">
        <f t="shared" si="22"/>
        <v>246.62890536501584</v>
      </c>
      <c r="DL15" s="12">
        <f t="shared" si="22"/>
        <v>244.16261631136567</v>
      </c>
      <c r="DM15" s="12">
        <f t="shared" si="22"/>
        <v>241.72099014825201</v>
      </c>
      <c r="DN15" s="12">
        <f t="shared" si="22"/>
        <v>239.30378024676949</v>
      </c>
      <c r="DO15" s="12">
        <f t="shared" si="22"/>
        <v>236.9107424443018</v>
      </c>
      <c r="DP15" s="12">
        <f t="shared" si="22"/>
        <v>234.54163501985877</v>
      </c>
      <c r="DQ15" s="12">
        <f t="shared" si="22"/>
        <v>232.1962186696602</v>
      </c>
      <c r="DR15" s="12">
        <f t="shared" si="22"/>
        <v>229.8742564829636</v>
      </c>
      <c r="DS15" s="12">
        <f t="shared" si="22"/>
        <v>227.57551391813396</v>
      </c>
      <c r="DT15" s="12">
        <f t="shared" si="22"/>
        <v>225.29975877895262</v>
      </c>
      <c r="DU15" s="12">
        <f t="shared" si="22"/>
        <v>223.04676119116309</v>
      </c>
      <c r="DV15" s="12">
        <f t="shared" si="22"/>
        <v>220.81629357925146</v>
      </c>
      <c r="DW15" s="12">
        <f t="shared" si="22"/>
        <v>218.60813064345894</v>
      </c>
      <c r="DX15" s="12">
        <f t="shared" si="22"/>
        <v>216.42204933702433</v>
      </c>
      <c r="DY15" s="12">
        <f t="shared" si="22"/>
        <v>214.2578288436541</v>
      </c>
      <c r="DZ15" s="12">
        <f t="shared" si="22"/>
        <v>212.11525055521756</v>
      </c>
      <c r="EA15" s="12">
        <f t="shared" si="22"/>
        <v>209.99409804966538</v>
      </c>
      <c r="EB15" s="12">
        <f t="shared" si="22"/>
        <v>207.89415706916873</v>
      </c>
      <c r="EC15" s="12">
        <f t="shared" si="22"/>
        <v>205.81521549847704</v>
      </c>
      <c r="ED15" s="12">
        <f t="shared" si="22"/>
        <v>203.75706334349226</v>
      </c>
      <c r="EE15" s="12">
        <f t="shared" si="22"/>
        <v>201.71949271005735</v>
      </c>
      <c r="EF15" s="12">
        <f t="shared" si="22"/>
        <v>199.70229778295678</v>
      </c>
      <c r="EG15" s="12">
        <f t="shared" si="22"/>
        <v>197.7052748051272</v>
      </c>
      <c r="EH15" s="12">
        <f t="shared" si="22"/>
        <v>195.72822205707593</v>
      </c>
      <c r="EI15" s="12">
        <f t="shared" si="22"/>
        <v>193.77093983650516</v>
      </c>
      <c r="EJ15" s="12">
        <f t="shared" si="22"/>
        <v>191.83323043814011</v>
      </c>
      <c r="EK15" s="12">
        <f t="shared" si="22"/>
        <v>189.9148981337587</v>
      </c>
      <c r="EL15" s="12">
        <f t="shared" si="22"/>
        <v>188.01574915242111</v>
      </c>
      <c r="EM15" s="12">
        <f t="shared" si="22"/>
        <v>186.13559166089689</v>
      </c>
      <c r="EN15" s="12">
        <f t="shared" si="22"/>
        <v>184.27423574428792</v>
      </c>
      <c r="EO15" s="12">
        <f t="shared" si="22"/>
        <v>182.43149338684503</v>
      </c>
      <c r="EP15" s="12">
        <f t="shared" si="22"/>
        <v>180.60717845297657</v>
      </c>
      <c r="EQ15" s="12">
        <f t="shared" si="22"/>
        <v>178.80110666844681</v>
      </c>
      <c r="ER15" s="12">
        <f t="shared" si="22"/>
        <v>177.01309560176233</v>
      </c>
      <c r="ES15" s="12">
        <f t="shared" si="22"/>
        <v>175.24296464574471</v>
      </c>
      <c r="ET15" s="12">
        <f t="shared" si="22"/>
        <v>173.49053499928726</v>
      </c>
      <c r="EU15" s="12">
        <f t="shared" si="22"/>
        <v>171.75562964929438</v>
      </c>
      <c r="EV15" s="12">
        <f t="shared" si="22"/>
        <v>170.03807335280143</v>
      </c>
      <c r="EW15" s="12">
        <f t="shared" si="22"/>
        <v>168.33769261927341</v>
      </c>
      <c r="EX15" s="12">
        <f t="shared" si="22"/>
        <v>166.65431569308069</v>
      </c>
      <c r="EY15" s="12">
        <f t="shared" si="22"/>
        <v>164.98777253614989</v>
      </c>
      <c r="EZ15" s="12">
        <f t="shared" si="22"/>
        <v>163.33789481078838</v>
      </c>
      <c r="FA15" s="12">
        <f t="shared" si="22"/>
        <v>161.70451586268049</v>
      </c>
      <c r="FB15" s="12">
        <f t="shared" si="22"/>
        <v>160.08747070405369</v>
      </c>
      <c r="FC15" s="12">
        <f t="shared" si="22"/>
        <v>158.48659599701315</v>
      </c>
      <c r="FD15" s="12">
        <f t="shared" si="22"/>
        <v>156.90173003704302</v>
      </c>
      <c r="FE15" s="12">
        <f t="shared" si="22"/>
        <v>155.33271273667259</v>
      </c>
      <c r="FF15" s="12">
        <f t="shared" si="22"/>
        <v>153.77938560930588</v>
      </c>
      <c r="FG15" s="12">
        <f t="shared" si="22"/>
        <v>152.24159175321282</v>
      </c>
      <c r="FH15" s="12">
        <f t="shared" si="22"/>
        <v>150.71917583568069</v>
      </c>
      <c r="FI15" s="12">
        <f t="shared" si="22"/>
        <v>149.21198407732388</v>
      </c>
      <c r="FJ15" s="12">
        <f t="shared" si="22"/>
        <v>147.71986423655065</v>
      </c>
      <c r="FK15" s="12">
        <f t="shared" si="22"/>
        <v>146.24266559418515</v>
      </c>
      <c r="FL15" s="12">
        <f t="shared" si="22"/>
        <v>144.78023893824331</v>
      </c>
      <c r="FM15" s="12">
        <f t="shared" si="22"/>
        <v>143.33243654886087</v>
      </c>
      <c r="FN15" s="12">
        <f t="shared" si="22"/>
        <v>141.89911218337227</v>
      </c>
      <c r="FO15" s="12">
        <f t="shared" si="22"/>
        <v>140.48012106153854</v>
      </c>
      <c r="FP15" s="12">
        <f t="shared" si="22"/>
        <v>139.07531985092317</v>
      </c>
      <c r="FQ15" s="12">
        <f t="shared" si="22"/>
        <v>137.68456665241393</v>
      </c>
      <c r="FR15" s="12">
        <f t="shared" ref="FR15:GX15" si="23">FQ15*(1+$AU$19)</f>
        <v>136.3077209858898</v>
      </c>
      <c r="FS15" s="12">
        <f t="shared" si="23"/>
        <v>134.94464377603092</v>
      </c>
      <c r="FT15" s="12">
        <f t="shared" si="23"/>
        <v>133.59519733827059</v>
      </c>
      <c r="FU15" s="12">
        <f t="shared" si="23"/>
        <v>132.25924536488787</v>
      </c>
      <c r="FV15" s="12">
        <f t="shared" si="23"/>
        <v>130.93665291123901</v>
      </c>
      <c r="FW15" s="12">
        <f t="shared" si="23"/>
        <v>129.62728638212661</v>
      </c>
      <c r="FX15" s="12">
        <f t="shared" si="23"/>
        <v>128.33101351830535</v>
      </c>
      <c r="FY15" s="12">
        <f t="shared" si="23"/>
        <v>127.0477033831223</v>
      </c>
      <c r="FZ15" s="12">
        <f t="shared" si="23"/>
        <v>125.77722634929107</v>
      </c>
      <c r="GA15" s="12">
        <f t="shared" si="23"/>
        <v>124.51945408579816</v>
      </c>
      <c r="GB15" s="12">
        <f t="shared" si="23"/>
        <v>123.27425954494018</v>
      </c>
      <c r="GC15" s="12">
        <f t="shared" si="23"/>
        <v>122.04151694949077</v>
      </c>
      <c r="GD15" s="12">
        <f t="shared" si="23"/>
        <v>120.82110177999586</v>
      </c>
      <c r="GE15" s="12">
        <f t="shared" si="23"/>
        <v>119.6128907621959</v>
      </c>
      <c r="GF15" s="12">
        <f t="shared" si="23"/>
        <v>118.41676185457395</v>
      </c>
      <c r="GG15" s="12">
        <f t="shared" si="23"/>
        <v>117.23259423602821</v>
      </c>
      <c r="GH15" s="12">
        <f t="shared" si="23"/>
        <v>116.06026829366792</v>
      </c>
      <c r="GI15" s="12">
        <f t="shared" si="23"/>
        <v>114.89966561073123</v>
      </c>
      <c r="GJ15" s="12">
        <f t="shared" si="23"/>
        <v>113.75066895462392</v>
      </c>
      <c r="GK15" s="12">
        <f t="shared" si="23"/>
        <v>112.61316226507768</v>
      </c>
      <c r="GL15" s="12">
        <f t="shared" si="23"/>
        <v>111.4870306424269</v>
      </c>
      <c r="GM15" s="12">
        <f t="shared" si="23"/>
        <v>110.37216033600264</v>
      </c>
      <c r="GN15" s="12">
        <f t="shared" si="23"/>
        <v>109.26843873264261</v>
      </c>
      <c r="GO15" s="12">
        <f t="shared" si="23"/>
        <v>108.17575434531618</v>
      </c>
      <c r="GP15" s="12">
        <f t="shared" si="23"/>
        <v>107.09399680186301</v>
      </c>
      <c r="GQ15" s="12">
        <f t="shared" si="23"/>
        <v>106.02305683384438</v>
      </c>
      <c r="GR15" s="12">
        <f t="shared" si="23"/>
        <v>104.96282626550594</v>
      </c>
      <c r="GS15" s="12">
        <f t="shared" si="23"/>
        <v>103.91319800285088</v>
      </c>
      <c r="GT15" s="12">
        <f t="shared" si="23"/>
        <v>102.87406602282236</v>
      </c>
      <c r="GU15" s="12">
        <f t="shared" si="23"/>
        <v>101.84532536259414</v>
      </c>
      <c r="GV15" s="12">
        <f t="shared" si="23"/>
        <v>100.8268721089682</v>
      </c>
      <c r="GW15" s="12">
        <f t="shared" si="23"/>
        <v>99.818603387878525</v>
      </c>
      <c r="GX15" s="12">
        <f t="shared" si="23"/>
        <v>98.820417353999744</v>
      </c>
    </row>
    <row r="16" spans="1:206" x14ac:dyDescent="0.25">
      <c r="C16" s="2" t="s">
        <v>63</v>
      </c>
      <c r="D16" s="23">
        <v>101.131478</v>
      </c>
      <c r="E16" s="23">
        <v>100.822301</v>
      </c>
      <c r="F16" s="23">
        <v>99.433622999999997</v>
      </c>
      <c r="G16" s="23">
        <v>98.838795000000005</v>
      </c>
      <c r="H16" s="23">
        <v>98.236929000000003</v>
      </c>
      <c r="I16" s="23">
        <v>97.681991999999994</v>
      </c>
      <c r="J16" s="23">
        <v>97.042210999999995</v>
      </c>
      <c r="K16" s="23">
        <v>96.535933</v>
      </c>
      <c r="L16" s="23">
        <v>96.146180999999999</v>
      </c>
      <c r="M16" s="23">
        <v>96.146298000000002</v>
      </c>
      <c r="N16" s="23">
        <v>95.812287999999995</v>
      </c>
      <c r="O16" s="23">
        <v>95.566788000000003</v>
      </c>
      <c r="P16" s="23">
        <v>95.257288000000003</v>
      </c>
      <c r="Q16" s="23">
        <v>95.008346000000003</v>
      </c>
      <c r="R16" s="23">
        <v>95.008346000000003</v>
      </c>
      <c r="S16" s="23">
        <v>94.058502000000004</v>
      </c>
      <c r="T16" s="23">
        <v>93.087464999999995</v>
      </c>
      <c r="U16" s="23">
        <v>91.707931000000002</v>
      </c>
      <c r="V16" s="23"/>
      <c r="W16" s="23"/>
      <c r="X16" s="23"/>
      <c r="Y16" s="23"/>
      <c r="Z16" s="23">
        <v>100.719421</v>
      </c>
      <c r="AA16" s="23">
        <v>100.719421</v>
      </c>
      <c r="AB16" s="23">
        <v>100.719421</v>
      </c>
      <c r="AC16" s="23">
        <v>100.719421</v>
      </c>
      <c r="AD16" s="23">
        <v>100.999394</v>
      </c>
      <c r="AE16" s="23">
        <v>100.34598200000001</v>
      </c>
      <c r="AF16" s="23">
        <v>97.638240999999994</v>
      </c>
      <c r="AG16" s="23">
        <v>96.146298000000002</v>
      </c>
      <c r="AH16" s="23">
        <v>96.146298000000002</v>
      </c>
      <c r="AI16" s="5">
        <v>93.087464999999995</v>
      </c>
      <c r="AJ16" s="23">
        <v>93.087464999999995</v>
      </c>
      <c r="AK16" s="23">
        <v>93.087464999999995</v>
      </c>
      <c r="AL16" s="23">
        <v>93.087464999999995</v>
      </c>
      <c r="AM16" s="23">
        <v>93.087464999999995</v>
      </c>
      <c r="AN16" s="23">
        <v>93.087464999999995</v>
      </c>
      <c r="AO16" s="23">
        <v>93.087464999999995</v>
      </c>
      <c r="AP16" s="23">
        <v>93.087464999999995</v>
      </c>
      <c r="AQ16" s="23">
        <v>93.087464999999995</v>
      </c>
      <c r="AR16" s="23">
        <v>93.087464999999995</v>
      </c>
    </row>
    <row r="17" spans="2:47" x14ac:dyDescent="0.25">
      <c r="C17" s="2" t="s">
        <v>64</v>
      </c>
      <c r="D17" s="24">
        <f t="shared" ref="D17:P17" si="24">D15/D16</f>
        <v>0.52140046840806586</v>
      </c>
      <c r="E17" s="24">
        <f t="shared" si="24"/>
        <v>0.99481958857495245</v>
      </c>
      <c r="F17" s="24">
        <f t="shared" si="24"/>
        <v>0.88199541919537605</v>
      </c>
      <c r="G17" s="24">
        <f t="shared" si="24"/>
        <v>0.55949690604787328</v>
      </c>
      <c r="H17" s="24">
        <f t="shared" si="24"/>
        <v>0.51609919524255476</v>
      </c>
      <c r="I17" s="24">
        <f t="shared" si="24"/>
        <v>0.9449029254030773</v>
      </c>
      <c r="J17" s="24">
        <f t="shared" si="24"/>
        <v>1.0634547475427985</v>
      </c>
      <c r="K17" s="24">
        <f t="shared" si="24"/>
        <v>0.96544361362312636</v>
      </c>
      <c r="L17" s="24">
        <f t="shared" si="24"/>
        <v>0.75302002894945952</v>
      </c>
      <c r="M17" s="24">
        <f t="shared" si="24"/>
        <v>1.546601409447923</v>
      </c>
      <c r="N17" s="24">
        <f t="shared" si="24"/>
        <v>1.4758023521993335</v>
      </c>
      <c r="O17" s="24">
        <f t="shared" si="24"/>
        <v>1.2441560764812984</v>
      </c>
      <c r="P17" s="24">
        <f t="shared" si="24"/>
        <v>1.0802323072645108</v>
      </c>
      <c r="Q17" s="24">
        <f>Q15/Q16</f>
        <v>1.9471973546408234</v>
      </c>
      <c r="R17" s="24">
        <f>R15/R16</f>
        <v>1.3935617824564588</v>
      </c>
      <c r="S17" s="24">
        <f>S15/S16</f>
        <v>1.0621049440060186</v>
      </c>
      <c r="T17" s="24">
        <f>T15/T16</f>
        <v>0.51886685280343603</v>
      </c>
      <c r="U17" s="24">
        <f>U15/U16</f>
        <v>1.2245396747637887</v>
      </c>
      <c r="V17" s="24"/>
      <c r="W17" s="24"/>
      <c r="X17" s="24"/>
      <c r="Y17" s="24"/>
      <c r="Z17" s="24">
        <f t="shared" ref="Z17:AE17" si="25">Z15/Z16</f>
        <v>-0.24955465143112721</v>
      </c>
      <c r="AA17" s="24">
        <f t="shared" si="25"/>
        <v>0.52108123218857649</v>
      </c>
      <c r="AB17" s="24">
        <f t="shared" si="25"/>
        <v>0.65320073672782597</v>
      </c>
      <c r="AC17" s="24">
        <f t="shared" si="25"/>
        <v>0.67327630884613665</v>
      </c>
      <c r="AD17" s="24">
        <f t="shared" si="25"/>
        <v>1.549514247580535</v>
      </c>
      <c r="AE17" s="24">
        <f t="shared" si="25"/>
        <v>2.9278700964827862</v>
      </c>
      <c r="AF17" s="24">
        <f>AF15/AF16</f>
        <v>3.4648309569608089</v>
      </c>
      <c r="AG17" s="24">
        <f>AG15/AG16</f>
        <v>5.0069530498199732</v>
      </c>
      <c r="AH17" s="24">
        <v>5.48</v>
      </c>
      <c r="AI17" s="20">
        <f t="shared" ref="AI17:AR17" si="26">AI15/AI16</f>
        <v>3.4861836660822165</v>
      </c>
      <c r="AJ17" s="24">
        <f t="shared" si="26"/>
        <v>3.6604928493863271</v>
      </c>
      <c r="AK17" s="24">
        <f t="shared" si="26"/>
        <v>3.8435174918556432</v>
      </c>
      <c r="AL17" s="24">
        <f t="shared" si="26"/>
        <v>4.0356933664484256</v>
      </c>
      <c r="AM17" s="24">
        <f t="shared" si="26"/>
        <v>4.2374780347708452</v>
      </c>
      <c r="AN17" s="24">
        <f t="shared" si="26"/>
        <v>4.4493519365093892</v>
      </c>
      <c r="AO17" s="24">
        <f t="shared" si="26"/>
        <v>4.6718195333348582</v>
      </c>
      <c r="AP17" s="24">
        <f t="shared" si="26"/>
        <v>4.9054105100016026</v>
      </c>
      <c r="AQ17" s="24">
        <f t="shared" si="26"/>
        <v>5.1506810355016821</v>
      </c>
      <c r="AR17" s="24">
        <f t="shared" si="26"/>
        <v>5.4082150872767647</v>
      </c>
    </row>
    <row r="18" spans="2:47" x14ac:dyDescent="0.25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9"/>
      <c r="AI18" s="8"/>
      <c r="AJ18" s="9"/>
      <c r="AK18" s="9"/>
      <c r="AL18" s="9"/>
      <c r="AM18" s="9"/>
      <c r="AN18" s="9"/>
      <c r="AO18" s="9"/>
      <c r="AP18" s="9"/>
      <c r="AQ18" s="9"/>
      <c r="AR18" s="9"/>
      <c r="AT18" s="2" t="s">
        <v>104</v>
      </c>
      <c r="AU18" s="31">
        <v>0.08</v>
      </c>
    </row>
    <row r="19" spans="2:47" x14ac:dyDescent="0.25">
      <c r="C19" s="1" t="s">
        <v>38</v>
      </c>
      <c r="D19" s="14"/>
      <c r="E19" s="14"/>
      <c r="F19" s="14"/>
      <c r="G19" s="14"/>
      <c r="H19" s="25">
        <f t="shared" ref="H19:P19" si="27">(H4-D4)/D4</f>
        <v>5.7745696835091648E-2</v>
      </c>
      <c r="I19" s="25">
        <f t="shared" si="27"/>
        <v>-7.7634011090573852E-3</v>
      </c>
      <c r="J19" s="25">
        <f t="shared" si="27"/>
        <v>0.13624999999999995</v>
      </c>
      <c r="K19" s="25">
        <f t="shared" si="27"/>
        <v>0.36534653465346539</v>
      </c>
      <c r="L19" s="25">
        <f t="shared" si="27"/>
        <v>0.33333333333333331</v>
      </c>
      <c r="M19" s="25">
        <f t="shared" si="27"/>
        <v>0.51117734724292119</v>
      </c>
      <c r="N19" s="25">
        <f t="shared" si="27"/>
        <v>0.3663366336633665</v>
      </c>
      <c r="O19" s="25">
        <f t="shared" si="27"/>
        <v>0.32160986221899923</v>
      </c>
      <c r="P19" s="25">
        <f t="shared" si="27"/>
        <v>0.29527559055118108</v>
      </c>
      <c r="Q19" s="25">
        <f>(Q4-M4)/M4</f>
        <v>0.19329388560157784</v>
      </c>
      <c r="R19" s="25">
        <f>(R4-N4)/N4</f>
        <v>-1.4492753623188496E-2</v>
      </c>
      <c r="S19" s="25">
        <f>(S4-O4)/O4</f>
        <v>-4.5267489711934158E-2</v>
      </c>
      <c r="T19" s="25">
        <f>(T4-P4)/P4</f>
        <v>-0.24802431610942247</v>
      </c>
      <c r="U19" s="25">
        <f>(U4-Q4)/Q4</f>
        <v>-0.23202479338842977</v>
      </c>
      <c r="V19" s="25"/>
      <c r="W19" s="25"/>
      <c r="X19" s="25"/>
      <c r="Y19" s="25"/>
      <c r="Z19" s="25" t="e">
        <f t="shared" ref="Z19:AF19" si="28">(Z4-Y4)/Y4</f>
        <v>#DIV/0!</v>
      </c>
      <c r="AA19" s="25">
        <f t="shared" si="28"/>
        <v>0.17434649501530725</v>
      </c>
      <c r="AB19" s="25">
        <f t="shared" si="28"/>
        <v>0.19350000000000009</v>
      </c>
      <c r="AC19" s="25">
        <f t="shared" si="28"/>
        <v>0.22285821820063662</v>
      </c>
      <c r="AD19" s="25">
        <f t="shared" si="28"/>
        <v>0.33719034306379447</v>
      </c>
      <c r="AE19" s="25">
        <f t="shared" si="28"/>
        <v>0.22181120701465951</v>
      </c>
      <c r="AF19" s="25">
        <f t="shared" si="28"/>
        <v>0.12917694550347616</v>
      </c>
      <c r="AG19" s="25">
        <f>(AG4-AF4)/AF4</f>
        <v>0.38699106256206561</v>
      </c>
      <c r="AH19" s="25">
        <f t="shared" ref="AH19:AR19" si="29">(AH4-AG4)/AG4</f>
        <v>9.4007302928331024E-2</v>
      </c>
      <c r="AI19" s="27">
        <f t="shared" si="29"/>
        <v>-0.25</v>
      </c>
      <c r="AJ19" s="25">
        <f t="shared" si="29"/>
        <v>4.9999999999999961E-2</v>
      </c>
      <c r="AK19" s="25">
        <f t="shared" si="29"/>
        <v>4.9999999999999975E-2</v>
      </c>
      <c r="AL19" s="25">
        <f t="shared" si="29"/>
        <v>5.0000000000000044E-2</v>
      </c>
      <c r="AM19" s="25">
        <f t="shared" si="29"/>
        <v>5.0000000000000037E-2</v>
      </c>
      <c r="AN19" s="25">
        <f t="shared" si="29"/>
        <v>5.0000000000000024E-2</v>
      </c>
      <c r="AO19" s="25">
        <f t="shared" si="29"/>
        <v>5.0000000000000065E-2</v>
      </c>
      <c r="AP19" s="25">
        <f t="shared" si="29"/>
        <v>5.0000000000000114E-2</v>
      </c>
      <c r="AQ19" s="25">
        <f t="shared" si="29"/>
        <v>4.9999999999999982E-2</v>
      </c>
      <c r="AR19" s="25">
        <f t="shared" si="29"/>
        <v>4.9999999999999989E-2</v>
      </c>
      <c r="AT19" s="2" t="s">
        <v>105</v>
      </c>
      <c r="AU19" s="31">
        <v>-0.01</v>
      </c>
    </row>
    <row r="20" spans="2:47" x14ac:dyDescent="0.25">
      <c r="C20" s="1" t="s">
        <v>103</v>
      </c>
      <c r="D20" s="14"/>
      <c r="E20" s="14"/>
      <c r="F20" s="14"/>
      <c r="G20" s="14"/>
      <c r="H20" s="25">
        <f t="shared" ref="H20:P20" si="30">(H10-D10)/D10</f>
        <v>9.8689956331877826E-2</v>
      </c>
      <c r="I20" s="25">
        <f t="shared" si="30"/>
        <v>2.0604395604395604E-2</v>
      </c>
      <c r="J20" s="25">
        <f t="shared" si="30"/>
        <v>7.0270270270270233E-2</v>
      </c>
      <c r="K20" s="25">
        <f t="shared" si="30"/>
        <v>0.18918918918918934</v>
      </c>
      <c r="L20" s="25">
        <f t="shared" si="30"/>
        <v>0.26391096979332285</v>
      </c>
      <c r="M20" s="25">
        <f t="shared" si="30"/>
        <v>0.43135935397039027</v>
      </c>
      <c r="N20" s="25">
        <f t="shared" si="30"/>
        <v>0.35714285714285737</v>
      </c>
      <c r="O20" s="25">
        <f t="shared" si="30"/>
        <v>0.34974747474747458</v>
      </c>
      <c r="P20" s="25">
        <f t="shared" si="30"/>
        <v>0.26037735849056587</v>
      </c>
      <c r="Q20" s="25">
        <f>(Q10-M10)/M10</f>
        <v>0.16737188528443803</v>
      </c>
      <c r="R20" s="25">
        <f>(R10-N10)/N10</f>
        <v>6.1137692716639928E-2</v>
      </c>
      <c r="S20" s="25">
        <f>(S10-O10)/O10</f>
        <v>4.0224508886810215E-2</v>
      </c>
      <c r="T20" s="25">
        <f>(T10-P10)/P10</f>
        <v>-6.9860279441117765E-2</v>
      </c>
      <c r="U20" s="25">
        <f>(U10-Q10)/Q10</f>
        <v>-8.0547724526781911E-2</v>
      </c>
      <c r="V20" s="25"/>
      <c r="W20" s="25"/>
      <c r="X20" s="25"/>
      <c r="Y20" s="25"/>
      <c r="Z20" s="25"/>
      <c r="AA20" s="25">
        <f>(AA10-Z10)/Z10</f>
        <v>-1.2611373165618339E-2</v>
      </c>
      <c r="AB20" s="25">
        <f t="shared" ref="AB20:AR20" si="31">(AB10-AA10)/AA10</f>
        <v>0.16736555750920595</v>
      </c>
      <c r="AC20" s="25">
        <f t="shared" si="31"/>
        <v>0.24818758721037631</v>
      </c>
      <c r="AD20" s="25">
        <f t="shared" si="31"/>
        <v>0.16253918959224614</v>
      </c>
      <c r="AE20" s="25">
        <f t="shared" si="31"/>
        <v>2.6831179005092028E-2</v>
      </c>
      <c r="AF20" s="25">
        <f t="shared" si="31"/>
        <v>9.1359908449361024E-2</v>
      </c>
      <c r="AG20" s="25">
        <f t="shared" si="31"/>
        <v>0.35197483397413509</v>
      </c>
      <c r="AH20" s="25">
        <f t="shared" si="31"/>
        <v>0.12590486039296792</v>
      </c>
      <c r="AI20" s="27">
        <f t="shared" si="31"/>
        <v>-0.14999999999999997</v>
      </c>
      <c r="AJ20" s="25">
        <f t="shared" si="31"/>
        <v>4.9999999999999899E-2</v>
      </c>
      <c r="AK20" s="25">
        <f t="shared" si="31"/>
        <v>5.0000000000000024E-2</v>
      </c>
      <c r="AL20" s="25">
        <f t="shared" si="31"/>
        <v>5.0000000000000135E-2</v>
      </c>
      <c r="AM20" s="25">
        <f t="shared" si="31"/>
        <v>5.0000000000000204E-2</v>
      </c>
      <c r="AN20" s="25">
        <f t="shared" si="31"/>
        <v>4.9999999999999836E-2</v>
      </c>
      <c r="AO20" s="25">
        <f t="shared" si="31"/>
        <v>5.0000000000000128E-2</v>
      </c>
      <c r="AP20" s="25">
        <f t="shared" si="31"/>
        <v>4.9999999999999989E-2</v>
      </c>
      <c r="AQ20" s="25">
        <f t="shared" si="31"/>
        <v>5.0000000000000065E-2</v>
      </c>
      <c r="AR20" s="25">
        <f t="shared" si="31"/>
        <v>5.0000000000000128E-2</v>
      </c>
      <c r="AT20" s="30" t="s">
        <v>106</v>
      </c>
      <c r="AU20" s="32">
        <f>NPV(AU18,AH15:GX15)</f>
        <v>5314.6308064096011</v>
      </c>
    </row>
    <row r="21" spans="2:47" x14ac:dyDescent="0.25">
      <c r="C21" s="2" t="s">
        <v>39</v>
      </c>
      <c r="D21" s="18">
        <f t="shared" ref="D21:Q21" si="32">D11/D4</f>
        <v>0.37812326485285952</v>
      </c>
      <c r="E21" s="18">
        <f t="shared" si="32"/>
        <v>0.47245841035120151</v>
      </c>
      <c r="F21" s="18">
        <f t="shared" si="32"/>
        <v>0.46583333333333332</v>
      </c>
      <c r="G21" s="18">
        <f t="shared" si="32"/>
        <v>0.35693069306930697</v>
      </c>
      <c r="H21" s="18">
        <f t="shared" si="32"/>
        <v>0.35748031496062987</v>
      </c>
      <c r="I21" s="18">
        <f t="shared" si="32"/>
        <v>0.4549180327868852</v>
      </c>
      <c r="J21" s="18">
        <f t="shared" si="32"/>
        <v>0.50348368170150348</v>
      </c>
      <c r="K21" s="18">
        <f t="shared" si="32"/>
        <v>0.44017403915881076</v>
      </c>
      <c r="L21" s="18">
        <f t="shared" si="32"/>
        <v>0.38937007874015739</v>
      </c>
      <c r="M21" s="18">
        <f t="shared" si="32"/>
        <v>0.48224852071005919</v>
      </c>
      <c r="N21" s="18">
        <f t="shared" si="32"/>
        <v>0.49838969404186789</v>
      </c>
      <c r="O21" s="18">
        <f t="shared" si="32"/>
        <v>0.42139917695473256</v>
      </c>
      <c r="P21" s="18">
        <f t="shared" si="32"/>
        <v>0.41033434650455924</v>
      </c>
      <c r="Q21" s="18">
        <f t="shared" si="32"/>
        <v>0.49111570247933894</v>
      </c>
      <c r="R21" s="18">
        <f t="shared" ref="R21:S21" si="33">R11/R4</f>
        <v>0.46650326797385616</v>
      </c>
      <c r="S21" s="18">
        <f t="shared" si="33"/>
        <v>0.37183908045977015</v>
      </c>
      <c r="T21" s="18">
        <f t="shared" ref="T21:U21" si="34">T11/T4</f>
        <v>0.26434923201293453</v>
      </c>
      <c r="U21" s="18">
        <f t="shared" si="34"/>
        <v>0.39924670433145004</v>
      </c>
      <c r="V21" s="18"/>
      <c r="W21" s="18"/>
      <c r="X21" s="18"/>
      <c r="Y21" s="18"/>
      <c r="Z21" s="18">
        <f t="shared" ref="Z21:AR21" si="35">Z11/Z4</f>
        <v>4.1431823534029515E-2</v>
      </c>
      <c r="AA21" s="18">
        <f t="shared" si="35"/>
        <v>0.19403743315508021</v>
      </c>
      <c r="AB21" s="18">
        <f t="shared" si="35"/>
        <v>0.22131913282508431</v>
      </c>
      <c r="AC21" s="18">
        <f t="shared" si="35"/>
        <v>0.20250217094198739</v>
      </c>
      <c r="AD21" s="18">
        <f t="shared" si="35"/>
        <v>0.30675434991094674</v>
      </c>
      <c r="AE21" s="18">
        <f t="shared" si="35"/>
        <v>0.42330118860731109</v>
      </c>
      <c r="AF21" s="18">
        <f t="shared" si="35"/>
        <v>0.44468718967229404</v>
      </c>
      <c r="AG21" s="18">
        <f t="shared" si="35"/>
        <v>0.45378391923820438</v>
      </c>
      <c r="AH21" s="18">
        <f t="shared" si="35"/>
        <v>0.44044502617801046</v>
      </c>
      <c r="AI21" s="19">
        <f t="shared" si="35"/>
        <v>0.35397033158813263</v>
      </c>
      <c r="AJ21" s="18">
        <f t="shared" si="35"/>
        <v>0.35397033158813263</v>
      </c>
      <c r="AK21" s="18">
        <f t="shared" si="35"/>
        <v>0.35397033158813263</v>
      </c>
      <c r="AL21" s="18">
        <f t="shared" si="35"/>
        <v>0.35397033158813257</v>
      </c>
      <c r="AM21" s="18">
        <f t="shared" si="35"/>
        <v>0.35397033158813246</v>
      </c>
      <c r="AN21" s="18">
        <f t="shared" si="35"/>
        <v>0.35397033158813257</v>
      </c>
      <c r="AO21" s="18">
        <f t="shared" si="35"/>
        <v>0.35397033158813251</v>
      </c>
      <c r="AP21" s="18">
        <f t="shared" si="35"/>
        <v>0.35397033158813263</v>
      </c>
      <c r="AQ21" s="18">
        <f t="shared" si="35"/>
        <v>0.35397033158813257</v>
      </c>
      <c r="AR21" s="18">
        <f t="shared" si="35"/>
        <v>0.35397033158813246</v>
      </c>
      <c r="AT21" s="2" t="s">
        <v>2</v>
      </c>
      <c r="AU21" s="23">
        <v>93.087464999999995</v>
      </c>
    </row>
    <row r="22" spans="2:47" x14ac:dyDescent="0.25">
      <c r="C22" s="2" t="s">
        <v>43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V22" s="12"/>
      <c r="W22" s="12"/>
      <c r="X22" s="12"/>
      <c r="Y22" s="12"/>
      <c r="Z22" s="18"/>
      <c r="AA22" s="18"/>
      <c r="AB22" s="18"/>
      <c r="AC22" s="18"/>
      <c r="AD22" s="18"/>
      <c r="AE22" s="18">
        <f>AE15/G44</f>
        <v>0.20506735534305853</v>
      </c>
      <c r="AF22" s="18">
        <f>AF15/K44</f>
        <v>0.26857732613528112</v>
      </c>
      <c r="AG22" s="18">
        <f>AG15/O44</f>
        <v>0.38552094177945062</v>
      </c>
      <c r="AT22" s="2" t="s">
        <v>107</v>
      </c>
      <c r="AU22" s="9">
        <f>AU20/AU21</f>
        <v>57.092872884760602</v>
      </c>
    </row>
    <row r="23" spans="2:47" x14ac:dyDescent="0.25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V23" s="12"/>
      <c r="W23" s="12"/>
      <c r="X23" s="12"/>
      <c r="Y23" s="12"/>
      <c r="Z23" s="18"/>
      <c r="AA23" s="18"/>
      <c r="AB23" s="18"/>
      <c r="AC23" s="18"/>
      <c r="AD23" s="18"/>
      <c r="AE23" s="18"/>
      <c r="AF23" s="18"/>
      <c r="AG23" s="18"/>
      <c r="AT23" s="1" t="s">
        <v>108</v>
      </c>
      <c r="AU23" s="25">
        <f>(AU22-B4)/B4</f>
        <v>-0.17256705964115068</v>
      </c>
    </row>
    <row r="24" spans="2:47" s="37" customFormat="1" x14ac:dyDescent="0.25">
      <c r="B24" s="36"/>
      <c r="C24" s="37" t="s">
        <v>109</v>
      </c>
      <c r="D24" s="37">
        <v>85.5</v>
      </c>
      <c r="E24" s="37">
        <v>145</v>
      </c>
      <c r="F24" s="37">
        <v>128.5</v>
      </c>
      <c r="G24" s="37">
        <v>88.8</v>
      </c>
      <c r="H24" s="37">
        <v>87.2</v>
      </c>
      <c r="I24" s="37">
        <v>140.69999999999999</v>
      </c>
      <c r="J24" s="37">
        <v>156</v>
      </c>
      <c r="K24" s="37">
        <v>141.6</v>
      </c>
      <c r="L24" s="37">
        <v>141.6</v>
      </c>
      <c r="M24" s="37">
        <v>216.2</v>
      </c>
      <c r="N24" s="37">
        <v>207.6</v>
      </c>
      <c r="O24" s="37">
        <v>176.3</v>
      </c>
      <c r="P24" s="37">
        <v>157.5</v>
      </c>
      <c r="Q24" s="37">
        <v>260.89999999999998</v>
      </c>
      <c r="R24" s="37">
        <v>195.4</v>
      </c>
      <c r="S24" s="37">
        <v>153.69999999999999</v>
      </c>
      <c r="T24" s="37">
        <v>89.3</v>
      </c>
      <c r="U24" s="37">
        <v>172.4</v>
      </c>
      <c r="Z24" s="37">
        <v>108</v>
      </c>
      <c r="AA24" s="37">
        <v>138</v>
      </c>
      <c r="AB24" s="37">
        <v>172</v>
      </c>
      <c r="AC24" s="37">
        <v>202</v>
      </c>
      <c r="AD24" s="37">
        <v>355</v>
      </c>
      <c r="AE24" s="37">
        <v>448</v>
      </c>
      <c r="AF24" s="37">
        <v>526</v>
      </c>
      <c r="AG24" s="37">
        <v>720</v>
      </c>
      <c r="AH24" s="37">
        <v>768</v>
      </c>
      <c r="AI24" s="36">
        <f>AI11-AI8</f>
        <v>485.54999999999995</v>
      </c>
      <c r="AJ24" s="37">
        <f t="shared" ref="AJ24:AR24" si="36">AJ11-AJ8</f>
        <v>509.82749999999999</v>
      </c>
      <c r="AK24" s="37">
        <f t="shared" si="36"/>
        <v>535.31887499999993</v>
      </c>
      <c r="AL24" s="37">
        <f t="shared" si="36"/>
        <v>562.08481874999984</v>
      </c>
      <c r="AM24" s="37">
        <f t="shared" si="36"/>
        <v>590.18905968749982</v>
      </c>
      <c r="AN24" s="37">
        <f t="shared" si="36"/>
        <v>619.69851267187494</v>
      </c>
      <c r="AO24" s="37">
        <f t="shared" si="36"/>
        <v>650.6834383054686</v>
      </c>
      <c r="AP24" s="37">
        <f t="shared" si="36"/>
        <v>683.21761022074224</v>
      </c>
      <c r="AQ24" s="37">
        <f t="shared" si="36"/>
        <v>717.37849073177927</v>
      </c>
      <c r="AR24" s="37">
        <f t="shared" si="36"/>
        <v>753.24741526836806</v>
      </c>
    </row>
    <row r="25" spans="2:47" x14ac:dyDescent="0.25">
      <c r="C25" s="22" t="s">
        <v>110</v>
      </c>
      <c r="D25" s="22">
        <f t="shared" ref="D25:S25" si="37">D24/D4</f>
        <v>0.47473625763464744</v>
      </c>
      <c r="E25" s="22">
        <f t="shared" si="37"/>
        <v>0.53604436229205177</v>
      </c>
      <c r="F25" s="22">
        <f t="shared" si="37"/>
        <v>0.53541666666666665</v>
      </c>
      <c r="G25" s="22">
        <f t="shared" si="37"/>
        <v>0.43960396039603961</v>
      </c>
      <c r="H25" s="22">
        <f t="shared" si="37"/>
        <v>0.45774278215223096</v>
      </c>
      <c r="I25" s="22">
        <f t="shared" si="37"/>
        <v>0.52421758569299548</v>
      </c>
      <c r="J25" s="22">
        <f t="shared" si="37"/>
        <v>0.57205720572057206</v>
      </c>
      <c r="K25" s="22">
        <f t="shared" si="37"/>
        <v>0.51341551849166056</v>
      </c>
      <c r="L25" s="22">
        <f t="shared" si="37"/>
        <v>0.55748031496062989</v>
      </c>
      <c r="M25" s="22">
        <f t="shared" si="37"/>
        <v>0.53303747534516754</v>
      </c>
      <c r="N25" s="22">
        <f t="shared" si="37"/>
        <v>0.55716586151368752</v>
      </c>
      <c r="O25" s="22">
        <f t="shared" si="37"/>
        <v>0.4836762688614541</v>
      </c>
      <c r="P25" s="22">
        <f t="shared" si="37"/>
        <v>0.47872340425531917</v>
      </c>
      <c r="Q25" s="22">
        <f t="shared" si="37"/>
        <v>0.53904958677685944</v>
      </c>
      <c r="R25" s="22">
        <f t="shared" si="37"/>
        <v>0.53213507625272338</v>
      </c>
      <c r="S25" s="22">
        <f t="shared" si="37"/>
        <v>0.44166666666666665</v>
      </c>
      <c r="T25" s="22">
        <f>T24/T4</f>
        <v>0.36095392077607114</v>
      </c>
      <c r="U25" s="22">
        <f>U24/U4</f>
        <v>0.46381490449287061</v>
      </c>
      <c r="V25" s="34"/>
      <c r="W25" s="34"/>
      <c r="X25" s="34"/>
      <c r="Y25" s="34"/>
      <c r="Z25" s="22">
        <f t="shared" ref="Z25" si="38">Z24/Z4</f>
        <v>0.33911610016484806</v>
      </c>
      <c r="AA25" s="22">
        <f t="shared" ref="AA25" si="39">AA24/AA4</f>
        <v>0.36898395721925131</v>
      </c>
      <c r="AB25" s="22">
        <f t="shared" ref="AB25:AG25" si="40">AB24/AB4</f>
        <v>0.38533141862450121</v>
      </c>
      <c r="AC25" s="22">
        <f t="shared" si="40"/>
        <v>0.37006774804615222</v>
      </c>
      <c r="AD25" s="22">
        <f t="shared" si="40"/>
        <v>0.48636799561583782</v>
      </c>
      <c r="AE25" s="22">
        <f t="shared" si="40"/>
        <v>0.50235478806907385</v>
      </c>
      <c r="AF25" s="22">
        <f t="shared" si="40"/>
        <v>0.52234359483614701</v>
      </c>
      <c r="AG25" s="22">
        <f t="shared" si="40"/>
        <v>0.51550082336937064</v>
      </c>
      <c r="AH25" s="22">
        <f>AH24/AH4</f>
        <v>0.50261780104712039</v>
      </c>
      <c r="AI25" s="46">
        <f t="shared" ref="AI25:AR25" si="41">AI24/AI4</f>
        <v>0.42369109947643974</v>
      </c>
      <c r="AJ25" s="22">
        <f t="shared" si="41"/>
        <v>0.42369109947643979</v>
      </c>
      <c r="AK25" s="22">
        <f t="shared" si="41"/>
        <v>0.42369109947643979</v>
      </c>
      <c r="AL25" s="22">
        <f t="shared" si="41"/>
        <v>0.42369109947643968</v>
      </c>
      <c r="AM25" s="22">
        <f t="shared" si="41"/>
        <v>0.42369109947643968</v>
      </c>
      <c r="AN25" s="22">
        <f t="shared" si="41"/>
        <v>0.42369109947643974</v>
      </c>
      <c r="AO25" s="22">
        <f t="shared" si="41"/>
        <v>0.42369109947643963</v>
      </c>
      <c r="AP25" s="22">
        <f t="shared" si="41"/>
        <v>0.42369109947643974</v>
      </c>
      <c r="AQ25" s="22">
        <f t="shared" si="41"/>
        <v>0.42369109947643968</v>
      </c>
      <c r="AR25" s="22">
        <f t="shared" si="41"/>
        <v>0.42369109947643963</v>
      </c>
    </row>
    <row r="26" spans="2:47" s="14" customFormat="1" x14ac:dyDescent="0.25">
      <c r="B26" s="15"/>
      <c r="C26" s="14" t="s">
        <v>111</v>
      </c>
      <c r="G26" s="14">
        <f t="shared" ref="G26:S26" si="42">SUM(D24:G24)</f>
        <v>447.8</v>
      </c>
      <c r="H26" s="14">
        <f t="shared" si="42"/>
        <v>449.5</v>
      </c>
      <c r="I26" s="14">
        <f t="shared" si="42"/>
        <v>445.2</v>
      </c>
      <c r="J26" s="14">
        <f t="shared" si="42"/>
        <v>472.7</v>
      </c>
      <c r="K26" s="14">
        <f>SUM(H24:K24)</f>
        <v>525.5</v>
      </c>
      <c r="L26" s="14">
        <f>SUM(I24:L24)</f>
        <v>579.9</v>
      </c>
      <c r="M26" s="14">
        <f t="shared" si="42"/>
        <v>655.40000000000009</v>
      </c>
      <c r="N26" s="14">
        <f>SUM(L24:N24)</f>
        <v>565.4</v>
      </c>
      <c r="O26" s="14">
        <f>SUM(L24:O24)</f>
        <v>741.7</v>
      </c>
      <c r="P26" s="14">
        <f t="shared" si="42"/>
        <v>757.59999999999991</v>
      </c>
      <c r="Q26" s="14">
        <f t="shared" si="42"/>
        <v>802.3</v>
      </c>
      <c r="R26" s="14">
        <f t="shared" si="42"/>
        <v>790.1</v>
      </c>
      <c r="S26" s="14">
        <f t="shared" si="42"/>
        <v>767.5</v>
      </c>
      <c r="T26" s="14">
        <f>SUM(Q24:T24)</f>
        <v>699.3</v>
      </c>
      <c r="U26" s="14">
        <f>SUM(R24:U24)</f>
        <v>610.80000000000007</v>
      </c>
      <c r="V26" s="12"/>
      <c r="W26" s="12"/>
      <c r="X26" s="12"/>
      <c r="Y26" s="12"/>
      <c r="AI26" s="15"/>
    </row>
    <row r="27" spans="2:47" x14ac:dyDescent="0.25">
      <c r="M27" s="9"/>
      <c r="Q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2:47" s="14" customFormat="1" x14ac:dyDescent="0.25">
      <c r="B28" s="15"/>
      <c r="C28" s="14" t="s">
        <v>65</v>
      </c>
      <c r="D28" s="14">
        <v>2681</v>
      </c>
      <c r="E28" s="14">
        <v>3163</v>
      </c>
      <c r="F28" s="14">
        <v>3404</v>
      </c>
      <c r="G28" s="14">
        <v>4044</v>
      </c>
      <c r="H28" s="14">
        <v>3706</v>
      </c>
      <c r="I28" s="14">
        <v>4138</v>
      </c>
      <c r="J28" s="14">
        <v>4343</v>
      </c>
      <c r="K28" s="14">
        <v>5911</v>
      </c>
      <c r="L28" s="14">
        <v>4911</v>
      </c>
      <c r="M28" s="14">
        <v>6274</v>
      </c>
      <c r="N28" s="14">
        <v>6183</v>
      </c>
      <c r="O28" s="14">
        <v>8452</v>
      </c>
      <c r="P28" s="14">
        <v>6722</v>
      </c>
      <c r="Q28" s="14">
        <v>8451</v>
      </c>
      <c r="R28" s="14">
        <v>7477</v>
      </c>
      <c r="S28" s="14">
        <v>10916</v>
      </c>
      <c r="T28" s="14">
        <v>9109</v>
      </c>
      <c r="U28" s="14">
        <v>9095</v>
      </c>
      <c r="Z28" s="14">
        <v>946</v>
      </c>
      <c r="AA28" s="14">
        <v>1079</v>
      </c>
      <c r="AB28" s="14">
        <v>1414</v>
      </c>
      <c r="AC28" s="14">
        <v>1760</v>
      </c>
      <c r="AD28" s="14">
        <v>2467</v>
      </c>
      <c r="AE28" s="14">
        <v>3275</v>
      </c>
      <c r="AF28" s="14">
        <v>4490</v>
      </c>
      <c r="AG28" s="14">
        <v>6382</v>
      </c>
      <c r="AH28" s="14">
        <v>8175</v>
      </c>
      <c r="AI28" s="15"/>
    </row>
    <row r="29" spans="2:47" x14ac:dyDescent="0.25">
      <c r="C29" s="2" t="s">
        <v>66</v>
      </c>
      <c r="D29" s="18"/>
      <c r="E29" s="18"/>
      <c r="F29" s="18"/>
      <c r="G29" s="18"/>
      <c r="H29" s="18">
        <f t="shared" ref="H29:P29" si="43">(H28-D28)/D28</f>
        <v>0.38232002983961211</v>
      </c>
      <c r="I29" s="18">
        <f t="shared" si="43"/>
        <v>0.30825165981662977</v>
      </c>
      <c r="J29" s="18">
        <f t="shared" si="43"/>
        <v>0.27585193889541715</v>
      </c>
      <c r="K29" s="18">
        <f t="shared" si="43"/>
        <v>0.46167161226508407</v>
      </c>
      <c r="L29" s="18">
        <f t="shared" si="43"/>
        <v>0.32514840798704803</v>
      </c>
      <c r="M29" s="18">
        <f t="shared" si="43"/>
        <v>0.51619139681005322</v>
      </c>
      <c r="N29" s="18">
        <f t="shared" si="43"/>
        <v>0.42367027400414459</v>
      </c>
      <c r="O29" s="18">
        <f t="shared" si="43"/>
        <v>0.42987650143799694</v>
      </c>
      <c r="P29" s="18">
        <f t="shared" si="43"/>
        <v>0.36876399918550196</v>
      </c>
      <c r="Q29" s="18">
        <f>(Q28-M28)/M28</f>
        <v>0.34698756773987888</v>
      </c>
      <c r="R29" s="18">
        <f t="shared" ref="R29:U29" si="44">(R28-N28)/N28</f>
        <v>0.20928351932718744</v>
      </c>
      <c r="S29" s="18">
        <f t="shared" si="44"/>
        <v>0.29152863227638431</v>
      </c>
      <c r="T29" s="18">
        <f t="shared" si="44"/>
        <v>0.35510264802142222</v>
      </c>
      <c r="U29" s="18">
        <f t="shared" si="44"/>
        <v>7.6203999526683233E-2</v>
      </c>
      <c r="V29" s="18"/>
      <c r="W29" s="18"/>
      <c r="X29" s="18"/>
      <c r="Y29" s="18"/>
      <c r="Z29" s="18"/>
      <c r="AA29" s="18">
        <f t="shared" ref="AA29:AF29" si="45">(AA28-Z28)/Z28</f>
        <v>0.14059196617336153</v>
      </c>
      <c r="AB29" s="18">
        <f t="shared" si="45"/>
        <v>0.31047265987025024</v>
      </c>
      <c r="AC29" s="18">
        <f t="shared" si="45"/>
        <v>0.24469589816124471</v>
      </c>
      <c r="AD29" s="18">
        <f t="shared" si="45"/>
        <v>0.40170454545454548</v>
      </c>
      <c r="AE29" s="18">
        <f t="shared" si="45"/>
        <v>0.32752330766112686</v>
      </c>
      <c r="AF29" s="18">
        <f t="shared" si="45"/>
        <v>0.37099236641221373</v>
      </c>
      <c r="AG29" s="18">
        <f>(AG28-AF28)/AF28</f>
        <v>0.42138084632516704</v>
      </c>
      <c r="AH29" s="18">
        <f>(AH28-AG28)/AG28</f>
        <v>0.28094641178314006</v>
      </c>
    </row>
    <row r="30" spans="2:47" x14ac:dyDescent="0.25"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1"/>
      <c r="U30" s="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2:47" s="14" customFormat="1" x14ac:dyDescent="0.25">
      <c r="B31" s="15"/>
      <c r="C31" s="14" t="s">
        <v>67</v>
      </c>
      <c r="D31" s="14">
        <v>45.7</v>
      </c>
      <c r="E31" s="14">
        <v>64.5</v>
      </c>
      <c r="F31" s="14">
        <v>52.2</v>
      </c>
      <c r="G31" s="14">
        <v>35.799999999999997</v>
      </c>
      <c r="H31" s="14">
        <v>36.9</v>
      </c>
      <c r="I31" s="14">
        <v>50.6</v>
      </c>
      <c r="J31" s="14">
        <v>50.1</v>
      </c>
      <c r="K31" s="14">
        <v>37.700000000000003</v>
      </c>
      <c r="L31" s="14">
        <v>41.1</v>
      </c>
      <c r="M31" s="14">
        <v>55.7</v>
      </c>
      <c r="N31" s="14">
        <v>51.5</v>
      </c>
      <c r="O31" s="14">
        <v>37.1</v>
      </c>
      <c r="P31" s="14">
        <v>41.2</v>
      </c>
      <c r="Q31" s="14">
        <v>50.5</v>
      </c>
      <c r="R31" s="14">
        <v>41.6</v>
      </c>
      <c r="S31" s="14">
        <v>27.3</v>
      </c>
      <c r="T31" s="14">
        <v>28.6</v>
      </c>
      <c r="U31" s="14">
        <v>32.9</v>
      </c>
      <c r="AD31" s="14">
        <v>198400</v>
      </c>
      <c r="AE31" s="14">
        <v>198300</v>
      </c>
      <c r="AF31" s="14">
        <v>175300</v>
      </c>
      <c r="AG31" s="14">
        <v>185300</v>
      </c>
      <c r="AH31" s="14">
        <v>160700</v>
      </c>
      <c r="AI31" s="15"/>
    </row>
    <row r="32" spans="2:47" x14ac:dyDescent="0.25">
      <c r="C32" s="2" t="s">
        <v>66</v>
      </c>
      <c r="D32" s="10"/>
      <c r="E32" s="10"/>
      <c r="F32" s="10"/>
      <c r="G32" s="10"/>
      <c r="H32" s="10">
        <f t="shared" ref="H32:P32" si="46">(H31-D31)/D31</f>
        <v>-0.19256017505470469</v>
      </c>
      <c r="I32" s="10">
        <f t="shared" si="46"/>
        <v>-0.21550387596899223</v>
      </c>
      <c r="J32" s="10">
        <f t="shared" si="46"/>
        <v>-4.0229885057471292E-2</v>
      </c>
      <c r="K32" s="10">
        <f t="shared" si="46"/>
        <v>5.3072625698324188E-2</v>
      </c>
      <c r="L32" s="10">
        <f t="shared" si="46"/>
        <v>0.11382113821138219</v>
      </c>
      <c r="M32" s="10">
        <f t="shared" si="46"/>
        <v>0.10079051383399212</v>
      </c>
      <c r="N32" s="10">
        <f t="shared" si="46"/>
        <v>2.7944111776447077E-2</v>
      </c>
      <c r="O32" s="10">
        <f t="shared" si="46"/>
        <v>-1.5915119363395264E-2</v>
      </c>
      <c r="P32" s="10">
        <f t="shared" si="46"/>
        <v>2.4330900243309346E-3</v>
      </c>
      <c r="Q32" s="10">
        <f>(Q31-M31)/M31</f>
        <v>-9.3357271095152655E-2</v>
      </c>
      <c r="R32" s="10">
        <f>(R31-N31)/N31</f>
        <v>-0.19223300970873783</v>
      </c>
      <c r="S32" s="10">
        <f t="shared" ref="S32:U32" si="47">(S31-O31)/O31</f>
        <v>-0.26415094339622641</v>
      </c>
      <c r="T32" s="10">
        <f t="shared" si="47"/>
        <v>-0.30582524271844663</v>
      </c>
      <c r="U32" s="10">
        <f t="shared" si="47"/>
        <v>-0.34851485148514855</v>
      </c>
      <c r="V32" s="10"/>
      <c r="W32" s="10"/>
      <c r="X32" s="10"/>
      <c r="Y32" s="18"/>
      <c r="Z32" s="18"/>
      <c r="AA32" s="18" t="e">
        <f t="shared" ref="AA32:AF32" si="48">(AA31-Z31)/Z31</f>
        <v>#DIV/0!</v>
      </c>
      <c r="AB32" s="18" t="e">
        <f t="shared" si="48"/>
        <v>#DIV/0!</v>
      </c>
      <c r="AC32" s="18" t="e">
        <f t="shared" si="48"/>
        <v>#DIV/0!</v>
      </c>
      <c r="AD32" s="18" t="e">
        <f t="shared" si="48"/>
        <v>#DIV/0!</v>
      </c>
      <c r="AE32" s="18">
        <f t="shared" si="48"/>
        <v>-5.0403225806451612E-4</v>
      </c>
      <c r="AF32" s="18">
        <f t="shared" si="48"/>
        <v>-0.11598587997982854</v>
      </c>
      <c r="AG32" s="18">
        <f>(AG31-AF31)/AF31</f>
        <v>5.7045065601825443E-2</v>
      </c>
      <c r="AH32" s="18"/>
      <c r="AI32" s="19"/>
      <c r="AJ32" s="18"/>
      <c r="AK32" s="18"/>
      <c r="AL32" s="18"/>
      <c r="AM32" s="18"/>
      <c r="AN32" s="18"/>
      <c r="AO32" s="18"/>
      <c r="AP32" s="18"/>
      <c r="AQ32" s="18"/>
      <c r="AR32" s="18"/>
    </row>
    <row r="33" spans="1:35" x14ac:dyDescent="0.25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5" x14ac:dyDescent="0.25">
      <c r="C34" s="1" t="s">
        <v>49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35" s="14" customFormat="1" x14ac:dyDescent="0.25">
      <c r="A35" s="2"/>
      <c r="B35" s="4"/>
      <c r="C35" s="2" t="s">
        <v>68</v>
      </c>
      <c r="D35" s="14">
        <v>903</v>
      </c>
      <c r="E35" s="14">
        <v>903</v>
      </c>
      <c r="F35" s="14">
        <v>903</v>
      </c>
      <c r="G35" s="14">
        <v>903</v>
      </c>
      <c r="H35" s="14">
        <v>903</v>
      </c>
      <c r="I35" s="14">
        <v>903</v>
      </c>
      <c r="J35" s="14">
        <v>903</v>
      </c>
      <c r="K35" s="14">
        <v>903</v>
      </c>
      <c r="L35" s="14">
        <v>903</v>
      </c>
      <c r="M35" s="14">
        <v>902.8</v>
      </c>
      <c r="N35" s="14">
        <v>903</v>
      </c>
      <c r="O35" s="14">
        <v>903</v>
      </c>
      <c r="P35" s="14">
        <v>903</v>
      </c>
      <c r="Q35" s="14">
        <v>902.8</v>
      </c>
      <c r="R35" s="14">
        <v>902.8</v>
      </c>
      <c r="S35" s="14">
        <v>903</v>
      </c>
      <c r="T35" s="14">
        <v>902.8</v>
      </c>
      <c r="U35" s="14">
        <v>903</v>
      </c>
      <c r="AE35" s="14">
        <v>903</v>
      </c>
      <c r="AF35" s="14">
        <v>903</v>
      </c>
      <c r="AG35" s="14">
        <v>903</v>
      </c>
      <c r="AH35" s="14">
        <v>903</v>
      </c>
      <c r="AI35" s="15"/>
    </row>
    <row r="36" spans="1:35" s="14" customFormat="1" x14ac:dyDescent="0.25">
      <c r="A36" s="2"/>
      <c r="B36" s="4"/>
      <c r="C36" s="2" t="s">
        <v>69</v>
      </c>
      <c r="D36" s="14">
        <v>800.9</v>
      </c>
      <c r="E36" s="14">
        <v>787</v>
      </c>
      <c r="F36" s="14">
        <v>773.2</v>
      </c>
      <c r="G36" s="14">
        <v>759.3</v>
      </c>
      <c r="H36" s="14">
        <v>745.5</v>
      </c>
      <c r="I36" s="14">
        <v>731.6</v>
      </c>
      <c r="J36" s="14">
        <v>717.8</v>
      </c>
      <c r="K36" s="14">
        <v>703.9</v>
      </c>
      <c r="L36" s="14">
        <v>690.1</v>
      </c>
      <c r="M36" s="14">
        <v>676.2</v>
      </c>
      <c r="N36" s="14">
        <v>662.4</v>
      </c>
      <c r="O36" s="14">
        <v>648.5</v>
      </c>
      <c r="P36" s="14">
        <v>634.70000000000005</v>
      </c>
      <c r="Q36" s="14">
        <v>620.79999999999995</v>
      </c>
      <c r="R36" s="14">
        <v>607</v>
      </c>
      <c r="S36" s="14">
        <v>593.20000000000005</v>
      </c>
      <c r="T36" s="14">
        <v>579.29999999999995</v>
      </c>
      <c r="U36" s="14">
        <v>565.5</v>
      </c>
      <c r="AE36" s="14">
        <v>759.3</v>
      </c>
      <c r="AF36" s="14">
        <v>703.9</v>
      </c>
      <c r="AG36" s="14">
        <v>648.5</v>
      </c>
      <c r="AH36" s="14">
        <v>593.20000000000005</v>
      </c>
      <c r="AI36" s="15"/>
    </row>
    <row r="37" spans="1:35" s="14" customFormat="1" x14ac:dyDescent="0.25">
      <c r="A37" s="2"/>
      <c r="B37" s="4"/>
      <c r="C37" s="2" t="s">
        <v>70</v>
      </c>
      <c r="D37" s="14">
        <v>6.3</v>
      </c>
      <c r="E37" s="14">
        <v>4.4000000000000004</v>
      </c>
      <c r="F37" s="14">
        <v>2.5</v>
      </c>
      <c r="G37" s="14">
        <v>0.6</v>
      </c>
      <c r="H37" s="14">
        <v>53.7</v>
      </c>
      <c r="I37" s="14">
        <v>50.9</v>
      </c>
      <c r="J37" s="14">
        <v>48</v>
      </c>
      <c r="K37" s="14">
        <v>45.2</v>
      </c>
      <c r="L37" s="14">
        <v>42.4</v>
      </c>
      <c r="M37" s="14">
        <v>39.6</v>
      </c>
      <c r="N37" s="14">
        <v>36.1</v>
      </c>
      <c r="O37" s="14">
        <v>36.9</v>
      </c>
      <c r="P37" s="14">
        <v>33.799999999999997</v>
      </c>
      <c r="Q37" s="14">
        <v>30.8</v>
      </c>
      <c r="R37" s="14">
        <v>27.7</v>
      </c>
      <c r="S37" s="14">
        <v>23.8</v>
      </c>
      <c r="T37" s="14">
        <v>21.7</v>
      </c>
      <c r="U37" s="14">
        <v>18.600000000000001</v>
      </c>
      <c r="AE37" s="14">
        <v>0.6</v>
      </c>
      <c r="AF37" s="14">
        <v>45.2</v>
      </c>
      <c r="AG37" s="14">
        <v>36.9</v>
      </c>
      <c r="AH37" s="14">
        <v>23.8</v>
      </c>
      <c r="AI37" s="15"/>
    </row>
    <row r="38" spans="1:35" s="14" customFormat="1" x14ac:dyDescent="0.25">
      <c r="A38" s="2"/>
      <c r="B38" s="4"/>
      <c r="C38" s="2" t="s">
        <v>124</v>
      </c>
      <c r="D38" s="14">
        <v>257.5</v>
      </c>
      <c r="E38" s="14">
        <v>259.60000000000002</v>
      </c>
      <c r="F38" s="14">
        <v>260</v>
      </c>
      <c r="G38" s="14">
        <v>263.3</v>
      </c>
      <c r="H38" s="14">
        <v>276.7</v>
      </c>
      <c r="I38" s="14">
        <v>282.2</v>
      </c>
      <c r="J38" s="14">
        <v>287.39999999999998</v>
      </c>
      <c r="K38" s="14">
        <v>292.5</v>
      </c>
      <c r="L38" s="14">
        <v>296.5</v>
      </c>
      <c r="M38" s="14">
        <v>299.2</v>
      </c>
      <c r="N38" s="14">
        <v>297.2</v>
      </c>
      <c r="O38" s="14">
        <v>297</v>
      </c>
      <c r="P38" s="14">
        <v>301</v>
      </c>
      <c r="Q38" s="14">
        <v>298.39999999999998</v>
      </c>
      <c r="R38" s="14">
        <v>298</v>
      </c>
      <c r="S38" s="14">
        <v>296.8</v>
      </c>
      <c r="T38" s="14">
        <v>297</v>
      </c>
      <c r="U38" s="14">
        <v>297.5</v>
      </c>
      <c r="AE38" s="14">
        <v>263.3</v>
      </c>
      <c r="AF38" s="14">
        <v>292.5</v>
      </c>
      <c r="AG38" s="14">
        <v>297</v>
      </c>
      <c r="AH38" s="14">
        <v>296.8</v>
      </c>
      <c r="AI38" s="15"/>
    </row>
    <row r="39" spans="1:35" s="14" customFormat="1" x14ac:dyDescent="0.25">
      <c r="A39" s="2"/>
      <c r="B39" s="4"/>
      <c r="C39" s="2" t="s">
        <v>71</v>
      </c>
      <c r="D39" s="14">
        <v>38.200000000000003</v>
      </c>
      <c r="E39" s="14">
        <v>56</v>
      </c>
      <c r="F39" s="14">
        <v>47.9</v>
      </c>
      <c r="G39" s="14">
        <v>31.5</v>
      </c>
      <c r="H39" s="14">
        <v>35</v>
      </c>
      <c r="I39" s="14">
        <v>43.5</v>
      </c>
      <c r="J39" s="14">
        <v>54.1</v>
      </c>
      <c r="K39" s="14">
        <v>38.299999999999997</v>
      </c>
      <c r="L39" s="14">
        <v>48.1</v>
      </c>
      <c r="M39" s="14">
        <v>40.299999999999997</v>
      </c>
      <c r="N39" s="14">
        <v>35.4</v>
      </c>
      <c r="O39" s="14">
        <v>29.8</v>
      </c>
      <c r="P39" s="14">
        <v>35.1</v>
      </c>
      <c r="Q39" s="14">
        <v>41.2</v>
      </c>
      <c r="R39" s="14">
        <v>42.3</v>
      </c>
      <c r="S39" s="14">
        <v>28.9</v>
      </c>
      <c r="T39" s="14">
        <v>50.7</v>
      </c>
      <c r="U39" s="14">
        <v>75.5</v>
      </c>
      <c r="AE39" s="14">
        <v>31.5</v>
      </c>
      <c r="AF39" s="14">
        <v>38.299999999999997</v>
      </c>
      <c r="AG39" s="14">
        <v>29.8</v>
      </c>
      <c r="AH39" s="14">
        <v>28.9</v>
      </c>
      <c r="AI39" s="15"/>
    </row>
    <row r="40" spans="1:35" s="14" customFormat="1" x14ac:dyDescent="0.25">
      <c r="A40" s="2"/>
      <c r="B40" s="4"/>
      <c r="C40" s="2" t="s">
        <v>72</v>
      </c>
      <c r="D40" s="14">
        <v>23.3</v>
      </c>
      <c r="E40" s="14">
        <v>26.4</v>
      </c>
      <c r="F40" s="14">
        <v>42.5</v>
      </c>
      <c r="G40" s="14">
        <v>36.700000000000003</v>
      </c>
      <c r="H40" s="14">
        <v>29.1</v>
      </c>
      <c r="I40" s="14">
        <v>40.200000000000003</v>
      </c>
      <c r="J40" s="14">
        <v>49.2</v>
      </c>
      <c r="K40" s="14">
        <v>70.7</v>
      </c>
      <c r="L40" s="14">
        <v>128.6</v>
      </c>
      <c r="M40" s="14">
        <v>174.7</v>
      </c>
      <c r="N40" s="14">
        <v>235.6</v>
      </c>
      <c r="O40" s="14">
        <v>167.2</v>
      </c>
      <c r="P40" s="14">
        <v>204.5</v>
      </c>
      <c r="Q40" s="14">
        <v>215.2</v>
      </c>
      <c r="R40" s="14">
        <v>194.6</v>
      </c>
      <c r="S40" s="14">
        <v>147.6</v>
      </c>
      <c r="T40" s="14">
        <v>120</v>
      </c>
      <c r="U40" s="14">
        <v>77.7</v>
      </c>
      <c r="AE40" s="14">
        <v>36.700000000000003</v>
      </c>
      <c r="AF40" s="14">
        <v>70.7</v>
      </c>
      <c r="AG40" s="14">
        <v>167.2</v>
      </c>
      <c r="AH40" s="14">
        <v>147.6</v>
      </c>
      <c r="AI40" s="15"/>
    </row>
    <row r="41" spans="1:35" s="14" customFormat="1" x14ac:dyDescent="0.25">
      <c r="A41" s="2"/>
      <c r="B41" s="4"/>
      <c r="C41" s="2" t="s">
        <v>73</v>
      </c>
      <c r="D41" s="14">
        <v>96.3</v>
      </c>
      <c r="E41" s="14">
        <v>138.19999999999999</v>
      </c>
      <c r="F41" s="14">
        <v>124</v>
      </c>
      <c r="G41" s="14">
        <v>100.4</v>
      </c>
      <c r="H41" s="14">
        <v>79.8</v>
      </c>
      <c r="I41" s="14">
        <v>156.4</v>
      </c>
      <c r="J41" s="14">
        <v>156</v>
      </c>
      <c r="K41" s="14">
        <v>102.6</v>
      </c>
      <c r="L41" s="14">
        <v>96.5</v>
      </c>
      <c r="M41" s="14">
        <v>118.9</v>
      </c>
      <c r="N41" s="14">
        <v>145.1</v>
      </c>
      <c r="O41" s="14">
        <v>111.7</v>
      </c>
      <c r="P41" s="14">
        <v>70.5</v>
      </c>
      <c r="Q41" s="14">
        <v>130.30000000000001</v>
      </c>
      <c r="R41" s="14">
        <v>195.6</v>
      </c>
      <c r="S41" s="14">
        <v>103.3</v>
      </c>
      <c r="T41" s="14">
        <v>113.8</v>
      </c>
      <c r="U41" s="14">
        <v>173.8</v>
      </c>
      <c r="AE41" s="14">
        <v>100.4</v>
      </c>
      <c r="AF41" s="14">
        <v>102.6</v>
      </c>
      <c r="AG41" s="14">
        <v>111.7</v>
      </c>
      <c r="AH41" s="14">
        <v>103.3</v>
      </c>
      <c r="AI41" s="15"/>
    </row>
    <row r="42" spans="1:35" s="14" customFormat="1" x14ac:dyDescent="0.25">
      <c r="A42" s="2"/>
      <c r="B42" s="4"/>
      <c r="C42" s="1" t="s">
        <v>74</v>
      </c>
      <c r="D42" s="12">
        <f t="shared" ref="D42:P42" si="49">SUM(D35:D41)</f>
        <v>2125.5</v>
      </c>
      <c r="E42" s="12">
        <f t="shared" si="49"/>
        <v>2174.6</v>
      </c>
      <c r="F42" s="12">
        <f t="shared" si="49"/>
        <v>2153.1000000000004</v>
      </c>
      <c r="G42" s="12">
        <f t="shared" si="49"/>
        <v>2094.7999999999997</v>
      </c>
      <c r="H42" s="12">
        <f t="shared" si="49"/>
        <v>2122.8000000000002</v>
      </c>
      <c r="I42" s="12">
        <f t="shared" si="49"/>
        <v>2207.8000000000002</v>
      </c>
      <c r="J42" s="12">
        <f t="shared" si="49"/>
        <v>2215.4999999999995</v>
      </c>
      <c r="K42" s="12">
        <f t="shared" si="49"/>
        <v>2156.1999999999998</v>
      </c>
      <c r="L42" s="12">
        <f t="shared" si="49"/>
        <v>2205.1999999999998</v>
      </c>
      <c r="M42" s="12">
        <f t="shared" si="49"/>
        <v>2251.6999999999998</v>
      </c>
      <c r="N42" s="12">
        <f t="shared" si="49"/>
        <v>2314.8000000000002</v>
      </c>
      <c r="O42" s="12">
        <f t="shared" si="49"/>
        <v>2194.1</v>
      </c>
      <c r="P42" s="12">
        <f t="shared" si="49"/>
        <v>2182.6</v>
      </c>
      <c r="Q42" s="12">
        <f>SUM(Q35:Q41)</f>
        <v>2239.5</v>
      </c>
      <c r="R42" s="12">
        <f t="shared" ref="R42:U42" si="50">SUM(R35:R41)</f>
        <v>2268</v>
      </c>
      <c r="S42" s="12">
        <f t="shared" si="50"/>
        <v>2096.6</v>
      </c>
      <c r="T42" s="12">
        <f t="shared" si="50"/>
        <v>2085.3000000000002</v>
      </c>
      <c r="U42" s="12">
        <f t="shared" si="50"/>
        <v>2111.6</v>
      </c>
      <c r="Z42" s="12">
        <f t="shared" ref="Z42:AD42" si="51">SUM(Z35:Z41)</f>
        <v>0</v>
      </c>
      <c r="AA42" s="12">
        <f t="shared" si="51"/>
        <v>0</v>
      </c>
      <c r="AB42" s="12">
        <f t="shared" si="51"/>
        <v>0</v>
      </c>
      <c r="AC42" s="12">
        <f t="shared" si="51"/>
        <v>0</v>
      </c>
      <c r="AD42" s="12">
        <f t="shared" si="51"/>
        <v>0</v>
      </c>
      <c r="AE42" s="12">
        <f t="shared" ref="AE42" si="52">SUM(AE35:AE41)</f>
        <v>2094.7999999999997</v>
      </c>
      <c r="AF42" s="12">
        <f t="shared" ref="AF42" si="53">SUM(AF35:AF41)</f>
        <v>2156.1999999999998</v>
      </c>
      <c r="AG42" s="12">
        <f t="shared" ref="AG42" si="54">SUM(AG35:AG41)</f>
        <v>2194.1</v>
      </c>
      <c r="AH42" s="12">
        <f t="shared" ref="AH42" si="55">SUM(AH35:AH41)</f>
        <v>2096.6</v>
      </c>
      <c r="AI42" s="15"/>
    </row>
    <row r="43" spans="1:35" s="14" customFormat="1" x14ac:dyDescent="0.25">
      <c r="A43" s="2"/>
      <c r="B43" s="4"/>
      <c r="C43" s="2" t="s">
        <v>75</v>
      </c>
      <c r="D43" s="14">
        <v>1569.4</v>
      </c>
      <c r="E43" s="14">
        <v>1576.1</v>
      </c>
      <c r="F43" s="14">
        <v>1457.4</v>
      </c>
      <c r="G43" s="14">
        <v>1432.7</v>
      </c>
      <c r="H43" s="14">
        <v>1388.9</v>
      </c>
      <c r="I43" s="14">
        <v>1292.2</v>
      </c>
      <c r="J43" s="14">
        <v>1276</v>
      </c>
      <c r="K43" s="14">
        <v>1259.5999999999999</v>
      </c>
      <c r="L43" s="14">
        <v>1216.3</v>
      </c>
      <c r="M43" s="14">
        <v>1197</v>
      </c>
      <c r="N43" s="14">
        <v>1214.2</v>
      </c>
      <c r="O43" s="14">
        <v>1248.7</v>
      </c>
      <c r="P43" s="14">
        <v>1232.8</v>
      </c>
      <c r="Q43" s="14">
        <v>1145.2</v>
      </c>
      <c r="R43" s="14">
        <v>1129.2</v>
      </c>
      <c r="S43" s="14">
        <v>1072.2</v>
      </c>
      <c r="T43" s="14">
        <v>965.5</v>
      </c>
      <c r="U43" s="14">
        <v>844.4</v>
      </c>
      <c r="AE43" s="14">
        <v>1432.7</v>
      </c>
      <c r="AF43" s="14">
        <v>1259.5999999999999</v>
      </c>
      <c r="AG43" s="14">
        <v>1248.7</v>
      </c>
      <c r="AH43" s="14">
        <v>1072.2</v>
      </c>
      <c r="AI43" s="15"/>
    </row>
    <row r="44" spans="1:35" s="14" customFormat="1" x14ac:dyDescent="0.25">
      <c r="A44" s="2"/>
      <c r="B44" s="4"/>
      <c r="C44" s="11" t="s">
        <v>76</v>
      </c>
      <c r="D44" s="26">
        <f t="shared" ref="D44:P44" si="56">D43</f>
        <v>1569.4</v>
      </c>
      <c r="E44" s="26">
        <f t="shared" si="56"/>
        <v>1576.1</v>
      </c>
      <c r="F44" s="26">
        <f t="shared" si="56"/>
        <v>1457.4</v>
      </c>
      <c r="G44" s="26">
        <f t="shared" si="56"/>
        <v>1432.7</v>
      </c>
      <c r="H44" s="26">
        <f t="shared" si="56"/>
        <v>1388.9</v>
      </c>
      <c r="I44" s="26">
        <f t="shared" si="56"/>
        <v>1292.2</v>
      </c>
      <c r="J44" s="26">
        <f t="shared" si="56"/>
        <v>1276</v>
      </c>
      <c r="K44" s="26">
        <f t="shared" si="56"/>
        <v>1259.5999999999999</v>
      </c>
      <c r="L44" s="26">
        <f t="shared" si="56"/>
        <v>1216.3</v>
      </c>
      <c r="M44" s="26">
        <f t="shared" si="56"/>
        <v>1197</v>
      </c>
      <c r="N44" s="26">
        <f t="shared" si="56"/>
        <v>1214.2</v>
      </c>
      <c r="O44" s="26">
        <f t="shared" si="56"/>
        <v>1248.7</v>
      </c>
      <c r="P44" s="26">
        <f t="shared" si="56"/>
        <v>1232.8</v>
      </c>
      <c r="Q44" s="26">
        <f>Q43</f>
        <v>1145.2</v>
      </c>
      <c r="R44" s="26">
        <f t="shared" ref="R44:U44" si="57">R43</f>
        <v>1129.2</v>
      </c>
      <c r="S44" s="26">
        <f t="shared" si="57"/>
        <v>1072.2</v>
      </c>
      <c r="T44" s="26">
        <f t="shared" si="57"/>
        <v>965.5</v>
      </c>
      <c r="U44" s="26">
        <f t="shared" si="57"/>
        <v>844.4</v>
      </c>
      <c r="Z44" s="26">
        <f t="shared" ref="Z44:AD44" si="58">Z43</f>
        <v>0</v>
      </c>
      <c r="AA44" s="26">
        <f t="shared" si="58"/>
        <v>0</v>
      </c>
      <c r="AB44" s="26">
        <f t="shared" si="58"/>
        <v>0</v>
      </c>
      <c r="AC44" s="26">
        <f t="shared" si="58"/>
        <v>0</v>
      </c>
      <c r="AD44" s="26">
        <f t="shared" si="58"/>
        <v>0</v>
      </c>
      <c r="AE44" s="26">
        <f t="shared" ref="AE44" si="59">AE43</f>
        <v>1432.7</v>
      </c>
      <c r="AF44" s="26">
        <f t="shared" ref="AF44" si="60">AF43</f>
        <v>1259.5999999999999</v>
      </c>
      <c r="AG44" s="26">
        <f t="shared" ref="AG44" si="61">AG43</f>
        <v>1248.7</v>
      </c>
      <c r="AH44" s="26">
        <f t="shared" ref="AH44" si="62">AH43</f>
        <v>1072.2</v>
      </c>
      <c r="AI44" s="15"/>
    </row>
    <row r="45" spans="1:35" s="14" customFormat="1" x14ac:dyDescent="0.25">
      <c r="A45" s="2"/>
      <c r="B45" s="4"/>
      <c r="C45" s="2" t="s">
        <v>77</v>
      </c>
      <c r="D45" s="14">
        <v>213.3</v>
      </c>
      <c r="E45" s="14">
        <v>213.5</v>
      </c>
      <c r="F45" s="14">
        <v>298.39999999999998</v>
      </c>
      <c r="G45" s="14">
        <v>328.5</v>
      </c>
      <c r="H45" s="14">
        <v>348.8</v>
      </c>
      <c r="I45" s="14">
        <v>498.9</v>
      </c>
      <c r="J45" s="14">
        <v>497.9</v>
      </c>
      <c r="K45" s="14">
        <v>497.1</v>
      </c>
      <c r="L45" s="14">
        <v>527.4</v>
      </c>
      <c r="M45" s="14">
        <v>522.70000000000005</v>
      </c>
      <c r="N45" s="14">
        <v>547.9</v>
      </c>
      <c r="O45" s="14">
        <v>468.5</v>
      </c>
      <c r="P45" s="14">
        <v>438.8</v>
      </c>
      <c r="Q45" s="14">
        <v>546.4</v>
      </c>
      <c r="R45" s="14">
        <v>596.6</v>
      </c>
      <c r="S45" s="14">
        <v>596.9</v>
      </c>
      <c r="T45" s="14">
        <v>706.8</v>
      </c>
      <c r="U45" s="14">
        <v>846.8</v>
      </c>
      <c r="AE45" s="14">
        <v>328.5</v>
      </c>
      <c r="AF45" s="14">
        <v>497.1</v>
      </c>
      <c r="AG45" s="14">
        <v>468.5</v>
      </c>
      <c r="AH45" s="14">
        <v>596.9</v>
      </c>
      <c r="AI45" s="15"/>
    </row>
    <row r="46" spans="1:35" s="14" customFormat="1" x14ac:dyDescent="0.25">
      <c r="A46" s="2"/>
      <c r="B46" s="4"/>
      <c r="C46" s="2" t="s">
        <v>78</v>
      </c>
      <c r="D46" s="14">
        <v>0</v>
      </c>
      <c r="E46" s="14">
        <v>0</v>
      </c>
      <c r="F46" s="14">
        <v>0</v>
      </c>
      <c r="G46" s="14">
        <v>0</v>
      </c>
      <c r="H46" s="14">
        <v>43.9</v>
      </c>
      <c r="I46" s="14">
        <v>41.1</v>
      </c>
      <c r="J46" s="14">
        <v>38.299999999999997</v>
      </c>
      <c r="K46" s="14">
        <v>35.5</v>
      </c>
      <c r="L46" s="14">
        <v>32.700000000000003</v>
      </c>
      <c r="M46" s="14">
        <v>29.8</v>
      </c>
      <c r="N46" s="14">
        <v>26.9</v>
      </c>
      <c r="O46" s="14">
        <v>26</v>
      </c>
      <c r="P46" s="14">
        <v>22.8</v>
      </c>
      <c r="Q46" s="14">
        <v>19.7</v>
      </c>
      <c r="R46" s="14">
        <v>16.5</v>
      </c>
      <c r="S46" s="14">
        <v>13.3</v>
      </c>
      <c r="T46" s="14">
        <v>10</v>
      </c>
      <c r="U46" s="14">
        <v>6.7</v>
      </c>
      <c r="AE46" s="14">
        <v>0</v>
      </c>
      <c r="AF46" s="14">
        <v>35.5</v>
      </c>
      <c r="AG46" s="14">
        <v>26</v>
      </c>
      <c r="AH46" s="14">
        <v>13.3</v>
      </c>
      <c r="AI46" s="15"/>
    </row>
    <row r="47" spans="1:35" s="14" customFormat="1" x14ac:dyDescent="0.25">
      <c r="A47" s="2"/>
      <c r="B47" s="4"/>
      <c r="C47" s="2" t="s">
        <v>79</v>
      </c>
      <c r="D47" s="14">
        <v>217.7</v>
      </c>
      <c r="E47" s="14">
        <v>215.2</v>
      </c>
      <c r="F47" s="14">
        <v>212.4</v>
      </c>
      <c r="G47" s="14">
        <v>210.2</v>
      </c>
      <c r="H47" s="14">
        <v>208.8</v>
      </c>
      <c r="I47" s="14">
        <v>206.9</v>
      </c>
      <c r="J47" s="14">
        <v>205.3</v>
      </c>
      <c r="K47" s="14">
        <v>203.7</v>
      </c>
      <c r="L47" s="14">
        <v>201.7</v>
      </c>
      <c r="M47" s="14">
        <v>199.5</v>
      </c>
      <c r="N47" s="14">
        <v>196.4</v>
      </c>
      <c r="O47" s="14">
        <v>193.5</v>
      </c>
      <c r="P47" s="14">
        <v>191.3</v>
      </c>
      <c r="Q47" s="14">
        <v>187.9</v>
      </c>
      <c r="R47" s="14">
        <v>185.1</v>
      </c>
      <c r="S47" s="14">
        <v>182.1</v>
      </c>
      <c r="T47" s="14">
        <v>179.3</v>
      </c>
      <c r="U47" s="14">
        <v>176.5</v>
      </c>
      <c r="AE47" s="14">
        <v>210.2</v>
      </c>
      <c r="AF47" s="14">
        <v>203.7</v>
      </c>
      <c r="AG47" s="14">
        <v>193.5</v>
      </c>
      <c r="AH47" s="14">
        <v>182.1</v>
      </c>
      <c r="AI47" s="15"/>
    </row>
    <row r="48" spans="1:35" s="14" customFormat="1" x14ac:dyDescent="0.25">
      <c r="A48" s="2"/>
      <c r="B48" s="4"/>
      <c r="C48" s="2" t="s">
        <v>78</v>
      </c>
      <c r="D48" s="26">
        <v>4.5</v>
      </c>
      <c r="E48" s="14">
        <v>2.6</v>
      </c>
      <c r="F48" s="14">
        <v>0.7</v>
      </c>
      <c r="G48" s="14">
        <v>0</v>
      </c>
      <c r="H48" s="14">
        <v>7.8</v>
      </c>
      <c r="I48" s="14">
        <v>7.9</v>
      </c>
      <c r="J48" s="14">
        <v>8</v>
      </c>
      <c r="K48" s="14">
        <v>8.1</v>
      </c>
      <c r="L48" s="14">
        <v>8.1</v>
      </c>
      <c r="M48" s="14">
        <v>8.1999999999999993</v>
      </c>
      <c r="N48" s="14">
        <v>8.3000000000000007</v>
      </c>
      <c r="O48" s="14">
        <v>9.1</v>
      </c>
      <c r="P48" s="14">
        <v>9.1999999999999993</v>
      </c>
      <c r="Q48" s="14">
        <v>9.3000000000000007</v>
      </c>
      <c r="R48" s="14">
        <v>9.4</v>
      </c>
      <c r="S48" s="14">
        <v>9.5</v>
      </c>
      <c r="T48" s="14">
        <v>9.6</v>
      </c>
      <c r="U48" s="14">
        <v>9.6999999999999993</v>
      </c>
      <c r="AE48" s="14">
        <v>0</v>
      </c>
      <c r="AF48" s="14">
        <v>8.1</v>
      </c>
      <c r="AG48" s="14">
        <v>9.1</v>
      </c>
      <c r="AH48" s="14">
        <v>9.5</v>
      </c>
      <c r="AI48" s="15"/>
    </row>
    <row r="49" spans="1:35" s="14" customFormat="1" x14ac:dyDescent="0.25">
      <c r="A49" s="2"/>
      <c r="B49" s="4"/>
      <c r="C49" s="2" t="s">
        <v>80</v>
      </c>
      <c r="D49" s="14">
        <v>77.7</v>
      </c>
      <c r="E49" s="14">
        <v>105.7</v>
      </c>
      <c r="F49" s="14">
        <v>105.1</v>
      </c>
      <c r="G49" s="14">
        <v>81.099999999999994</v>
      </c>
      <c r="H49" s="14">
        <v>96.7</v>
      </c>
      <c r="I49" s="14">
        <v>127.3</v>
      </c>
      <c r="J49" s="14">
        <v>141.30000000000001</v>
      </c>
      <c r="K49" s="14">
        <v>110.9</v>
      </c>
      <c r="L49" s="14">
        <v>164.4</v>
      </c>
      <c r="M49" s="14">
        <v>221.6</v>
      </c>
      <c r="N49" s="14">
        <v>236.7</v>
      </c>
      <c r="O49" s="14">
        <v>193.6</v>
      </c>
      <c r="P49" s="14">
        <v>226.5</v>
      </c>
      <c r="Q49" s="14">
        <v>255.3</v>
      </c>
      <c r="R49" s="14">
        <v>248.8</v>
      </c>
      <c r="S49" s="14">
        <v>177.2</v>
      </c>
      <c r="T49" s="14">
        <v>181.1</v>
      </c>
      <c r="U49" s="14">
        <v>190.5</v>
      </c>
      <c r="AE49" s="14">
        <v>81.099999999999994</v>
      </c>
      <c r="AF49" s="14">
        <v>110.9</v>
      </c>
      <c r="AG49" s="14">
        <v>193.6</v>
      </c>
      <c r="AH49" s="14">
        <v>177.2</v>
      </c>
      <c r="AI49" s="15"/>
    </row>
    <row r="50" spans="1:35" s="14" customFormat="1" x14ac:dyDescent="0.25">
      <c r="A50" s="2"/>
      <c r="B50" s="4"/>
      <c r="C50" s="2" t="s">
        <v>81</v>
      </c>
      <c r="D50" s="14">
        <v>42.7</v>
      </c>
      <c r="E50" s="14">
        <v>61.3</v>
      </c>
      <c r="F50" s="14">
        <v>78.8</v>
      </c>
      <c r="G50" s="14">
        <v>42.1</v>
      </c>
      <c r="H50" s="14">
        <v>27.6</v>
      </c>
      <c r="I50" s="14">
        <v>33.299999999999997</v>
      </c>
      <c r="J50" s="14">
        <v>48.5</v>
      </c>
      <c r="K50" s="14">
        <v>41.1</v>
      </c>
      <c r="L50" s="14">
        <v>54.4</v>
      </c>
      <c r="M50" s="14">
        <v>72.900000000000006</v>
      </c>
      <c r="N50" s="14">
        <v>84.8</v>
      </c>
      <c r="O50" s="14">
        <v>54.5</v>
      </c>
      <c r="P50" s="14">
        <v>61</v>
      </c>
      <c r="Q50" s="14">
        <v>75.7</v>
      </c>
      <c r="R50" s="14">
        <v>82.4</v>
      </c>
      <c r="S50" s="14">
        <v>46.2</v>
      </c>
      <c r="T50" s="14">
        <v>33</v>
      </c>
      <c r="U50" s="14">
        <v>36.799999999999997</v>
      </c>
      <c r="AE50" s="14">
        <v>42.1</v>
      </c>
      <c r="AF50" s="14">
        <v>41.1</v>
      </c>
      <c r="AG50" s="14">
        <v>54.5</v>
      </c>
      <c r="AH50" s="14">
        <v>46.2</v>
      </c>
      <c r="AI50" s="15"/>
    </row>
    <row r="51" spans="1:35" s="14" customFormat="1" x14ac:dyDescent="0.25">
      <c r="A51" s="2"/>
      <c r="B51" s="4"/>
      <c r="C51" s="11" t="s">
        <v>82</v>
      </c>
      <c r="D51" s="26">
        <f t="shared" ref="D51:P51" si="63">SUM(D45:D50)</f>
        <v>555.90000000000009</v>
      </c>
      <c r="E51" s="26">
        <f t="shared" si="63"/>
        <v>598.29999999999995</v>
      </c>
      <c r="F51" s="26">
        <f t="shared" si="63"/>
        <v>695.39999999999986</v>
      </c>
      <c r="G51" s="26">
        <f t="shared" si="63"/>
        <v>661.90000000000009</v>
      </c>
      <c r="H51" s="26">
        <f t="shared" si="63"/>
        <v>733.6</v>
      </c>
      <c r="I51" s="26">
        <f t="shared" si="63"/>
        <v>915.39999999999986</v>
      </c>
      <c r="J51" s="26">
        <f t="shared" si="63"/>
        <v>939.3</v>
      </c>
      <c r="K51" s="26">
        <f t="shared" si="63"/>
        <v>896.4</v>
      </c>
      <c r="L51" s="26">
        <f t="shared" si="63"/>
        <v>988.69999999999993</v>
      </c>
      <c r="M51" s="26">
        <f t="shared" si="63"/>
        <v>1054.7</v>
      </c>
      <c r="N51" s="26">
        <f t="shared" si="63"/>
        <v>1100.9999999999998</v>
      </c>
      <c r="O51" s="26">
        <f t="shared" si="63"/>
        <v>945.2</v>
      </c>
      <c r="P51" s="26">
        <f t="shared" si="63"/>
        <v>949.60000000000014</v>
      </c>
      <c r="Q51" s="26">
        <f>SUM(Q45:Q50)</f>
        <v>1094.3</v>
      </c>
      <c r="R51" s="26">
        <f t="shared" ref="R51:S51" si="64">SUM(R45:R50)</f>
        <v>1138.8000000000002</v>
      </c>
      <c r="S51" s="26">
        <f t="shared" si="64"/>
        <v>1025.2</v>
      </c>
      <c r="T51" s="26">
        <f t="shared" ref="T51:U51" si="65">SUM(T45:T50)</f>
        <v>1119.8</v>
      </c>
      <c r="U51" s="26">
        <f t="shared" si="65"/>
        <v>1267</v>
      </c>
      <c r="Z51" s="26">
        <f t="shared" ref="Z51" si="66">SUM(Z45:Z50)</f>
        <v>0</v>
      </c>
      <c r="AA51" s="26">
        <f t="shared" ref="AA51:AD51" si="67">SUM(AA45:AA50)</f>
        <v>0</v>
      </c>
      <c r="AB51" s="26">
        <f t="shared" si="67"/>
        <v>0</v>
      </c>
      <c r="AC51" s="26">
        <f t="shared" si="67"/>
        <v>0</v>
      </c>
      <c r="AD51" s="26">
        <f t="shared" si="67"/>
        <v>0</v>
      </c>
      <c r="AE51" s="26">
        <f t="shared" ref="AE51" si="68">SUM(AE45:AE50)</f>
        <v>661.90000000000009</v>
      </c>
      <c r="AF51" s="26">
        <f t="shared" ref="AF51" si="69">SUM(AF45:AF50)</f>
        <v>896.4</v>
      </c>
      <c r="AG51" s="26">
        <f t="shared" ref="AG51" si="70">SUM(AG45:AG50)</f>
        <v>945.2</v>
      </c>
      <c r="AH51" s="26">
        <f t="shared" ref="AH51" si="71">SUM(AH45:AH50)</f>
        <v>1025.2</v>
      </c>
      <c r="AI51" s="15"/>
    </row>
    <row r="52" spans="1:35" s="14" customFormat="1" x14ac:dyDescent="0.25">
      <c r="A52" s="2"/>
      <c r="B52" s="4"/>
      <c r="C52" s="1" t="s">
        <v>83</v>
      </c>
      <c r="D52" s="12">
        <f t="shared" ref="D52:P52" si="72">D44+D51</f>
        <v>2125.3000000000002</v>
      </c>
      <c r="E52" s="12">
        <f t="shared" si="72"/>
        <v>2174.3999999999996</v>
      </c>
      <c r="F52" s="12">
        <f t="shared" si="72"/>
        <v>2152.8000000000002</v>
      </c>
      <c r="G52" s="12">
        <f t="shared" si="72"/>
        <v>2094.6000000000004</v>
      </c>
      <c r="H52" s="12">
        <f t="shared" si="72"/>
        <v>2122.5</v>
      </c>
      <c r="I52" s="12">
        <f t="shared" si="72"/>
        <v>2207.6</v>
      </c>
      <c r="J52" s="12">
        <f t="shared" si="72"/>
        <v>2215.3000000000002</v>
      </c>
      <c r="K52" s="12">
        <f t="shared" si="72"/>
        <v>2156</v>
      </c>
      <c r="L52" s="12">
        <f t="shared" si="72"/>
        <v>2205</v>
      </c>
      <c r="M52" s="12">
        <f t="shared" si="72"/>
        <v>2251.6999999999998</v>
      </c>
      <c r="N52" s="12">
        <f t="shared" si="72"/>
        <v>2315.1999999999998</v>
      </c>
      <c r="O52" s="12">
        <f t="shared" si="72"/>
        <v>2193.9</v>
      </c>
      <c r="P52" s="12">
        <f t="shared" si="72"/>
        <v>2182.4</v>
      </c>
      <c r="Q52" s="12">
        <f>Q44+Q51</f>
        <v>2239.5</v>
      </c>
      <c r="R52" s="12">
        <f t="shared" ref="R52:S52" si="73">R44+R51</f>
        <v>2268</v>
      </c>
      <c r="S52" s="12">
        <f t="shared" si="73"/>
        <v>2097.4</v>
      </c>
      <c r="T52" s="12">
        <f t="shared" ref="T52:U52" si="74">T44+T51</f>
        <v>2085.3000000000002</v>
      </c>
      <c r="U52" s="12">
        <f t="shared" si="74"/>
        <v>2111.4</v>
      </c>
      <c r="Z52" s="12">
        <f t="shared" ref="Z52" si="75">Z44+Z51</f>
        <v>0</v>
      </c>
      <c r="AA52" s="12">
        <f t="shared" ref="AA52:AD52" si="76">AA44+AA51</f>
        <v>0</v>
      </c>
      <c r="AB52" s="12">
        <f t="shared" si="76"/>
        <v>0</v>
      </c>
      <c r="AC52" s="12">
        <f t="shared" si="76"/>
        <v>0</v>
      </c>
      <c r="AD52" s="12">
        <f t="shared" si="76"/>
        <v>0</v>
      </c>
      <c r="AE52" s="12">
        <f t="shared" ref="AE52" si="77">AE44+AE51</f>
        <v>2094.6000000000004</v>
      </c>
      <c r="AF52" s="12">
        <f t="shared" ref="AF52" si="78">AF44+AF51</f>
        <v>2156</v>
      </c>
      <c r="AG52" s="12">
        <f t="shared" ref="AG52" si="79">AG44+AG51</f>
        <v>2193.9</v>
      </c>
      <c r="AH52" s="12">
        <f t="shared" ref="AH52" si="80">AH44+AH51</f>
        <v>2097.4</v>
      </c>
      <c r="AI52" s="15"/>
    </row>
    <row r="54" spans="1:35" x14ac:dyDescent="0.25">
      <c r="C54" s="1" t="s">
        <v>50</v>
      </c>
    </row>
    <row r="55" spans="1:35" s="14" customFormat="1" x14ac:dyDescent="0.25">
      <c r="A55" s="2"/>
      <c r="B55" s="4"/>
      <c r="C55" s="2" t="s">
        <v>84</v>
      </c>
      <c r="D55" s="14">
        <f t="shared" ref="D55:U55" si="81">D11</f>
        <v>68.099999999999994</v>
      </c>
      <c r="E55" s="14">
        <f t="shared" si="81"/>
        <v>127.80000000000001</v>
      </c>
      <c r="F55" s="14">
        <f t="shared" si="81"/>
        <v>111.8</v>
      </c>
      <c r="G55" s="14">
        <f t="shared" si="81"/>
        <v>72.100000000000009</v>
      </c>
      <c r="H55" s="14">
        <f t="shared" si="81"/>
        <v>68.099999999999994</v>
      </c>
      <c r="I55" s="14">
        <f t="shared" si="81"/>
        <v>122.09999999999998</v>
      </c>
      <c r="J55" s="14">
        <f t="shared" si="81"/>
        <v>137.29999999999998</v>
      </c>
      <c r="K55" s="14">
        <f t="shared" si="81"/>
        <v>121.4</v>
      </c>
      <c r="L55" s="14">
        <f t="shared" si="81"/>
        <v>98.899999999999977</v>
      </c>
      <c r="M55" s="14">
        <f t="shared" si="81"/>
        <v>195.60000000000002</v>
      </c>
      <c r="N55" s="14">
        <f t="shared" si="81"/>
        <v>185.7</v>
      </c>
      <c r="O55" s="14">
        <f t="shared" si="81"/>
        <v>153.60000000000002</v>
      </c>
      <c r="P55" s="14">
        <f t="shared" si="81"/>
        <v>135</v>
      </c>
      <c r="Q55" s="14">
        <f t="shared" si="81"/>
        <v>237.70000000000005</v>
      </c>
      <c r="R55" s="14">
        <f t="shared" si="81"/>
        <v>171.29999999999998</v>
      </c>
      <c r="S55" s="14">
        <f t="shared" si="81"/>
        <v>129.4</v>
      </c>
      <c r="T55" s="14">
        <f t="shared" si="81"/>
        <v>65.400000000000006</v>
      </c>
      <c r="U55" s="14">
        <f t="shared" si="81"/>
        <v>148.39999999999998</v>
      </c>
      <c r="Z55" s="14">
        <f t="shared" ref="Z55:AH55" si="82">Z11</f>
        <v>13.19500000000005</v>
      </c>
      <c r="AA55" s="14">
        <f t="shared" si="82"/>
        <v>72.569999999999993</v>
      </c>
      <c r="AB55" s="14">
        <f t="shared" si="82"/>
        <v>98.790000000000063</v>
      </c>
      <c r="AC55" s="14">
        <f t="shared" si="82"/>
        <v>110.53500000000005</v>
      </c>
      <c r="AD55" s="14">
        <f t="shared" si="82"/>
        <v>223.9</v>
      </c>
      <c r="AE55" s="14">
        <f t="shared" si="82"/>
        <v>377.5</v>
      </c>
      <c r="AF55" s="14">
        <f t="shared" si="82"/>
        <v>447.80000000000007</v>
      </c>
      <c r="AG55" s="14">
        <f t="shared" si="82"/>
        <v>633.80000000000007</v>
      </c>
      <c r="AH55" s="14">
        <f t="shared" si="82"/>
        <v>673</v>
      </c>
      <c r="AI55" s="15"/>
    </row>
    <row r="56" spans="1:35" s="14" customFormat="1" x14ac:dyDescent="0.25">
      <c r="A56" s="2"/>
      <c r="B56" s="4"/>
      <c r="C56" s="2" t="s">
        <v>85</v>
      </c>
      <c r="D56" s="14">
        <v>68</v>
      </c>
      <c r="E56" s="14">
        <v>128</v>
      </c>
      <c r="F56" s="14">
        <v>111</v>
      </c>
      <c r="G56" s="14">
        <v>72</v>
      </c>
      <c r="H56" s="14">
        <v>68</v>
      </c>
      <c r="I56" s="14">
        <v>122</v>
      </c>
      <c r="J56" s="14">
        <v>137</v>
      </c>
      <c r="K56" s="14">
        <v>122</v>
      </c>
      <c r="L56" s="14">
        <v>99</v>
      </c>
      <c r="M56" s="14">
        <v>195.6</v>
      </c>
      <c r="N56" s="14">
        <v>186</v>
      </c>
      <c r="O56" s="14">
        <v>154</v>
      </c>
      <c r="P56" s="14">
        <v>135</v>
      </c>
      <c r="Q56" s="14">
        <v>238</v>
      </c>
      <c r="R56" s="14">
        <v>171</v>
      </c>
      <c r="S56" s="14">
        <v>130</v>
      </c>
      <c r="T56" s="14">
        <v>65</v>
      </c>
      <c r="U56" s="14">
        <v>149</v>
      </c>
      <c r="Z56" s="14">
        <v>13</v>
      </c>
      <c r="AA56" s="14">
        <v>73</v>
      </c>
      <c r="AB56" s="14">
        <v>99</v>
      </c>
      <c r="AC56" s="14">
        <v>111</v>
      </c>
      <c r="AD56" s="14">
        <v>224</v>
      </c>
      <c r="AE56" s="14">
        <v>378</v>
      </c>
      <c r="AF56" s="14">
        <v>448.2</v>
      </c>
      <c r="AG56" s="14">
        <v>634</v>
      </c>
      <c r="AH56" s="14">
        <v>673</v>
      </c>
      <c r="AI56" s="15"/>
    </row>
    <row r="57" spans="1:35" s="14" customFormat="1" x14ac:dyDescent="0.25">
      <c r="A57" s="2"/>
      <c r="B57" s="4"/>
      <c r="C57" s="2" t="s">
        <v>86</v>
      </c>
      <c r="D57" s="14">
        <v>17.7</v>
      </c>
      <c r="E57" s="14">
        <v>17.7</v>
      </c>
      <c r="F57" s="14">
        <v>17.7</v>
      </c>
      <c r="G57" s="14">
        <v>17.600000000000001</v>
      </c>
      <c r="H57" s="14">
        <v>19.100000000000001</v>
      </c>
      <c r="I57" s="14">
        <v>19</v>
      </c>
      <c r="J57" s="14">
        <v>19.100000000000001</v>
      </c>
      <c r="K57" s="14">
        <v>20.100000000000001</v>
      </c>
      <c r="L57" s="14">
        <v>20.8</v>
      </c>
      <c r="M57" s="14">
        <v>20.6</v>
      </c>
      <c r="N57" s="14">
        <v>22.3</v>
      </c>
      <c r="O57" s="14">
        <v>22.7</v>
      </c>
      <c r="P57" s="14">
        <v>23.1</v>
      </c>
      <c r="Q57" s="14">
        <v>23.1</v>
      </c>
      <c r="R57" s="14">
        <v>24.4</v>
      </c>
      <c r="S57" s="14">
        <v>24.3</v>
      </c>
      <c r="T57" s="14">
        <v>24.1</v>
      </c>
      <c r="U57" s="14">
        <v>22.7</v>
      </c>
      <c r="Z57" s="14">
        <v>63.3</v>
      </c>
      <c r="AA57" s="14">
        <v>64.8</v>
      </c>
      <c r="AB57" s="14">
        <v>73.2</v>
      </c>
      <c r="AC57" s="14">
        <v>77.447999999999993</v>
      </c>
      <c r="AD57" s="14">
        <v>79</v>
      </c>
      <c r="AE57" s="14">
        <v>70.599999999999994</v>
      </c>
      <c r="AF57" s="14">
        <v>77.3</v>
      </c>
      <c r="AG57" s="14">
        <v>86</v>
      </c>
      <c r="AH57" s="14">
        <f>93.7+1.2+1.3</f>
        <v>96.2</v>
      </c>
      <c r="AI57" s="15"/>
    </row>
    <row r="58" spans="1:35" s="14" customFormat="1" x14ac:dyDescent="0.25">
      <c r="A58" s="2"/>
      <c r="B58" s="4"/>
      <c r="C58" s="2" t="s">
        <v>87</v>
      </c>
      <c r="D58" s="14">
        <v>-1.2</v>
      </c>
      <c r="E58" s="14">
        <v>-1</v>
      </c>
      <c r="F58" s="14">
        <v>-1.4</v>
      </c>
      <c r="G58" s="14">
        <v>-2.5</v>
      </c>
      <c r="H58" s="14">
        <v>-3.8</v>
      </c>
      <c r="I58" s="14">
        <v>-5.7</v>
      </c>
      <c r="J58" s="14">
        <v>-8.4</v>
      </c>
      <c r="K58" s="14">
        <v>-4.3</v>
      </c>
      <c r="L58" s="14">
        <v>-7.4</v>
      </c>
      <c r="M58" s="14">
        <v>-7.6</v>
      </c>
      <c r="N58" s="14">
        <v>-7.2</v>
      </c>
      <c r="O58" s="14">
        <v>-3.1</v>
      </c>
      <c r="P58" s="14">
        <v>-5</v>
      </c>
      <c r="Q58" s="14">
        <v>-6.7</v>
      </c>
      <c r="R58" s="14">
        <v>-4.4000000000000004</v>
      </c>
      <c r="S58" s="14">
        <v>-3</v>
      </c>
      <c r="T58" s="14">
        <v>-4.7</v>
      </c>
      <c r="U58" s="14">
        <v>-6.3</v>
      </c>
      <c r="Z58" s="14">
        <v>-10</v>
      </c>
      <c r="AA58" s="14">
        <f>-15.7</f>
        <v>-15.7</v>
      </c>
      <c r="AB58" s="14">
        <v>-20</v>
      </c>
      <c r="AC58" s="14">
        <f>-23.4</f>
        <v>-23.4</v>
      </c>
      <c r="AD58" s="14">
        <f>-15</f>
        <v>-15</v>
      </c>
      <c r="AE58" s="14">
        <f>0.6-6.7</f>
        <v>-6.1000000000000005</v>
      </c>
      <c r="AF58" s="14">
        <f>3.2-25.4</f>
        <v>-22.2</v>
      </c>
      <c r="AG58" s="14">
        <f>3.3-28.6</f>
        <v>-25.3</v>
      </c>
      <c r="AH58" s="14">
        <v>-20.399999999999999</v>
      </c>
      <c r="AI58" s="15"/>
    </row>
    <row r="59" spans="1:35" s="14" customFormat="1" x14ac:dyDescent="0.25">
      <c r="A59" s="2"/>
      <c r="B59" s="4"/>
      <c r="C59" s="2" t="s">
        <v>88</v>
      </c>
      <c r="D59" s="14">
        <v>-26.9</v>
      </c>
      <c r="E59" s="14">
        <v>-12.1</v>
      </c>
      <c r="F59" s="14">
        <v>-12.2</v>
      </c>
      <c r="G59" s="14">
        <v>-43</v>
      </c>
      <c r="H59" s="14">
        <v>-32.799999999999997</v>
      </c>
      <c r="I59" s="14">
        <v>-26</v>
      </c>
      <c r="J59" s="14">
        <v>-26</v>
      </c>
      <c r="K59" s="14">
        <v>-18.399999999999999</v>
      </c>
      <c r="L59" s="14">
        <v>-20.6</v>
      </c>
      <c r="M59" s="14">
        <v>-24.7</v>
      </c>
      <c r="N59" s="14">
        <v>-37.9</v>
      </c>
      <c r="O59" s="14">
        <v>-44.5</v>
      </c>
      <c r="P59" s="14">
        <v>-37.4</v>
      </c>
      <c r="Q59" s="14">
        <v>-34.6</v>
      </c>
      <c r="R59" s="14">
        <v>34.6</v>
      </c>
      <c r="S59" s="14">
        <v>-48.5</v>
      </c>
      <c r="T59" s="14">
        <v>-34.700000000000003</v>
      </c>
      <c r="U59" s="14">
        <v>-33.5</v>
      </c>
      <c r="Z59" s="14">
        <v>-22.2</v>
      </c>
      <c r="AA59" s="14">
        <v>-18</v>
      </c>
      <c r="AB59" s="14">
        <v>-17</v>
      </c>
      <c r="AC59" s="14">
        <v>-38.982999999999997</v>
      </c>
      <c r="AD59" s="14">
        <v>-49.6</v>
      </c>
      <c r="AE59" s="14">
        <v>-94.2</v>
      </c>
      <c r="AF59" s="14">
        <v>-103.2</v>
      </c>
      <c r="AG59" s="14">
        <v>-127.7</v>
      </c>
      <c r="AH59" s="14">
        <v>-155.1</v>
      </c>
      <c r="AI59" s="15"/>
    </row>
    <row r="60" spans="1:35" s="14" customFormat="1" x14ac:dyDescent="0.25">
      <c r="A60" s="2"/>
      <c r="B60" s="4"/>
      <c r="C60" s="2" t="s">
        <v>89</v>
      </c>
      <c r="D60" s="14">
        <v>15.3</v>
      </c>
      <c r="E60" s="14">
        <v>9.1999999999999993</v>
      </c>
      <c r="F60" s="14">
        <v>-4.4000000000000004</v>
      </c>
      <c r="G60" s="14">
        <v>-11.9</v>
      </c>
      <c r="H60" s="14">
        <v>23.1</v>
      </c>
      <c r="I60" s="14">
        <v>16.7</v>
      </c>
      <c r="J60" s="14">
        <v>7.3</v>
      </c>
      <c r="K60" s="14">
        <v>-51.3</v>
      </c>
      <c r="L60" s="14">
        <v>-1.2</v>
      </c>
      <c r="M60" s="14">
        <v>20.9</v>
      </c>
      <c r="N60" s="14">
        <v>-31</v>
      </c>
      <c r="O60" s="14">
        <v>11</v>
      </c>
      <c r="P60" s="14">
        <v>5</v>
      </c>
      <c r="Q60" s="14">
        <v>9.6999999999999993</v>
      </c>
      <c r="R60" s="14">
        <v>17.100000000000001</v>
      </c>
      <c r="S60" s="14">
        <v>-28.2</v>
      </c>
      <c r="T60" s="14">
        <v>15.8</v>
      </c>
      <c r="U60" s="14">
        <v>31.8</v>
      </c>
      <c r="Z60" s="14">
        <v>16</v>
      </c>
      <c r="AA60" s="14">
        <v>-13.4</v>
      </c>
      <c r="AB60" s="14">
        <v>4</v>
      </c>
      <c r="AC60" s="14">
        <v>1.3</v>
      </c>
      <c r="AD60" s="14">
        <v>-3.3</v>
      </c>
      <c r="AE60" s="14">
        <v>8.1999999999999993</v>
      </c>
      <c r="AF60" s="14">
        <v>-4.2</v>
      </c>
      <c r="AG60" s="14">
        <v>-0.3</v>
      </c>
      <c r="AH60" s="14">
        <f>20.5-17</f>
        <v>3.5</v>
      </c>
      <c r="AI60" s="15"/>
    </row>
    <row r="61" spans="1:35" s="14" customFormat="1" x14ac:dyDescent="0.25">
      <c r="A61" s="2"/>
      <c r="B61" s="4"/>
      <c r="C61" s="1" t="s">
        <v>90</v>
      </c>
      <c r="D61" s="12">
        <f t="shared" ref="D61:P61" si="83">SUM(D56:D60)</f>
        <v>72.900000000000006</v>
      </c>
      <c r="E61" s="12">
        <f t="shared" si="83"/>
        <v>141.79999999999998</v>
      </c>
      <c r="F61" s="12">
        <f t="shared" si="83"/>
        <v>110.69999999999997</v>
      </c>
      <c r="G61" s="12">
        <f t="shared" si="83"/>
        <v>32.199999999999996</v>
      </c>
      <c r="H61" s="12">
        <f t="shared" si="83"/>
        <v>73.599999999999994</v>
      </c>
      <c r="I61" s="12">
        <f t="shared" si="83"/>
        <v>126.00000000000001</v>
      </c>
      <c r="J61" s="12">
        <f t="shared" si="83"/>
        <v>129</v>
      </c>
      <c r="K61" s="12">
        <f t="shared" si="83"/>
        <v>68.09999999999998</v>
      </c>
      <c r="L61" s="12">
        <f t="shared" si="83"/>
        <v>90.59999999999998</v>
      </c>
      <c r="M61" s="12">
        <f t="shared" si="83"/>
        <v>204.8</v>
      </c>
      <c r="N61" s="12">
        <f t="shared" si="83"/>
        <v>132.20000000000002</v>
      </c>
      <c r="O61" s="12">
        <f t="shared" si="83"/>
        <v>140.1</v>
      </c>
      <c r="P61" s="12">
        <f t="shared" si="83"/>
        <v>120.69999999999999</v>
      </c>
      <c r="Q61" s="12">
        <f>SUM(Q56:Q60)</f>
        <v>229.50000000000003</v>
      </c>
      <c r="R61" s="12">
        <f t="shared" ref="R61:U61" si="84">SUM(R56:R60)</f>
        <v>242.7</v>
      </c>
      <c r="S61" s="12">
        <f t="shared" si="84"/>
        <v>74.600000000000009</v>
      </c>
      <c r="T61" s="12">
        <f t="shared" si="84"/>
        <v>65.499999999999986</v>
      </c>
      <c r="U61" s="12">
        <f t="shared" si="84"/>
        <v>163.69999999999999</v>
      </c>
      <c r="V61" s="12"/>
      <c r="W61" s="12"/>
      <c r="X61" s="12"/>
      <c r="Y61" s="12"/>
      <c r="Z61" s="12">
        <f t="shared" ref="Z61:AF61" si="85">SUM(Z56:Z60)</f>
        <v>60.099999999999994</v>
      </c>
      <c r="AA61" s="12">
        <f t="shared" si="85"/>
        <v>90.7</v>
      </c>
      <c r="AB61" s="12">
        <f t="shared" si="85"/>
        <v>139.19999999999999</v>
      </c>
      <c r="AC61" s="12">
        <f t="shared" si="85"/>
        <v>127.36499999999997</v>
      </c>
      <c r="AD61" s="12">
        <f t="shared" si="85"/>
        <v>235.1</v>
      </c>
      <c r="AE61" s="12">
        <f t="shared" si="85"/>
        <v>356.5</v>
      </c>
      <c r="AF61" s="12">
        <f t="shared" si="85"/>
        <v>395.90000000000003</v>
      </c>
      <c r="AG61" s="12">
        <f>SUM(AG56:AG60)</f>
        <v>566.70000000000005</v>
      </c>
      <c r="AH61" s="12">
        <f>SUM(AH56:AH60)</f>
        <v>597.20000000000005</v>
      </c>
      <c r="AI61" s="15"/>
    </row>
    <row r="62" spans="1:35" s="14" customFormat="1" x14ac:dyDescent="0.25">
      <c r="A62" s="2"/>
      <c r="B62" s="4"/>
      <c r="C62" s="2"/>
      <c r="D62" s="12"/>
      <c r="AI62" s="15"/>
    </row>
    <row r="63" spans="1:35" s="14" customFormat="1" x14ac:dyDescent="0.25">
      <c r="A63" s="2"/>
      <c r="B63" s="4"/>
      <c r="C63" s="2" t="s">
        <v>91</v>
      </c>
      <c r="D63" s="14">
        <v>-4</v>
      </c>
      <c r="E63" s="14">
        <v>-4.0999999999999996</v>
      </c>
      <c r="F63" s="14">
        <v>-2.2999999999999998</v>
      </c>
      <c r="G63" s="14">
        <v>-5.0999999999999996</v>
      </c>
      <c r="H63" s="14">
        <v>-15</v>
      </c>
      <c r="I63" s="14">
        <v>-7.8</v>
      </c>
      <c r="J63" s="14">
        <v>-7.5</v>
      </c>
      <c r="K63" s="14">
        <v>-8.5</v>
      </c>
      <c r="L63" s="14">
        <v>-8.1</v>
      </c>
      <c r="M63" s="14">
        <v>-6.7</v>
      </c>
      <c r="N63" s="14">
        <v>-3.2</v>
      </c>
      <c r="O63" s="14">
        <v>-5.5</v>
      </c>
      <c r="P63" s="14">
        <v>-9.5</v>
      </c>
      <c r="Q63" s="14">
        <v>-3.7</v>
      </c>
      <c r="R63" s="14">
        <v>-6.6</v>
      </c>
      <c r="S63" s="14">
        <v>-5.9</v>
      </c>
      <c r="T63" s="14">
        <v>-7.1</v>
      </c>
      <c r="U63" s="14">
        <v>-7</v>
      </c>
      <c r="Z63" s="14">
        <v>-1457.354</v>
      </c>
      <c r="AA63" s="14">
        <v>-7</v>
      </c>
      <c r="AB63" s="14">
        <v>-11</v>
      </c>
      <c r="AC63" s="14">
        <v>-7</v>
      </c>
      <c r="AD63" s="14">
        <v>17.7</v>
      </c>
      <c r="AE63" s="14">
        <v>-15.5</v>
      </c>
      <c r="AF63" s="14">
        <v>-4.2</v>
      </c>
      <c r="AG63" s="14">
        <v>-23.5</v>
      </c>
      <c r="AH63" s="14">
        <v>-25.7</v>
      </c>
      <c r="AI63" s="15"/>
    </row>
    <row r="64" spans="1:35" s="14" customFormat="1" x14ac:dyDescent="0.25">
      <c r="A64" s="2"/>
      <c r="B64" s="4"/>
      <c r="C64" s="1" t="s">
        <v>92</v>
      </c>
      <c r="D64" s="12">
        <f t="shared" ref="D64:P64" si="86">D63</f>
        <v>-4</v>
      </c>
      <c r="E64" s="12">
        <f t="shared" si="86"/>
        <v>-4.0999999999999996</v>
      </c>
      <c r="F64" s="12">
        <f t="shared" si="86"/>
        <v>-2.2999999999999998</v>
      </c>
      <c r="G64" s="12">
        <f t="shared" si="86"/>
        <v>-5.0999999999999996</v>
      </c>
      <c r="H64" s="12">
        <f t="shared" si="86"/>
        <v>-15</v>
      </c>
      <c r="I64" s="12">
        <f t="shared" si="86"/>
        <v>-7.8</v>
      </c>
      <c r="J64" s="12">
        <f t="shared" si="86"/>
        <v>-7.5</v>
      </c>
      <c r="K64" s="12">
        <f t="shared" si="86"/>
        <v>-8.5</v>
      </c>
      <c r="L64" s="12">
        <f t="shared" si="86"/>
        <v>-8.1</v>
      </c>
      <c r="M64" s="12">
        <f t="shared" si="86"/>
        <v>-6.7</v>
      </c>
      <c r="N64" s="12">
        <f t="shared" si="86"/>
        <v>-3.2</v>
      </c>
      <c r="O64" s="12">
        <f t="shared" si="86"/>
        <v>-5.5</v>
      </c>
      <c r="P64" s="12">
        <f t="shared" si="86"/>
        <v>-9.5</v>
      </c>
      <c r="Q64" s="12">
        <f>Q63</f>
        <v>-3.7</v>
      </c>
      <c r="R64" s="12">
        <f t="shared" ref="R64:U64" si="87">R63</f>
        <v>-6.6</v>
      </c>
      <c r="S64" s="12">
        <f t="shared" si="87"/>
        <v>-5.9</v>
      </c>
      <c r="T64" s="12">
        <f t="shared" si="87"/>
        <v>-7.1</v>
      </c>
      <c r="U64" s="12">
        <f t="shared" si="87"/>
        <v>-7</v>
      </c>
      <c r="V64" s="12"/>
      <c r="W64" s="12"/>
      <c r="X64" s="12"/>
      <c r="Y64" s="12"/>
      <c r="Z64" s="12">
        <f t="shared" ref="Z64:AF64" si="88">Z63</f>
        <v>-1457.354</v>
      </c>
      <c r="AA64" s="12">
        <f t="shared" si="88"/>
        <v>-7</v>
      </c>
      <c r="AB64" s="12">
        <f t="shared" si="88"/>
        <v>-11</v>
      </c>
      <c r="AC64" s="12">
        <f t="shared" si="88"/>
        <v>-7</v>
      </c>
      <c r="AD64" s="12">
        <f t="shared" si="88"/>
        <v>17.7</v>
      </c>
      <c r="AE64" s="12">
        <f t="shared" si="88"/>
        <v>-15.5</v>
      </c>
      <c r="AF64" s="12">
        <f t="shared" si="88"/>
        <v>-4.2</v>
      </c>
      <c r="AG64" s="12">
        <f>AG63</f>
        <v>-23.5</v>
      </c>
      <c r="AH64" s="12">
        <f>AH63</f>
        <v>-25.7</v>
      </c>
      <c r="AI64" s="15"/>
    </row>
    <row r="65" spans="1:35" s="14" customFormat="1" x14ac:dyDescent="0.25">
      <c r="A65" s="2"/>
      <c r="B65" s="4"/>
      <c r="C65" s="2"/>
      <c r="T65" s="12"/>
      <c r="V65" s="12"/>
      <c r="W65" s="12"/>
      <c r="X65" s="12"/>
      <c r="Y65" s="12"/>
      <c r="Z65" s="12"/>
      <c r="AA65" s="12"/>
      <c r="AI65" s="15"/>
    </row>
    <row r="66" spans="1:35" s="14" customFormat="1" x14ac:dyDescent="0.25">
      <c r="A66" s="2"/>
      <c r="B66" s="4"/>
      <c r="C66" s="2" t="s">
        <v>93</v>
      </c>
      <c r="D66" s="14">
        <v>0</v>
      </c>
      <c r="E66" s="14">
        <v>0</v>
      </c>
      <c r="F66" s="14">
        <v>85</v>
      </c>
      <c r="G66" s="14">
        <v>30</v>
      </c>
      <c r="H66" s="14">
        <v>35</v>
      </c>
      <c r="I66" s="14">
        <v>150</v>
      </c>
      <c r="J66" s="14">
        <v>0</v>
      </c>
      <c r="K66" s="14">
        <v>0</v>
      </c>
      <c r="L66" s="14">
        <v>30</v>
      </c>
      <c r="M66" s="14">
        <v>95</v>
      </c>
      <c r="N66" s="14">
        <v>55</v>
      </c>
      <c r="O66" s="14">
        <v>0</v>
      </c>
      <c r="P66" s="14">
        <v>0</v>
      </c>
      <c r="Q66" s="14">
        <v>680</v>
      </c>
      <c r="R66" s="14">
        <v>100</v>
      </c>
      <c r="S66" s="14">
        <v>60</v>
      </c>
      <c r="T66" s="14">
        <v>110</v>
      </c>
      <c r="U66" s="14">
        <v>140</v>
      </c>
      <c r="V66" s="12"/>
      <c r="W66" s="12"/>
      <c r="X66" s="12"/>
      <c r="Y66" s="12"/>
      <c r="Z66" s="14">
        <f>380.8+1360.29</f>
        <v>1741.09</v>
      </c>
      <c r="AA66" s="14">
        <v>262.38499999999999</v>
      </c>
      <c r="AB66" s="14">
        <v>285.72500000000002</v>
      </c>
      <c r="AC66" s="14">
        <v>0</v>
      </c>
      <c r="AD66" s="14">
        <v>500</v>
      </c>
      <c r="AE66" s="14">
        <v>115</v>
      </c>
      <c r="AF66" s="14">
        <v>185</v>
      </c>
      <c r="AG66" s="14">
        <v>180</v>
      </c>
      <c r="AH66" s="14">
        <v>840</v>
      </c>
      <c r="AI66" s="15"/>
    </row>
    <row r="67" spans="1:35" s="14" customFormat="1" x14ac:dyDescent="0.25">
      <c r="A67" s="2"/>
      <c r="B67" s="4"/>
      <c r="C67" s="2" t="s">
        <v>94</v>
      </c>
      <c r="D67" s="14">
        <v>-65</v>
      </c>
      <c r="E67" s="14">
        <v>0</v>
      </c>
      <c r="F67" s="14">
        <v>0</v>
      </c>
      <c r="G67" s="14">
        <v>0</v>
      </c>
      <c r="H67" s="14">
        <v>-15</v>
      </c>
      <c r="I67" s="14">
        <v>0</v>
      </c>
      <c r="J67" s="14">
        <v>0</v>
      </c>
      <c r="K67" s="14">
        <v>0</v>
      </c>
      <c r="L67" s="14">
        <v>0</v>
      </c>
      <c r="M67" s="14">
        <v>-100</v>
      </c>
      <c r="N67" s="14">
        <v>-30</v>
      </c>
      <c r="O67" s="14">
        <v>-80</v>
      </c>
      <c r="P67" s="14">
        <v>-30</v>
      </c>
      <c r="Q67" s="14">
        <v>-570</v>
      </c>
      <c r="R67" s="14">
        <v>-50</v>
      </c>
      <c r="S67" s="14">
        <v>-60</v>
      </c>
      <c r="T67" s="14">
        <v>0</v>
      </c>
      <c r="U67" s="14">
        <v>0</v>
      </c>
      <c r="Z67" s="14">
        <v>-210</v>
      </c>
      <c r="AA67" s="14">
        <v>-169.77799999999999</v>
      </c>
      <c r="AB67" s="14">
        <v>-125</v>
      </c>
      <c r="AC67" s="14">
        <v>0</v>
      </c>
      <c r="AD67" s="14">
        <v>-908.6</v>
      </c>
      <c r="AE67" s="14">
        <v>-65</v>
      </c>
      <c r="AF67" s="14">
        <v>-15</v>
      </c>
      <c r="AG67" s="14">
        <v>-210</v>
      </c>
      <c r="AH67" s="14">
        <v>-710</v>
      </c>
      <c r="AI67" s="15"/>
    </row>
    <row r="68" spans="1:35" s="14" customFormat="1" x14ac:dyDescent="0.25">
      <c r="A68" s="2"/>
      <c r="B68" s="4"/>
      <c r="C68" s="2" t="s">
        <v>95</v>
      </c>
      <c r="D68" s="14">
        <v>-1.9</v>
      </c>
      <c r="E68" s="14">
        <v>-2</v>
      </c>
      <c r="F68" s="14">
        <v>-1.9</v>
      </c>
      <c r="G68" s="14">
        <v>0.7</v>
      </c>
      <c r="H68" s="14">
        <v>-4.8</v>
      </c>
      <c r="I68" s="14">
        <v>-2.7</v>
      </c>
      <c r="J68" s="14">
        <v>-2.7</v>
      </c>
      <c r="K68" s="14">
        <v>-2.8</v>
      </c>
      <c r="L68" s="14">
        <v>-2.8</v>
      </c>
      <c r="M68" s="14">
        <v>-2.7</v>
      </c>
      <c r="N68" s="14">
        <v>-2.9</v>
      </c>
      <c r="O68" s="14">
        <v>-3.2</v>
      </c>
      <c r="P68" s="14">
        <v>-3.1</v>
      </c>
      <c r="Q68" s="14">
        <v>-3.1</v>
      </c>
      <c r="R68" s="14">
        <v>-3.2</v>
      </c>
      <c r="S68" s="14">
        <v>-3.1</v>
      </c>
      <c r="T68" s="14">
        <v>-3.2</v>
      </c>
      <c r="U68" s="14">
        <v>-3.2</v>
      </c>
      <c r="Z68" s="14">
        <v>0</v>
      </c>
      <c r="AA68" s="14">
        <v>0</v>
      </c>
      <c r="AB68" s="14">
        <f>-325.555-6</f>
        <v>-331.55500000000001</v>
      </c>
      <c r="AC68" s="14">
        <f>-7-86.24</f>
        <v>-93.24</v>
      </c>
      <c r="AD68" s="14">
        <v>-7.5</v>
      </c>
      <c r="AE68" s="14">
        <v>-6.5</v>
      </c>
      <c r="AF68" s="14">
        <v>-13</v>
      </c>
      <c r="AG68" s="14">
        <v>-11.6</v>
      </c>
      <c r="AH68" s="14">
        <v>-12.5</v>
      </c>
      <c r="AI68" s="15"/>
    </row>
    <row r="69" spans="1:35" s="14" customFormat="1" x14ac:dyDescent="0.25">
      <c r="A69" s="2"/>
      <c r="B69" s="4"/>
      <c r="C69" s="2" t="s">
        <v>96</v>
      </c>
      <c r="D69" s="14">
        <v>0</v>
      </c>
      <c r="E69" s="14">
        <v>3.5</v>
      </c>
      <c r="F69" s="14">
        <v>0</v>
      </c>
      <c r="G69" s="14">
        <v>1.1000000000000001</v>
      </c>
      <c r="H69" s="14">
        <v>0</v>
      </c>
      <c r="I69" s="14">
        <v>4.2</v>
      </c>
      <c r="J69" s="14">
        <v>0.8</v>
      </c>
      <c r="K69" s="14">
        <v>0</v>
      </c>
      <c r="L69" s="14">
        <v>0</v>
      </c>
      <c r="M69" s="14">
        <v>50.9</v>
      </c>
      <c r="N69" s="14">
        <v>0</v>
      </c>
      <c r="O69" s="14">
        <v>0</v>
      </c>
      <c r="P69" s="14">
        <v>0</v>
      </c>
      <c r="Q69" s="14">
        <v>31</v>
      </c>
      <c r="R69" s="14">
        <v>0</v>
      </c>
      <c r="S69" s="14">
        <v>0</v>
      </c>
      <c r="T69" s="14">
        <v>0</v>
      </c>
      <c r="U69" s="14">
        <v>0</v>
      </c>
      <c r="Z69" s="14">
        <v>0</v>
      </c>
      <c r="AA69" s="14">
        <v>0</v>
      </c>
      <c r="AB69" s="14">
        <v>-50</v>
      </c>
      <c r="AC69" s="14">
        <v>0</v>
      </c>
      <c r="AD69" s="14">
        <f>11.8-1</f>
        <v>10.8</v>
      </c>
      <c r="AE69" s="14">
        <f>4.6-0.2</f>
        <v>4.3999999999999995</v>
      </c>
      <c r="AF69" s="14">
        <v>5</v>
      </c>
      <c r="AG69" s="14">
        <v>50.9</v>
      </c>
      <c r="AH69" s="14">
        <v>31</v>
      </c>
      <c r="AI69" s="15"/>
    </row>
    <row r="70" spans="1:35" s="14" customFormat="1" x14ac:dyDescent="0.25">
      <c r="A70" s="2"/>
      <c r="B70" s="4"/>
      <c r="C70" s="2" t="s">
        <v>97</v>
      </c>
      <c r="D70" s="14">
        <v>0</v>
      </c>
      <c r="E70" s="14">
        <v>-0.7</v>
      </c>
      <c r="F70" s="14">
        <v>0</v>
      </c>
      <c r="G70" s="14">
        <v>0</v>
      </c>
      <c r="H70" s="14">
        <v>0</v>
      </c>
      <c r="I70" s="14">
        <v>0</v>
      </c>
      <c r="J70" s="14">
        <v>-0.4</v>
      </c>
      <c r="K70" s="14">
        <v>0</v>
      </c>
      <c r="L70" s="14">
        <v>0</v>
      </c>
      <c r="M70" s="14">
        <v>0</v>
      </c>
      <c r="N70" s="14">
        <v>0</v>
      </c>
      <c r="O70" s="14">
        <v>-0.7</v>
      </c>
      <c r="P70" s="14">
        <v>0</v>
      </c>
      <c r="Q70" s="14">
        <v>-1</v>
      </c>
      <c r="R70" s="14">
        <v>0</v>
      </c>
      <c r="S70" s="14">
        <v>-0.1</v>
      </c>
      <c r="T70" s="14">
        <v>0</v>
      </c>
      <c r="U70" s="14">
        <v>0</v>
      </c>
      <c r="Z70" s="14">
        <v>0</v>
      </c>
      <c r="AA70" s="14">
        <v>0</v>
      </c>
      <c r="AB70" s="14">
        <v>2</v>
      </c>
      <c r="AC70" s="14">
        <v>0</v>
      </c>
      <c r="AD70" s="14">
        <v>0</v>
      </c>
      <c r="AE70" s="14">
        <v>-0.8</v>
      </c>
      <c r="AF70" s="14">
        <v>-0.4</v>
      </c>
      <c r="AG70" s="14">
        <v>-0.7</v>
      </c>
      <c r="AH70" s="14">
        <v>-1.1000000000000001</v>
      </c>
      <c r="AI70" s="15"/>
    </row>
    <row r="71" spans="1:35" s="14" customFormat="1" x14ac:dyDescent="0.25">
      <c r="A71" s="2"/>
      <c r="B71" s="4"/>
      <c r="C71" s="2" t="s">
        <v>98</v>
      </c>
      <c r="D71" s="14">
        <v>0</v>
      </c>
      <c r="E71" s="14">
        <v>-40.299999999999997</v>
      </c>
      <c r="F71" s="14">
        <v>-205.5</v>
      </c>
      <c r="G71" s="14">
        <v>-80.3</v>
      </c>
      <c r="H71" s="14">
        <v>-94.5</v>
      </c>
      <c r="I71" s="14">
        <v>-94.8</v>
      </c>
      <c r="J71" s="14">
        <v>-119.5</v>
      </c>
      <c r="K71" s="14">
        <v>-109.7</v>
      </c>
      <c r="L71" s="14">
        <v>-115.7</v>
      </c>
      <c r="M71" s="14">
        <v>-103.7</v>
      </c>
      <c r="N71" s="14">
        <v>-124.6</v>
      </c>
      <c r="O71" s="14">
        <v>-83.7</v>
      </c>
      <c r="P71" s="14">
        <v>-119.3</v>
      </c>
      <c r="Q71" s="14">
        <v>-141</v>
      </c>
      <c r="R71" s="14">
        <v>-148.69999999999999</v>
      </c>
      <c r="S71" s="14">
        <v>-157.6</v>
      </c>
      <c r="T71" s="14">
        <v>-155.1</v>
      </c>
      <c r="U71" s="14">
        <v>-147</v>
      </c>
      <c r="V71" s="12"/>
      <c r="W71" s="12"/>
      <c r="X71" s="12"/>
      <c r="Y71" s="12"/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-326.10000000000002</v>
      </c>
      <c r="AF71" s="14">
        <v>-418.5</v>
      </c>
      <c r="AG71" s="14">
        <v>-427.7</v>
      </c>
      <c r="AH71" s="14">
        <v>-566.6</v>
      </c>
      <c r="AI71" s="15"/>
    </row>
    <row r="72" spans="1:35" s="14" customFormat="1" x14ac:dyDescent="0.25">
      <c r="A72" s="2"/>
      <c r="B72" s="4"/>
      <c r="C72" s="2" t="s">
        <v>99</v>
      </c>
      <c r="D72" s="14">
        <v>0</v>
      </c>
      <c r="E72" s="14">
        <v>-55.6</v>
      </c>
      <c r="F72" s="14">
        <v>0</v>
      </c>
      <c r="G72" s="14">
        <v>0</v>
      </c>
      <c r="H72" s="14">
        <v>0</v>
      </c>
      <c r="I72" s="14">
        <v>-98</v>
      </c>
      <c r="J72" s="14">
        <v>0</v>
      </c>
      <c r="K72" s="14">
        <v>0</v>
      </c>
      <c r="L72" s="14">
        <v>0</v>
      </c>
      <c r="M72" s="14">
        <v>-115.2</v>
      </c>
      <c r="N72" s="14">
        <v>0</v>
      </c>
      <c r="O72" s="14">
        <v>0</v>
      </c>
      <c r="P72" s="14">
        <v>0</v>
      </c>
      <c r="Q72" s="14">
        <v>-161.6</v>
      </c>
      <c r="R72" s="14">
        <v>0</v>
      </c>
      <c r="S72" s="14">
        <v>0</v>
      </c>
      <c r="T72" s="14">
        <v>0</v>
      </c>
      <c r="U72" s="14">
        <v>-87.2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-55.6</v>
      </c>
      <c r="AF72" s="14">
        <v>-98</v>
      </c>
      <c r="AG72" s="14">
        <v>-115.2</v>
      </c>
      <c r="AH72" s="14">
        <v>-161.6</v>
      </c>
      <c r="AI72" s="15"/>
    </row>
    <row r="73" spans="1:35" s="14" customFormat="1" x14ac:dyDescent="0.25">
      <c r="A73" s="2"/>
      <c r="B73" s="4"/>
      <c r="C73" s="1" t="s">
        <v>100</v>
      </c>
      <c r="D73" s="12">
        <f t="shared" ref="D73:P73" si="89">SUM(D66:D72)</f>
        <v>-66.900000000000006</v>
      </c>
      <c r="E73" s="12">
        <f t="shared" si="89"/>
        <v>-95.1</v>
      </c>
      <c r="F73" s="12">
        <f t="shared" si="89"/>
        <v>-122.4</v>
      </c>
      <c r="G73" s="12">
        <f t="shared" si="89"/>
        <v>-48.5</v>
      </c>
      <c r="H73" s="12">
        <f t="shared" si="89"/>
        <v>-79.3</v>
      </c>
      <c r="I73" s="12">
        <f t="shared" si="89"/>
        <v>-41.3</v>
      </c>
      <c r="J73" s="12">
        <f t="shared" si="89"/>
        <v>-121.8</v>
      </c>
      <c r="K73" s="12">
        <f t="shared" si="89"/>
        <v>-112.5</v>
      </c>
      <c r="L73" s="12">
        <f t="shared" si="89"/>
        <v>-88.5</v>
      </c>
      <c r="M73" s="12">
        <f t="shared" si="89"/>
        <v>-175.70000000000002</v>
      </c>
      <c r="N73" s="12">
        <f t="shared" si="89"/>
        <v>-102.5</v>
      </c>
      <c r="O73" s="12">
        <f t="shared" si="89"/>
        <v>-167.60000000000002</v>
      </c>
      <c r="P73" s="12">
        <f t="shared" si="89"/>
        <v>-152.4</v>
      </c>
      <c r="Q73" s="12">
        <f>SUM(Q66:Q72)</f>
        <v>-165.7</v>
      </c>
      <c r="R73" s="12">
        <f t="shared" ref="R73:U73" si="90">SUM(R66:R72)</f>
        <v>-101.89999999999999</v>
      </c>
      <c r="S73" s="12">
        <f t="shared" si="90"/>
        <v>-160.79999999999998</v>
      </c>
      <c r="T73" s="12">
        <f t="shared" si="90"/>
        <v>-48.3</v>
      </c>
      <c r="U73" s="12">
        <f t="shared" si="90"/>
        <v>-97.399999999999991</v>
      </c>
      <c r="V73" s="12"/>
      <c r="W73" s="12"/>
      <c r="X73" s="12"/>
      <c r="Y73" s="12"/>
      <c r="Z73" s="12">
        <f t="shared" ref="Z73:AF73" si="91">SUM(Z66:Z72)</f>
        <v>1531.09</v>
      </c>
      <c r="AA73" s="12">
        <f t="shared" si="91"/>
        <v>92.606999999999999</v>
      </c>
      <c r="AB73" s="12">
        <f t="shared" si="91"/>
        <v>-218.82999999999998</v>
      </c>
      <c r="AC73" s="12">
        <f t="shared" si="91"/>
        <v>-93.24</v>
      </c>
      <c r="AD73" s="12">
        <f t="shared" si="91"/>
        <v>-405.3</v>
      </c>
      <c r="AE73" s="12">
        <f t="shared" si="91"/>
        <v>-334.6</v>
      </c>
      <c r="AF73" s="12">
        <f t="shared" si="91"/>
        <v>-354.9</v>
      </c>
      <c r="AG73" s="12">
        <f>SUM(AG66:AG72)</f>
        <v>-534.29999999999995</v>
      </c>
      <c r="AH73" s="12">
        <f>SUM(AH66:AH72)</f>
        <v>-580.80000000000007</v>
      </c>
      <c r="AI73" s="15"/>
    </row>
    <row r="74" spans="1:35" s="14" customFormat="1" x14ac:dyDescent="0.25">
      <c r="A74" s="2"/>
      <c r="B74" s="4"/>
      <c r="C74" s="2"/>
      <c r="AI74" s="15"/>
    </row>
    <row r="75" spans="1:35" s="14" customFormat="1" x14ac:dyDescent="0.25">
      <c r="A75" s="2"/>
      <c r="B75" s="4"/>
      <c r="C75" s="2" t="s">
        <v>101</v>
      </c>
      <c r="D75" s="14">
        <f t="shared" ref="D75:P75" si="92">D61+D64+D73</f>
        <v>2</v>
      </c>
      <c r="E75" s="14">
        <f t="shared" si="92"/>
        <v>42.599999999999994</v>
      </c>
      <c r="F75" s="14">
        <f t="shared" si="92"/>
        <v>-14.000000000000028</v>
      </c>
      <c r="G75" s="14">
        <f t="shared" si="92"/>
        <v>-21.400000000000006</v>
      </c>
      <c r="H75" s="14">
        <f t="shared" si="92"/>
        <v>-20.700000000000003</v>
      </c>
      <c r="I75" s="14">
        <f t="shared" si="92"/>
        <v>76.90000000000002</v>
      </c>
      <c r="J75" s="14">
        <f t="shared" si="92"/>
        <v>-0.29999999999999716</v>
      </c>
      <c r="K75" s="14">
        <f t="shared" si="92"/>
        <v>-52.90000000000002</v>
      </c>
      <c r="L75" s="14">
        <f t="shared" si="92"/>
        <v>-6.0000000000000142</v>
      </c>
      <c r="M75" s="14">
        <f t="shared" si="92"/>
        <v>22.400000000000006</v>
      </c>
      <c r="N75" s="14">
        <f t="shared" si="92"/>
        <v>26.500000000000028</v>
      </c>
      <c r="O75" s="14">
        <f t="shared" si="92"/>
        <v>-33.000000000000028</v>
      </c>
      <c r="P75" s="14">
        <f t="shared" si="92"/>
        <v>-41.200000000000017</v>
      </c>
      <c r="Q75" s="14">
        <f>Q61+Q64+Q73</f>
        <v>60.100000000000051</v>
      </c>
      <c r="R75" s="14">
        <f t="shared" ref="R75:S75" si="93">R61+R64+R73</f>
        <v>134.19999999999999</v>
      </c>
      <c r="S75" s="14">
        <f t="shared" si="93"/>
        <v>-92.09999999999998</v>
      </c>
      <c r="T75" s="14">
        <f t="shared" ref="T75:U75" si="94">T61+T64+T73</f>
        <v>10.099999999999987</v>
      </c>
      <c r="U75" s="14">
        <f t="shared" si="94"/>
        <v>59.3</v>
      </c>
      <c r="Z75" s="14">
        <f t="shared" ref="Z75:AG75" si="95">Z61+Z64+Z73</f>
        <v>133.83599999999979</v>
      </c>
      <c r="AA75" s="14">
        <f t="shared" si="95"/>
        <v>176.30700000000002</v>
      </c>
      <c r="AB75" s="14">
        <f t="shared" si="95"/>
        <v>-90.63</v>
      </c>
      <c r="AC75" s="14">
        <f t="shared" si="95"/>
        <v>27.124999999999972</v>
      </c>
      <c r="AD75" s="14">
        <f t="shared" si="95"/>
        <v>-152.50000000000003</v>
      </c>
      <c r="AE75" s="14">
        <f t="shared" si="95"/>
        <v>6.3999999999999773</v>
      </c>
      <c r="AF75" s="14">
        <f t="shared" si="95"/>
        <v>36.800000000000068</v>
      </c>
      <c r="AG75" s="14">
        <f t="shared" si="95"/>
        <v>8.9000000000000909</v>
      </c>
      <c r="AH75" s="14">
        <f t="shared" ref="AH75" si="96">AH61+AH64+AH73</f>
        <v>-9.3000000000000682</v>
      </c>
      <c r="AI75" s="15"/>
    </row>
    <row r="76" spans="1:35" s="14" customFormat="1" x14ac:dyDescent="0.25">
      <c r="A76" s="2"/>
      <c r="B76" s="4"/>
      <c r="C76" s="2"/>
      <c r="AI76" s="15"/>
    </row>
    <row r="77" spans="1:35" s="14" customFormat="1" x14ac:dyDescent="0.25">
      <c r="A77" s="2"/>
      <c r="B77" s="4"/>
      <c r="C77" s="2" t="s">
        <v>102</v>
      </c>
      <c r="D77" s="14">
        <f t="shared" ref="D77:P77" si="97">D61+D63</f>
        <v>68.900000000000006</v>
      </c>
      <c r="E77" s="14">
        <f t="shared" si="97"/>
        <v>137.69999999999999</v>
      </c>
      <c r="F77" s="14">
        <f t="shared" si="97"/>
        <v>108.39999999999998</v>
      </c>
      <c r="G77" s="14">
        <f t="shared" si="97"/>
        <v>27.099999999999994</v>
      </c>
      <c r="H77" s="14">
        <f t="shared" si="97"/>
        <v>58.599999999999994</v>
      </c>
      <c r="I77" s="14">
        <f t="shared" si="97"/>
        <v>118.20000000000002</v>
      </c>
      <c r="J77" s="14">
        <f t="shared" si="97"/>
        <v>121.5</v>
      </c>
      <c r="K77" s="14">
        <f t="shared" si="97"/>
        <v>59.59999999999998</v>
      </c>
      <c r="L77" s="14">
        <f t="shared" si="97"/>
        <v>82.499999999999986</v>
      </c>
      <c r="M77" s="14">
        <f t="shared" si="97"/>
        <v>198.10000000000002</v>
      </c>
      <c r="N77" s="14">
        <f t="shared" si="97"/>
        <v>129.00000000000003</v>
      </c>
      <c r="O77" s="14">
        <f t="shared" si="97"/>
        <v>134.6</v>
      </c>
      <c r="P77" s="14">
        <f t="shared" si="97"/>
        <v>111.19999999999999</v>
      </c>
      <c r="Q77" s="14">
        <f>Q61+Q63</f>
        <v>225.80000000000004</v>
      </c>
      <c r="R77" s="14">
        <f t="shared" ref="R77:S77" si="98">R61+R63</f>
        <v>236.1</v>
      </c>
      <c r="S77" s="14">
        <f t="shared" si="98"/>
        <v>68.7</v>
      </c>
      <c r="T77" s="14">
        <f t="shared" ref="T77:U77" si="99">T61+T63</f>
        <v>58.399999999999984</v>
      </c>
      <c r="U77" s="14">
        <f t="shared" si="99"/>
        <v>156.69999999999999</v>
      </c>
      <c r="Z77" s="14">
        <f t="shared" ref="Z77:AG77" si="100">Z61+Z63</f>
        <v>-1397.2540000000001</v>
      </c>
      <c r="AA77" s="14">
        <f t="shared" si="100"/>
        <v>83.7</v>
      </c>
      <c r="AB77" s="14">
        <f t="shared" si="100"/>
        <v>128.19999999999999</v>
      </c>
      <c r="AC77" s="14">
        <f t="shared" si="100"/>
        <v>120.36499999999997</v>
      </c>
      <c r="AD77" s="14">
        <f t="shared" si="100"/>
        <v>252.79999999999998</v>
      </c>
      <c r="AE77" s="14">
        <f t="shared" si="100"/>
        <v>341</v>
      </c>
      <c r="AF77" s="14">
        <f t="shared" si="100"/>
        <v>391.70000000000005</v>
      </c>
      <c r="AG77" s="14">
        <f t="shared" si="100"/>
        <v>543.20000000000005</v>
      </c>
      <c r="AH77" s="14">
        <f t="shared" ref="AH77" si="101">AH61+AH63</f>
        <v>571.5</v>
      </c>
      <c r="AI77" s="15"/>
    </row>
    <row r="79" spans="1:35" x14ac:dyDescent="0.25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35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3" spans="4:33" x14ac:dyDescent="0.25"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4:33" x14ac:dyDescent="0.25"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4:33" x14ac:dyDescent="0.25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4:33" x14ac:dyDescent="0.25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4:33" x14ac:dyDescent="0.25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4:33" x14ac:dyDescent="0.25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4:33" x14ac:dyDescent="0.25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4:33" x14ac:dyDescent="0.25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4:33" x14ac:dyDescent="0.25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4:33" x14ac:dyDescent="0.25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4:33" x14ac:dyDescent="0.25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4:33" x14ac:dyDescent="0.25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4:33" x14ac:dyDescent="0.25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4:33" x14ac:dyDescent="0.25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3:34" x14ac:dyDescent="0.25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3:34" x14ac:dyDescent="0.25">
      <c r="C98" s="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4" x14ac:dyDescent="0.25">
      <c r="C99" s="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4" x14ac:dyDescent="0.2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3:34" x14ac:dyDescent="0.25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3:34" x14ac:dyDescent="0.25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3:34" x14ac:dyDescent="0.25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3:34" x14ac:dyDescent="0.25"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3:34" x14ac:dyDescent="0.25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3:34" x14ac:dyDescent="0.25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3:34" x14ac:dyDescent="0.25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3:34" x14ac:dyDescent="0.25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3:34" x14ac:dyDescent="0.25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3:34" x14ac:dyDescent="0.25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3:34" x14ac:dyDescent="0.25">
      <c r="C111" s="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4" x14ac:dyDescent="0.25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3:33" x14ac:dyDescent="0.25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3:33" x14ac:dyDescent="0.25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3:33" x14ac:dyDescent="0.25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3:33" x14ac:dyDescent="0.25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3:33" x14ac:dyDescent="0.25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3:33" x14ac:dyDescent="0.25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3:33" x14ac:dyDescent="0.25"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3:33" x14ac:dyDescent="0.25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3:33" x14ac:dyDescent="0.25"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3:33" x14ac:dyDescent="0.25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3:33" x14ac:dyDescent="0.25"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3:33" x14ac:dyDescent="0.25">
      <c r="C124" s="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x14ac:dyDescent="0.2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2"/>
      <c r="R125" s="14"/>
      <c r="S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3:33" x14ac:dyDescent="0.25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3:33" x14ac:dyDescent="0.25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3:33" x14ac:dyDescent="0.25"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4:33" x14ac:dyDescent="0.25"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4:33" x14ac:dyDescent="0.25"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7D72-8C86-3247-89D6-39A3266E6D81}">
  <dimension ref="B5:N18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35" sqref="H35"/>
    </sheetView>
  </sheetViews>
  <sheetFormatPr baseColWidth="10" defaultRowHeight="21" x14ac:dyDescent="0.25"/>
  <cols>
    <col min="1" max="1" width="10.83203125" style="38"/>
    <col min="2" max="2" width="31.6640625" style="38" customWidth="1"/>
    <col min="3" max="3" width="13.33203125" style="38" customWidth="1"/>
    <col min="4" max="5" width="10.83203125" style="38"/>
    <col min="6" max="6" width="14.33203125" style="38" bestFit="1" customWidth="1"/>
    <col min="7" max="7" width="14.1640625" style="38" bestFit="1" customWidth="1"/>
    <col min="8" max="10" width="10.83203125" style="38"/>
    <col min="11" max="11" width="16.6640625" style="38" customWidth="1"/>
    <col min="12" max="12" width="10.83203125" style="38"/>
    <col min="13" max="13" width="15" style="38" customWidth="1"/>
    <col min="14" max="16384" width="10.83203125" style="38"/>
  </cols>
  <sheetData>
    <row r="5" spans="2:14" x14ac:dyDescent="0.25">
      <c r="C5" s="50" t="s">
        <v>144</v>
      </c>
      <c r="D5" s="50"/>
      <c r="E5" s="50"/>
      <c r="F5" s="50" t="s">
        <v>145</v>
      </c>
      <c r="G5" s="50"/>
      <c r="H5" s="50"/>
      <c r="I5" s="50" t="s">
        <v>146</v>
      </c>
      <c r="J5" s="50"/>
      <c r="K5" s="50"/>
      <c r="L5" s="50" t="s">
        <v>147</v>
      </c>
      <c r="M5" s="50"/>
      <c r="N5" s="50"/>
    </row>
    <row r="6" spans="2:14" x14ac:dyDescent="0.25">
      <c r="B6" s="38" t="s">
        <v>48</v>
      </c>
      <c r="C6" s="41" t="s">
        <v>126</v>
      </c>
      <c r="D6" s="41" t="s">
        <v>127</v>
      </c>
      <c r="E6" s="41" t="s">
        <v>128</v>
      </c>
      <c r="F6" s="41" t="s">
        <v>129</v>
      </c>
      <c r="G6" s="41" t="s">
        <v>130</v>
      </c>
      <c r="H6" s="41" t="s">
        <v>131</v>
      </c>
      <c r="I6" s="41" t="s">
        <v>138</v>
      </c>
      <c r="J6" s="41" t="s">
        <v>139</v>
      </c>
      <c r="K6" s="41" t="s">
        <v>140</v>
      </c>
      <c r="L6" s="41" t="s">
        <v>141</v>
      </c>
      <c r="M6" s="41" t="s">
        <v>142</v>
      </c>
      <c r="N6" s="41" t="s">
        <v>143</v>
      </c>
    </row>
    <row r="7" spans="2:14" s="40" customFormat="1" x14ac:dyDescent="0.25">
      <c r="B7" s="40" t="s">
        <v>132</v>
      </c>
      <c r="F7" s="40">
        <v>116.6</v>
      </c>
      <c r="G7" s="40">
        <v>126.6</v>
      </c>
    </row>
    <row r="8" spans="2:14" s="39" customFormat="1" x14ac:dyDescent="0.25">
      <c r="B8" s="39" t="s">
        <v>66</v>
      </c>
      <c r="F8" s="39">
        <v>-0.21199999999999999</v>
      </c>
      <c r="G8" s="39">
        <v>-0.27</v>
      </c>
    </row>
    <row r="9" spans="2:14" s="40" customFormat="1" x14ac:dyDescent="0.25">
      <c r="B9" s="40" t="s">
        <v>133</v>
      </c>
      <c r="F9" s="40">
        <v>97.7</v>
      </c>
      <c r="G9" s="40">
        <v>107.5</v>
      </c>
    </row>
    <row r="10" spans="2:14" s="39" customFormat="1" x14ac:dyDescent="0.25">
      <c r="B10" s="39" t="s">
        <v>66</v>
      </c>
      <c r="F10" s="39">
        <v>0.245</v>
      </c>
      <c r="G10" s="39">
        <v>-0.29899999999999999</v>
      </c>
    </row>
    <row r="11" spans="2:14" s="40" customFormat="1" x14ac:dyDescent="0.25">
      <c r="B11" s="40" t="s">
        <v>134</v>
      </c>
      <c r="F11" s="40">
        <v>18.899999999999999</v>
      </c>
      <c r="G11" s="40">
        <v>19.100000000000001</v>
      </c>
    </row>
    <row r="12" spans="2:14" s="39" customFormat="1" x14ac:dyDescent="0.25">
      <c r="B12" s="39" t="s">
        <v>66</v>
      </c>
      <c r="F12" s="39">
        <v>2.4E-2</v>
      </c>
      <c r="G12" s="39">
        <v>-4.7E-2</v>
      </c>
    </row>
    <row r="13" spans="2:14" s="40" customFormat="1" x14ac:dyDescent="0.25">
      <c r="B13" s="40" t="s">
        <v>135</v>
      </c>
      <c r="F13" s="40">
        <v>9104</v>
      </c>
      <c r="G13" s="40">
        <v>9244</v>
      </c>
    </row>
    <row r="14" spans="2:14" s="39" customFormat="1" x14ac:dyDescent="0.25">
      <c r="B14" s="39" t="s">
        <v>66</v>
      </c>
      <c r="F14" s="39">
        <v>0.108</v>
      </c>
      <c r="G14" s="39">
        <v>0.13100000000000001</v>
      </c>
    </row>
    <row r="15" spans="2:14" x14ac:dyDescent="0.25">
      <c r="B15" s="38" t="s">
        <v>136</v>
      </c>
      <c r="F15" s="38">
        <v>15.4</v>
      </c>
      <c r="G15" s="38">
        <v>16.399999999999999</v>
      </c>
    </row>
    <row r="16" spans="2:14" s="39" customFormat="1" x14ac:dyDescent="0.25">
      <c r="B16" s="39" t="s">
        <v>66</v>
      </c>
      <c r="F16" s="39">
        <v>-0.113</v>
      </c>
      <c r="G16" s="39">
        <v>-0.19700000000000001</v>
      </c>
    </row>
    <row r="17" spans="2:7" x14ac:dyDescent="0.25">
      <c r="B17" s="38" t="s">
        <v>137</v>
      </c>
      <c r="F17" s="38">
        <v>11.1</v>
      </c>
      <c r="G17" s="38">
        <v>12.4</v>
      </c>
    </row>
    <row r="18" spans="2:7" s="39" customFormat="1" x14ac:dyDescent="0.25">
      <c r="B18" s="39" t="s">
        <v>66</v>
      </c>
      <c r="F18" s="39">
        <v>-0.36399999999999999</v>
      </c>
      <c r="G18" s="39">
        <v>-0.39400000000000002</v>
      </c>
    </row>
  </sheetData>
  <mergeCells count="4">
    <mergeCell ref="C5:E5"/>
    <mergeCell ref="F5:H5"/>
    <mergeCell ref="I5:K5"/>
    <mergeCell ref="L5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G14" sqref="G14"/>
    </sheetView>
  </sheetViews>
  <sheetFormatPr baseColWidth="10" defaultRowHeight="16" x14ac:dyDescent="0.2"/>
  <cols>
    <col min="3" max="3" width="29.5" bestFit="1" customWidth="1"/>
    <col min="4" max="5" width="18.6640625" bestFit="1" customWidth="1"/>
    <col min="6" max="6" width="20.6640625" bestFit="1" customWidth="1"/>
    <col min="7" max="7" width="18.6640625" bestFit="1" customWidth="1"/>
  </cols>
  <sheetData>
    <row r="4" spans="3:6" ht="62" x14ac:dyDescent="0.7">
      <c r="C4" s="28"/>
      <c r="D4" s="28">
        <v>2026</v>
      </c>
      <c r="E4" s="28">
        <v>2027</v>
      </c>
      <c r="F4" s="28">
        <v>2028</v>
      </c>
    </row>
    <row r="5" spans="3:6" ht="62" x14ac:dyDescent="0.7">
      <c r="C5" s="28" t="s">
        <v>29</v>
      </c>
      <c r="D5" s="29">
        <f>Modell!$B$9/Modell!AI11</f>
        <v>17.819735915197832</v>
      </c>
      <c r="E5" s="29">
        <f>Modell!$B$9/Modell!AJ11</f>
        <v>16.971177062093172</v>
      </c>
      <c r="F5" s="29">
        <f>Modell!$B$9/Modell!AK11</f>
        <v>16.163025773422071</v>
      </c>
    </row>
    <row r="6" spans="3:6" ht="62" x14ac:dyDescent="0.7">
      <c r="C6" s="28" t="s">
        <v>30</v>
      </c>
      <c r="D6" s="29">
        <f>Modell!$B$4/Modell!AI17</f>
        <v>19.7924167539751</v>
      </c>
      <c r="E6" s="29">
        <f>Modell!$B$4/Modell!AJ17</f>
        <v>18.849920718071527</v>
      </c>
      <c r="F6" s="35">
        <f>Modell!$B$4/Modell!AK17</f>
        <v>17.952305445782407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GB23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baseColWidth="10" defaultRowHeight="19" x14ac:dyDescent="0.25"/>
  <cols>
    <col min="1" max="1" width="10.83203125" style="2"/>
    <col min="2" max="2" width="24.1640625" style="4" customWidth="1"/>
    <col min="3" max="3" width="31.5" style="2" customWidth="1"/>
    <col min="4" max="23" width="10.83203125" style="2"/>
    <col min="24" max="24" width="14.1640625" style="2" bestFit="1" customWidth="1"/>
    <col min="25" max="25" width="13.33203125" style="2" bestFit="1" customWidth="1"/>
    <col min="26" max="16384" width="10.83203125" style="2"/>
  </cols>
  <sheetData>
    <row r="3" spans="1:184" x14ac:dyDescent="0.25">
      <c r="A3" s="1" t="s">
        <v>40</v>
      </c>
      <c r="D3" s="7" t="s">
        <v>41</v>
      </c>
      <c r="E3" s="7" t="s">
        <v>42</v>
      </c>
      <c r="F3" s="7" t="s">
        <v>32</v>
      </c>
      <c r="G3" s="7" t="s">
        <v>33</v>
      </c>
      <c r="H3" s="7" t="s">
        <v>34</v>
      </c>
      <c r="I3" s="7" t="s">
        <v>15</v>
      </c>
      <c r="J3" s="7" t="s">
        <v>16</v>
      </c>
      <c r="K3" s="7" t="s">
        <v>17</v>
      </c>
      <c r="L3" s="16" t="s">
        <v>18</v>
      </c>
      <c r="M3" s="7" t="s">
        <v>19</v>
      </c>
      <c r="N3" s="7" t="s">
        <v>20</v>
      </c>
      <c r="O3" s="7" t="s">
        <v>21</v>
      </c>
      <c r="P3" s="7" t="s">
        <v>22</v>
      </c>
      <c r="Q3" s="7" t="s">
        <v>23</v>
      </c>
      <c r="R3" s="7" t="s">
        <v>24</v>
      </c>
      <c r="S3" s="7" t="s">
        <v>25</v>
      </c>
      <c r="T3" s="7" t="s">
        <v>26</v>
      </c>
      <c r="U3" s="7" t="s">
        <v>27</v>
      </c>
      <c r="V3" s="7" t="s">
        <v>28</v>
      </c>
    </row>
    <row r="4" spans="1:184" x14ac:dyDescent="0.25">
      <c r="A4" s="1" t="s">
        <v>116</v>
      </c>
      <c r="C4" s="1" t="s">
        <v>51</v>
      </c>
      <c r="D4" s="12">
        <v>318.47500000000002</v>
      </c>
      <c r="E4" s="12">
        <v>374</v>
      </c>
      <c r="F4" s="12">
        <v>446.36900000000003</v>
      </c>
      <c r="G4" s="12">
        <v>545.846</v>
      </c>
      <c r="H4" s="12">
        <v>729.9</v>
      </c>
      <c r="I4" s="12">
        <v>891.8</v>
      </c>
      <c r="J4" s="12">
        <v>1007</v>
      </c>
      <c r="K4" s="12">
        <v>1396.7</v>
      </c>
      <c r="L4" s="13">
        <v>1528</v>
      </c>
      <c r="M4" s="12">
        <f>L4*1</f>
        <v>1528</v>
      </c>
      <c r="N4" s="12">
        <f t="shared" ref="N4:V4" si="0">M4*1</f>
        <v>1528</v>
      </c>
      <c r="O4" s="12">
        <f t="shared" si="0"/>
        <v>1528</v>
      </c>
      <c r="P4" s="12">
        <f t="shared" si="0"/>
        <v>1528</v>
      </c>
      <c r="Q4" s="12">
        <f t="shared" si="0"/>
        <v>1528</v>
      </c>
      <c r="R4" s="12">
        <f t="shared" si="0"/>
        <v>1528</v>
      </c>
      <c r="S4" s="12">
        <f t="shared" si="0"/>
        <v>1528</v>
      </c>
      <c r="T4" s="12">
        <f t="shared" si="0"/>
        <v>1528</v>
      </c>
      <c r="U4" s="12">
        <f t="shared" si="0"/>
        <v>1528</v>
      </c>
      <c r="V4" s="12">
        <f t="shared" si="0"/>
        <v>1528</v>
      </c>
    </row>
    <row r="5" spans="1:184" x14ac:dyDescent="0.25">
      <c r="A5" s="33">
        <f>Y22</f>
        <v>65.52851440174237</v>
      </c>
      <c r="C5" s="2" t="s">
        <v>52</v>
      </c>
      <c r="D5" s="14">
        <v>0</v>
      </c>
      <c r="E5" s="14">
        <v>0</v>
      </c>
      <c r="F5" s="14">
        <v>4.3</v>
      </c>
      <c r="G5" s="14">
        <v>3.9</v>
      </c>
      <c r="H5" s="14">
        <v>4.5999999999999996</v>
      </c>
      <c r="I5" s="14">
        <v>10</v>
      </c>
      <c r="J5" s="14">
        <v>13</v>
      </c>
      <c r="K5" s="14">
        <v>10.7</v>
      </c>
      <c r="L5" s="15">
        <v>16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</row>
    <row r="6" spans="1:184" x14ac:dyDescent="0.25">
      <c r="A6" s="25">
        <f>Y23</f>
        <v>-5.0311385481994632E-2</v>
      </c>
      <c r="C6" s="2" t="s">
        <v>53</v>
      </c>
      <c r="D6" s="14">
        <v>-181.48</v>
      </c>
      <c r="E6" s="14">
        <v>-166.75200000000001</v>
      </c>
      <c r="F6" s="14">
        <v>-189</v>
      </c>
      <c r="G6" s="14">
        <v>-245.30799999999999</v>
      </c>
      <c r="H6" s="14">
        <v>-299.89999999999998</v>
      </c>
      <c r="I6" s="14">
        <v>-299</v>
      </c>
      <c r="J6" s="14">
        <v>-323.7</v>
      </c>
      <c r="K6" s="14">
        <v>-480.7</v>
      </c>
      <c r="L6" s="15">
        <v>-549</v>
      </c>
      <c r="M6" s="14">
        <f>L6*1</f>
        <v>-549</v>
      </c>
      <c r="N6" s="14">
        <f t="shared" ref="N6:V6" si="1">M6*1</f>
        <v>-549</v>
      </c>
      <c r="O6" s="14">
        <f t="shared" si="1"/>
        <v>-549</v>
      </c>
      <c r="P6" s="14">
        <f t="shared" si="1"/>
        <v>-549</v>
      </c>
      <c r="Q6" s="14">
        <f t="shared" si="1"/>
        <v>-549</v>
      </c>
      <c r="R6" s="14">
        <f t="shared" si="1"/>
        <v>-549</v>
      </c>
      <c r="S6" s="14">
        <f t="shared" si="1"/>
        <v>-549</v>
      </c>
      <c r="T6" s="14">
        <f t="shared" si="1"/>
        <v>-549</v>
      </c>
      <c r="U6" s="14">
        <f t="shared" si="1"/>
        <v>-549</v>
      </c>
      <c r="V6" s="14">
        <f t="shared" si="1"/>
        <v>-549</v>
      </c>
    </row>
    <row r="7" spans="1:184" x14ac:dyDescent="0.25">
      <c r="C7" s="2" t="s">
        <v>54</v>
      </c>
      <c r="D7" s="14">
        <v>-60.5</v>
      </c>
      <c r="E7" s="14">
        <v>-69.885000000000005</v>
      </c>
      <c r="F7" s="14">
        <v>-88.679000000000002</v>
      </c>
      <c r="G7" s="14">
        <v>-114.756</v>
      </c>
      <c r="H7" s="14">
        <v>-130</v>
      </c>
      <c r="I7" s="14">
        <v>-153.19999999999999</v>
      </c>
      <c r="J7" s="14">
        <v>-169.6</v>
      </c>
      <c r="K7" s="14">
        <v>-205.2</v>
      </c>
      <c r="L7" s="15">
        <v>-226</v>
      </c>
      <c r="M7" s="14">
        <f t="shared" ref="M7:V9" si="2">L7*1</f>
        <v>-226</v>
      </c>
      <c r="N7" s="14">
        <f t="shared" si="2"/>
        <v>-226</v>
      </c>
      <c r="O7" s="14">
        <f t="shared" si="2"/>
        <v>-226</v>
      </c>
      <c r="P7" s="14">
        <f t="shared" si="2"/>
        <v>-226</v>
      </c>
      <c r="Q7" s="14">
        <f t="shared" si="2"/>
        <v>-226</v>
      </c>
      <c r="R7" s="14">
        <f t="shared" si="2"/>
        <v>-226</v>
      </c>
      <c r="S7" s="14">
        <f t="shared" si="2"/>
        <v>-226</v>
      </c>
      <c r="T7" s="14">
        <f t="shared" si="2"/>
        <v>-226</v>
      </c>
      <c r="U7" s="14">
        <f t="shared" si="2"/>
        <v>-226</v>
      </c>
      <c r="V7" s="14">
        <f t="shared" si="2"/>
        <v>-226</v>
      </c>
    </row>
    <row r="8" spans="1:184" x14ac:dyDescent="0.25">
      <c r="C8" s="2" t="s">
        <v>55</v>
      </c>
      <c r="D8" s="14">
        <v>-63.3</v>
      </c>
      <c r="E8" s="14">
        <v>-64.793000000000006</v>
      </c>
      <c r="F8" s="14">
        <v>-73.2</v>
      </c>
      <c r="G8" s="14">
        <v>-77.447000000000003</v>
      </c>
      <c r="H8" s="14">
        <v>-79</v>
      </c>
      <c r="I8" s="14">
        <v>-70.599999999999994</v>
      </c>
      <c r="J8" s="14">
        <v>-77.3</v>
      </c>
      <c r="K8" s="14">
        <v>-86</v>
      </c>
      <c r="L8" s="15">
        <v>-94</v>
      </c>
      <c r="M8" s="14">
        <f t="shared" si="2"/>
        <v>-94</v>
      </c>
      <c r="N8" s="14">
        <f t="shared" si="2"/>
        <v>-94</v>
      </c>
      <c r="O8" s="14">
        <f t="shared" si="2"/>
        <v>-94</v>
      </c>
      <c r="P8" s="14">
        <f t="shared" si="2"/>
        <v>-94</v>
      </c>
      <c r="Q8" s="14">
        <f t="shared" si="2"/>
        <v>-94</v>
      </c>
      <c r="R8" s="14">
        <f t="shared" si="2"/>
        <v>-94</v>
      </c>
      <c r="S8" s="14">
        <f t="shared" si="2"/>
        <v>-94</v>
      </c>
      <c r="T8" s="14">
        <f t="shared" si="2"/>
        <v>-94</v>
      </c>
      <c r="U8" s="14">
        <f t="shared" si="2"/>
        <v>-94</v>
      </c>
      <c r="V8" s="14">
        <f t="shared" si="2"/>
        <v>-94</v>
      </c>
    </row>
    <row r="9" spans="1:184" x14ac:dyDescent="0.25">
      <c r="C9" s="2" t="s">
        <v>56</v>
      </c>
      <c r="D9" s="14">
        <v>0</v>
      </c>
      <c r="E9" s="14">
        <v>0</v>
      </c>
      <c r="F9" s="14">
        <v>-1</v>
      </c>
      <c r="G9" s="14">
        <v>-1.7</v>
      </c>
      <c r="H9" s="14">
        <v>-1.7</v>
      </c>
      <c r="I9" s="14">
        <v>-1.5</v>
      </c>
      <c r="J9" s="14">
        <v>-1.6</v>
      </c>
      <c r="K9" s="14">
        <v>-1.7</v>
      </c>
      <c r="L9" s="15">
        <v>-2</v>
      </c>
      <c r="M9" s="14">
        <f t="shared" si="2"/>
        <v>-2</v>
      </c>
      <c r="N9" s="14">
        <f t="shared" si="2"/>
        <v>-2</v>
      </c>
      <c r="O9" s="14">
        <f t="shared" si="2"/>
        <v>-2</v>
      </c>
      <c r="P9" s="14">
        <f t="shared" si="2"/>
        <v>-2</v>
      </c>
      <c r="Q9" s="14">
        <f t="shared" si="2"/>
        <v>-2</v>
      </c>
      <c r="R9" s="14">
        <f t="shared" si="2"/>
        <v>-2</v>
      </c>
      <c r="S9" s="14">
        <f t="shared" si="2"/>
        <v>-2</v>
      </c>
      <c r="T9" s="14">
        <f t="shared" si="2"/>
        <v>-2</v>
      </c>
      <c r="U9" s="14">
        <f t="shared" si="2"/>
        <v>-2</v>
      </c>
      <c r="V9" s="14">
        <f t="shared" si="2"/>
        <v>-2</v>
      </c>
    </row>
    <row r="10" spans="1:184" x14ac:dyDescent="0.25">
      <c r="C10" s="2" t="s">
        <v>57</v>
      </c>
      <c r="D10" s="14">
        <f t="shared" ref="D10:L10" si="3">SUM(D6:D9)</f>
        <v>-305.27999999999997</v>
      </c>
      <c r="E10" s="14">
        <f t="shared" si="3"/>
        <v>-301.43</v>
      </c>
      <c r="F10" s="14">
        <f t="shared" si="3"/>
        <v>-351.87899999999996</v>
      </c>
      <c r="G10" s="14">
        <f t="shared" si="3"/>
        <v>-439.21099999999996</v>
      </c>
      <c r="H10" s="14">
        <f t="shared" si="3"/>
        <v>-510.59999999999997</v>
      </c>
      <c r="I10" s="14">
        <f t="shared" si="3"/>
        <v>-524.29999999999995</v>
      </c>
      <c r="J10" s="14">
        <f t="shared" si="3"/>
        <v>-572.19999999999993</v>
      </c>
      <c r="K10" s="14">
        <f t="shared" si="3"/>
        <v>-773.6</v>
      </c>
      <c r="L10" s="15">
        <f t="shared" si="3"/>
        <v>-871</v>
      </c>
      <c r="M10" s="14">
        <f t="shared" ref="M10:V10" si="4">SUM(M6:M9)</f>
        <v>-871</v>
      </c>
      <c r="N10" s="14">
        <f t="shared" si="4"/>
        <v>-871</v>
      </c>
      <c r="O10" s="14">
        <f t="shared" si="4"/>
        <v>-871</v>
      </c>
      <c r="P10" s="14">
        <f t="shared" si="4"/>
        <v>-871</v>
      </c>
      <c r="Q10" s="14">
        <f t="shared" si="4"/>
        <v>-871</v>
      </c>
      <c r="R10" s="14">
        <f t="shared" si="4"/>
        <v>-871</v>
      </c>
      <c r="S10" s="14">
        <f t="shared" si="4"/>
        <v>-871</v>
      </c>
      <c r="T10" s="14">
        <f t="shared" si="4"/>
        <v>-871</v>
      </c>
      <c r="U10" s="14">
        <f t="shared" si="4"/>
        <v>-871</v>
      </c>
      <c r="V10" s="14">
        <f t="shared" si="4"/>
        <v>-871</v>
      </c>
    </row>
    <row r="11" spans="1:184" x14ac:dyDescent="0.25">
      <c r="C11" s="1" t="s">
        <v>58</v>
      </c>
      <c r="D11" s="12">
        <f t="shared" ref="D11:L11" si="5">D4+D10+D5</f>
        <v>13.19500000000005</v>
      </c>
      <c r="E11" s="12">
        <f t="shared" si="5"/>
        <v>72.569999999999993</v>
      </c>
      <c r="F11" s="12">
        <f t="shared" si="5"/>
        <v>98.790000000000063</v>
      </c>
      <c r="G11" s="12">
        <f t="shared" si="5"/>
        <v>110.53500000000005</v>
      </c>
      <c r="H11" s="12">
        <f t="shared" si="5"/>
        <v>223.9</v>
      </c>
      <c r="I11" s="12">
        <f t="shared" si="5"/>
        <v>377.5</v>
      </c>
      <c r="J11" s="12">
        <f t="shared" si="5"/>
        <v>447.80000000000007</v>
      </c>
      <c r="K11" s="12">
        <f t="shared" si="5"/>
        <v>633.80000000000007</v>
      </c>
      <c r="L11" s="13">
        <f t="shared" si="5"/>
        <v>673</v>
      </c>
      <c r="M11" s="12">
        <f t="shared" ref="M11:V11" si="6">M4+M10+M5</f>
        <v>657</v>
      </c>
      <c r="N11" s="12">
        <f t="shared" si="6"/>
        <v>657</v>
      </c>
      <c r="O11" s="12">
        <f t="shared" si="6"/>
        <v>657</v>
      </c>
      <c r="P11" s="12">
        <f t="shared" si="6"/>
        <v>657</v>
      </c>
      <c r="Q11" s="12">
        <f t="shared" si="6"/>
        <v>657</v>
      </c>
      <c r="R11" s="12">
        <f t="shared" si="6"/>
        <v>657</v>
      </c>
      <c r="S11" s="12">
        <f t="shared" si="6"/>
        <v>657</v>
      </c>
      <c r="T11" s="12">
        <f t="shared" si="6"/>
        <v>657</v>
      </c>
      <c r="U11" s="12">
        <f t="shared" si="6"/>
        <v>657</v>
      </c>
      <c r="V11" s="12">
        <f t="shared" si="6"/>
        <v>657</v>
      </c>
    </row>
    <row r="12" spans="1:184" x14ac:dyDescent="0.25">
      <c r="C12" s="2" t="s">
        <v>59</v>
      </c>
      <c r="D12" s="14">
        <v>-36.130000000000003</v>
      </c>
      <c r="E12" s="14">
        <v>-25.587</v>
      </c>
      <c r="F12" s="14">
        <v>-15</v>
      </c>
      <c r="G12" s="14">
        <v>-23.722999999999999</v>
      </c>
      <c r="H12" s="14">
        <v>-25.8</v>
      </c>
      <c r="I12" s="14">
        <v>-6.8</v>
      </c>
      <c r="J12" s="14">
        <v>-20.8</v>
      </c>
      <c r="K12" s="14">
        <v>-26.7</v>
      </c>
      <c r="L12" s="15">
        <v>-18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</row>
    <row r="13" spans="1:184" x14ac:dyDescent="0.25">
      <c r="C13" s="2" t="s">
        <v>60</v>
      </c>
      <c r="D13" s="14">
        <f t="shared" ref="D13:L13" si="7">SUM(D11:D12)</f>
        <v>-22.934999999999953</v>
      </c>
      <c r="E13" s="14">
        <f t="shared" si="7"/>
        <v>46.98299999999999</v>
      </c>
      <c r="F13" s="14">
        <f t="shared" si="7"/>
        <v>83.790000000000063</v>
      </c>
      <c r="G13" s="14">
        <f t="shared" si="7"/>
        <v>86.812000000000054</v>
      </c>
      <c r="H13" s="14">
        <f t="shared" si="7"/>
        <v>198.1</v>
      </c>
      <c r="I13" s="14">
        <f t="shared" si="7"/>
        <v>370.7</v>
      </c>
      <c r="J13" s="14">
        <f t="shared" si="7"/>
        <v>427.00000000000006</v>
      </c>
      <c r="K13" s="14">
        <f t="shared" si="7"/>
        <v>607.1</v>
      </c>
      <c r="L13" s="15">
        <f t="shared" si="7"/>
        <v>655</v>
      </c>
      <c r="M13" s="14">
        <f t="shared" ref="M13:V13" si="8">SUM(M11:M12)</f>
        <v>657</v>
      </c>
      <c r="N13" s="14">
        <f t="shared" si="8"/>
        <v>657</v>
      </c>
      <c r="O13" s="14">
        <f t="shared" si="8"/>
        <v>657</v>
      </c>
      <c r="P13" s="14">
        <f t="shared" si="8"/>
        <v>657</v>
      </c>
      <c r="Q13" s="14">
        <f t="shared" si="8"/>
        <v>657</v>
      </c>
      <c r="R13" s="14">
        <f t="shared" si="8"/>
        <v>657</v>
      </c>
      <c r="S13" s="14">
        <f t="shared" si="8"/>
        <v>657</v>
      </c>
      <c r="T13" s="14">
        <f t="shared" si="8"/>
        <v>657</v>
      </c>
      <c r="U13" s="14">
        <f t="shared" si="8"/>
        <v>657</v>
      </c>
      <c r="V13" s="14">
        <f t="shared" si="8"/>
        <v>657</v>
      </c>
    </row>
    <row r="14" spans="1:184" x14ac:dyDescent="0.25">
      <c r="C14" s="2" t="s">
        <v>61</v>
      </c>
      <c r="D14" s="14">
        <v>-2.2000000000000002</v>
      </c>
      <c r="E14" s="14">
        <v>5.5</v>
      </c>
      <c r="F14" s="14">
        <v>-18</v>
      </c>
      <c r="G14" s="14">
        <v>-19</v>
      </c>
      <c r="H14" s="14">
        <v>-41.6</v>
      </c>
      <c r="I14" s="14">
        <v>-76.900000000000006</v>
      </c>
      <c r="J14" s="14">
        <v>-88.7</v>
      </c>
      <c r="K14" s="14">
        <v>-125.7</v>
      </c>
      <c r="L14" s="15">
        <v>-136</v>
      </c>
      <c r="M14" s="14">
        <f t="shared" ref="M14:V14" si="9">M13*-0.2</f>
        <v>-131.4</v>
      </c>
      <c r="N14" s="14">
        <f t="shared" si="9"/>
        <v>-131.4</v>
      </c>
      <c r="O14" s="14">
        <f t="shared" si="9"/>
        <v>-131.4</v>
      </c>
      <c r="P14" s="14">
        <f t="shared" si="9"/>
        <v>-131.4</v>
      </c>
      <c r="Q14" s="14">
        <f t="shared" si="9"/>
        <v>-131.4</v>
      </c>
      <c r="R14" s="14">
        <f t="shared" si="9"/>
        <v>-131.4</v>
      </c>
      <c r="S14" s="14">
        <f t="shared" si="9"/>
        <v>-131.4</v>
      </c>
      <c r="T14" s="14">
        <f t="shared" si="9"/>
        <v>-131.4</v>
      </c>
      <c r="U14" s="14">
        <f t="shared" si="9"/>
        <v>-131.4</v>
      </c>
      <c r="V14" s="14">
        <f t="shared" si="9"/>
        <v>-131.4</v>
      </c>
    </row>
    <row r="15" spans="1:184" x14ac:dyDescent="0.25">
      <c r="C15" s="1" t="s">
        <v>62</v>
      </c>
      <c r="D15" s="12">
        <f t="shared" ref="D15:L15" si="10">SUM(D13:D14)</f>
        <v>-25.134999999999952</v>
      </c>
      <c r="E15" s="12">
        <f t="shared" si="10"/>
        <v>52.48299999999999</v>
      </c>
      <c r="F15" s="12">
        <f t="shared" si="10"/>
        <v>65.790000000000063</v>
      </c>
      <c r="G15" s="12">
        <f t="shared" si="10"/>
        <v>67.812000000000054</v>
      </c>
      <c r="H15" s="12">
        <f t="shared" si="10"/>
        <v>156.5</v>
      </c>
      <c r="I15" s="12">
        <f t="shared" si="10"/>
        <v>293.79999999999995</v>
      </c>
      <c r="J15" s="12">
        <f t="shared" si="10"/>
        <v>338.30000000000007</v>
      </c>
      <c r="K15" s="12">
        <f t="shared" si="10"/>
        <v>481.40000000000003</v>
      </c>
      <c r="L15" s="13">
        <f t="shared" si="10"/>
        <v>519</v>
      </c>
      <c r="M15" s="12">
        <f t="shared" ref="M15:V15" si="11">SUM(M13:M14)</f>
        <v>525.6</v>
      </c>
      <c r="N15" s="12">
        <f t="shared" si="11"/>
        <v>525.6</v>
      </c>
      <c r="O15" s="12">
        <f t="shared" si="11"/>
        <v>525.6</v>
      </c>
      <c r="P15" s="12">
        <f t="shared" si="11"/>
        <v>525.6</v>
      </c>
      <c r="Q15" s="12">
        <f t="shared" si="11"/>
        <v>525.6</v>
      </c>
      <c r="R15" s="12">
        <f t="shared" si="11"/>
        <v>525.6</v>
      </c>
      <c r="S15" s="12">
        <f t="shared" si="11"/>
        <v>525.6</v>
      </c>
      <c r="T15" s="12">
        <f t="shared" si="11"/>
        <v>525.6</v>
      </c>
      <c r="U15" s="12">
        <f t="shared" si="11"/>
        <v>525.6</v>
      </c>
      <c r="V15" s="12">
        <f t="shared" si="11"/>
        <v>525.6</v>
      </c>
      <c r="W15" s="12">
        <f>V15*(1+$Y$19)</f>
        <v>520.34400000000005</v>
      </c>
      <c r="X15" s="12">
        <f t="shared" ref="X15:CI15" si="12">W15*(1+$Y$19)</f>
        <v>515.14056000000005</v>
      </c>
      <c r="Y15" s="12">
        <f t="shared" si="12"/>
        <v>509.98915440000002</v>
      </c>
      <c r="Z15" s="12">
        <f t="shared" si="12"/>
        <v>504.88926285600002</v>
      </c>
      <c r="AA15" s="12">
        <f t="shared" si="12"/>
        <v>499.84037022744002</v>
      </c>
      <c r="AB15" s="12">
        <f t="shared" si="12"/>
        <v>494.84196652516562</v>
      </c>
      <c r="AC15" s="12">
        <f t="shared" si="12"/>
        <v>489.89354685991395</v>
      </c>
      <c r="AD15" s="12">
        <f t="shared" si="12"/>
        <v>484.99461139131483</v>
      </c>
      <c r="AE15" s="12">
        <f t="shared" si="12"/>
        <v>480.14466527740166</v>
      </c>
      <c r="AF15" s="12">
        <f t="shared" si="12"/>
        <v>475.34321862462764</v>
      </c>
      <c r="AG15" s="12">
        <f t="shared" si="12"/>
        <v>470.58978643838134</v>
      </c>
      <c r="AH15" s="12">
        <f t="shared" si="12"/>
        <v>465.88388857399752</v>
      </c>
      <c r="AI15" s="12">
        <f t="shared" si="12"/>
        <v>461.22504968825757</v>
      </c>
      <c r="AJ15" s="12">
        <f t="shared" si="12"/>
        <v>456.61279919137502</v>
      </c>
      <c r="AK15" s="12">
        <f t="shared" si="12"/>
        <v>452.04667119946129</v>
      </c>
      <c r="AL15" s="12">
        <f t="shared" si="12"/>
        <v>447.52620448746666</v>
      </c>
      <c r="AM15" s="12">
        <f t="shared" si="12"/>
        <v>443.05094244259197</v>
      </c>
      <c r="AN15" s="12">
        <f t="shared" si="12"/>
        <v>438.62043301816607</v>
      </c>
      <c r="AO15" s="12">
        <f t="shared" si="12"/>
        <v>434.2342286879844</v>
      </c>
      <c r="AP15" s="12">
        <f t="shared" si="12"/>
        <v>429.89188640110456</v>
      </c>
      <c r="AQ15" s="12">
        <f t="shared" si="12"/>
        <v>425.5929675370935</v>
      </c>
      <c r="AR15" s="12">
        <f t="shared" si="12"/>
        <v>421.33703786172254</v>
      </c>
      <c r="AS15" s="12">
        <f t="shared" si="12"/>
        <v>417.12366748310529</v>
      </c>
      <c r="AT15" s="12">
        <f t="shared" si="12"/>
        <v>412.95243080827424</v>
      </c>
      <c r="AU15" s="12">
        <f t="shared" si="12"/>
        <v>408.82290650019149</v>
      </c>
      <c r="AV15" s="12">
        <f t="shared" si="12"/>
        <v>404.73467743518955</v>
      </c>
      <c r="AW15" s="12">
        <f t="shared" si="12"/>
        <v>400.68733066083763</v>
      </c>
      <c r="AX15" s="12">
        <f t="shared" si="12"/>
        <v>396.68045735422925</v>
      </c>
      <c r="AY15" s="12">
        <f t="shared" si="12"/>
        <v>392.71365278068697</v>
      </c>
      <c r="AZ15" s="12">
        <f t="shared" si="12"/>
        <v>388.78651625288012</v>
      </c>
      <c r="BA15" s="12">
        <f t="shared" si="12"/>
        <v>384.89865109035134</v>
      </c>
      <c r="BB15" s="12">
        <f t="shared" si="12"/>
        <v>381.04966457944784</v>
      </c>
      <c r="BC15" s="12">
        <f t="shared" si="12"/>
        <v>377.23916793365333</v>
      </c>
      <c r="BD15" s="12">
        <f t="shared" si="12"/>
        <v>373.46677625431681</v>
      </c>
      <c r="BE15" s="12">
        <f t="shared" si="12"/>
        <v>369.73210849177366</v>
      </c>
      <c r="BF15" s="12">
        <f t="shared" si="12"/>
        <v>366.03478740685591</v>
      </c>
      <c r="BG15" s="12">
        <f t="shared" si="12"/>
        <v>362.37443953278733</v>
      </c>
      <c r="BH15" s="12">
        <f t="shared" si="12"/>
        <v>358.75069513745945</v>
      </c>
      <c r="BI15" s="12">
        <f t="shared" si="12"/>
        <v>355.16318818608482</v>
      </c>
      <c r="BJ15" s="12">
        <f t="shared" si="12"/>
        <v>351.611556304224</v>
      </c>
      <c r="BK15" s="12">
        <f t="shared" si="12"/>
        <v>348.09544074118173</v>
      </c>
      <c r="BL15" s="12">
        <f t="shared" si="12"/>
        <v>344.61448633376989</v>
      </c>
      <c r="BM15" s="12">
        <f t="shared" si="12"/>
        <v>341.16834147043221</v>
      </c>
      <c r="BN15" s="12">
        <f t="shared" si="12"/>
        <v>337.75665805572788</v>
      </c>
      <c r="BO15" s="12">
        <f t="shared" si="12"/>
        <v>334.37909147517058</v>
      </c>
      <c r="BP15" s="12">
        <f t="shared" si="12"/>
        <v>331.03530056041888</v>
      </c>
      <c r="BQ15" s="12">
        <f t="shared" si="12"/>
        <v>327.72494755481466</v>
      </c>
      <c r="BR15" s="12">
        <f t="shared" si="12"/>
        <v>324.4476980792665</v>
      </c>
      <c r="BS15" s="12">
        <f t="shared" si="12"/>
        <v>321.20322109847382</v>
      </c>
      <c r="BT15" s="12">
        <f t="shared" si="12"/>
        <v>317.9911888874891</v>
      </c>
      <c r="BU15" s="12">
        <f t="shared" si="12"/>
        <v>314.81127699861423</v>
      </c>
      <c r="BV15" s="12">
        <f t="shared" si="12"/>
        <v>311.66316422862809</v>
      </c>
      <c r="BW15" s="12">
        <f t="shared" si="12"/>
        <v>308.54653258634181</v>
      </c>
      <c r="BX15" s="12">
        <f t="shared" si="12"/>
        <v>305.46106726047839</v>
      </c>
      <c r="BY15" s="12">
        <f t="shared" si="12"/>
        <v>302.40645658787361</v>
      </c>
      <c r="BZ15" s="12">
        <f t="shared" si="12"/>
        <v>299.38239202199486</v>
      </c>
      <c r="CA15" s="12">
        <f t="shared" si="12"/>
        <v>296.38856810177492</v>
      </c>
      <c r="CB15" s="12">
        <f t="shared" si="12"/>
        <v>293.42468242075716</v>
      </c>
      <c r="CC15" s="12">
        <f t="shared" si="12"/>
        <v>290.49043559654962</v>
      </c>
      <c r="CD15" s="12">
        <f t="shared" si="12"/>
        <v>287.58553124058415</v>
      </c>
      <c r="CE15" s="12">
        <f t="shared" si="12"/>
        <v>284.70967592817829</v>
      </c>
      <c r="CF15" s="12">
        <f t="shared" si="12"/>
        <v>281.8625791688965</v>
      </c>
      <c r="CG15" s="12">
        <f t="shared" si="12"/>
        <v>279.04395337720752</v>
      </c>
      <c r="CH15" s="12">
        <f t="shared" si="12"/>
        <v>276.25351384343543</v>
      </c>
      <c r="CI15" s="12">
        <f t="shared" si="12"/>
        <v>273.49097870500106</v>
      </c>
      <c r="CJ15" s="12">
        <f t="shared" ref="CJ15:EU15" si="13">CI15*(1+$Y$19)</f>
        <v>270.75606891795104</v>
      </c>
      <c r="CK15" s="12">
        <f t="shared" si="13"/>
        <v>268.04850822877154</v>
      </c>
      <c r="CL15" s="12">
        <f t="shared" si="13"/>
        <v>265.36802314648384</v>
      </c>
      <c r="CM15" s="12">
        <f t="shared" si="13"/>
        <v>262.71434291501902</v>
      </c>
      <c r="CN15" s="12">
        <f t="shared" si="13"/>
        <v>260.08719948586884</v>
      </c>
      <c r="CO15" s="12">
        <f t="shared" si="13"/>
        <v>257.48632749101017</v>
      </c>
      <c r="CP15" s="12">
        <f t="shared" si="13"/>
        <v>254.91146421610006</v>
      </c>
      <c r="CQ15" s="12">
        <f t="shared" si="13"/>
        <v>252.36234957393904</v>
      </c>
      <c r="CR15" s="12">
        <f t="shared" si="13"/>
        <v>249.83872607819964</v>
      </c>
      <c r="CS15" s="12">
        <f t="shared" si="13"/>
        <v>247.34033881741763</v>
      </c>
      <c r="CT15" s="12">
        <f t="shared" si="13"/>
        <v>244.86693542924345</v>
      </c>
      <c r="CU15" s="12">
        <f t="shared" si="13"/>
        <v>242.41826607495102</v>
      </c>
      <c r="CV15" s="12">
        <f t="shared" si="13"/>
        <v>239.9940834142015</v>
      </c>
      <c r="CW15" s="12">
        <f t="shared" si="13"/>
        <v>237.59414258005947</v>
      </c>
      <c r="CX15" s="12">
        <f t="shared" si="13"/>
        <v>235.21820115425888</v>
      </c>
      <c r="CY15" s="12">
        <f t="shared" si="13"/>
        <v>232.86601914271628</v>
      </c>
      <c r="CZ15" s="12">
        <f t="shared" si="13"/>
        <v>230.53735895128912</v>
      </c>
      <c r="DA15" s="12">
        <f t="shared" si="13"/>
        <v>228.23198536177622</v>
      </c>
      <c r="DB15" s="12">
        <f t="shared" si="13"/>
        <v>225.94966550815846</v>
      </c>
      <c r="DC15" s="12">
        <f t="shared" si="13"/>
        <v>223.69016885307687</v>
      </c>
      <c r="DD15" s="12">
        <f t="shared" si="13"/>
        <v>221.45326716454611</v>
      </c>
      <c r="DE15" s="12">
        <f t="shared" si="13"/>
        <v>219.23873449290065</v>
      </c>
      <c r="DF15" s="12">
        <f t="shared" si="13"/>
        <v>217.04634714797163</v>
      </c>
      <c r="DG15" s="12">
        <f t="shared" si="13"/>
        <v>214.87588367649192</v>
      </c>
      <c r="DH15" s="12">
        <f t="shared" si="13"/>
        <v>212.727124839727</v>
      </c>
      <c r="DI15" s="12">
        <f t="shared" si="13"/>
        <v>210.59985359132972</v>
      </c>
      <c r="DJ15" s="12">
        <f t="shared" si="13"/>
        <v>208.49385505541642</v>
      </c>
      <c r="DK15" s="12">
        <f t="shared" si="13"/>
        <v>206.40891650486225</v>
      </c>
      <c r="DL15" s="12">
        <f t="shared" si="13"/>
        <v>204.34482733981363</v>
      </c>
      <c r="DM15" s="12">
        <f t="shared" si="13"/>
        <v>202.30137906641551</v>
      </c>
      <c r="DN15" s="12">
        <f t="shared" si="13"/>
        <v>200.27836527575136</v>
      </c>
      <c r="DO15" s="12">
        <f t="shared" si="13"/>
        <v>198.27558162299383</v>
      </c>
      <c r="DP15" s="12">
        <f t="shared" si="13"/>
        <v>196.29282580676389</v>
      </c>
      <c r="DQ15" s="12">
        <f t="shared" si="13"/>
        <v>194.32989754869624</v>
      </c>
      <c r="DR15" s="12">
        <f t="shared" si="13"/>
        <v>192.38659857320928</v>
      </c>
      <c r="DS15" s="12">
        <f t="shared" si="13"/>
        <v>190.46273258747718</v>
      </c>
      <c r="DT15" s="12">
        <f t="shared" si="13"/>
        <v>188.55810526160241</v>
      </c>
      <c r="DU15" s="12">
        <f t="shared" si="13"/>
        <v>186.67252420898637</v>
      </c>
      <c r="DV15" s="12">
        <f t="shared" si="13"/>
        <v>184.8057989668965</v>
      </c>
      <c r="DW15" s="12">
        <f t="shared" si="13"/>
        <v>182.95774097722753</v>
      </c>
      <c r="DX15" s="12">
        <f t="shared" si="13"/>
        <v>181.12816356745526</v>
      </c>
      <c r="DY15" s="12">
        <f t="shared" si="13"/>
        <v>179.3168819317807</v>
      </c>
      <c r="DZ15" s="12">
        <f t="shared" si="13"/>
        <v>177.5237131124629</v>
      </c>
      <c r="EA15" s="12">
        <f t="shared" si="13"/>
        <v>175.74847598133826</v>
      </c>
      <c r="EB15" s="12">
        <f t="shared" si="13"/>
        <v>173.99099122152487</v>
      </c>
      <c r="EC15" s="12">
        <f t="shared" si="13"/>
        <v>172.25108130930963</v>
      </c>
      <c r="ED15" s="12">
        <f t="shared" si="13"/>
        <v>170.52857049621653</v>
      </c>
      <c r="EE15" s="12">
        <f t="shared" si="13"/>
        <v>168.82328479125437</v>
      </c>
      <c r="EF15" s="12">
        <f t="shared" si="13"/>
        <v>167.13505194334181</v>
      </c>
      <c r="EG15" s="12">
        <f t="shared" si="13"/>
        <v>165.46370142390839</v>
      </c>
      <c r="EH15" s="12">
        <f t="shared" si="13"/>
        <v>163.8090644096693</v>
      </c>
      <c r="EI15" s="12">
        <f t="shared" si="13"/>
        <v>162.1709737655726</v>
      </c>
      <c r="EJ15" s="12">
        <f t="shared" si="13"/>
        <v>160.54926402791688</v>
      </c>
      <c r="EK15" s="12">
        <f t="shared" si="13"/>
        <v>158.9437713876377</v>
      </c>
      <c r="EL15" s="12">
        <f t="shared" si="13"/>
        <v>157.35433367376132</v>
      </c>
      <c r="EM15" s="12">
        <f t="shared" si="13"/>
        <v>155.78079033702372</v>
      </c>
      <c r="EN15" s="12">
        <f t="shared" si="13"/>
        <v>154.22298243365347</v>
      </c>
      <c r="EO15" s="12">
        <f t="shared" si="13"/>
        <v>152.68075260931693</v>
      </c>
      <c r="EP15" s="12">
        <f t="shared" si="13"/>
        <v>151.15394508322376</v>
      </c>
      <c r="EQ15" s="12">
        <f t="shared" si="13"/>
        <v>149.64240563239153</v>
      </c>
      <c r="ER15" s="12">
        <f t="shared" si="13"/>
        <v>148.14598157606761</v>
      </c>
      <c r="ES15" s="12">
        <f t="shared" si="13"/>
        <v>146.66452176030694</v>
      </c>
      <c r="ET15" s="12">
        <f t="shared" si="13"/>
        <v>145.19787654270388</v>
      </c>
      <c r="EU15" s="12">
        <f t="shared" si="13"/>
        <v>143.74589777727684</v>
      </c>
      <c r="EV15" s="12">
        <f t="shared" ref="EV15:GB15" si="14">EU15*(1+$Y$19)</f>
        <v>142.30843879950407</v>
      </c>
      <c r="EW15" s="12">
        <f t="shared" si="14"/>
        <v>140.88535441150904</v>
      </c>
      <c r="EX15" s="12">
        <f t="shared" si="14"/>
        <v>139.47650086739395</v>
      </c>
      <c r="EY15" s="12">
        <f t="shared" si="14"/>
        <v>138.08173585872001</v>
      </c>
      <c r="EZ15" s="12">
        <f t="shared" si="14"/>
        <v>136.70091850013281</v>
      </c>
      <c r="FA15" s="12">
        <f t="shared" si="14"/>
        <v>135.33390931513148</v>
      </c>
      <c r="FB15" s="12">
        <f t="shared" si="14"/>
        <v>133.98057022198017</v>
      </c>
      <c r="FC15" s="12">
        <f t="shared" si="14"/>
        <v>132.64076451976038</v>
      </c>
      <c r="FD15" s="12">
        <f t="shared" si="14"/>
        <v>131.31435687456278</v>
      </c>
      <c r="FE15" s="12">
        <f t="shared" si="14"/>
        <v>130.00121330581715</v>
      </c>
      <c r="FF15" s="12">
        <f t="shared" si="14"/>
        <v>128.70120117275897</v>
      </c>
      <c r="FG15" s="12">
        <f t="shared" si="14"/>
        <v>127.41418916103137</v>
      </c>
      <c r="FH15" s="12">
        <f t="shared" si="14"/>
        <v>126.14004726942106</v>
      </c>
      <c r="FI15" s="12">
        <f t="shared" si="14"/>
        <v>124.87864679672685</v>
      </c>
      <c r="FJ15" s="12">
        <f t="shared" si="14"/>
        <v>123.62986032875959</v>
      </c>
      <c r="FK15" s="12">
        <f t="shared" si="14"/>
        <v>122.393561725472</v>
      </c>
      <c r="FL15" s="12">
        <f t="shared" si="14"/>
        <v>121.16962610821727</v>
      </c>
      <c r="FM15" s="12">
        <f t="shared" si="14"/>
        <v>119.95792984713511</v>
      </c>
      <c r="FN15" s="12">
        <f t="shared" si="14"/>
        <v>118.75835054866376</v>
      </c>
      <c r="FO15" s="12">
        <f t="shared" si="14"/>
        <v>117.57076704317711</v>
      </c>
      <c r="FP15" s="12">
        <f t="shared" si="14"/>
        <v>116.39505937274534</v>
      </c>
      <c r="FQ15" s="12">
        <f t="shared" si="14"/>
        <v>115.23110877901789</v>
      </c>
      <c r="FR15" s="12">
        <f t="shared" si="14"/>
        <v>114.07879769122771</v>
      </c>
      <c r="FS15" s="12">
        <f t="shared" si="14"/>
        <v>112.93800971431543</v>
      </c>
      <c r="FT15" s="12">
        <f t="shared" si="14"/>
        <v>111.80862961717227</v>
      </c>
      <c r="FU15" s="12">
        <f t="shared" si="14"/>
        <v>110.69054332100055</v>
      </c>
      <c r="FV15" s="12">
        <f t="shared" si="14"/>
        <v>109.58363788779054</v>
      </c>
      <c r="FW15" s="12">
        <f t="shared" si="14"/>
        <v>108.48780150891264</v>
      </c>
      <c r="FX15" s="12">
        <f t="shared" si="14"/>
        <v>107.40292349382351</v>
      </c>
      <c r="FY15" s="12">
        <f t="shared" si="14"/>
        <v>106.32889425888527</v>
      </c>
      <c r="FZ15" s="12">
        <f t="shared" si="14"/>
        <v>105.26560531629642</v>
      </c>
      <c r="GA15" s="12">
        <f t="shared" si="14"/>
        <v>104.21294926313345</v>
      </c>
      <c r="GB15" s="12">
        <f t="shared" si="14"/>
        <v>103.17081977050212</v>
      </c>
    </row>
    <row r="16" spans="1:184" x14ac:dyDescent="0.25">
      <c r="C16" s="2" t="s">
        <v>63</v>
      </c>
      <c r="D16" s="23">
        <v>100.719421</v>
      </c>
      <c r="E16" s="23">
        <v>100.719421</v>
      </c>
      <c r="F16" s="23">
        <v>100.719421</v>
      </c>
      <c r="G16" s="23">
        <v>100.719421</v>
      </c>
      <c r="H16" s="23">
        <v>100.999394</v>
      </c>
      <c r="I16" s="23">
        <v>100.34598200000001</v>
      </c>
      <c r="J16" s="23">
        <v>97.638240999999994</v>
      </c>
      <c r="K16" s="23">
        <v>96.146298000000002</v>
      </c>
      <c r="L16" s="5">
        <v>96.146298000000002</v>
      </c>
      <c r="M16" s="23">
        <v>96.146298000000002</v>
      </c>
      <c r="N16" s="23">
        <v>96.146298000000002</v>
      </c>
      <c r="O16" s="23">
        <v>96.146298000000002</v>
      </c>
      <c r="P16" s="23">
        <v>96.146298000000002</v>
      </c>
      <c r="Q16" s="23">
        <v>96.146298000000002</v>
      </c>
      <c r="R16" s="23">
        <v>96.146298000000002</v>
      </c>
      <c r="S16" s="23">
        <v>96.146298000000002</v>
      </c>
      <c r="T16" s="23">
        <v>96.146298000000002</v>
      </c>
      <c r="U16" s="23">
        <v>96.146298000000002</v>
      </c>
      <c r="V16" s="23">
        <v>96.146298000000002</v>
      </c>
    </row>
    <row r="17" spans="3:25" x14ac:dyDescent="0.25">
      <c r="C17" s="2" t="s">
        <v>64</v>
      </c>
      <c r="D17" s="24">
        <f t="shared" ref="D17:I17" si="15">D15/D16</f>
        <v>-0.24955465143112721</v>
      </c>
      <c r="E17" s="24">
        <f t="shared" si="15"/>
        <v>0.52108123218857649</v>
      </c>
      <c r="F17" s="24">
        <f t="shared" si="15"/>
        <v>0.65320073672782597</v>
      </c>
      <c r="G17" s="24">
        <f t="shared" si="15"/>
        <v>0.67327630884613665</v>
      </c>
      <c r="H17" s="24">
        <f t="shared" si="15"/>
        <v>1.549514247580535</v>
      </c>
      <c r="I17" s="24">
        <f t="shared" si="15"/>
        <v>2.9278700964827862</v>
      </c>
      <c r="J17" s="24">
        <f>J15/J16</f>
        <v>3.4648309569608089</v>
      </c>
      <c r="K17" s="24">
        <f>K15/K16</f>
        <v>5.0069530498199732</v>
      </c>
      <c r="L17" s="20">
        <v>5.48</v>
      </c>
      <c r="M17" s="24">
        <f t="shared" ref="M17:V17" si="16">M15/M16</f>
        <v>5.4666691379006602</v>
      </c>
      <c r="N17" s="24">
        <f t="shared" si="16"/>
        <v>5.4666691379006602</v>
      </c>
      <c r="O17" s="24">
        <f t="shared" si="16"/>
        <v>5.4666691379006602</v>
      </c>
      <c r="P17" s="24">
        <f t="shared" si="16"/>
        <v>5.4666691379006602</v>
      </c>
      <c r="Q17" s="24">
        <f t="shared" si="16"/>
        <v>5.4666691379006602</v>
      </c>
      <c r="R17" s="24">
        <f t="shared" si="16"/>
        <v>5.4666691379006602</v>
      </c>
      <c r="S17" s="24">
        <f t="shared" si="16"/>
        <v>5.4666691379006602</v>
      </c>
      <c r="T17" s="24">
        <f t="shared" si="16"/>
        <v>5.4666691379006602</v>
      </c>
      <c r="U17" s="24">
        <f t="shared" si="16"/>
        <v>5.4666691379006602</v>
      </c>
      <c r="V17" s="24">
        <f t="shared" si="16"/>
        <v>5.4666691379006602</v>
      </c>
    </row>
    <row r="18" spans="3:25" x14ac:dyDescent="0.25">
      <c r="D18" s="14"/>
      <c r="E18" s="14"/>
      <c r="F18" s="14"/>
      <c r="G18" s="14"/>
      <c r="H18" s="14"/>
      <c r="I18" s="14"/>
      <c r="J18" s="14"/>
      <c r="K18" s="14"/>
      <c r="L18" s="8"/>
      <c r="M18" s="9"/>
      <c r="N18" s="9"/>
      <c r="O18" s="9"/>
      <c r="P18" s="9"/>
      <c r="Q18" s="9"/>
      <c r="R18" s="9"/>
      <c r="S18" s="9"/>
      <c r="T18" s="9"/>
      <c r="U18" s="9"/>
      <c r="V18" s="9"/>
      <c r="X18" s="2" t="s">
        <v>104</v>
      </c>
      <c r="Y18" s="31">
        <v>0.08</v>
      </c>
    </row>
    <row r="19" spans="3:25" x14ac:dyDescent="0.25">
      <c r="C19" s="1" t="s">
        <v>38</v>
      </c>
      <c r="D19" s="25"/>
      <c r="E19" s="25">
        <f t="shared" ref="E19:J19" si="17">(E4-D4)/D4</f>
        <v>0.17434649501530725</v>
      </c>
      <c r="F19" s="25">
        <f t="shared" si="17"/>
        <v>0.19350000000000009</v>
      </c>
      <c r="G19" s="25">
        <f t="shared" si="17"/>
        <v>0.22285821820063662</v>
      </c>
      <c r="H19" s="25">
        <f t="shared" si="17"/>
        <v>0.33719034306379447</v>
      </c>
      <c r="I19" s="25">
        <f t="shared" si="17"/>
        <v>0.22181120701465951</v>
      </c>
      <c r="J19" s="25">
        <f t="shared" si="17"/>
        <v>0.12917694550347616</v>
      </c>
      <c r="K19" s="25">
        <f>(K4-J4)/J4</f>
        <v>0.38699106256206561</v>
      </c>
      <c r="L19" s="27">
        <f t="shared" ref="L19:V19" si="18">(L4-K4)/K4</f>
        <v>9.4007302928331024E-2</v>
      </c>
      <c r="M19" s="25">
        <f t="shared" si="18"/>
        <v>0</v>
      </c>
      <c r="N19" s="25">
        <f t="shared" si="18"/>
        <v>0</v>
      </c>
      <c r="O19" s="25">
        <f t="shared" si="18"/>
        <v>0</v>
      </c>
      <c r="P19" s="25">
        <f t="shared" si="18"/>
        <v>0</v>
      </c>
      <c r="Q19" s="25">
        <f t="shared" si="18"/>
        <v>0</v>
      </c>
      <c r="R19" s="25">
        <f t="shared" si="18"/>
        <v>0</v>
      </c>
      <c r="S19" s="25">
        <f t="shared" si="18"/>
        <v>0</v>
      </c>
      <c r="T19" s="25">
        <f t="shared" si="18"/>
        <v>0</v>
      </c>
      <c r="U19" s="25">
        <f t="shared" si="18"/>
        <v>0</v>
      </c>
      <c r="V19" s="25">
        <f t="shared" si="18"/>
        <v>0</v>
      </c>
      <c r="X19" s="2" t="s">
        <v>105</v>
      </c>
      <c r="Y19" s="31">
        <v>-0.01</v>
      </c>
    </row>
    <row r="20" spans="3:25" x14ac:dyDescent="0.25">
      <c r="C20" s="1" t="s">
        <v>103</v>
      </c>
      <c r="D20" s="25"/>
      <c r="E20" s="25">
        <f>(E10-D10)/D10</f>
        <v>-1.2611373165618339E-2</v>
      </c>
      <c r="F20" s="25">
        <f t="shared" ref="F20:V20" si="19">(F10-E10)/E10</f>
        <v>0.16736555750920595</v>
      </c>
      <c r="G20" s="25">
        <f t="shared" si="19"/>
        <v>0.24818758721037631</v>
      </c>
      <c r="H20" s="25">
        <f t="shared" si="19"/>
        <v>0.16253918959224614</v>
      </c>
      <c r="I20" s="25">
        <f t="shared" si="19"/>
        <v>2.6831179005092028E-2</v>
      </c>
      <c r="J20" s="25">
        <f t="shared" si="19"/>
        <v>9.1359908449361024E-2</v>
      </c>
      <c r="K20" s="25">
        <f t="shared" si="19"/>
        <v>0.35197483397413509</v>
      </c>
      <c r="L20" s="27">
        <f t="shared" si="19"/>
        <v>0.12590486039296792</v>
      </c>
      <c r="M20" s="25">
        <f t="shared" si="19"/>
        <v>0</v>
      </c>
      <c r="N20" s="25">
        <f t="shared" si="19"/>
        <v>0</v>
      </c>
      <c r="O20" s="25">
        <f t="shared" si="19"/>
        <v>0</v>
      </c>
      <c r="P20" s="25">
        <f t="shared" si="19"/>
        <v>0</v>
      </c>
      <c r="Q20" s="25">
        <f t="shared" si="19"/>
        <v>0</v>
      </c>
      <c r="R20" s="25">
        <f t="shared" si="19"/>
        <v>0</v>
      </c>
      <c r="S20" s="25">
        <f t="shared" si="19"/>
        <v>0</v>
      </c>
      <c r="T20" s="25">
        <f t="shared" si="19"/>
        <v>0</v>
      </c>
      <c r="U20" s="25">
        <f t="shared" si="19"/>
        <v>0</v>
      </c>
      <c r="V20" s="25">
        <f t="shared" si="19"/>
        <v>0</v>
      </c>
      <c r="X20" s="30" t="s">
        <v>106</v>
      </c>
      <c r="Y20" s="32">
        <f>NPV(Y18,L15:GB15)</f>
        <v>6225.7557691467227</v>
      </c>
    </row>
    <row r="21" spans="3:25" x14ac:dyDescent="0.25">
      <c r="C21" s="2" t="s">
        <v>39</v>
      </c>
      <c r="D21" s="18">
        <f t="shared" ref="D21:V21" si="20">D11/D4</f>
        <v>4.1431823534029515E-2</v>
      </c>
      <c r="E21" s="18">
        <f t="shared" si="20"/>
        <v>0.19403743315508021</v>
      </c>
      <c r="F21" s="18">
        <f t="shared" si="20"/>
        <v>0.22131913282508431</v>
      </c>
      <c r="G21" s="18">
        <f t="shared" si="20"/>
        <v>0.20250217094198739</v>
      </c>
      <c r="H21" s="18">
        <f t="shared" si="20"/>
        <v>0.30675434991094674</v>
      </c>
      <c r="I21" s="18">
        <f t="shared" si="20"/>
        <v>0.42330118860731109</v>
      </c>
      <c r="J21" s="18">
        <f t="shared" si="20"/>
        <v>0.44468718967229404</v>
      </c>
      <c r="K21" s="18">
        <f t="shared" si="20"/>
        <v>0.45378391923820438</v>
      </c>
      <c r="L21" s="19">
        <f t="shared" si="20"/>
        <v>0.44044502617801046</v>
      </c>
      <c r="M21" s="18">
        <f t="shared" si="20"/>
        <v>0.42997382198952877</v>
      </c>
      <c r="N21" s="18">
        <f t="shared" si="20"/>
        <v>0.42997382198952877</v>
      </c>
      <c r="O21" s="18">
        <f t="shared" si="20"/>
        <v>0.42997382198952877</v>
      </c>
      <c r="P21" s="18">
        <f t="shared" si="20"/>
        <v>0.42997382198952877</v>
      </c>
      <c r="Q21" s="18">
        <f t="shared" si="20"/>
        <v>0.42997382198952877</v>
      </c>
      <c r="R21" s="18">
        <f t="shared" si="20"/>
        <v>0.42997382198952877</v>
      </c>
      <c r="S21" s="18">
        <f t="shared" si="20"/>
        <v>0.42997382198952877</v>
      </c>
      <c r="T21" s="18">
        <f t="shared" si="20"/>
        <v>0.42997382198952877</v>
      </c>
      <c r="U21" s="18">
        <f t="shared" si="20"/>
        <v>0.42997382198952877</v>
      </c>
      <c r="V21" s="18">
        <f t="shared" si="20"/>
        <v>0.42997382198952877</v>
      </c>
      <c r="X21" s="2" t="s">
        <v>2</v>
      </c>
      <c r="Y21" s="9">
        <v>95.008346000000003</v>
      </c>
    </row>
    <row r="22" spans="3:25" x14ac:dyDescent="0.25">
      <c r="X22" s="2" t="s">
        <v>107</v>
      </c>
      <c r="Y22" s="17">
        <f>Y20/Y21</f>
        <v>65.52851440174237</v>
      </c>
    </row>
    <row r="23" spans="3:25" x14ac:dyDescent="0.25">
      <c r="X23" s="1" t="s">
        <v>108</v>
      </c>
      <c r="Y23" s="25">
        <f>(Y22-Modell!B4)/Modell!B4</f>
        <v>-5.0311385481994632E-2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Månedstall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2026-09-10T07:28:05Z</dcterms:modified>
</cp:coreProperties>
</file>