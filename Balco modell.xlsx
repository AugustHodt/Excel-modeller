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21DBE3EF-23BE-E44D-A301-146FF5CC6CBD}" xr6:coauthVersionLast="47" xr6:coauthVersionMax="47" xr10:uidLastSave="{00000000-0000-0000-0000-000000000000}"/>
  <bookViews>
    <workbookView xWindow="24580" yWindow="500" windowWidth="24800" windowHeight="26500" activeTab="1" xr2:uid="{5AE0DF26-B7DD-1242-A60E-253C73A930AF}"/>
  </bookViews>
  <sheets>
    <sheet name="Info" sheetId="1" r:id="rId1"/>
    <sheet name="Modell" sheetId="2" r:id="rId2"/>
    <sheet name="Segementer" sheetId="4" r:id="rId3"/>
    <sheet name="Financial position" sheetId="6" r:id="rId4"/>
    <sheet name="Nøkkeltall" sheetId="3" r:id="rId5"/>
    <sheet name="Nedsideberegning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6" l="1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R10" i="6"/>
  <c r="Q10" i="6"/>
  <c r="Z22" i="4"/>
  <c r="Y22" i="4"/>
  <c r="X22" i="4"/>
  <c r="W22" i="4"/>
  <c r="Z20" i="4"/>
  <c r="Y20" i="4"/>
  <c r="X20" i="4"/>
  <c r="W20" i="4"/>
  <c r="AA19" i="4"/>
  <c r="AA20" i="4" s="1"/>
  <c r="AA17" i="4"/>
  <c r="Z16" i="4"/>
  <c r="Y16" i="4"/>
  <c r="X16" i="4"/>
  <c r="W16" i="4"/>
  <c r="AA15" i="4"/>
  <c r="AA16" i="4" s="1"/>
  <c r="Z13" i="4"/>
  <c r="Y13" i="4"/>
  <c r="X13" i="4"/>
  <c r="W13" i="4"/>
  <c r="Z11" i="4"/>
  <c r="Y11" i="4"/>
  <c r="X11" i="4"/>
  <c r="W11" i="4"/>
  <c r="AA10" i="4"/>
  <c r="AA11" i="4" s="1"/>
  <c r="AA8" i="4"/>
  <c r="Z7" i="4"/>
  <c r="Y7" i="4"/>
  <c r="X7" i="4"/>
  <c r="W7" i="4"/>
  <c r="AA6" i="4"/>
  <c r="AA7" i="4" s="1"/>
  <c r="V19" i="4"/>
  <c r="V20" i="4" s="1"/>
  <c r="V17" i="4"/>
  <c r="V18" i="4" s="1"/>
  <c r="V15" i="4"/>
  <c r="V16" i="4" s="1"/>
  <c r="V10" i="4"/>
  <c r="V11" i="4" s="1"/>
  <c r="V8" i="4"/>
  <c r="V9" i="4" s="1"/>
  <c r="V6" i="4"/>
  <c r="V7" i="4" s="1"/>
  <c r="Q19" i="4"/>
  <c r="Q20" i="4" s="1"/>
  <c r="Q17" i="4"/>
  <c r="Q18" i="4" s="1"/>
  <c r="Q16" i="4"/>
  <c r="Q15" i="4"/>
  <c r="Q10" i="4"/>
  <c r="Q11" i="4" s="1"/>
  <c r="Q8" i="4"/>
  <c r="Q9" i="4" s="1"/>
  <c r="Q6" i="4"/>
  <c r="Q7" i="4" s="1"/>
  <c r="L19" i="4"/>
  <c r="L20" i="4" s="1"/>
  <c r="L17" i="4"/>
  <c r="L18" i="4" s="1"/>
  <c r="L15" i="4"/>
  <c r="L16" i="4" s="1"/>
  <c r="L11" i="4"/>
  <c r="L9" i="4"/>
  <c r="L7" i="4"/>
  <c r="L6" i="4"/>
  <c r="L10" i="4"/>
  <c r="L8" i="4"/>
  <c r="G19" i="4"/>
  <c r="G17" i="4"/>
  <c r="G15" i="4"/>
  <c r="G10" i="4"/>
  <c r="G8" i="4"/>
  <c r="G6" i="4"/>
  <c r="U22" i="4"/>
  <c r="T22" i="4"/>
  <c r="S22" i="4"/>
  <c r="R22" i="4"/>
  <c r="P22" i="4"/>
  <c r="O22" i="4"/>
  <c r="N22" i="4"/>
  <c r="M22" i="4"/>
  <c r="K22" i="4"/>
  <c r="J22" i="4"/>
  <c r="I22" i="4"/>
  <c r="H22" i="4"/>
  <c r="U20" i="4"/>
  <c r="T20" i="4"/>
  <c r="S20" i="4"/>
  <c r="R20" i="4"/>
  <c r="P20" i="4"/>
  <c r="O20" i="4"/>
  <c r="N20" i="4"/>
  <c r="M20" i="4"/>
  <c r="K20" i="4"/>
  <c r="J20" i="4"/>
  <c r="I20" i="4"/>
  <c r="H20" i="4"/>
  <c r="U16" i="4"/>
  <c r="T16" i="4"/>
  <c r="S16" i="4"/>
  <c r="R16" i="4"/>
  <c r="P16" i="4"/>
  <c r="O16" i="4"/>
  <c r="N16" i="4"/>
  <c r="M16" i="4"/>
  <c r="K16" i="4"/>
  <c r="J16" i="4"/>
  <c r="I16" i="4"/>
  <c r="H16" i="4"/>
  <c r="U13" i="4"/>
  <c r="T13" i="4"/>
  <c r="S13" i="4"/>
  <c r="R13" i="4"/>
  <c r="P13" i="4"/>
  <c r="O13" i="4"/>
  <c r="N13" i="4"/>
  <c r="M13" i="4"/>
  <c r="K13" i="4"/>
  <c r="J13" i="4"/>
  <c r="I13" i="4"/>
  <c r="H13" i="4"/>
  <c r="U11" i="4"/>
  <c r="T11" i="4"/>
  <c r="S11" i="4"/>
  <c r="R11" i="4"/>
  <c r="P11" i="4"/>
  <c r="O11" i="4"/>
  <c r="N11" i="4"/>
  <c r="M11" i="4"/>
  <c r="K11" i="4"/>
  <c r="J11" i="4"/>
  <c r="I11" i="4"/>
  <c r="H11" i="4"/>
  <c r="H7" i="4"/>
  <c r="I7" i="4"/>
  <c r="J7" i="4"/>
  <c r="K7" i="4"/>
  <c r="M7" i="4"/>
  <c r="N7" i="4"/>
  <c r="O7" i="4"/>
  <c r="P7" i="4"/>
  <c r="R7" i="4"/>
  <c r="S7" i="4"/>
  <c r="U7" i="4"/>
  <c r="T7" i="4"/>
  <c r="L26" i="2"/>
  <c r="G71" i="2"/>
  <c r="G68" i="2"/>
  <c r="G57" i="2"/>
  <c r="G6" i="2"/>
  <c r="G11" i="2" s="1"/>
  <c r="G14" i="2" s="1"/>
  <c r="G16" i="2" s="1"/>
  <c r="G18" i="2" s="1"/>
  <c r="D68" i="2"/>
  <c r="H71" i="2"/>
  <c r="H68" i="2"/>
  <c r="D57" i="2"/>
  <c r="D40" i="2"/>
  <c r="H57" i="2"/>
  <c r="H40" i="2"/>
  <c r="D6" i="2"/>
  <c r="D11" i="2" s="1"/>
  <c r="D14" i="2" s="1"/>
  <c r="D16" i="2" s="1"/>
  <c r="D18" i="2" s="1"/>
  <c r="H6" i="2"/>
  <c r="H11" i="2" s="1"/>
  <c r="H14" i="2" s="1"/>
  <c r="H16" i="2" s="1"/>
  <c r="H18" i="2" s="1"/>
  <c r="E68" i="2"/>
  <c r="I68" i="2"/>
  <c r="E57" i="2"/>
  <c r="I57" i="2"/>
  <c r="E6" i="2"/>
  <c r="E11" i="2" s="1"/>
  <c r="E14" i="2" s="1"/>
  <c r="E16" i="2" s="1"/>
  <c r="E18" i="2" s="1"/>
  <c r="I6" i="2"/>
  <c r="I11" i="2" s="1"/>
  <c r="I14" i="2" s="1"/>
  <c r="I16" i="2" s="1"/>
  <c r="I18" i="2" s="1"/>
  <c r="F68" i="2"/>
  <c r="J68" i="2"/>
  <c r="F57" i="2"/>
  <c r="J57" i="2"/>
  <c r="J58" i="2"/>
  <c r="F6" i="2"/>
  <c r="F11" i="2" s="1"/>
  <c r="F14" i="2" s="1"/>
  <c r="F16" i="2" s="1"/>
  <c r="F18" i="2" s="1"/>
  <c r="J6" i="2"/>
  <c r="J11" i="2" s="1"/>
  <c r="J14" i="2" s="1"/>
  <c r="J16" i="2" s="1"/>
  <c r="J18" i="2" s="1"/>
  <c r="L71" i="2"/>
  <c r="L68" i="2"/>
  <c r="P71" i="2"/>
  <c r="P68" i="2"/>
  <c r="K68" i="2"/>
  <c r="O68" i="2"/>
  <c r="K6" i="2"/>
  <c r="K11" i="2" s="1"/>
  <c r="K14" i="2" s="1"/>
  <c r="K16" i="2" s="1"/>
  <c r="K18" i="2" s="1"/>
  <c r="O6" i="2"/>
  <c r="O11" i="2" s="1"/>
  <c r="O14" i="2" s="1"/>
  <c r="O16" i="2" s="1"/>
  <c r="O18" i="2" s="1"/>
  <c r="N7" i="5"/>
  <c r="AA18" i="4" l="1"/>
  <c r="AA9" i="4"/>
  <c r="H28" i="2"/>
  <c r="I28" i="2"/>
  <c r="J28" i="2"/>
  <c r="K28" i="2"/>
  <c r="L28" i="2"/>
  <c r="M28" i="2"/>
  <c r="N28" i="2"/>
  <c r="O28" i="2"/>
  <c r="P28" i="2"/>
  <c r="Q28" i="2"/>
  <c r="S28" i="2"/>
  <c r="H26" i="2"/>
  <c r="I26" i="2"/>
  <c r="J26" i="2"/>
  <c r="K26" i="2"/>
  <c r="M26" i="2"/>
  <c r="N26" i="2"/>
  <c r="O26" i="2"/>
  <c r="P26" i="2"/>
  <c r="Q26" i="2"/>
  <c r="S26" i="2"/>
  <c r="R28" i="2"/>
  <c r="R26" i="2"/>
  <c r="B8" i="2"/>
  <c r="B7" i="2"/>
  <c r="N68" i="2"/>
  <c r="R68" i="2"/>
  <c r="R58" i="2"/>
  <c r="N6" i="2"/>
  <c r="N11" i="2" s="1"/>
  <c r="R6" i="2"/>
  <c r="R11" i="2" s="1"/>
  <c r="N8" i="5"/>
  <c r="N9" i="5"/>
  <c r="N10" i="5"/>
  <c r="O10" i="5" s="1"/>
  <c r="P10" i="5" s="1"/>
  <c r="Q10" i="5" s="1"/>
  <c r="R10" i="5" s="1"/>
  <c r="S10" i="5" s="1"/>
  <c r="T10" i="5" s="1"/>
  <c r="U10" i="5" s="1"/>
  <c r="V10" i="5" s="1"/>
  <c r="W10" i="5" s="1"/>
  <c r="O7" i="5"/>
  <c r="P7" i="5" s="1"/>
  <c r="Q7" i="5" s="1"/>
  <c r="R7" i="5" s="1"/>
  <c r="S7" i="5" s="1"/>
  <c r="T7" i="5" s="1"/>
  <c r="U7" i="5" s="1"/>
  <c r="V7" i="5" s="1"/>
  <c r="W7" i="5" s="1"/>
  <c r="O5" i="5"/>
  <c r="P5" i="5"/>
  <c r="Q5" i="5"/>
  <c r="R5" i="5"/>
  <c r="S5" i="5"/>
  <c r="T5" i="5"/>
  <c r="U5" i="5"/>
  <c r="V5" i="5"/>
  <c r="W5" i="5"/>
  <c r="N5" i="5"/>
  <c r="O8" i="5"/>
  <c r="P8" i="5" s="1"/>
  <c r="Q8" i="5" s="1"/>
  <c r="R8" i="5" s="1"/>
  <c r="S8" i="5" s="1"/>
  <c r="T8" i="5" s="1"/>
  <c r="U8" i="5" s="1"/>
  <c r="V8" i="5" s="1"/>
  <c r="W8" i="5" s="1"/>
  <c r="O9" i="5"/>
  <c r="P9" i="5" s="1"/>
  <c r="Q9" i="5" s="1"/>
  <c r="R9" i="5" s="1"/>
  <c r="S9" i="5" s="1"/>
  <c r="T9" i="5" s="1"/>
  <c r="U9" i="5" s="1"/>
  <c r="V9" i="5" s="1"/>
  <c r="W9" i="5" s="1"/>
  <c r="O4" i="5"/>
  <c r="P4" i="5" s="1"/>
  <c r="N4" i="5"/>
  <c r="N20" i="5" s="1"/>
  <c r="M10" i="5"/>
  <c r="M9" i="5"/>
  <c r="M8" i="5"/>
  <c r="M7" i="5"/>
  <c r="M4" i="5"/>
  <c r="M6" i="5" s="1"/>
  <c r="AF8" i="2"/>
  <c r="AF9" i="2"/>
  <c r="AF10" i="2"/>
  <c r="AF7" i="2"/>
  <c r="L6" i="2"/>
  <c r="L11" i="2" s="1"/>
  <c r="L14" i="2" s="1"/>
  <c r="L16" i="2" s="1"/>
  <c r="L18" i="2" s="1"/>
  <c r="P6" i="2"/>
  <c r="P11" i="2" s="1"/>
  <c r="AF4" i="2"/>
  <c r="AG20" i="2" s="1"/>
  <c r="AH20" i="2"/>
  <c r="AI20" i="2"/>
  <c r="AJ20" i="2"/>
  <c r="AK20" i="2"/>
  <c r="AL20" i="2"/>
  <c r="AM20" i="2"/>
  <c r="AN20" i="2"/>
  <c r="AO20" i="2"/>
  <c r="AP20" i="2"/>
  <c r="AG6" i="2"/>
  <c r="AG21" i="2" s="1"/>
  <c r="AH6" i="2"/>
  <c r="AH11" i="2" s="1"/>
  <c r="AI6" i="2"/>
  <c r="AI11" i="2" s="1"/>
  <c r="AJ6" i="2"/>
  <c r="AJ21" i="2" s="1"/>
  <c r="AK6" i="2"/>
  <c r="AK21" i="2" s="1"/>
  <c r="AL6" i="2"/>
  <c r="AL21" i="2" s="1"/>
  <c r="AM6" i="2"/>
  <c r="AM21" i="2" s="1"/>
  <c r="AN6" i="2"/>
  <c r="AN21" i="2" s="1"/>
  <c r="AO6" i="2"/>
  <c r="AO21" i="2" s="1"/>
  <c r="AP6" i="2"/>
  <c r="AP11" i="2" s="1"/>
  <c r="M20" i="5"/>
  <c r="O20" i="5"/>
  <c r="N6" i="5"/>
  <c r="N11" i="5" s="1"/>
  <c r="O6" i="5"/>
  <c r="J21" i="5"/>
  <c r="I21" i="5"/>
  <c r="H21" i="5"/>
  <c r="L20" i="5"/>
  <c r="K20" i="5"/>
  <c r="J20" i="5"/>
  <c r="I20" i="5"/>
  <c r="H20" i="5"/>
  <c r="G20" i="5"/>
  <c r="F20" i="5"/>
  <c r="E20" i="5"/>
  <c r="L14" i="5"/>
  <c r="L16" i="5" s="1"/>
  <c r="L18" i="5" s="1"/>
  <c r="D14" i="5"/>
  <c r="D16" i="5" s="1"/>
  <c r="D18" i="5" s="1"/>
  <c r="L11" i="5"/>
  <c r="L22" i="5" s="1"/>
  <c r="E11" i="5"/>
  <c r="E14" i="5" s="1"/>
  <c r="E16" i="5" s="1"/>
  <c r="E18" i="5" s="1"/>
  <c r="D11" i="5"/>
  <c r="D22" i="5" s="1"/>
  <c r="L6" i="5"/>
  <c r="L21" i="5" s="1"/>
  <c r="K6" i="5"/>
  <c r="K21" i="5" s="1"/>
  <c r="J6" i="5"/>
  <c r="J11" i="5" s="1"/>
  <c r="I6" i="5"/>
  <c r="I11" i="5" s="1"/>
  <c r="I14" i="5" s="1"/>
  <c r="I16" i="5" s="1"/>
  <c r="I18" i="5" s="1"/>
  <c r="H6" i="5"/>
  <c r="H11" i="5" s="1"/>
  <c r="G6" i="5"/>
  <c r="G21" i="5" s="1"/>
  <c r="F6" i="5"/>
  <c r="F21" i="5" s="1"/>
  <c r="E6" i="5"/>
  <c r="E21" i="5" s="1"/>
  <c r="D6" i="5"/>
  <c r="D21" i="5" s="1"/>
  <c r="W75" i="2"/>
  <c r="W79" i="2" s="1"/>
  <c r="W71" i="2"/>
  <c r="W73" i="2" s="1"/>
  <c r="W68" i="2"/>
  <c r="W64" i="2"/>
  <c r="W6" i="2"/>
  <c r="W11" i="2" s="1"/>
  <c r="X77" i="2"/>
  <c r="X75" i="2"/>
  <c r="X71" i="2"/>
  <c r="X73" i="2" s="1"/>
  <c r="X68" i="2"/>
  <c r="X69" i="2" s="1"/>
  <c r="Y71" i="2"/>
  <c r="Y73" i="2" s="1"/>
  <c r="Y68" i="2"/>
  <c r="Y69" i="2" s="1"/>
  <c r="X6" i="2"/>
  <c r="X21" i="2" s="1"/>
  <c r="Y6" i="2"/>
  <c r="Y21" i="2" s="1"/>
  <c r="Z77" i="2"/>
  <c r="Z75" i="2"/>
  <c r="Z71" i="2"/>
  <c r="Z73" i="2" s="1"/>
  <c r="Z68" i="2"/>
  <c r="Z64" i="2"/>
  <c r="AA77" i="2"/>
  <c r="AA79" i="2" s="1"/>
  <c r="AA71" i="2"/>
  <c r="AA73" i="2" s="1"/>
  <c r="AA68" i="2"/>
  <c r="AA64" i="2"/>
  <c r="AA69" i="2" s="1"/>
  <c r="AA85" i="2" s="1"/>
  <c r="Z6" i="2"/>
  <c r="Z21" i="2" s="1"/>
  <c r="AA6" i="2"/>
  <c r="AA21" i="2" s="1"/>
  <c r="AB75" i="2"/>
  <c r="AB79" i="2" s="1"/>
  <c r="AB71" i="2"/>
  <c r="AB73" i="2" s="1"/>
  <c r="AB68" i="2"/>
  <c r="AB64" i="2"/>
  <c r="AC71" i="2"/>
  <c r="AC73" i="2" s="1"/>
  <c r="AC68" i="2"/>
  <c r="AC64" i="2"/>
  <c r="AB6" i="2"/>
  <c r="AB11" i="2" s="1"/>
  <c r="AB14" i="2" s="1"/>
  <c r="AB16" i="2" s="1"/>
  <c r="AB18" i="2" s="1"/>
  <c r="AC20" i="2"/>
  <c r="AD20" i="2"/>
  <c r="AC6" i="2"/>
  <c r="AB21" i="2" s="1"/>
  <c r="AD75" i="2"/>
  <c r="AD79" i="2" s="1"/>
  <c r="AD71" i="2"/>
  <c r="AD73" i="2" s="1"/>
  <c r="AD68" i="2"/>
  <c r="AD64" i="2"/>
  <c r="AE71" i="2"/>
  <c r="AE73" i="2" s="1"/>
  <c r="AE68" i="2"/>
  <c r="AE64" i="2"/>
  <c r="AE79" i="2"/>
  <c r="AC79" i="2"/>
  <c r="Y79" i="2"/>
  <c r="AD6" i="2"/>
  <c r="AD11" i="2" s="1"/>
  <c r="AD22" i="2" s="1"/>
  <c r="X20" i="2"/>
  <c r="Y20" i="2"/>
  <c r="Z20" i="2"/>
  <c r="AA20" i="2"/>
  <c r="AB20" i="2"/>
  <c r="AE20" i="2"/>
  <c r="AE6" i="2"/>
  <c r="AE21" i="2" s="1"/>
  <c r="M71" i="2"/>
  <c r="M73" i="2" s="1"/>
  <c r="M68" i="2"/>
  <c r="M69" i="2" s="1"/>
  <c r="O62" i="2"/>
  <c r="K62" i="2"/>
  <c r="J62" i="2"/>
  <c r="I62" i="2"/>
  <c r="H62" i="2"/>
  <c r="G62" i="2"/>
  <c r="F62" i="2"/>
  <c r="E62" i="2"/>
  <c r="D62" i="2"/>
  <c r="S62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S79" i="2"/>
  <c r="R79" i="2"/>
  <c r="P73" i="2"/>
  <c r="O73" i="2"/>
  <c r="N73" i="2"/>
  <c r="L73" i="2"/>
  <c r="K73" i="2"/>
  <c r="J73" i="2"/>
  <c r="I73" i="2"/>
  <c r="H73" i="2"/>
  <c r="G73" i="2"/>
  <c r="F73" i="2"/>
  <c r="E73" i="2"/>
  <c r="D73" i="2"/>
  <c r="S73" i="2"/>
  <c r="R73" i="2"/>
  <c r="Q79" i="2"/>
  <c r="Q71" i="2"/>
  <c r="Q73" i="2" s="1"/>
  <c r="P69" i="2"/>
  <c r="O69" i="2"/>
  <c r="O85" i="2" s="1"/>
  <c r="N69" i="2"/>
  <c r="L69" i="2"/>
  <c r="K69" i="2"/>
  <c r="K85" i="2" s="1"/>
  <c r="J69" i="2"/>
  <c r="J85" i="2" s="1"/>
  <c r="I69" i="2"/>
  <c r="I85" i="2" s="1"/>
  <c r="H69" i="2"/>
  <c r="H85" i="2" s="1"/>
  <c r="G69" i="2"/>
  <c r="G85" i="2" s="1"/>
  <c r="F69" i="2"/>
  <c r="E69" i="2"/>
  <c r="E85" i="2" s="1"/>
  <c r="D69" i="2"/>
  <c r="S69" i="2"/>
  <c r="R69" i="2"/>
  <c r="Q68" i="2"/>
  <c r="Q69" i="2" s="1"/>
  <c r="P58" i="2"/>
  <c r="O58" i="2"/>
  <c r="N58" i="2"/>
  <c r="M58" i="2"/>
  <c r="L58" i="2"/>
  <c r="K58" i="2"/>
  <c r="I58" i="2"/>
  <c r="H58" i="2"/>
  <c r="G58" i="2"/>
  <c r="F58" i="2"/>
  <c r="E58" i="2"/>
  <c r="D58" i="2"/>
  <c r="M48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P48" i="2"/>
  <c r="O48" i="2"/>
  <c r="N48" i="2"/>
  <c r="L48" i="2"/>
  <c r="K48" i="2"/>
  <c r="J48" i="2"/>
  <c r="I48" i="2"/>
  <c r="H48" i="2"/>
  <c r="G48" i="2"/>
  <c r="F48" i="2"/>
  <c r="E48" i="2"/>
  <c r="D48" i="2"/>
  <c r="R48" i="2"/>
  <c r="R59" i="2" s="1"/>
  <c r="S48" i="2"/>
  <c r="S59" i="2" s="1"/>
  <c r="R42" i="2"/>
  <c r="S42" i="2"/>
  <c r="Q58" i="2"/>
  <c r="Q48" i="2"/>
  <c r="N14" i="2" l="1"/>
  <c r="N16" i="2" s="1"/>
  <c r="N18" i="2" s="1"/>
  <c r="N62" i="2"/>
  <c r="R14" i="2"/>
  <c r="R16" i="2" s="1"/>
  <c r="R18" i="2" s="1"/>
  <c r="R62" i="2"/>
  <c r="AC69" i="2"/>
  <c r="Q85" i="2"/>
  <c r="N59" i="2"/>
  <c r="H59" i="2"/>
  <c r="I83" i="2"/>
  <c r="R83" i="2"/>
  <c r="Z79" i="2"/>
  <c r="Z69" i="2"/>
  <c r="Z83" i="2" s="1"/>
  <c r="S83" i="2"/>
  <c r="J83" i="2"/>
  <c r="Q59" i="2"/>
  <c r="D83" i="2"/>
  <c r="L83" i="2"/>
  <c r="X79" i="2"/>
  <c r="X83" i="2" s="1"/>
  <c r="P83" i="2"/>
  <c r="R85" i="2"/>
  <c r="AE69" i="2"/>
  <c r="AE85" i="2" s="1"/>
  <c r="AL11" i="2"/>
  <c r="AL22" i="2" s="1"/>
  <c r="AJ11" i="2"/>
  <c r="AJ14" i="2" s="1"/>
  <c r="AJ16" i="2" s="1"/>
  <c r="AJ18" i="2" s="1"/>
  <c r="AO11" i="2"/>
  <c r="F59" i="2"/>
  <c r="K83" i="2"/>
  <c r="L85" i="2"/>
  <c r="G59" i="2"/>
  <c r="O59" i="2"/>
  <c r="F83" i="2"/>
  <c r="N83" i="2"/>
  <c r="N85" i="2"/>
  <c r="AD69" i="2"/>
  <c r="AD83" i="2" s="1"/>
  <c r="AK11" i="2"/>
  <c r="AK22" i="2" s="1"/>
  <c r="S85" i="2"/>
  <c r="P85" i="2"/>
  <c r="Q83" i="2"/>
  <c r="P59" i="2"/>
  <c r="O83" i="2"/>
  <c r="AG11" i="2"/>
  <c r="E59" i="2"/>
  <c r="M59" i="2"/>
  <c r="H83" i="2"/>
  <c r="AB69" i="2"/>
  <c r="AB85" i="2" s="1"/>
  <c r="AI22" i="2"/>
  <c r="AI14" i="2"/>
  <c r="AI16" i="2" s="1"/>
  <c r="AI18" i="2" s="1"/>
  <c r="AP22" i="2"/>
  <c r="AP14" i="2"/>
  <c r="AP16" i="2" s="1"/>
  <c r="AH22" i="2"/>
  <c r="AH14" i="2"/>
  <c r="AH16" i="2" s="1"/>
  <c r="AH18" i="2" s="1"/>
  <c r="F6" i="3" s="1"/>
  <c r="AD21" i="2"/>
  <c r="AF20" i="2"/>
  <c r="AI21" i="2"/>
  <c r="W69" i="2"/>
  <c r="W85" i="2" s="1"/>
  <c r="F85" i="2"/>
  <c r="AB62" i="2"/>
  <c r="E83" i="2"/>
  <c r="AD62" i="2"/>
  <c r="AN11" i="2"/>
  <c r="G83" i="2"/>
  <c r="AM11" i="2"/>
  <c r="AP21" i="2"/>
  <c r="AH21" i="2"/>
  <c r="D85" i="2"/>
  <c r="AL14" i="2"/>
  <c r="AL16" i="2" s="1"/>
  <c r="AL18" i="2" s="1"/>
  <c r="K59" i="2"/>
  <c r="AF6" i="2"/>
  <c r="AF11" i="2" s="1"/>
  <c r="AF22" i="2" s="1"/>
  <c r="D59" i="2"/>
  <c r="L59" i="2"/>
  <c r="O11" i="5"/>
  <c r="O22" i="5" s="1"/>
  <c r="P6" i="5"/>
  <c r="P20" i="5"/>
  <c r="Q4" i="5"/>
  <c r="O21" i="5"/>
  <c r="N14" i="5"/>
  <c r="N22" i="5"/>
  <c r="N21" i="5"/>
  <c r="M21" i="5"/>
  <c r="M11" i="5"/>
  <c r="L62" i="2"/>
  <c r="P14" i="2"/>
  <c r="P16" i="2" s="1"/>
  <c r="P18" i="2" s="1"/>
  <c r="P62" i="2"/>
  <c r="H22" i="5"/>
  <c r="H14" i="5"/>
  <c r="H16" i="5" s="1"/>
  <c r="H18" i="5" s="1"/>
  <c r="J22" i="5"/>
  <c r="I22" i="5"/>
  <c r="J14" i="5"/>
  <c r="J16" i="5" s="1"/>
  <c r="J18" i="5" s="1"/>
  <c r="F11" i="5"/>
  <c r="K11" i="5"/>
  <c r="E22" i="5"/>
  <c r="G11" i="5"/>
  <c r="W62" i="2"/>
  <c r="W22" i="2"/>
  <c r="W14" i="2"/>
  <c r="W16" i="2" s="1"/>
  <c r="W18" i="2" s="1"/>
  <c r="W21" i="2"/>
  <c r="X85" i="2"/>
  <c r="Y83" i="2"/>
  <c r="Y85" i="2"/>
  <c r="X11" i="2"/>
  <c r="X62" i="2" s="1"/>
  <c r="Y11" i="2"/>
  <c r="AA83" i="2"/>
  <c r="Z11" i="2"/>
  <c r="AA11" i="2"/>
  <c r="AC85" i="2"/>
  <c r="AC83" i="2"/>
  <c r="AC21" i="2"/>
  <c r="AC11" i="2"/>
  <c r="AC62" i="2" s="1"/>
  <c r="AD14" i="2"/>
  <c r="AD16" i="2" s="1"/>
  <c r="AD18" i="2" s="1"/>
  <c r="AE11" i="2"/>
  <c r="AE62" i="2" s="1"/>
  <c r="M85" i="2"/>
  <c r="M83" i="2"/>
  <c r="I59" i="2"/>
  <c r="J59" i="2"/>
  <c r="Q42" i="2"/>
  <c r="H20" i="2"/>
  <c r="I20" i="2"/>
  <c r="J20" i="2"/>
  <c r="K20" i="2"/>
  <c r="L20" i="2"/>
  <c r="M20" i="2"/>
  <c r="N20" i="2"/>
  <c r="O20" i="2"/>
  <c r="P20" i="2"/>
  <c r="D21" i="2"/>
  <c r="E21" i="2"/>
  <c r="F21" i="2"/>
  <c r="G21" i="2"/>
  <c r="H21" i="2"/>
  <c r="I21" i="2"/>
  <c r="J21" i="2"/>
  <c r="K21" i="2"/>
  <c r="L21" i="2"/>
  <c r="N21" i="2"/>
  <c r="O21" i="2"/>
  <c r="P21" i="2"/>
  <c r="D22" i="2"/>
  <c r="E22" i="2"/>
  <c r="F22" i="2"/>
  <c r="G22" i="2"/>
  <c r="H22" i="2"/>
  <c r="I22" i="2"/>
  <c r="J22" i="2"/>
  <c r="K22" i="2"/>
  <c r="L22" i="2"/>
  <c r="N22" i="2"/>
  <c r="O22" i="2"/>
  <c r="P22" i="2"/>
  <c r="S20" i="2"/>
  <c r="S21" i="2"/>
  <c r="S22" i="2"/>
  <c r="R20" i="2"/>
  <c r="R21" i="2"/>
  <c r="R22" i="2"/>
  <c r="Q20" i="2"/>
  <c r="M6" i="2"/>
  <c r="M11" i="2" s="1"/>
  <c r="M22" i="2" s="1"/>
  <c r="Q6" i="2"/>
  <c r="Q21" i="2" s="1"/>
  <c r="B6" i="2"/>
  <c r="O14" i="5" l="1"/>
  <c r="W83" i="2"/>
  <c r="Z85" i="2"/>
  <c r="AD85" i="2"/>
  <c r="AE83" i="2"/>
  <c r="AB83" i="2"/>
  <c r="AK14" i="2"/>
  <c r="AK16" i="2" s="1"/>
  <c r="AK18" i="2" s="1"/>
  <c r="AJ22" i="2"/>
  <c r="AG14" i="2"/>
  <c r="AG16" i="2" s="1"/>
  <c r="AG18" i="2" s="1"/>
  <c r="E6" i="3" s="1"/>
  <c r="AG22" i="2"/>
  <c r="AO14" i="2"/>
  <c r="AO16" i="2" s="1"/>
  <c r="AO18" i="2" s="1"/>
  <c r="AO22" i="2"/>
  <c r="Q11" i="2"/>
  <c r="AF14" i="2"/>
  <c r="AF15" i="2" s="1"/>
  <c r="AF16" i="2" s="1"/>
  <c r="AF18" i="2" s="1"/>
  <c r="D6" i="3" s="1"/>
  <c r="AQ16" i="2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FO16" i="2" s="1"/>
  <c r="FP16" i="2" s="1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GA16" i="2" s="1"/>
  <c r="GB16" i="2" s="1"/>
  <c r="GC16" i="2" s="1"/>
  <c r="GD16" i="2" s="1"/>
  <c r="GE16" i="2" s="1"/>
  <c r="GF16" i="2" s="1"/>
  <c r="GG16" i="2" s="1"/>
  <c r="GH16" i="2" s="1"/>
  <c r="GI16" i="2" s="1"/>
  <c r="GJ16" i="2" s="1"/>
  <c r="GK16" i="2" s="1"/>
  <c r="GL16" i="2" s="1"/>
  <c r="GM16" i="2" s="1"/>
  <c r="GN16" i="2" s="1"/>
  <c r="GO16" i="2" s="1"/>
  <c r="GP16" i="2" s="1"/>
  <c r="GQ16" i="2" s="1"/>
  <c r="GR16" i="2" s="1"/>
  <c r="GS16" i="2" s="1"/>
  <c r="GT16" i="2" s="1"/>
  <c r="GU16" i="2" s="1"/>
  <c r="GV16" i="2" s="1"/>
  <c r="GW16" i="2" s="1"/>
  <c r="GX16" i="2" s="1"/>
  <c r="GY16" i="2" s="1"/>
  <c r="GZ16" i="2" s="1"/>
  <c r="HA16" i="2" s="1"/>
  <c r="HB16" i="2" s="1"/>
  <c r="HC16" i="2" s="1"/>
  <c r="HD16" i="2" s="1"/>
  <c r="HE16" i="2" s="1"/>
  <c r="HF16" i="2" s="1"/>
  <c r="HG16" i="2" s="1"/>
  <c r="HH16" i="2" s="1"/>
  <c r="HI16" i="2" s="1"/>
  <c r="HJ16" i="2" s="1"/>
  <c r="HK16" i="2" s="1"/>
  <c r="HL16" i="2" s="1"/>
  <c r="HM16" i="2" s="1"/>
  <c r="HN16" i="2" s="1"/>
  <c r="HO16" i="2" s="1"/>
  <c r="HP16" i="2" s="1"/>
  <c r="HQ16" i="2" s="1"/>
  <c r="HR16" i="2" s="1"/>
  <c r="HS16" i="2" s="1"/>
  <c r="HT16" i="2" s="1"/>
  <c r="HU16" i="2" s="1"/>
  <c r="HV16" i="2" s="1"/>
  <c r="HW16" i="2" s="1"/>
  <c r="HX16" i="2" s="1"/>
  <c r="HY16" i="2" s="1"/>
  <c r="HZ16" i="2" s="1"/>
  <c r="IA16" i="2" s="1"/>
  <c r="IB16" i="2" s="1"/>
  <c r="IC16" i="2" s="1"/>
  <c r="ID16" i="2" s="1"/>
  <c r="IE16" i="2" s="1"/>
  <c r="IF16" i="2" s="1"/>
  <c r="IG16" i="2" s="1"/>
  <c r="IH16" i="2" s="1"/>
  <c r="II16" i="2" s="1"/>
  <c r="IJ16" i="2" s="1"/>
  <c r="IK16" i="2" s="1"/>
  <c r="IL16" i="2" s="1"/>
  <c r="IM16" i="2" s="1"/>
  <c r="IN16" i="2" s="1"/>
  <c r="IO16" i="2" s="1"/>
  <c r="IP16" i="2" s="1"/>
  <c r="IQ16" i="2" s="1"/>
  <c r="IR16" i="2" s="1"/>
  <c r="IS16" i="2" s="1"/>
  <c r="IT16" i="2" s="1"/>
  <c r="IU16" i="2" s="1"/>
  <c r="IV16" i="2" s="1"/>
  <c r="IW16" i="2" s="1"/>
  <c r="IX16" i="2" s="1"/>
  <c r="IY16" i="2" s="1"/>
  <c r="IZ16" i="2" s="1"/>
  <c r="JA16" i="2" s="1"/>
  <c r="JB16" i="2" s="1"/>
  <c r="JC16" i="2" s="1"/>
  <c r="JD16" i="2" s="1"/>
  <c r="JE16" i="2" s="1"/>
  <c r="JF16" i="2" s="1"/>
  <c r="JG16" i="2" s="1"/>
  <c r="JH16" i="2" s="1"/>
  <c r="JI16" i="2" s="1"/>
  <c r="JJ16" i="2" s="1"/>
  <c r="JK16" i="2" s="1"/>
  <c r="JL16" i="2" s="1"/>
  <c r="JM16" i="2" s="1"/>
  <c r="JN16" i="2" s="1"/>
  <c r="JO16" i="2" s="1"/>
  <c r="JP16" i="2" s="1"/>
  <c r="JQ16" i="2" s="1"/>
  <c r="JR16" i="2" s="1"/>
  <c r="JS16" i="2" s="1"/>
  <c r="JT16" i="2" s="1"/>
  <c r="JU16" i="2" s="1"/>
  <c r="JV16" i="2" s="1"/>
  <c r="JW16" i="2" s="1"/>
  <c r="JX16" i="2" s="1"/>
  <c r="JY16" i="2" s="1"/>
  <c r="JZ16" i="2" s="1"/>
  <c r="KA16" i="2" s="1"/>
  <c r="KB16" i="2" s="1"/>
  <c r="KC16" i="2" s="1"/>
  <c r="KD16" i="2" s="1"/>
  <c r="KE16" i="2" s="1"/>
  <c r="KF16" i="2" s="1"/>
  <c r="KG16" i="2" s="1"/>
  <c r="KH16" i="2" s="1"/>
  <c r="KI16" i="2" s="1"/>
  <c r="KJ16" i="2" s="1"/>
  <c r="KK16" i="2" s="1"/>
  <c r="KL16" i="2" s="1"/>
  <c r="KM16" i="2" s="1"/>
  <c r="KN16" i="2" s="1"/>
  <c r="KO16" i="2" s="1"/>
  <c r="KP16" i="2" s="1"/>
  <c r="KQ16" i="2" s="1"/>
  <c r="KR16" i="2" s="1"/>
  <c r="KS16" i="2" s="1"/>
  <c r="KT16" i="2" s="1"/>
  <c r="KU16" i="2" s="1"/>
  <c r="KV16" i="2" s="1"/>
  <c r="KW16" i="2" s="1"/>
  <c r="KX16" i="2" s="1"/>
  <c r="KY16" i="2" s="1"/>
  <c r="KZ16" i="2" s="1"/>
  <c r="LA16" i="2" s="1"/>
  <c r="LB16" i="2" s="1"/>
  <c r="LC16" i="2" s="1"/>
  <c r="LD16" i="2" s="1"/>
  <c r="LE16" i="2" s="1"/>
  <c r="LF16" i="2" s="1"/>
  <c r="LG16" i="2" s="1"/>
  <c r="LH16" i="2" s="1"/>
  <c r="LI16" i="2" s="1"/>
  <c r="LJ16" i="2" s="1"/>
  <c r="LK16" i="2" s="1"/>
  <c r="LL16" i="2" s="1"/>
  <c r="LM16" i="2" s="1"/>
  <c r="LN16" i="2" s="1"/>
  <c r="LO16" i="2" s="1"/>
  <c r="LP16" i="2" s="1"/>
  <c r="LQ16" i="2" s="1"/>
  <c r="LR16" i="2" s="1"/>
  <c r="LS16" i="2" s="1"/>
  <c r="LT16" i="2" s="1"/>
  <c r="LU16" i="2" s="1"/>
  <c r="LV16" i="2" s="1"/>
  <c r="LW16" i="2" s="1"/>
  <c r="LX16" i="2" s="1"/>
  <c r="LY16" i="2" s="1"/>
  <c r="LZ16" i="2" s="1"/>
  <c r="MA16" i="2" s="1"/>
  <c r="MB16" i="2" s="1"/>
  <c r="MC16" i="2" s="1"/>
  <c r="MD16" i="2" s="1"/>
  <c r="ME16" i="2" s="1"/>
  <c r="MF16" i="2" s="1"/>
  <c r="MG16" i="2" s="1"/>
  <c r="MH16" i="2" s="1"/>
  <c r="MI16" i="2" s="1"/>
  <c r="MJ16" i="2" s="1"/>
  <c r="MK16" i="2" s="1"/>
  <c r="ML16" i="2" s="1"/>
  <c r="MM16" i="2" s="1"/>
  <c r="MN16" i="2" s="1"/>
  <c r="MO16" i="2" s="1"/>
  <c r="MP16" i="2" s="1"/>
  <c r="MQ16" i="2" s="1"/>
  <c r="MR16" i="2" s="1"/>
  <c r="MS16" i="2" s="1"/>
  <c r="MT16" i="2" s="1"/>
  <c r="MU16" i="2" s="1"/>
  <c r="MV16" i="2" s="1"/>
  <c r="AP18" i="2"/>
  <c r="AF21" i="2"/>
  <c r="AN14" i="2"/>
  <c r="AN16" i="2" s="1"/>
  <c r="AN18" i="2" s="1"/>
  <c r="AN22" i="2"/>
  <c r="M14" i="2"/>
  <c r="M16" i="2" s="1"/>
  <c r="M18" i="2" s="1"/>
  <c r="M62" i="2"/>
  <c r="AM22" i="2"/>
  <c r="AM14" i="2"/>
  <c r="AM16" i="2" s="1"/>
  <c r="AM18" i="2" s="1"/>
  <c r="M21" i="2"/>
  <c r="N15" i="5"/>
  <c r="N16" i="5" s="1"/>
  <c r="O15" i="5"/>
  <c r="O16" i="5" s="1"/>
  <c r="O18" i="5" s="1"/>
  <c r="Q20" i="5"/>
  <c r="Q6" i="5"/>
  <c r="R4" i="5"/>
  <c r="P21" i="5"/>
  <c r="P11" i="5"/>
  <c r="M22" i="5"/>
  <c r="M14" i="5"/>
  <c r="K22" i="5"/>
  <c r="K14" i="5"/>
  <c r="K16" i="5" s="1"/>
  <c r="K18" i="5" s="1"/>
  <c r="F14" i="5"/>
  <c r="F16" i="5" s="1"/>
  <c r="F18" i="5" s="1"/>
  <c r="F22" i="5"/>
  <c r="G22" i="5"/>
  <c r="G14" i="5"/>
  <c r="G16" i="5" s="1"/>
  <c r="G18" i="5" s="1"/>
  <c r="X14" i="2"/>
  <c r="X16" i="2" s="1"/>
  <c r="X18" i="2" s="1"/>
  <c r="X22" i="2"/>
  <c r="Y62" i="2"/>
  <c r="Y14" i="2"/>
  <c r="Y16" i="2" s="1"/>
  <c r="Y18" i="2" s="1"/>
  <c r="Y22" i="2"/>
  <c r="Z22" i="2"/>
  <c r="Z14" i="2"/>
  <c r="Z16" i="2" s="1"/>
  <c r="Z18" i="2" s="1"/>
  <c r="Z62" i="2"/>
  <c r="AA14" i="2"/>
  <c r="AA16" i="2" s="1"/>
  <c r="AA18" i="2" s="1"/>
  <c r="AA22" i="2"/>
  <c r="AA62" i="2"/>
  <c r="AB22" i="2"/>
  <c r="AC22" i="2"/>
  <c r="AC14" i="2"/>
  <c r="AC16" i="2" s="1"/>
  <c r="AC18" i="2" s="1"/>
  <c r="AE22" i="2"/>
  <c r="AE14" i="2"/>
  <c r="AE16" i="2" s="1"/>
  <c r="AE18" i="2" s="1"/>
  <c r="B9" i="2"/>
  <c r="E5" i="3" l="1"/>
  <c r="F5" i="3"/>
  <c r="D5" i="3"/>
  <c r="AS21" i="2"/>
  <c r="AS23" i="2" s="1"/>
  <c r="AS24" i="2" s="1"/>
  <c r="Q62" i="2"/>
  <c r="Q14" i="2"/>
  <c r="Q16" i="2" s="1"/>
  <c r="Q18" i="2" s="1"/>
  <c r="Q22" i="2"/>
  <c r="N18" i="5"/>
  <c r="P14" i="5"/>
  <c r="P22" i="5"/>
  <c r="R20" i="5"/>
  <c r="R6" i="5"/>
  <c r="S4" i="5"/>
  <c r="Q11" i="5"/>
  <c r="Q21" i="5"/>
  <c r="M15" i="5"/>
  <c r="M16" i="5" s="1"/>
  <c r="M18" i="5" s="1"/>
  <c r="P15" i="5" l="1"/>
  <c r="P16" i="5" s="1"/>
  <c r="Q14" i="5"/>
  <c r="Q22" i="5"/>
  <c r="R11" i="5"/>
  <c r="R21" i="5"/>
  <c r="S6" i="5"/>
  <c r="T4" i="5"/>
  <c r="S20" i="5"/>
  <c r="P18" i="5" l="1"/>
  <c r="Q15" i="5"/>
  <c r="Q16" i="5" s="1"/>
  <c r="Q18" i="5" s="1"/>
  <c r="T20" i="5"/>
  <c r="T6" i="5"/>
  <c r="U4" i="5"/>
  <c r="S21" i="5"/>
  <c r="S11" i="5"/>
  <c r="R22" i="5"/>
  <c r="R14" i="5"/>
  <c r="R15" i="5" l="1"/>
  <c r="R16" i="5" s="1"/>
  <c r="R18" i="5" s="1"/>
  <c r="S14" i="5"/>
  <c r="S22" i="5"/>
  <c r="U20" i="5"/>
  <c r="U6" i="5"/>
  <c r="V4" i="5"/>
  <c r="T21" i="5"/>
  <c r="T11" i="5"/>
  <c r="S15" i="5" l="1"/>
  <c r="S16" i="5" s="1"/>
  <c r="S18" i="5" s="1"/>
  <c r="T14" i="5"/>
  <c r="T22" i="5"/>
  <c r="W4" i="5"/>
  <c r="V6" i="5"/>
  <c r="V20" i="5"/>
  <c r="U11" i="5"/>
  <c r="U21" i="5"/>
  <c r="T15" i="5" l="1"/>
  <c r="T16" i="5" s="1"/>
  <c r="T18" i="5" s="1"/>
  <c r="U22" i="5"/>
  <c r="U14" i="5"/>
  <c r="V21" i="5"/>
  <c r="V11" i="5"/>
  <c r="W20" i="5"/>
  <c r="W6" i="5"/>
  <c r="U15" i="5" l="1"/>
  <c r="U16" i="5" s="1"/>
  <c r="U18" i="5" s="1"/>
  <c r="W21" i="5"/>
  <c r="W11" i="5"/>
  <c r="V14" i="5"/>
  <c r="V22" i="5"/>
  <c r="V15" i="5" l="1"/>
  <c r="V16" i="5" s="1"/>
  <c r="V18" i="5" s="1"/>
  <c r="W14" i="5"/>
  <c r="W22" i="5"/>
  <c r="W15" i="5" l="1"/>
  <c r="W16" i="5" s="1"/>
  <c r="X16" i="5" l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G16" i="5" s="1"/>
  <c r="EH16" i="5" s="1"/>
  <c r="EI16" i="5" s="1"/>
  <c r="EJ16" i="5" s="1"/>
  <c r="EK16" i="5" s="1"/>
  <c r="EL16" i="5" s="1"/>
  <c r="EM16" i="5" s="1"/>
  <c r="EN16" i="5" s="1"/>
  <c r="EO16" i="5" s="1"/>
  <c r="EP16" i="5" s="1"/>
  <c r="EQ16" i="5" s="1"/>
  <c r="ER16" i="5" s="1"/>
  <c r="ES16" i="5" s="1"/>
  <c r="ET16" i="5" s="1"/>
  <c r="EU16" i="5" s="1"/>
  <c r="EV16" i="5" s="1"/>
  <c r="EW16" i="5" s="1"/>
  <c r="EX16" i="5" s="1"/>
  <c r="EY16" i="5" s="1"/>
  <c r="EZ16" i="5" s="1"/>
  <c r="FA16" i="5" s="1"/>
  <c r="FB16" i="5" s="1"/>
  <c r="FC16" i="5" s="1"/>
  <c r="FD16" i="5" s="1"/>
  <c r="FE16" i="5" s="1"/>
  <c r="FF16" i="5" s="1"/>
  <c r="FG16" i="5" s="1"/>
  <c r="FH16" i="5" s="1"/>
  <c r="FI16" i="5" s="1"/>
  <c r="FJ16" i="5" s="1"/>
  <c r="FK16" i="5" s="1"/>
  <c r="FL16" i="5" s="1"/>
  <c r="FM16" i="5" s="1"/>
  <c r="FN16" i="5" s="1"/>
  <c r="FO16" i="5" s="1"/>
  <c r="FP16" i="5" s="1"/>
  <c r="FQ16" i="5" s="1"/>
  <c r="FR16" i="5" s="1"/>
  <c r="FS16" i="5" s="1"/>
  <c r="FT16" i="5" s="1"/>
  <c r="FU16" i="5" s="1"/>
  <c r="FV16" i="5" s="1"/>
  <c r="FW16" i="5" s="1"/>
  <c r="FX16" i="5" s="1"/>
  <c r="FY16" i="5" s="1"/>
  <c r="FZ16" i="5" s="1"/>
  <c r="GA16" i="5" s="1"/>
  <c r="GB16" i="5" s="1"/>
  <c r="GC16" i="5" s="1"/>
  <c r="GD16" i="5" s="1"/>
  <c r="GE16" i="5" s="1"/>
  <c r="GF16" i="5" s="1"/>
  <c r="GG16" i="5" s="1"/>
  <c r="GH16" i="5" s="1"/>
  <c r="GI16" i="5" s="1"/>
  <c r="GJ16" i="5" s="1"/>
  <c r="GK16" i="5" s="1"/>
  <c r="GL16" i="5" s="1"/>
  <c r="GM16" i="5" s="1"/>
  <c r="GN16" i="5" s="1"/>
  <c r="GO16" i="5" s="1"/>
  <c r="GP16" i="5" s="1"/>
  <c r="GQ16" i="5" s="1"/>
  <c r="GR16" i="5" s="1"/>
  <c r="GS16" i="5" s="1"/>
  <c r="GT16" i="5" s="1"/>
  <c r="GU16" i="5" s="1"/>
  <c r="GV16" i="5" s="1"/>
  <c r="GW16" i="5" s="1"/>
  <c r="GX16" i="5" s="1"/>
  <c r="GY16" i="5" s="1"/>
  <c r="GZ16" i="5" s="1"/>
  <c r="HA16" i="5" s="1"/>
  <c r="HB16" i="5" s="1"/>
  <c r="HC16" i="5" s="1"/>
  <c r="HD16" i="5" s="1"/>
  <c r="HE16" i="5" s="1"/>
  <c r="HF16" i="5" s="1"/>
  <c r="HG16" i="5" s="1"/>
  <c r="HH16" i="5" s="1"/>
  <c r="HI16" i="5" s="1"/>
  <c r="HJ16" i="5" s="1"/>
  <c r="HK16" i="5" s="1"/>
  <c r="HL16" i="5" s="1"/>
  <c r="HM16" i="5" s="1"/>
  <c r="HN16" i="5" s="1"/>
  <c r="HO16" i="5" s="1"/>
  <c r="HP16" i="5" s="1"/>
  <c r="HQ16" i="5" s="1"/>
  <c r="HR16" i="5" s="1"/>
  <c r="HS16" i="5" s="1"/>
  <c r="HT16" i="5" s="1"/>
  <c r="HU16" i="5" s="1"/>
  <c r="HV16" i="5" s="1"/>
  <c r="HW16" i="5" s="1"/>
  <c r="HX16" i="5" s="1"/>
  <c r="HY16" i="5" s="1"/>
  <c r="HZ16" i="5" s="1"/>
  <c r="IA16" i="5" s="1"/>
  <c r="IB16" i="5" s="1"/>
  <c r="IC16" i="5" s="1"/>
  <c r="ID16" i="5" s="1"/>
  <c r="IE16" i="5" s="1"/>
  <c r="IF16" i="5" s="1"/>
  <c r="IG16" i="5" s="1"/>
  <c r="IH16" i="5" s="1"/>
  <c r="II16" i="5" s="1"/>
  <c r="IJ16" i="5" s="1"/>
  <c r="IK16" i="5" s="1"/>
  <c r="IL16" i="5" s="1"/>
  <c r="IM16" i="5" s="1"/>
  <c r="IN16" i="5" s="1"/>
  <c r="IO16" i="5" s="1"/>
  <c r="IP16" i="5" s="1"/>
  <c r="IQ16" i="5" s="1"/>
  <c r="IR16" i="5" s="1"/>
  <c r="IS16" i="5" s="1"/>
  <c r="IT16" i="5" s="1"/>
  <c r="IU16" i="5" s="1"/>
  <c r="IV16" i="5" s="1"/>
  <c r="IW16" i="5" s="1"/>
  <c r="IX16" i="5" s="1"/>
  <c r="IY16" i="5" s="1"/>
  <c r="IZ16" i="5" s="1"/>
  <c r="JA16" i="5" s="1"/>
  <c r="JB16" i="5" s="1"/>
  <c r="JC16" i="5" s="1"/>
  <c r="JD16" i="5" s="1"/>
  <c r="JE16" i="5" s="1"/>
  <c r="JF16" i="5" s="1"/>
  <c r="JG16" i="5" s="1"/>
  <c r="JH16" i="5" s="1"/>
  <c r="JI16" i="5" s="1"/>
  <c r="JJ16" i="5" s="1"/>
  <c r="JK16" i="5" s="1"/>
  <c r="JL16" i="5" s="1"/>
  <c r="JM16" i="5" s="1"/>
  <c r="JN16" i="5" s="1"/>
  <c r="JO16" i="5" s="1"/>
  <c r="JP16" i="5" s="1"/>
  <c r="JQ16" i="5" s="1"/>
  <c r="JR16" i="5" s="1"/>
  <c r="JS16" i="5" s="1"/>
  <c r="Z21" i="5" s="1"/>
  <c r="Z23" i="5" s="1"/>
  <c r="W18" i="5"/>
  <c r="Z24" i="5" l="1"/>
  <c r="A6" i="5" s="1"/>
  <c r="A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tc={65099AEB-84B1-0248-81E5-ACA79D930090}</author>
  </authors>
  <commentList>
    <comment ref="L71" authorId="0" shapeId="0" xr:uid="{65099AEB-84B1-0248-81E5-ACA79D930090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Oppkjøp av operation
</t>
      </text>
    </comment>
  </commentList>
</comments>
</file>

<file path=xl/sharedStrings.xml><?xml version="1.0" encoding="utf-8"?>
<sst xmlns="http://schemas.openxmlformats.org/spreadsheetml/2006/main" count="270" uniqueCount="156">
  <si>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</si>
  <si>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</si>
  <si>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</si>
  <si>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</si>
  <si>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</si>
  <si>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</si>
  <si>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</si>
  <si>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</si>
  <si>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</si>
  <si>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</si>
  <si>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</si>
  <si>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</si>
  <si>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</si>
  <si>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</si>
  <si>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</si>
  <si>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</si>
  <si>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</si>
  <si>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</si>
  <si>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</si>
  <si>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</si>
  <si>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</si>
  <si>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</si>
  <si>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</si>
  <si>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</si>
  <si>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</si>
  <si>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</si>
  <si>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</si>
  <si>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</si>
  <si>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</si>
  <si>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EV/EBIT</t>
  </si>
  <si>
    <t>P/E</t>
  </si>
  <si>
    <t>Q225</t>
  </si>
  <si>
    <t>FY 2019</t>
  </si>
  <si>
    <t>FY 2020</t>
  </si>
  <si>
    <t>FY 2021</t>
  </si>
  <si>
    <t>Q325</t>
  </si>
  <si>
    <t>Q425</t>
  </si>
  <si>
    <t>Q125</t>
  </si>
  <si>
    <t>Revenue y/y</t>
  </si>
  <si>
    <t>EBIT margin</t>
  </si>
  <si>
    <t>Nedside</t>
  </si>
  <si>
    <t>FY 2016</t>
  </si>
  <si>
    <t>FY 2017</t>
  </si>
  <si>
    <t>FY 2018</t>
  </si>
  <si>
    <t>Gross margin</t>
  </si>
  <si>
    <t>MC SEKm</t>
  </si>
  <si>
    <t>Cash SEKm</t>
  </si>
  <si>
    <t>Debt SEKm</t>
  </si>
  <si>
    <t>EV SEKm</t>
  </si>
  <si>
    <t>SEKm</t>
  </si>
  <si>
    <t>Balanse SEKm</t>
  </si>
  <si>
    <t xml:space="preserve">Cash flow SEKm </t>
  </si>
  <si>
    <t>Revenues</t>
  </si>
  <si>
    <t>Gross profit</t>
  </si>
  <si>
    <t>Production and project costs</t>
  </si>
  <si>
    <t>Sales costs</t>
  </si>
  <si>
    <t>administration costs</t>
  </si>
  <si>
    <t>Other operating income</t>
  </si>
  <si>
    <t>Other opex</t>
  </si>
  <si>
    <t>Operating profit (EBIT)</t>
  </si>
  <si>
    <t>Finance income</t>
  </si>
  <si>
    <t>Finance costs</t>
  </si>
  <si>
    <t>PTP</t>
  </si>
  <si>
    <t>Tax</t>
  </si>
  <si>
    <t>Net income</t>
  </si>
  <si>
    <t xml:space="preserve">Share </t>
  </si>
  <si>
    <t>EPS</t>
  </si>
  <si>
    <t>Goodwill</t>
  </si>
  <si>
    <t>Other intangible assets</t>
  </si>
  <si>
    <t>Right of use assets</t>
  </si>
  <si>
    <t>PP&amp;E</t>
  </si>
  <si>
    <t>Financial assets</t>
  </si>
  <si>
    <t>Deferred tax assets</t>
  </si>
  <si>
    <t>Inventory</t>
  </si>
  <si>
    <t>Accounts receivables</t>
  </si>
  <si>
    <t>Contract assets</t>
  </si>
  <si>
    <t>Cash</t>
  </si>
  <si>
    <t>Total assets</t>
  </si>
  <si>
    <t>Share capital</t>
  </si>
  <si>
    <t>Other capital contributions</t>
  </si>
  <si>
    <t>Reserves</t>
  </si>
  <si>
    <t>Retained earnings, inc profits</t>
  </si>
  <si>
    <t>Non-controlling interests</t>
  </si>
  <si>
    <t>Total equity</t>
  </si>
  <si>
    <t>Leasing liabilities</t>
  </si>
  <si>
    <t>Other non-current liabilities</t>
  </si>
  <si>
    <t>Deferred tax liabilities</t>
  </si>
  <si>
    <t>Current lia to credit institutions</t>
  </si>
  <si>
    <t>non-current liabilities to credit institutions</t>
  </si>
  <si>
    <t>Leasing liabilites</t>
  </si>
  <si>
    <t>Contract liabilities</t>
  </si>
  <si>
    <t>Accounts payables</t>
  </si>
  <si>
    <t>Other current liabilities</t>
  </si>
  <si>
    <t>Total debt</t>
  </si>
  <si>
    <t>Total E/D</t>
  </si>
  <si>
    <t>Model OP</t>
  </si>
  <si>
    <t>Reported OP</t>
  </si>
  <si>
    <t>Adjustment non-cash</t>
  </si>
  <si>
    <t>Intertst received</t>
  </si>
  <si>
    <t>Interest paid</t>
  </si>
  <si>
    <t>Income tax paid</t>
  </si>
  <si>
    <t>WC</t>
  </si>
  <si>
    <t>CFFO</t>
  </si>
  <si>
    <t>Capex</t>
  </si>
  <si>
    <t>Changes in other non-current ass/lia</t>
  </si>
  <si>
    <t>CFFI</t>
  </si>
  <si>
    <t>Changes in bank loans</t>
  </si>
  <si>
    <t>Changes in leasing</t>
  </si>
  <si>
    <t>New warrants issue</t>
  </si>
  <si>
    <t>Dividends</t>
  </si>
  <si>
    <t>CFFF</t>
  </si>
  <si>
    <t>FX</t>
  </si>
  <si>
    <t>CIC</t>
  </si>
  <si>
    <t>FCF</t>
  </si>
  <si>
    <t>ROCE</t>
  </si>
  <si>
    <t>Disocunt</t>
  </si>
  <si>
    <t>TV</t>
  </si>
  <si>
    <t>NPV</t>
  </si>
  <si>
    <t>NPV/Share</t>
  </si>
  <si>
    <t>Opp/nedside</t>
  </si>
  <si>
    <t>Null vekst og dårlige marginer</t>
  </si>
  <si>
    <t>y/y</t>
  </si>
  <si>
    <t>Order backlog</t>
  </si>
  <si>
    <t>Order intake</t>
  </si>
  <si>
    <t>Other curent receivables</t>
  </si>
  <si>
    <t>Renovation</t>
  </si>
  <si>
    <t>Net sales</t>
  </si>
  <si>
    <t>Adjusted EBITA</t>
  </si>
  <si>
    <t>Adjusted EBITDA margin</t>
  </si>
  <si>
    <t>New build</t>
  </si>
  <si>
    <t>Q126</t>
  </si>
  <si>
    <t>Q226</t>
  </si>
  <si>
    <t>Q326</t>
  </si>
  <si>
    <t>Q426</t>
  </si>
  <si>
    <t>Non-current lease</t>
  </si>
  <si>
    <t>Current lia to banks</t>
  </si>
  <si>
    <t>Current lease</t>
  </si>
  <si>
    <t>Non-current lia to banks</t>
  </si>
  <si>
    <t>IB Net debt</t>
  </si>
  <si>
    <t>IB net debt/EBITDA (12m)</t>
  </si>
  <si>
    <t>Kvartal</t>
  </si>
  <si>
    <t>NIBD/EBITDA</t>
  </si>
  <si>
    <t xml:space="preserve">Press releases: </t>
  </si>
  <si>
    <t>18.12.25: Balco sikrer kontrakt verdt 200 mill fra Meyer Werft for 3 cruise skip</t>
  </si>
  <si>
    <t>27.11.25: Janu Backlund blir ny manager for Riikku Rakenteet Oy</t>
  </si>
  <si>
    <t>03.10.25: Andreas Lindberg blir ny director of business development</t>
  </si>
  <si>
    <t>26.08.25: Carin Bengtsson blir ny CFO</t>
  </si>
  <si>
    <t>25.06.25: Får kontrakt i Drammen verdt 40 mill</t>
  </si>
  <si>
    <t>17.06.25: Ordre i Frankrike verdt 80 mill</t>
  </si>
  <si>
    <t>05.06.25: Balco går inn i partnerskap med Altan.dk, en av Danmarks ledende tilbyderfe av balkonger. Balco vil ta over en stor del av produksjonen av stål balkonger for Altan.dk</t>
  </si>
  <si>
    <t>26.05.25: Jesper Magnusson blir ny sjef for kommunikasjon</t>
  </si>
  <si>
    <t>16.05.25: Michael Grindborn, CFO, trer av som CFO</t>
  </si>
  <si>
    <t>08.04.25: Balco kjøper enda 20% til i Suomen Ohutlevyasesnsy Oy</t>
  </si>
  <si>
    <t>24.10.24: Balco restrukturerer Riikku Oy, i Finland har det blitt 3 businesses. Riikku Sweden vil bli inkoorporert i RK Teknik</t>
  </si>
  <si>
    <t>06.03.24:Balco kjøper 60% av aksjene i Suomen Ohutlevyasennus Oy</t>
  </si>
  <si>
    <t>22.01.24: Balco kjøper Riikku Group og trykker aksjer for. Delfinansiere kjøpet. Oppkjøpet er på 15 EURm. 3 EURm vil bli betalt gjennom en emisjon og resterende 12 vil være gjeldsfinansiert. Emisjonen blir satt på 46,84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</si>
</sst>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\ %"/>
    <numFmt numFmtId="166" formatCode="0.0"/>
  </numFmts>
  <fonts count="8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2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4" fontId="2" fillId="0" borderId="1" xfId="0" applyNumberFormat="1" applyFont="1" applyBorder="1"/>
    <xf numFmtId="165" fontId="1" fillId="0" borderId="0" xfId="0" applyNumberFormat="1" applyFont="1"/>
    <xf numFmtId="10" fontId="4" fillId="0" borderId="0" xfId="0" applyNumberFormat="1" applyFont="1"/>
    <xf numFmtId="10" fontId="4" fillId="0" borderId="1" xfId="0" applyNumberFormat="1" applyFont="1" applyBorder="1"/>
    <xf numFmtId="164" fontId="2" fillId="0" borderId="0" xfId="0" applyNumberFormat="1" applyFont="1"/>
    <xf numFmtId="4" fontId="2" fillId="0" borderId="0" xfId="0" applyNumberFormat="1" applyFont="1"/>
    <xf numFmtId="3" fontId="4" fillId="0" borderId="0" xfId="0" applyNumberFormat="1" applyFont="1"/>
    <xf numFmtId="10" fontId="1" fillId="0" borderId="0" xfId="0" applyNumberFormat="1" applyFont="1"/>
    <xf numFmtId="0" fontId="5" fillId="0" borderId="2" xfId="0" applyFont="1" applyBorder="1"/>
    <xf numFmtId="0" fontId="6" fillId="0" borderId="2" xfId="0" applyFont="1" applyBorder="1"/>
    <xf numFmtId="10" fontId="1" fillId="0" borderId="1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164" fontId="1" fillId="0" borderId="0" xfId="0" applyNumberFormat="1" applyFont="1"/>
    <xf numFmtId="8" fontId="2" fillId="0" borderId="0" xfId="0" applyNumberFormat="1" applyFont="1"/>
    <xf numFmtId="165" fontId="1" fillId="0" borderId="1" xfId="0" applyNumberFormat="1" applyFont="1" applyBorder="1"/>
    <xf numFmtId="3" fontId="4" fillId="0" borderId="1" xfId="0" applyNumberFormat="1" applyFont="1" applyBorder="1"/>
    <xf numFmtId="0" fontId="4" fillId="0" borderId="1" xfId="0" applyFont="1" applyBorder="1"/>
    <xf numFmtId="10" fontId="4" fillId="0" borderId="4" xfId="0" applyNumberFormat="1" applyFont="1" applyBorder="1"/>
    <xf numFmtId="0" fontId="2" fillId="0" borderId="4" xfId="0" applyFont="1" applyBorder="1"/>
    <xf numFmtId="0" fontId="1" fillId="0" borderId="6" xfId="0" applyFont="1" applyBorder="1"/>
    <xf numFmtId="10" fontId="3" fillId="0" borderId="6" xfId="0" applyNumberFormat="1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10" fontId="3" fillId="0" borderId="5" xfId="0" applyNumberFormat="1" applyFont="1" applyBorder="1"/>
    <xf numFmtId="0" fontId="1" fillId="0" borderId="7" xfId="0" applyFont="1" applyBorder="1"/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>
        <c:manualLayout>
          <c:layoutTarget val="inner"/>
          <c:xMode val="edge"/>
          <c:yMode val="edge"/>
          <c:x val="5.1049996549847043E-2"/>
          <c:y val="0.12151515151515153"/>
          <c:w val="0.92752838709182772"/>
          <c:h val="0.79700919960762484"/>
        </c:manualLayout>
      </c:layout>
      <c:lineChart>
        <c:grouping val="standard"/>
        <c:varyColors val="0"/>
        <c:ser>
          <c:idx val="0"/>
          <c:order val="0"/>
          <c:tx>
            <c:strRef>
              <c:f>'Financial position'!$D$29</c:f>
              <c:strCache>
                <c:ptCount val="1"/>
                <c:pt idx="0">
                  <c:v>NIBD/EBITDA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 position'!$C$30:$C$44</c:f>
              <c:strCache>
                <c:ptCount val="15"/>
                <c:pt idx="0">
                  <c:v>Q122</c:v>
                </c:pt>
                <c:pt idx="1">
                  <c:v>Q222</c:v>
                </c:pt>
                <c:pt idx="2">
                  <c:v>Q322</c:v>
                </c:pt>
                <c:pt idx="3">
                  <c:v>Q422</c:v>
                </c:pt>
                <c:pt idx="4">
                  <c:v>Q123</c:v>
                </c:pt>
                <c:pt idx="5">
                  <c:v>Q223</c:v>
                </c:pt>
                <c:pt idx="6">
                  <c:v>Q323</c:v>
                </c:pt>
                <c:pt idx="7">
                  <c:v>Q423</c:v>
                </c:pt>
                <c:pt idx="8">
                  <c:v>Q124</c:v>
                </c:pt>
                <c:pt idx="9">
                  <c:v>Q224</c:v>
                </c:pt>
                <c:pt idx="10">
                  <c:v>Q324</c:v>
                </c:pt>
                <c:pt idx="11">
                  <c:v>Q424</c:v>
                </c:pt>
                <c:pt idx="12">
                  <c:v>Q125</c:v>
                </c:pt>
                <c:pt idx="13">
                  <c:v>Q225</c:v>
                </c:pt>
                <c:pt idx="14">
                  <c:v>Q325</c:v>
                </c:pt>
              </c:strCache>
            </c:strRef>
          </c:cat>
          <c:val>
            <c:numRef>
              <c:f>'Financial position'!$D$30:$D$44</c:f>
              <c:numCache>
                <c:formatCode>0.0</c:formatCode>
                <c:ptCount val="15"/>
                <c:pt idx="0">
                  <c:v>1.2</c:v>
                </c:pt>
                <c:pt idx="1">
                  <c:v>1.3</c:v>
                </c:pt>
                <c:pt idx="2">
                  <c:v>0.7</c:v>
                </c:pt>
                <c:pt idx="3">
                  <c:v>0.7</c:v>
                </c:pt>
                <c:pt idx="4">
                  <c:v>1.2</c:v>
                </c:pt>
                <c:pt idx="5">
                  <c:v>1.5</c:v>
                </c:pt>
                <c:pt idx="6">
                  <c:v>1.5</c:v>
                </c:pt>
                <c:pt idx="7">
                  <c:v>1.9</c:v>
                </c:pt>
                <c:pt idx="8">
                  <c:v>3.2</c:v>
                </c:pt>
                <c:pt idx="9">
                  <c:v>3.3</c:v>
                </c:pt>
                <c:pt idx="10">
                  <c:v>2.8</c:v>
                </c:pt>
                <c:pt idx="11">
                  <c:v>2.5</c:v>
                </c:pt>
                <c:pt idx="12">
                  <c:v>3.9</c:v>
                </c:pt>
                <c:pt idx="13">
                  <c:v>5.6</c:v>
                </c:pt>
                <c:pt idx="14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0-8D4B-BACD-BFF0D2A006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02568703"/>
        <c:axId val="1527937839"/>
      </c:lineChart>
      <c:catAx>
        <c:axId val="110256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27937839"/>
        <c:crosses val="autoZero"/>
        <c:auto val="1"/>
        <c:lblAlgn val="ctr"/>
        <c:lblOffset val="100"/>
        <c:noMultiLvlLbl val="0"/>
      </c:catAx>
      <c:valAx>
        <c:axId val="152793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10256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177800</xdr:rowOff>
    </xdr:from>
    <xdr:to>
      <xdr:col>8</xdr:col>
      <xdr:colOff>685800</xdr:colOff>
      <xdr:row>16</xdr:row>
      <xdr:rowOff>149074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435B4690-B137-C919-B5A8-9A0702CF5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177800"/>
          <a:ext cx="7772400" cy="3832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107950</xdr:colOff>
      <xdr:row>11</xdr:row>
      <xdr:rowOff>101600</xdr:rowOff>
    </xdr:from>
    <xdr:to>
      <xdr:col>14</xdr:col>
      <xdr:colOff>393700</xdr:colOff>
      <xdr:row>31</xdr:row>
      <xdr:rowOff>25400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0F271106-ED5B-71D7-66C4-D11843E22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F1C041BB-07E5-EE40-84D4-7405E4766B5F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71" dT="2025-12-27T14:40:27.27" personId="{F1C041BB-07E5-EE40-84D4-7405E4766B5F}" id="{65099AEB-84B1-0248-81E5-ACA79D930090}">
    <text xml:space="preserve">Oppkjøp av operation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5:G33"/>
  <sheetViews>
    <sheetView showGridLines="0" topLeftCell="A9" workbookViewId="0">
      <selection activeCell="K21" sqref="K21"/>
    </sheetView>
  </sheetViews>
  <sheetFormatPr baseColWidth="10" defaultRowHeight="19" x14ac:dyDescent="0.25"/>
  <cols>
    <col min="1" max="6" width="10.83203125" style="2"/>
    <col min="7" max="7" width="18.83203125" style="2" customWidth="1"/>
    <col min="8" max="16384" width="10.83203125" style="2"/>
  </cols>
  <sheetData>
    <row r="5" spans="1:7" x14ac:dyDescent="0.25">
      <c r="A5" s="1"/>
      <c r="G5" s="1"/>
    </row>
    <row r="6" spans="1:7" x14ac:dyDescent="0.25">
      <c r="A6" s="1"/>
    </row>
    <row r="7" spans="1:7" x14ac:dyDescent="0.25">
      <c r="A7" s="1"/>
    </row>
    <row r="8" spans="1:7" x14ac:dyDescent="0.25">
      <c r="A8" s="1"/>
    </row>
    <row r="19" spans="1:1" x14ac:dyDescent="0.25">
      <c r="A19" s="1"/>
    </row>
    <row r="20" spans="1:1" x14ac:dyDescent="0.25">
      <c r="A20" s="1" t="s">
        <v>142</v>
      </c>
    </row>
    <row r="21" spans="1:1" x14ac:dyDescent="0.25">
      <c r="A21" s="2" t="s">
        <v>143</v>
      </c>
    </row>
    <row r="22" spans="1:1" x14ac:dyDescent="0.25">
      <c r="A22" s="2" t="s">
        <v>144</v>
      </c>
    </row>
    <row r="23" spans="1:1" x14ac:dyDescent="0.25">
      <c r="A23" s="2" t="s">
        <v>145</v>
      </c>
    </row>
    <row r="24" spans="1:1" x14ac:dyDescent="0.25">
      <c r="A24" s="2" t="s">
        <v>146</v>
      </c>
    </row>
    <row r="25" spans="1:1" x14ac:dyDescent="0.25">
      <c r="A25" s="2" t="s">
        <v>147</v>
      </c>
    </row>
    <row r="26" spans="1:1" x14ac:dyDescent="0.25">
      <c r="A26" s="2" t="s">
        <v>148</v>
      </c>
    </row>
    <row r="27" spans="1:1" x14ac:dyDescent="0.25">
      <c r="A27" s="2" t="s">
        <v>149</v>
      </c>
    </row>
    <row r="28" spans="1:1" x14ac:dyDescent="0.25">
      <c r="A28" s="2" t="s">
        <v>150</v>
      </c>
    </row>
    <row r="29" spans="1:1" x14ac:dyDescent="0.25">
      <c r="A29" s="2" t="s">
        <v>151</v>
      </c>
    </row>
    <row r="30" spans="1:1" x14ac:dyDescent="0.25">
      <c r="A30" s="2" t="s">
        <v>152</v>
      </c>
    </row>
    <row r="31" spans="1:1" x14ac:dyDescent="0.25">
      <c r="A31" s="2" t="s">
        <v>153</v>
      </c>
    </row>
    <row r="32" spans="1:1" x14ac:dyDescent="0.25">
      <c r="A32" s="2" t="s">
        <v>154</v>
      </c>
    </row>
    <row r="33" spans="1:1" x14ac:dyDescent="0.25">
      <c r="A33" s="2" t="s">
        <v>155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MV130"/>
  <sheetViews>
    <sheetView showGridLines="0" tabSelected="1" workbookViewId="0">
      <pane xSplit="3" ySplit="3" topLeftCell="T4" activePane="bottomRight" state="frozen"/>
      <selection pane="topRight" activeCell="D1" sqref="D1"/>
      <selection pane="bottomLeft" activeCell="A4" sqref="A4"/>
      <selection pane="bottomRight" activeCell="AF27" sqref="AF27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40.664062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83203125" style="2" customWidth="1"/>
    <col min="9" max="9" width="9" style="2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16" width="10.83203125" style="2"/>
    <col min="17" max="17" width="12" style="2" bestFit="1" customWidth="1"/>
    <col min="18" max="18" width="10.83203125" style="4"/>
    <col min="19" max="31" width="10.83203125" style="2"/>
    <col min="32" max="32" width="10.83203125" style="4"/>
    <col min="33" max="43" width="10.83203125" style="2"/>
    <col min="44" max="44" width="14.1640625" style="2" bestFit="1" customWidth="1"/>
    <col min="45" max="16384" width="10.83203125" style="2"/>
  </cols>
  <sheetData>
    <row r="1" spans="1:360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B1" s="1"/>
    </row>
    <row r="3" spans="1:360" x14ac:dyDescent="0.25">
      <c r="A3" s="1" t="s">
        <v>0</v>
      </c>
      <c r="C3" s="2" t="s">
        <v>49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37</v>
      </c>
      <c r="Q3" s="7" t="s">
        <v>31</v>
      </c>
      <c r="R3" s="14" t="s">
        <v>35</v>
      </c>
      <c r="S3" s="7" t="s">
        <v>36</v>
      </c>
      <c r="V3" s="7"/>
      <c r="W3" s="7" t="s">
        <v>41</v>
      </c>
      <c r="X3" s="7" t="s">
        <v>42</v>
      </c>
      <c r="Y3" s="7" t="s">
        <v>43</v>
      </c>
      <c r="Z3" s="7" t="s">
        <v>32</v>
      </c>
      <c r="AA3" s="7" t="s">
        <v>33</v>
      </c>
      <c r="AB3" s="7" t="s">
        <v>34</v>
      </c>
      <c r="AC3" s="7" t="s">
        <v>15</v>
      </c>
      <c r="AD3" s="7" t="s">
        <v>16</v>
      </c>
      <c r="AE3" s="7" t="s">
        <v>17</v>
      </c>
      <c r="AF3" s="14" t="s">
        <v>18</v>
      </c>
      <c r="AG3" s="7" t="s">
        <v>19</v>
      </c>
      <c r="AH3" s="7" t="s">
        <v>20</v>
      </c>
      <c r="AI3" s="7" t="s">
        <v>21</v>
      </c>
      <c r="AJ3" s="7" t="s">
        <v>22</v>
      </c>
      <c r="AK3" s="7" t="s">
        <v>23</v>
      </c>
      <c r="AL3" s="7" t="s">
        <v>24</v>
      </c>
      <c r="AM3" s="7" t="s">
        <v>25</v>
      </c>
      <c r="AN3" s="7" t="s">
        <v>26</v>
      </c>
      <c r="AO3" s="7" t="s">
        <v>27</v>
      </c>
      <c r="AP3" s="7" t="s">
        <v>28</v>
      </c>
    </row>
    <row r="4" spans="1:360" x14ac:dyDescent="0.25">
      <c r="A4" s="2" t="s">
        <v>1</v>
      </c>
      <c r="B4" s="18">
        <v>18.5</v>
      </c>
      <c r="C4" s="1" t="s">
        <v>52</v>
      </c>
      <c r="D4" s="10">
        <v>288.39999999999998</v>
      </c>
      <c r="E4" s="10">
        <v>351.2</v>
      </c>
      <c r="F4" s="10">
        <v>310.8</v>
      </c>
      <c r="G4" s="10">
        <v>383.2</v>
      </c>
      <c r="H4" s="10">
        <v>325</v>
      </c>
      <c r="I4" s="10">
        <v>346.4</v>
      </c>
      <c r="J4" s="10">
        <v>253.3</v>
      </c>
      <c r="K4" s="10">
        <v>289.5</v>
      </c>
      <c r="L4" s="10">
        <v>326.39999999999998</v>
      </c>
      <c r="M4" s="10">
        <v>374</v>
      </c>
      <c r="N4" s="10">
        <v>331</v>
      </c>
      <c r="O4" s="10">
        <v>386.5</v>
      </c>
      <c r="P4" s="10">
        <v>315.89999999999998</v>
      </c>
      <c r="Q4" s="10">
        <v>331.1</v>
      </c>
      <c r="R4" s="11">
        <v>276.8</v>
      </c>
      <c r="S4" s="10"/>
      <c r="V4" s="10"/>
      <c r="W4" s="10">
        <v>801.61300000000006</v>
      </c>
      <c r="X4" s="10">
        <v>988.95100000000002</v>
      </c>
      <c r="Y4" s="10">
        <v>1058.0519999999999</v>
      </c>
      <c r="Z4" s="10">
        <v>1220.605</v>
      </c>
      <c r="AA4" s="10">
        <v>1200</v>
      </c>
      <c r="AB4" s="10">
        <v>1120.4829999999999</v>
      </c>
      <c r="AC4" s="10">
        <v>1333.559</v>
      </c>
      <c r="AD4" s="10">
        <v>1214.8869999999999</v>
      </c>
      <c r="AE4" s="10">
        <v>1417.9169999999999</v>
      </c>
      <c r="AF4" s="11">
        <f>AE4*0.97</f>
        <v>1375.3794899999998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360" x14ac:dyDescent="0.25">
      <c r="A5" s="2" t="s">
        <v>2</v>
      </c>
      <c r="B5" s="5">
        <v>23.021999999999998</v>
      </c>
      <c r="C5" s="2" t="s">
        <v>54</v>
      </c>
      <c r="D5" s="12">
        <v>-214.7</v>
      </c>
      <c r="E5" s="12">
        <v>-275.10000000000002</v>
      </c>
      <c r="F5" s="12">
        <v>-249.9</v>
      </c>
      <c r="G5" s="12">
        <v>-306.3</v>
      </c>
      <c r="H5" s="12">
        <v>-256.60000000000002</v>
      </c>
      <c r="I5" s="12">
        <v>-274</v>
      </c>
      <c r="J5" s="12">
        <v>-199.9</v>
      </c>
      <c r="K5" s="12">
        <v>-239.1</v>
      </c>
      <c r="L5" s="12">
        <v>-259.10000000000002</v>
      </c>
      <c r="M5" s="12">
        <v>-305.10000000000002</v>
      </c>
      <c r="N5" s="12">
        <v>-277.5</v>
      </c>
      <c r="O5" s="12">
        <v>-328.3</v>
      </c>
      <c r="P5" s="12">
        <v>-310.5</v>
      </c>
      <c r="Q5" s="12">
        <v>-276.5</v>
      </c>
      <c r="R5" s="13">
        <v>-234.7</v>
      </c>
      <c r="S5" s="12"/>
      <c r="V5" s="12"/>
      <c r="W5" s="12">
        <v>-611.72900000000004</v>
      </c>
      <c r="X5" s="12">
        <v>-741.11699999999996</v>
      </c>
      <c r="Y5" s="12">
        <v>-804.25800000000004</v>
      </c>
      <c r="Z5" s="12">
        <v>-920.60199999999998</v>
      </c>
      <c r="AA5" s="12">
        <v>-910.57899999999995</v>
      </c>
      <c r="AB5" s="12">
        <v>-824.21</v>
      </c>
      <c r="AC5" s="12">
        <v>-1045.951</v>
      </c>
      <c r="AD5" s="12">
        <v>-969.53200000000004</v>
      </c>
      <c r="AE5" s="12">
        <v>-1169.952</v>
      </c>
      <c r="AF5" s="13">
        <v>-1174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</row>
    <row r="6" spans="1:360" x14ac:dyDescent="0.25">
      <c r="A6" s="2" t="s">
        <v>45</v>
      </c>
      <c r="B6" s="5">
        <f>B4*B5</f>
        <v>425.90699999999998</v>
      </c>
      <c r="C6" s="2" t="s">
        <v>53</v>
      </c>
      <c r="D6" s="12">
        <f t="shared" ref="D6:R6" si="0">SUM(D4:D5)</f>
        <v>73.699999999999989</v>
      </c>
      <c r="E6" s="12">
        <f t="shared" si="0"/>
        <v>76.099999999999966</v>
      </c>
      <c r="F6" s="12">
        <f t="shared" si="0"/>
        <v>60.900000000000006</v>
      </c>
      <c r="G6" s="12">
        <f t="shared" si="0"/>
        <v>76.899999999999977</v>
      </c>
      <c r="H6" s="12">
        <f t="shared" si="0"/>
        <v>68.399999999999977</v>
      </c>
      <c r="I6" s="12">
        <f t="shared" si="0"/>
        <v>72.399999999999977</v>
      </c>
      <c r="J6" s="12">
        <f t="shared" si="0"/>
        <v>53.400000000000006</v>
      </c>
      <c r="K6" s="12">
        <f t="shared" si="0"/>
        <v>50.400000000000006</v>
      </c>
      <c r="L6" s="12">
        <f t="shared" si="0"/>
        <v>67.299999999999955</v>
      </c>
      <c r="M6" s="12">
        <f t="shared" si="0"/>
        <v>68.899999999999977</v>
      </c>
      <c r="N6" s="12">
        <f t="shared" si="0"/>
        <v>53.5</v>
      </c>
      <c r="O6" s="12">
        <f t="shared" si="0"/>
        <v>58.199999999999989</v>
      </c>
      <c r="P6" s="12">
        <f t="shared" si="0"/>
        <v>5.3999999999999773</v>
      </c>
      <c r="Q6" s="12">
        <f t="shared" si="0"/>
        <v>54.600000000000023</v>
      </c>
      <c r="R6" s="13">
        <f t="shared" si="0"/>
        <v>42.100000000000023</v>
      </c>
      <c r="S6" s="12"/>
      <c r="V6" s="12"/>
      <c r="W6" s="12">
        <f t="shared" ref="W6:AE6" si="1">SUM(W4:W5)</f>
        <v>189.88400000000001</v>
      </c>
      <c r="X6" s="12">
        <f t="shared" si="1"/>
        <v>247.83400000000006</v>
      </c>
      <c r="Y6" s="12">
        <f t="shared" si="1"/>
        <v>253.79399999999987</v>
      </c>
      <c r="Z6" s="12">
        <f t="shared" si="1"/>
        <v>300.00300000000004</v>
      </c>
      <c r="AA6" s="12">
        <f t="shared" si="1"/>
        <v>289.42100000000005</v>
      </c>
      <c r="AB6" s="12">
        <f t="shared" si="1"/>
        <v>296.27299999999991</v>
      </c>
      <c r="AC6" s="12">
        <f t="shared" si="1"/>
        <v>287.60799999999995</v>
      </c>
      <c r="AD6" s="12">
        <f t="shared" si="1"/>
        <v>245.3549999999999</v>
      </c>
      <c r="AE6" s="12">
        <f t="shared" si="1"/>
        <v>247.96499999999992</v>
      </c>
      <c r="AF6" s="13">
        <f t="shared" ref="AF6:AP6" si="2">SUM(AF4:AF5)</f>
        <v>201.37948999999981</v>
      </c>
      <c r="AG6" s="12">
        <f t="shared" si="2"/>
        <v>0</v>
      </c>
      <c r="AH6" s="12">
        <f t="shared" si="2"/>
        <v>0</v>
      </c>
      <c r="AI6" s="12">
        <f t="shared" si="2"/>
        <v>0</v>
      </c>
      <c r="AJ6" s="12">
        <f t="shared" si="2"/>
        <v>0</v>
      </c>
      <c r="AK6" s="12">
        <f t="shared" si="2"/>
        <v>0</v>
      </c>
      <c r="AL6" s="12">
        <f t="shared" si="2"/>
        <v>0</v>
      </c>
      <c r="AM6" s="12">
        <f t="shared" si="2"/>
        <v>0</v>
      </c>
      <c r="AN6" s="12">
        <f t="shared" si="2"/>
        <v>0</v>
      </c>
      <c r="AO6" s="12">
        <f t="shared" si="2"/>
        <v>0</v>
      </c>
      <c r="AP6" s="12">
        <f t="shared" si="2"/>
        <v>0</v>
      </c>
    </row>
    <row r="7" spans="1:360" x14ac:dyDescent="0.25">
      <c r="A7" s="2" t="s">
        <v>46</v>
      </c>
      <c r="B7" s="5">
        <f>R41</f>
        <v>48.1</v>
      </c>
      <c r="C7" s="2" t="s">
        <v>55</v>
      </c>
      <c r="D7" s="12">
        <v>-31</v>
      </c>
      <c r="E7" s="12">
        <v>-32.799999999999997</v>
      </c>
      <c r="F7" s="12">
        <v>-28.8</v>
      </c>
      <c r="G7" s="12">
        <v>-33.799999999999997</v>
      </c>
      <c r="H7" s="12">
        <v>-29.1</v>
      </c>
      <c r="I7" s="12">
        <v>-27.1</v>
      </c>
      <c r="J7" s="12">
        <v>-25.3</v>
      </c>
      <c r="K7" s="12">
        <v>-26.8</v>
      </c>
      <c r="L7" s="12">
        <v>-31.1</v>
      </c>
      <c r="M7" s="12">
        <v>-33.1</v>
      </c>
      <c r="N7" s="12">
        <v>-25.5</v>
      </c>
      <c r="O7" s="12">
        <v>-31.2</v>
      </c>
      <c r="P7" s="12">
        <v>-27.7</v>
      </c>
      <c r="Q7" s="12">
        <v>-27.5</v>
      </c>
      <c r="R7" s="13">
        <v>-21.7</v>
      </c>
      <c r="S7" s="12"/>
      <c r="W7" s="12">
        <v>-89</v>
      </c>
      <c r="X7" s="12">
        <v>-87.566000000000003</v>
      </c>
      <c r="Y7" s="12">
        <v>-94</v>
      </c>
      <c r="Z7" s="12">
        <v>-94.186000000000007</v>
      </c>
      <c r="AA7" s="12">
        <v>-111</v>
      </c>
      <c r="AB7" s="12">
        <v>-119.67440000000001</v>
      </c>
      <c r="AC7" s="12">
        <v>-126.43</v>
      </c>
      <c r="AD7" s="12">
        <v>-108.383</v>
      </c>
      <c r="AE7" s="12">
        <v>-120.874</v>
      </c>
      <c r="AF7" s="13">
        <f>AE7*0.88</f>
        <v>-106.36912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</row>
    <row r="8" spans="1:360" x14ac:dyDescent="0.25">
      <c r="A8" s="2" t="s">
        <v>47</v>
      </c>
      <c r="B8" s="5">
        <f>R49+R53</f>
        <v>474.2</v>
      </c>
      <c r="C8" s="2" t="s">
        <v>56</v>
      </c>
      <c r="D8" s="12">
        <v>-16.7</v>
      </c>
      <c r="E8" s="12">
        <v>-16.2</v>
      </c>
      <c r="F8" s="12">
        <v>-16.2</v>
      </c>
      <c r="G8" s="12">
        <v>-21.8</v>
      </c>
      <c r="H8" s="12">
        <v>-19.399999999999999</v>
      </c>
      <c r="I8" s="12">
        <v>-17.7</v>
      </c>
      <c r="J8" s="12">
        <v>-17.2</v>
      </c>
      <c r="K8" s="12">
        <v>-22.3</v>
      </c>
      <c r="L8" s="12">
        <v>-25.7</v>
      </c>
      <c r="M8" s="12">
        <v>-26.9</v>
      </c>
      <c r="N8" s="12">
        <v>-19.8</v>
      </c>
      <c r="O8" s="12">
        <v>-23.5</v>
      </c>
      <c r="P8" s="12">
        <v>-22.6</v>
      </c>
      <c r="Q8" s="12">
        <v>-22.8</v>
      </c>
      <c r="R8" s="13">
        <v>-18.8</v>
      </c>
      <c r="S8" s="12"/>
      <c r="V8" s="12"/>
      <c r="W8" s="12">
        <v>-38.799999999999997</v>
      </c>
      <c r="X8" s="12">
        <v>-68.352000000000004</v>
      </c>
      <c r="Y8" s="12">
        <v>-53.9</v>
      </c>
      <c r="Z8" s="12">
        <v>-66</v>
      </c>
      <c r="AA8" s="12">
        <v>-63.036999999999999</v>
      </c>
      <c r="AB8" s="12">
        <v>-63.468000000000004</v>
      </c>
      <c r="AC8" s="12">
        <v>-70.954999999999998</v>
      </c>
      <c r="AD8" s="12">
        <v>-76.653000000000006</v>
      </c>
      <c r="AE8" s="12">
        <v>-95.945999999999998</v>
      </c>
      <c r="AF8" s="13">
        <f t="shared" ref="AF8:AF10" si="3">AE8*0.88</f>
        <v>-84.432479999999998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</row>
    <row r="9" spans="1:360" x14ac:dyDescent="0.25">
      <c r="A9" s="3" t="s">
        <v>48</v>
      </c>
      <c r="B9" s="6">
        <f>B6-B7+B8</f>
        <v>852.00699999999995</v>
      </c>
      <c r="C9" s="2" t="s">
        <v>57</v>
      </c>
      <c r="D9" s="12">
        <v>0</v>
      </c>
      <c r="E9" s="12">
        <v>0.4</v>
      </c>
      <c r="F9" s="12">
        <v>0</v>
      </c>
      <c r="G9" s="12">
        <v>11.9</v>
      </c>
      <c r="H9" s="12">
        <v>1.2</v>
      </c>
      <c r="I9" s="12">
        <v>1</v>
      </c>
      <c r="J9" s="12">
        <v>1.4</v>
      </c>
      <c r="K9" s="12">
        <v>6.8</v>
      </c>
      <c r="L9" s="12">
        <v>0.4</v>
      </c>
      <c r="M9" s="12">
        <v>0.6</v>
      </c>
      <c r="N9" s="12">
        <v>1.2</v>
      </c>
      <c r="O9" s="12">
        <v>1.5</v>
      </c>
      <c r="P9" s="12">
        <v>9.8000000000000007</v>
      </c>
      <c r="Q9" s="12">
        <v>1.2</v>
      </c>
      <c r="R9" s="13">
        <v>0.6</v>
      </c>
      <c r="S9" s="12"/>
      <c r="V9" s="12"/>
      <c r="W9" s="12">
        <v>10.4</v>
      </c>
      <c r="X9" s="12">
        <v>6.8</v>
      </c>
      <c r="Y9" s="12">
        <v>0.73699999999999999</v>
      </c>
      <c r="Z9" s="12">
        <v>1.5649999999999999</v>
      </c>
      <c r="AA9" s="12">
        <v>0</v>
      </c>
      <c r="AB9" s="12">
        <v>4.9000000000000004</v>
      </c>
      <c r="AC9" s="12">
        <v>12.3</v>
      </c>
      <c r="AD9" s="12">
        <v>10.3</v>
      </c>
      <c r="AE9" s="12">
        <v>3.7</v>
      </c>
      <c r="AF9" s="13">
        <f t="shared" si="3"/>
        <v>3.2560000000000002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</row>
    <row r="10" spans="1:360" x14ac:dyDescent="0.25">
      <c r="C10" s="2" t="s">
        <v>58</v>
      </c>
      <c r="D10" s="12">
        <v>-0.1</v>
      </c>
      <c r="E10" s="12">
        <v>0</v>
      </c>
      <c r="F10" s="12">
        <v>0</v>
      </c>
      <c r="G10" s="12">
        <v>-0.1</v>
      </c>
      <c r="H10" s="12">
        <v>-0.1</v>
      </c>
      <c r="I10" s="12">
        <v>-0.1</v>
      </c>
      <c r="J10" s="12">
        <v>-0.1</v>
      </c>
      <c r="K10" s="12">
        <v>-0.1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3">
        <v>0</v>
      </c>
      <c r="S10" s="12"/>
      <c r="V10" s="12"/>
      <c r="W10" s="12">
        <v>-9.3000000000000007</v>
      </c>
      <c r="X10" s="12">
        <v>-6.5</v>
      </c>
      <c r="Y10" s="12">
        <v>-0.90400000000000003</v>
      </c>
      <c r="Z10" s="12">
        <v>-0.93300000000000005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3">
        <f t="shared" si="3"/>
        <v>0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</row>
    <row r="11" spans="1:360" x14ac:dyDescent="0.25">
      <c r="C11" s="1" t="s">
        <v>59</v>
      </c>
      <c r="D11" s="10">
        <f t="shared" ref="D11:R11" si="4">SUM(D6:D10)</f>
        <v>25.899999999999988</v>
      </c>
      <c r="E11" s="10">
        <f t="shared" si="4"/>
        <v>27.499999999999968</v>
      </c>
      <c r="F11" s="10">
        <f t="shared" si="4"/>
        <v>15.900000000000009</v>
      </c>
      <c r="G11" s="10">
        <f t="shared" si="4"/>
        <v>33.09999999999998</v>
      </c>
      <c r="H11" s="10">
        <f t="shared" si="4"/>
        <v>20.999999999999975</v>
      </c>
      <c r="I11" s="10">
        <f t="shared" si="4"/>
        <v>28.499999999999975</v>
      </c>
      <c r="J11" s="10">
        <f t="shared" si="4"/>
        <v>12.200000000000006</v>
      </c>
      <c r="K11" s="10">
        <f t="shared" si="4"/>
        <v>8.0000000000000053</v>
      </c>
      <c r="L11" s="10">
        <f t="shared" si="4"/>
        <v>10.899999999999954</v>
      </c>
      <c r="M11" s="10">
        <f t="shared" si="4"/>
        <v>9.4999999999999769</v>
      </c>
      <c r="N11" s="10">
        <f t="shared" si="4"/>
        <v>9.3999999999999986</v>
      </c>
      <c r="O11" s="10">
        <f t="shared" si="4"/>
        <v>4.9999999999999893</v>
      </c>
      <c r="P11" s="10">
        <f t="shared" si="4"/>
        <v>-35.100000000000023</v>
      </c>
      <c r="Q11" s="10">
        <f t="shared" si="4"/>
        <v>5.5000000000000222</v>
      </c>
      <c r="R11" s="11">
        <f t="shared" si="4"/>
        <v>2.2000000000000228</v>
      </c>
      <c r="S11" s="10"/>
      <c r="T11" s="1"/>
      <c r="V11" s="12"/>
      <c r="W11" s="10">
        <f t="shared" ref="W11:AE11" si="5">SUM(W6:W10)</f>
        <v>63.184000000000026</v>
      </c>
      <c r="X11" s="10">
        <f t="shared" si="5"/>
        <v>92.216000000000051</v>
      </c>
      <c r="Y11" s="10">
        <f t="shared" si="5"/>
        <v>105.72699999999986</v>
      </c>
      <c r="Z11" s="10">
        <f t="shared" si="5"/>
        <v>140.44900000000004</v>
      </c>
      <c r="AA11" s="10">
        <f t="shared" si="5"/>
        <v>115.38400000000004</v>
      </c>
      <c r="AB11" s="10">
        <f t="shared" si="5"/>
        <v>118.03059999999992</v>
      </c>
      <c r="AC11" s="10">
        <f t="shared" si="5"/>
        <v>102.52299999999994</v>
      </c>
      <c r="AD11" s="10">
        <f t="shared" si="5"/>
        <v>70.618999999999915</v>
      </c>
      <c r="AE11" s="10">
        <f t="shared" si="5"/>
        <v>34.844999999999928</v>
      </c>
      <c r="AF11" s="11">
        <f t="shared" ref="AF11:AP11" si="6">SUM(AF6:AF10)</f>
        <v>13.833889999999812</v>
      </c>
      <c r="AG11" s="10">
        <f t="shared" si="6"/>
        <v>0</v>
      </c>
      <c r="AH11" s="10">
        <f t="shared" si="6"/>
        <v>0</v>
      </c>
      <c r="AI11" s="10">
        <f t="shared" si="6"/>
        <v>0</v>
      </c>
      <c r="AJ11" s="10">
        <f t="shared" si="6"/>
        <v>0</v>
      </c>
      <c r="AK11" s="10">
        <f t="shared" si="6"/>
        <v>0</v>
      </c>
      <c r="AL11" s="10">
        <f t="shared" si="6"/>
        <v>0</v>
      </c>
      <c r="AM11" s="10">
        <f t="shared" si="6"/>
        <v>0</v>
      </c>
      <c r="AN11" s="10">
        <f t="shared" si="6"/>
        <v>0</v>
      </c>
      <c r="AO11" s="10">
        <f t="shared" si="6"/>
        <v>0</v>
      </c>
      <c r="AP11" s="10">
        <f t="shared" si="6"/>
        <v>0</v>
      </c>
    </row>
    <row r="12" spans="1:360" x14ac:dyDescent="0.25">
      <c r="C12" s="2" t="s">
        <v>60</v>
      </c>
      <c r="D12" s="12">
        <v>0</v>
      </c>
      <c r="E12" s="12">
        <v>0.1</v>
      </c>
      <c r="F12" s="12">
        <v>0.2</v>
      </c>
      <c r="G12" s="12">
        <v>0.7</v>
      </c>
      <c r="H12" s="12">
        <v>0.9</v>
      </c>
      <c r="I12" s="12">
        <v>0.9</v>
      </c>
      <c r="J12" s="12">
        <v>0.9</v>
      </c>
      <c r="K12" s="12">
        <v>1</v>
      </c>
      <c r="L12" s="12">
        <v>2</v>
      </c>
      <c r="M12" s="12">
        <v>0.2</v>
      </c>
      <c r="N12" s="12">
        <v>0.4</v>
      </c>
      <c r="O12" s="12">
        <v>1.8</v>
      </c>
      <c r="P12" s="12">
        <v>2.2999999999999998</v>
      </c>
      <c r="Q12" s="12">
        <v>1.4</v>
      </c>
      <c r="R12" s="13">
        <v>1</v>
      </c>
      <c r="S12" s="10"/>
      <c r="V12" s="10"/>
      <c r="W12" s="12">
        <v>0</v>
      </c>
      <c r="X12" s="12">
        <v>0</v>
      </c>
      <c r="Y12" s="12">
        <v>0</v>
      </c>
      <c r="Z12" s="12">
        <v>0.82799999999999996</v>
      </c>
      <c r="AA12" s="12">
        <v>0.17199999999999999</v>
      </c>
      <c r="AB12" s="12">
        <v>0.16500000000000001</v>
      </c>
      <c r="AC12" s="12">
        <v>0.95499999999999996</v>
      </c>
      <c r="AD12" s="12">
        <v>3.7</v>
      </c>
      <c r="AE12" s="12">
        <v>4.5</v>
      </c>
      <c r="AF12" s="13">
        <v>5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1:360" x14ac:dyDescent="0.25">
      <c r="C13" s="2" t="s">
        <v>61</v>
      </c>
      <c r="D13" s="12">
        <v>-1.5</v>
      </c>
      <c r="E13" s="12">
        <v>-2.1</v>
      </c>
      <c r="F13" s="12">
        <v>-2.2000000000000002</v>
      </c>
      <c r="G13" s="12">
        <v>-3.1</v>
      </c>
      <c r="H13" s="12">
        <v>-4.2</v>
      </c>
      <c r="I13" s="12">
        <v>-2.7</v>
      </c>
      <c r="J13" s="12">
        <v>-5.8</v>
      </c>
      <c r="K13" s="12">
        <v>-5.4</v>
      </c>
      <c r="L13" s="12">
        <v>-10.8</v>
      </c>
      <c r="M13" s="12">
        <v>-3.8</v>
      </c>
      <c r="N13" s="12">
        <v>-9.1999999999999993</v>
      </c>
      <c r="O13" s="12">
        <v>-10.6</v>
      </c>
      <c r="P13" s="12">
        <v>-6.4</v>
      </c>
      <c r="Q13" s="12">
        <v>-6.7</v>
      </c>
      <c r="R13" s="13">
        <v>-8.6999999999999993</v>
      </c>
      <c r="S13" s="12"/>
      <c r="V13" s="12"/>
      <c r="W13" s="12">
        <v>-40.889000000000003</v>
      </c>
      <c r="X13" s="12">
        <v>-37</v>
      </c>
      <c r="Y13" s="12">
        <v>-6.2</v>
      </c>
      <c r="Z13" s="12">
        <v>-9.5109999999999992</v>
      </c>
      <c r="AA13" s="12">
        <v>-9.8000000000000007</v>
      </c>
      <c r="AB13" s="12">
        <v>-6.5</v>
      </c>
      <c r="AC13" s="12">
        <v>-8.8000000000000007</v>
      </c>
      <c r="AD13" s="12">
        <v>-18</v>
      </c>
      <c r="AE13" s="12">
        <v>-34.332000000000001</v>
      </c>
      <c r="AF13" s="13">
        <v>-18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</row>
    <row r="14" spans="1:360" x14ac:dyDescent="0.25">
      <c r="C14" s="2" t="s">
        <v>62</v>
      </c>
      <c r="D14" s="12">
        <f t="shared" ref="D14:R14" si="7">SUM(D11:D13)</f>
        <v>24.399999999999988</v>
      </c>
      <c r="E14" s="12">
        <f t="shared" si="7"/>
        <v>25.499999999999968</v>
      </c>
      <c r="F14" s="12">
        <f t="shared" si="7"/>
        <v>13.900000000000009</v>
      </c>
      <c r="G14" s="12">
        <f t="shared" si="7"/>
        <v>30.699999999999982</v>
      </c>
      <c r="H14" s="12">
        <f t="shared" si="7"/>
        <v>17.699999999999974</v>
      </c>
      <c r="I14" s="12">
        <f t="shared" si="7"/>
        <v>26.699999999999974</v>
      </c>
      <c r="J14" s="12">
        <f t="shared" si="7"/>
        <v>7.3000000000000069</v>
      </c>
      <c r="K14" s="12">
        <f t="shared" si="7"/>
        <v>3.600000000000005</v>
      </c>
      <c r="L14" s="12">
        <f t="shared" si="7"/>
        <v>2.0999999999999535</v>
      </c>
      <c r="M14" s="12">
        <f t="shared" si="7"/>
        <v>5.8999999999999764</v>
      </c>
      <c r="N14" s="12">
        <f t="shared" si="7"/>
        <v>0.59999999999999964</v>
      </c>
      <c r="O14" s="12">
        <f t="shared" si="7"/>
        <v>-3.8000000000000105</v>
      </c>
      <c r="P14" s="12">
        <f t="shared" si="7"/>
        <v>-39.200000000000024</v>
      </c>
      <c r="Q14" s="12">
        <f t="shared" si="7"/>
        <v>0.20000000000002149</v>
      </c>
      <c r="R14" s="13">
        <f t="shared" si="7"/>
        <v>-5.4999999999999769</v>
      </c>
      <c r="S14" s="10"/>
      <c r="V14" s="10"/>
      <c r="W14" s="12">
        <f t="shared" ref="W14:AE14" si="8">SUM(W11:W13)</f>
        <v>22.295000000000023</v>
      </c>
      <c r="X14" s="12">
        <f t="shared" si="8"/>
        <v>55.216000000000051</v>
      </c>
      <c r="Y14" s="12">
        <f t="shared" si="8"/>
        <v>99.526999999999859</v>
      </c>
      <c r="Z14" s="12">
        <f t="shared" si="8"/>
        <v>131.76600000000005</v>
      </c>
      <c r="AA14" s="12">
        <f t="shared" si="8"/>
        <v>105.75600000000004</v>
      </c>
      <c r="AB14" s="12">
        <f t="shared" si="8"/>
        <v>111.69559999999993</v>
      </c>
      <c r="AC14" s="12">
        <f t="shared" si="8"/>
        <v>94.67799999999994</v>
      </c>
      <c r="AD14" s="12">
        <f t="shared" si="8"/>
        <v>56.318999999999917</v>
      </c>
      <c r="AE14" s="12">
        <f t="shared" si="8"/>
        <v>5.0129999999999271</v>
      </c>
      <c r="AF14" s="13">
        <f t="shared" ref="AF14:AP14" si="9">SUM(AF11:AF13)</f>
        <v>0.83388999999981195</v>
      </c>
      <c r="AG14" s="12">
        <f t="shared" si="9"/>
        <v>0</v>
      </c>
      <c r="AH14" s="12">
        <f t="shared" si="9"/>
        <v>0</v>
      </c>
      <c r="AI14" s="12">
        <f t="shared" si="9"/>
        <v>0</v>
      </c>
      <c r="AJ14" s="12">
        <f t="shared" si="9"/>
        <v>0</v>
      </c>
      <c r="AK14" s="12">
        <f t="shared" si="9"/>
        <v>0</v>
      </c>
      <c r="AL14" s="12">
        <f t="shared" si="9"/>
        <v>0</v>
      </c>
      <c r="AM14" s="12">
        <f t="shared" si="9"/>
        <v>0</v>
      </c>
      <c r="AN14" s="12">
        <f t="shared" si="9"/>
        <v>0</v>
      </c>
      <c r="AO14" s="12">
        <f t="shared" si="9"/>
        <v>0</v>
      </c>
      <c r="AP14" s="12">
        <f t="shared" si="9"/>
        <v>0</v>
      </c>
    </row>
    <row r="15" spans="1:360" x14ac:dyDescent="0.25">
      <c r="C15" s="2" t="s">
        <v>63</v>
      </c>
      <c r="D15" s="12">
        <v>-5.3</v>
      </c>
      <c r="E15" s="12">
        <v>-5.2</v>
      </c>
      <c r="F15" s="12">
        <v>-3.3</v>
      </c>
      <c r="G15" s="12">
        <v>-4.5999999999999996</v>
      </c>
      <c r="H15" s="12">
        <v>-4.7</v>
      </c>
      <c r="I15" s="12">
        <v>-6</v>
      </c>
      <c r="J15" s="12">
        <v>-1.7</v>
      </c>
      <c r="K15" s="12">
        <v>2.9</v>
      </c>
      <c r="L15" s="12">
        <v>0.1</v>
      </c>
      <c r="M15" s="12">
        <v>-2.4</v>
      </c>
      <c r="N15" s="12">
        <v>0.2</v>
      </c>
      <c r="O15" s="12">
        <v>1.7</v>
      </c>
      <c r="P15" s="12">
        <v>9.6</v>
      </c>
      <c r="Q15" s="12">
        <v>0.1</v>
      </c>
      <c r="R15" s="13">
        <v>0.7</v>
      </c>
      <c r="S15" s="12"/>
      <c r="V15" s="12"/>
      <c r="W15" s="12">
        <v>-10.662000000000001</v>
      </c>
      <c r="X15" s="12">
        <v>-17.600000000000001</v>
      </c>
      <c r="Y15" s="12">
        <v>-22.75</v>
      </c>
      <c r="Z15" s="12">
        <v>-28.8</v>
      </c>
      <c r="AA15" s="12">
        <v>-28</v>
      </c>
      <c r="AB15" s="12">
        <v>-21.4</v>
      </c>
      <c r="AC15" s="12">
        <v>-18.45</v>
      </c>
      <c r="AD15" s="12">
        <v>-9.5</v>
      </c>
      <c r="AE15" s="12">
        <v>-0.4</v>
      </c>
      <c r="AF15" s="13">
        <f>AF14*-0.2</f>
        <v>-0.1667779999999624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</row>
    <row r="16" spans="1:360" x14ac:dyDescent="0.25">
      <c r="C16" s="1" t="s">
        <v>64</v>
      </c>
      <c r="D16" s="10">
        <f t="shared" ref="D16:R16" si="10">SUM(D14:D15)</f>
        <v>19.099999999999987</v>
      </c>
      <c r="E16" s="10">
        <f t="shared" si="10"/>
        <v>20.299999999999969</v>
      </c>
      <c r="F16" s="10">
        <f t="shared" si="10"/>
        <v>10.600000000000009</v>
      </c>
      <c r="G16" s="10">
        <f t="shared" si="10"/>
        <v>26.09999999999998</v>
      </c>
      <c r="H16" s="10">
        <f t="shared" si="10"/>
        <v>12.999999999999975</v>
      </c>
      <c r="I16" s="10">
        <f t="shared" si="10"/>
        <v>20.699999999999974</v>
      </c>
      <c r="J16" s="10">
        <f t="shared" si="10"/>
        <v>5.6000000000000068</v>
      </c>
      <c r="K16" s="10">
        <f t="shared" si="10"/>
        <v>6.5000000000000053</v>
      </c>
      <c r="L16" s="10">
        <f t="shared" si="10"/>
        <v>2.1999999999999535</v>
      </c>
      <c r="M16" s="10">
        <f t="shared" si="10"/>
        <v>3.4999999999999765</v>
      </c>
      <c r="N16" s="10">
        <f t="shared" si="10"/>
        <v>0.7999999999999996</v>
      </c>
      <c r="O16" s="10">
        <f t="shared" si="10"/>
        <v>-2.1000000000000103</v>
      </c>
      <c r="P16" s="10">
        <f t="shared" si="10"/>
        <v>-29.600000000000023</v>
      </c>
      <c r="Q16" s="10">
        <f t="shared" si="10"/>
        <v>0.30000000000002147</v>
      </c>
      <c r="R16" s="11">
        <f t="shared" si="10"/>
        <v>-4.7999999999999767</v>
      </c>
      <c r="S16" s="10"/>
      <c r="V16" s="12"/>
      <c r="W16" s="10">
        <f t="shared" ref="W16:AE16" si="11">SUM(W14:W15)</f>
        <v>11.633000000000022</v>
      </c>
      <c r="X16" s="10">
        <f t="shared" si="11"/>
        <v>37.616000000000049</v>
      </c>
      <c r="Y16" s="10">
        <f t="shared" si="11"/>
        <v>76.776999999999859</v>
      </c>
      <c r="Z16" s="10">
        <f t="shared" si="11"/>
        <v>102.96600000000005</v>
      </c>
      <c r="AA16" s="10">
        <f t="shared" si="11"/>
        <v>77.756000000000043</v>
      </c>
      <c r="AB16" s="10">
        <f t="shared" si="11"/>
        <v>90.295599999999922</v>
      </c>
      <c r="AC16" s="10">
        <f t="shared" si="11"/>
        <v>76.227999999999938</v>
      </c>
      <c r="AD16" s="10">
        <f t="shared" si="11"/>
        <v>46.818999999999917</v>
      </c>
      <c r="AE16" s="10">
        <f t="shared" si="11"/>
        <v>4.6129999999999267</v>
      </c>
      <c r="AF16" s="11">
        <f t="shared" ref="AF16:AP16" si="12">SUM(AF14:AF15)</f>
        <v>0.6671119999998496</v>
      </c>
      <c r="AG16" s="10">
        <f t="shared" si="12"/>
        <v>0</v>
      </c>
      <c r="AH16" s="10">
        <f t="shared" si="12"/>
        <v>0</v>
      </c>
      <c r="AI16" s="10">
        <f t="shared" si="12"/>
        <v>0</v>
      </c>
      <c r="AJ16" s="10">
        <f t="shared" si="12"/>
        <v>0</v>
      </c>
      <c r="AK16" s="10">
        <f t="shared" si="12"/>
        <v>0</v>
      </c>
      <c r="AL16" s="10">
        <f t="shared" si="12"/>
        <v>0</v>
      </c>
      <c r="AM16" s="10">
        <f t="shared" si="12"/>
        <v>0</v>
      </c>
      <c r="AN16" s="10">
        <f t="shared" si="12"/>
        <v>0</v>
      </c>
      <c r="AO16" s="10">
        <f t="shared" si="12"/>
        <v>0</v>
      </c>
      <c r="AP16" s="10">
        <f t="shared" si="12"/>
        <v>0</v>
      </c>
      <c r="AQ16" s="10">
        <f>AP16*(1+$AS$20)</f>
        <v>0</v>
      </c>
      <c r="AR16" s="10">
        <f t="shared" ref="AR16:DC16" si="13">AQ16*(1+$AS$20)</f>
        <v>0</v>
      </c>
      <c r="AS16" s="10">
        <f t="shared" si="13"/>
        <v>0</v>
      </c>
      <c r="AT16" s="10">
        <f t="shared" si="13"/>
        <v>0</v>
      </c>
      <c r="AU16" s="10">
        <f t="shared" si="13"/>
        <v>0</v>
      </c>
      <c r="AV16" s="10">
        <f t="shared" si="13"/>
        <v>0</v>
      </c>
      <c r="AW16" s="10">
        <f t="shared" si="13"/>
        <v>0</v>
      </c>
      <c r="AX16" s="10">
        <f t="shared" si="13"/>
        <v>0</v>
      </c>
      <c r="AY16" s="10">
        <f t="shared" si="13"/>
        <v>0</v>
      </c>
      <c r="AZ16" s="10">
        <f t="shared" si="13"/>
        <v>0</v>
      </c>
      <c r="BA16" s="10">
        <f t="shared" si="13"/>
        <v>0</v>
      </c>
      <c r="BB16" s="10">
        <f t="shared" si="13"/>
        <v>0</v>
      </c>
      <c r="BC16" s="10">
        <f t="shared" si="13"/>
        <v>0</v>
      </c>
      <c r="BD16" s="10">
        <f t="shared" si="13"/>
        <v>0</v>
      </c>
      <c r="BE16" s="10">
        <f t="shared" si="13"/>
        <v>0</v>
      </c>
      <c r="BF16" s="10">
        <f t="shared" si="13"/>
        <v>0</v>
      </c>
      <c r="BG16" s="10">
        <f t="shared" si="13"/>
        <v>0</v>
      </c>
      <c r="BH16" s="10">
        <f t="shared" si="13"/>
        <v>0</v>
      </c>
      <c r="BI16" s="10">
        <f t="shared" si="13"/>
        <v>0</v>
      </c>
      <c r="BJ16" s="10">
        <f t="shared" si="13"/>
        <v>0</v>
      </c>
      <c r="BK16" s="10">
        <f t="shared" si="13"/>
        <v>0</v>
      </c>
      <c r="BL16" s="10">
        <f t="shared" si="13"/>
        <v>0</v>
      </c>
      <c r="BM16" s="10">
        <f t="shared" si="13"/>
        <v>0</v>
      </c>
      <c r="BN16" s="10">
        <f t="shared" si="13"/>
        <v>0</v>
      </c>
      <c r="BO16" s="10">
        <f t="shared" si="13"/>
        <v>0</v>
      </c>
      <c r="BP16" s="10">
        <f t="shared" si="13"/>
        <v>0</v>
      </c>
      <c r="BQ16" s="10">
        <f t="shared" si="13"/>
        <v>0</v>
      </c>
      <c r="BR16" s="10">
        <f t="shared" si="13"/>
        <v>0</v>
      </c>
      <c r="BS16" s="10">
        <f t="shared" si="13"/>
        <v>0</v>
      </c>
      <c r="BT16" s="10">
        <f t="shared" si="13"/>
        <v>0</v>
      </c>
      <c r="BU16" s="10">
        <f t="shared" si="13"/>
        <v>0</v>
      </c>
      <c r="BV16" s="10">
        <f t="shared" si="13"/>
        <v>0</v>
      </c>
      <c r="BW16" s="10">
        <f t="shared" si="13"/>
        <v>0</v>
      </c>
      <c r="BX16" s="10">
        <f t="shared" si="13"/>
        <v>0</v>
      </c>
      <c r="BY16" s="10">
        <f t="shared" si="13"/>
        <v>0</v>
      </c>
      <c r="BZ16" s="10">
        <f t="shared" si="13"/>
        <v>0</v>
      </c>
      <c r="CA16" s="10">
        <f t="shared" si="13"/>
        <v>0</v>
      </c>
      <c r="CB16" s="10">
        <f t="shared" si="13"/>
        <v>0</v>
      </c>
      <c r="CC16" s="10">
        <f t="shared" si="13"/>
        <v>0</v>
      </c>
      <c r="CD16" s="10">
        <f t="shared" si="13"/>
        <v>0</v>
      </c>
      <c r="CE16" s="10">
        <f t="shared" si="13"/>
        <v>0</v>
      </c>
      <c r="CF16" s="10">
        <f t="shared" si="13"/>
        <v>0</v>
      </c>
      <c r="CG16" s="10">
        <f t="shared" si="13"/>
        <v>0</v>
      </c>
      <c r="CH16" s="10">
        <f t="shared" si="13"/>
        <v>0</v>
      </c>
      <c r="CI16" s="10">
        <f t="shared" si="13"/>
        <v>0</v>
      </c>
      <c r="CJ16" s="10">
        <f t="shared" si="13"/>
        <v>0</v>
      </c>
      <c r="CK16" s="10">
        <f t="shared" si="13"/>
        <v>0</v>
      </c>
      <c r="CL16" s="10">
        <f t="shared" si="13"/>
        <v>0</v>
      </c>
      <c r="CM16" s="10">
        <f t="shared" si="13"/>
        <v>0</v>
      </c>
      <c r="CN16" s="10">
        <f t="shared" si="13"/>
        <v>0</v>
      </c>
      <c r="CO16" s="10">
        <f t="shared" si="13"/>
        <v>0</v>
      </c>
      <c r="CP16" s="10">
        <f t="shared" si="13"/>
        <v>0</v>
      </c>
      <c r="CQ16" s="10">
        <f t="shared" si="13"/>
        <v>0</v>
      </c>
      <c r="CR16" s="10">
        <f t="shared" si="13"/>
        <v>0</v>
      </c>
      <c r="CS16" s="10">
        <f t="shared" si="13"/>
        <v>0</v>
      </c>
      <c r="CT16" s="10">
        <f t="shared" si="13"/>
        <v>0</v>
      </c>
      <c r="CU16" s="10">
        <f t="shared" si="13"/>
        <v>0</v>
      </c>
      <c r="CV16" s="10">
        <f t="shared" si="13"/>
        <v>0</v>
      </c>
      <c r="CW16" s="10">
        <f t="shared" si="13"/>
        <v>0</v>
      </c>
      <c r="CX16" s="10">
        <f t="shared" si="13"/>
        <v>0</v>
      </c>
      <c r="CY16" s="10">
        <f t="shared" si="13"/>
        <v>0</v>
      </c>
      <c r="CZ16" s="10">
        <f t="shared" si="13"/>
        <v>0</v>
      </c>
      <c r="DA16" s="10">
        <f t="shared" si="13"/>
        <v>0</v>
      </c>
      <c r="DB16" s="10">
        <f t="shared" si="13"/>
        <v>0</v>
      </c>
      <c r="DC16" s="10">
        <f t="shared" si="13"/>
        <v>0</v>
      </c>
      <c r="DD16" s="10">
        <f t="shared" ref="DD16:FO16" si="14">DC16*(1+$AS$20)</f>
        <v>0</v>
      </c>
      <c r="DE16" s="10">
        <f t="shared" si="14"/>
        <v>0</v>
      </c>
      <c r="DF16" s="10">
        <f t="shared" si="14"/>
        <v>0</v>
      </c>
      <c r="DG16" s="10">
        <f t="shared" si="14"/>
        <v>0</v>
      </c>
      <c r="DH16" s="10">
        <f t="shared" si="14"/>
        <v>0</v>
      </c>
      <c r="DI16" s="10">
        <f t="shared" si="14"/>
        <v>0</v>
      </c>
      <c r="DJ16" s="10">
        <f t="shared" si="14"/>
        <v>0</v>
      </c>
      <c r="DK16" s="10">
        <f t="shared" si="14"/>
        <v>0</v>
      </c>
      <c r="DL16" s="10">
        <f t="shared" si="14"/>
        <v>0</v>
      </c>
      <c r="DM16" s="10">
        <f t="shared" si="14"/>
        <v>0</v>
      </c>
      <c r="DN16" s="10">
        <f t="shared" si="14"/>
        <v>0</v>
      </c>
      <c r="DO16" s="10">
        <f t="shared" si="14"/>
        <v>0</v>
      </c>
      <c r="DP16" s="10">
        <f t="shared" si="14"/>
        <v>0</v>
      </c>
      <c r="DQ16" s="10">
        <f t="shared" si="14"/>
        <v>0</v>
      </c>
      <c r="DR16" s="10">
        <f t="shared" si="14"/>
        <v>0</v>
      </c>
      <c r="DS16" s="10">
        <f t="shared" si="14"/>
        <v>0</v>
      </c>
      <c r="DT16" s="10">
        <f t="shared" si="14"/>
        <v>0</v>
      </c>
      <c r="DU16" s="10">
        <f t="shared" si="14"/>
        <v>0</v>
      </c>
      <c r="DV16" s="10">
        <f t="shared" si="14"/>
        <v>0</v>
      </c>
      <c r="DW16" s="10">
        <f t="shared" si="14"/>
        <v>0</v>
      </c>
      <c r="DX16" s="10">
        <f t="shared" si="14"/>
        <v>0</v>
      </c>
      <c r="DY16" s="10">
        <f t="shared" si="14"/>
        <v>0</v>
      </c>
      <c r="DZ16" s="10">
        <f t="shared" si="14"/>
        <v>0</v>
      </c>
      <c r="EA16" s="10">
        <f t="shared" si="14"/>
        <v>0</v>
      </c>
      <c r="EB16" s="10">
        <f t="shared" si="14"/>
        <v>0</v>
      </c>
      <c r="EC16" s="10">
        <f t="shared" si="14"/>
        <v>0</v>
      </c>
      <c r="ED16" s="10">
        <f t="shared" si="14"/>
        <v>0</v>
      </c>
      <c r="EE16" s="10">
        <f t="shared" si="14"/>
        <v>0</v>
      </c>
      <c r="EF16" s="10">
        <f t="shared" si="14"/>
        <v>0</v>
      </c>
      <c r="EG16" s="10">
        <f t="shared" si="14"/>
        <v>0</v>
      </c>
      <c r="EH16" s="10">
        <f t="shared" si="14"/>
        <v>0</v>
      </c>
      <c r="EI16" s="10">
        <f t="shared" si="14"/>
        <v>0</v>
      </c>
      <c r="EJ16" s="10">
        <f t="shared" si="14"/>
        <v>0</v>
      </c>
      <c r="EK16" s="10">
        <f t="shared" si="14"/>
        <v>0</v>
      </c>
      <c r="EL16" s="10">
        <f t="shared" si="14"/>
        <v>0</v>
      </c>
      <c r="EM16" s="10">
        <f t="shared" si="14"/>
        <v>0</v>
      </c>
      <c r="EN16" s="10">
        <f t="shared" si="14"/>
        <v>0</v>
      </c>
      <c r="EO16" s="10">
        <f t="shared" si="14"/>
        <v>0</v>
      </c>
      <c r="EP16" s="10">
        <f t="shared" si="14"/>
        <v>0</v>
      </c>
      <c r="EQ16" s="10">
        <f t="shared" si="14"/>
        <v>0</v>
      </c>
      <c r="ER16" s="10">
        <f t="shared" si="14"/>
        <v>0</v>
      </c>
      <c r="ES16" s="10">
        <f t="shared" si="14"/>
        <v>0</v>
      </c>
      <c r="ET16" s="10">
        <f t="shared" si="14"/>
        <v>0</v>
      </c>
      <c r="EU16" s="10">
        <f t="shared" si="14"/>
        <v>0</v>
      </c>
      <c r="EV16" s="10">
        <f t="shared" si="14"/>
        <v>0</v>
      </c>
      <c r="EW16" s="10">
        <f t="shared" si="14"/>
        <v>0</v>
      </c>
      <c r="EX16" s="10">
        <f t="shared" si="14"/>
        <v>0</v>
      </c>
      <c r="EY16" s="10">
        <f t="shared" si="14"/>
        <v>0</v>
      </c>
      <c r="EZ16" s="10">
        <f t="shared" si="14"/>
        <v>0</v>
      </c>
      <c r="FA16" s="10">
        <f t="shared" si="14"/>
        <v>0</v>
      </c>
      <c r="FB16" s="10">
        <f t="shared" si="14"/>
        <v>0</v>
      </c>
      <c r="FC16" s="10">
        <f t="shared" si="14"/>
        <v>0</v>
      </c>
      <c r="FD16" s="10">
        <f t="shared" si="14"/>
        <v>0</v>
      </c>
      <c r="FE16" s="10">
        <f t="shared" si="14"/>
        <v>0</v>
      </c>
      <c r="FF16" s="10">
        <f t="shared" si="14"/>
        <v>0</v>
      </c>
      <c r="FG16" s="10">
        <f t="shared" si="14"/>
        <v>0</v>
      </c>
      <c r="FH16" s="10">
        <f t="shared" si="14"/>
        <v>0</v>
      </c>
      <c r="FI16" s="10">
        <f t="shared" si="14"/>
        <v>0</v>
      </c>
      <c r="FJ16" s="10">
        <f t="shared" si="14"/>
        <v>0</v>
      </c>
      <c r="FK16" s="10">
        <f t="shared" si="14"/>
        <v>0</v>
      </c>
      <c r="FL16" s="10">
        <f t="shared" si="14"/>
        <v>0</v>
      </c>
      <c r="FM16" s="10">
        <f t="shared" si="14"/>
        <v>0</v>
      </c>
      <c r="FN16" s="10">
        <f t="shared" si="14"/>
        <v>0</v>
      </c>
      <c r="FO16" s="10">
        <f t="shared" si="14"/>
        <v>0</v>
      </c>
      <c r="FP16" s="10">
        <f t="shared" ref="FP16:IA16" si="15">FO16*(1+$AS$20)</f>
        <v>0</v>
      </c>
      <c r="FQ16" s="10">
        <f t="shared" si="15"/>
        <v>0</v>
      </c>
      <c r="FR16" s="10">
        <f t="shared" si="15"/>
        <v>0</v>
      </c>
      <c r="FS16" s="10">
        <f t="shared" si="15"/>
        <v>0</v>
      </c>
      <c r="FT16" s="10">
        <f t="shared" si="15"/>
        <v>0</v>
      </c>
      <c r="FU16" s="10">
        <f t="shared" si="15"/>
        <v>0</v>
      </c>
      <c r="FV16" s="10">
        <f t="shared" si="15"/>
        <v>0</v>
      </c>
      <c r="FW16" s="10">
        <f t="shared" si="15"/>
        <v>0</v>
      </c>
      <c r="FX16" s="10">
        <f t="shared" si="15"/>
        <v>0</v>
      </c>
      <c r="FY16" s="10">
        <f t="shared" si="15"/>
        <v>0</v>
      </c>
      <c r="FZ16" s="10">
        <f t="shared" si="15"/>
        <v>0</v>
      </c>
      <c r="GA16" s="10">
        <f t="shared" si="15"/>
        <v>0</v>
      </c>
      <c r="GB16" s="10">
        <f t="shared" si="15"/>
        <v>0</v>
      </c>
      <c r="GC16" s="10">
        <f t="shared" si="15"/>
        <v>0</v>
      </c>
      <c r="GD16" s="10">
        <f t="shared" si="15"/>
        <v>0</v>
      </c>
      <c r="GE16" s="10">
        <f t="shared" si="15"/>
        <v>0</v>
      </c>
      <c r="GF16" s="10">
        <f t="shared" si="15"/>
        <v>0</v>
      </c>
      <c r="GG16" s="10">
        <f t="shared" si="15"/>
        <v>0</v>
      </c>
      <c r="GH16" s="10">
        <f t="shared" si="15"/>
        <v>0</v>
      </c>
      <c r="GI16" s="10">
        <f t="shared" si="15"/>
        <v>0</v>
      </c>
      <c r="GJ16" s="10">
        <f t="shared" si="15"/>
        <v>0</v>
      </c>
      <c r="GK16" s="10">
        <f t="shared" si="15"/>
        <v>0</v>
      </c>
      <c r="GL16" s="10">
        <f t="shared" si="15"/>
        <v>0</v>
      </c>
      <c r="GM16" s="10">
        <f t="shared" si="15"/>
        <v>0</v>
      </c>
      <c r="GN16" s="10">
        <f t="shared" si="15"/>
        <v>0</v>
      </c>
      <c r="GO16" s="10">
        <f t="shared" si="15"/>
        <v>0</v>
      </c>
      <c r="GP16" s="10">
        <f t="shared" si="15"/>
        <v>0</v>
      </c>
      <c r="GQ16" s="10">
        <f t="shared" si="15"/>
        <v>0</v>
      </c>
      <c r="GR16" s="10">
        <f t="shared" si="15"/>
        <v>0</v>
      </c>
      <c r="GS16" s="10">
        <f t="shared" si="15"/>
        <v>0</v>
      </c>
      <c r="GT16" s="10">
        <f t="shared" si="15"/>
        <v>0</v>
      </c>
      <c r="GU16" s="10">
        <f t="shared" si="15"/>
        <v>0</v>
      </c>
      <c r="GV16" s="10">
        <f t="shared" si="15"/>
        <v>0</v>
      </c>
      <c r="GW16" s="10">
        <f t="shared" si="15"/>
        <v>0</v>
      </c>
      <c r="GX16" s="10">
        <f t="shared" si="15"/>
        <v>0</v>
      </c>
      <c r="GY16" s="10">
        <f t="shared" si="15"/>
        <v>0</v>
      </c>
      <c r="GZ16" s="10">
        <f t="shared" si="15"/>
        <v>0</v>
      </c>
      <c r="HA16" s="10">
        <f t="shared" si="15"/>
        <v>0</v>
      </c>
      <c r="HB16" s="10">
        <f t="shared" si="15"/>
        <v>0</v>
      </c>
      <c r="HC16" s="10">
        <f t="shared" si="15"/>
        <v>0</v>
      </c>
      <c r="HD16" s="10">
        <f t="shared" si="15"/>
        <v>0</v>
      </c>
      <c r="HE16" s="10">
        <f t="shared" si="15"/>
        <v>0</v>
      </c>
      <c r="HF16" s="10">
        <f t="shared" si="15"/>
        <v>0</v>
      </c>
      <c r="HG16" s="10">
        <f t="shared" si="15"/>
        <v>0</v>
      </c>
      <c r="HH16" s="10">
        <f t="shared" si="15"/>
        <v>0</v>
      </c>
      <c r="HI16" s="10">
        <f t="shared" si="15"/>
        <v>0</v>
      </c>
      <c r="HJ16" s="10">
        <f t="shared" si="15"/>
        <v>0</v>
      </c>
      <c r="HK16" s="10">
        <f t="shared" si="15"/>
        <v>0</v>
      </c>
      <c r="HL16" s="10">
        <f t="shared" si="15"/>
        <v>0</v>
      </c>
      <c r="HM16" s="10">
        <f t="shared" si="15"/>
        <v>0</v>
      </c>
      <c r="HN16" s="10">
        <f t="shared" si="15"/>
        <v>0</v>
      </c>
      <c r="HO16" s="10">
        <f t="shared" si="15"/>
        <v>0</v>
      </c>
      <c r="HP16" s="10">
        <f t="shared" si="15"/>
        <v>0</v>
      </c>
      <c r="HQ16" s="10">
        <f t="shared" si="15"/>
        <v>0</v>
      </c>
      <c r="HR16" s="10">
        <f t="shared" si="15"/>
        <v>0</v>
      </c>
      <c r="HS16" s="10">
        <f t="shared" si="15"/>
        <v>0</v>
      </c>
      <c r="HT16" s="10">
        <f t="shared" si="15"/>
        <v>0</v>
      </c>
      <c r="HU16" s="10">
        <f t="shared" si="15"/>
        <v>0</v>
      </c>
      <c r="HV16" s="10">
        <f t="shared" si="15"/>
        <v>0</v>
      </c>
      <c r="HW16" s="10">
        <f t="shared" si="15"/>
        <v>0</v>
      </c>
      <c r="HX16" s="10">
        <f t="shared" si="15"/>
        <v>0</v>
      </c>
      <c r="HY16" s="10">
        <f t="shared" si="15"/>
        <v>0</v>
      </c>
      <c r="HZ16" s="10">
        <f t="shared" si="15"/>
        <v>0</v>
      </c>
      <c r="IA16" s="10">
        <f t="shared" si="15"/>
        <v>0</v>
      </c>
      <c r="IB16" s="10">
        <f t="shared" ref="IB16:KM16" si="16">IA16*(1+$AS$20)</f>
        <v>0</v>
      </c>
      <c r="IC16" s="10">
        <f t="shared" si="16"/>
        <v>0</v>
      </c>
      <c r="ID16" s="10">
        <f t="shared" si="16"/>
        <v>0</v>
      </c>
      <c r="IE16" s="10">
        <f t="shared" si="16"/>
        <v>0</v>
      </c>
      <c r="IF16" s="10">
        <f t="shared" si="16"/>
        <v>0</v>
      </c>
      <c r="IG16" s="10">
        <f t="shared" si="16"/>
        <v>0</v>
      </c>
      <c r="IH16" s="10">
        <f t="shared" si="16"/>
        <v>0</v>
      </c>
      <c r="II16" s="10">
        <f t="shared" si="16"/>
        <v>0</v>
      </c>
      <c r="IJ16" s="10">
        <f t="shared" si="16"/>
        <v>0</v>
      </c>
      <c r="IK16" s="10">
        <f t="shared" si="16"/>
        <v>0</v>
      </c>
      <c r="IL16" s="10">
        <f t="shared" si="16"/>
        <v>0</v>
      </c>
      <c r="IM16" s="10">
        <f t="shared" si="16"/>
        <v>0</v>
      </c>
      <c r="IN16" s="10">
        <f t="shared" si="16"/>
        <v>0</v>
      </c>
      <c r="IO16" s="10">
        <f t="shared" si="16"/>
        <v>0</v>
      </c>
      <c r="IP16" s="10">
        <f t="shared" si="16"/>
        <v>0</v>
      </c>
      <c r="IQ16" s="10">
        <f t="shared" si="16"/>
        <v>0</v>
      </c>
      <c r="IR16" s="10">
        <f t="shared" si="16"/>
        <v>0</v>
      </c>
      <c r="IS16" s="10">
        <f t="shared" si="16"/>
        <v>0</v>
      </c>
      <c r="IT16" s="10">
        <f t="shared" si="16"/>
        <v>0</v>
      </c>
      <c r="IU16" s="10">
        <f t="shared" si="16"/>
        <v>0</v>
      </c>
      <c r="IV16" s="10">
        <f t="shared" si="16"/>
        <v>0</v>
      </c>
      <c r="IW16" s="10">
        <f t="shared" si="16"/>
        <v>0</v>
      </c>
      <c r="IX16" s="10">
        <f t="shared" si="16"/>
        <v>0</v>
      </c>
      <c r="IY16" s="10">
        <f t="shared" si="16"/>
        <v>0</v>
      </c>
      <c r="IZ16" s="10">
        <f t="shared" si="16"/>
        <v>0</v>
      </c>
      <c r="JA16" s="10">
        <f t="shared" si="16"/>
        <v>0</v>
      </c>
      <c r="JB16" s="10">
        <f t="shared" si="16"/>
        <v>0</v>
      </c>
      <c r="JC16" s="10">
        <f t="shared" si="16"/>
        <v>0</v>
      </c>
      <c r="JD16" s="10">
        <f t="shared" si="16"/>
        <v>0</v>
      </c>
      <c r="JE16" s="10">
        <f t="shared" si="16"/>
        <v>0</v>
      </c>
      <c r="JF16" s="10">
        <f t="shared" si="16"/>
        <v>0</v>
      </c>
      <c r="JG16" s="10">
        <f t="shared" si="16"/>
        <v>0</v>
      </c>
      <c r="JH16" s="10">
        <f t="shared" si="16"/>
        <v>0</v>
      </c>
      <c r="JI16" s="10">
        <f t="shared" si="16"/>
        <v>0</v>
      </c>
      <c r="JJ16" s="10">
        <f t="shared" si="16"/>
        <v>0</v>
      </c>
      <c r="JK16" s="10">
        <f t="shared" si="16"/>
        <v>0</v>
      </c>
      <c r="JL16" s="10">
        <f t="shared" si="16"/>
        <v>0</v>
      </c>
      <c r="JM16" s="10">
        <f t="shared" si="16"/>
        <v>0</v>
      </c>
      <c r="JN16" s="10">
        <f t="shared" si="16"/>
        <v>0</v>
      </c>
      <c r="JO16" s="10">
        <f t="shared" si="16"/>
        <v>0</v>
      </c>
      <c r="JP16" s="10">
        <f t="shared" si="16"/>
        <v>0</v>
      </c>
      <c r="JQ16" s="10">
        <f t="shared" si="16"/>
        <v>0</v>
      </c>
      <c r="JR16" s="10">
        <f t="shared" si="16"/>
        <v>0</v>
      </c>
      <c r="JS16" s="10">
        <f t="shared" si="16"/>
        <v>0</v>
      </c>
      <c r="JT16" s="10">
        <f t="shared" si="16"/>
        <v>0</v>
      </c>
      <c r="JU16" s="10">
        <f t="shared" si="16"/>
        <v>0</v>
      </c>
      <c r="JV16" s="10">
        <f t="shared" si="16"/>
        <v>0</v>
      </c>
      <c r="JW16" s="10">
        <f t="shared" si="16"/>
        <v>0</v>
      </c>
      <c r="JX16" s="10">
        <f t="shared" si="16"/>
        <v>0</v>
      </c>
      <c r="JY16" s="10">
        <f t="shared" si="16"/>
        <v>0</v>
      </c>
      <c r="JZ16" s="10">
        <f t="shared" si="16"/>
        <v>0</v>
      </c>
      <c r="KA16" s="10">
        <f t="shared" si="16"/>
        <v>0</v>
      </c>
      <c r="KB16" s="10">
        <f t="shared" si="16"/>
        <v>0</v>
      </c>
      <c r="KC16" s="10">
        <f t="shared" si="16"/>
        <v>0</v>
      </c>
      <c r="KD16" s="10">
        <f t="shared" si="16"/>
        <v>0</v>
      </c>
      <c r="KE16" s="10">
        <f t="shared" si="16"/>
        <v>0</v>
      </c>
      <c r="KF16" s="10">
        <f t="shared" si="16"/>
        <v>0</v>
      </c>
      <c r="KG16" s="10">
        <f t="shared" si="16"/>
        <v>0</v>
      </c>
      <c r="KH16" s="10">
        <f t="shared" si="16"/>
        <v>0</v>
      </c>
      <c r="KI16" s="10">
        <f t="shared" si="16"/>
        <v>0</v>
      </c>
      <c r="KJ16" s="10">
        <f t="shared" si="16"/>
        <v>0</v>
      </c>
      <c r="KK16" s="10">
        <f t="shared" si="16"/>
        <v>0</v>
      </c>
      <c r="KL16" s="10">
        <f t="shared" si="16"/>
        <v>0</v>
      </c>
      <c r="KM16" s="10">
        <f t="shared" si="16"/>
        <v>0</v>
      </c>
      <c r="KN16" s="10">
        <f t="shared" ref="KN16:MV16" si="17">KM16*(1+$AS$20)</f>
        <v>0</v>
      </c>
      <c r="KO16" s="10">
        <f t="shared" si="17"/>
        <v>0</v>
      </c>
      <c r="KP16" s="10">
        <f t="shared" si="17"/>
        <v>0</v>
      </c>
      <c r="KQ16" s="10">
        <f t="shared" si="17"/>
        <v>0</v>
      </c>
      <c r="KR16" s="10">
        <f t="shared" si="17"/>
        <v>0</v>
      </c>
      <c r="KS16" s="10">
        <f t="shared" si="17"/>
        <v>0</v>
      </c>
      <c r="KT16" s="10">
        <f t="shared" si="17"/>
        <v>0</v>
      </c>
      <c r="KU16" s="10">
        <f t="shared" si="17"/>
        <v>0</v>
      </c>
      <c r="KV16" s="10">
        <f t="shared" si="17"/>
        <v>0</v>
      </c>
      <c r="KW16" s="10">
        <f t="shared" si="17"/>
        <v>0</v>
      </c>
      <c r="KX16" s="10">
        <f t="shared" si="17"/>
        <v>0</v>
      </c>
      <c r="KY16" s="10">
        <f t="shared" si="17"/>
        <v>0</v>
      </c>
      <c r="KZ16" s="10">
        <f t="shared" si="17"/>
        <v>0</v>
      </c>
      <c r="LA16" s="10">
        <f t="shared" si="17"/>
        <v>0</v>
      </c>
      <c r="LB16" s="10">
        <f t="shared" si="17"/>
        <v>0</v>
      </c>
      <c r="LC16" s="10">
        <f t="shared" si="17"/>
        <v>0</v>
      </c>
      <c r="LD16" s="10">
        <f t="shared" si="17"/>
        <v>0</v>
      </c>
      <c r="LE16" s="10">
        <f t="shared" si="17"/>
        <v>0</v>
      </c>
      <c r="LF16" s="10">
        <f t="shared" si="17"/>
        <v>0</v>
      </c>
      <c r="LG16" s="10">
        <f t="shared" si="17"/>
        <v>0</v>
      </c>
      <c r="LH16" s="10">
        <f t="shared" si="17"/>
        <v>0</v>
      </c>
      <c r="LI16" s="10">
        <f t="shared" si="17"/>
        <v>0</v>
      </c>
      <c r="LJ16" s="10">
        <f t="shared" si="17"/>
        <v>0</v>
      </c>
      <c r="LK16" s="10">
        <f t="shared" si="17"/>
        <v>0</v>
      </c>
      <c r="LL16" s="10">
        <f t="shared" si="17"/>
        <v>0</v>
      </c>
      <c r="LM16" s="10">
        <f t="shared" si="17"/>
        <v>0</v>
      </c>
      <c r="LN16" s="10">
        <f t="shared" si="17"/>
        <v>0</v>
      </c>
      <c r="LO16" s="10">
        <f t="shared" si="17"/>
        <v>0</v>
      </c>
      <c r="LP16" s="10">
        <f t="shared" si="17"/>
        <v>0</v>
      </c>
      <c r="LQ16" s="10">
        <f t="shared" si="17"/>
        <v>0</v>
      </c>
      <c r="LR16" s="10">
        <f t="shared" si="17"/>
        <v>0</v>
      </c>
      <c r="LS16" s="10">
        <f t="shared" si="17"/>
        <v>0</v>
      </c>
      <c r="LT16" s="10">
        <f t="shared" si="17"/>
        <v>0</v>
      </c>
      <c r="LU16" s="10">
        <f t="shared" si="17"/>
        <v>0</v>
      </c>
      <c r="LV16" s="10">
        <f t="shared" si="17"/>
        <v>0</v>
      </c>
      <c r="LW16" s="10">
        <f t="shared" si="17"/>
        <v>0</v>
      </c>
      <c r="LX16" s="10">
        <f t="shared" si="17"/>
        <v>0</v>
      </c>
      <c r="LY16" s="10">
        <f t="shared" si="17"/>
        <v>0</v>
      </c>
      <c r="LZ16" s="10">
        <f t="shared" si="17"/>
        <v>0</v>
      </c>
      <c r="MA16" s="10">
        <f t="shared" si="17"/>
        <v>0</v>
      </c>
      <c r="MB16" s="10">
        <f t="shared" si="17"/>
        <v>0</v>
      </c>
      <c r="MC16" s="10">
        <f t="shared" si="17"/>
        <v>0</v>
      </c>
      <c r="MD16" s="10">
        <f t="shared" si="17"/>
        <v>0</v>
      </c>
      <c r="ME16" s="10">
        <f t="shared" si="17"/>
        <v>0</v>
      </c>
      <c r="MF16" s="10">
        <f t="shared" si="17"/>
        <v>0</v>
      </c>
      <c r="MG16" s="10">
        <f t="shared" si="17"/>
        <v>0</v>
      </c>
      <c r="MH16" s="10">
        <f t="shared" si="17"/>
        <v>0</v>
      </c>
      <c r="MI16" s="10">
        <f t="shared" si="17"/>
        <v>0</v>
      </c>
      <c r="MJ16" s="10">
        <f t="shared" si="17"/>
        <v>0</v>
      </c>
      <c r="MK16" s="10">
        <f t="shared" si="17"/>
        <v>0</v>
      </c>
      <c r="ML16" s="10">
        <f t="shared" si="17"/>
        <v>0</v>
      </c>
      <c r="MM16" s="10">
        <f t="shared" si="17"/>
        <v>0</v>
      </c>
      <c r="MN16" s="10">
        <f t="shared" si="17"/>
        <v>0</v>
      </c>
      <c r="MO16" s="10">
        <f t="shared" si="17"/>
        <v>0</v>
      </c>
      <c r="MP16" s="10">
        <f t="shared" si="17"/>
        <v>0</v>
      </c>
      <c r="MQ16" s="10">
        <f t="shared" si="17"/>
        <v>0</v>
      </c>
      <c r="MR16" s="10">
        <f t="shared" si="17"/>
        <v>0</v>
      </c>
      <c r="MS16" s="10">
        <f t="shared" si="17"/>
        <v>0</v>
      </c>
      <c r="MT16" s="10">
        <f t="shared" si="17"/>
        <v>0</v>
      </c>
      <c r="MU16" s="10">
        <f t="shared" si="17"/>
        <v>0</v>
      </c>
      <c r="MV16" s="10">
        <f t="shared" si="17"/>
        <v>0</v>
      </c>
    </row>
    <row r="17" spans="3:45" x14ac:dyDescent="0.25">
      <c r="C17" s="2" t="s">
        <v>65</v>
      </c>
      <c r="D17" s="22">
        <v>21.908999999999999</v>
      </c>
      <c r="E17" s="22">
        <v>21.908999999999999</v>
      </c>
      <c r="F17" s="22">
        <v>21.908999999999999</v>
      </c>
      <c r="G17" s="22">
        <v>21.908999999999999</v>
      </c>
      <c r="H17" s="22">
        <v>21.908999999999999</v>
      </c>
      <c r="I17" s="22">
        <v>21.908999999999999</v>
      </c>
      <c r="J17" s="22">
        <v>21.908999999999999</v>
      </c>
      <c r="K17" s="22">
        <v>23.021999999999998</v>
      </c>
      <c r="L17" s="22">
        <v>23.021999999999998</v>
      </c>
      <c r="M17" s="22">
        <v>23.021999999999998</v>
      </c>
      <c r="N17" s="22">
        <v>23.021999999999998</v>
      </c>
      <c r="O17" s="22">
        <v>23.021999999999998</v>
      </c>
      <c r="P17" s="22">
        <v>23.021999999999998</v>
      </c>
      <c r="Q17" s="22">
        <v>23.021999999999998</v>
      </c>
      <c r="R17" s="5">
        <v>23.021999999999998</v>
      </c>
      <c r="S17" s="22"/>
      <c r="V17" s="12"/>
      <c r="W17" s="22">
        <v>11.287000000000001</v>
      </c>
      <c r="X17" s="22">
        <v>13.7</v>
      </c>
      <c r="Y17" s="22">
        <v>21.428999999999998</v>
      </c>
      <c r="Z17" s="22">
        <v>21.460999999999999</v>
      </c>
      <c r="AA17" s="22">
        <v>21.695</v>
      </c>
      <c r="AB17" s="22">
        <v>21.908999999999999</v>
      </c>
      <c r="AC17" s="22">
        <v>21.908999999999999</v>
      </c>
      <c r="AD17" s="22">
        <v>21.908999999999999</v>
      </c>
      <c r="AE17" s="22">
        <v>22.957999999999998</v>
      </c>
      <c r="AF17" s="5">
        <v>23.021999999999998</v>
      </c>
      <c r="AG17" s="22">
        <v>23.021999999999998</v>
      </c>
      <c r="AH17" s="22">
        <v>23.021999999999998</v>
      </c>
      <c r="AI17" s="22">
        <v>23.021999999999998</v>
      </c>
      <c r="AJ17" s="22">
        <v>23.021999999999998</v>
      </c>
      <c r="AK17" s="22">
        <v>23.021999999999998</v>
      </c>
      <c r="AL17" s="22">
        <v>23.021999999999998</v>
      </c>
      <c r="AM17" s="22">
        <v>23.021999999999998</v>
      </c>
      <c r="AN17" s="22">
        <v>23.021999999999998</v>
      </c>
      <c r="AO17" s="22">
        <v>23.021999999999998</v>
      </c>
      <c r="AP17" s="22">
        <v>23.021999999999998</v>
      </c>
    </row>
    <row r="18" spans="3:45" x14ac:dyDescent="0.25">
      <c r="C18" s="2" t="s">
        <v>66</v>
      </c>
      <c r="D18" s="23">
        <f t="shared" ref="D18:R18" si="18">D16/D17</f>
        <v>0.87178784974211454</v>
      </c>
      <c r="E18" s="23">
        <f t="shared" si="18"/>
        <v>0.92655986124423617</v>
      </c>
      <c r="F18" s="23">
        <f t="shared" si="18"/>
        <v>0.48381943493541507</v>
      </c>
      <c r="G18" s="23">
        <f t="shared" si="18"/>
        <v>1.1912912501711617</v>
      </c>
      <c r="H18" s="23">
        <f t="shared" si="18"/>
        <v>0.59336345793965839</v>
      </c>
      <c r="I18" s="23">
        <f t="shared" si="18"/>
        <v>0.94481719841161049</v>
      </c>
      <c r="J18" s="23">
        <f t="shared" si="18"/>
        <v>0.25560272034323828</v>
      </c>
      <c r="K18" s="23">
        <f t="shared" si="18"/>
        <v>0.28233863261228415</v>
      </c>
      <c r="L18" s="23">
        <f t="shared" si="18"/>
        <v>9.5560767961078694E-2</v>
      </c>
      <c r="M18" s="23">
        <f t="shared" si="18"/>
        <v>0.15202849448353647</v>
      </c>
      <c r="N18" s="23">
        <f t="shared" si="18"/>
        <v>3.4749370167665695E-2</v>
      </c>
      <c r="O18" s="23">
        <f t="shared" si="18"/>
        <v>-9.1217096690122942E-2</v>
      </c>
      <c r="P18" s="23">
        <f t="shared" si="18"/>
        <v>-1.2857266962036324</v>
      </c>
      <c r="Q18" s="23">
        <f t="shared" si="18"/>
        <v>1.3031013812875575E-2</v>
      </c>
      <c r="R18" s="18">
        <f t="shared" si="18"/>
        <v>-0.20849622100599327</v>
      </c>
      <c r="S18" s="23"/>
      <c r="V18" s="12"/>
      <c r="W18" s="23">
        <f t="shared" ref="W18:AE18" si="19">W16/W17</f>
        <v>1.0306547355364597</v>
      </c>
      <c r="X18" s="23">
        <f t="shared" si="19"/>
        <v>2.7456934306569383</v>
      </c>
      <c r="Y18" s="23">
        <f t="shared" si="19"/>
        <v>3.5828550095664689</v>
      </c>
      <c r="Z18" s="23">
        <f t="shared" si="19"/>
        <v>4.7978193001258127</v>
      </c>
      <c r="AA18" s="23">
        <f t="shared" si="19"/>
        <v>3.5840516247983425</v>
      </c>
      <c r="AB18" s="23">
        <f t="shared" si="19"/>
        <v>4.1213930348258669</v>
      </c>
      <c r="AC18" s="23">
        <f t="shared" si="19"/>
        <v>3.4793007439864869</v>
      </c>
      <c r="AD18" s="23">
        <f t="shared" si="19"/>
        <v>2.1369756720982207</v>
      </c>
      <c r="AE18" s="23">
        <f t="shared" si="19"/>
        <v>0.20093213694572379</v>
      </c>
      <c r="AF18" s="18">
        <f t="shared" ref="AF18:AP18" si="20">AF16/AF17</f>
        <v>2.8977152289108229E-2</v>
      </c>
      <c r="AG18" s="23">
        <f t="shared" si="20"/>
        <v>0</v>
      </c>
      <c r="AH18" s="23">
        <f t="shared" si="20"/>
        <v>0</v>
      </c>
      <c r="AI18" s="23">
        <f t="shared" si="20"/>
        <v>0</v>
      </c>
      <c r="AJ18" s="23">
        <f t="shared" si="20"/>
        <v>0</v>
      </c>
      <c r="AK18" s="23">
        <f t="shared" si="20"/>
        <v>0</v>
      </c>
      <c r="AL18" s="23">
        <f t="shared" si="20"/>
        <v>0</v>
      </c>
      <c r="AM18" s="23">
        <f t="shared" si="20"/>
        <v>0</v>
      </c>
      <c r="AN18" s="23">
        <f t="shared" si="20"/>
        <v>0</v>
      </c>
      <c r="AO18" s="23">
        <f t="shared" si="20"/>
        <v>0</v>
      </c>
      <c r="AP18" s="23">
        <f t="shared" si="20"/>
        <v>0</v>
      </c>
    </row>
    <row r="19" spans="3:45" x14ac:dyDescent="0.25"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3"/>
      <c r="S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R19" s="2" t="s">
        <v>115</v>
      </c>
      <c r="AS19" s="30">
        <v>0.08</v>
      </c>
    </row>
    <row r="20" spans="3:45" x14ac:dyDescent="0.25">
      <c r="C20" s="1" t="s">
        <v>38</v>
      </c>
      <c r="D20" s="16"/>
      <c r="E20" s="16"/>
      <c r="F20" s="16"/>
      <c r="G20" s="16"/>
      <c r="H20" s="25">
        <f t="shared" ref="H20:P20" si="21">(H4-D4)/D4</f>
        <v>0.12690707350901534</v>
      </c>
      <c r="I20" s="25">
        <f t="shared" si="21"/>
        <v>-1.3667425968109373E-2</v>
      </c>
      <c r="J20" s="25">
        <f t="shared" si="21"/>
        <v>-0.18500643500643499</v>
      </c>
      <c r="K20" s="25">
        <f t="shared" si="21"/>
        <v>-0.24451983298538621</v>
      </c>
      <c r="L20" s="25">
        <f t="shared" si="21"/>
        <v>4.3076923076922381E-3</v>
      </c>
      <c r="M20" s="25">
        <f t="shared" si="21"/>
        <v>7.9676674364896144E-2</v>
      </c>
      <c r="N20" s="25">
        <f t="shared" si="21"/>
        <v>0.30675088827477293</v>
      </c>
      <c r="O20" s="25">
        <f t="shared" si="21"/>
        <v>0.33506044905008636</v>
      </c>
      <c r="P20" s="25">
        <f t="shared" si="21"/>
        <v>-3.2169117647058827E-2</v>
      </c>
      <c r="Q20" s="25">
        <f>(Q4-M4)/M4</f>
        <v>-0.11470588235294112</v>
      </c>
      <c r="R20" s="28">
        <f>(R4-N4)/N4</f>
        <v>-0.16374622356495463</v>
      </c>
      <c r="S20" s="25">
        <f>(S4-O4)/O4</f>
        <v>-1</v>
      </c>
      <c r="V20" s="12"/>
      <c r="W20" s="25"/>
      <c r="X20" s="25">
        <f t="shared" ref="X20:AA20" si="22">(X4-W4)/W4</f>
        <v>0.23370129975437018</v>
      </c>
      <c r="Y20" s="25">
        <f t="shared" si="22"/>
        <v>6.9873027076164426E-2</v>
      </c>
      <c r="Z20" s="25">
        <f t="shared" si="22"/>
        <v>0.1536342259170628</v>
      </c>
      <c r="AA20" s="25">
        <f t="shared" si="22"/>
        <v>-1.6880972960130441E-2</v>
      </c>
      <c r="AB20" s="25">
        <f>(AC4-AA4)/AA4</f>
        <v>0.11129916666666664</v>
      </c>
      <c r="AC20" s="25">
        <f t="shared" ref="AC20:AD20" si="23">(AC4-AB4)/AB4</f>
        <v>0.19016442016523236</v>
      </c>
      <c r="AD20" s="25">
        <f t="shared" si="23"/>
        <v>-8.8988938622138219E-2</v>
      </c>
      <c r="AE20" s="25">
        <f>(AE4-AD4)/AD4</f>
        <v>0.16711842335953878</v>
      </c>
      <c r="AF20" s="28">
        <f t="shared" ref="AF20:AP20" si="24">(AF4-AE4)/AE4</f>
        <v>-3.0000000000000079E-2</v>
      </c>
      <c r="AG20" s="25">
        <f t="shared" si="24"/>
        <v>-1</v>
      </c>
      <c r="AH20" s="25" t="e">
        <f t="shared" si="24"/>
        <v>#DIV/0!</v>
      </c>
      <c r="AI20" s="25" t="e">
        <f t="shared" si="24"/>
        <v>#DIV/0!</v>
      </c>
      <c r="AJ20" s="25" t="e">
        <f t="shared" si="24"/>
        <v>#DIV/0!</v>
      </c>
      <c r="AK20" s="25" t="e">
        <f t="shared" si="24"/>
        <v>#DIV/0!</v>
      </c>
      <c r="AL20" s="25" t="e">
        <f t="shared" si="24"/>
        <v>#DIV/0!</v>
      </c>
      <c r="AM20" s="25" t="e">
        <f t="shared" si="24"/>
        <v>#DIV/0!</v>
      </c>
      <c r="AN20" s="25" t="e">
        <f t="shared" si="24"/>
        <v>#DIV/0!</v>
      </c>
      <c r="AO20" s="25" t="e">
        <f t="shared" si="24"/>
        <v>#DIV/0!</v>
      </c>
      <c r="AP20" s="25" t="e">
        <f t="shared" si="24"/>
        <v>#DIV/0!</v>
      </c>
      <c r="AR20" s="2" t="s">
        <v>116</v>
      </c>
      <c r="AS20" s="30">
        <v>-0.01</v>
      </c>
    </row>
    <row r="21" spans="3:45" x14ac:dyDescent="0.25">
      <c r="C21" s="2" t="s">
        <v>44</v>
      </c>
      <c r="D21" s="16">
        <f t="shared" ref="D21:P21" si="25">D6/D4</f>
        <v>0.25554785020804438</v>
      </c>
      <c r="E21" s="16">
        <f t="shared" si="25"/>
        <v>0.21668564920273339</v>
      </c>
      <c r="F21" s="16">
        <f t="shared" si="25"/>
        <v>0.19594594594594597</v>
      </c>
      <c r="G21" s="16">
        <f t="shared" si="25"/>
        <v>0.20067849686847594</v>
      </c>
      <c r="H21" s="16">
        <f t="shared" si="25"/>
        <v>0.21046153846153839</v>
      </c>
      <c r="I21" s="16">
        <f t="shared" si="25"/>
        <v>0.20900692840646645</v>
      </c>
      <c r="J21" s="16">
        <f t="shared" si="25"/>
        <v>0.21081721279115676</v>
      </c>
      <c r="K21" s="16">
        <f t="shared" si="25"/>
        <v>0.17409326424870469</v>
      </c>
      <c r="L21" s="16">
        <f t="shared" si="25"/>
        <v>0.20618872549019596</v>
      </c>
      <c r="M21" s="16">
        <f t="shared" si="25"/>
        <v>0.18422459893048121</v>
      </c>
      <c r="N21" s="16">
        <f t="shared" si="25"/>
        <v>0.16163141993957703</v>
      </c>
      <c r="O21" s="16">
        <f t="shared" si="25"/>
        <v>0.1505821474773609</v>
      </c>
      <c r="P21" s="16">
        <f t="shared" si="25"/>
        <v>1.7094017094017023E-2</v>
      </c>
      <c r="Q21" s="16">
        <f>Q6/Q4</f>
        <v>0.16490486257928125</v>
      </c>
      <c r="R21" s="17">
        <f>R6/R4</f>
        <v>0.15209537572254342</v>
      </c>
      <c r="S21" s="16" t="e">
        <f>S6/S4</f>
        <v>#DIV/0!</v>
      </c>
      <c r="V21" s="16"/>
      <c r="W21" s="16">
        <f t="shared" ref="W21:AA21" si="26">W6/W4</f>
        <v>0.23687739595041499</v>
      </c>
      <c r="X21" s="16">
        <f t="shared" si="26"/>
        <v>0.2506029115699363</v>
      </c>
      <c r="Y21" s="16">
        <f t="shared" si="26"/>
        <v>0.2398691179639563</v>
      </c>
      <c r="Z21" s="16">
        <f t="shared" si="26"/>
        <v>0.24578221455753502</v>
      </c>
      <c r="AA21" s="16">
        <f t="shared" si="26"/>
        <v>0.2411841666666667</v>
      </c>
      <c r="AB21" s="16">
        <f>AC6/AC4</f>
        <v>0.21566949793747406</v>
      </c>
      <c r="AC21" s="16">
        <f t="shared" ref="AC21:AD21" si="27">AC6/AC4</f>
        <v>0.21566949793747406</v>
      </c>
      <c r="AD21" s="16">
        <f t="shared" si="27"/>
        <v>0.2019570544421003</v>
      </c>
      <c r="AE21" s="16">
        <f>AE6/AE4</f>
        <v>0.17487977081874323</v>
      </c>
      <c r="AF21" s="17">
        <f t="shared" ref="AF21:AP21" si="28">AF6/AF4</f>
        <v>0.14641740077133172</v>
      </c>
      <c r="AG21" s="16" t="e">
        <f t="shared" si="28"/>
        <v>#DIV/0!</v>
      </c>
      <c r="AH21" s="16" t="e">
        <f t="shared" si="28"/>
        <v>#DIV/0!</v>
      </c>
      <c r="AI21" s="16" t="e">
        <f t="shared" si="28"/>
        <v>#DIV/0!</v>
      </c>
      <c r="AJ21" s="16" t="e">
        <f t="shared" si="28"/>
        <v>#DIV/0!</v>
      </c>
      <c r="AK21" s="16" t="e">
        <f t="shared" si="28"/>
        <v>#DIV/0!</v>
      </c>
      <c r="AL21" s="16" t="e">
        <f t="shared" si="28"/>
        <v>#DIV/0!</v>
      </c>
      <c r="AM21" s="16" t="e">
        <f t="shared" si="28"/>
        <v>#DIV/0!</v>
      </c>
      <c r="AN21" s="16" t="e">
        <f t="shared" si="28"/>
        <v>#DIV/0!</v>
      </c>
      <c r="AO21" s="16" t="e">
        <f t="shared" si="28"/>
        <v>#DIV/0!</v>
      </c>
      <c r="AP21" s="16" t="e">
        <f t="shared" si="28"/>
        <v>#DIV/0!</v>
      </c>
      <c r="AR21" s="29" t="s">
        <v>117</v>
      </c>
      <c r="AS21" s="31">
        <f>NPV(AS19,AF16:MV16)</f>
        <v>0.61769629629615697</v>
      </c>
    </row>
    <row r="22" spans="3:45" x14ac:dyDescent="0.25">
      <c r="C22" s="2" t="s">
        <v>39</v>
      </c>
      <c r="D22" s="16">
        <f t="shared" ref="D22:P22" si="29">D11/D4</f>
        <v>8.9805825242718407E-2</v>
      </c>
      <c r="E22" s="16">
        <f t="shared" si="29"/>
        <v>7.8302961275626332E-2</v>
      </c>
      <c r="F22" s="16">
        <f t="shared" si="29"/>
        <v>5.1158301158301188E-2</v>
      </c>
      <c r="G22" s="16">
        <f t="shared" si="29"/>
        <v>8.6377870563674269E-2</v>
      </c>
      <c r="H22" s="16">
        <f t="shared" si="29"/>
        <v>6.4615384615384533E-2</v>
      </c>
      <c r="I22" s="16">
        <f t="shared" si="29"/>
        <v>8.2274826789838273E-2</v>
      </c>
      <c r="J22" s="16">
        <f t="shared" si="29"/>
        <v>4.8164232135807367E-2</v>
      </c>
      <c r="K22" s="16">
        <f t="shared" si="29"/>
        <v>2.7633851468048379E-2</v>
      </c>
      <c r="L22" s="16">
        <f t="shared" si="29"/>
        <v>3.3394607843137115E-2</v>
      </c>
      <c r="M22" s="16">
        <f t="shared" si="29"/>
        <v>2.5401069518716516E-2</v>
      </c>
      <c r="N22" s="16">
        <f t="shared" si="29"/>
        <v>2.8398791540785496E-2</v>
      </c>
      <c r="O22" s="16">
        <f t="shared" si="29"/>
        <v>1.2936610608020671E-2</v>
      </c>
      <c r="P22" s="16">
        <f t="shared" si="29"/>
        <v>-0.11111111111111119</v>
      </c>
      <c r="Q22" s="16">
        <f>Q11/Q4</f>
        <v>1.661129568106319E-2</v>
      </c>
      <c r="R22" s="17">
        <f>R11/R4</f>
        <v>7.9479768786127995E-3</v>
      </c>
      <c r="S22" s="16" t="e">
        <f>S11/S4</f>
        <v>#DIV/0!</v>
      </c>
      <c r="V22" s="16"/>
      <c r="W22" s="16">
        <f t="shared" ref="W22:AA22" si="30">W11/W4</f>
        <v>7.8821077003491738E-2</v>
      </c>
      <c r="X22" s="16">
        <f t="shared" si="30"/>
        <v>9.3246278127025559E-2</v>
      </c>
      <c r="Y22" s="16">
        <f t="shared" si="30"/>
        <v>9.9926090589120262E-2</v>
      </c>
      <c r="Z22" s="16">
        <f t="shared" si="30"/>
        <v>0.11506507019060223</v>
      </c>
      <c r="AA22" s="16">
        <f t="shared" si="30"/>
        <v>9.6153333333333368E-2</v>
      </c>
      <c r="AB22" s="16">
        <f>AC11/AC4</f>
        <v>7.687923818893648E-2</v>
      </c>
      <c r="AC22" s="16">
        <f t="shared" ref="AC22:AD22" si="31">AC11/AC4</f>
        <v>7.687923818893648E-2</v>
      </c>
      <c r="AD22" s="16">
        <f t="shared" si="31"/>
        <v>5.8128039891775875E-2</v>
      </c>
      <c r="AE22" s="16">
        <f>AE11/AE4</f>
        <v>2.4574781175484835E-2</v>
      </c>
      <c r="AF22" s="17">
        <f t="shared" ref="AF22:AP22" si="32">AF11/AF4</f>
        <v>1.0058234909406577E-2</v>
      </c>
      <c r="AG22" s="16" t="e">
        <f t="shared" si="32"/>
        <v>#DIV/0!</v>
      </c>
      <c r="AH22" s="16" t="e">
        <f t="shared" si="32"/>
        <v>#DIV/0!</v>
      </c>
      <c r="AI22" s="16" t="e">
        <f t="shared" si="32"/>
        <v>#DIV/0!</v>
      </c>
      <c r="AJ22" s="16" t="e">
        <f t="shared" si="32"/>
        <v>#DIV/0!</v>
      </c>
      <c r="AK22" s="16" t="e">
        <f t="shared" si="32"/>
        <v>#DIV/0!</v>
      </c>
      <c r="AL22" s="16" t="e">
        <f t="shared" si="32"/>
        <v>#DIV/0!</v>
      </c>
      <c r="AM22" s="16" t="e">
        <f t="shared" si="32"/>
        <v>#DIV/0!</v>
      </c>
      <c r="AN22" s="16" t="e">
        <f t="shared" si="32"/>
        <v>#DIV/0!</v>
      </c>
      <c r="AO22" s="16" t="e">
        <f t="shared" si="32"/>
        <v>#DIV/0!</v>
      </c>
      <c r="AP22" s="16" t="e">
        <f t="shared" si="32"/>
        <v>#DIV/0!</v>
      </c>
      <c r="AR22" s="2" t="s">
        <v>2</v>
      </c>
      <c r="AS22" s="22">
        <v>23.021999999999998</v>
      </c>
    </row>
    <row r="23" spans="3:45" x14ac:dyDescent="0.25">
      <c r="C23" s="2" t="s">
        <v>114</v>
      </c>
      <c r="M23" s="15"/>
      <c r="Q23" s="15"/>
      <c r="V23" s="8"/>
      <c r="W23" s="8">
        <v>0.16800000000000001</v>
      </c>
      <c r="X23" s="8">
        <v>0.23899999999999999</v>
      </c>
      <c r="Y23" s="8">
        <v>0.216</v>
      </c>
      <c r="Z23" s="8">
        <v>0.214</v>
      </c>
      <c r="AA23" s="8">
        <v>0.19900000000000001</v>
      </c>
      <c r="AB23" s="8">
        <v>0.152</v>
      </c>
      <c r="AC23" s="8">
        <v>0.12</v>
      </c>
      <c r="AD23" s="8">
        <v>8.5999999999999993E-2</v>
      </c>
      <c r="AE23" s="8">
        <v>5.1999999999999998E-2</v>
      </c>
      <c r="AR23" s="2" t="s">
        <v>118</v>
      </c>
      <c r="AS23" s="33">
        <f>AS21/AS22</f>
        <v>2.6830696563989096E-2</v>
      </c>
    </row>
    <row r="24" spans="3:45" x14ac:dyDescent="0.25">
      <c r="AR24" s="1" t="s">
        <v>119</v>
      </c>
      <c r="AS24" s="25">
        <f>(AS23-B4)/B4</f>
        <v>-0.99854969207762212</v>
      </c>
    </row>
    <row r="25" spans="3:45" x14ac:dyDescent="0.25">
      <c r="C25" s="12" t="s">
        <v>123</v>
      </c>
      <c r="D25" s="12">
        <v>291.8</v>
      </c>
      <c r="E25" s="12">
        <v>364.1</v>
      </c>
      <c r="F25" s="12">
        <v>264.8</v>
      </c>
      <c r="G25" s="12">
        <v>187.9</v>
      </c>
      <c r="H25" s="12">
        <v>245.2</v>
      </c>
      <c r="I25" s="12">
        <v>301.39999999999998</v>
      </c>
      <c r="J25" s="12">
        <v>135.1</v>
      </c>
      <c r="K25" s="12">
        <v>295.3</v>
      </c>
      <c r="L25" s="12">
        <v>352</v>
      </c>
      <c r="M25" s="12">
        <v>380</v>
      </c>
      <c r="N25" s="12">
        <v>285.5</v>
      </c>
      <c r="O25" s="12">
        <v>359.6</v>
      </c>
      <c r="P25" s="12">
        <v>275</v>
      </c>
      <c r="Q25" s="12">
        <v>519</v>
      </c>
      <c r="R25" s="13">
        <v>221.8</v>
      </c>
      <c r="S25" s="12"/>
      <c r="AR25" s="1"/>
      <c r="AS25" s="25"/>
    </row>
    <row r="26" spans="3:45" x14ac:dyDescent="0.25">
      <c r="C26" s="2" t="s">
        <v>121</v>
      </c>
      <c r="H26" s="16">
        <f t="shared" ref="H26:Q26" si="33">(H25-D25)/D25</f>
        <v>-0.15969842357779307</v>
      </c>
      <c r="I26" s="16">
        <f t="shared" si="33"/>
        <v>-0.17220543806646538</v>
      </c>
      <c r="J26" s="16">
        <f t="shared" si="33"/>
        <v>-0.48980362537764355</v>
      </c>
      <c r="K26" s="16">
        <f t="shared" si="33"/>
        <v>0.57158062799361364</v>
      </c>
      <c r="L26" s="16">
        <f t="shared" si="33"/>
        <v>0.43556280587275698</v>
      </c>
      <c r="M26" s="16">
        <f t="shared" si="33"/>
        <v>0.26078301260783021</v>
      </c>
      <c r="N26" s="16">
        <f t="shared" si="33"/>
        <v>1.1132494448556625</v>
      </c>
      <c r="O26" s="16">
        <f t="shared" si="33"/>
        <v>0.21774466644090759</v>
      </c>
      <c r="P26" s="16">
        <f t="shared" si="33"/>
        <v>-0.21875</v>
      </c>
      <c r="Q26" s="16">
        <f t="shared" si="33"/>
        <v>0.36578947368421055</v>
      </c>
      <c r="R26" s="17">
        <f>(R25-N25)/N25</f>
        <v>-0.22311733800350259</v>
      </c>
      <c r="S26" s="16">
        <f>(S25-O25)/O25</f>
        <v>-1</v>
      </c>
      <c r="AR26" s="1"/>
      <c r="AS26" s="25"/>
    </row>
    <row r="27" spans="3:45" x14ac:dyDescent="0.25">
      <c r="C27" s="2" t="s">
        <v>122</v>
      </c>
      <c r="D27" s="12">
        <v>1567.3</v>
      </c>
      <c r="E27" s="12">
        <v>1591.9</v>
      </c>
      <c r="F27" s="12">
        <v>1460.8</v>
      </c>
      <c r="G27" s="12">
        <v>1274.7</v>
      </c>
      <c r="H27" s="12">
        <v>1240.7</v>
      </c>
      <c r="I27" s="12">
        <v>1194.7</v>
      </c>
      <c r="J27" s="12">
        <v>1066.9000000000001</v>
      </c>
      <c r="K27" s="12">
        <v>1073.5999999999999</v>
      </c>
      <c r="L27" s="12">
        <v>1392</v>
      </c>
      <c r="M27" s="12">
        <v>1384</v>
      </c>
      <c r="N27" s="12">
        <v>1328.8</v>
      </c>
      <c r="O27" s="12">
        <v>1309.3</v>
      </c>
      <c r="P27" s="12">
        <v>1238</v>
      </c>
      <c r="Q27" s="12">
        <v>1439</v>
      </c>
      <c r="R27" s="13">
        <v>1376.7</v>
      </c>
      <c r="S27" s="12"/>
      <c r="AR27" s="1"/>
      <c r="AS27" s="25"/>
    </row>
    <row r="28" spans="3:45" x14ac:dyDescent="0.25">
      <c r="C28" s="2" t="s">
        <v>121</v>
      </c>
      <c r="H28" s="16">
        <f t="shared" ref="H28:Q28" si="34">(H27-D27)/D27</f>
        <v>-0.20838384482868622</v>
      </c>
      <c r="I28" s="16">
        <f t="shared" si="34"/>
        <v>-0.24951316037439539</v>
      </c>
      <c r="J28" s="16">
        <f t="shared" si="34"/>
        <v>-0.26964676889375677</v>
      </c>
      <c r="K28" s="16">
        <f t="shared" si="34"/>
        <v>-0.15776261081038687</v>
      </c>
      <c r="L28" s="16">
        <f t="shared" si="34"/>
        <v>0.12194728782139111</v>
      </c>
      <c r="M28" s="16">
        <f t="shared" si="34"/>
        <v>0.15844982003850336</v>
      </c>
      <c r="N28" s="16">
        <f t="shared" si="34"/>
        <v>0.24547755178554675</v>
      </c>
      <c r="O28" s="16">
        <f t="shared" si="34"/>
        <v>0.21954172876304029</v>
      </c>
      <c r="P28" s="16">
        <f t="shared" si="34"/>
        <v>-0.11063218390804598</v>
      </c>
      <c r="Q28" s="16">
        <f t="shared" si="34"/>
        <v>3.9739884393063585E-2</v>
      </c>
      <c r="R28" s="17">
        <f>(R27-N27)/N27</f>
        <v>3.6047561709813436E-2</v>
      </c>
      <c r="S28" s="16">
        <f>(S27-O27)/O27</f>
        <v>-1</v>
      </c>
      <c r="AR28" s="1"/>
      <c r="AS28" s="25"/>
    </row>
    <row r="29" spans="3:45" x14ac:dyDescent="0.25">
      <c r="AR29" s="1"/>
      <c r="AS29" s="25"/>
    </row>
    <row r="30" spans="3:45" x14ac:dyDescent="0.25">
      <c r="C30" s="1" t="s">
        <v>50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34"/>
      <c r="S30" s="19"/>
      <c r="T30" s="1"/>
      <c r="U30" s="1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spans="3:45" x14ac:dyDescent="0.25">
      <c r="C31" s="2" t="s">
        <v>67</v>
      </c>
      <c r="D31" s="12">
        <v>448.1</v>
      </c>
      <c r="E31" s="12">
        <v>448.2</v>
      </c>
      <c r="F31" s="12">
        <v>448.4</v>
      </c>
      <c r="G31" s="12">
        <v>457.8</v>
      </c>
      <c r="H31" s="12">
        <v>485.3</v>
      </c>
      <c r="I31" s="12">
        <v>485.6</v>
      </c>
      <c r="J31" s="12">
        <v>485.4</v>
      </c>
      <c r="K31" s="12">
        <v>485.2</v>
      </c>
      <c r="L31" s="12">
        <v>513</v>
      </c>
      <c r="M31" s="12">
        <v>513.6</v>
      </c>
      <c r="N31" s="12">
        <v>515</v>
      </c>
      <c r="O31" s="12">
        <v>515.5</v>
      </c>
      <c r="P31" s="12">
        <v>512.9</v>
      </c>
      <c r="Q31" s="12">
        <v>532</v>
      </c>
      <c r="R31" s="13">
        <v>531.5</v>
      </c>
      <c r="S31" s="12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3:45" x14ac:dyDescent="0.25">
      <c r="C32" s="2" t="s">
        <v>68</v>
      </c>
      <c r="D32" s="12">
        <v>109.4</v>
      </c>
      <c r="E32" s="12">
        <v>109.3</v>
      </c>
      <c r="F32" s="12">
        <v>109</v>
      </c>
      <c r="G32" s="12">
        <v>135.30000000000001</v>
      </c>
      <c r="H32" s="12">
        <v>144.30000000000001</v>
      </c>
      <c r="I32" s="12">
        <v>143.9</v>
      </c>
      <c r="J32" s="12">
        <v>142.19999999999999</v>
      </c>
      <c r="K32" s="12">
        <v>142.19999999999999</v>
      </c>
      <c r="L32" s="12">
        <v>283.89999999999998</v>
      </c>
      <c r="M32" s="12">
        <v>278.8</v>
      </c>
      <c r="N32" s="12">
        <v>276.60000000000002</v>
      </c>
      <c r="O32" s="12">
        <v>279.5</v>
      </c>
      <c r="P32" s="12">
        <v>274</v>
      </c>
      <c r="Q32" s="12">
        <v>283.89999999999998</v>
      </c>
      <c r="R32" s="13">
        <v>282.10000000000002</v>
      </c>
      <c r="S32" s="12"/>
      <c r="T32" s="16"/>
      <c r="U32" s="16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17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3:31" x14ac:dyDescent="0.25">
      <c r="C33" s="2" t="s">
        <v>69</v>
      </c>
      <c r="D33" s="12">
        <v>88.6</v>
      </c>
      <c r="E33" s="12">
        <v>85.2</v>
      </c>
      <c r="F33" s="12">
        <v>80</v>
      </c>
      <c r="G33" s="12">
        <v>82.3</v>
      </c>
      <c r="H33" s="12">
        <v>77.7</v>
      </c>
      <c r="I33" s="12">
        <v>72.7</v>
      </c>
      <c r="J33" s="12">
        <v>67.8</v>
      </c>
      <c r="K33" s="12">
        <v>70.5</v>
      </c>
      <c r="L33" s="12">
        <v>66.3</v>
      </c>
      <c r="M33" s="12">
        <v>63.8</v>
      </c>
      <c r="N33" s="12">
        <v>59</v>
      </c>
      <c r="O33" s="12">
        <v>60.7</v>
      </c>
      <c r="P33" s="12">
        <v>68.3</v>
      </c>
      <c r="Q33" s="12">
        <v>67.8</v>
      </c>
      <c r="R33" s="13">
        <v>62.1</v>
      </c>
      <c r="S33" s="12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3:31" x14ac:dyDescent="0.25">
      <c r="C34" s="2" t="s">
        <v>70</v>
      </c>
      <c r="D34" s="12">
        <v>151.1</v>
      </c>
      <c r="E34" s="12">
        <v>155.19999999999999</v>
      </c>
      <c r="F34" s="12">
        <v>153.6</v>
      </c>
      <c r="G34" s="12">
        <v>158.80000000000001</v>
      </c>
      <c r="H34" s="12">
        <v>164.9</v>
      </c>
      <c r="I34" s="12">
        <v>169.9</v>
      </c>
      <c r="J34" s="12">
        <v>162.9</v>
      </c>
      <c r="K34" s="12">
        <v>161.9</v>
      </c>
      <c r="L34" s="12">
        <v>236.7</v>
      </c>
      <c r="M34" s="12">
        <v>230.5</v>
      </c>
      <c r="N34" s="12">
        <v>224.6</v>
      </c>
      <c r="O34" s="12">
        <v>229.6</v>
      </c>
      <c r="P34" s="12">
        <v>219.6</v>
      </c>
      <c r="Q34" s="12">
        <v>218.9</v>
      </c>
      <c r="R34" s="13">
        <v>213.6</v>
      </c>
      <c r="S34" s="12"/>
    </row>
    <row r="35" spans="3:31" x14ac:dyDescent="0.25">
      <c r="C35" s="2" t="s">
        <v>71</v>
      </c>
      <c r="D35" s="12">
        <v>0.2</v>
      </c>
      <c r="E35" s="12">
        <v>0</v>
      </c>
      <c r="F35" s="12">
        <v>0.1</v>
      </c>
      <c r="G35" s="12">
        <v>1</v>
      </c>
      <c r="H35" s="12">
        <v>0</v>
      </c>
      <c r="I35" s="12">
        <v>0.7</v>
      </c>
      <c r="J35" s="12">
        <v>0.7</v>
      </c>
      <c r="K35" s="12">
        <v>0</v>
      </c>
      <c r="L35" s="12">
        <v>3.6</v>
      </c>
      <c r="M35" s="12">
        <v>3.6</v>
      </c>
      <c r="N35" s="12">
        <v>3.6</v>
      </c>
      <c r="O35" s="12">
        <v>1.4</v>
      </c>
      <c r="P35" s="12">
        <v>1.3</v>
      </c>
      <c r="Q35" s="12">
        <v>1.4</v>
      </c>
      <c r="R35" s="13">
        <v>0.9</v>
      </c>
      <c r="S35" s="12"/>
    </row>
    <row r="36" spans="3:31" x14ac:dyDescent="0.25">
      <c r="C36" s="2" t="s">
        <v>72</v>
      </c>
      <c r="D36" s="12">
        <v>0</v>
      </c>
      <c r="E36" s="12">
        <v>63</v>
      </c>
      <c r="F36" s="12">
        <v>60.6</v>
      </c>
      <c r="G36" s="12">
        <v>58.4</v>
      </c>
      <c r="H36" s="12">
        <v>0.6</v>
      </c>
      <c r="I36" s="12">
        <v>60</v>
      </c>
      <c r="J36" s="12">
        <v>58.6</v>
      </c>
      <c r="K36" s="12">
        <v>0</v>
      </c>
      <c r="L36" s="12">
        <v>0.5</v>
      </c>
      <c r="M36" s="12">
        <v>0.8</v>
      </c>
      <c r="N36" s="12">
        <v>0.8</v>
      </c>
      <c r="O36" s="12">
        <v>6.3</v>
      </c>
      <c r="P36" s="12">
        <v>8.5</v>
      </c>
      <c r="Q36" s="12">
        <v>9.6999999999999993</v>
      </c>
      <c r="R36" s="13">
        <v>9.5</v>
      </c>
      <c r="S36" s="12"/>
    </row>
    <row r="37" spans="3:31" x14ac:dyDescent="0.25">
      <c r="C37" s="2" t="s">
        <v>73</v>
      </c>
      <c r="D37" s="12">
        <v>55.6</v>
      </c>
      <c r="E37" s="12">
        <v>188.7</v>
      </c>
      <c r="F37" s="12">
        <v>229.8</v>
      </c>
      <c r="G37" s="12">
        <v>174.8</v>
      </c>
      <c r="H37" s="12">
        <v>61.7</v>
      </c>
      <c r="I37" s="12">
        <v>155.19999999999999</v>
      </c>
      <c r="J37" s="12">
        <v>158.6</v>
      </c>
      <c r="K37" s="12">
        <v>51.5</v>
      </c>
      <c r="L37" s="12">
        <v>73.900000000000006</v>
      </c>
      <c r="M37" s="12">
        <v>70.7</v>
      </c>
      <c r="N37" s="12">
        <v>70.7</v>
      </c>
      <c r="O37" s="12">
        <v>64.8</v>
      </c>
      <c r="P37" s="12">
        <v>60.5</v>
      </c>
      <c r="Q37" s="12">
        <v>57.2</v>
      </c>
      <c r="R37" s="13">
        <v>61.2</v>
      </c>
      <c r="S37" s="12"/>
    </row>
    <row r="38" spans="3:31" x14ac:dyDescent="0.25">
      <c r="C38" s="2" t="s">
        <v>74</v>
      </c>
      <c r="D38" s="12">
        <v>186</v>
      </c>
      <c r="E38" s="12">
        <v>181.3</v>
      </c>
      <c r="F38" s="12">
        <v>114.9</v>
      </c>
      <c r="G38" s="12">
        <v>111.9</v>
      </c>
      <c r="H38" s="12">
        <v>154.6</v>
      </c>
      <c r="I38" s="12">
        <v>163</v>
      </c>
      <c r="J38" s="12">
        <v>156.19999999999999</v>
      </c>
      <c r="K38" s="12">
        <v>138</v>
      </c>
      <c r="L38" s="12">
        <v>221.2</v>
      </c>
      <c r="M38" s="12">
        <v>208.1</v>
      </c>
      <c r="N38" s="12">
        <v>179.8</v>
      </c>
      <c r="O38" s="12">
        <v>123.1</v>
      </c>
      <c r="P38" s="12">
        <v>157.5</v>
      </c>
      <c r="Q38" s="12">
        <v>186</v>
      </c>
      <c r="R38" s="13">
        <v>213.3</v>
      </c>
      <c r="S38" s="12"/>
    </row>
    <row r="39" spans="3:31" x14ac:dyDescent="0.25">
      <c r="C39" s="2" t="s">
        <v>75</v>
      </c>
      <c r="D39" s="12">
        <v>163.80000000000001</v>
      </c>
      <c r="E39" s="12">
        <v>22.8</v>
      </c>
      <c r="F39" s="12">
        <v>33.700000000000003</v>
      </c>
      <c r="G39" s="12">
        <v>22</v>
      </c>
      <c r="H39" s="12">
        <v>144.80000000000001</v>
      </c>
      <c r="I39" s="12">
        <v>37.6</v>
      </c>
      <c r="J39" s="12">
        <v>42.2</v>
      </c>
      <c r="K39" s="12">
        <v>177.1</v>
      </c>
      <c r="L39" s="12">
        <v>203.6</v>
      </c>
      <c r="M39" s="12">
        <v>200.8</v>
      </c>
      <c r="N39" s="12">
        <v>197.1</v>
      </c>
      <c r="O39" s="12">
        <v>209.9</v>
      </c>
      <c r="P39" s="12">
        <v>222.9</v>
      </c>
      <c r="Q39" s="12">
        <v>223.2</v>
      </c>
      <c r="R39" s="13">
        <v>206.4</v>
      </c>
      <c r="S39" s="12"/>
    </row>
    <row r="40" spans="3:31" x14ac:dyDescent="0.25">
      <c r="C40" s="2" t="s">
        <v>124</v>
      </c>
      <c r="D40" s="12">
        <f>14.9+32.6</f>
        <v>47.5</v>
      </c>
      <c r="E40" s="12">
        <v>41.8</v>
      </c>
      <c r="F40" s="12">
        <v>39.6</v>
      </c>
      <c r="G40" s="12">
        <v>42.5</v>
      </c>
      <c r="H40" s="12">
        <f>35.1+25.1</f>
        <v>60.2</v>
      </c>
      <c r="I40" s="12">
        <v>29.4</v>
      </c>
      <c r="J40" s="12">
        <v>20.5</v>
      </c>
      <c r="K40" s="12">
        <v>37.700000000000003</v>
      </c>
      <c r="L40" s="12">
        <v>46</v>
      </c>
      <c r="M40" s="12">
        <v>49.2</v>
      </c>
      <c r="N40" s="12">
        <v>51.5</v>
      </c>
      <c r="O40" s="12">
        <v>38.5</v>
      </c>
      <c r="P40" s="12">
        <v>43.6</v>
      </c>
      <c r="Q40" s="12">
        <v>58.4</v>
      </c>
      <c r="R40" s="13">
        <v>62.6</v>
      </c>
      <c r="S40" s="12"/>
    </row>
    <row r="41" spans="3:31" x14ac:dyDescent="0.25">
      <c r="C41" s="2" t="s">
        <v>76</v>
      </c>
      <c r="D41" s="12">
        <v>21</v>
      </c>
      <c r="E41" s="12">
        <v>8.4</v>
      </c>
      <c r="F41" s="12">
        <v>140.69999999999999</v>
      </c>
      <c r="G41" s="12">
        <v>51.9</v>
      </c>
      <c r="H41" s="12">
        <v>16.399999999999999</v>
      </c>
      <c r="I41" s="12">
        <v>27.5</v>
      </c>
      <c r="J41" s="12">
        <v>21.6</v>
      </c>
      <c r="K41" s="12">
        <v>2.8</v>
      </c>
      <c r="L41" s="12">
        <v>49</v>
      </c>
      <c r="M41" s="12">
        <v>81.2</v>
      </c>
      <c r="N41" s="12">
        <v>39.4</v>
      </c>
      <c r="O41" s="12">
        <v>103.1</v>
      </c>
      <c r="P41" s="12">
        <v>23.5</v>
      </c>
      <c r="Q41" s="12">
        <v>13.8</v>
      </c>
      <c r="R41" s="13">
        <v>48.1</v>
      </c>
      <c r="S41" s="12"/>
    </row>
    <row r="42" spans="3:31" x14ac:dyDescent="0.25">
      <c r="C42" s="1" t="s">
        <v>77</v>
      </c>
      <c r="D42" s="10">
        <f t="shared" ref="D42:P42" si="35">SUM(D31:D41)</f>
        <v>1271.3</v>
      </c>
      <c r="E42" s="10">
        <f t="shared" si="35"/>
        <v>1303.9000000000001</v>
      </c>
      <c r="F42" s="10">
        <f t="shared" si="35"/>
        <v>1410.4</v>
      </c>
      <c r="G42" s="10">
        <f t="shared" si="35"/>
        <v>1296.7000000000003</v>
      </c>
      <c r="H42" s="10">
        <f t="shared" si="35"/>
        <v>1310.5000000000002</v>
      </c>
      <c r="I42" s="10">
        <f t="shared" si="35"/>
        <v>1345.5</v>
      </c>
      <c r="J42" s="10">
        <f t="shared" si="35"/>
        <v>1316.6999999999998</v>
      </c>
      <c r="K42" s="10">
        <f t="shared" si="35"/>
        <v>1266.8999999999999</v>
      </c>
      <c r="L42" s="10">
        <f t="shared" si="35"/>
        <v>1697.6999999999998</v>
      </c>
      <c r="M42" s="10">
        <f t="shared" si="35"/>
        <v>1701.1</v>
      </c>
      <c r="N42" s="10">
        <f t="shared" si="35"/>
        <v>1618.1</v>
      </c>
      <c r="O42" s="10">
        <f t="shared" si="35"/>
        <v>1632.3999999999999</v>
      </c>
      <c r="P42" s="10">
        <f t="shared" si="35"/>
        <v>1592.6</v>
      </c>
      <c r="Q42" s="10">
        <f>SUM(Q31:Q41)</f>
        <v>1652.3000000000002</v>
      </c>
      <c r="R42" s="11">
        <f t="shared" ref="R42:S42" si="36">SUM(R31:R41)</f>
        <v>1691.3</v>
      </c>
      <c r="S42" s="10">
        <f t="shared" si="36"/>
        <v>0</v>
      </c>
    </row>
    <row r="43" spans="3:31" x14ac:dyDescent="0.25">
      <c r="C43" s="2" t="s">
        <v>78</v>
      </c>
      <c r="D43" s="12">
        <v>131.5</v>
      </c>
      <c r="E43" s="12">
        <v>131.5</v>
      </c>
      <c r="F43" s="12">
        <v>131.5</v>
      </c>
      <c r="G43" s="12">
        <v>131.5</v>
      </c>
      <c r="H43" s="12">
        <v>131.5</v>
      </c>
      <c r="I43" s="12">
        <v>131.5</v>
      </c>
      <c r="J43" s="12">
        <v>131.5</v>
      </c>
      <c r="K43" s="12">
        <v>131.5</v>
      </c>
      <c r="L43" s="12">
        <v>138.1</v>
      </c>
      <c r="M43" s="12">
        <v>138.1</v>
      </c>
      <c r="N43" s="12">
        <v>138.1</v>
      </c>
      <c r="O43" s="12">
        <v>138.1</v>
      </c>
      <c r="P43" s="12">
        <v>138.1</v>
      </c>
      <c r="Q43" s="12">
        <v>138.1</v>
      </c>
      <c r="R43" s="13">
        <v>138.1</v>
      </c>
      <c r="S43" s="12"/>
    </row>
    <row r="44" spans="3:31" x14ac:dyDescent="0.25">
      <c r="C44" s="2" t="s">
        <v>79</v>
      </c>
      <c r="D44" s="12">
        <v>405.1</v>
      </c>
      <c r="E44" s="12">
        <v>405.1</v>
      </c>
      <c r="F44" s="12">
        <v>406.3</v>
      </c>
      <c r="G44" s="12">
        <v>406.3</v>
      </c>
      <c r="H44" s="12">
        <v>406.3</v>
      </c>
      <c r="I44" s="12">
        <v>406.3</v>
      </c>
      <c r="J44" s="12">
        <v>406.3</v>
      </c>
      <c r="K44" s="12">
        <v>406.3</v>
      </c>
      <c r="L44" s="12">
        <v>449.9</v>
      </c>
      <c r="M44" s="12">
        <v>449.9</v>
      </c>
      <c r="N44" s="12">
        <v>450.8</v>
      </c>
      <c r="O44" s="12">
        <v>450.8</v>
      </c>
      <c r="P44" s="12">
        <v>450.8</v>
      </c>
      <c r="Q44" s="12">
        <v>450.8</v>
      </c>
      <c r="R44" s="13">
        <v>450.8</v>
      </c>
      <c r="S44" s="12"/>
    </row>
    <row r="45" spans="3:31" x14ac:dyDescent="0.25">
      <c r="C45" s="2" t="s">
        <v>80</v>
      </c>
      <c r="D45" s="12">
        <v>1.6</v>
      </c>
      <c r="E45" s="12">
        <v>3.8</v>
      </c>
      <c r="F45" s="12">
        <v>3.7</v>
      </c>
      <c r="G45" s="12">
        <v>8.3000000000000007</v>
      </c>
      <c r="H45" s="12">
        <v>9.4</v>
      </c>
      <c r="I45" s="12">
        <v>16.2</v>
      </c>
      <c r="J45" s="12">
        <v>11.7</v>
      </c>
      <c r="K45" s="12">
        <v>11.6</v>
      </c>
      <c r="L45" s="12">
        <v>18.5</v>
      </c>
      <c r="M45" s="12">
        <v>3.7</v>
      </c>
      <c r="N45" s="12">
        <v>13.6</v>
      </c>
      <c r="O45" s="12">
        <v>17.899999999999999</v>
      </c>
      <c r="P45" s="12">
        <v>4.9000000000000004</v>
      </c>
      <c r="Q45" s="12">
        <v>10.6</v>
      </c>
      <c r="R45" s="13">
        <v>8.1999999999999993</v>
      </c>
      <c r="S45" s="12"/>
    </row>
    <row r="46" spans="3:31" x14ac:dyDescent="0.25">
      <c r="C46" s="2" t="s">
        <v>81</v>
      </c>
      <c r="D46" s="12">
        <v>173.3</v>
      </c>
      <c r="E46" s="12">
        <v>171.6</v>
      </c>
      <c r="F46" s="12">
        <v>182.3</v>
      </c>
      <c r="G46" s="12">
        <v>183.7</v>
      </c>
      <c r="H46" s="12">
        <v>197.5</v>
      </c>
      <c r="I46" s="12">
        <v>201.7</v>
      </c>
      <c r="J46" s="12">
        <v>207</v>
      </c>
      <c r="K46" s="12">
        <v>196.7</v>
      </c>
      <c r="L46" s="12">
        <v>190.2</v>
      </c>
      <c r="M46" s="12">
        <v>201.7</v>
      </c>
      <c r="N46" s="12">
        <v>183.4</v>
      </c>
      <c r="O46" s="12">
        <v>190</v>
      </c>
      <c r="P46" s="12">
        <v>158.30000000000001</v>
      </c>
      <c r="Q46" s="12">
        <v>149.19999999999999</v>
      </c>
      <c r="R46" s="13">
        <v>143</v>
      </c>
      <c r="S46" s="12"/>
    </row>
    <row r="47" spans="3:31" x14ac:dyDescent="0.25">
      <c r="C47" s="2" t="s">
        <v>82</v>
      </c>
      <c r="D47" s="12">
        <v>0</v>
      </c>
      <c r="E47" s="12">
        <v>0</v>
      </c>
      <c r="F47" s="12">
        <v>0</v>
      </c>
      <c r="G47" s="12">
        <v>1.2</v>
      </c>
      <c r="H47" s="12">
        <v>1.1000000000000001</v>
      </c>
      <c r="I47" s="12">
        <v>1.1000000000000001</v>
      </c>
      <c r="J47" s="12">
        <v>1.4</v>
      </c>
      <c r="K47" s="12">
        <v>1.8</v>
      </c>
      <c r="L47" s="12">
        <v>4.5999999999999996</v>
      </c>
      <c r="M47" s="12">
        <v>4.5</v>
      </c>
      <c r="N47" s="12">
        <v>4.5999999999999996</v>
      </c>
      <c r="O47" s="12">
        <v>4.2</v>
      </c>
      <c r="P47" s="12">
        <v>4.4000000000000004</v>
      </c>
      <c r="Q47" s="12">
        <v>3.9</v>
      </c>
      <c r="R47" s="13">
        <v>4.4000000000000004</v>
      </c>
      <c r="S47" s="12"/>
    </row>
    <row r="48" spans="3:31" x14ac:dyDescent="0.25">
      <c r="C48" s="9" t="s">
        <v>83</v>
      </c>
      <c r="D48" s="24">
        <f t="shared" ref="D48:P48" si="37">SUM(D43:D47)</f>
        <v>711.5</v>
      </c>
      <c r="E48" s="24">
        <f t="shared" si="37"/>
        <v>712</v>
      </c>
      <c r="F48" s="24">
        <f t="shared" si="37"/>
        <v>723.8</v>
      </c>
      <c r="G48" s="24">
        <f t="shared" si="37"/>
        <v>731</v>
      </c>
      <c r="H48" s="24">
        <f t="shared" si="37"/>
        <v>745.8</v>
      </c>
      <c r="I48" s="24">
        <f t="shared" si="37"/>
        <v>756.80000000000007</v>
      </c>
      <c r="J48" s="24">
        <f t="shared" si="37"/>
        <v>757.9</v>
      </c>
      <c r="K48" s="24">
        <f t="shared" si="37"/>
        <v>747.89999999999986</v>
      </c>
      <c r="L48" s="24">
        <f t="shared" si="37"/>
        <v>801.30000000000007</v>
      </c>
      <c r="M48" s="24">
        <f>SUM(M43:M47)</f>
        <v>797.90000000000009</v>
      </c>
      <c r="N48" s="24">
        <f t="shared" si="37"/>
        <v>790.5</v>
      </c>
      <c r="O48" s="24">
        <f t="shared" si="37"/>
        <v>801</v>
      </c>
      <c r="P48" s="24">
        <f t="shared" si="37"/>
        <v>756.49999999999989</v>
      </c>
      <c r="Q48" s="24">
        <f>SUM(Q43:Q47)</f>
        <v>752.6</v>
      </c>
      <c r="R48" s="35">
        <f t="shared" ref="R48:S48" si="38">SUM(R43:R47)</f>
        <v>744.5</v>
      </c>
      <c r="S48" s="24">
        <f t="shared" si="38"/>
        <v>0</v>
      </c>
    </row>
    <row r="49" spans="3:31" x14ac:dyDescent="0.25">
      <c r="C49" s="2" t="s">
        <v>88</v>
      </c>
      <c r="D49" s="12">
        <v>121.8</v>
      </c>
      <c r="E49" s="12">
        <v>122.5</v>
      </c>
      <c r="F49" s="12">
        <v>172.2</v>
      </c>
      <c r="G49" s="12">
        <v>72.599999999999994</v>
      </c>
      <c r="H49" s="12">
        <v>123.8</v>
      </c>
      <c r="I49" s="12">
        <v>176.3</v>
      </c>
      <c r="J49" s="12">
        <v>174.7</v>
      </c>
      <c r="K49" s="12">
        <v>174.2</v>
      </c>
      <c r="L49" s="12">
        <v>343.5</v>
      </c>
      <c r="M49" s="12">
        <v>356.9</v>
      </c>
      <c r="N49" s="12">
        <v>337</v>
      </c>
      <c r="O49" s="12">
        <v>362.9</v>
      </c>
      <c r="P49" s="12">
        <v>349.6</v>
      </c>
      <c r="Q49" s="12">
        <v>423.7</v>
      </c>
      <c r="R49" s="13">
        <v>474.2</v>
      </c>
      <c r="S49" s="12"/>
    </row>
    <row r="50" spans="3:31" x14ac:dyDescent="0.25">
      <c r="C50" s="2" t="s">
        <v>84</v>
      </c>
      <c r="D50" s="12">
        <v>69</v>
      </c>
      <c r="E50" s="12">
        <v>67.3</v>
      </c>
      <c r="F50" s="12">
        <v>64.5</v>
      </c>
      <c r="G50" s="12">
        <v>63.3</v>
      </c>
      <c r="H50" s="12">
        <v>60.1</v>
      </c>
      <c r="I50" s="12">
        <v>57.1</v>
      </c>
      <c r="J50" s="12">
        <v>54.3</v>
      </c>
      <c r="K50" s="12">
        <v>51.2</v>
      </c>
      <c r="L50" s="12">
        <v>49.4</v>
      </c>
      <c r="M50" s="12">
        <v>50.4</v>
      </c>
      <c r="N50" s="12">
        <v>48.1</v>
      </c>
      <c r="O50" s="12">
        <v>46.3</v>
      </c>
      <c r="P50" s="12">
        <v>50.3</v>
      </c>
      <c r="Q50" s="12">
        <v>50.1</v>
      </c>
      <c r="R50" s="13">
        <v>46.7</v>
      </c>
      <c r="S50" s="12"/>
    </row>
    <row r="51" spans="3:31" x14ac:dyDescent="0.25">
      <c r="C51" s="2" t="s">
        <v>85</v>
      </c>
      <c r="D51" s="12">
        <v>29.1</v>
      </c>
      <c r="E51" s="12">
        <v>28.9</v>
      </c>
      <c r="F51" s="12">
        <v>29</v>
      </c>
      <c r="G51" s="12">
        <v>18.399999999999999</v>
      </c>
      <c r="H51" s="12">
        <v>18.7</v>
      </c>
      <c r="I51" s="12">
        <v>18.7</v>
      </c>
      <c r="J51" s="12">
        <v>13.8</v>
      </c>
      <c r="K51" s="12">
        <v>1.4</v>
      </c>
      <c r="L51" s="12">
        <v>38.4</v>
      </c>
      <c r="M51" s="12">
        <v>31.4</v>
      </c>
      <c r="N51" s="12">
        <v>36.6</v>
      </c>
      <c r="O51" s="12">
        <v>34.700000000000003</v>
      </c>
      <c r="P51" s="12">
        <v>12.9</v>
      </c>
      <c r="Q51" s="12">
        <v>13.1</v>
      </c>
      <c r="R51" s="13">
        <v>12.6</v>
      </c>
      <c r="S51" s="12"/>
    </row>
    <row r="52" spans="3:31" x14ac:dyDescent="0.25">
      <c r="C52" s="2" t="s">
        <v>86</v>
      </c>
      <c r="D52" s="12">
        <v>32.799999999999997</v>
      </c>
      <c r="E52" s="12">
        <v>33</v>
      </c>
      <c r="F52" s="12">
        <v>32.6</v>
      </c>
      <c r="G52" s="12">
        <v>40</v>
      </c>
      <c r="H52" s="12">
        <v>43.4</v>
      </c>
      <c r="I52" s="12">
        <v>42.5</v>
      </c>
      <c r="J52" s="12">
        <v>42.1</v>
      </c>
      <c r="K52" s="12">
        <v>41.7</v>
      </c>
      <c r="L52" s="12">
        <v>71.3</v>
      </c>
      <c r="M52" s="12">
        <v>70.099999999999994</v>
      </c>
      <c r="N52" s="12">
        <v>67.400000000000006</v>
      </c>
      <c r="O52" s="12">
        <v>66.900000000000006</v>
      </c>
      <c r="P52" s="12">
        <v>64.8</v>
      </c>
      <c r="Q52" s="12">
        <v>65.5</v>
      </c>
      <c r="R52" s="13">
        <v>65.099999999999994</v>
      </c>
      <c r="S52" s="12"/>
    </row>
    <row r="53" spans="3:31" x14ac:dyDescent="0.25">
      <c r="C53" s="2" t="s">
        <v>87</v>
      </c>
      <c r="D53" s="12">
        <v>0.4</v>
      </c>
      <c r="E53" s="12">
        <v>0.4</v>
      </c>
      <c r="F53" s="12">
        <v>0.4</v>
      </c>
      <c r="G53" s="12">
        <v>0.8</v>
      </c>
      <c r="H53" s="12">
        <v>0.4</v>
      </c>
      <c r="I53" s="12">
        <v>0.4</v>
      </c>
      <c r="J53" s="12">
        <v>0.4</v>
      </c>
      <c r="K53" s="2">
        <v>0</v>
      </c>
      <c r="L53" s="12">
        <v>15.7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3">
        <v>0</v>
      </c>
      <c r="S53" s="12"/>
    </row>
    <row r="54" spans="3:31" x14ac:dyDescent="0.25">
      <c r="C54" s="2" t="s">
        <v>89</v>
      </c>
      <c r="D54" s="12">
        <v>20</v>
      </c>
      <c r="E54" s="12">
        <v>18.7</v>
      </c>
      <c r="F54" s="12">
        <v>16.399999999999999</v>
      </c>
      <c r="G54" s="12">
        <v>20</v>
      </c>
      <c r="H54" s="12">
        <v>18.7</v>
      </c>
      <c r="I54" s="12">
        <v>16.600000000000001</v>
      </c>
      <c r="J54" s="12">
        <v>14.8</v>
      </c>
      <c r="K54" s="12">
        <v>19</v>
      </c>
      <c r="L54" s="12">
        <v>17.3</v>
      </c>
      <c r="M54" s="12">
        <v>15.5</v>
      </c>
      <c r="N54" s="12">
        <v>13.1</v>
      </c>
      <c r="O54" s="12">
        <v>16.600000000000001</v>
      </c>
      <c r="P54" s="12">
        <v>20</v>
      </c>
      <c r="Q54" s="12">
        <v>19.3</v>
      </c>
      <c r="R54" s="13">
        <v>17.2</v>
      </c>
      <c r="S54" s="12"/>
    </row>
    <row r="55" spans="3:31" x14ac:dyDescent="0.25">
      <c r="C55" s="2" t="s">
        <v>90</v>
      </c>
      <c r="D55" s="12">
        <v>78.900000000000006</v>
      </c>
      <c r="E55" s="12">
        <v>97</v>
      </c>
      <c r="F55" s="12">
        <v>135.5</v>
      </c>
      <c r="G55" s="12">
        <v>124.9</v>
      </c>
      <c r="H55" s="12">
        <v>84</v>
      </c>
      <c r="I55" s="12">
        <v>66.3</v>
      </c>
      <c r="J55" s="12">
        <v>70.3</v>
      </c>
      <c r="K55" s="12">
        <v>50</v>
      </c>
      <c r="L55" s="12">
        <v>41.1</v>
      </c>
      <c r="M55" s="12">
        <v>65.400000000000006</v>
      </c>
      <c r="N55" s="12">
        <v>61</v>
      </c>
      <c r="O55" s="12">
        <v>38</v>
      </c>
      <c r="P55" s="12">
        <v>47.5</v>
      </c>
      <c r="Q55" s="12">
        <v>50.2</v>
      </c>
      <c r="R55" s="13">
        <v>82.8</v>
      </c>
      <c r="S55" s="12"/>
    </row>
    <row r="56" spans="3:31" x14ac:dyDescent="0.25">
      <c r="C56" s="2" t="s">
        <v>91</v>
      </c>
      <c r="D56" s="12">
        <v>112.5</v>
      </c>
      <c r="E56" s="12">
        <v>123.3</v>
      </c>
      <c r="F56" s="12">
        <v>139.1</v>
      </c>
      <c r="G56" s="12">
        <v>122.8</v>
      </c>
      <c r="H56" s="12">
        <v>118.9</v>
      </c>
      <c r="I56" s="12">
        <v>106</v>
      </c>
      <c r="J56" s="12">
        <v>101.7</v>
      </c>
      <c r="K56" s="12">
        <v>91</v>
      </c>
      <c r="L56" s="12">
        <v>160.30000000000001</v>
      </c>
      <c r="M56" s="12">
        <v>173.6</v>
      </c>
      <c r="N56" s="12">
        <v>147.1</v>
      </c>
      <c r="O56" s="12">
        <v>145.69999999999999</v>
      </c>
      <c r="P56" s="12">
        <v>143.4</v>
      </c>
      <c r="Q56" s="12">
        <v>149.9</v>
      </c>
      <c r="R56" s="13">
        <v>126.1</v>
      </c>
      <c r="S56" s="12"/>
    </row>
    <row r="57" spans="3:31" x14ac:dyDescent="0.25">
      <c r="C57" s="2" t="s">
        <v>92</v>
      </c>
      <c r="D57" s="12">
        <f>2.3+36.6+56.4</f>
        <v>95.3</v>
      </c>
      <c r="E57" s="12">
        <f>3.7+28.6+68.7</f>
        <v>101</v>
      </c>
      <c r="F57" s="12">
        <f>4.5+36.8+55.8</f>
        <v>97.1</v>
      </c>
      <c r="G57" s="12">
        <f>3.6+38.2+61.1</f>
        <v>102.9</v>
      </c>
      <c r="H57" s="12">
        <f>1.6+29.4+65.6</f>
        <v>96.6</v>
      </c>
      <c r="I57" s="12">
        <f>5.2+32.6+66.7</f>
        <v>104.5</v>
      </c>
      <c r="J57" s="12">
        <f>4.2+31+51.4</f>
        <v>86.6</v>
      </c>
      <c r="K57" s="12">
        <v>90.7</v>
      </c>
      <c r="L57" s="12">
        <v>159.5</v>
      </c>
      <c r="M57" s="12">
        <v>139.9</v>
      </c>
      <c r="N57" s="12">
        <v>117.1</v>
      </c>
      <c r="O57" s="12">
        <v>120.5</v>
      </c>
      <c r="P57" s="12">
        <v>147.5</v>
      </c>
      <c r="Q57" s="12">
        <v>127.8</v>
      </c>
      <c r="R57" s="13">
        <v>122.3</v>
      </c>
      <c r="S57" s="12"/>
      <c r="Z57" s="1"/>
      <c r="AA57" s="1"/>
      <c r="AB57" s="1"/>
      <c r="AC57" s="1"/>
      <c r="AD57" s="1"/>
      <c r="AE57" s="1"/>
    </row>
    <row r="58" spans="3:31" x14ac:dyDescent="0.25">
      <c r="C58" s="9" t="s">
        <v>93</v>
      </c>
      <c r="D58" s="24">
        <f t="shared" ref="D58:P58" si="39">SUM(D49:D57)</f>
        <v>559.79999999999995</v>
      </c>
      <c r="E58" s="24">
        <f t="shared" si="39"/>
        <v>592.1</v>
      </c>
      <c r="F58" s="24">
        <f t="shared" si="39"/>
        <v>686.8</v>
      </c>
      <c r="G58" s="24">
        <f t="shared" si="39"/>
        <v>565.70000000000005</v>
      </c>
      <c r="H58" s="24">
        <f t="shared" si="39"/>
        <v>564.6</v>
      </c>
      <c r="I58" s="24">
        <f t="shared" si="39"/>
        <v>588.40000000000009</v>
      </c>
      <c r="J58" s="24">
        <f t="shared" si="39"/>
        <v>558.70000000000005</v>
      </c>
      <c r="K58" s="24">
        <f>SUM(K49:K57)</f>
        <v>519.20000000000005</v>
      </c>
      <c r="L58" s="24">
        <f t="shared" si="39"/>
        <v>896.5</v>
      </c>
      <c r="M58" s="24">
        <f t="shared" si="39"/>
        <v>903.19999999999993</v>
      </c>
      <c r="N58" s="24">
        <f t="shared" si="39"/>
        <v>827.40000000000009</v>
      </c>
      <c r="O58" s="24">
        <f t="shared" si="39"/>
        <v>831.59999999999991</v>
      </c>
      <c r="P58" s="24">
        <f t="shared" si="39"/>
        <v>836</v>
      </c>
      <c r="Q58" s="24">
        <f>SUM(Q49:Q57)</f>
        <v>899.6</v>
      </c>
      <c r="R58" s="35">
        <f>SUM(R49:R57)</f>
        <v>947</v>
      </c>
      <c r="S58" s="24"/>
    </row>
    <row r="59" spans="3:31" x14ac:dyDescent="0.25">
      <c r="C59" s="1" t="s">
        <v>94</v>
      </c>
      <c r="D59" s="10">
        <f t="shared" ref="D59:P59" si="40">D48+D58</f>
        <v>1271.3</v>
      </c>
      <c r="E59" s="10">
        <f t="shared" si="40"/>
        <v>1304.0999999999999</v>
      </c>
      <c r="F59" s="10">
        <f t="shared" si="40"/>
        <v>1410.6</v>
      </c>
      <c r="G59" s="10">
        <f t="shared" si="40"/>
        <v>1296.7</v>
      </c>
      <c r="H59" s="10">
        <f t="shared" si="40"/>
        <v>1310.4000000000001</v>
      </c>
      <c r="I59" s="10">
        <f t="shared" si="40"/>
        <v>1345.2000000000003</v>
      </c>
      <c r="J59" s="10">
        <f t="shared" si="40"/>
        <v>1316.6</v>
      </c>
      <c r="K59" s="10">
        <f t="shared" si="40"/>
        <v>1267.0999999999999</v>
      </c>
      <c r="L59" s="10">
        <f t="shared" si="40"/>
        <v>1697.8000000000002</v>
      </c>
      <c r="M59" s="10">
        <f t="shared" si="40"/>
        <v>1701.1</v>
      </c>
      <c r="N59" s="10">
        <f t="shared" si="40"/>
        <v>1617.9</v>
      </c>
      <c r="O59" s="10">
        <f t="shared" si="40"/>
        <v>1632.6</v>
      </c>
      <c r="P59" s="10">
        <f t="shared" si="40"/>
        <v>1592.5</v>
      </c>
      <c r="Q59" s="10">
        <f>Q48+Q58</f>
        <v>1652.2</v>
      </c>
      <c r="R59" s="11">
        <f t="shared" ref="R59:S59" si="41">R48+R58</f>
        <v>1691.5</v>
      </c>
      <c r="S59" s="10">
        <f t="shared" si="41"/>
        <v>0</v>
      </c>
      <c r="T59" s="1"/>
    </row>
    <row r="61" spans="3:31" x14ac:dyDescent="0.25">
      <c r="C61" s="1" t="s">
        <v>51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36"/>
      <c r="S61" s="9"/>
      <c r="Z61" s="1"/>
      <c r="AA61" s="1"/>
      <c r="AB61" s="1"/>
      <c r="AC61" s="1"/>
      <c r="AD61" s="1"/>
      <c r="AE61" s="1"/>
    </row>
    <row r="62" spans="3:31" x14ac:dyDescent="0.25">
      <c r="C62" s="2" t="s">
        <v>95</v>
      </c>
      <c r="D62" s="12">
        <f t="shared" ref="D62:S62" si="42">D11</f>
        <v>25.899999999999988</v>
      </c>
      <c r="E62" s="12">
        <f t="shared" si="42"/>
        <v>27.499999999999968</v>
      </c>
      <c r="F62" s="12">
        <f t="shared" si="42"/>
        <v>15.900000000000009</v>
      </c>
      <c r="G62" s="12">
        <f t="shared" si="42"/>
        <v>33.09999999999998</v>
      </c>
      <c r="H62" s="12">
        <f t="shared" si="42"/>
        <v>20.999999999999975</v>
      </c>
      <c r="I62" s="12">
        <f t="shared" si="42"/>
        <v>28.499999999999975</v>
      </c>
      <c r="J62" s="12">
        <f t="shared" si="42"/>
        <v>12.200000000000006</v>
      </c>
      <c r="K62" s="12">
        <f t="shared" si="42"/>
        <v>8.0000000000000053</v>
      </c>
      <c r="L62" s="12">
        <f t="shared" si="42"/>
        <v>10.899999999999954</v>
      </c>
      <c r="M62" s="12">
        <f t="shared" si="42"/>
        <v>9.4999999999999769</v>
      </c>
      <c r="N62" s="12">
        <f t="shared" si="42"/>
        <v>9.3999999999999986</v>
      </c>
      <c r="O62" s="12">
        <f t="shared" si="42"/>
        <v>4.9999999999999893</v>
      </c>
      <c r="P62" s="12">
        <f t="shared" si="42"/>
        <v>-35.100000000000023</v>
      </c>
      <c r="Q62" s="12">
        <f t="shared" si="42"/>
        <v>5.5000000000000222</v>
      </c>
      <c r="R62" s="13">
        <f t="shared" si="42"/>
        <v>2.2000000000000228</v>
      </c>
      <c r="S62" s="12">
        <f t="shared" si="42"/>
        <v>0</v>
      </c>
      <c r="V62" s="12"/>
      <c r="W62" s="12">
        <f t="shared" ref="W62:AE62" si="43">W11</f>
        <v>63.184000000000026</v>
      </c>
      <c r="X62" s="12">
        <f t="shared" si="43"/>
        <v>92.216000000000051</v>
      </c>
      <c r="Y62" s="12">
        <f t="shared" si="43"/>
        <v>105.72699999999986</v>
      </c>
      <c r="Z62" s="12">
        <f t="shared" si="43"/>
        <v>140.44900000000004</v>
      </c>
      <c r="AA62" s="12">
        <f t="shared" si="43"/>
        <v>115.38400000000004</v>
      </c>
      <c r="AB62" s="12">
        <f t="shared" si="43"/>
        <v>118.03059999999992</v>
      </c>
      <c r="AC62" s="12">
        <f t="shared" si="43"/>
        <v>102.52299999999994</v>
      </c>
      <c r="AD62" s="12">
        <f t="shared" si="43"/>
        <v>70.618999999999915</v>
      </c>
      <c r="AE62" s="12">
        <f t="shared" si="43"/>
        <v>34.844999999999928</v>
      </c>
    </row>
    <row r="63" spans="3:31" x14ac:dyDescent="0.25">
      <c r="C63" s="2" t="s">
        <v>96</v>
      </c>
      <c r="D63" s="12">
        <v>26</v>
      </c>
      <c r="E63" s="12">
        <v>28</v>
      </c>
      <c r="F63" s="12">
        <v>16</v>
      </c>
      <c r="G63" s="12">
        <v>33</v>
      </c>
      <c r="H63" s="12">
        <v>22</v>
      </c>
      <c r="I63" s="12">
        <v>28</v>
      </c>
      <c r="J63" s="12">
        <v>12</v>
      </c>
      <c r="K63" s="12">
        <v>8</v>
      </c>
      <c r="L63" s="12">
        <v>11</v>
      </c>
      <c r="M63" s="12">
        <v>9.5</v>
      </c>
      <c r="N63" s="12">
        <v>9.5</v>
      </c>
      <c r="O63" s="12">
        <v>5</v>
      </c>
      <c r="P63" s="12">
        <v>-35</v>
      </c>
      <c r="Q63" s="12">
        <v>5.4</v>
      </c>
      <c r="R63" s="13">
        <v>2</v>
      </c>
      <c r="S63" s="12"/>
      <c r="V63" s="12"/>
      <c r="W63" s="12">
        <v>63.6</v>
      </c>
      <c r="X63" s="12">
        <v>92</v>
      </c>
      <c r="Y63" s="12">
        <v>106</v>
      </c>
      <c r="Z63" s="12">
        <v>140</v>
      </c>
      <c r="AA63" s="12">
        <v>115</v>
      </c>
      <c r="AB63" s="12">
        <v>118</v>
      </c>
      <c r="AC63" s="12">
        <v>103</v>
      </c>
      <c r="AD63" s="12">
        <v>71</v>
      </c>
      <c r="AE63" s="12">
        <v>35</v>
      </c>
    </row>
    <row r="64" spans="3:31" x14ac:dyDescent="0.25">
      <c r="C64" s="2" t="s">
        <v>97</v>
      </c>
      <c r="D64" s="12">
        <v>4.7</v>
      </c>
      <c r="E64" s="12">
        <v>4.3</v>
      </c>
      <c r="F64" s="12">
        <v>4.5</v>
      </c>
      <c r="G64" s="12">
        <v>18.8</v>
      </c>
      <c r="H64" s="12">
        <v>14</v>
      </c>
      <c r="I64" s="12">
        <v>11.1</v>
      </c>
      <c r="J64" s="12">
        <v>8.9</v>
      </c>
      <c r="K64" s="12">
        <v>4.9000000000000004</v>
      </c>
      <c r="L64" s="12">
        <v>5.4</v>
      </c>
      <c r="M64" s="12">
        <v>5</v>
      </c>
      <c r="N64" s="12">
        <v>12.5</v>
      </c>
      <c r="O64" s="12">
        <v>9.6</v>
      </c>
      <c r="P64" s="12">
        <v>20.2</v>
      </c>
      <c r="Q64" s="12">
        <v>0.6</v>
      </c>
      <c r="R64" s="13">
        <v>11.1</v>
      </c>
      <c r="S64" s="12"/>
      <c r="V64" s="12"/>
      <c r="W64" s="12">
        <f>14.277+1.6</f>
        <v>15.876999999999999</v>
      </c>
      <c r="X64" s="12">
        <v>19.5</v>
      </c>
      <c r="Y64" s="12">
        <v>21</v>
      </c>
      <c r="Z64" s="12">
        <f>34.666+2.251</f>
        <v>36.916999999999994</v>
      </c>
      <c r="AA64" s="12">
        <f>37.587+0.972</f>
        <v>38.559000000000005</v>
      </c>
      <c r="AB64" s="12">
        <f>37.594-9.6</f>
        <v>27.994</v>
      </c>
      <c r="AC64" s="12">
        <f>42-9.788</f>
        <v>32.212000000000003</v>
      </c>
      <c r="AD64" s="12">
        <f>44.3-5.3</f>
        <v>39</v>
      </c>
      <c r="AE64" s="12">
        <f>50.22-17.569+3.5</f>
        <v>36.150999999999996</v>
      </c>
    </row>
    <row r="65" spans="3:31" x14ac:dyDescent="0.25">
      <c r="C65" s="2" t="s">
        <v>98</v>
      </c>
      <c r="D65" s="12">
        <v>0.2</v>
      </c>
      <c r="E65" s="12">
        <v>0.2</v>
      </c>
      <c r="F65" s="12">
        <v>0.2</v>
      </c>
      <c r="G65" s="12">
        <v>0.4</v>
      </c>
      <c r="H65" s="12">
        <v>0.9</v>
      </c>
      <c r="I65" s="12">
        <v>0.9</v>
      </c>
      <c r="J65" s="12">
        <v>0.9</v>
      </c>
      <c r="K65" s="12">
        <v>1</v>
      </c>
      <c r="L65" s="12">
        <v>1</v>
      </c>
      <c r="M65" s="12">
        <v>0.8</v>
      </c>
      <c r="N65" s="12">
        <v>0.7</v>
      </c>
      <c r="O65" s="12">
        <v>1.1000000000000001</v>
      </c>
      <c r="P65" s="12">
        <v>0.9</v>
      </c>
      <c r="Q65" s="12">
        <v>1.7</v>
      </c>
      <c r="R65" s="13">
        <v>0.9</v>
      </c>
      <c r="S65" s="12"/>
      <c r="T65" s="1"/>
      <c r="U65" s="1"/>
      <c r="V65" s="12"/>
      <c r="W65" s="12">
        <v>0</v>
      </c>
      <c r="X65" s="2">
        <v>0</v>
      </c>
      <c r="Y65" s="12">
        <v>0.10199999999999999</v>
      </c>
      <c r="Z65" s="12">
        <v>0.82799999999999996</v>
      </c>
      <c r="AA65" s="12">
        <v>0.17199999999999999</v>
      </c>
      <c r="AB65" s="12">
        <v>0.80800000000000005</v>
      </c>
      <c r="AC65" s="12">
        <v>0.95499999999999996</v>
      </c>
      <c r="AD65" s="12">
        <v>3.7</v>
      </c>
      <c r="AE65" s="12">
        <v>-3.5</v>
      </c>
    </row>
    <row r="66" spans="3:31" x14ac:dyDescent="0.25">
      <c r="C66" s="2" t="s">
        <v>99</v>
      </c>
      <c r="D66" s="12">
        <v>-1.5</v>
      </c>
      <c r="E66" s="12">
        <v>-1.9</v>
      </c>
      <c r="F66" s="12">
        <v>-2.2000000000000002</v>
      </c>
      <c r="G66" s="12">
        <v>-1.4</v>
      </c>
      <c r="H66" s="12">
        <v>-3.7</v>
      </c>
      <c r="I66" s="12">
        <v>-2.2999999999999998</v>
      </c>
      <c r="J66" s="12">
        <v>-5.5</v>
      </c>
      <c r="K66" s="12">
        <v>-5</v>
      </c>
      <c r="L66" s="12">
        <v>-5.8</v>
      </c>
      <c r="M66" s="12">
        <v>-7.1</v>
      </c>
      <c r="N66" s="12">
        <v>-7.5</v>
      </c>
      <c r="O66" s="12">
        <v>-8.1999999999999993</v>
      </c>
      <c r="P66" s="12">
        <v>-6.1</v>
      </c>
      <c r="Q66" s="12">
        <v>-5.7</v>
      </c>
      <c r="R66" s="13">
        <v>-8</v>
      </c>
      <c r="S66" s="12"/>
      <c r="T66" s="1"/>
      <c r="U66" s="1"/>
      <c r="V66" s="12"/>
      <c r="W66" s="12">
        <v>-6.9610000000000003</v>
      </c>
      <c r="X66" s="12">
        <v>-7.2</v>
      </c>
      <c r="Y66" s="12">
        <v>-6.2229999999999999</v>
      </c>
      <c r="Z66" s="12">
        <v>-8.5</v>
      </c>
      <c r="AA66" s="12">
        <v>-9.8000000000000007</v>
      </c>
      <c r="AB66" s="12">
        <v>-6.4</v>
      </c>
      <c r="AC66" s="12">
        <v>-7</v>
      </c>
      <c r="AD66" s="12">
        <v>-16.5</v>
      </c>
      <c r="AE66" s="12">
        <v>-28.661999999999999</v>
      </c>
    </row>
    <row r="67" spans="3:31" x14ac:dyDescent="0.25">
      <c r="C67" s="2" t="s">
        <v>100</v>
      </c>
      <c r="D67" s="12">
        <v>-23.8</v>
      </c>
      <c r="E67" s="12">
        <v>-11.7</v>
      </c>
      <c r="F67" s="12">
        <v>-13.9</v>
      </c>
      <c r="G67" s="12">
        <v>8.5</v>
      </c>
      <c r="H67" s="12">
        <v>-19</v>
      </c>
      <c r="I67" s="12">
        <v>-6.1</v>
      </c>
      <c r="J67" s="12">
        <v>-7.4</v>
      </c>
      <c r="K67" s="12">
        <v>26.6</v>
      </c>
      <c r="L67" s="12">
        <v>-4.3</v>
      </c>
      <c r="M67" s="12">
        <v>-4.3</v>
      </c>
      <c r="N67" s="12">
        <v>-5.7</v>
      </c>
      <c r="O67" s="12">
        <v>8.1999999999999993</v>
      </c>
      <c r="P67" s="12">
        <v>-5.4</v>
      </c>
      <c r="Q67" s="12">
        <v>-5.8</v>
      </c>
      <c r="R67" s="13">
        <v>-3.8</v>
      </c>
      <c r="S67" s="12"/>
      <c r="T67" s="1"/>
      <c r="U67" s="1"/>
      <c r="V67" s="12"/>
      <c r="W67" s="12">
        <v>-3</v>
      </c>
      <c r="X67" s="12">
        <v>-6.2</v>
      </c>
      <c r="Y67" s="12">
        <v>-9.6</v>
      </c>
      <c r="Z67" s="12">
        <v>-34.460999999999999</v>
      </c>
      <c r="AA67" s="12">
        <v>-35.700000000000003</v>
      </c>
      <c r="AB67" s="12">
        <v>-34</v>
      </c>
      <c r="AC67" s="12">
        <v>-41</v>
      </c>
      <c r="AD67" s="12">
        <v>-5.7</v>
      </c>
      <c r="AE67" s="12">
        <v>-6</v>
      </c>
    </row>
    <row r="68" spans="3:31" x14ac:dyDescent="0.25">
      <c r="C68" s="2" t="s">
        <v>101</v>
      </c>
      <c r="D68" s="12">
        <f>-2.5-55.1+10.4</f>
        <v>-47.2</v>
      </c>
      <c r="E68" s="12">
        <f>-7.1-28+31.5</f>
        <v>-3.6000000000000014</v>
      </c>
      <c r="F68" s="12">
        <f>2.4+28.7+47.7</f>
        <v>78.8</v>
      </c>
      <c r="G68" s="12">
        <f>2.6+57.2-22.6</f>
        <v>37.200000000000003</v>
      </c>
      <c r="H68" s="12">
        <f>-3.1+17-62.8</f>
        <v>-48.9</v>
      </c>
      <c r="I68" s="12">
        <f>2.4-19.5-29.5</f>
        <v>-46.6</v>
      </c>
      <c r="J68" s="12">
        <f>0.8+10-14</f>
        <v>-3.1999999999999993</v>
      </c>
      <c r="K68" s="12">
        <f>7.2-3.2-22</f>
        <v>-18</v>
      </c>
      <c r="L68" s="12">
        <f>-4.7-17.7+28.4</f>
        <v>6</v>
      </c>
      <c r="M68" s="12">
        <f>2.7+14+17.9</f>
        <v>34.599999999999994</v>
      </c>
      <c r="N68" s="12">
        <f>22.2-51.5</f>
        <v>-29.3</v>
      </c>
      <c r="O68" s="12">
        <f>6.2+53.1-21.5</f>
        <v>37.800000000000004</v>
      </c>
      <c r="P68" s="12">
        <f>3.2-47.4+24.4</f>
        <v>-19.799999999999997</v>
      </c>
      <c r="Q68" s="12">
        <f>3.8-34.6-14.4</f>
        <v>-45.2</v>
      </c>
      <c r="R68" s="13">
        <f>-4.2-14.1+6.7</f>
        <v>-11.600000000000001</v>
      </c>
      <c r="S68" s="12"/>
      <c r="T68" s="1"/>
      <c r="U68" s="1"/>
      <c r="V68" s="12"/>
      <c r="W68" s="12">
        <f>-2.87-35.215+29.791</f>
        <v>-8.2940000000000005</v>
      </c>
      <c r="X68" s="12">
        <f>-4.4-32.149+93.288</f>
        <v>56.738999999999997</v>
      </c>
      <c r="Y68" s="12">
        <f>1.2-4.3-79.7</f>
        <v>-82.8</v>
      </c>
      <c r="Z68" s="12">
        <f>0.423-9-29.353</f>
        <v>-37.93</v>
      </c>
      <c r="AA68" s="12">
        <f>0.371-43.249+46.032</f>
        <v>3.1539999999999964</v>
      </c>
      <c r="AB68" s="12">
        <f>-18+51.414-77.1</f>
        <v>-43.685999999999993</v>
      </c>
      <c r="AC68" s="12">
        <f>-4.6+2.87+67</f>
        <v>65.27</v>
      </c>
      <c r="AD68" s="12">
        <f>7.3+4.2-128.505</f>
        <v>-117.005</v>
      </c>
      <c r="AE68" s="12">
        <f>4.2+71.611-26.716</f>
        <v>49.095000000000006</v>
      </c>
    </row>
    <row r="69" spans="3:31" x14ac:dyDescent="0.25">
      <c r="C69" s="1" t="s">
        <v>102</v>
      </c>
      <c r="D69" s="10">
        <f t="shared" ref="D69:P69" si="44">SUM(D63:D68)</f>
        <v>-41.600000000000009</v>
      </c>
      <c r="E69" s="10">
        <f t="shared" si="44"/>
        <v>15.3</v>
      </c>
      <c r="F69" s="10">
        <f t="shared" si="44"/>
        <v>83.399999999999991</v>
      </c>
      <c r="G69" s="10">
        <f t="shared" si="44"/>
        <v>96.5</v>
      </c>
      <c r="H69" s="10">
        <f t="shared" si="44"/>
        <v>-34.700000000000003</v>
      </c>
      <c r="I69" s="10">
        <f t="shared" si="44"/>
        <v>-15</v>
      </c>
      <c r="J69" s="10">
        <f t="shared" si="44"/>
        <v>5.6999999999999975</v>
      </c>
      <c r="K69" s="10">
        <f t="shared" si="44"/>
        <v>17.5</v>
      </c>
      <c r="L69" s="10">
        <f t="shared" si="44"/>
        <v>13.299999999999997</v>
      </c>
      <c r="M69" s="10">
        <f t="shared" si="44"/>
        <v>38.499999999999993</v>
      </c>
      <c r="N69" s="10">
        <f t="shared" si="44"/>
        <v>-19.8</v>
      </c>
      <c r="O69" s="10">
        <f t="shared" si="44"/>
        <v>53.5</v>
      </c>
      <c r="P69" s="10">
        <f t="shared" si="44"/>
        <v>-45.199999999999996</v>
      </c>
      <c r="Q69" s="10">
        <f>SUM(Q63:Q68)</f>
        <v>-49</v>
      </c>
      <c r="R69" s="11">
        <f t="shared" ref="R69:S69" si="45">SUM(R63:R68)</f>
        <v>-9.4000000000000021</v>
      </c>
      <c r="S69" s="10">
        <f t="shared" si="45"/>
        <v>0</v>
      </c>
      <c r="T69" s="1"/>
      <c r="U69" s="1"/>
      <c r="V69" s="10"/>
      <c r="W69" s="10">
        <f t="shared" ref="W69" si="46">SUM(W63:W68)</f>
        <v>61.222000000000008</v>
      </c>
      <c r="X69" s="10">
        <f t="shared" ref="X69" si="47">SUM(X63:X68)</f>
        <v>154.839</v>
      </c>
      <c r="Y69" s="10">
        <f t="shared" ref="Y69" si="48">SUM(Y63:Y68)</f>
        <v>28.479000000000013</v>
      </c>
      <c r="Z69" s="10">
        <f t="shared" ref="Z69" si="49">SUM(Z63:Z68)</f>
        <v>96.853999999999985</v>
      </c>
      <c r="AA69" s="10">
        <f t="shared" ref="AA69" si="50">SUM(AA63:AA68)</f>
        <v>111.38499999999998</v>
      </c>
      <c r="AB69" s="10">
        <f t="shared" ref="AB69" si="51">SUM(AB63:AB68)</f>
        <v>62.715999999999994</v>
      </c>
      <c r="AC69" s="10">
        <f t="shared" ref="AC69" si="52">SUM(AC63:AC68)</f>
        <v>153.43700000000001</v>
      </c>
      <c r="AD69" s="10">
        <f t="shared" ref="AD69" si="53">SUM(AD63:AD68)</f>
        <v>-25.504999999999995</v>
      </c>
      <c r="AE69" s="10">
        <f>SUM(AE63:AE68)</f>
        <v>82.084000000000003</v>
      </c>
    </row>
    <row r="70" spans="3:31" x14ac:dyDescent="0.25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1"/>
      <c r="S70" s="10"/>
      <c r="T70" s="1"/>
      <c r="U70" s="1"/>
      <c r="V70" s="10"/>
      <c r="W70" s="10"/>
      <c r="X70" s="10"/>
      <c r="Y70" s="10"/>
      <c r="Z70" s="10"/>
      <c r="AA70" s="10"/>
      <c r="AB70" s="12"/>
      <c r="AC70" s="12"/>
      <c r="AD70" s="12"/>
      <c r="AE70" s="12"/>
    </row>
    <row r="71" spans="3:31" x14ac:dyDescent="0.25">
      <c r="C71" s="2" t="s">
        <v>103</v>
      </c>
      <c r="D71" s="12">
        <v>-3.2</v>
      </c>
      <c r="E71" s="12">
        <v>-6.5</v>
      </c>
      <c r="F71" s="12">
        <v>-3.4</v>
      </c>
      <c r="G71" s="12">
        <f>-7-4-28.5</f>
        <v>-39.5</v>
      </c>
      <c r="H71" s="12">
        <f>-2.2-2.1-39.5</f>
        <v>-43.8</v>
      </c>
      <c r="I71" s="12">
        <v>-4</v>
      </c>
      <c r="J71" s="12">
        <v>-2</v>
      </c>
      <c r="K71" s="12">
        <v>-3</v>
      </c>
      <c r="L71" s="12">
        <f>-0.9-1.4-79.7</f>
        <v>-82</v>
      </c>
      <c r="M71" s="12">
        <f>-0.1-1-1.4</f>
        <v>-2.5</v>
      </c>
      <c r="N71" s="12">
        <v>-2</v>
      </c>
      <c r="O71" s="12">
        <v>-8</v>
      </c>
      <c r="P71" s="12">
        <f>-3.8-1.3</f>
        <v>-5.0999999999999996</v>
      </c>
      <c r="Q71" s="12">
        <f>-7-3.1-20.4</f>
        <v>-30.5</v>
      </c>
      <c r="R71" s="13">
        <v>-0.5</v>
      </c>
      <c r="S71" s="12"/>
      <c r="T71" s="1"/>
      <c r="U71" s="1"/>
      <c r="V71" s="12"/>
      <c r="W71" s="12">
        <f>-24.1-0.968+1.2</f>
        <v>-23.868000000000002</v>
      </c>
      <c r="X71" s="12">
        <f>-54.8-0.224-0.48</f>
        <v>-55.503999999999991</v>
      </c>
      <c r="Y71" s="12">
        <f>-24-1.88+3-70.581</f>
        <v>-93.460999999999999</v>
      </c>
      <c r="Z71" s="12">
        <f>-8.7-2+0.542</f>
        <v>-10.157999999999999</v>
      </c>
      <c r="AA71" s="12">
        <f>-13.715-1</f>
        <v>-14.715</v>
      </c>
      <c r="AB71" s="12">
        <f>-13.571-3.25-85.92</f>
        <v>-102.741</v>
      </c>
      <c r="AC71" s="12">
        <f>-16.9-7.2-28.454</f>
        <v>-52.554000000000002</v>
      </c>
      <c r="AD71" s="12">
        <f>-7.7-5.6-39.513</f>
        <v>-52.813000000000002</v>
      </c>
      <c r="AE71" s="12">
        <f>-6.8-6.277-80.8</f>
        <v>-93.876999999999995</v>
      </c>
    </row>
    <row r="72" spans="3:31" x14ac:dyDescent="0.25">
      <c r="C72" s="2" t="s">
        <v>104</v>
      </c>
      <c r="D72" s="12">
        <v>0.6</v>
      </c>
      <c r="E72" s="12">
        <v>-0.3</v>
      </c>
      <c r="F72" s="12">
        <v>-2.1</v>
      </c>
      <c r="G72" s="12">
        <v>0.5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-0.4</v>
      </c>
      <c r="N72" s="12">
        <v>-0.4</v>
      </c>
      <c r="O72" s="12">
        <v>-1</v>
      </c>
      <c r="P72" s="12">
        <v>-11.7</v>
      </c>
      <c r="Q72" s="12">
        <v>0.1</v>
      </c>
      <c r="R72" s="13">
        <v>0</v>
      </c>
      <c r="S72" s="12"/>
      <c r="V72" s="12"/>
      <c r="W72" s="12">
        <v>-0.25700000000000001</v>
      </c>
      <c r="X72" s="12">
        <v>0.41699999999999998</v>
      </c>
      <c r="Y72" s="12">
        <v>0</v>
      </c>
      <c r="Z72" s="12">
        <v>-0.59099999999999997</v>
      </c>
      <c r="AA72" s="12">
        <v>0.54400000000000004</v>
      </c>
      <c r="AB72" s="12">
        <v>0</v>
      </c>
      <c r="AC72" s="12">
        <v>0</v>
      </c>
      <c r="AD72" s="12">
        <v>0</v>
      </c>
      <c r="AE72" s="12">
        <v>-1.7</v>
      </c>
    </row>
    <row r="73" spans="3:31" x14ac:dyDescent="0.25">
      <c r="C73" s="1" t="s">
        <v>105</v>
      </c>
      <c r="D73" s="10">
        <f t="shared" ref="D73:P73" si="54">SUM(D71:D72)</f>
        <v>-2.6</v>
      </c>
      <c r="E73" s="10">
        <f t="shared" si="54"/>
        <v>-6.8</v>
      </c>
      <c r="F73" s="10">
        <f t="shared" si="54"/>
        <v>-5.5</v>
      </c>
      <c r="G73" s="10">
        <f t="shared" si="54"/>
        <v>-39</v>
      </c>
      <c r="H73" s="10">
        <f t="shared" si="54"/>
        <v>-43.8</v>
      </c>
      <c r="I73" s="10">
        <f t="shared" si="54"/>
        <v>-4</v>
      </c>
      <c r="J73" s="10">
        <f t="shared" si="54"/>
        <v>-2</v>
      </c>
      <c r="K73" s="10">
        <f t="shared" si="54"/>
        <v>-3</v>
      </c>
      <c r="L73" s="10">
        <f t="shared" si="54"/>
        <v>-82</v>
      </c>
      <c r="M73" s="10">
        <f t="shared" si="54"/>
        <v>-2.9</v>
      </c>
      <c r="N73" s="10">
        <f t="shared" si="54"/>
        <v>-2.4</v>
      </c>
      <c r="O73" s="10">
        <f t="shared" si="54"/>
        <v>-9</v>
      </c>
      <c r="P73" s="10">
        <f t="shared" si="54"/>
        <v>-16.799999999999997</v>
      </c>
      <c r="Q73" s="10">
        <f>SUM(Q71:Q72)</f>
        <v>-30.4</v>
      </c>
      <c r="R73" s="11">
        <f t="shared" ref="R73:S73" si="55">SUM(R71:R72)</f>
        <v>-0.5</v>
      </c>
      <c r="S73" s="10">
        <f t="shared" si="55"/>
        <v>0</v>
      </c>
      <c r="T73" s="1"/>
      <c r="U73" s="1"/>
      <c r="V73" s="10"/>
      <c r="W73" s="10">
        <f t="shared" ref="W73" si="56">SUM(W71:W72)</f>
        <v>-24.125000000000004</v>
      </c>
      <c r="X73" s="10">
        <f t="shared" ref="X73" si="57">SUM(X71:X72)</f>
        <v>-55.086999999999989</v>
      </c>
      <c r="Y73" s="10">
        <f t="shared" ref="Y73" si="58">SUM(Y71:Y72)</f>
        <v>-93.460999999999999</v>
      </c>
      <c r="Z73" s="10">
        <f t="shared" ref="Z73" si="59">SUM(Z71:Z72)</f>
        <v>-10.748999999999999</v>
      </c>
      <c r="AA73" s="10">
        <f t="shared" ref="AA73" si="60">SUM(AA71:AA72)</f>
        <v>-14.170999999999999</v>
      </c>
      <c r="AB73" s="10">
        <f t="shared" ref="AB73" si="61">SUM(AB71:AB72)</f>
        <v>-102.741</v>
      </c>
      <c r="AC73" s="10">
        <f t="shared" ref="AC73" si="62">SUM(AC71:AC72)</f>
        <v>-52.554000000000002</v>
      </c>
      <c r="AD73" s="10">
        <f t="shared" ref="AD73" si="63">SUM(AD71:AD72)</f>
        <v>-52.813000000000002</v>
      </c>
      <c r="AE73" s="10">
        <f t="shared" ref="AE73" si="64">SUM(AE71:AE72)</f>
        <v>-95.576999999999998</v>
      </c>
    </row>
    <row r="74" spans="3:31" x14ac:dyDescent="0.25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3"/>
      <c r="S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pans="3:31" x14ac:dyDescent="0.25">
      <c r="C75" s="2" t="s">
        <v>106</v>
      </c>
      <c r="D75" s="12">
        <v>-50.1</v>
      </c>
      <c r="E75" s="12">
        <v>-0.1</v>
      </c>
      <c r="F75" s="12">
        <v>49.9</v>
      </c>
      <c r="G75" s="12">
        <v>-99.4</v>
      </c>
      <c r="H75" s="12">
        <v>49.5</v>
      </c>
      <c r="I75" s="12">
        <v>50</v>
      </c>
      <c r="J75" s="12">
        <v>-5</v>
      </c>
      <c r="K75" s="12">
        <v>-8.6</v>
      </c>
      <c r="L75" s="12">
        <v>123.5</v>
      </c>
      <c r="M75" s="12">
        <v>-1</v>
      </c>
      <c r="N75" s="12">
        <v>-14.2</v>
      </c>
      <c r="O75" s="12">
        <v>24.6</v>
      </c>
      <c r="P75" s="12">
        <v>-13.4</v>
      </c>
      <c r="Q75" s="12">
        <v>75.3</v>
      </c>
      <c r="R75" s="13">
        <v>50.5</v>
      </c>
      <c r="S75" s="12"/>
      <c r="V75" s="12"/>
      <c r="W75" s="12">
        <f>-23.984-9.9</f>
        <v>-33.884</v>
      </c>
      <c r="X75" s="12">
        <f>143.606-50.889-41.428</f>
        <v>51.288999999999987</v>
      </c>
      <c r="Y75" s="12">
        <v>80</v>
      </c>
      <c r="Z75" s="12">
        <f>0.873+0.64</f>
        <v>1.5129999999999999</v>
      </c>
      <c r="AA75" s="12">
        <v>-12.814</v>
      </c>
      <c r="AB75" s="12">
        <f>148.344-206.129-1.6</f>
        <v>-59.384999999999998</v>
      </c>
      <c r="AC75" s="12">
        <v>-99.674999999999997</v>
      </c>
      <c r="AD75" s="12">
        <f>100-14.171</f>
        <v>85.829000000000008</v>
      </c>
      <c r="AE75" s="12">
        <v>132.84899999999999</v>
      </c>
    </row>
    <row r="76" spans="3:31" x14ac:dyDescent="0.25">
      <c r="C76" s="2" t="s">
        <v>107</v>
      </c>
      <c r="D76" s="12">
        <v>-2.1</v>
      </c>
      <c r="E76" s="12">
        <v>0.5</v>
      </c>
      <c r="F76" s="12">
        <v>0.3</v>
      </c>
      <c r="G76" s="12">
        <v>-24.2</v>
      </c>
      <c r="H76" s="12">
        <v>-6.3</v>
      </c>
      <c r="I76" s="12">
        <v>-5.4</v>
      </c>
      <c r="J76" s="12">
        <v>-4</v>
      </c>
      <c r="K76" s="12">
        <v>-7.6</v>
      </c>
      <c r="L76" s="12">
        <v>-5.0999999999999996</v>
      </c>
      <c r="M76" s="12">
        <v>-5.2</v>
      </c>
      <c r="N76" s="12">
        <v>-4.9000000000000004</v>
      </c>
      <c r="O76" s="12">
        <v>-4.3</v>
      </c>
      <c r="P76" s="12">
        <v>-5.8</v>
      </c>
      <c r="Q76" s="12">
        <v>-4.5999999999999996</v>
      </c>
      <c r="R76" s="13">
        <v>-5.9</v>
      </c>
      <c r="S76" s="12"/>
      <c r="V76" s="12"/>
      <c r="W76" s="12">
        <v>-10.199999999999999</v>
      </c>
      <c r="X76" s="12">
        <v>-8.1999999999999993</v>
      </c>
      <c r="Y76" s="12">
        <v>-12.493</v>
      </c>
      <c r="Z76" s="12">
        <v>-23.132999999999999</v>
      </c>
      <c r="AA76" s="12">
        <v>0</v>
      </c>
      <c r="AB76" s="12">
        <v>0</v>
      </c>
      <c r="AC76" s="12">
        <v>-25.4</v>
      </c>
      <c r="AD76" s="12">
        <v>-23.358000000000001</v>
      </c>
      <c r="AE76" s="12">
        <v>-19.484000000000002</v>
      </c>
    </row>
    <row r="77" spans="3:31" x14ac:dyDescent="0.25">
      <c r="C77" s="2" t="s">
        <v>108</v>
      </c>
      <c r="D77" s="12">
        <v>0</v>
      </c>
      <c r="E77" s="12">
        <v>0</v>
      </c>
      <c r="F77" s="12">
        <v>1.2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0.9</v>
      </c>
      <c r="O77" s="12">
        <v>0</v>
      </c>
      <c r="P77" s="12">
        <v>0</v>
      </c>
      <c r="Q77" s="12">
        <v>0</v>
      </c>
      <c r="R77" s="13">
        <v>0</v>
      </c>
      <c r="S77" s="12"/>
      <c r="V77" s="12"/>
      <c r="W77" s="12">
        <v>0</v>
      </c>
      <c r="X77" s="12">
        <f>3-45.938</f>
        <v>-42.938000000000002</v>
      </c>
      <c r="Y77" s="12">
        <v>0</v>
      </c>
      <c r="Z77" s="12">
        <f>11.363+1.167</f>
        <v>12.53</v>
      </c>
      <c r="AA77" s="12">
        <f>10+1.7</f>
        <v>11.7</v>
      </c>
      <c r="AB77" s="12">
        <v>1.9</v>
      </c>
      <c r="AC77" s="12">
        <v>1.2</v>
      </c>
      <c r="AD77" s="12">
        <v>1.2E-2</v>
      </c>
      <c r="AE77" s="12">
        <v>1</v>
      </c>
    </row>
    <row r="78" spans="3:31" x14ac:dyDescent="0.25">
      <c r="C78" s="2" t="s">
        <v>109</v>
      </c>
      <c r="D78" s="12">
        <v>0</v>
      </c>
      <c r="E78" s="12">
        <v>-21.9</v>
      </c>
      <c r="F78" s="12">
        <v>0</v>
      </c>
      <c r="G78" s="12">
        <v>-21.9</v>
      </c>
      <c r="H78" s="12">
        <v>0</v>
      </c>
      <c r="I78" s="12">
        <v>-16.399999999999999</v>
      </c>
      <c r="J78" s="12">
        <v>0</v>
      </c>
      <c r="K78" s="12">
        <v>-16.399999999999999</v>
      </c>
      <c r="L78" s="12">
        <v>0</v>
      </c>
      <c r="M78" s="12">
        <v>0</v>
      </c>
      <c r="N78" s="12">
        <v>-1.2</v>
      </c>
      <c r="O78" s="12">
        <v>0</v>
      </c>
      <c r="P78" s="12">
        <v>0</v>
      </c>
      <c r="Q78" s="12">
        <v>0</v>
      </c>
      <c r="R78" s="13">
        <v>0.4</v>
      </c>
      <c r="S78" s="12"/>
      <c r="V78" s="12"/>
      <c r="W78" s="12">
        <v>0</v>
      </c>
      <c r="X78" s="12">
        <v>-15.635</v>
      </c>
      <c r="Y78" s="12">
        <v>-21.428999999999998</v>
      </c>
      <c r="Z78" s="12">
        <v>-42.857999999999997</v>
      </c>
      <c r="AA78" s="12">
        <v>0</v>
      </c>
      <c r="AB78" s="12">
        <v>0</v>
      </c>
      <c r="AC78" s="12">
        <v>-43.819000000000003</v>
      </c>
      <c r="AD78" s="12">
        <v>-32.863999999999997</v>
      </c>
      <c r="AE78" s="12">
        <v>-1.2</v>
      </c>
    </row>
    <row r="79" spans="3:31" x14ac:dyDescent="0.25">
      <c r="C79" s="1" t="s">
        <v>110</v>
      </c>
      <c r="D79" s="10">
        <f t="shared" ref="D79:P79" si="65">SUM(D75:D78)</f>
        <v>-52.2</v>
      </c>
      <c r="E79" s="10">
        <f t="shared" si="65"/>
        <v>-21.5</v>
      </c>
      <c r="F79" s="10">
        <f t="shared" si="65"/>
        <v>51.4</v>
      </c>
      <c r="G79" s="10">
        <f t="shared" si="65"/>
        <v>-145.5</v>
      </c>
      <c r="H79" s="10">
        <f t="shared" si="65"/>
        <v>43.2</v>
      </c>
      <c r="I79" s="10">
        <f t="shared" si="65"/>
        <v>28.200000000000003</v>
      </c>
      <c r="J79" s="10">
        <f t="shared" si="65"/>
        <v>-9</v>
      </c>
      <c r="K79" s="10">
        <f t="shared" si="65"/>
        <v>-32.599999999999994</v>
      </c>
      <c r="L79" s="10">
        <f t="shared" si="65"/>
        <v>118.4</v>
      </c>
      <c r="M79" s="10">
        <f t="shared" si="65"/>
        <v>-6.2</v>
      </c>
      <c r="N79" s="10">
        <f t="shared" si="65"/>
        <v>-19.400000000000002</v>
      </c>
      <c r="O79" s="10">
        <f t="shared" si="65"/>
        <v>20.3</v>
      </c>
      <c r="P79" s="10">
        <f t="shared" si="65"/>
        <v>-19.2</v>
      </c>
      <c r="Q79" s="10">
        <f>SUM(Q75:Q78)</f>
        <v>70.7</v>
      </c>
      <c r="R79" s="11">
        <f t="shared" ref="R79:S79" si="66">SUM(R75:R78)</f>
        <v>45</v>
      </c>
      <c r="S79" s="10">
        <f t="shared" si="66"/>
        <v>0</v>
      </c>
      <c r="V79" s="10"/>
      <c r="W79" s="10">
        <f t="shared" ref="W79" si="67">SUM(W75:W78)</f>
        <v>-44.084000000000003</v>
      </c>
      <c r="X79" s="10">
        <f>SUM(X75:X78)</f>
        <v>-15.484000000000018</v>
      </c>
      <c r="Y79" s="10">
        <f t="shared" ref="Y79" si="68">SUM(Y75:Y78)</f>
        <v>46.078000000000003</v>
      </c>
      <c r="Z79" s="10">
        <f t="shared" ref="Z79" si="69">SUM(Z75:Z78)</f>
        <v>-51.947999999999993</v>
      </c>
      <c r="AA79" s="10">
        <f t="shared" ref="AA79" si="70">SUM(AA75:AA78)</f>
        <v>-1.1140000000000008</v>
      </c>
      <c r="AB79" s="10">
        <f t="shared" ref="AB79" si="71">SUM(AB75:AB78)</f>
        <v>-57.484999999999999</v>
      </c>
      <c r="AC79" s="10">
        <f t="shared" ref="AC79" si="72">SUM(AC75:AC78)</f>
        <v>-167.69399999999999</v>
      </c>
      <c r="AD79" s="10">
        <f t="shared" ref="AD79" si="73">SUM(AD75:AD78)</f>
        <v>29.619000000000007</v>
      </c>
      <c r="AE79" s="10">
        <f t="shared" ref="AE79" si="74">SUM(AE75:AE78)</f>
        <v>113.16499999999998</v>
      </c>
    </row>
    <row r="80" spans="3:31" x14ac:dyDescent="0.25">
      <c r="C80" s="1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1"/>
      <c r="S80" s="10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3:31" x14ac:dyDescent="0.25">
      <c r="C81" s="2" t="s">
        <v>111</v>
      </c>
      <c r="D81" s="12">
        <v>0.1</v>
      </c>
      <c r="E81" s="12">
        <v>0.7</v>
      </c>
      <c r="F81" s="12">
        <v>0.8</v>
      </c>
      <c r="G81" s="12">
        <v>0.1</v>
      </c>
      <c r="H81" s="12">
        <v>0.2</v>
      </c>
      <c r="I81" s="12">
        <v>1.5</v>
      </c>
      <c r="J81" s="12">
        <v>-0.9</v>
      </c>
      <c r="K81" s="12">
        <v>0</v>
      </c>
      <c r="L81" s="12">
        <v>-3.3</v>
      </c>
      <c r="M81" s="12">
        <v>0</v>
      </c>
      <c r="N81" s="12">
        <v>-0.7</v>
      </c>
      <c r="O81" s="12">
        <v>-1.3</v>
      </c>
      <c r="P81" s="12">
        <v>1.4</v>
      </c>
      <c r="Q81" s="12">
        <v>-0.9</v>
      </c>
      <c r="R81" s="13">
        <v>-0.2</v>
      </c>
      <c r="S81" s="12"/>
      <c r="V81" s="12"/>
      <c r="W81" s="12">
        <v>0</v>
      </c>
      <c r="X81" s="12">
        <v>0</v>
      </c>
      <c r="Y81" s="12">
        <v>0.08</v>
      </c>
      <c r="Z81" s="12">
        <v>-0.153</v>
      </c>
      <c r="AA81" s="12">
        <v>-1.377</v>
      </c>
      <c r="AB81" s="12">
        <v>0.45400000000000001</v>
      </c>
      <c r="AC81" s="12">
        <v>1.6</v>
      </c>
      <c r="AD81" s="12">
        <v>0.35</v>
      </c>
      <c r="AE81" s="12">
        <v>-2.4</v>
      </c>
    </row>
    <row r="82" spans="3:31" x14ac:dyDescent="0.25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3"/>
      <c r="S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3:31" x14ac:dyDescent="0.25">
      <c r="C83" s="2" t="s">
        <v>112</v>
      </c>
      <c r="D83" s="12">
        <f t="shared" ref="D83:P83" si="75">D69+D73+D79+D81</f>
        <v>-96.300000000000011</v>
      </c>
      <c r="E83" s="12">
        <f t="shared" si="75"/>
        <v>-12.3</v>
      </c>
      <c r="F83" s="12">
        <f t="shared" si="75"/>
        <v>130.1</v>
      </c>
      <c r="G83" s="12">
        <f t="shared" si="75"/>
        <v>-87.9</v>
      </c>
      <c r="H83" s="12">
        <f t="shared" si="75"/>
        <v>-35.099999999999994</v>
      </c>
      <c r="I83" s="12">
        <f t="shared" si="75"/>
        <v>10.700000000000003</v>
      </c>
      <c r="J83" s="12">
        <f t="shared" si="75"/>
        <v>-6.2000000000000028</v>
      </c>
      <c r="K83" s="12">
        <f t="shared" si="75"/>
        <v>-18.099999999999994</v>
      </c>
      <c r="L83" s="12">
        <f t="shared" si="75"/>
        <v>46.400000000000006</v>
      </c>
      <c r="M83" s="12">
        <f t="shared" si="75"/>
        <v>29.399999999999995</v>
      </c>
      <c r="N83" s="12">
        <f t="shared" si="75"/>
        <v>-42.300000000000004</v>
      </c>
      <c r="O83" s="12">
        <f t="shared" si="75"/>
        <v>63.5</v>
      </c>
      <c r="P83" s="12">
        <f t="shared" si="75"/>
        <v>-79.799999999999983</v>
      </c>
      <c r="Q83" s="12">
        <f>Q69+Q73+Q79+Q81</f>
        <v>-9.6000000000000032</v>
      </c>
      <c r="R83" s="13">
        <f t="shared" ref="R83:S83" si="76">R69+R73+R79+R81</f>
        <v>34.899999999999991</v>
      </c>
      <c r="S83" s="12">
        <f t="shared" si="76"/>
        <v>0</v>
      </c>
      <c r="V83" s="12"/>
      <c r="W83" s="12">
        <f t="shared" ref="W83:AE83" si="77">W69+W73+W79+W81</f>
        <v>-6.9869999999999948</v>
      </c>
      <c r="X83" s="12">
        <f t="shared" si="77"/>
        <v>84.267999999999986</v>
      </c>
      <c r="Y83" s="12">
        <f t="shared" si="77"/>
        <v>-18.823999999999984</v>
      </c>
      <c r="Z83" s="12">
        <f t="shared" si="77"/>
        <v>34.003999999999998</v>
      </c>
      <c r="AA83" s="12">
        <f t="shared" si="77"/>
        <v>94.722999999999971</v>
      </c>
      <c r="AB83" s="12">
        <f t="shared" si="77"/>
        <v>-97.056000000000012</v>
      </c>
      <c r="AC83" s="12">
        <f t="shared" si="77"/>
        <v>-65.210999999999984</v>
      </c>
      <c r="AD83" s="12">
        <f t="shared" si="77"/>
        <v>-48.34899999999999</v>
      </c>
      <c r="AE83" s="12">
        <f t="shared" si="77"/>
        <v>97.271999999999977</v>
      </c>
    </row>
    <row r="84" spans="3:31" x14ac:dyDescent="0.25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3"/>
      <c r="S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pans="3:31" x14ac:dyDescent="0.25">
      <c r="C85" s="2" t="s">
        <v>113</v>
      </c>
      <c r="D85" s="12">
        <f t="shared" ref="D85:P85" si="78">D69+D71</f>
        <v>-44.800000000000011</v>
      </c>
      <c r="E85" s="12">
        <f t="shared" si="78"/>
        <v>8.8000000000000007</v>
      </c>
      <c r="F85" s="12">
        <f t="shared" si="78"/>
        <v>79.999999999999986</v>
      </c>
      <c r="G85" s="12">
        <f t="shared" si="78"/>
        <v>57</v>
      </c>
      <c r="H85" s="12">
        <f t="shared" si="78"/>
        <v>-78.5</v>
      </c>
      <c r="I85" s="12">
        <f t="shared" si="78"/>
        <v>-19</v>
      </c>
      <c r="J85" s="12">
        <f t="shared" si="78"/>
        <v>3.6999999999999975</v>
      </c>
      <c r="K85" s="12">
        <f t="shared" si="78"/>
        <v>14.5</v>
      </c>
      <c r="L85" s="12">
        <f t="shared" si="78"/>
        <v>-68.7</v>
      </c>
      <c r="M85" s="12">
        <f t="shared" si="78"/>
        <v>35.999999999999993</v>
      </c>
      <c r="N85" s="12">
        <f t="shared" si="78"/>
        <v>-21.8</v>
      </c>
      <c r="O85" s="12">
        <f t="shared" si="78"/>
        <v>45.5</v>
      </c>
      <c r="P85" s="12">
        <f t="shared" si="78"/>
        <v>-50.3</v>
      </c>
      <c r="Q85" s="12">
        <f>Q69+Q71</f>
        <v>-79.5</v>
      </c>
      <c r="R85" s="13">
        <f t="shared" ref="R85:S85" si="79">R69+R71</f>
        <v>-9.9000000000000021</v>
      </c>
      <c r="S85" s="12">
        <f t="shared" si="79"/>
        <v>0</v>
      </c>
      <c r="V85" s="12"/>
      <c r="W85" s="12">
        <f t="shared" ref="W85:AE85" si="80">W69+W71</f>
        <v>37.354000000000006</v>
      </c>
      <c r="X85" s="12">
        <f t="shared" si="80"/>
        <v>99.335000000000008</v>
      </c>
      <c r="Y85" s="12">
        <f t="shared" si="80"/>
        <v>-64.981999999999985</v>
      </c>
      <c r="Z85" s="12">
        <f t="shared" si="80"/>
        <v>86.695999999999984</v>
      </c>
      <c r="AA85" s="12">
        <f t="shared" si="80"/>
        <v>96.669999999999973</v>
      </c>
      <c r="AB85" s="12">
        <f t="shared" si="80"/>
        <v>-40.025000000000006</v>
      </c>
      <c r="AC85" s="12">
        <f t="shared" si="80"/>
        <v>100.88300000000001</v>
      </c>
      <c r="AD85" s="12">
        <f t="shared" si="80"/>
        <v>-78.317999999999998</v>
      </c>
      <c r="AE85" s="12">
        <f t="shared" si="80"/>
        <v>-11.792999999999992</v>
      </c>
    </row>
    <row r="86" spans="3:31" x14ac:dyDescent="0.25"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3"/>
      <c r="S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pans="3:31" x14ac:dyDescent="0.25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3"/>
      <c r="S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3:31" x14ac:dyDescent="0.25"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3"/>
      <c r="S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pans="3:31" x14ac:dyDescent="0.25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3"/>
      <c r="S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 spans="3:31" x14ac:dyDescent="0.25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3"/>
      <c r="S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3:31" x14ac:dyDescent="0.25"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3"/>
      <c r="S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3:31" x14ac:dyDescent="0.25"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3"/>
      <c r="S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3:31" x14ac:dyDescent="0.25"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3"/>
      <c r="S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spans="3:31" x14ac:dyDescent="0.25"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3"/>
      <c r="S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spans="3:31" x14ac:dyDescent="0.25"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3"/>
      <c r="S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 spans="3:31" x14ac:dyDescent="0.25"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3"/>
      <c r="S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pans="3:32" x14ac:dyDescent="0.25"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3"/>
      <c r="S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3:32" x14ac:dyDescent="0.25">
      <c r="C98" s="1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1"/>
      <c r="S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spans="3:32" x14ac:dyDescent="0.25">
      <c r="C99" s="1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1"/>
      <c r="S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pans="3:32" x14ac:dyDescent="0.25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36"/>
      <c r="S100" s="9"/>
      <c r="T100" s="9"/>
      <c r="U100" s="9"/>
      <c r="V100" s="9"/>
      <c r="W100" s="20"/>
      <c r="X100" s="20"/>
      <c r="Y100" s="20"/>
      <c r="Z100" s="20"/>
      <c r="AA100" s="20"/>
      <c r="AB100" s="20"/>
      <c r="AC100" s="20"/>
      <c r="AD100" s="20"/>
      <c r="AE100" s="20"/>
      <c r="AF100" s="21"/>
    </row>
    <row r="101" spans="3:32" x14ac:dyDescent="0.25"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3"/>
      <c r="S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3:32" x14ac:dyDescent="0.25"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3"/>
      <c r="S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3:32" x14ac:dyDescent="0.25"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3"/>
      <c r="S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3:32" x14ac:dyDescent="0.25"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3"/>
      <c r="S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3:32" x14ac:dyDescent="0.25"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3"/>
      <c r="S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3:32" x14ac:dyDescent="0.25"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3"/>
      <c r="S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3:32" x14ac:dyDescent="0.25"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3"/>
      <c r="S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3:32" x14ac:dyDescent="0.25"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3"/>
      <c r="S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3:32" x14ac:dyDescent="0.25"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3"/>
      <c r="S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3:32" x14ac:dyDescent="0.25"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3"/>
      <c r="S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3:32" x14ac:dyDescent="0.25">
      <c r="C111" s="1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1"/>
      <c r="S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pans="3:32" x14ac:dyDescent="0.25"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3"/>
      <c r="S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3:31" x14ac:dyDescent="0.25"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3"/>
      <c r="S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3:31" x14ac:dyDescent="0.25"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3"/>
      <c r="S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3:31" x14ac:dyDescent="0.25"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3"/>
      <c r="S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3:31" x14ac:dyDescent="0.25"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3"/>
      <c r="S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3:31" x14ac:dyDescent="0.25"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3"/>
      <c r="S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3:31" x14ac:dyDescent="0.25"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3"/>
      <c r="S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3:31" x14ac:dyDescent="0.25"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3"/>
      <c r="S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3:31" x14ac:dyDescent="0.25"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3"/>
      <c r="S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3:31" x14ac:dyDescent="0.25"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3"/>
      <c r="S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3:31" x14ac:dyDescent="0.25"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3"/>
      <c r="S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3:31" x14ac:dyDescent="0.25"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3"/>
      <c r="S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3:31" x14ac:dyDescent="0.25">
      <c r="C124" s="1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1"/>
      <c r="S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3:31" x14ac:dyDescent="0.25"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0"/>
      <c r="R125" s="13"/>
      <c r="S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3:31" x14ac:dyDescent="0.25"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3"/>
      <c r="S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3:31" x14ac:dyDescent="0.25"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3"/>
      <c r="S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3:31" x14ac:dyDescent="0.25"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3"/>
      <c r="S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4:31" x14ac:dyDescent="0.25"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3"/>
      <c r="S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4:31" x14ac:dyDescent="0.25"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3"/>
      <c r="S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4:AA22"/>
  <sheetViews>
    <sheetView showGridLines="0" zoomScaleNormal="100" workbookViewId="0">
      <pane xSplit="2" ySplit="4" topLeftCell="N5" activePane="bottomRight" state="frozen"/>
      <selection pane="topRight" activeCell="C1" sqref="C1"/>
      <selection pane="bottomLeft" activeCell="A5" sqref="A5"/>
      <selection pane="bottomRight" activeCell="X29" sqref="X29"/>
    </sheetView>
  </sheetViews>
  <sheetFormatPr baseColWidth="10" defaultRowHeight="19" x14ac:dyDescent="0.25"/>
  <cols>
    <col min="1" max="1" width="10.83203125" style="2"/>
    <col min="2" max="2" width="23.83203125" style="2" customWidth="1"/>
    <col min="3" max="3" width="14.33203125" style="2" customWidth="1"/>
    <col min="4" max="16384" width="10.83203125" style="2"/>
  </cols>
  <sheetData>
    <row r="4" spans="2:27" x14ac:dyDescent="0.25">
      <c r="B4" s="2" t="s">
        <v>49</v>
      </c>
      <c r="C4" s="7" t="s">
        <v>3</v>
      </c>
      <c r="D4" s="7" t="s">
        <v>4</v>
      </c>
      <c r="E4" s="7" t="s">
        <v>5</v>
      </c>
      <c r="F4" s="7" t="s">
        <v>6</v>
      </c>
      <c r="G4" s="42">
        <v>2022</v>
      </c>
      <c r="H4" s="7" t="s">
        <v>7</v>
      </c>
      <c r="I4" s="7" t="s">
        <v>8</v>
      </c>
      <c r="J4" s="7" t="s">
        <v>9</v>
      </c>
      <c r="K4" s="7" t="s">
        <v>10</v>
      </c>
      <c r="L4" s="42">
        <v>2023</v>
      </c>
      <c r="M4" s="7" t="s">
        <v>11</v>
      </c>
      <c r="N4" s="7" t="s">
        <v>12</v>
      </c>
      <c r="O4" s="7" t="s">
        <v>13</v>
      </c>
      <c r="P4" s="7" t="s">
        <v>14</v>
      </c>
      <c r="Q4" s="42">
        <v>2024</v>
      </c>
      <c r="R4" s="7" t="s">
        <v>37</v>
      </c>
      <c r="S4" s="7" t="s">
        <v>31</v>
      </c>
      <c r="T4" s="7" t="s">
        <v>35</v>
      </c>
      <c r="U4" s="7" t="s">
        <v>36</v>
      </c>
      <c r="V4" s="39">
        <v>2025</v>
      </c>
      <c r="W4" s="7" t="s">
        <v>130</v>
      </c>
      <c r="X4" s="7" t="s">
        <v>131</v>
      </c>
      <c r="Y4" s="7" t="s">
        <v>132</v>
      </c>
      <c r="Z4" s="7" t="s">
        <v>133</v>
      </c>
      <c r="AA4" s="39">
        <v>2026</v>
      </c>
    </row>
    <row r="5" spans="2:27" x14ac:dyDescent="0.25">
      <c r="B5" s="1" t="s">
        <v>125</v>
      </c>
      <c r="G5" s="39"/>
      <c r="L5" s="39"/>
      <c r="Q5" s="39"/>
      <c r="V5" s="39"/>
      <c r="AA5" s="39"/>
    </row>
    <row r="6" spans="2:27" x14ac:dyDescent="0.25">
      <c r="B6" s="2" t="s">
        <v>126</v>
      </c>
      <c r="C6" s="2">
        <v>246.4</v>
      </c>
      <c r="D6" s="2">
        <v>305.8</v>
      </c>
      <c r="E6" s="2">
        <v>284.2</v>
      </c>
      <c r="F6" s="2">
        <v>327</v>
      </c>
      <c r="G6" s="39">
        <f>SUM(C6:F6)</f>
        <v>1163.4000000000001</v>
      </c>
      <c r="H6" s="2">
        <v>299.2</v>
      </c>
      <c r="I6" s="2">
        <v>322.10000000000002</v>
      </c>
      <c r="J6" s="2">
        <v>225</v>
      </c>
      <c r="K6" s="2">
        <v>241.7</v>
      </c>
      <c r="L6" s="39">
        <f>SUM(H6:K6)</f>
        <v>1088</v>
      </c>
      <c r="M6" s="2">
        <v>222</v>
      </c>
      <c r="N6" s="2">
        <v>250.8</v>
      </c>
      <c r="O6" s="2">
        <v>246.6</v>
      </c>
      <c r="P6" s="2">
        <v>280.7</v>
      </c>
      <c r="Q6" s="39">
        <f>SUM(M6:P6)</f>
        <v>1000.0999999999999</v>
      </c>
      <c r="R6" s="2">
        <v>236.4</v>
      </c>
      <c r="S6" s="2">
        <v>253.1</v>
      </c>
      <c r="T6" s="2">
        <v>206.4</v>
      </c>
      <c r="V6" s="39">
        <f>SUM(R6:U6)</f>
        <v>695.9</v>
      </c>
      <c r="AA6" s="39">
        <f>SUM(W6:Z6)</f>
        <v>0</v>
      </c>
    </row>
    <row r="7" spans="2:27" x14ac:dyDescent="0.25">
      <c r="B7" s="20" t="s">
        <v>121</v>
      </c>
      <c r="C7" s="20"/>
      <c r="D7" s="20"/>
      <c r="E7" s="20"/>
      <c r="F7" s="20"/>
      <c r="G7" s="40"/>
      <c r="H7" s="20">
        <f t="shared" ref="H7:AA7" si="0">(H6-C6)/C6</f>
        <v>0.21428571428571422</v>
      </c>
      <c r="I7" s="20">
        <f t="shared" si="0"/>
        <v>5.3302812295618084E-2</v>
      </c>
      <c r="J7" s="20">
        <f t="shared" si="0"/>
        <v>-0.20830401125967626</v>
      </c>
      <c r="K7" s="20">
        <f t="shared" si="0"/>
        <v>-0.26085626911314991</v>
      </c>
      <c r="L7" s="40">
        <f t="shared" si="0"/>
        <v>-6.4810039539281494E-2</v>
      </c>
      <c r="M7" s="20">
        <f t="shared" si="0"/>
        <v>-0.25802139037433153</v>
      </c>
      <c r="N7" s="20">
        <f t="shared" si="0"/>
        <v>-0.22135982614095004</v>
      </c>
      <c r="O7" s="20">
        <f t="shared" si="0"/>
        <v>9.5999999999999974E-2</v>
      </c>
      <c r="P7" s="20">
        <f t="shared" si="0"/>
        <v>0.16135705419942079</v>
      </c>
      <c r="Q7" s="40">
        <f t="shared" si="0"/>
        <v>-8.0790441176470676E-2</v>
      </c>
      <c r="R7" s="20">
        <f t="shared" si="0"/>
        <v>6.4864864864864896E-2</v>
      </c>
      <c r="S7" s="20">
        <f t="shared" si="0"/>
        <v>9.1706539074959438E-3</v>
      </c>
      <c r="T7" s="20">
        <f t="shared" si="0"/>
        <v>-0.16301703163017028</v>
      </c>
      <c r="U7" s="20">
        <f t="shared" si="0"/>
        <v>-1</v>
      </c>
      <c r="V7" s="40">
        <f t="shared" si="0"/>
        <v>-0.30416958304169578</v>
      </c>
      <c r="W7" s="20">
        <f t="shared" si="0"/>
        <v>-1</v>
      </c>
      <c r="X7" s="20">
        <f t="shared" si="0"/>
        <v>-1</v>
      </c>
      <c r="Y7" s="20">
        <f t="shared" si="0"/>
        <v>-1</v>
      </c>
      <c r="Z7" s="20" t="e">
        <f t="shared" si="0"/>
        <v>#DIV/0!</v>
      </c>
      <c r="AA7" s="40">
        <f t="shared" si="0"/>
        <v>-1</v>
      </c>
    </row>
    <row r="8" spans="2:27" x14ac:dyDescent="0.25">
      <c r="B8" s="2" t="s">
        <v>127</v>
      </c>
      <c r="C8" s="2">
        <v>24.2</v>
      </c>
      <c r="D8" s="2">
        <v>25.5</v>
      </c>
      <c r="E8" s="2">
        <v>15</v>
      </c>
      <c r="F8" s="2">
        <v>35.4</v>
      </c>
      <c r="G8" s="39">
        <f>SUM(C8:F8)</f>
        <v>100.1</v>
      </c>
      <c r="H8" s="2">
        <v>25.7</v>
      </c>
      <c r="I8" s="2">
        <v>30.3</v>
      </c>
      <c r="J8" s="2">
        <v>15.9</v>
      </c>
      <c r="K8" s="2">
        <v>11.8</v>
      </c>
      <c r="L8" s="39">
        <f>SUM(H8:K8)</f>
        <v>83.7</v>
      </c>
      <c r="M8" s="2">
        <v>10.7</v>
      </c>
      <c r="N8" s="2">
        <v>10.7</v>
      </c>
      <c r="O8" s="2">
        <v>14.8</v>
      </c>
      <c r="P8" s="2">
        <v>19.7</v>
      </c>
      <c r="Q8" s="39">
        <f>SUM(M8:P8)</f>
        <v>55.900000000000006</v>
      </c>
      <c r="R8" s="2">
        <v>-4.5999999999999996</v>
      </c>
      <c r="S8" s="2">
        <v>6</v>
      </c>
      <c r="T8" s="2">
        <v>2.4</v>
      </c>
      <c r="V8" s="39">
        <f>SUM(R8:U8)</f>
        <v>3.8000000000000003</v>
      </c>
      <c r="AA8" s="39">
        <f>SUM(W8:Z8)</f>
        <v>0</v>
      </c>
    </row>
    <row r="9" spans="2:27" x14ac:dyDescent="0.25">
      <c r="B9" s="20" t="s">
        <v>128</v>
      </c>
      <c r="C9" s="20">
        <v>9.8000000000000004E-2</v>
      </c>
      <c r="D9" s="20">
        <v>8.3000000000000004E-2</v>
      </c>
      <c r="E9" s="20">
        <v>5.2999999999999999E-2</v>
      </c>
      <c r="F9" s="20">
        <v>0.108</v>
      </c>
      <c r="G9" s="40"/>
      <c r="H9" s="20">
        <v>8.5999999999999993E-2</v>
      </c>
      <c r="I9" s="20">
        <v>9.4E-2</v>
      </c>
      <c r="J9" s="20">
        <v>7.0999999999999994E-2</v>
      </c>
      <c r="K9" s="20">
        <v>4.9000000000000002E-2</v>
      </c>
      <c r="L9" s="40">
        <f>L8/L6</f>
        <v>7.6930147058823534E-2</v>
      </c>
      <c r="M9" s="20">
        <v>4.8000000000000001E-2</v>
      </c>
      <c r="N9" s="20">
        <v>4.2999999999999997E-2</v>
      </c>
      <c r="O9" s="20">
        <v>0.06</v>
      </c>
      <c r="P9" s="20">
        <v>7.0000000000000007E-2</v>
      </c>
      <c r="Q9" s="40">
        <f>Q8/Q6</f>
        <v>5.5894410558944119E-2</v>
      </c>
      <c r="R9" s="20">
        <v>-1.9E-2</v>
      </c>
      <c r="S9" s="20">
        <v>2.4E-2</v>
      </c>
      <c r="T9" s="20">
        <v>1.2E-2</v>
      </c>
      <c r="U9" s="20"/>
      <c r="V9" s="40">
        <f>V8/V6</f>
        <v>5.4605546773961785E-3</v>
      </c>
      <c r="W9" s="20"/>
      <c r="X9" s="20"/>
      <c r="Y9" s="20"/>
      <c r="Z9" s="20"/>
      <c r="AA9" s="40" t="e">
        <f>AA8/AA6</f>
        <v>#DIV/0!</v>
      </c>
    </row>
    <row r="10" spans="2:27" x14ac:dyDescent="0.25">
      <c r="B10" s="2" t="s">
        <v>123</v>
      </c>
      <c r="C10" s="2">
        <v>239.4</v>
      </c>
      <c r="D10" s="2">
        <v>350.3</v>
      </c>
      <c r="E10" s="2">
        <v>256.2</v>
      </c>
      <c r="F10" s="2">
        <v>137.9</v>
      </c>
      <c r="G10" s="39">
        <f>SUM(C10:F10)</f>
        <v>983.80000000000007</v>
      </c>
      <c r="H10" s="2">
        <v>199.2</v>
      </c>
      <c r="I10" s="2">
        <v>288.39999999999998</v>
      </c>
      <c r="J10" s="2">
        <v>82</v>
      </c>
      <c r="K10" s="2">
        <v>269.10000000000002</v>
      </c>
      <c r="L10" s="39">
        <f>SUM(H10:K10)</f>
        <v>838.69999999999993</v>
      </c>
      <c r="M10" s="2">
        <v>284.89999999999998</v>
      </c>
      <c r="N10" s="2">
        <v>254.2</v>
      </c>
      <c r="O10" s="2">
        <v>250</v>
      </c>
      <c r="P10" s="2">
        <v>285.10000000000002</v>
      </c>
      <c r="Q10" s="39">
        <f>SUM(M10:P10)</f>
        <v>1074.1999999999998</v>
      </c>
      <c r="R10" s="2">
        <v>208</v>
      </c>
      <c r="S10" s="2">
        <v>386.2</v>
      </c>
      <c r="T10" s="2">
        <v>188.4</v>
      </c>
      <c r="V10" s="39">
        <f>SUM(R10:U10)</f>
        <v>782.6</v>
      </c>
      <c r="AA10" s="39">
        <f>SUM(W10:Z10)</f>
        <v>0</v>
      </c>
    </row>
    <row r="11" spans="2:27" x14ac:dyDescent="0.25">
      <c r="B11" s="20" t="s">
        <v>121</v>
      </c>
      <c r="G11" s="39"/>
      <c r="H11" s="20">
        <f t="shared" ref="H11" si="1">(H10-C10)/C10</f>
        <v>-0.16791979949874694</v>
      </c>
      <c r="I11" s="20">
        <f t="shared" ref="I11" si="2">(I10-D10)/D10</f>
        <v>-0.17670568084499011</v>
      </c>
      <c r="J11" s="20">
        <f t="shared" ref="J11" si="3">(J10-E10)/E10</f>
        <v>-0.67993754879000778</v>
      </c>
      <c r="K11" s="20">
        <f t="shared" ref="K11" si="4">(K10-F10)/F10</f>
        <v>0.95141406816533725</v>
      </c>
      <c r="L11" s="40">
        <f>(L10-G10)/G10</f>
        <v>-0.147489327099004</v>
      </c>
      <c r="M11" s="20">
        <f t="shared" ref="M11" si="5">(M10-H10)/H10</f>
        <v>0.43022088353413651</v>
      </c>
      <c r="N11" s="20">
        <f t="shared" ref="N11" si="6">(N10-I10)/I10</f>
        <v>-0.11858529819694866</v>
      </c>
      <c r="O11" s="20">
        <f t="shared" ref="O11" si="7">(O10-J10)/J10</f>
        <v>2.0487804878048781</v>
      </c>
      <c r="P11" s="20">
        <f t="shared" ref="P11" si="8">(P10-K10)/K10</f>
        <v>5.9457450761798585E-2</v>
      </c>
      <c r="Q11" s="40">
        <f>(Q10-L10)/L10</f>
        <v>0.28079170144270882</v>
      </c>
      <c r="R11" s="20">
        <f t="shared" ref="R11" si="9">(R10-M10)/M10</f>
        <v>-0.26991926991926984</v>
      </c>
      <c r="S11" s="20">
        <f t="shared" ref="S11" si="10">(S10-N10)/N10</f>
        <v>0.51927616050354053</v>
      </c>
      <c r="T11" s="20">
        <f>(T10-O10)/O10</f>
        <v>-0.24639999999999998</v>
      </c>
      <c r="U11" s="20">
        <f>(U10-P10)/P10</f>
        <v>-1</v>
      </c>
      <c r="V11" s="40">
        <f>(V10-Q10)/Q10</f>
        <v>-0.27145782908210747</v>
      </c>
      <c r="W11" s="20">
        <f t="shared" ref="W11" si="11">(W10-R10)/R10</f>
        <v>-1</v>
      </c>
      <c r="X11" s="20">
        <f t="shared" ref="X11" si="12">(X10-S10)/S10</f>
        <v>-1</v>
      </c>
      <c r="Y11" s="20">
        <f>(Y10-T10)/T10</f>
        <v>-1</v>
      </c>
      <c r="Z11" s="20" t="e">
        <f>(Z10-U10)/U10</f>
        <v>#DIV/0!</v>
      </c>
      <c r="AA11" s="40">
        <f>(AA10-V10)/V10</f>
        <v>-1</v>
      </c>
    </row>
    <row r="12" spans="2:27" x14ac:dyDescent="0.25">
      <c r="B12" s="2" t="s">
        <v>122</v>
      </c>
      <c r="C12" s="2">
        <v>1378.3</v>
      </c>
      <c r="D12" s="2">
        <v>1431</v>
      </c>
      <c r="E12" s="2">
        <v>1325.1</v>
      </c>
      <c r="F12" s="2">
        <v>1145.5999999999999</v>
      </c>
      <c r="G12" s="39"/>
      <c r="H12" s="2">
        <v>1090.5999999999999</v>
      </c>
      <c r="I12" s="2">
        <v>1054</v>
      </c>
      <c r="J12" s="2">
        <v>898.7</v>
      </c>
      <c r="K12" s="2">
        <v>925.5</v>
      </c>
      <c r="L12" s="39"/>
      <c r="M12" s="2">
        <v>1037.8</v>
      </c>
      <c r="N12" s="2">
        <v>1029.4000000000001</v>
      </c>
      <c r="O12" s="2">
        <v>1034.4000000000001</v>
      </c>
      <c r="P12" s="2">
        <v>1044.3</v>
      </c>
      <c r="Q12" s="39"/>
      <c r="R12" s="2">
        <v>991.1</v>
      </c>
      <c r="S12" s="2">
        <v>1133.8</v>
      </c>
      <c r="T12" s="2">
        <v>1107.5</v>
      </c>
      <c r="V12" s="39"/>
      <c r="AA12" s="39"/>
    </row>
    <row r="13" spans="2:27" ht="20" thickBot="1" x14ac:dyDescent="0.3">
      <c r="B13" s="37" t="s">
        <v>121</v>
      </c>
      <c r="C13" s="38"/>
      <c r="D13" s="38"/>
      <c r="E13" s="38"/>
      <c r="F13" s="38"/>
      <c r="G13" s="41"/>
      <c r="H13" s="37">
        <f t="shared" ref="H13" si="13">(H12-C12)/C12</f>
        <v>-0.20873539867953281</v>
      </c>
      <c r="I13" s="37">
        <f t="shared" ref="I13" si="14">(I12-D12)/D12</f>
        <v>-0.26345213137665968</v>
      </c>
      <c r="J13" s="37">
        <f t="shared" ref="J13" si="15">(J12-E12)/E12</f>
        <v>-0.32178703494075911</v>
      </c>
      <c r="K13" s="37">
        <f t="shared" ref="K13" si="16">(K12-F12)/F12</f>
        <v>-0.19212639664804462</v>
      </c>
      <c r="L13" s="43"/>
      <c r="M13" s="37">
        <f t="shared" ref="M13" si="17">(M12-H12)/H12</f>
        <v>-4.841371721987893E-2</v>
      </c>
      <c r="N13" s="37">
        <f t="shared" ref="N13" si="18">(N12-I12)/I12</f>
        <v>-2.3339658444022682E-2</v>
      </c>
      <c r="O13" s="37">
        <f t="shared" ref="O13" si="19">(O12-J12)/J12</f>
        <v>0.15099588294202743</v>
      </c>
      <c r="P13" s="37">
        <f t="shared" ref="P13" si="20">(P12-K12)/K12</f>
        <v>0.12836304700162068</v>
      </c>
      <c r="Q13" s="43"/>
      <c r="R13" s="37">
        <f t="shared" ref="R13" si="21">(R12-M12)/M12</f>
        <v>-4.4999036423202868E-2</v>
      </c>
      <c r="S13" s="37">
        <f t="shared" ref="S13" si="22">(S12-N12)/N12</f>
        <v>0.10141830192345042</v>
      </c>
      <c r="T13" s="37">
        <f>(T12-O12)/O12</f>
        <v>7.0668986852281415E-2</v>
      </c>
      <c r="U13" s="37">
        <f>(U12-P12)/P12</f>
        <v>-1</v>
      </c>
      <c r="V13" s="41"/>
      <c r="W13" s="37">
        <f t="shared" ref="W13" si="23">(W12-R12)/R12</f>
        <v>-1</v>
      </c>
      <c r="X13" s="37">
        <f t="shared" ref="X13" si="24">(X12-S12)/S12</f>
        <v>-1</v>
      </c>
      <c r="Y13" s="37">
        <f>(Y12-T12)/T12</f>
        <v>-1</v>
      </c>
      <c r="Z13" s="37" t="e">
        <f>(Z12-U12)/U12</f>
        <v>#DIV/0!</v>
      </c>
      <c r="AA13" s="41"/>
    </row>
    <row r="14" spans="2:27" x14ac:dyDescent="0.25">
      <c r="B14" s="1" t="s">
        <v>129</v>
      </c>
      <c r="G14" s="39"/>
      <c r="L14" s="39"/>
      <c r="Q14" s="39"/>
      <c r="V14" s="39"/>
      <c r="AA14" s="39"/>
    </row>
    <row r="15" spans="2:27" x14ac:dyDescent="0.25">
      <c r="B15" s="2" t="s">
        <v>126</v>
      </c>
      <c r="C15" s="2">
        <v>42</v>
      </c>
      <c r="D15" s="2">
        <v>45.3</v>
      </c>
      <c r="E15" s="2">
        <v>26.6</v>
      </c>
      <c r="F15" s="2">
        <v>56.2</v>
      </c>
      <c r="G15" s="39">
        <f>SUM(C15:F15)</f>
        <v>170.10000000000002</v>
      </c>
      <c r="H15" s="2">
        <v>26.4</v>
      </c>
      <c r="I15" s="2">
        <v>24.3</v>
      </c>
      <c r="J15" s="2">
        <v>28.2</v>
      </c>
      <c r="K15" s="2">
        <v>47.9</v>
      </c>
      <c r="L15" s="39">
        <f>SUM(H15:K15)</f>
        <v>126.80000000000001</v>
      </c>
      <c r="M15" s="2">
        <v>104.4</v>
      </c>
      <c r="N15" s="2">
        <v>123.2</v>
      </c>
      <c r="O15" s="2">
        <v>84.4</v>
      </c>
      <c r="P15" s="2">
        <v>105.8</v>
      </c>
      <c r="Q15" s="39">
        <f>SUM(M15:P15)</f>
        <v>417.8</v>
      </c>
      <c r="R15" s="2">
        <v>79.400000000000006</v>
      </c>
      <c r="S15" s="2">
        <v>78</v>
      </c>
      <c r="T15" s="2">
        <v>70.400000000000006</v>
      </c>
      <c r="V15" s="39">
        <f>SUM(R15:U15)</f>
        <v>227.8</v>
      </c>
      <c r="AA15" s="39">
        <f>SUM(W15:Z15)</f>
        <v>0</v>
      </c>
    </row>
    <row r="16" spans="2:27" x14ac:dyDescent="0.25">
      <c r="B16" s="20" t="s">
        <v>121</v>
      </c>
      <c r="C16" s="20"/>
      <c r="D16" s="20"/>
      <c r="E16" s="20"/>
      <c r="F16" s="20"/>
      <c r="G16" s="40"/>
      <c r="H16" s="20">
        <f t="shared" ref="H16:AA16" si="25">(H15-C15)/C15</f>
        <v>-0.37142857142857144</v>
      </c>
      <c r="I16" s="20">
        <f t="shared" si="25"/>
        <v>-0.46357615894039728</v>
      </c>
      <c r="J16" s="20">
        <f t="shared" si="25"/>
        <v>6.0150375939849537E-2</v>
      </c>
      <c r="K16" s="20">
        <f t="shared" si="25"/>
        <v>-0.1476868327402136</v>
      </c>
      <c r="L16" s="40">
        <f t="shared" si="25"/>
        <v>-0.25455614344503236</v>
      </c>
      <c r="M16" s="20">
        <f t="shared" si="25"/>
        <v>2.9545454545454546</v>
      </c>
      <c r="N16" s="20">
        <f t="shared" si="25"/>
        <v>4.0699588477366255</v>
      </c>
      <c r="O16" s="20">
        <f t="shared" si="25"/>
        <v>1.9929078014184398</v>
      </c>
      <c r="P16" s="20">
        <f t="shared" si="25"/>
        <v>1.2087682672233822</v>
      </c>
      <c r="Q16" s="40">
        <f t="shared" si="25"/>
        <v>2.2949526813880126</v>
      </c>
      <c r="R16" s="20">
        <f t="shared" si="25"/>
        <v>-0.23946360153256704</v>
      </c>
      <c r="S16" s="20">
        <f t="shared" si="25"/>
        <v>-0.36688311688311692</v>
      </c>
      <c r="T16" s="20">
        <f t="shared" si="25"/>
        <v>-0.16587677725118483</v>
      </c>
      <c r="U16" s="20">
        <f t="shared" si="25"/>
        <v>-1</v>
      </c>
      <c r="V16" s="40">
        <f t="shared" si="25"/>
        <v>-0.45476304451890853</v>
      </c>
      <c r="W16" s="20">
        <f t="shared" si="25"/>
        <v>-1</v>
      </c>
      <c r="X16" s="20">
        <f t="shared" si="25"/>
        <v>-1</v>
      </c>
      <c r="Y16" s="20">
        <f t="shared" si="25"/>
        <v>-1</v>
      </c>
      <c r="Z16" s="20" t="e">
        <f t="shared" si="25"/>
        <v>#DIV/0!</v>
      </c>
      <c r="AA16" s="40">
        <f t="shared" si="25"/>
        <v>-1</v>
      </c>
    </row>
    <row r="17" spans="2:27" x14ac:dyDescent="0.25">
      <c r="B17" s="2" t="s">
        <v>127</v>
      </c>
      <c r="C17" s="2">
        <v>2.5</v>
      </c>
      <c r="D17" s="2">
        <v>3.4</v>
      </c>
      <c r="E17" s="2">
        <v>1.5</v>
      </c>
      <c r="F17" s="2">
        <v>3.4</v>
      </c>
      <c r="G17" s="39">
        <f>SUM(C17:F17)</f>
        <v>10.8</v>
      </c>
      <c r="H17" s="2">
        <v>1.4</v>
      </c>
      <c r="I17" s="2">
        <v>0.3</v>
      </c>
      <c r="J17" s="2">
        <v>1.5</v>
      </c>
      <c r="K17" s="2">
        <v>1.6</v>
      </c>
      <c r="L17" s="39">
        <f>SUM(H17:K17)</f>
        <v>4.8000000000000007</v>
      </c>
      <c r="M17" s="2">
        <v>5.6</v>
      </c>
      <c r="N17" s="2">
        <v>6.8</v>
      </c>
      <c r="O17" s="2">
        <v>3.2</v>
      </c>
      <c r="P17" s="2">
        <v>3</v>
      </c>
      <c r="Q17" s="39">
        <f>SUM(M17:P17)</f>
        <v>18.599999999999998</v>
      </c>
      <c r="R17" s="2">
        <v>2.2000000000000002</v>
      </c>
      <c r="S17" s="2">
        <v>0.7</v>
      </c>
      <c r="T17" s="2">
        <v>0.7</v>
      </c>
      <c r="V17" s="39">
        <f>SUM(R17:U17)</f>
        <v>3.6000000000000005</v>
      </c>
      <c r="AA17" s="39">
        <f>SUM(W17:Z17)</f>
        <v>0</v>
      </c>
    </row>
    <row r="18" spans="2:27" x14ac:dyDescent="0.25">
      <c r="B18" s="20" t="s">
        <v>128</v>
      </c>
      <c r="C18" s="20">
        <v>5.8999999999999997E-2</v>
      </c>
      <c r="D18" s="20">
        <v>7.4999999999999997E-2</v>
      </c>
      <c r="E18" s="20">
        <v>5.7000000000000002E-2</v>
      </c>
      <c r="F18" s="20">
        <v>0.06</v>
      </c>
      <c r="G18" s="40"/>
      <c r="H18" s="20">
        <v>5.1999999999999998E-2</v>
      </c>
      <c r="I18" s="20">
        <v>1.2999999999999999E-2</v>
      </c>
      <c r="J18" s="20">
        <v>5.0999999999999997E-2</v>
      </c>
      <c r="K18" s="20">
        <v>3.4000000000000002E-2</v>
      </c>
      <c r="L18" s="40">
        <f>L17/L15</f>
        <v>3.7854889589905363E-2</v>
      </c>
      <c r="M18" s="20">
        <v>5.2999999999999999E-2</v>
      </c>
      <c r="N18" s="20">
        <v>5.5E-2</v>
      </c>
      <c r="O18" s="20">
        <v>3.7999999999999999E-2</v>
      </c>
      <c r="P18" s="20">
        <v>2.8000000000000001E-2</v>
      </c>
      <c r="Q18" s="40">
        <f>Q17/Q15</f>
        <v>4.4518908568693151E-2</v>
      </c>
      <c r="R18" s="20">
        <v>2.8000000000000001E-2</v>
      </c>
      <c r="S18" s="20">
        <v>8.0000000000000002E-3</v>
      </c>
      <c r="T18" s="20">
        <v>0.01</v>
      </c>
      <c r="U18" s="20"/>
      <c r="V18" s="40">
        <f>V17/V15</f>
        <v>1.5803336259877086E-2</v>
      </c>
      <c r="W18" s="20"/>
      <c r="X18" s="20"/>
      <c r="Y18" s="20"/>
      <c r="Z18" s="20"/>
      <c r="AA18" s="40" t="e">
        <f>AA17/AA15</f>
        <v>#DIV/0!</v>
      </c>
    </row>
    <row r="19" spans="2:27" x14ac:dyDescent="0.25">
      <c r="B19" s="2" t="s">
        <v>123</v>
      </c>
      <c r="C19" s="2">
        <v>52.4</v>
      </c>
      <c r="D19" s="2">
        <v>13.8</v>
      </c>
      <c r="E19" s="2">
        <v>8.6</v>
      </c>
      <c r="F19" s="2">
        <v>49.9</v>
      </c>
      <c r="G19" s="39">
        <f>SUM(C19:F19)</f>
        <v>124.69999999999999</v>
      </c>
      <c r="H19" s="2">
        <v>46</v>
      </c>
      <c r="I19" s="2">
        <v>13.1</v>
      </c>
      <c r="J19" s="2">
        <v>53</v>
      </c>
      <c r="K19" s="2">
        <v>26.2</v>
      </c>
      <c r="L19" s="39">
        <f>SUM(H19:K19)</f>
        <v>138.29999999999998</v>
      </c>
      <c r="M19" s="2">
        <v>67.099999999999994</v>
      </c>
      <c r="N19" s="2">
        <v>125.5</v>
      </c>
      <c r="O19" s="2">
        <v>35.4</v>
      </c>
      <c r="P19" s="2">
        <v>74.5</v>
      </c>
      <c r="Q19" s="39">
        <f>SUM(M19:P19)</f>
        <v>302.5</v>
      </c>
      <c r="R19" s="2">
        <v>67</v>
      </c>
      <c r="S19" s="2">
        <v>133.30000000000001</v>
      </c>
      <c r="T19" s="2">
        <v>33.4</v>
      </c>
      <c r="V19" s="39">
        <f>SUM(R19:U19)</f>
        <v>233.70000000000002</v>
      </c>
      <c r="AA19" s="39">
        <f>SUM(W19:Z19)</f>
        <v>0</v>
      </c>
    </row>
    <row r="20" spans="2:27" x14ac:dyDescent="0.25">
      <c r="B20" s="20" t="s">
        <v>121</v>
      </c>
      <c r="G20" s="39"/>
      <c r="H20" s="20">
        <f t="shared" ref="H20" si="26">(H19-C19)/C19</f>
        <v>-0.12213740458015265</v>
      </c>
      <c r="I20" s="20">
        <f t="shared" ref="I20" si="27">(I19-D19)/D19</f>
        <v>-5.0724637681159493E-2</v>
      </c>
      <c r="J20" s="20">
        <f t="shared" ref="J20" si="28">(J19-E19)/E19</f>
        <v>5.1627906976744189</v>
      </c>
      <c r="K20" s="20">
        <f t="shared" ref="K20" si="29">(K19-F19)/F19</f>
        <v>-0.47494989979959917</v>
      </c>
      <c r="L20" s="40">
        <f>(L19-G19)/G19</f>
        <v>0.10906174819566958</v>
      </c>
      <c r="M20" s="20">
        <f t="shared" ref="M20" si="30">(M19-H19)/H19</f>
        <v>0.45869565217391289</v>
      </c>
      <c r="N20" s="20">
        <f t="shared" ref="N20" si="31">(N19-I19)/I19</f>
        <v>8.5801526717557266</v>
      </c>
      <c r="O20" s="20">
        <f t="shared" ref="O20" si="32">(O19-J19)/J19</f>
        <v>-0.33207547169811324</v>
      </c>
      <c r="P20" s="20">
        <f t="shared" ref="P20" si="33">(P19-K19)/K19</f>
        <v>1.8435114503816794</v>
      </c>
      <c r="Q20" s="40">
        <f>(Q19-L19)/L19</f>
        <v>1.1872740419378167</v>
      </c>
      <c r="R20" s="20">
        <f t="shared" ref="R20" si="34">(R19-M19)/M19</f>
        <v>-1.4903129657227172E-3</v>
      </c>
      <c r="S20" s="20">
        <f t="shared" ref="S20" si="35">(S19-N19)/N19</f>
        <v>6.2151394422310845E-2</v>
      </c>
      <c r="T20" s="20">
        <f>(T19-O19)/O19</f>
        <v>-5.6497175141242938E-2</v>
      </c>
      <c r="U20" s="20">
        <f>(U19-P19)/P19</f>
        <v>-1</v>
      </c>
      <c r="V20" s="40">
        <f>(V19-Q19)/Q19</f>
        <v>-0.22743801652892556</v>
      </c>
      <c r="W20" s="20">
        <f t="shared" ref="W20" si="36">(W19-R19)/R19</f>
        <v>-1</v>
      </c>
      <c r="X20" s="20">
        <f t="shared" ref="X20" si="37">(X19-S19)/S19</f>
        <v>-1</v>
      </c>
      <c r="Y20" s="20">
        <f>(Y19-T19)/T19</f>
        <v>-1</v>
      </c>
      <c r="Z20" s="20" t="e">
        <f>(Z19-U19)/U19</f>
        <v>#DIV/0!</v>
      </c>
      <c r="AA20" s="40">
        <f>(AA19-V19)/V19</f>
        <v>-1</v>
      </c>
    </row>
    <row r="21" spans="2:27" x14ac:dyDescent="0.25">
      <c r="B21" s="2" t="s">
        <v>122</v>
      </c>
      <c r="C21" s="2">
        <v>189</v>
      </c>
      <c r="D21" s="2">
        <v>160.9</v>
      </c>
      <c r="E21" s="2">
        <v>135.6</v>
      </c>
      <c r="F21" s="2">
        <v>129.1</v>
      </c>
      <c r="G21" s="39"/>
      <c r="H21" s="2">
        <v>150</v>
      </c>
      <c r="I21" s="2">
        <v>140.69999999999999</v>
      </c>
      <c r="J21" s="2">
        <v>168.2</v>
      </c>
      <c r="K21" s="2">
        <v>148.1</v>
      </c>
      <c r="L21" s="39"/>
      <c r="M21" s="2">
        <v>354.4</v>
      </c>
      <c r="N21" s="2">
        <v>354.8</v>
      </c>
      <c r="O21" s="2">
        <v>294.39999999999998</v>
      </c>
      <c r="P21" s="2">
        <v>265</v>
      </c>
      <c r="Q21" s="39"/>
      <c r="R21" s="2">
        <v>246.9</v>
      </c>
      <c r="S21" s="2">
        <v>305.3</v>
      </c>
      <c r="T21" s="2">
        <v>269.2</v>
      </c>
      <c r="V21" s="39"/>
      <c r="AA21" s="39"/>
    </row>
    <row r="22" spans="2:27" ht="20" thickBot="1" x14ac:dyDescent="0.3">
      <c r="B22" s="37" t="s">
        <v>121</v>
      </c>
      <c r="C22" s="38"/>
      <c r="D22" s="38"/>
      <c r="E22" s="38"/>
      <c r="F22" s="38"/>
      <c r="G22" s="41"/>
      <c r="H22" s="37">
        <f t="shared" ref="H22" si="38">(H21-C21)/C21</f>
        <v>-0.20634920634920634</v>
      </c>
      <c r="I22" s="37">
        <f t="shared" ref="I22" si="39">(I21-D21)/D21</f>
        <v>-0.12554381603480433</v>
      </c>
      <c r="J22" s="37">
        <f t="shared" ref="J22" si="40">(J21-E21)/E21</f>
        <v>0.24041297935103242</v>
      </c>
      <c r="K22" s="37">
        <f t="shared" ref="K22" si="41">(K21-F21)/F21</f>
        <v>0.14717273431448491</v>
      </c>
      <c r="L22" s="43"/>
      <c r="M22" s="37">
        <f t="shared" ref="M22" si="42">(M21-H21)/H21</f>
        <v>1.3626666666666665</v>
      </c>
      <c r="N22" s="37">
        <f t="shared" ref="N22" si="43">(N21-I21)/I21</f>
        <v>1.5216773276474771</v>
      </c>
      <c r="O22" s="37">
        <f t="shared" ref="O22" si="44">(O21-J21)/J21</f>
        <v>0.7502972651605232</v>
      </c>
      <c r="P22" s="37">
        <f t="shared" ref="P22" si="45">(P21-K21)/K21</f>
        <v>0.78933153274814316</v>
      </c>
      <c r="Q22" s="43"/>
      <c r="R22" s="37">
        <f t="shared" ref="R22" si="46">(R21-M21)/M21</f>
        <v>-0.30332957110609476</v>
      </c>
      <c r="S22" s="37">
        <f t="shared" ref="S22" si="47">(S21-N21)/N21</f>
        <v>-0.13951521984216458</v>
      </c>
      <c r="T22" s="37">
        <f>(T21-O21)/O21</f>
        <v>-8.5597826086956486E-2</v>
      </c>
      <c r="U22" s="37">
        <f>(U21-P21)/P21</f>
        <v>-1</v>
      </c>
      <c r="V22" s="41"/>
      <c r="W22" s="37">
        <f t="shared" ref="W22" si="48">(W21-R21)/R21</f>
        <v>-1</v>
      </c>
      <c r="X22" s="37">
        <f t="shared" ref="X22" si="49">(X21-S21)/S21</f>
        <v>-1</v>
      </c>
      <c r="Y22" s="37">
        <f>(Y21-T21)/T21</f>
        <v>-1</v>
      </c>
      <c r="Z22" s="37" t="e">
        <f>(Z21-U21)/U21</f>
        <v>#DIV/0!</v>
      </c>
      <c r="AA22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34F4-FB75-3841-B89F-CAD705D76969}">
  <dimension ref="B4:R49"/>
  <sheetViews>
    <sheetView showGridLines="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N35" sqref="N35"/>
    </sheetView>
  </sheetViews>
  <sheetFormatPr baseColWidth="10" defaultRowHeight="19" x14ac:dyDescent="0.25"/>
  <cols>
    <col min="1" max="1" width="10.83203125" style="2"/>
    <col min="2" max="2" width="25.83203125" style="2" customWidth="1"/>
    <col min="3" max="16384" width="10.83203125" style="2"/>
  </cols>
  <sheetData>
    <row r="4" spans="2:18" x14ac:dyDescent="0.25">
      <c r="B4" s="2" t="s">
        <v>49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37</v>
      </c>
      <c r="P4" s="7" t="s">
        <v>31</v>
      </c>
      <c r="Q4" s="7" t="s">
        <v>35</v>
      </c>
      <c r="R4" s="7" t="s">
        <v>36</v>
      </c>
    </row>
    <row r="5" spans="2:18" x14ac:dyDescent="0.25">
      <c r="B5" s="2" t="s">
        <v>137</v>
      </c>
      <c r="C5" s="2">
        <v>121.8</v>
      </c>
      <c r="D5" s="2">
        <v>122.5</v>
      </c>
      <c r="E5" s="2">
        <v>172.2</v>
      </c>
      <c r="F5" s="2">
        <v>72.599999999999994</v>
      </c>
      <c r="G5" s="2">
        <v>123.8</v>
      </c>
      <c r="H5" s="2">
        <v>176.3</v>
      </c>
      <c r="I5" s="2">
        <v>174.7</v>
      </c>
      <c r="J5" s="2">
        <v>174.2</v>
      </c>
      <c r="K5" s="2">
        <v>343.5</v>
      </c>
      <c r="L5" s="2">
        <v>356.9</v>
      </c>
      <c r="M5" s="2">
        <v>337</v>
      </c>
      <c r="N5" s="2">
        <v>362.9</v>
      </c>
      <c r="O5" s="2">
        <v>349.6</v>
      </c>
      <c r="P5" s="2">
        <v>423.7</v>
      </c>
      <c r="Q5" s="2">
        <v>474.2</v>
      </c>
    </row>
    <row r="6" spans="2:18" x14ac:dyDescent="0.25">
      <c r="B6" s="2" t="s">
        <v>134</v>
      </c>
      <c r="C6" s="2">
        <v>69</v>
      </c>
      <c r="D6" s="2">
        <v>67.3</v>
      </c>
      <c r="E6" s="2">
        <v>64.5</v>
      </c>
      <c r="F6" s="2">
        <v>63.3</v>
      </c>
      <c r="G6" s="2">
        <v>60.1</v>
      </c>
      <c r="H6" s="2">
        <v>57.1</v>
      </c>
      <c r="I6" s="2">
        <v>54.3</v>
      </c>
      <c r="J6" s="2">
        <v>51.2</v>
      </c>
      <c r="K6" s="2">
        <v>49.4</v>
      </c>
      <c r="L6" s="2">
        <v>50.4</v>
      </c>
      <c r="M6" s="2">
        <v>48.1</v>
      </c>
      <c r="N6" s="2">
        <v>46.3</v>
      </c>
      <c r="O6" s="2">
        <v>50.3</v>
      </c>
      <c r="P6" s="2">
        <v>50.1</v>
      </c>
      <c r="Q6" s="2">
        <v>46.7</v>
      </c>
    </row>
    <row r="7" spans="2:18" x14ac:dyDescent="0.25">
      <c r="B7" s="2" t="s">
        <v>135</v>
      </c>
      <c r="C7" s="2">
        <v>0.4</v>
      </c>
      <c r="D7" s="2">
        <v>0.4</v>
      </c>
      <c r="E7" s="2">
        <v>0.4</v>
      </c>
      <c r="F7" s="2">
        <v>0.8</v>
      </c>
      <c r="G7" s="2">
        <v>0.4</v>
      </c>
      <c r="H7" s="2">
        <v>0.4</v>
      </c>
      <c r="I7" s="2">
        <v>0.4</v>
      </c>
      <c r="J7" s="2">
        <v>0</v>
      </c>
      <c r="K7" s="2">
        <v>15.7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2:18" x14ac:dyDescent="0.25">
      <c r="B8" s="2" t="s">
        <v>136</v>
      </c>
      <c r="C8" s="2">
        <v>20</v>
      </c>
      <c r="D8" s="2">
        <v>18.7</v>
      </c>
      <c r="E8" s="2">
        <v>16.399999999999999</v>
      </c>
      <c r="F8" s="2">
        <v>20</v>
      </c>
      <c r="G8" s="2">
        <v>18.7</v>
      </c>
      <c r="H8" s="2">
        <v>16.600000000000001</v>
      </c>
      <c r="I8" s="2">
        <v>14.8</v>
      </c>
      <c r="J8" s="2">
        <v>19</v>
      </c>
      <c r="K8" s="2">
        <v>17.3</v>
      </c>
      <c r="L8" s="2">
        <v>15.5</v>
      </c>
      <c r="M8" s="2">
        <v>13.1</v>
      </c>
      <c r="N8" s="2">
        <v>16.600000000000001</v>
      </c>
      <c r="O8" s="2">
        <v>20</v>
      </c>
      <c r="P8" s="2">
        <v>19.3</v>
      </c>
      <c r="Q8" s="2">
        <v>17.2</v>
      </c>
    </row>
    <row r="9" spans="2:18" x14ac:dyDescent="0.25">
      <c r="B9" s="29" t="s">
        <v>76</v>
      </c>
      <c r="C9" s="29">
        <v>-21</v>
      </c>
      <c r="D9" s="29">
        <v>-8.4</v>
      </c>
      <c r="E9" s="29">
        <v>-140.69999999999999</v>
      </c>
      <c r="F9" s="29">
        <v>-51.9</v>
      </c>
      <c r="G9" s="29">
        <v>-16.399999999999999</v>
      </c>
      <c r="H9" s="29">
        <v>-27.5</v>
      </c>
      <c r="I9" s="29">
        <v>-21.6</v>
      </c>
      <c r="J9" s="29">
        <v>-2.8</v>
      </c>
      <c r="K9" s="29">
        <v>-49.1</v>
      </c>
      <c r="L9" s="29">
        <v>-81.2</v>
      </c>
      <c r="M9" s="29">
        <v>-96.1</v>
      </c>
      <c r="N9" s="29">
        <v>-147.80000000000001</v>
      </c>
      <c r="O9" s="29">
        <v>-64.7</v>
      </c>
      <c r="P9" s="29">
        <v>-57.4</v>
      </c>
      <c r="Q9" s="29">
        <v>-102.1</v>
      </c>
      <c r="R9" s="29"/>
    </row>
    <row r="10" spans="2:18" x14ac:dyDescent="0.25">
      <c r="B10" s="44" t="s">
        <v>138</v>
      </c>
      <c r="C10" s="44">
        <f t="shared" ref="C10:P10" si="0">SUM(C5:C9)</f>
        <v>190.20000000000002</v>
      </c>
      <c r="D10" s="44">
        <f t="shared" si="0"/>
        <v>200.5</v>
      </c>
      <c r="E10" s="44">
        <f t="shared" si="0"/>
        <v>112.80000000000001</v>
      </c>
      <c r="F10" s="44">
        <f t="shared" si="0"/>
        <v>104.79999999999998</v>
      </c>
      <c r="G10" s="44">
        <f t="shared" si="0"/>
        <v>186.6</v>
      </c>
      <c r="H10" s="44">
        <f t="shared" si="0"/>
        <v>222.9</v>
      </c>
      <c r="I10" s="44">
        <f t="shared" si="0"/>
        <v>222.60000000000002</v>
      </c>
      <c r="J10" s="44">
        <f t="shared" si="0"/>
        <v>241.59999999999997</v>
      </c>
      <c r="K10" s="44">
        <f t="shared" si="0"/>
        <v>376.79999999999995</v>
      </c>
      <c r="L10" s="44">
        <f t="shared" si="0"/>
        <v>341.59999999999997</v>
      </c>
      <c r="M10" s="44">
        <f t="shared" si="0"/>
        <v>302.10000000000002</v>
      </c>
      <c r="N10" s="44">
        <f t="shared" si="0"/>
        <v>278</v>
      </c>
      <c r="O10" s="44">
        <f t="shared" si="0"/>
        <v>355.20000000000005</v>
      </c>
      <c r="P10" s="44">
        <f t="shared" si="0"/>
        <v>435.70000000000005</v>
      </c>
      <c r="Q10" s="44">
        <f>SUM(Q5:Q9)</f>
        <v>436</v>
      </c>
      <c r="R10" s="44">
        <f>SUM(R5:R9)</f>
        <v>0</v>
      </c>
    </row>
    <row r="11" spans="2:18" x14ac:dyDescent="0.25">
      <c r="B11" s="2" t="s">
        <v>139</v>
      </c>
      <c r="C11" s="2">
        <v>1.2</v>
      </c>
      <c r="D11" s="2">
        <v>1.3</v>
      </c>
      <c r="E11" s="2">
        <v>0.7</v>
      </c>
      <c r="F11" s="2">
        <v>0.7</v>
      </c>
      <c r="G11" s="2">
        <v>1.2</v>
      </c>
      <c r="H11" s="2">
        <v>1.5</v>
      </c>
      <c r="I11" s="2">
        <v>1.5</v>
      </c>
      <c r="J11" s="2">
        <v>1.9</v>
      </c>
      <c r="K11" s="2">
        <v>3.2</v>
      </c>
      <c r="L11" s="2">
        <v>3.3</v>
      </c>
      <c r="M11" s="2">
        <v>2.8</v>
      </c>
      <c r="N11" s="2">
        <v>2.5</v>
      </c>
      <c r="O11" s="2">
        <v>3.9</v>
      </c>
      <c r="P11" s="2">
        <v>5.6</v>
      </c>
      <c r="Q11" s="2">
        <v>6.8</v>
      </c>
    </row>
    <row r="16" spans="2:18" x14ac:dyDescent="0.2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29" spans="3:4" x14ac:dyDescent="0.25">
      <c r="C29" s="2" t="s">
        <v>140</v>
      </c>
      <c r="D29" s="2" t="s">
        <v>141</v>
      </c>
    </row>
    <row r="30" spans="3:4" x14ac:dyDescent="0.25">
      <c r="C30" s="45" t="s">
        <v>3</v>
      </c>
      <c r="D30" s="46">
        <v>1.2</v>
      </c>
    </row>
    <row r="31" spans="3:4" x14ac:dyDescent="0.25">
      <c r="C31" s="2" t="s">
        <v>4</v>
      </c>
      <c r="D31" s="47">
        <v>1.3</v>
      </c>
    </row>
    <row r="32" spans="3:4" x14ac:dyDescent="0.25">
      <c r="C32" s="2" t="s">
        <v>5</v>
      </c>
      <c r="D32" s="47">
        <v>0.7</v>
      </c>
    </row>
    <row r="33" spans="3:4" x14ac:dyDescent="0.25">
      <c r="C33" s="2" t="s">
        <v>6</v>
      </c>
      <c r="D33" s="47">
        <v>0.7</v>
      </c>
    </row>
    <row r="34" spans="3:4" x14ac:dyDescent="0.25">
      <c r="C34" s="2" t="s">
        <v>7</v>
      </c>
      <c r="D34" s="47">
        <v>1.2</v>
      </c>
    </row>
    <row r="35" spans="3:4" x14ac:dyDescent="0.25">
      <c r="C35" s="2" t="s">
        <v>8</v>
      </c>
      <c r="D35" s="47">
        <v>1.5</v>
      </c>
    </row>
    <row r="36" spans="3:4" x14ac:dyDescent="0.25">
      <c r="C36" s="2" t="s">
        <v>9</v>
      </c>
      <c r="D36" s="47">
        <v>1.5</v>
      </c>
    </row>
    <row r="37" spans="3:4" x14ac:dyDescent="0.25">
      <c r="C37" s="2" t="s">
        <v>10</v>
      </c>
      <c r="D37" s="47">
        <v>1.9</v>
      </c>
    </row>
    <row r="38" spans="3:4" x14ac:dyDescent="0.25">
      <c r="C38" s="2" t="s">
        <v>11</v>
      </c>
      <c r="D38" s="47">
        <v>3.2</v>
      </c>
    </row>
    <row r="39" spans="3:4" x14ac:dyDescent="0.25">
      <c r="C39" s="2" t="s">
        <v>12</v>
      </c>
      <c r="D39" s="47">
        <v>3.3</v>
      </c>
    </row>
    <row r="40" spans="3:4" x14ac:dyDescent="0.25">
      <c r="C40" s="2" t="s">
        <v>13</v>
      </c>
      <c r="D40" s="47">
        <v>2.8</v>
      </c>
    </row>
    <row r="41" spans="3:4" x14ac:dyDescent="0.25">
      <c r="C41" s="2" t="s">
        <v>14</v>
      </c>
      <c r="D41" s="47">
        <v>2.5</v>
      </c>
    </row>
    <row r="42" spans="3:4" x14ac:dyDescent="0.25">
      <c r="C42" s="2" t="s">
        <v>37</v>
      </c>
      <c r="D42" s="47">
        <v>3.9</v>
      </c>
    </row>
    <row r="43" spans="3:4" x14ac:dyDescent="0.25">
      <c r="C43" s="2" t="s">
        <v>31</v>
      </c>
      <c r="D43" s="47">
        <v>5.6</v>
      </c>
    </row>
    <row r="44" spans="3:4" x14ac:dyDescent="0.25">
      <c r="C44" s="2" t="s">
        <v>35</v>
      </c>
      <c r="D44" s="47">
        <v>6.8</v>
      </c>
    </row>
    <row r="45" spans="3:4" x14ac:dyDescent="0.25">
      <c r="C45" s="2" t="s">
        <v>36</v>
      </c>
    </row>
    <row r="46" spans="3:4" x14ac:dyDescent="0.25">
      <c r="C46" s="2" t="s">
        <v>130</v>
      </c>
    </row>
    <row r="47" spans="3:4" x14ac:dyDescent="0.25">
      <c r="C47" s="2" t="s">
        <v>131</v>
      </c>
    </row>
    <row r="48" spans="3:4" x14ac:dyDescent="0.25">
      <c r="C48" s="2" t="s">
        <v>132</v>
      </c>
    </row>
    <row r="49" spans="3:3" x14ac:dyDescent="0.25">
      <c r="C49" s="2" t="s">
        <v>133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D24" sqref="D24"/>
    </sheetView>
  </sheetViews>
  <sheetFormatPr baseColWidth="10" defaultRowHeight="16" x14ac:dyDescent="0.2"/>
  <cols>
    <col min="3" max="3" width="29.5" bestFit="1" customWidth="1"/>
    <col min="4" max="4" width="18.6640625" bestFit="1" customWidth="1"/>
    <col min="5" max="6" width="28.33203125" bestFit="1" customWidth="1"/>
  </cols>
  <sheetData>
    <row r="4" spans="3:6" ht="62" x14ac:dyDescent="0.7">
      <c r="C4" s="26"/>
      <c r="D4" s="26">
        <v>2025</v>
      </c>
      <c r="E4" s="26">
        <v>2026</v>
      </c>
      <c r="F4" s="26">
        <v>2027</v>
      </c>
    </row>
    <row r="5" spans="3:6" ht="62" x14ac:dyDescent="0.7">
      <c r="C5" s="26" t="s">
        <v>29</v>
      </c>
      <c r="D5" s="27">
        <f>Modell!$B$9/Modell!AF11</f>
        <v>61.588389093740915</v>
      </c>
      <c r="E5" s="27" t="e">
        <f>Modell!$B$9/Modell!AG11</f>
        <v>#DIV/0!</v>
      </c>
      <c r="F5" s="27" t="e">
        <f>Modell!$B$9/Modell!AH11</f>
        <v>#DIV/0!</v>
      </c>
    </row>
    <row r="6" spans="3:6" ht="62" x14ac:dyDescent="0.7">
      <c r="C6" s="26" t="s">
        <v>30</v>
      </c>
      <c r="D6" s="27">
        <f>Modell!$B$4/Modell!AF18</f>
        <v>638.43402607072869</v>
      </c>
      <c r="E6" s="27" t="e">
        <f>Modell!$B$4/Modell!AG18</f>
        <v>#DIV/0!</v>
      </c>
      <c r="F6" s="27" t="e">
        <f>Modell!$B$4/Modell!AH18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88D3-8920-4B4C-A6FE-8E4196A56417}">
  <dimension ref="A3:JS24"/>
  <sheetViews>
    <sheetView showGridLines="0" workbookViewId="0">
      <pane xSplit="3" ySplit="3" topLeftCell="X4" activePane="bottomRight" state="frozen"/>
      <selection pane="topRight" activeCell="D1" sqref="D1"/>
      <selection pane="bottomLeft" activeCell="A4" sqref="A4"/>
      <selection pane="bottomRight" activeCell="M30" sqref="M30"/>
    </sheetView>
  </sheetViews>
  <sheetFormatPr baseColWidth="10" defaultRowHeight="19" x14ac:dyDescent="0.25"/>
  <cols>
    <col min="1" max="1" width="10.83203125" style="2"/>
    <col min="2" max="2" width="19.6640625" style="4" customWidth="1"/>
    <col min="3" max="3" width="31.5" style="2" customWidth="1"/>
    <col min="4" max="24" width="10.83203125" style="2"/>
    <col min="25" max="25" width="14.1640625" style="2" bestFit="1" customWidth="1"/>
    <col min="26" max="16384" width="10.83203125" style="2"/>
  </cols>
  <sheetData>
    <row r="3" spans="1:279" x14ac:dyDescent="0.25">
      <c r="A3" s="1" t="s">
        <v>40</v>
      </c>
      <c r="D3" s="7" t="s">
        <v>41</v>
      </c>
      <c r="E3" s="7" t="s">
        <v>42</v>
      </c>
      <c r="F3" s="7" t="s">
        <v>43</v>
      </c>
      <c r="G3" s="7" t="s">
        <v>32</v>
      </c>
      <c r="H3" s="7" t="s">
        <v>33</v>
      </c>
      <c r="I3" s="7" t="s">
        <v>34</v>
      </c>
      <c r="J3" s="7" t="s">
        <v>15</v>
      </c>
      <c r="K3" s="7" t="s">
        <v>16</v>
      </c>
      <c r="L3" s="7" t="s">
        <v>17</v>
      </c>
      <c r="M3" s="14" t="s">
        <v>18</v>
      </c>
      <c r="N3" s="7" t="s">
        <v>19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7" t="s">
        <v>25</v>
      </c>
      <c r="U3" s="7" t="s">
        <v>26</v>
      </c>
      <c r="V3" s="7" t="s">
        <v>27</v>
      </c>
      <c r="W3" s="7" t="s">
        <v>28</v>
      </c>
    </row>
    <row r="4" spans="1:279" x14ac:dyDescent="0.25">
      <c r="A4" s="1" t="s">
        <v>120</v>
      </c>
      <c r="C4" s="1" t="s">
        <v>52</v>
      </c>
      <c r="D4" s="10">
        <v>801.61300000000006</v>
      </c>
      <c r="E4" s="10">
        <v>988.95100000000002</v>
      </c>
      <c r="F4" s="10">
        <v>1058.0519999999999</v>
      </c>
      <c r="G4" s="10">
        <v>1220.605</v>
      </c>
      <c r="H4" s="10">
        <v>1200</v>
      </c>
      <c r="I4" s="10">
        <v>1120.4829999999999</v>
      </c>
      <c r="J4" s="10">
        <v>1333.559</v>
      </c>
      <c r="K4" s="10">
        <v>1214.8869999999999</v>
      </c>
      <c r="L4" s="10">
        <v>1417.9169999999999</v>
      </c>
      <c r="M4" s="11">
        <f>L4*0.97</f>
        <v>1375.3794899999998</v>
      </c>
      <c r="N4" s="10">
        <f>M4</f>
        <v>1375.3794899999998</v>
      </c>
      <c r="O4" s="10">
        <f t="shared" ref="O4:W4" si="0">N4</f>
        <v>1375.3794899999998</v>
      </c>
      <c r="P4" s="10">
        <f t="shared" si="0"/>
        <v>1375.3794899999998</v>
      </c>
      <c r="Q4" s="10">
        <f t="shared" si="0"/>
        <v>1375.3794899999998</v>
      </c>
      <c r="R4" s="10">
        <f t="shared" si="0"/>
        <v>1375.3794899999998</v>
      </c>
      <c r="S4" s="10">
        <f t="shared" si="0"/>
        <v>1375.3794899999998</v>
      </c>
      <c r="T4" s="10">
        <f t="shared" si="0"/>
        <v>1375.3794899999998</v>
      </c>
      <c r="U4" s="10">
        <f t="shared" si="0"/>
        <v>1375.3794899999998</v>
      </c>
      <c r="V4" s="10">
        <f t="shared" si="0"/>
        <v>1375.3794899999998</v>
      </c>
      <c r="W4" s="10">
        <f t="shared" si="0"/>
        <v>1375.3794899999998</v>
      </c>
    </row>
    <row r="5" spans="1:279" x14ac:dyDescent="0.25">
      <c r="A5" s="32">
        <f>Z23</f>
        <v>12.132980024524255</v>
      </c>
      <c r="C5" s="2" t="s">
        <v>54</v>
      </c>
      <c r="D5" s="12">
        <v>-611.72900000000004</v>
      </c>
      <c r="E5" s="12">
        <v>-741.11699999999996</v>
      </c>
      <c r="F5" s="12">
        <v>-804.25800000000004</v>
      </c>
      <c r="G5" s="12">
        <v>-920.60199999999998</v>
      </c>
      <c r="H5" s="12">
        <v>-910.57899999999995</v>
      </c>
      <c r="I5" s="12">
        <v>-824.21</v>
      </c>
      <c r="J5" s="12">
        <v>-1045.951</v>
      </c>
      <c r="K5" s="12">
        <v>-969.53200000000004</v>
      </c>
      <c r="L5" s="12">
        <v>-1169.952</v>
      </c>
      <c r="M5" s="13">
        <v>-1174</v>
      </c>
      <c r="N5" s="12">
        <f>N4*-0.825</f>
        <v>-1134.6880792499999</v>
      </c>
      <c r="O5" s="12">
        <f t="shared" ref="O5:W5" si="1">O4*-0.825</f>
        <v>-1134.6880792499999</v>
      </c>
      <c r="P5" s="12">
        <f t="shared" si="1"/>
        <v>-1134.6880792499999</v>
      </c>
      <c r="Q5" s="12">
        <f t="shared" si="1"/>
        <v>-1134.6880792499999</v>
      </c>
      <c r="R5" s="12">
        <f t="shared" si="1"/>
        <v>-1134.6880792499999</v>
      </c>
      <c r="S5" s="12">
        <f t="shared" si="1"/>
        <v>-1134.6880792499999</v>
      </c>
      <c r="T5" s="12">
        <f t="shared" si="1"/>
        <v>-1134.6880792499999</v>
      </c>
      <c r="U5" s="12">
        <f t="shared" si="1"/>
        <v>-1134.6880792499999</v>
      </c>
      <c r="V5" s="12">
        <f t="shared" si="1"/>
        <v>-1134.6880792499999</v>
      </c>
      <c r="W5" s="12">
        <f t="shared" si="1"/>
        <v>-1134.6880792499999</v>
      </c>
    </row>
    <row r="6" spans="1:279" x14ac:dyDescent="0.25">
      <c r="A6" s="25">
        <f>Z24</f>
        <v>-0.34416324191760789</v>
      </c>
      <c r="C6" s="2" t="s">
        <v>53</v>
      </c>
      <c r="D6" s="12">
        <f t="shared" ref="D6:L6" si="2">SUM(D4:D5)</f>
        <v>189.88400000000001</v>
      </c>
      <c r="E6" s="12">
        <f t="shared" si="2"/>
        <v>247.83400000000006</v>
      </c>
      <c r="F6" s="12">
        <f t="shared" si="2"/>
        <v>253.79399999999987</v>
      </c>
      <c r="G6" s="12">
        <f t="shared" si="2"/>
        <v>300.00300000000004</v>
      </c>
      <c r="H6" s="12">
        <f t="shared" si="2"/>
        <v>289.42100000000005</v>
      </c>
      <c r="I6" s="12">
        <f t="shared" si="2"/>
        <v>296.27299999999991</v>
      </c>
      <c r="J6" s="12">
        <f t="shared" si="2"/>
        <v>287.60799999999995</v>
      </c>
      <c r="K6" s="12">
        <f t="shared" si="2"/>
        <v>245.3549999999999</v>
      </c>
      <c r="L6" s="12">
        <f t="shared" si="2"/>
        <v>247.96499999999992</v>
      </c>
      <c r="M6" s="13">
        <f t="shared" ref="M6" si="3">SUM(M4:M5)</f>
        <v>201.37948999999981</v>
      </c>
      <c r="N6" s="12">
        <f t="shared" ref="N6:W6" si="4">SUM(N4:N5)</f>
        <v>240.69141074999993</v>
      </c>
      <c r="O6" s="12">
        <f t="shared" si="4"/>
        <v>240.69141074999993</v>
      </c>
      <c r="P6" s="12">
        <f t="shared" si="4"/>
        <v>240.69141074999993</v>
      </c>
      <c r="Q6" s="12">
        <f t="shared" si="4"/>
        <v>240.69141074999993</v>
      </c>
      <c r="R6" s="12">
        <f t="shared" si="4"/>
        <v>240.69141074999993</v>
      </c>
      <c r="S6" s="12">
        <f t="shared" si="4"/>
        <v>240.69141074999993</v>
      </c>
      <c r="T6" s="12">
        <f t="shared" si="4"/>
        <v>240.69141074999993</v>
      </c>
      <c r="U6" s="12">
        <f t="shared" si="4"/>
        <v>240.69141074999993</v>
      </c>
      <c r="V6" s="12">
        <f t="shared" si="4"/>
        <v>240.69141074999993</v>
      </c>
      <c r="W6" s="12">
        <f t="shared" si="4"/>
        <v>240.69141074999993</v>
      </c>
    </row>
    <row r="7" spans="1:279" x14ac:dyDescent="0.25">
      <c r="C7" s="2" t="s">
        <v>55</v>
      </c>
      <c r="D7" s="12">
        <v>-89</v>
      </c>
      <c r="E7" s="12">
        <v>-87.566000000000003</v>
      </c>
      <c r="F7" s="12">
        <v>-94</v>
      </c>
      <c r="G7" s="12">
        <v>-94.186000000000007</v>
      </c>
      <c r="H7" s="12">
        <v>-111</v>
      </c>
      <c r="I7" s="12">
        <v>-119.67440000000001</v>
      </c>
      <c r="J7" s="12">
        <v>-126.43</v>
      </c>
      <c r="K7" s="12">
        <v>-108.383</v>
      </c>
      <c r="L7" s="12">
        <v>-120.874</v>
      </c>
      <c r="M7" s="13">
        <f>L7*0.88</f>
        <v>-106.36912</v>
      </c>
      <c r="N7" s="12">
        <f>M7*1.2</f>
        <v>-127.64294399999999</v>
      </c>
      <c r="O7" s="12">
        <f t="shared" ref="O7:W7" si="5">N7</f>
        <v>-127.64294399999999</v>
      </c>
      <c r="P7" s="12">
        <f t="shared" si="5"/>
        <v>-127.64294399999999</v>
      </c>
      <c r="Q7" s="12">
        <f t="shared" si="5"/>
        <v>-127.64294399999999</v>
      </c>
      <c r="R7" s="12">
        <f t="shared" si="5"/>
        <v>-127.64294399999999</v>
      </c>
      <c r="S7" s="12">
        <f t="shared" si="5"/>
        <v>-127.64294399999999</v>
      </c>
      <c r="T7" s="12">
        <f t="shared" si="5"/>
        <v>-127.64294399999999</v>
      </c>
      <c r="U7" s="12">
        <f t="shared" si="5"/>
        <v>-127.64294399999999</v>
      </c>
      <c r="V7" s="12">
        <f t="shared" si="5"/>
        <v>-127.64294399999999</v>
      </c>
      <c r="W7" s="12">
        <f t="shared" si="5"/>
        <v>-127.64294399999999</v>
      </c>
    </row>
    <row r="8" spans="1:279" x14ac:dyDescent="0.25">
      <c r="C8" s="2" t="s">
        <v>56</v>
      </c>
      <c r="D8" s="12">
        <v>-38.799999999999997</v>
      </c>
      <c r="E8" s="12">
        <v>-68.352000000000004</v>
      </c>
      <c r="F8" s="12">
        <v>-53.9</v>
      </c>
      <c r="G8" s="12">
        <v>-66</v>
      </c>
      <c r="H8" s="12">
        <v>-63.036999999999999</v>
      </c>
      <c r="I8" s="12">
        <v>-63.468000000000004</v>
      </c>
      <c r="J8" s="12">
        <v>-70.954999999999998</v>
      </c>
      <c r="K8" s="12">
        <v>-76.653000000000006</v>
      </c>
      <c r="L8" s="12">
        <v>-95.945999999999998</v>
      </c>
      <c r="M8" s="13">
        <f t="shared" ref="M8:M10" si="6">L8*0.88</f>
        <v>-84.432479999999998</v>
      </c>
      <c r="N8" s="12">
        <f t="shared" ref="N8:N10" si="7">M8*1</f>
        <v>-84.432479999999998</v>
      </c>
      <c r="O8" s="12">
        <f t="shared" ref="O8:W10" si="8">N8</f>
        <v>-84.432479999999998</v>
      </c>
      <c r="P8" s="12">
        <f t="shared" si="8"/>
        <v>-84.432479999999998</v>
      </c>
      <c r="Q8" s="12">
        <f t="shared" si="8"/>
        <v>-84.432479999999998</v>
      </c>
      <c r="R8" s="12">
        <f t="shared" si="8"/>
        <v>-84.432479999999998</v>
      </c>
      <c r="S8" s="12">
        <f t="shared" si="8"/>
        <v>-84.432479999999998</v>
      </c>
      <c r="T8" s="12">
        <f t="shared" si="8"/>
        <v>-84.432479999999998</v>
      </c>
      <c r="U8" s="12">
        <f t="shared" si="8"/>
        <v>-84.432479999999998</v>
      </c>
      <c r="V8" s="12">
        <f t="shared" si="8"/>
        <v>-84.432479999999998</v>
      </c>
      <c r="W8" s="12">
        <f t="shared" si="8"/>
        <v>-84.432479999999998</v>
      </c>
    </row>
    <row r="9" spans="1:279" x14ac:dyDescent="0.25">
      <c r="C9" s="2" t="s">
        <v>57</v>
      </c>
      <c r="D9" s="12">
        <v>10.4</v>
      </c>
      <c r="E9" s="12">
        <v>6.8</v>
      </c>
      <c r="F9" s="12">
        <v>0.73699999999999999</v>
      </c>
      <c r="G9" s="12">
        <v>1.5649999999999999</v>
      </c>
      <c r="H9" s="12">
        <v>0</v>
      </c>
      <c r="I9" s="12">
        <v>4.9000000000000004</v>
      </c>
      <c r="J9" s="12">
        <v>12.3</v>
      </c>
      <c r="K9" s="12">
        <v>10.3</v>
      </c>
      <c r="L9" s="12">
        <v>3.7</v>
      </c>
      <c r="M9" s="13">
        <f t="shared" si="6"/>
        <v>3.2560000000000002</v>
      </c>
      <c r="N9" s="12">
        <f t="shared" si="7"/>
        <v>3.2560000000000002</v>
      </c>
      <c r="O9" s="12">
        <f t="shared" si="8"/>
        <v>3.2560000000000002</v>
      </c>
      <c r="P9" s="12">
        <f t="shared" si="8"/>
        <v>3.2560000000000002</v>
      </c>
      <c r="Q9" s="12">
        <f t="shared" si="8"/>
        <v>3.2560000000000002</v>
      </c>
      <c r="R9" s="12">
        <f t="shared" si="8"/>
        <v>3.2560000000000002</v>
      </c>
      <c r="S9" s="12">
        <f t="shared" si="8"/>
        <v>3.2560000000000002</v>
      </c>
      <c r="T9" s="12">
        <f t="shared" si="8"/>
        <v>3.2560000000000002</v>
      </c>
      <c r="U9" s="12">
        <f t="shared" si="8"/>
        <v>3.2560000000000002</v>
      </c>
      <c r="V9" s="12">
        <f t="shared" si="8"/>
        <v>3.2560000000000002</v>
      </c>
      <c r="W9" s="12">
        <f t="shared" si="8"/>
        <v>3.2560000000000002</v>
      </c>
    </row>
    <row r="10" spans="1:279" x14ac:dyDescent="0.25">
      <c r="C10" s="2" t="s">
        <v>58</v>
      </c>
      <c r="D10" s="12">
        <v>-9.3000000000000007</v>
      </c>
      <c r="E10" s="12">
        <v>-6.5</v>
      </c>
      <c r="F10" s="12">
        <v>-0.90400000000000003</v>
      </c>
      <c r="G10" s="12">
        <v>-0.93300000000000005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3">
        <f t="shared" si="6"/>
        <v>0</v>
      </c>
      <c r="N10" s="12">
        <f t="shared" si="7"/>
        <v>0</v>
      </c>
      <c r="O10" s="12">
        <f t="shared" si="8"/>
        <v>0</v>
      </c>
      <c r="P10" s="12">
        <f t="shared" si="8"/>
        <v>0</v>
      </c>
      <c r="Q10" s="12">
        <f t="shared" si="8"/>
        <v>0</v>
      </c>
      <c r="R10" s="12">
        <f t="shared" si="8"/>
        <v>0</v>
      </c>
      <c r="S10" s="12">
        <f t="shared" si="8"/>
        <v>0</v>
      </c>
      <c r="T10" s="12">
        <f t="shared" si="8"/>
        <v>0</v>
      </c>
      <c r="U10" s="12">
        <f t="shared" si="8"/>
        <v>0</v>
      </c>
      <c r="V10" s="12">
        <f t="shared" si="8"/>
        <v>0</v>
      </c>
      <c r="W10" s="12">
        <f t="shared" si="8"/>
        <v>0</v>
      </c>
    </row>
    <row r="11" spans="1:279" x14ac:dyDescent="0.25">
      <c r="C11" s="1" t="s">
        <v>59</v>
      </c>
      <c r="D11" s="10">
        <f t="shared" ref="D11:L11" si="9">SUM(D6:D10)</f>
        <v>63.184000000000026</v>
      </c>
      <c r="E11" s="10">
        <f t="shared" si="9"/>
        <v>92.216000000000051</v>
      </c>
      <c r="F11" s="10">
        <f t="shared" si="9"/>
        <v>105.72699999999986</v>
      </c>
      <c r="G11" s="10">
        <f t="shared" si="9"/>
        <v>140.44900000000004</v>
      </c>
      <c r="H11" s="10">
        <f t="shared" si="9"/>
        <v>115.38400000000004</v>
      </c>
      <c r="I11" s="10">
        <f t="shared" si="9"/>
        <v>118.03059999999992</v>
      </c>
      <c r="J11" s="10">
        <f t="shared" si="9"/>
        <v>102.52299999999994</v>
      </c>
      <c r="K11" s="10">
        <f t="shared" si="9"/>
        <v>70.618999999999915</v>
      </c>
      <c r="L11" s="10">
        <f t="shared" si="9"/>
        <v>34.844999999999928</v>
      </c>
      <c r="M11" s="11">
        <f t="shared" ref="M11" si="10">SUM(M6:M10)</f>
        <v>13.833889999999812</v>
      </c>
      <c r="N11" s="10">
        <f t="shared" ref="N11:W11" si="11">SUM(N6:N10)</f>
        <v>31.871986749999948</v>
      </c>
      <c r="O11" s="10">
        <f t="shared" si="11"/>
        <v>31.871986749999948</v>
      </c>
      <c r="P11" s="10">
        <f t="shared" si="11"/>
        <v>31.871986749999948</v>
      </c>
      <c r="Q11" s="10">
        <f t="shared" si="11"/>
        <v>31.871986749999948</v>
      </c>
      <c r="R11" s="10">
        <f t="shared" si="11"/>
        <v>31.871986749999948</v>
      </c>
      <c r="S11" s="10">
        <f t="shared" si="11"/>
        <v>31.871986749999948</v>
      </c>
      <c r="T11" s="10">
        <f t="shared" si="11"/>
        <v>31.871986749999948</v>
      </c>
      <c r="U11" s="10">
        <f t="shared" si="11"/>
        <v>31.871986749999948</v>
      </c>
      <c r="V11" s="10">
        <f t="shared" si="11"/>
        <v>31.871986749999948</v>
      </c>
      <c r="W11" s="10">
        <f t="shared" si="11"/>
        <v>31.871986749999948</v>
      </c>
    </row>
    <row r="12" spans="1:279" x14ac:dyDescent="0.25">
      <c r="C12" s="2" t="s">
        <v>60</v>
      </c>
      <c r="D12" s="12">
        <v>0</v>
      </c>
      <c r="E12" s="12">
        <v>0</v>
      </c>
      <c r="F12" s="12">
        <v>0</v>
      </c>
      <c r="G12" s="12">
        <v>0.82799999999999996</v>
      </c>
      <c r="H12" s="12">
        <v>0.17199999999999999</v>
      </c>
      <c r="I12" s="12">
        <v>0.16500000000000001</v>
      </c>
      <c r="J12" s="12">
        <v>0.95499999999999996</v>
      </c>
      <c r="K12" s="12">
        <v>3.7</v>
      </c>
      <c r="L12" s="12">
        <v>4.5</v>
      </c>
      <c r="M12" s="13">
        <v>5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</row>
    <row r="13" spans="1:279" x14ac:dyDescent="0.25">
      <c r="C13" s="2" t="s">
        <v>61</v>
      </c>
      <c r="D13" s="12">
        <v>-40.889000000000003</v>
      </c>
      <c r="E13" s="12">
        <v>-37</v>
      </c>
      <c r="F13" s="12">
        <v>-6.2</v>
      </c>
      <c r="G13" s="12">
        <v>-9.5109999999999992</v>
      </c>
      <c r="H13" s="12">
        <v>-9.8000000000000007</v>
      </c>
      <c r="I13" s="12">
        <v>-6.5</v>
      </c>
      <c r="J13" s="12">
        <v>-8.8000000000000007</v>
      </c>
      <c r="K13" s="12">
        <v>-18</v>
      </c>
      <c r="L13" s="12">
        <v>-34.332000000000001</v>
      </c>
      <c r="M13" s="13">
        <v>-18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</row>
    <row r="14" spans="1:279" x14ac:dyDescent="0.25">
      <c r="C14" s="2" t="s">
        <v>62</v>
      </c>
      <c r="D14" s="12">
        <f t="shared" ref="D14:L14" si="12">SUM(D11:D13)</f>
        <v>22.295000000000023</v>
      </c>
      <c r="E14" s="12">
        <f t="shared" si="12"/>
        <v>55.216000000000051</v>
      </c>
      <c r="F14" s="12">
        <f t="shared" si="12"/>
        <v>99.526999999999859</v>
      </c>
      <c r="G14" s="12">
        <f t="shared" si="12"/>
        <v>131.76600000000005</v>
      </c>
      <c r="H14" s="12">
        <f t="shared" si="12"/>
        <v>105.75600000000004</v>
      </c>
      <c r="I14" s="12">
        <f t="shared" si="12"/>
        <v>111.69559999999993</v>
      </c>
      <c r="J14" s="12">
        <f t="shared" si="12"/>
        <v>94.67799999999994</v>
      </c>
      <c r="K14" s="12">
        <f t="shared" si="12"/>
        <v>56.318999999999917</v>
      </c>
      <c r="L14" s="12">
        <f t="shared" si="12"/>
        <v>5.0129999999999271</v>
      </c>
      <c r="M14" s="13">
        <f t="shared" ref="M14" si="13">SUM(M11:M13)</f>
        <v>0.83388999999981195</v>
      </c>
      <c r="N14" s="12">
        <f t="shared" ref="N14:W14" si="14">SUM(N11:N13)</f>
        <v>31.871986749999948</v>
      </c>
      <c r="O14" s="12">
        <f t="shared" si="14"/>
        <v>31.871986749999948</v>
      </c>
      <c r="P14" s="12">
        <f t="shared" si="14"/>
        <v>31.871986749999948</v>
      </c>
      <c r="Q14" s="12">
        <f t="shared" si="14"/>
        <v>31.871986749999948</v>
      </c>
      <c r="R14" s="12">
        <f t="shared" si="14"/>
        <v>31.871986749999948</v>
      </c>
      <c r="S14" s="12">
        <f t="shared" si="14"/>
        <v>31.871986749999948</v>
      </c>
      <c r="T14" s="12">
        <f t="shared" si="14"/>
        <v>31.871986749999948</v>
      </c>
      <c r="U14" s="12">
        <f t="shared" si="14"/>
        <v>31.871986749999948</v>
      </c>
      <c r="V14" s="12">
        <f t="shared" si="14"/>
        <v>31.871986749999948</v>
      </c>
      <c r="W14" s="12">
        <f t="shared" si="14"/>
        <v>31.871986749999948</v>
      </c>
    </row>
    <row r="15" spans="1:279" x14ac:dyDescent="0.25">
      <c r="C15" s="2" t="s">
        <v>63</v>
      </c>
      <c r="D15" s="12">
        <v>-10.662000000000001</v>
      </c>
      <c r="E15" s="12">
        <v>-17.600000000000001</v>
      </c>
      <c r="F15" s="12">
        <v>-22.75</v>
      </c>
      <c r="G15" s="12">
        <v>-28.8</v>
      </c>
      <c r="H15" s="12">
        <v>-28</v>
      </c>
      <c r="I15" s="12">
        <v>-21.4</v>
      </c>
      <c r="J15" s="12">
        <v>-18.45</v>
      </c>
      <c r="K15" s="12">
        <v>-9.5</v>
      </c>
      <c r="L15" s="12">
        <v>-0.4</v>
      </c>
      <c r="M15" s="13">
        <f>M14*-0.2</f>
        <v>-0.1667779999999624</v>
      </c>
      <c r="N15" s="12">
        <f t="shared" ref="N15:W15" si="15">N14*-0.2</f>
        <v>-6.37439734999999</v>
      </c>
      <c r="O15" s="12">
        <f t="shared" si="15"/>
        <v>-6.37439734999999</v>
      </c>
      <c r="P15" s="12">
        <f t="shared" si="15"/>
        <v>-6.37439734999999</v>
      </c>
      <c r="Q15" s="12">
        <f t="shared" si="15"/>
        <v>-6.37439734999999</v>
      </c>
      <c r="R15" s="12">
        <f t="shared" si="15"/>
        <v>-6.37439734999999</v>
      </c>
      <c r="S15" s="12">
        <f t="shared" si="15"/>
        <v>-6.37439734999999</v>
      </c>
      <c r="T15" s="12">
        <f t="shared" si="15"/>
        <v>-6.37439734999999</v>
      </c>
      <c r="U15" s="12">
        <f t="shared" si="15"/>
        <v>-6.37439734999999</v>
      </c>
      <c r="V15" s="12">
        <f t="shared" si="15"/>
        <v>-6.37439734999999</v>
      </c>
      <c r="W15" s="12">
        <f t="shared" si="15"/>
        <v>-6.37439734999999</v>
      </c>
    </row>
    <row r="16" spans="1:279" x14ac:dyDescent="0.25">
      <c r="C16" s="1" t="s">
        <v>64</v>
      </c>
      <c r="D16" s="10">
        <f t="shared" ref="D16:L16" si="16">SUM(D14:D15)</f>
        <v>11.633000000000022</v>
      </c>
      <c r="E16" s="10">
        <f t="shared" si="16"/>
        <v>37.616000000000049</v>
      </c>
      <c r="F16" s="10">
        <f t="shared" si="16"/>
        <v>76.776999999999859</v>
      </c>
      <c r="G16" s="10">
        <f t="shared" si="16"/>
        <v>102.96600000000005</v>
      </c>
      <c r="H16" s="10">
        <f t="shared" si="16"/>
        <v>77.756000000000043</v>
      </c>
      <c r="I16" s="10">
        <f t="shared" si="16"/>
        <v>90.295599999999922</v>
      </c>
      <c r="J16" s="10">
        <f t="shared" si="16"/>
        <v>76.227999999999938</v>
      </c>
      <c r="K16" s="10">
        <f t="shared" si="16"/>
        <v>46.818999999999917</v>
      </c>
      <c r="L16" s="10">
        <f t="shared" si="16"/>
        <v>4.6129999999999267</v>
      </c>
      <c r="M16" s="11">
        <f t="shared" ref="M16" si="17">SUM(M14:M15)</f>
        <v>0.6671119999998496</v>
      </c>
      <c r="N16" s="10">
        <f t="shared" ref="N16:W16" si="18">SUM(N14:N15)</f>
        <v>25.49758939999996</v>
      </c>
      <c r="O16" s="10">
        <f t="shared" si="18"/>
        <v>25.49758939999996</v>
      </c>
      <c r="P16" s="10">
        <f t="shared" si="18"/>
        <v>25.49758939999996</v>
      </c>
      <c r="Q16" s="10">
        <f t="shared" si="18"/>
        <v>25.49758939999996</v>
      </c>
      <c r="R16" s="10">
        <f t="shared" si="18"/>
        <v>25.49758939999996</v>
      </c>
      <c r="S16" s="10">
        <f t="shared" si="18"/>
        <v>25.49758939999996</v>
      </c>
      <c r="T16" s="10">
        <f t="shared" si="18"/>
        <v>25.49758939999996</v>
      </c>
      <c r="U16" s="10">
        <f t="shared" si="18"/>
        <v>25.49758939999996</v>
      </c>
      <c r="V16" s="10">
        <f t="shared" si="18"/>
        <v>25.49758939999996</v>
      </c>
      <c r="W16" s="10">
        <f t="shared" si="18"/>
        <v>25.49758939999996</v>
      </c>
      <c r="X16" s="10">
        <f>W16*(1+$Z$20)</f>
        <v>25.242613505999959</v>
      </c>
      <c r="Y16" s="10">
        <f t="shared" ref="Y16:CJ16" si="19">X16*(1+$Z$20)</f>
        <v>24.99018737093996</v>
      </c>
      <c r="Z16" s="10">
        <f t="shared" si="19"/>
        <v>24.740285497230559</v>
      </c>
      <c r="AA16" s="10">
        <f t="shared" si="19"/>
        <v>24.492882642258252</v>
      </c>
      <c r="AB16" s="10">
        <f t="shared" si="19"/>
        <v>24.247953815835668</v>
      </c>
      <c r="AC16" s="10">
        <f t="shared" si="19"/>
        <v>24.005474277677312</v>
      </c>
      <c r="AD16" s="10">
        <f t="shared" si="19"/>
        <v>23.765419534900538</v>
      </c>
      <c r="AE16" s="10">
        <f t="shared" si="19"/>
        <v>23.527765339551532</v>
      </c>
      <c r="AF16" s="10">
        <f t="shared" si="19"/>
        <v>23.292487686156015</v>
      </c>
      <c r="AG16" s="10">
        <f t="shared" si="19"/>
        <v>23.059562809294455</v>
      </c>
      <c r="AH16" s="10">
        <f t="shared" si="19"/>
        <v>22.828967181201509</v>
      </c>
      <c r="AI16" s="10">
        <f t="shared" si="19"/>
        <v>22.600677509389495</v>
      </c>
      <c r="AJ16" s="10">
        <f t="shared" si="19"/>
        <v>22.374670734295599</v>
      </c>
      <c r="AK16" s="10">
        <f t="shared" si="19"/>
        <v>22.150924026952641</v>
      </c>
      <c r="AL16" s="10">
        <f t="shared" si="19"/>
        <v>21.929414786683115</v>
      </c>
      <c r="AM16" s="10">
        <f t="shared" si="19"/>
        <v>21.710120638816282</v>
      </c>
      <c r="AN16" s="10">
        <f t="shared" si="19"/>
        <v>21.493019432428117</v>
      </c>
      <c r="AO16" s="10">
        <f t="shared" si="19"/>
        <v>21.278089238103835</v>
      </c>
      <c r="AP16" s="10">
        <f t="shared" si="19"/>
        <v>21.065308345722798</v>
      </c>
      <c r="AQ16" s="10">
        <f t="shared" si="19"/>
        <v>20.85465526226557</v>
      </c>
      <c r="AR16" s="10">
        <f t="shared" si="19"/>
        <v>20.646108709642913</v>
      </c>
      <c r="AS16" s="10">
        <f t="shared" si="19"/>
        <v>20.439647622546484</v>
      </c>
      <c r="AT16" s="10">
        <f t="shared" si="19"/>
        <v>20.235251146321019</v>
      </c>
      <c r="AU16" s="10">
        <f t="shared" si="19"/>
        <v>20.032898634857808</v>
      </c>
      <c r="AV16" s="10">
        <f t="shared" si="19"/>
        <v>19.832569648509232</v>
      </c>
      <c r="AW16" s="10">
        <f t="shared" si="19"/>
        <v>19.634243952024139</v>
      </c>
      <c r="AX16" s="10">
        <f t="shared" si="19"/>
        <v>19.437901512503899</v>
      </c>
      <c r="AY16" s="10">
        <f t="shared" si="19"/>
        <v>19.243522497378859</v>
      </c>
      <c r="AZ16" s="10">
        <f t="shared" si="19"/>
        <v>19.05108727240507</v>
      </c>
      <c r="BA16" s="10">
        <f t="shared" si="19"/>
        <v>18.860576399681019</v>
      </c>
      <c r="BB16" s="10">
        <f t="shared" si="19"/>
        <v>18.671970635684207</v>
      </c>
      <c r="BC16" s="10">
        <f t="shared" si="19"/>
        <v>18.485250929327364</v>
      </c>
      <c r="BD16" s="10">
        <f t="shared" si="19"/>
        <v>18.300398420034089</v>
      </c>
      <c r="BE16" s="10">
        <f t="shared" si="19"/>
        <v>18.117394435833749</v>
      </c>
      <c r="BF16" s="10">
        <f t="shared" si="19"/>
        <v>17.93622049147541</v>
      </c>
      <c r="BG16" s="10">
        <f t="shared" si="19"/>
        <v>17.756858286560657</v>
      </c>
      <c r="BH16" s="10">
        <f t="shared" si="19"/>
        <v>17.57928970369505</v>
      </c>
      <c r="BI16" s="10">
        <f t="shared" si="19"/>
        <v>17.403496806658101</v>
      </c>
      <c r="BJ16" s="10">
        <f t="shared" si="19"/>
        <v>17.229461838591519</v>
      </c>
      <c r="BK16" s="10">
        <f t="shared" si="19"/>
        <v>17.057167220205603</v>
      </c>
      <c r="BL16" s="10">
        <f t="shared" si="19"/>
        <v>16.886595548003548</v>
      </c>
      <c r="BM16" s="10">
        <f t="shared" si="19"/>
        <v>16.717729592523511</v>
      </c>
      <c r="BN16" s="10">
        <f t="shared" si="19"/>
        <v>16.550552296598276</v>
      </c>
      <c r="BO16" s="10">
        <f t="shared" si="19"/>
        <v>16.385046773632293</v>
      </c>
      <c r="BP16" s="10">
        <f t="shared" si="19"/>
        <v>16.221196305895969</v>
      </c>
      <c r="BQ16" s="10">
        <f t="shared" si="19"/>
        <v>16.058984342837007</v>
      </c>
      <c r="BR16" s="10">
        <f t="shared" si="19"/>
        <v>15.898394499408637</v>
      </c>
      <c r="BS16" s="10">
        <f t="shared" si="19"/>
        <v>15.739410554414551</v>
      </c>
      <c r="BT16" s="10">
        <f t="shared" si="19"/>
        <v>15.582016448870405</v>
      </c>
      <c r="BU16" s="10">
        <f t="shared" si="19"/>
        <v>15.426196284381701</v>
      </c>
      <c r="BV16" s="10">
        <f t="shared" si="19"/>
        <v>15.271934321537884</v>
      </c>
      <c r="BW16" s="10">
        <f t="shared" si="19"/>
        <v>15.119214978322505</v>
      </c>
      <c r="BX16" s="10">
        <f t="shared" si="19"/>
        <v>14.968022828539279</v>
      </c>
      <c r="BY16" s="10">
        <f t="shared" si="19"/>
        <v>14.818342600253887</v>
      </c>
      <c r="BZ16" s="10">
        <f t="shared" si="19"/>
        <v>14.670159174251348</v>
      </c>
      <c r="CA16" s="10">
        <f t="shared" si="19"/>
        <v>14.523457582508835</v>
      </c>
      <c r="CB16" s="10">
        <f t="shared" si="19"/>
        <v>14.378223006683745</v>
      </c>
      <c r="CC16" s="10">
        <f t="shared" si="19"/>
        <v>14.234440776616907</v>
      </c>
      <c r="CD16" s="10">
        <f t="shared" si="19"/>
        <v>14.092096368850738</v>
      </c>
      <c r="CE16" s="10">
        <f t="shared" si="19"/>
        <v>13.95117540516223</v>
      </c>
      <c r="CF16" s="10">
        <f t="shared" si="19"/>
        <v>13.811663651110608</v>
      </c>
      <c r="CG16" s="10">
        <f t="shared" si="19"/>
        <v>13.673547014599501</v>
      </c>
      <c r="CH16" s="10">
        <f t="shared" si="19"/>
        <v>13.536811544453506</v>
      </c>
      <c r="CI16" s="10">
        <f t="shared" si="19"/>
        <v>13.401443429008971</v>
      </c>
      <c r="CJ16" s="10">
        <f t="shared" si="19"/>
        <v>13.26742899471888</v>
      </c>
      <c r="CK16" s="10">
        <f t="shared" ref="CK16:EV16" si="20">CJ16*(1+$Z$20)</f>
        <v>13.134754704771691</v>
      </c>
      <c r="CL16" s="10">
        <f t="shared" si="20"/>
        <v>13.003407157723974</v>
      </c>
      <c r="CM16" s="10">
        <f t="shared" si="20"/>
        <v>12.873373086146733</v>
      </c>
      <c r="CN16" s="10">
        <f t="shared" si="20"/>
        <v>12.744639355285265</v>
      </c>
      <c r="CO16" s="10">
        <f t="shared" si="20"/>
        <v>12.617192961732412</v>
      </c>
      <c r="CP16" s="10">
        <f t="shared" si="20"/>
        <v>12.491021032115087</v>
      </c>
      <c r="CQ16" s="10">
        <f t="shared" si="20"/>
        <v>12.366110821793937</v>
      </c>
      <c r="CR16" s="10">
        <f t="shared" si="20"/>
        <v>12.242449713575997</v>
      </c>
      <c r="CS16" s="10">
        <f t="shared" si="20"/>
        <v>12.120025216440236</v>
      </c>
      <c r="CT16" s="10">
        <f t="shared" si="20"/>
        <v>11.998824964275833</v>
      </c>
      <c r="CU16" s="10">
        <f t="shared" si="20"/>
        <v>11.878836714633074</v>
      </c>
      <c r="CV16" s="10">
        <f t="shared" si="20"/>
        <v>11.760048347486743</v>
      </c>
      <c r="CW16" s="10">
        <f t="shared" si="20"/>
        <v>11.642447864011876</v>
      </c>
      <c r="CX16" s="10">
        <f t="shared" si="20"/>
        <v>11.526023385371758</v>
      </c>
      <c r="CY16" s="10">
        <f t="shared" si="20"/>
        <v>11.41076315151804</v>
      </c>
      <c r="CZ16" s="10">
        <f t="shared" si="20"/>
        <v>11.29665552000286</v>
      </c>
      <c r="DA16" s="10">
        <f t="shared" si="20"/>
        <v>11.183688964802831</v>
      </c>
      <c r="DB16" s="10">
        <f t="shared" si="20"/>
        <v>11.071852075154803</v>
      </c>
      <c r="DC16" s="10">
        <f t="shared" si="20"/>
        <v>10.961133554403254</v>
      </c>
      <c r="DD16" s="10">
        <f t="shared" si="20"/>
        <v>10.851522218859222</v>
      </c>
      <c r="DE16" s="10">
        <f t="shared" si="20"/>
        <v>10.74300699667063</v>
      </c>
      <c r="DF16" s="10">
        <f t="shared" si="20"/>
        <v>10.635576926703923</v>
      </c>
      <c r="DG16" s="10">
        <f t="shared" si="20"/>
        <v>10.529221157436883</v>
      </c>
      <c r="DH16" s="10">
        <f t="shared" si="20"/>
        <v>10.423928945862514</v>
      </c>
      <c r="DI16" s="10">
        <f t="shared" si="20"/>
        <v>10.319689656403888</v>
      </c>
      <c r="DJ16" s="10">
        <f t="shared" si="20"/>
        <v>10.216492759839849</v>
      </c>
      <c r="DK16" s="10">
        <f t="shared" si="20"/>
        <v>10.11432783224145</v>
      </c>
      <c r="DL16" s="10">
        <f t="shared" si="20"/>
        <v>10.013184553919036</v>
      </c>
      <c r="DM16" s="10">
        <f t="shared" si="20"/>
        <v>9.9130527083798459</v>
      </c>
      <c r="DN16" s="10">
        <f t="shared" si="20"/>
        <v>9.8139221812960482</v>
      </c>
      <c r="DO16" s="10">
        <f t="shared" si="20"/>
        <v>9.7157829594830876</v>
      </c>
      <c r="DP16" s="10">
        <f t="shared" si="20"/>
        <v>9.6186251298882564</v>
      </c>
      <c r="DQ16" s="10">
        <f t="shared" si="20"/>
        <v>9.522438878589373</v>
      </c>
      <c r="DR16" s="10">
        <f t="shared" si="20"/>
        <v>9.4272144898034789</v>
      </c>
      <c r="DS16" s="10">
        <f t="shared" si="20"/>
        <v>9.3329423449054438</v>
      </c>
      <c r="DT16" s="10">
        <f t="shared" si="20"/>
        <v>9.2396129214563896</v>
      </c>
      <c r="DU16" s="10">
        <f t="shared" si="20"/>
        <v>9.1472167922418262</v>
      </c>
      <c r="DV16" s="10">
        <f t="shared" si="20"/>
        <v>9.0557446243194075</v>
      </c>
      <c r="DW16" s="10">
        <f t="shared" si="20"/>
        <v>8.9651871780762136</v>
      </c>
      <c r="DX16" s="10">
        <f t="shared" si="20"/>
        <v>8.8755353062954505</v>
      </c>
      <c r="DY16" s="10">
        <f t="shared" si="20"/>
        <v>8.7867799532324966</v>
      </c>
      <c r="DZ16" s="10">
        <f t="shared" si="20"/>
        <v>8.6989121537001708</v>
      </c>
      <c r="EA16" s="10">
        <f t="shared" si="20"/>
        <v>8.611923032163169</v>
      </c>
      <c r="EB16" s="10">
        <f t="shared" si="20"/>
        <v>8.525803801841537</v>
      </c>
      <c r="EC16" s="10">
        <f t="shared" si="20"/>
        <v>8.4405457638231223</v>
      </c>
      <c r="ED16" s="10">
        <f t="shared" si="20"/>
        <v>8.3561403061848907</v>
      </c>
      <c r="EE16" s="10">
        <f t="shared" si="20"/>
        <v>8.2725789031230423</v>
      </c>
      <c r="EF16" s="10">
        <f t="shared" si="20"/>
        <v>8.1898531140918127</v>
      </c>
      <c r="EG16" s="10">
        <f t="shared" si="20"/>
        <v>8.1079545829508941</v>
      </c>
      <c r="EH16" s="10">
        <f t="shared" si="20"/>
        <v>8.0268750371213855</v>
      </c>
      <c r="EI16" s="10">
        <f t="shared" si="20"/>
        <v>7.9466062867501712</v>
      </c>
      <c r="EJ16" s="10">
        <f t="shared" si="20"/>
        <v>7.8671402238826698</v>
      </c>
      <c r="EK16" s="10">
        <f t="shared" si="20"/>
        <v>7.7884688216438427</v>
      </c>
      <c r="EL16" s="10">
        <f t="shared" si="20"/>
        <v>7.7105841334274041</v>
      </c>
      <c r="EM16" s="10">
        <f t="shared" si="20"/>
        <v>7.6334782920931303</v>
      </c>
      <c r="EN16" s="10">
        <f t="shared" si="20"/>
        <v>7.5571435091721986</v>
      </c>
      <c r="EO16" s="10">
        <f t="shared" si="20"/>
        <v>7.4815720740804768</v>
      </c>
      <c r="EP16" s="10">
        <f t="shared" si="20"/>
        <v>7.4067563533396719</v>
      </c>
      <c r="EQ16" s="10">
        <f t="shared" si="20"/>
        <v>7.3326887898062747</v>
      </c>
      <c r="ER16" s="10">
        <f t="shared" si="20"/>
        <v>7.2593619019082123</v>
      </c>
      <c r="ES16" s="10">
        <f t="shared" si="20"/>
        <v>7.1867682828891297</v>
      </c>
      <c r="ET16" s="10">
        <f t="shared" si="20"/>
        <v>7.1149006000602384</v>
      </c>
      <c r="EU16" s="10">
        <f t="shared" si="20"/>
        <v>7.0437515940596356</v>
      </c>
      <c r="EV16" s="10">
        <f t="shared" si="20"/>
        <v>6.9733140781190395</v>
      </c>
      <c r="EW16" s="10">
        <f t="shared" ref="EW16:HH16" si="21">EV16*(1+$Z$20)</f>
        <v>6.9035809373378489</v>
      </c>
      <c r="EX16" s="10">
        <f t="shared" si="21"/>
        <v>6.8345451279644704</v>
      </c>
      <c r="EY16" s="10">
        <f t="shared" si="21"/>
        <v>6.7661996766848258</v>
      </c>
      <c r="EZ16" s="10">
        <f t="shared" si="21"/>
        <v>6.6985376799179779</v>
      </c>
      <c r="FA16" s="10">
        <f t="shared" si="21"/>
        <v>6.6315523031187977</v>
      </c>
      <c r="FB16" s="10">
        <f t="shared" si="21"/>
        <v>6.5652367800876101</v>
      </c>
      <c r="FC16" s="10">
        <f t="shared" si="21"/>
        <v>6.4995844122867341</v>
      </c>
      <c r="FD16" s="10">
        <f t="shared" si="21"/>
        <v>6.4345885681638668</v>
      </c>
      <c r="FE16" s="10">
        <f t="shared" si="21"/>
        <v>6.3702426824822282</v>
      </c>
      <c r="FF16" s="10">
        <f t="shared" si="21"/>
        <v>6.3065402556574055</v>
      </c>
      <c r="FG16" s="10">
        <f t="shared" si="21"/>
        <v>6.2434748531008317</v>
      </c>
      <c r="FH16" s="10">
        <f t="shared" si="21"/>
        <v>6.1810401045698233</v>
      </c>
      <c r="FI16" s="10">
        <f t="shared" si="21"/>
        <v>6.119229703524125</v>
      </c>
      <c r="FJ16" s="10">
        <f t="shared" si="21"/>
        <v>6.058037406488884</v>
      </c>
      <c r="FK16" s="10">
        <f t="shared" si="21"/>
        <v>5.9974570324239949</v>
      </c>
      <c r="FL16" s="10">
        <f t="shared" si="21"/>
        <v>5.9374824620997551</v>
      </c>
      <c r="FM16" s="10">
        <f t="shared" si="21"/>
        <v>5.8781076374787578</v>
      </c>
      <c r="FN16" s="10">
        <f t="shared" si="21"/>
        <v>5.8193265611039697</v>
      </c>
      <c r="FO16" s="10">
        <f t="shared" si="21"/>
        <v>5.7611332954929297</v>
      </c>
      <c r="FP16" s="10">
        <f t="shared" si="21"/>
        <v>5.7035219625380007</v>
      </c>
      <c r="FQ16" s="10">
        <f t="shared" si="21"/>
        <v>5.6464867429126206</v>
      </c>
      <c r="FR16" s="10">
        <f t="shared" si="21"/>
        <v>5.5900218754834947</v>
      </c>
      <c r="FS16" s="10">
        <f t="shared" si="21"/>
        <v>5.5341216567286597</v>
      </c>
      <c r="FT16" s="10">
        <f t="shared" si="21"/>
        <v>5.4787804401613727</v>
      </c>
      <c r="FU16" s="10">
        <f t="shared" si="21"/>
        <v>5.4239926357597588</v>
      </c>
      <c r="FV16" s="10">
        <f t="shared" si="21"/>
        <v>5.3697527094021611</v>
      </c>
      <c r="FW16" s="10">
        <f t="shared" si="21"/>
        <v>5.3160551823081397</v>
      </c>
      <c r="FX16" s="10">
        <f t="shared" si="21"/>
        <v>5.2628946304850581</v>
      </c>
      <c r="FY16" s="10">
        <f t="shared" si="21"/>
        <v>5.2102656841802073</v>
      </c>
      <c r="FZ16" s="10">
        <f t="shared" si="21"/>
        <v>5.1581630273384054</v>
      </c>
      <c r="GA16" s="10">
        <f t="shared" si="21"/>
        <v>5.1065813970650211</v>
      </c>
      <c r="GB16" s="10">
        <f t="shared" si="21"/>
        <v>5.0555155830943708</v>
      </c>
      <c r="GC16" s="10">
        <f t="shared" si="21"/>
        <v>5.0049604272634269</v>
      </c>
      <c r="GD16" s="10">
        <f t="shared" si="21"/>
        <v>4.9549108229907928</v>
      </c>
      <c r="GE16" s="10">
        <f t="shared" si="21"/>
        <v>4.9053617147608852</v>
      </c>
      <c r="GF16" s="10">
        <f t="shared" si="21"/>
        <v>4.856308097613276</v>
      </c>
      <c r="GG16" s="10">
        <f t="shared" si="21"/>
        <v>4.8077450166371429</v>
      </c>
      <c r="GH16" s="10">
        <f t="shared" si="21"/>
        <v>4.759667566470771</v>
      </c>
      <c r="GI16" s="10">
        <f t="shared" si="21"/>
        <v>4.7120708908060633</v>
      </c>
      <c r="GJ16" s="10">
        <f t="shared" si="21"/>
        <v>4.6649501818980026</v>
      </c>
      <c r="GK16" s="10">
        <f t="shared" si="21"/>
        <v>4.6183006800790229</v>
      </c>
      <c r="GL16" s="10">
        <f t="shared" si="21"/>
        <v>4.5721176732782327</v>
      </c>
      <c r="GM16" s="10">
        <f t="shared" si="21"/>
        <v>4.5263964965454502</v>
      </c>
      <c r="GN16" s="10">
        <f t="shared" si="21"/>
        <v>4.4811325315799957</v>
      </c>
      <c r="GO16" s="10">
        <f t="shared" si="21"/>
        <v>4.4363212062641955</v>
      </c>
      <c r="GP16" s="10">
        <f t="shared" si="21"/>
        <v>4.3919579942015536</v>
      </c>
      <c r="GQ16" s="10">
        <f t="shared" si="21"/>
        <v>4.3480384142595376</v>
      </c>
      <c r="GR16" s="10">
        <f t="shared" si="21"/>
        <v>4.3045580301169419</v>
      </c>
      <c r="GS16" s="10">
        <f t="shared" si="21"/>
        <v>4.2615124498157728</v>
      </c>
      <c r="GT16" s="10">
        <f t="shared" si="21"/>
        <v>4.2188973253176147</v>
      </c>
      <c r="GU16" s="10">
        <f t="shared" si="21"/>
        <v>4.1767083520644386</v>
      </c>
      <c r="GV16" s="10">
        <f t="shared" si="21"/>
        <v>4.1349412685437938</v>
      </c>
      <c r="GW16" s="10">
        <f t="shared" si="21"/>
        <v>4.0935918558583557</v>
      </c>
      <c r="GX16" s="10">
        <f t="shared" si="21"/>
        <v>4.0526559372997717</v>
      </c>
      <c r="GY16" s="10">
        <f t="shared" si="21"/>
        <v>4.0121293779267742</v>
      </c>
      <c r="GZ16" s="10">
        <f t="shared" si="21"/>
        <v>3.9720080841475065</v>
      </c>
      <c r="HA16" s="10">
        <f t="shared" si="21"/>
        <v>3.9322880033060312</v>
      </c>
      <c r="HB16" s="10">
        <f t="shared" si="21"/>
        <v>3.8929651232729707</v>
      </c>
      <c r="HC16" s="10">
        <f t="shared" si="21"/>
        <v>3.8540354720402408</v>
      </c>
      <c r="HD16" s="10">
        <f t="shared" si="21"/>
        <v>3.8154951173198381</v>
      </c>
      <c r="HE16" s="10">
        <f t="shared" si="21"/>
        <v>3.7773401661466397</v>
      </c>
      <c r="HF16" s="10">
        <f t="shared" si="21"/>
        <v>3.7395667644851733</v>
      </c>
      <c r="HG16" s="10">
        <f t="shared" si="21"/>
        <v>3.7021710968403214</v>
      </c>
      <c r="HH16" s="10">
        <f t="shared" si="21"/>
        <v>3.665149385871918</v>
      </c>
      <c r="HI16" s="10">
        <f t="shared" ref="HI16:JS16" si="22">HH16*(1+$Z$20)</f>
        <v>3.6284978920131987</v>
      </c>
      <c r="HJ16" s="10">
        <f t="shared" si="22"/>
        <v>3.5922129130930669</v>
      </c>
      <c r="HK16" s="10">
        <f t="shared" si="22"/>
        <v>3.5562907839621363</v>
      </c>
      <c r="HL16" s="10">
        <f t="shared" si="22"/>
        <v>3.5207278761225149</v>
      </c>
      <c r="HM16" s="10">
        <f t="shared" si="22"/>
        <v>3.4855205973612899</v>
      </c>
      <c r="HN16" s="10">
        <f t="shared" si="22"/>
        <v>3.4506653913876768</v>
      </c>
      <c r="HO16" s="10">
        <f t="shared" si="22"/>
        <v>3.4161587374738001</v>
      </c>
      <c r="HP16" s="10">
        <f t="shared" si="22"/>
        <v>3.3819971500990622</v>
      </c>
      <c r="HQ16" s="10">
        <f t="shared" si="22"/>
        <v>3.3481771785980716</v>
      </c>
      <c r="HR16" s="10">
        <f t="shared" si="22"/>
        <v>3.3146954068120911</v>
      </c>
      <c r="HS16" s="10">
        <f t="shared" si="22"/>
        <v>3.2815484527439702</v>
      </c>
      <c r="HT16" s="10">
        <f t="shared" si="22"/>
        <v>3.2487329682165305</v>
      </c>
      <c r="HU16" s="10">
        <f t="shared" si="22"/>
        <v>3.2162456385343652</v>
      </c>
      <c r="HV16" s="10">
        <f t="shared" si="22"/>
        <v>3.1840831821490214</v>
      </c>
      <c r="HW16" s="10">
        <f t="shared" si="22"/>
        <v>3.1522423503275312</v>
      </c>
      <c r="HX16" s="10">
        <f t="shared" si="22"/>
        <v>3.1207199268242558</v>
      </c>
      <c r="HY16" s="10">
        <f t="shared" si="22"/>
        <v>3.0895127275560132</v>
      </c>
      <c r="HZ16" s="10">
        <f t="shared" si="22"/>
        <v>3.0586176002804533</v>
      </c>
      <c r="IA16" s="10">
        <f t="shared" si="22"/>
        <v>3.0280314242776485</v>
      </c>
      <c r="IB16" s="10">
        <f t="shared" si="22"/>
        <v>2.9977511100348719</v>
      </c>
      <c r="IC16" s="10">
        <f t="shared" si="22"/>
        <v>2.9677735989345231</v>
      </c>
      <c r="ID16" s="10">
        <f t="shared" si="22"/>
        <v>2.9380958629451777</v>
      </c>
      <c r="IE16" s="10">
        <f t="shared" si="22"/>
        <v>2.9087149043157257</v>
      </c>
      <c r="IF16" s="10">
        <f t="shared" si="22"/>
        <v>2.8796277552725682</v>
      </c>
      <c r="IG16" s="10">
        <f t="shared" si="22"/>
        <v>2.8508314777198427</v>
      </c>
      <c r="IH16" s="10">
        <f t="shared" si="22"/>
        <v>2.8223231629426442</v>
      </c>
      <c r="II16" s="10">
        <f t="shared" si="22"/>
        <v>2.7940999313132178</v>
      </c>
      <c r="IJ16" s="10">
        <f t="shared" si="22"/>
        <v>2.7661589320000854</v>
      </c>
      <c r="IK16" s="10">
        <f t="shared" si="22"/>
        <v>2.7384973426800845</v>
      </c>
      <c r="IL16" s="10">
        <f t="shared" si="22"/>
        <v>2.7111123692532835</v>
      </c>
      <c r="IM16" s="10">
        <f t="shared" si="22"/>
        <v>2.6840012455607507</v>
      </c>
      <c r="IN16" s="10">
        <f t="shared" si="22"/>
        <v>2.6571612331051431</v>
      </c>
      <c r="IO16" s="10">
        <f t="shared" si="22"/>
        <v>2.6305896207740918</v>
      </c>
      <c r="IP16" s="10">
        <f t="shared" si="22"/>
        <v>2.6042837245663506</v>
      </c>
      <c r="IQ16" s="10">
        <f t="shared" si="22"/>
        <v>2.5782408873206872</v>
      </c>
      <c r="IR16" s="10">
        <f t="shared" si="22"/>
        <v>2.5524584784474804</v>
      </c>
      <c r="IS16" s="10">
        <f t="shared" si="22"/>
        <v>2.5269338936630055</v>
      </c>
      <c r="IT16" s="10">
        <f t="shared" si="22"/>
        <v>2.5016645547263754</v>
      </c>
      <c r="IU16" s="10">
        <f t="shared" si="22"/>
        <v>2.4766479091791118</v>
      </c>
      <c r="IV16" s="10">
        <f t="shared" si="22"/>
        <v>2.4518814300873206</v>
      </c>
      <c r="IW16" s="10">
        <f t="shared" si="22"/>
        <v>2.4273626157864472</v>
      </c>
      <c r="IX16" s="10">
        <f t="shared" si="22"/>
        <v>2.4030889896285825</v>
      </c>
      <c r="IY16" s="10">
        <f t="shared" si="22"/>
        <v>2.3790580997322968</v>
      </c>
      <c r="IZ16" s="10">
        <f t="shared" si="22"/>
        <v>2.3552675187349736</v>
      </c>
      <c r="JA16" s="10">
        <f t="shared" si="22"/>
        <v>2.331714843547624</v>
      </c>
      <c r="JB16" s="10">
        <f t="shared" si="22"/>
        <v>2.3083976951121477</v>
      </c>
      <c r="JC16" s="10">
        <f t="shared" si="22"/>
        <v>2.2853137181610261</v>
      </c>
      <c r="JD16" s="10">
        <f t="shared" si="22"/>
        <v>2.262460580979416</v>
      </c>
      <c r="JE16" s="10">
        <f t="shared" si="22"/>
        <v>2.2398359751696217</v>
      </c>
      <c r="JF16" s="10">
        <f t="shared" si="22"/>
        <v>2.2174376154179254</v>
      </c>
      <c r="JG16" s="10">
        <f t="shared" si="22"/>
        <v>2.1952632392637463</v>
      </c>
      <c r="JH16" s="10">
        <f t="shared" si="22"/>
        <v>2.1733106068711088</v>
      </c>
      <c r="JI16" s="10">
        <f t="shared" si="22"/>
        <v>2.1515775008023978</v>
      </c>
      <c r="JJ16" s="10">
        <f t="shared" si="22"/>
        <v>2.1300617257943739</v>
      </c>
      <c r="JK16" s="10">
        <f t="shared" si="22"/>
        <v>2.10876110853643</v>
      </c>
      <c r="JL16" s="10">
        <f t="shared" si="22"/>
        <v>2.0876734974510658</v>
      </c>
      <c r="JM16" s="10">
        <f t="shared" si="22"/>
        <v>2.0667967624765553</v>
      </c>
      <c r="JN16" s="10">
        <f t="shared" si="22"/>
        <v>2.0461287948517897</v>
      </c>
      <c r="JO16" s="10">
        <f t="shared" si="22"/>
        <v>2.0256675069032717</v>
      </c>
      <c r="JP16" s="10">
        <f t="shared" si="22"/>
        <v>2.0054108318342387</v>
      </c>
      <c r="JQ16" s="10">
        <f t="shared" si="22"/>
        <v>1.9853567235158964</v>
      </c>
      <c r="JR16" s="10">
        <f t="shared" si="22"/>
        <v>1.9655031562807375</v>
      </c>
      <c r="JS16" s="10">
        <f t="shared" si="22"/>
        <v>1.94584812471793</v>
      </c>
    </row>
    <row r="17" spans="3:26" x14ac:dyDescent="0.25">
      <c r="C17" s="2" t="s">
        <v>65</v>
      </c>
      <c r="D17" s="22">
        <v>11.287000000000001</v>
      </c>
      <c r="E17" s="22">
        <v>13.7</v>
      </c>
      <c r="F17" s="22">
        <v>21.428999999999998</v>
      </c>
      <c r="G17" s="22">
        <v>21.460999999999999</v>
      </c>
      <c r="H17" s="22">
        <v>21.695</v>
      </c>
      <c r="I17" s="22">
        <v>21.908999999999999</v>
      </c>
      <c r="J17" s="22">
        <v>21.908999999999999</v>
      </c>
      <c r="K17" s="22">
        <v>21.908999999999999</v>
      </c>
      <c r="L17" s="22">
        <v>22.957999999999998</v>
      </c>
      <c r="M17" s="5">
        <v>22.957999999999998</v>
      </c>
      <c r="N17" s="22">
        <v>22.957999999999998</v>
      </c>
      <c r="O17" s="22">
        <v>22.957999999999998</v>
      </c>
      <c r="P17" s="22">
        <v>22.957999999999998</v>
      </c>
      <c r="Q17" s="22">
        <v>22.957999999999998</v>
      </c>
      <c r="R17" s="22">
        <v>22.957999999999998</v>
      </c>
      <c r="S17" s="22">
        <v>22.957999999999998</v>
      </c>
      <c r="T17" s="22">
        <v>22.957999999999998</v>
      </c>
      <c r="U17" s="22">
        <v>22.957999999999998</v>
      </c>
      <c r="V17" s="22">
        <v>22.957999999999998</v>
      </c>
      <c r="W17" s="22">
        <v>22.957999999999998</v>
      </c>
    </row>
    <row r="18" spans="3:26" x14ac:dyDescent="0.25">
      <c r="C18" s="2" t="s">
        <v>66</v>
      </c>
      <c r="D18" s="23">
        <f t="shared" ref="D18:L18" si="23">D16/D17</f>
        <v>1.0306547355364597</v>
      </c>
      <c r="E18" s="23">
        <f t="shared" si="23"/>
        <v>2.7456934306569383</v>
      </c>
      <c r="F18" s="23">
        <f t="shared" si="23"/>
        <v>3.5828550095664689</v>
      </c>
      <c r="G18" s="23">
        <f t="shared" si="23"/>
        <v>4.7978193001258127</v>
      </c>
      <c r="H18" s="23">
        <f t="shared" si="23"/>
        <v>3.5840516247983425</v>
      </c>
      <c r="I18" s="23">
        <f t="shared" si="23"/>
        <v>4.1213930348258669</v>
      </c>
      <c r="J18" s="23">
        <f t="shared" si="23"/>
        <v>3.4793007439864869</v>
      </c>
      <c r="K18" s="23">
        <f t="shared" si="23"/>
        <v>2.1369756720982207</v>
      </c>
      <c r="L18" s="23">
        <f t="shared" si="23"/>
        <v>0.20093213694572379</v>
      </c>
      <c r="M18" s="18">
        <f t="shared" ref="M18" si="24">M16/M17</f>
        <v>2.9057931875592372E-2</v>
      </c>
      <c r="N18" s="23">
        <f t="shared" ref="N18:W18" si="25">N16/N17</f>
        <v>1.1106189302204008</v>
      </c>
      <c r="O18" s="23">
        <f t="shared" si="25"/>
        <v>1.1106189302204008</v>
      </c>
      <c r="P18" s="23">
        <f t="shared" si="25"/>
        <v>1.1106189302204008</v>
      </c>
      <c r="Q18" s="23">
        <f t="shared" si="25"/>
        <v>1.1106189302204008</v>
      </c>
      <c r="R18" s="23">
        <f t="shared" si="25"/>
        <v>1.1106189302204008</v>
      </c>
      <c r="S18" s="23">
        <f t="shared" si="25"/>
        <v>1.1106189302204008</v>
      </c>
      <c r="T18" s="23">
        <f t="shared" si="25"/>
        <v>1.1106189302204008</v>
      </c>
      <c r="U18" s="23">
        <f t="shared" si="25"/>
        <v>1.1106189302204008</v>
      </c>
      <c r="V18" s="23">
        <f t="shared" si="25"/>
        <v>1.1106189302204008</v>
      </c>
      <c r="W18" s="23">
        <f t="shared" si="25"/>
        <v>1.1106189302204008</v>
      </c>
    </row>
    <row r="19" spans="3:26" x14ac:dyDescent="0.25">
      <c r="D19" s="12"/>
      <c r="E19" s="12"/>
      <c r="F19" s="12"/>
      <c r="G19" s="12"/>
      <c r="H19" s="12"/>
      <c r="I19" s="12"/>
      <c r="J19" s="12"/>
      <c r="K19" s="12"/>
      <c r="L19" s="12"/>
      <c r="M19" s="4"/>
      <c r="Y19" s="2" t="s">
        <v>115</v>
      </c>
      <c r="Z19" s="30">
        <v>0.08</v>
      </c>
    </row>
    <row r="20" spans="3:26" x14ac:dyDescent="0.25">
      <c r="C20" s="1" t="s">
        <v>38</v>
      </c>
      <c r="D20" s="25"/>
      <c r="E20" s="25">
        <f t="shared" ref="E20:H20" si="26">(E4-D4)/D4</f>
        <v>0.23370129975437018</v>
      </c>
      <c r="F20" s="25">
        <f t="shared" si="26"/>
        <v>6.9873027076164426E-2</v>
      </c>
      <c r="G20" s="25">
        <f t="shared" si="26"/>
        <v>0.1536342259170628</v>
      </c>
      <c r="H20" s="25">
        <f t="shared" si="26"/>
        <v>-1.6880972960130441E-2</v>
      </c>
      <c r="I20" s="25">
        <f>(J4-H4)/H4</f>
        <v>0.11129916666666664</v>
      </c>
      <c r="J20" s="25">
        <f t="shared" ref="J20:K20" si="27">(J4-I4)/I4</f>
        <v>0.19016442016523236</v>
      </c>
      <c r="K20" s="25">
        <f t="shared" si="27"/>
        <v>-8.8988938622138219E-2</v>
      </c>
      <c r="L20" s="25">
        <f>(L4-K4)/K4</f>
        <v>0.16711842335953878</v>
      </c>
      <c r="M20" s="28">
        <f t="shared" ref="M20:W20" si="28">(M4-L4)/L4</f>
        <v>-3.0000000000000079E-2</v>
      </c>
      <c r="N20" s="25">
        <f t="shared" si="28"/>
        <v>0</v>
      </c>
      <c r="O20" s="25">
        <f t="shared" si="28"/>
        <v>0</v>
      </c>
      <c r="P20" s="25">
        <f t="shared" si="28"/>
        <v>0</v>
      </c>
      <c r="Q20" s="25">
        <f t="shared" si="28"/>
        <v>0</v>
      </c>
      <c r="R20" s="25">
        <f t="shared" si="28"/>
        <v>0</v>
      </c>
      <c r="S20" s="25">
        <f t="shared" si="28"/>
        <v>0</v>
      </c>
      <c r="T20" s="25">
        <f t="shared" si="28"/>
        <v>0</v>
      </c>
      <c r="U20" s="25">
        <f t="shared" si="28"/>
        <v>0</v>
      </c>
      <c r="V20" s="25">
        <f t="shared" si="28"/>
        <v>0</v>
      </c>
      <c r="W20" s="25">
        <f t="shared" si="28"/>
        <v>0</v>
      </c>
      <c r="Y20" s="2" t="s">
        <v>116</v>
      </c>
      <c r="Z20" s="30">
        <v>-0.01</v>
      </c>
    </row>
    <row r="21" spans="3:26" x14ac:dyDescent="0.25">
      <c r="C21" s="2" t="s">
        <v>44</v>
      </c>
      <c r="D21" s="16">
        <f t="shared" ref="D21:H21" si="29">D6/D4</f>
        <v>0.23687739595041499</v>
      </c>
      <c r="E21" s="16">
        <f t="shared" si="29"/>
        <v>0.2506029115699363</v>
      </c>
      <c r="F21" s="16">
        <f t="shared" si="29"/>
        <v>0.2398691179639563</v>
      </c>
      <c r="G21" s="16">
        <f t="shared" si="29"/>
        <v>0.24578221455753502</v>
      </c>
      <c r="H21" s="16">
        <f t="shared" si="29"/>
        <v>0.2411841666666667</v>
      </c>
      <c r="I21" s="16">
        <f>J6/J4</f>
        <v>0.21566949793747406</v>
      </c>
      <c r="J21" s="16">
        <f t="shared" ref="J21:K21" si="30">J6/J4</f>
        <v>0.21566949793747406</v>
      </c>
      <c r="K21" s="16">
        <f t="shared" si="30"/>
        <v>0.2019570544421003</v>
      </c>
      <c r="L21" s="16">
        <f>L6/L4</f>
        <v>0.17487977081874323</v>
      </c>
      <c r="M21" s="17">
        <f t="shared" ref="M21:W21" si="31">M6/M4</f>
        <v>0.14641740077133172</v>
      </c>
      <c r="N21" s="16">
        <f t="shared" si="31"/>
        <v>0.17499999999999999</v>
      </c>
      <c r="O21" s="16">
        <f t="shared" si="31"/>
        <v>0.17499999999999999</v>
      </c>
      <c r="P21" s="16">
        <f t="shared" si="31"/>
        <v>0.17499999999999999</v>
      </c>
      <c r="Q21" s="16">
        <f t="shared" si="31"/>
        <v>0.17499999999999999</v>
      </c>
      <c r="R21" s="16">
        <f t="shared" si="31"/>
        <v>0.17499999999999999</v>
      </c>
      <c r="S21" s="16">
        <f t="shared" si="31"/>
        <v>0.17499999999999999</v>
      </c>
      <c r="T21" s="16">
        <f t="shared" si="31"/>
        <v>0.17499999999999999</v>
      </c>
      <c r="U21" s="16">
        <f t="shared" si="31"/>
        <v>0.17499999999999999</v>
      </c>
      <c r="V21" s="16">
        <f t="shared" si="31"/>
        <v>0.17499999999999999</v>
      </c>
      <c r="W21" s="16">
        <f t="shared" si="31"/>
        <v>0.17499999999999999</v>
      </c>
      <c r="Y21" s="29" t="s">
        <v>117</v>
      </c>
      <c r="Z21" s="31">
        <f>NPV(Z19,M16:JS16)</f>
        <v>279.32546612459737</v>
      </c>
    </row>
    <row r="22" spans="3:26" x14ac:dyDescent="0.25">
      <c r="C22" s="2" t="s">
        <v>39</v>
      </c>
      <c r="D22" s="16">
        <f t="shared" ref="D22:H22" si="32">D11/D4</f>
        <v>7.8821077003491738E-2</v>
      </c>
      <c r="E22" s="16">
        <f t="shared" si="32"/>
        <v>9.3246278127025559E-2</v>
      </c>
      <c r="F22" s="16">
        <f t="shared" si="32"/>
        <v>9.9926090589120262E-2</v>
      </c>
      <c r="G22" s="16">
        <f t="shared" si="32"/>
        <v>0.11506507019060223</v>
      </c>
      <c r="H22" s="16">
        <f t="shared" si="32"/>
        <v>9.6153333333333368E-2</v>
      </c>
      <c r="I22" s="16">
        <f>J11/J4</f>
        <v>7.687923818893648E-2</v>
      </c>
      <c r="J22" s="16">
        <f t="shared" ref="J22:K22" si="33">J11/J4</f>
        <v>7.687923818893648E-2</v>
      </c>
      <c r="K22" s="16">
        <f t="shared" si="33"/>
        <v>5.8128039891775875E-2</v>
      </c>
      <c r="L22" s="16">
        <f>L11/L4</f>
        <v>2.4574781175484835E-2</v>
      </c>
      <c r="M22" s="17">
        <f t="shared" ref="M22:W22" si="34">M11/M4</f>
        <v>1.0058234909406577E-2</v>
      </c>
      <c r="N22" s="16">
        <f t="shared" si="34"/>
        <v>2.3173231084026091E-2</v>
      </c>
      <c r="O22" s="16">
        <f t="shared" si="34"/>
        <v>2.3173231084026091E-2</v>
      </c>
      <c r="P22" s="16">
        <f t="shared" si="34"/>
        <v>2.3173231084026091E-2</v>
      </c>
      <c r="Q22" s="16">
        <f t="shared" si="34"/>
        <v>2.3173231084026091E-2</v>
      </c>
      <c r="R22" s="16">
        <f t="shared" si="34"/>
        <v>2.3173231084026091E-2</v>
      </c>
      <c r="S22" s="16">
        <f t="shared" si="34"/>
        <v>2.3173231084026091E-2</v>
      </c>
      <c r="T22" s="16">
        <f t="shared" si="34"/>
        <v>2.3173231084026091E-2</v>
      </c>
      <c r="U22" s="16">
        <f t="shared" si="34"/>
        <v>2.3173231084026091E-2</v>
      </c>
      <c r="V22" s="16">
        <f t="shared" si="34"/>
        <v>2.3173231084026091E-2</v>
      </c>
      <c r="W22" s="16">
        <f t="shared" si="34"/>
        <v>2.3173231084026091E-2</v>
      </c>
      <c r="Y22" s="2" t="s">
        <v>2</v>
      </c>
      <c r="Z22" s="22">
        <v>23.021999999999998</v>
      </c>
    </row>
    <row r="23" spans="3:26" x14ac:dyDescent="0.25">
      <c r="Y23" s="2" t="s">
        <v>118</v>
      </c>
      <c r="Z23" s="22">
        <f>Z21/Z22</f>
        <v>12.132980024524255</v>
      </c>
    </row>
    <row r="24" spans="3:26" x14ac:dyDescent="0.25">
      <c r="Y24" s="1" t="s">
        <v>119</v>
      </c>
      <c r="Z24" s="25">
        <f>(Z23-Modell!B4)/Modell!B4</f>
        <v>-0.34416324191760789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Financial position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2026-01-16T18:23:15Z</dcterms:modified>
</cp:coreProperties>
</file>