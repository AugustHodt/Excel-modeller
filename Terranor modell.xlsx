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1AB55F3A-B1DE-8042-9CD2-56388EBA5F14}" xr6:coauthVersionLast="47" xr6:coauthVersionMax="47" xr10:uidLastSave="{00000000-0000-0000-0000-000000000000}"/>
  <bookViews>
    <workbookView xWindow="25220" yWindow="500" windowWidth="24940" windowHeight="26500" activeTab="1" xr2:uid="{5AE0DF26-B7DD-1242-A60E-253C73A930AF}"/>
  </bookViews>
  <sheets>
    <sheet name="Info" sheetId="1" r:id="rId1"/>
    <sheet name="Modell" sheetId="2" r:id="rId2"/>
    <sheet name="Segementer" sheetId="4" r:id="rId3"/>
    <sheet name="SOTP" sheetId="6" r:id="rId4"/>
    <sheet name="Nøkkeltall" sheetId="3" r:id="rId5"/>
    <sheet name="Nedsideberegning" sheetId="5" r:id="rId6"/>
  </sheets>
  <definedNames>
    <definedName name="_xlchart.v1.0" hidden="1">SOTP!$C$7:$C$15</definedName>
    <definedName name="_xlchart.v1.1" hidden="1">SOTP!$G$7:$G$15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8" i="2" l="1"/>
  <c r="AC18" i="4"/>
  <c r="F12" i="6"/>
  <c r="G12" i="6" s="1"/>
  <c r="F9" i="6"/>
  <c r="G9" i="6" s="1"/>
  <c r="F8" i="6"/>
  <c r="G8" i="6" s="1"/>
  <c r="F7" i="6"/>
  <c r="G7" i="6" s="1"/>
  <c r="G13" i="6"/>
  <c r="F13" i="6"/>
  <c r="A4" i="6"/>
  <c r="Q13" i="4"/>
  <c r="Q14" i="4" s="1"/>
  <c r="Q11" i="4"/>
  <c r="Q12" i="4" s="1"/>
  <c r="Q18" i="4"/>
  <c r="Q19" i="4" s="1"/>
  <c r="Q16" i="4"/>
  <c r="Q17" i="4" s="1"/>
  <c r="V18" i="4"/>
  <c r="V19" i="4" s="1"/>
  <c r="V16" i="4"/>
  <c r="V14" i="4"/>
  <c r="V13" i="4"/>
  <c r="V11" i="4"/>
  <c r="AE28" i="2"/>
  <c r="AD28" i="2"/>
  <c r="AA29" i="2"/>
  <c r="AB29" i="2"/>
  <c r="AE8" i="2"/>
  <c r="AE9" i="2"/>
  <c r="AE10" i="2"/>
  <c r="AF10" i="2" s="1"/>
  <c r="AG10" i="2" s="1"/>
  <c r="AH10" i="2" s="1"/>
  <c r="AI10" i="2" s="1"/>
  <c r="AJ10" i="2" s="1"/>
  <c r="AK10" i="2" s="1"/>
  <c r="AL10" i="2" s="1"/>
  <c r="AD9" i="2"/>
  <c r="AD10" i="2"/>
  <c r="AD8" i="2"/>
  <c r="AE4" i="2"/>
  <c r="AD4" i="2"/>
  <c r="AD6" i="2" s="1"/>
  <c r="AB23" i="2"/>
  <c r="AF9" i="2"/>
  <c r="AG9" i="2" s="1"/>
  <c r="AH9" i="2" s="1"/>
  <c r="AI9" i="2" s="1"/>
  <c r="AJ9" i="2" s="1"/>
  <c r="AK9" i="2" s="1"/>
  <c r="AL9" i="2" s="1"/>
  <c r="AF8" i="2"/>
  <c r="AG8" i="2" s="1"/>
  <c r="AH8" i="2" s="1"/>
  <c r="AI8" i="2" s="1"/>
  <c r="AJ8" i="2" s="1"/>
  <c r="AK8" i="2" s="1"/>
  <c r="AL8" i="2" s="1"/>
  <c r="AC9" i="2"/>
  <c r="AC10" i="2"/>
  <c r="AC8" i="2"/>
  <c r="AC6" i="2"/>
  <c r="G10" i="6" l="1"/>
  <c r="G15" i="6" s="1"/>
  <c r="F10" i="6"/>
  <c r="F15" i="6" s="1"/>
  <c r="AA59" i="2" l="1"/>
  <c r="AA47" i="2"/>
  <c r="AA60" i="2" s="1"/>
  <c r="AA42" i="2"/>
  <c r="AB59" i="2"/>
  <c r="AB47" i="2"/>
  <c r="AB60" i="2" s="1"/>
  <c r="AB42" i="2"/>
  <c r="S29" i="2"/>
  <c r="R29" i="2"/>
  <c r="Q29" i="2"/>
  <c r="P29" i="2"/>
  <c r="O29" i="2"/>
  <c r="N29" i="2"/>
  <c r="M29" i="2"/>
  <c r="L29" i="2"/>
  <c r="T29" i="2"/>
  <c r="AC4" i="2"/>
  <c r="AE6" i="2" s="1"/>
  <c r="Q8" i="4"/>
  <c r="Q9" i="4" s="1"/>
  <c r="Q6" i="4"/>
  <c r="Q7" i="4" s="1"/>
  <c r="V9" i="4"/>
  <c r="V8" i="4"/>
  <c r="V6" i="4"/>
  <c r="AA7" i="4" s="1"/>
  <c r="AA17" i="4"/>
  <c r="Z17" i="4"/>
  <c r="Y17" i="4"/>
  <c r="X17" i="4"/>
  <c r="W17" i="4"/>
  <c r="AA12" i="4"/>
  <c r="Z12" i="4"/>
  <c r="Y12" i="4"/>
  <c r="X12" i="4"/>
  <c r="W12" i="4"/>
  <c r="Z7" i="4"/>
  <c r="Y7" i="4"/>
  <c r="X7" i="4"/>
  <c r="W7" i="4"/>
  <c r="B8" i="2"/>
  <c r="B7" i="2"/>
  <c r="T81" i="2"/>
  <c r="T74" i="2"/>
  <c r="T70" i="2"/>
  <c r="T59" i="2"/>
  <c r="T47" i="2"/>
  <c r="T42" i="2"/>
  <c r="T26" i="2"/>
  <c r="T20" i="2"/>
  <c r="T7" i="2"/>
  <c r="T21" i="2" s="1"/>
  <c r="B12" i="2" l="1"/>
  <c r="T83" i="2"/>
  <c r="T85" i="2"/>
  <c r="T60" i="2"/>
  <c r="T11" i="2"/>
  <c r="T63" i="2" s="1"/>
  <c r="AA25" i="2"/>
  <c r="AA26" i="2" s="1"/>
  <c r="AB25" i="2"/>
  <c r="AB26" i="2" s="1"/>
  <c r="S69" i="2"/>
  <c r="S7" i="2"/>
  <c r="S11" i="2" s="1"/>
  <c r="S14" i="2" s="1"/>
  <c r="S16" i="2" s="1"/>
  <c r="S18" i="2" s="1"/>
  <c r="S26" i="2"/>
  <c r="T22" i="2" l="1"/>
  <c r="T14" i="2"/>
  <c r="T16" i="2" s="1"/>
  <c r="T18" i="2" s="1"/>
  <c r="S63" i="2"/>
  <c r="M26" i="2"/>
  <c r="N26" i="2"/>
  <c r="P26" i="2"/>
  <c r="Q26" i="2"/>
  <c r="R26" i="2"/>
  <c r="L26" i="2"/>
  <c r="O15" i="2"/>
  <c r="O13" i="2"/>
  <c r="O10" i="2"/>
  <c r="O9" i="2"/>
  <c r="O8" i="2"/>
  <c r="O6" i="2"/>
  <c r="O4" i="2"/>
  <c r="S20" i="2" s="1"/>
  <c r="O79" i="2"/>
  <c r="O78" i="2"/>
  <c r="O77" i="2"/>
  <c r="O76" i="2"/>
  <c r="O73" i="2"/>
  <c r="O69" i="2"/>
  <c r="O68" i="2"/>
  <c r="O67" i="2"/>
  <c r="O65" i="2"/>
  <c r="O64" i="2"/>
  <c r="V17" i="4"/>
  <c r="U17" i="4"/>
  <c r="T17" i="4"/>
  <c r="S17" i="4"/>
  <c r="R17" i="4"/>
  <c r="P17" i="4"/>
  <c r="O17" i="4"/>
  <c r="N17" i="4"/>
  <c r="M17" i="4"/>
  <c r="L17" i="4"/>
  <c r="K17" i="4"/>
  <c r="J17" i="4"/>
  <c r="I17" i="4"/>
  <c r="H17" i="4"/>
  <c r="V12" i="4"/>
  <c r="U12" i="4"/>
  <c r="T12" i="4"/>
  <c r="S12" i="4"/>
  <c r="R12" i="4"/>
  <c r="P12" i="4"/>
  <c r="O12" i="4"/>
  <c r="N12" i="4"/>
  <c r="M12" i="4"/>
  <c r="L12" i="4"/>
  <c r="K12" i="4"/>
  <c r="J12" i="4"/>
  <c r="I12" i="4"/>
  <c r="H12" i="4"/>
  <c r="H7" i="4"/>
  <c r="I7" i="4"/>
  <c r="J7" i="4"/>
  <c r="K7" i="4"/>
  <c r="L7" i="4"/>
  <c r="M7" i="4"/>
  <c r="N7" i="4"/>
  <c r="O7" i="4"/>
  <c r="P7" i="4"/>
  <c r="R7" i="4"/>
  <c r="S7" i="4"/>
  <c r="U7" i="4"/>
  <c r="V7" i="4"/>
  <c r="T7" i="4"/>
  <c r="I4" i="5"/>
  <c r="J4" i="5" s="1"/>
  <c r="K4" i="5" s="1"/>
  <c r="L4" i="5" s="1"/>
  <c r="M4" i="5" s="1"/>
  <c r="N4" i="5" s="1"/>
  <c r="O4" i="5" s="1"/>
  <c r="P4" i="5" s="1"/>
  <c r="Q4" i="5" s="1"/>
  <c r="H4" i="5"/>
  <c r="G20" i="5"/>
  <c r="F20" i="5"/>
  <c r="E20" i="5"/>
  <c r="F11" i="5"/>
  <c r="G7" i="5"/>
  <c r="F7" i="5"/>
  <c r="F21" i="5" s="1"/>
  <c r="E7" i="5"/>
  <c r="E11" i="5" s="1"/>
  <c r="D7" i="5"/>
  <c r="D11" i="5" s="1"/>
  <c r="S81" i="2"/>
  <c r="S74" i="2"/>
  <c r="S70" i="2"/>
  <c r="S85" i="2" s="1"/>
  <c r="S59" i="2"/>
  <c r="S47" i="2"/>
  <c r="AC20" i="2"/>
  <c r="AB7" i="2"/>
  <c r="AB11" i="2" s="1"/>
  <c r="AB20" i="2"/>
  <c r="M7" i="2"/>
  <c r="M11" i="2" s="1"/>
  <c r="M14" i="2" s="1"/>
  <c r="M16" i="2" s="1"/>
  <c r="M18" i="2" s="1"/>
  <c r="Q7" i="2"/>
  <c r="Q21" i="2" s="1"/>
  <c r="N72" i="2"/>
  <c r="O72" i="2" s="1"/>
  <c r="R72" i="2"/>
  <c r="S42" i="2"/>
  <c r="R42" i="2"/>
  <c r="Q42" i="2"/>
  <c r="N7" i="2"/>
  <c r="N11" i="2" s="1"/>
  <c r="N14" i="2" s="1"/>
  <c r="N16" i="2" s="1"/>
  <c r="N18" i="2" s="1"/>
  <c r="D18" i="2"/>
  <c r="E18" i="2"/>
  <c r="F18" i="2"/>
  <c r="G18" i="2"/>
  <c r="H18" i="2"/>
  <c r="I18" i="2"/>
  <c r="J18" i="2"/>
  <c r="K18" i="2"/>
  <c r="R7" i="2"/>
  <c r="R11" i="2" s="1"/>
  <c r="Q20" i="2"/>
  <c r="R20" i="2"/>
  <c r="S21" i="2"/>
  <c r="S22" i="2"/>
  <c r="O26" i="2" l="1"/>
  <c r="S83" i="2"/>
  <c r="AC7" i="2"/>
  <c r="O7" i="2"/>
  <c r="O11" i="2" s="1"/>
  <c r="O14" i="2" s="1"/>
  <c r="O16" i="2" s="1"/>
  <c r="O18" i="2" s="1"/>
  <c r="E14" i="5"/>
  <c r="E16" i="5" s="1"/>
  <c r="E18" i="5" s="1"/>
  <c r="E22" i="5"/>
  <c r="D14" i="5"/>
  <c r="D16" i="5" s="1"/>
  <c r="D18" i="5" s="1"/>
  <c r="D22" i="5"/>
  <c r="F14" i="5"/>
  <c r="F16" i="5" s="1"/>
  <c r="F18" i="5" s="1"/>
  <c r="F22" i="5"/>
  <c r="G21" i="5"/>
  <c r="G11" i="5"/>
  <c r="H6" i="5"/>
  <c r="H7" i="5" s="1"/>
  <c r="H20" i="5"/>
  <c r="E21" i="5"/>
  <c r="D21" i="5"/>
  <c r="S60" i="2"/>
  <c r="AB14" i="2"/>
  <c r="AB16" i="2" s="1"/>
  <c r="AB22" i="2"/>
  <c r="AB21" i="2"/>
  <c r="Q11" i="2"/>
  <c r="Q14" i="2" s="1"/>
  <c r="Q16" i="2" s="1"/>
  <c r="Q18" i="2" s="1"/>
  <c r="R14" i="2"/>
  <c r="R16" i="2" s="1"/>
  <c r="R18" i="2" s="1"/>
  <c r="R22" i="2"/>
  <c r="R21" i="2"/>
  <c r="AC11" i="2" l="1"/>
  <c r="AC21" i="2"/>
  <c r="AD20" i="2"/>
  <c r="AD7" i="2"/>
  <c r="H11" i="5"/>
  <c r="H21" i="5"/>
  <c r="I20" i="5"/>
  <c r="I6" i="5"/>
  <c r="I7" i="5" s="1"/>
  <c r="G14" i="5"/>
  <c r="G16" i="5" s="1"/>
  <c r="G18" i="5" s="1"/>
  <c r="G22" i="5"/>
  <c r="AB18" i="2"/>
  <c r="Q22" i="2"/>
  <c r="AC14" i="2" l="1"/>
  <c r="AC22" i="2"/>
  <c r="AD21" i="2"/>
  <c r="AD11" i="2"/>
  <c r="AE7" i="2"/>
  <c r="AF4" i="2"/>
  <c r="AF6" i="2" s="1"/>
  <c r="AE20" i="2"/>
  <c r="I11" i="5"/>
  <c r="I21" i="5"/>
  <c r="J20" i="5"/>
  <c r="J6" i="5"/>
  <c r="J7" i="5"/>
  <c r="H22" i="5"/>
  <c r="H14" i="5"/>
  <c r="AC15" i="2"/>
  <c r="AC16" i="2" s="1"/>
  <c r="AE21" i="2" l="1"/>
  <c r="AE11" i="2"/>
  <c r="AG4" i="2"/>
  <c r="AG6" i="2" s="1"/>
  <c r="AF7" i="2"/>
  <c r="AD14" i="2"/>
  <c r="AD15" i="2" s="1"/>
  <c r="AD16" i="2" s="1"/>
  <c r="AD18" i="2" s="1"/>
  <c r="AD22" i="2"/>
  <c r="AF20" i="2"/>
  <c r="AC18" i="2"/>
  <c r="K20" i="5"/>
  <c r="K6" i="5"/>
  <c r="K7" i="5"/>
  <c r="H15" i="5"/>
  <c r="H16" i="5" s="1"/>
  <c r="J11" i="5"/>
  <c r="J21" i="5"/>
  <c r="I22" i="5"/>
  <c r="I14" i="5"/>
  <c r="E7" i="3" l="1"/>
  <c r="D7" i="3"/>
  <c r="AE22" i="2"/>
  <c r="AE14" i="2"/>
  <c r="AE15" i="2" s="1"/>
  <c r="AE16" i="2" s="1"/>
  <c r="AF21" i="2"/>
  <c r="AF11" i="2"/>
  <c r="AG7" i="2"/>
  <c r="AG20" i="2"/>
  <c r="AH4" i="2"/>
  <c r="AH6" i="2" s="1"/>
  <c r="H18" i="5"/>
  <c r="J14" i="5"/>
  <c r="J22" i="5"/>
  <c r="K11" i="5"/>
  <c r="K21" i="5"/>
  <c r="L20" i="5"/>
  <c r="L6" i="5"/>
  <c r="L7" i="5" s="1"/>
  <c r="I15" i="5"/>
  <c r="I16" i="5" s="1"/>
  <c r="I18" i="5" s="1"/>
  <c r="AH7" i="2" l="1"/>
  <c r="AI4" i="2"/>
  <c r="AI6" i="2" s="1"/>
  <c r="AH20" i="2"/>
  <c r="AF14" i="2"/>
  <c r="AF15" i="2" s="1"/>
  <c r="AF16" i="2" s="1"/>
  <c r="AF18" i="2" s="1"/>
  <c r="AF22" i="2"/>
  <c r="AG11" i="2"/>
  <c r="AG21" i="2"/>
  <c r="AE18" i="2"/>
  <c r="L11" i="5"/>
  <c r="L21" i="5"/>
  <c r="M20" i="5"/>
  <c r="M6" i="5"/>
  <c r="M7" i="5" s="1"/>
  <c r="K14" i="5"/>
  <c r="K22" i="5"/>
  <c r="J15" i="5"/>
  <c r="J16" i="5" s="1"/>
  <c r="J18" i="5" s="1"/>
  <c r="F7" i="3" l="1"/>
  <c r="AG14" i="2"/>
  <c r="AG15" i="2" s="1"/>
  <c r="AG16" i="2" s="1"/>
  <c r="AG18" i="2" s="1"/>
  <c r="AG22" i="2"/>
  <c r="AH11" i="2"/>
  <c r="AH21" i="2"/>
  <c r="AI7" i="2"/>
  <c r="AI20" i="2"/>
  <c r="AJ4" i="2"/>
  <c r="AJ6" i="2" s="1"/>
  <c r="M11" i="5"/>
  <c r="M21" i="5"/>
  <c r="K15" i="5"/>
  <c r="K16" i="5"/>
  <c r="K18" i="5" s="1"/>
  <c r="N20" i="5"/>
  <c r="N6" i="5"/>
  <c r="N7" i="5" s="1"/>
  <c r="L14" i="5"/>
  <c r="L22" i="5"/>
  <c r="AI21" i="2" l="1"/>
  <c r="AI11" i="2"/>
  <c r="AK4" i="2"/>
  <c r="AK6" i="2" s="1"/>
  <c r="AJ20" i="2"/>
  <c r="AJ7" i="2"/>
  <c r="AH14" i="2"/>
  <c r="AH15" i="2" s="1"/>
  <c r="AH16" i="2" s="1"/>
  <c r="AH22" i="2"/>
  <c r="N21" i="5"/>
  <c r="N11" i="5"/>
  <c r="O20" i="5"/>
  <c r="O6" i="5"/>
  <c r="O7" i="5"/>
  <c r="L15" i="5"/>
  <c r="L16" i="5" s="1"/>
  <c r="M14" i="5"/>
  <c r="M22" i="5"/>
  <c r="AJ11" i="2" l="1"/>
  <c r="AJ21" i="2"/>
  <c r="AH18" i="2"/>
  <c r="AK20" i="2"/>
  <c r="AK7" i="2"/>
  <c r="AL4" i="2"/>
  <c r="AL6" i="2" s="1"/>
  <c r="AI14" i="2"/>
  <c r="AI15" i="2" s="1"/>
  <c r="AI16" i="2" s="1"/>
  <c r="AI18" i="2" s="1"/>
  <c r="AI22" i="2"/>
  <c r="L18" i="5"/>
  <c r="O21" i="5"/>
  <c r="O11" i="5"/>
  <c r="P20" i="5"/>
  <c r="P6" i="5"/>
  <c r="P7" i="5"/>
  <c r="N14" i="5"/>
  <c r="N22" i="5"/>
  <c r="M15" i="5"/>
  <c r="M16" i="5"/>
  <c r="M18" i="5" s="1"/>
  <c r="AL7" i="2" l="1"/>
  <c r="AL20" i="2"/>
  <c r="AK11" i="2"/>
  <c r="AK21" i="2"/>
  <c r="AJ14" i="2"/>
  <c r="AJ15" i="2" s="1"/>
  <c r="AJ16" i="2" s="1"/>
  <c r="AJ18" i="2" s="1"/>
  <c r="AJ22" i="2"/>
  <c r="N15" i="5"/>
  <c r="N16" i="5" s="1"/>
  <c r="N18" i="5" s="1"/>
  <c r="O14" i="5"/>
  <c r="O22" i="5"/>
  <c r="P21" i="5"/>
  <c r="P11" i="5"/>
  <c r="Q20" i="5"/>
  <c r="Q6" i="5"/>
  <c r="Q7" i="5" s="1"/>
  <c r="AK22" i="2" l="1"/>
  <c r="AK14" i="2"/>
  <c r="AK15" i="2" s="1"/>
  <c r="AK16" i="2" s="1"/>
  <c r="AK18" i="2" s="1"/>
  <c r="AL11" i="2"/>
  <c r="AL21" i="2"/>
  <c r="Q11" i="5"/>
  <c r="Q21" i="5"/>
  <c r="P22" i="5"/>
  <c r="P14" i="5"/>
  <c r="O15" i="5"/>
  <c r="O16" i="5" s="1"/>
  <c r="O18" i="5" s="1"/>
  <c r="AL22" i="2" l="1"/>
  <c r="AL14" i="2"/>
  <c r="AL15" i="2" s="1"/>
  <c r="AL16" i="2" s="1"/>
  <c r="P15" i="5"/>
  <c r="P16" i="5" s="1"/>
  <c r="P18" i="5" s="1"/>
  <c r="Q22" i="5"/>
  <c r="Q14" i="5"/>
  <c r="AL18" i="2" l="1"/>
  <c r="AM16" i="2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FC16" i="2" s="1"/>
  <c r="FD16" i="2" s="1"/>
  <c r="FE16" i="2" s="1"/>
  <c r="FF16" i="2" s="1"/>
  <c r="FG16" i="2" s="1"/>
  <c r="FH16" i="2" s="1"/>
  <c r="FI16" i="2" s="1"/>
  <c r="FJ16" i="2" s="1"/>
  <c r="AO21" i="2" s="1"/>
  <c r="AO23" i="2" s="1"/>
  <c r="AO24" i="2" s="1"/>
  <c r="Q15" i="5"/>
  <c r="Q16" i="5" s="1"/>
  <c r="Q18" i="5" l="1"/>
  <c r="R16" i="5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EG16" i="5" s="1"/>
  <c r="EH16" i="5" s="1"/>
  <c r="EI16" i="5" s="1"/>
  <c r="EJ16" i="5" s="1"/>
  <c r="EK16" i="5" s="1"/>
  <c r="EL16" i="5" s="1"/>
  <c r="EM16" i="5" s="1"/>
  <c r="EN16" i="5" s="1"/>
  <c r="EO16" i="5" s="1"/>
  <c r="T21" i="5" s="1"/>
  <c r="T23" i="5" s="1"/>
  <c r="A5" i="5" l="1"/>
  <c r="T24" i="5"/>
  <c r="A6" i="5" s="1"/>
  <c r="H20" i="2"/>
  <c r="I20" i="2"/>
  <c r="J20" i="2"/>
  <c r="K20" i="2"/>
  <c r="L20" i="2"/>
  <c r="M20" i="2"/>
  <c r="N20" i="2"/>
  <c r="O20" i="2"/>
  <c r="D21" i="2"/>
  <c r="E21" i="2"/>
  <c r="F21" i="2"/>
  <c r="G21" i="2"/>
  <c r="H21" i="2"/>
  <c r="I21" i="2"/>
  <c r="J21" i="2"/>
  <c r="K21" i="2"/>
  <c r="M21" i="2"/>
  <c r="N21" i="2"/>
  <c r="O21" i="2"/>
  <c r="D22" i="2"/>
  <c r="E22" i="2"/>
  <c r="F22" i="2"/>
  <c r="G22" i="2"/>
  <c r="H22" i="2"/>
  <c r="I22" i="2"/>
  <c r="J22" i="2"/>
  <c r="K22" i="2"/>
  <c r="M22" i="2"/>
  <c r="N22" i="2"/>
  <c r="O22" i="2"/>
  <c r="P20" i="2"/>
  <c r="L7" i="2"/>
  <c r="L11" i="2" s="1"/>
  <c r="L22" i="2" s="1"/>
  <c r="P7" i="2"/>
  <c r="P11" i="2" s="1"/>
  <c r="P22" i="2" s="1"/>
  <c r="Y72" i="2"/>
  <c r="Y74" i="2" s="1"/>
  <c r="Z72" i="2"/>
  <c r="Z74" i="2" s="1"/>
  <c r="AA72" i="2"/>
  <c r="AA74" i="2" s="1"/>
  <c r="AB81" i="2"/>
  <c r="AA81" i="2"/>
  <c r="Z81" i="2"/>
  <c r="Y81" i="2"/>
  <c r="AB74" i="2"/>
  <c r="AB70" i="2"/>
  <c r="AB85" i="2" s="1"/>
  <c r="AA70" i="2"/>
  <c r="Z70" i="2"/>
  <c r="Y70" i="2"/>
  <c r="AB63" i="2"/>
  <c r="O81" i="2"/>
  <c r="N81" i="2"/>
  <c r="M81" i="2"/>
  <c r="L81" i="2"/>
  <c r="K81" i="2"/>
  <c r="J81" i="2"/>
  <c r="I81" i="2"/>
  <c r="H81" i="2"/>
  <c r="G81" i="2"/>
  <c r="F81" i="2"/>
  <c r="E81" i="2"/>
  <c r="D81" i="2"/>
  <c r="R81" i="2"/>
  <c r="Q81" i="2"/>
  <c r="O74" i="2"/>
  <c r="N74" i="2"/>
  <c r="M74" i="2"/>
  <c r="L74" i="2"/>
  <c r="K74" i="2"/>
  <c r="J74" i="2"/>
  <c r="I74" i="2"/>
  <c r="H74" i="2"/>
  <c r="G74" i="2"/>
  <c r="F74" i="2"/>
  <c r="E74" i="2"/>
  <c r="D74" i="2"/>
  <c r="Q74" i="2"/>
  <c r="R74" i="2"/>
  <c r="O70" i="2"/>
  <c r="O85" i="2" s="1"/>
  <c r="N70" i="2"/>
  <c r="M70" i="2"/>
  <c r="M85" i="2" s="1"/>
  <c r="L70" i="2"/>
  <c r="L85" i="2" s="1"/>
  <c r="K70" i="2"/>
  <c r="K85" i="2" s="1"/>
  <c r="J70" i="2"/>
  <c r="J85" i="2" s="1"/>
  <c r="I70" i="2"/>
  <c r="H70" i="2"/>
  <c r="H85" i="2" s="1"/>
  <c r="G70" i="2"/>
  <c r="G85" i="2" s="1"/>
  <c r="F70" i="2"/>
  <c r="F85" i="2" s="1"/>
  <c r="E70" i="2"/>
  <c r="E85" i="2" s="1"/>
  <c r="D70" i="2"/>
  <c r="R70" i="2"/>
  <c r="R85" i="2" s="1"/>
  <c r="Q70" i="2"/>
  <c r="P81" i="2"/>
  <c r="P72" i="2"/>
  <c r="P74" i="2" s="1"/>
  <c r="P70" i="2"/>
  <c r="E63" i="2"/>
  <c r="F63" i="2"/>
  <c r="G63" i="2"/>
  <c r="H63" i="2"/>
  <c r="I63" i="2"/>
  <c r="J63" i="2"/>
  <c r="K63" i="2"/>
  <c r="M63" i="2"/>
  <c r="N63" i="2"/>
  <c r="O63" i="2"/>
  <c r="Q63" i="2"/>
  <c r="R63" i="2"/>
  <c r="D63" i="2"/>
  <c r="K47" i="2"/>
  <c r="R59" i="2"/>
  <c r="Q59" i="2"/>
  <c r="O59" i="2"/>
  <c r="N59" i="2"/>
  <c r="M59" i="2"/>
  <c r="L59" i="2"/>
  <c r="K59" i="2"/>
  <c r="J59" i="2"/>
  <c r="I59" i="2"/>
  <c r="H59" i="2"/>
  <c r="G59" i="2"/>
  <c r="F59" i="2"/>
  <c r="E59" i="2"/>
  <c r="D59" i="2"/>
  <c r="R47" i="2"/>
  <c r="Q47" i="2"/>
  <c r="O47" i="2"/>
  <c r="N47" i="2"/>
  <c r="M47" i="2"/>
  <c r="L47" i="2"/>
  <c r="J47" i="2"/>
  <c r="I47" i="2"/>
  <c r="H47" i="2"/>
  <c r="G47" i="2"/>
  <c r="F47" i="2"/>
  <c r="E47" i="2"/>
  <c r="D47" i="2"/>
  <c r="O42" i="2"/>
  <c r="N42" i="2"/>
  <c r="M42" i="2"/>
  <c r="L42" i="2"/>
  <c r="K42" i="2"/>
  <c r="J42" i="2"/>
  <c r="I42" i="2"/>
  <c r="H42" i="2"/>
  <c r="G42" i="2"/>
  <c r="F42" i="2"/>
  <c r="E42" i="2"/>
  <c r="D42" i="2"/>
  <c r="P59" i="2"/>
  <c r="P47" i="2"/>
  <c r="P42" i="2"/>
  <c r="Z20" i="2"/>
  <c r="AA20" i="2"/>
  <c r="AA7" i="2"/>
  <c r="AA11" i="2" s="1"/>
  <c r="AA14" i="2" s="1"/>
  <c r="AA16" i="2" s="1"/>
  <c r="Z7" i="2"/>
  <c r="Z11" i="2" s="1"/>
  <c r="Z14" i="2" s="1"/>
  <c r="Z16" i="2" s="1"/>
  <c r="Z18" i="2" s="1"/>
  <c r="Y7" i="2"/>
  <c r="Y11" i="2" s="1"/>
  <c r="Y63" i="2" s="1"/>
  <c r="B6" i="2"/>
  <c r="P85" i="2" l="1"/>
  <c r="I83" i="2"/>
  <c r="AA85" i="2"/>
  <c r="Y21" i="2"/>
  <c r="D83" i="2"/>
  <c r="Z85" i="2"/>
  <c r="AB83" i="2"/>
  <c r="D60" i="2"/>
  <c r="E83" i="2"/>
  <c r="G83" i="2"/>
  <c r="P83" i="2"/>
  <c r="H83" i="2"/>
  <c r="Y85" i="2"/>
  <c r="O83" i="2"/>
  <c r="I85" i="2"/>
  <c r="AA18" i="2"/>
  <c r="L60" i="2"/>
  <c r="AA63" i="2"/>
  <c r="K83" i="2"/>
  <c r="P21" i="2"/>
  <c r="E60" i="2"/>
  <c r="P60" i="2"/>
  <c r="F60" i="2"/>
  <c r="D85" i="2"/>
  <c r="L21" i="2"/>
  <c r="F83" i="2"/>
  <c r="J83" i="2"/>
  <c r="Z63" i="2"/>
  <c r="Q83" i="2"/>
  <c r="M83" i="2"/>
  <c r="Q85" i="2"/>
  <c r="N83" i="2"/>
  <c r="N85" i="2"/>
  <c r="R83" i="2"/>
  <c r="L14" i="2"/>
  <c r="L16" i="2" s="1"/>
  <c r="L18" i="2" s="1"/>
  <c r="L63" i="2"/>
  <c r="P14" i="2"/>
  <c r="P16" i="2" s="1"/>
  <c r="P18" i="2" s="1"/>
  <c r="P63" i="2"/>
  <c r="Y83" i="2"/>
  <c r="Z83" i="2"/>
  <c r="AA83" i="2"/>
  <c r="L83" i="2"/>
  <c r="Y14" i="2"/>
  <c r="Y16" i="2" s="1"/>
  <c r="Y22" i="2"/>
  <c r="M60" i="2"/>
  <c r="N60" i="2"/>
  <c r="Q60" i="2"/>
  <c r="R60" i="2"/>
  <c r="AA21" i="2"/>
  <c r="H60" i="2"/>
  <c r="AA22" i="2"/>
  <c r="I60" i="2"/>
  <c r="Z22" i="2"/>
  <c r="J60" i="2"/>
  <c r="Z21" i="2"/>
  <c r="G60" i="2"/>
  <c r="K60" i="2"/>
  <c r="O60" i="2"/>
  <c r="B9" i="2"/>
  <c r="F5" i="3" l="1"/>
  <c r="E5" i="3"/>
  <c r="D5" i="3"/>
  <c r="E6" i="3"/>
  <c r="D6" i="3"/>
  <c r="F6" i="3"/>
  <c r="Y18" i="2"/>
</calcChain>
</file>

<file path=xl/sharedStrings.xml><?xml version="1.0" encoding="utf-8"?>
<sst xmlns="http://schemas.openxmlformats.org/spreadsheetml/2006/main" count="237" uniqueCount="163">
  <si>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</si>
  <si>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</si>
  <si>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</si>
  <si>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</si>
  <si>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</si>
  <si>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</si>
  <si>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</si>
  <si>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</si>
  <si>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</si>
  <si>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</si>
  <si>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</si>
  <si>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</si>
  <si>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</si>
  <si>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</si>
  <si>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</si>
  <si>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</si>
  <si>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</si>
  <si>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</si>
  <si>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</si>
  <si>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</si>
  <si>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</si>
  <si>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</si>
  <si>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</si>
  <si>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</si>
  <si>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</si>
  <si>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</si>
  <si>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</si>
  <si>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</si>
  <si>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</si>
  <si>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</si>
  <si>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</si>
  <si>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</si>
  <si>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Q325</t>
  </si>
  <si>
    <t>Q425</t>
  </si>
  <si>
    <t>Q125</t>
  </si>
  <si>
    <t>Revenue y/y</t>
  </si>
  <si>
    <t>EBIT margin</t>
  </si>
  <si>
    <t>Nedside</t>
  </si>
  <si>
    <t>Gross margin</t>
  </si>
  <si>
    <t>MC NOKm</t>
  </si>
  <si>
    <t>Cash NOKm</t>
  </si>
  <si>
    <t>Debt NOKm</t>
  </si>
  <si>
    <t>EV NOKm</t>
  </si>
  <si>
    <t>Revenue</t>
  </si>
  <si>
    <t>other operating income</t>
  </si>
  <si>
    <t>Raw material and consumables</t>
  </si>
  <si>
    <t>Gross profit</t>
  </si>
  <si>
    <t>Personnel expenses</t>
  </si>
  <si>
    <t>D/A/I</t>
  </si>
  <si>
    <t>Other opex</t>
  </si>
  <si>
    <t>Operating profit (EBIT)</t>
  </si>
  <si>
    <t>Financial income</t>
  </si>
  <si>
    <t>Financial expense</t>
  </si>
  <si>
    <t>PTP</t>
  </si>
  <si>
    <t>Tax</t>
  </si>
  <si>
    <t>Net income</t>
  </si>
  <si>
    <t xml:space="preserve">Share </t>
  </si>
  <si>
    <t>EPS</t>
  </si>
  <si>
    <t>SEKm</t>
  </si>
  <si>
    <t>Balanse SEKm</t>
  </si>
  <si>
    <t>Goodwill</t>
  </si>
  <si>
    <t>Other intangible assets</t>
  </si>
  <si>
    <t>PP&amp;E</t>
  </si>
  <si>
    <t>Right of use assets</t>
  </si>
  <si>
    <t>Deferred tax assets</t>
  </si>
  <si>
    <t>Other non-current financial assets</t>
  </si>
  <si>
    <t>Inventories</t>
  </si>
  <si>
    <t>Trade receivables</t>
  </si>
  <si>
    <t>Other current receivables</t>
  </si>
  <si>
    <t>Cash</t>
  </si>
  <si>
    <t>Total assets</t>
  </si>
  <si>
    <t>Share capital</t>
  </si>
  <si>
    <t>Other contributed capital</t>
  </si>
  <si>
    <t xml:space="preserve">Reserves </t>
  </si>
  <si>
    <t>Retained earnings</t>
  </si>
  <si>
    <t>Total equity</t>
  </si>
  <si>
    <t>Non-current liabilities to banks</t>
  </si>
  <si>
    <t>Deferred tax liabilities</t>
  </si>
  <si>
    <t>Other non-current liabilities</t>
  </si>
  <si>
    <t>Current liabilities to banks</t>
  </si>
  <si>
    <t>Account payables</t>
  </si>
  <si>
    <t>Other current liabilities</t>
  </si>
  <si>
    <t>Accrued expenses and prepaid incoem</t>
  </si>
  <si>
    <t>Provisons</t>
  </si>
  <si>
    <t>Total debt</t>
  </si>
  <si>
    <t>Total E/D</t>
  </si>
  <si>
    <t xml:space="preserve">Cash flow SEKm </t>
  </si>
  <si>
    <t>Model OP</t>
  </si>
  <si>
    <t>Reported OP</t>
  </si>
  <si>
    <t>Adjustemetn for items not included in CF</t>
  </si>
  <si>
    <t>Income tax paid</t>
  </si>
  <si>
    <t>WC</t>
  </si>
  <si>
    <t>CFFO</t>
  </si>
  <si>
    <t>Capex</t>
  </si>
  <si>
    <t>Acquisition of subsidiraries</t>
  </si>
  <si>
    <t>CFFI</t>
  </si>
  <si>
    <t>Repayment of borrwings</t>
  </si>
  <si>
    <t>Payment of pincipal portion of lease</t>
  </si>
  <si>
    <t xml:space="preserve">Payment of interest for the lease </t>
  </si>
  <si>
    <t>changes in shareholders equity</t>
  </si>
  <si>
    <t>Dividends paid</t>
  </si>
  <si>
    <t>CFFF</t>
  </si>
  <si>
    <t>CIC</t>
  </si>
  <si>
    <t>FCF</t>
  </si>
  <si>
    <t xml:space="preserve">Intersest received </t>
  </si>
  <si>
    <t>interest paid</t>
  </si>
  <si>
    <t xml:space="preserve">Press releases: </t>
  </si>
  <si>
    <t>24.10.25: Terranor wins public tender with Tønder municipality in Denmark worth 270 SEKM. Kontrakten begynner april 26 og går helt til mars 2030. 46 mill/året</t>
  </si>
  <si>
    <t>Disocunt</t>
  </si>
  <si>
    <t>TV</t>
  </si>
  <si>
    <t>NPV</t>
  </si>
  <si>
    <t>NPV/Share</t>
  </si>
  <si>
    <t>Opp/nedisde</t>
  </si>
  <si>
    <t>Non-current Lease liabilities</t>
  </si>
  <si>
    <t>Income tax payable</t>
  </si>
  <si>
    <t>Current Lease liabilities</t>
  </si>
  <si>
    <t>Nullvekst og dårligste marginer</t>
  </si>
  <si>
    <t>17.12.25: Mutares, største eier, reduserer sin post fra 72,8% til 57%</t>
  </si>
  <si>
    <t>Sweden</t>
  </si>
  <si>
    <t>Adjusted EBITA</t>
  </si>
  <si>
    <t>Adjusted EBITA margin</t>
  </si>
  <si>
    <t>Finland</t>
  </si>
  <si>
    <t>Denmark</t>
  </si>
  <si>
    <t>y/y</t>
  </si>
  <si>
    <t>Opp/nedside</t>
  </si>
  <si>
    <t>EBITDA</t>
  </si>
  <si>
    <t>%</t>
  </si>
  <si>
    <t>10.12.25: Terranor vinner sweeping kontrakt for Velje kommune i Danmark på 36 mill fra 2026 til 2029 med opsjon om to år til</t>
  </si>
  <si>
    <t>11.12.25: Terranor har fått forlenget en kontrakt av Swedish Transport adminstration for å installere fartsmålere for 20 mill frem til mars 2027</t>
  </si>
  <si>
    <t>16.01.26: Terranor vinner kontrakt på 33 mill som går fra mars 2026 til februar 2028</t>
  </si>
  <si>
    <t>29.01.26: Terranor viner kontrakt på 224 mill fra Trafikverket i Skelleftea Södra, den er verdt 56 mill for hvert år i 4 år. Kontrakten går fra september 2026 til august 2030</t>
  </si>
  <si>
    <t>30.01.26: Terranor vinner to kommune kontrakter i Helsingborg verdr 105 mill Byar Söder og Centrum Norr verdt 11,4 og 23,4 i året fra mai 2026 til april 2029</t>
  </si>
  <si>
    <t>03.02.26: Terranor vinner en samarbeidsavtale i Sundsvall verdt 540 mill. Kontrakten begynner september 27 til august 31</t>
  </si>
  <si>
    <t>26.03.26: Mutares selger aksjer for 45 mill, eier nå under 50%</t>
  </si>
  <si>
    <t>17.02.26: Terranor vinner en drifts- og vedlikeholdskontrakt i Kemi verdt 195 mill. Kontrakten løper fra 1. oktober 2026 til 1. oktober 2031</t>
  </si>
  <si>
    <t>24.02.26: Terranor vinner dritfts- og vedlikeholdskontrakt i Vännäs verdt 167 mill. Kontrakten løper fra 1. september 2026 til 31.august 2030</t>
  </si>
  <si>
    <t>07.03.26: Terranor vinner dritfts- og vedlikeholdskontrakt i Malmö verdt 227 mill. Kontrakten løper fra 1.september 2026 til 31.august 2030</t>
  </si>
  <si>
    <t>25.03.26: Terranor vinner dritfts- og vedlikeholdskontrakt i Finland verdt 83 mill. Kontrakten løper fra1.oktober 2026 til 1.oktober 2031</t>
  </si>
  <si>
    <t>Gearing</t>
  </si>
  <si>
    <t>ROCE</t>
  </si>
  <si>
    <t>08.04.26: Terranor vinner drifts. Og vedlikeholdskontrakt i Västby verdt 272 mill. Kontrakten løper fra 1.sep 26 til 31. aug 30</t>
  </si>
  <si>
    <t>Q126</t>
  </si>
  <si>
    <t>Q226</t>
  </si>
  <si>
    <t>Q326</t>
  </si>
  <si>
    <t>Q426</t>
  </si>
  <si>
    <t>EV/EBITA</t>
  </si>
  <si>
    <t>Sverige</t>
  </si>
  <si>
    <t>Danmark</t>
  </si>
  <si>
    <t>EBITA 26E</t>
  </si>
  <si>
    <t>Value</t>
  </si>
  <si>
    <t>SEK/aksje</t>
  </si>
  <si>
    <t>Enterprise value</t>
  </si>
  <si>
    <t>Debt</t>
  </si>
  <si>
    <t>Equity value</t>
  </si>
  <si>
    <t>16.04.26: Terranor vinner to kontrakter verdt SEKm 36 for drenering og ventilasjon på veien i sør-Sverige</t>
  </si>
  <si>
    <t>16.04.26: Terranor vinner kontrakt i Sør-øst Värmland verdt SEKm 214, går fra 1.sep 26 til 31.aug 30</t>
  </si>
  <si>
    <t>17.04.26: Tendersesongen er ferdig og Terranor bekrefter at 6 kontrakter verdt SEKm 251 har utløpt og 6 nye kontrakter har blitt fornyet, verdt SEK 366. Økning på 45%</t>
  </si>
  <si>
    <t>17.04.26: Terranor tildeles to-års opsjon verdt SEKm 175 i Gøteborg</t>
  </si>
  <si>
    <t>24.04.26: Terranor vinner vedlikeholdskontrakt i Järvenpää verdt SEKm 116</t>
  </si>
  <si>
    <t>01.05.26: Terranor vinner kontrakt i Ikast-Brande verdt SEKm 206</t>
  </si>
  <si>
    <t>11.05.26: Terranor vinner kontrakt i Falun verdt SEKm 37</t>
  </si>
  <si>
    <t>18.05.26: Terranor vinner kontrakt i Falun verdt SEKm 36</t>
  </si>
  <si>
    <t>29.06.26: Terranor vinner kontrakt i København verdt SEKm 115. Viktig for srategier til Terr å vinne flere municipalities i Danmark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</si>
</sst>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"/>
    <numFmt numFmtId="166" formatCode="0.0\ %"/>
  </numFmts>
  <fonts count="11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2" fontId="2" fillId="0" borderId="0" xfId="0" applyNumberFormat="1" applyFont="1"/>
    <xf numFmtId="10" fontId="2" fillId="0" borderId="0" xfId="0" applyNumberFormat="1" applyFont="1"/>
    <xf numFmtId="10" fontId="2" fillId="0" borderId="1" xfId="0" applyNumberFormat="1" applyFont="1" applyBorder="1"/>
    <xf numFmtId="4" fontId="2" fillId="0" borderId="1" xfId="0" applyNumberFormat="1" applyFont="1" applyBorder="1"/>
    <xf numFmtId="166" fontId="1" fillId="0" borderId="0" xfId="0" applyNumberFormat="1" applyFont="1"/>
    <xf numFmtId="10" fontId="4" fillId="0" borderId="0" xfId="0" applyNumberFormat="1" applyFont="1"/>
    <xf numFmtId="10" fontId="1" fillId="0" borderId="0" xfId="0" applyNumberFormat="1" applyFont="1"/>
    <xf numFmtId="3" fontId="4" fillId="0" borderId="0" xfId="0" applyNumberFormat="1" applyFont="1"/>
    <xf numFmtId="164" fontId="2" fillId="0" borderId="0" xfId="0" applyNumberFormat="1" applyFont="1"/>
    <xf numFmtId="4" fontId="2" fillId="0" borderId="0" xfId="0" applyNumberFormat="1" applyFont="1"/>
    <xf numFmtId="10" fontId="1" fillId="0" borderId="1" xfId="0" applyNumberFormat="1" applyFont="1" applyBorder="1"/>
    <xf numFmtId="0" fontId="8" fillId="0" borderId="0" xfId="0" applyFont="1"/>
    <xf numFmtId="0" fontId="5" fillId="0" borderId="2" xfId="0" applyFont="1" applyBorder="1"/>
    <xf numFmtId="165" fontId="6" fillId="0" borderId="2" xfId="0" applyNumberFormat="1" applyFont="1" applyBorder="1"/>
    <xf numFmtId="0" fontId="2" fillId="0" borderId="3" xfId="0" applyFont="1" applyBorder="1"/>
    <xf numFmtId="9" fontId="2" fillId="0" borderId="0" xfId="0" applyNumberFormat="1" applyFont="1"/>
    <xf numFmtId="8" fontId="2" fillId="0" borderId="3" xfId="0" applyNumberFormat="1" applyFont="1" applyBorder="1"/>
    <xf numFmtId="8" fontId="1" fillId="0" borderId="0" xfId="0" applyNumberFormat="1" applyFont="1"/>
    <xf numFmtId="0" fontId="2" fillId="0" borderId="4" xfId="0" applyFont="1" applyBorder="1"/>
    <xf numFmtId="166" fontId="2" fillId="0" borderId="4" xfId="0" applyNumberFormat="1" applyFont="1" applyBorder="1"/>
    <xf numFmtId="0" fontId="1" fillId="0" borderId="6" xfId="0" applyFont="1" applyBorder="1" applyAlignment="1">
      <alignment horizontal="right"/>
    </xf>
    <xf numFmtId="0" fontId="2" fillId="0" borderId="6" xfId="0" applyFont="1" applyBorder="1"/>
    <xf numFmtId="3" fontId="2" fillId="0" borderId="6" xfId="0" applyNumberFormat="1" applyFont="1" applyBorder="1"/>
    <xf numFmtId="10" fontId="4" fillId="0" borderId="6" xfId="0" applyNumberFormat="1" applyFont="1" applyBorder="1"/>
    <xf numFmtId="166" fontId="2" fillId="0" borderId="5" xfId="0" applyNumberFormat="1" applyFont="1" applyBorder="1"/>
    <xf numFmtId="0" fontId="1" fillId="0" borderId="6" xfId="0" applyFont="1" applyBorder="1"/>
    <xf numFmtId="0" fontId="2" fillId="0" borderId="5" xfId="0" applyFont="1" applyBorder="1"/>
    <xf numFmtId="1" fontId="2" fillId="0" borderId="0" xfId="0" applyNumberFormat="1" applyFont="1"/>
    <xf numFmtId="1" fontId="1" fillId="0" borderId="0" xfId="0" applyNumberFormat="1" applyFont="1"/>
    <xf numFmtId="2" fontId="2" fillId="0" borderId="1" xfId="0" applyNumberFormat="1" applyFont="1" applyBorder="1"/>
    <xf numFmtId="3" fontId="1" fillId="0" borderId="6" xfId="0" applyNumberFormat="1" applyFont="1" applyBorder="1"/>
    <xf numFmtId="10" fontId="2" fillId="0" borderId="4" xfId="0" applyNumberFormat="1" applyFont="1" applyBorder="1"/>
    <xf numFmtId="10" fontId="2" fillId="0" borderId="5" xfId="0" applyNumberFormat="1" applyFont="1" applyBorder="1"/>
    <xf numFmtId="0" fontId="9" fillId="0" borderId="0" xfId="0" applyFont="1"/>
    <xf numFmtId="3" fontId="9" fillId="0" borderId="0" xfId="0" applyNumberFormat="1" applyFont="1"/>
    <xf numFmtId="0" fontId="9" fillId="0" borderId="2" xfId="0" applyFont="1" applyBorder="1"/>
    <xf numFmtId="0" fontId="10" fillId="0" borderId="2" xfId="0" applyFont="1" applyBorder="1"/>
    <xf numFmtId="0" fontId="9" fillId="2" borderId="2" xfId="0" applyFont="1" applyFill="1" applyBorder="1"/>
    <xf numFmtId="3" fontId="9" fillId="0" borderId="2" xfId="0" applyNumberFormat="1" applyFont="1" applyBorder="1"/>
    <xf numFmtId="3" fontId="10" fillId="0" borderId="2" xfId="0" applyNumberFormat="1" applyFont="1" applyBorder="1"/>
    <xf numFmtId="3" fontId="9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SOTP</a:t>
          </a:r>
        </a:p>
      </cx:txPr>
    </cx:title>
    <cx:plotArea>
      <cx:plotAreaRegion>
        <cx:series layoutId="waterfall" uniqueId="{00000000-875C-2447-A020-5EB24D81D7AF}">
          <cx:dataPt idx="3"/>
          <cx:dataPt idx="5">
            <cx:spPr>
              <a:solidFill>
                <a:srgbClr val="FF0000"/>
              </a:solidFill>
            </cx:spPr>
          </cx:dataPt>
          <cx:dataPt idx="8"/>
          <cx:dataLabels pos="outEnd">
            <cx:visibility seriesName="0" categoryName="0" value="1"/>
          </cx:dataLabels>
          <cx:dataId val="0"/>
          <cx:layoutPr>
            <cx:subtotals>
              <cx:idx val="3"/>
              <cx:idx val="8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nb-NO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685800</xdr:colOff>
      <xdr:row>20</xdr:row>
      <xdr:rowOff>203200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73FAF1A-7B36-928F-1698-1AA3145D0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7800" cy="5029200"/>
        </a:xfrm>
        <a:prstGeom prst="rect">
          <a:avLst/>
        </a:prstGeom>
      </xdr:spPr>
    </xdr:pic>
    <xdr:clientData/>
  </xdr:twoCellAnchor>
  <xdr:twoCellAnchor editAs="oneCell">
    <xdr:from>
      <xdr:col>12</xdr:col>
      <xdr:colOff>431800</xdr:colOff>
      <xdr:row>0</xdr:row>
      <xdr:rowOff>63500</xdr:rowOff>
    </xdr:from>
    <xdr:to>
      <xdr:col>20</xdr:col>
      <xdr:colOff>609600</xdr:colOff>
      <xdr:row>9</xdr:row>
      <xdr:rowOff>63500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6E26CB75-7214-C231-B807-48BE1299C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47400" y="63500"/>
          <a:ext cx="6781800" cy="2171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88900</xdr:colOff>
      <xdr:row>16</xdr:row>
      <xdr:rowOff>82550</xdr:rowOff>
    </xdr:from>
    <xdr:to>
      <xdr:col>10</xdr:col>
      <xdr:colOff>520700</xdr:colOff>
      <xdr:row>34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ACC7BB52-1AA3-1A97-B025-96E7CACF57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9900" y="4349750"/>
              <a:ext cx="8445500" cy="474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C24C01-2C03-7343-85C8-6CEEA35AD1F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0a7f518-8b15-4cd7-bbfd-aab221e5a41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5:O47"/>
  <sheetViews>
    <sheetView showGridLines="0" workbookViewId="0">
      <selection activeCell="A25" sqref="A25"/>
    </sheetView>
  </sheetViews>
  <sheetFormatPr baseColWidth="10" defaultRowHeight="19" x14ac:dyDescent="0.25"/>
  <cols>
    <col min="1" max="6" width="10.83203125" style="2"/>
    <col min="7" max="7" width="18.83203125" style="2" customWidth="1"/>
    <col min="8" max="16384" width="10.83203125" style="2"/>
  </cols>
  <sheetData>
    <row r="5" spans="1:7" x14ac:dyDescent="0.25">
      <c r="A5" s="1"/>
      <c r="G5" s="1"/>
    </row>
    <row r="6" spans="1:7" x14ac:dyDescent="0.25">
      <c r="A6" s="1"/>
    </row>
    <row r="7" spans="1:7" x14ac:dyDescent="0.25">
      <c r="A7" s="1"/>
    </row>
    <row r="8" spans="1:7" x14ac:dyDescent="0.25">
      <c r="A8" s="1"/>
    </row>
    <row r="9" spans="1:7" x14ac:dyDescent="0.25">
      <c r="G9" s="27"/>
    </row>
    <row r="19" spans="1:15" x14ac:dyDescent="0.25">
      <c r="A19" s="1"/>
    </row>
    <row r="20" spans="1:15" x14ac:dyDescent="0.25">
      <c r="O20" s="27"/>
    </row>
    <row r="24" spans="1:15" x14ac:dyDescent="0.25">
      <c r="A24" s="1" t="s">
        <v>106</v>
      </c>
    </row>
    <row r="25" spans="1:15" x14ac:dyDescent="0.25">
      <c r="A25" s="2" t="s">
        <v>162</v>
      </c>
    </row>
    <row r="26" spans="1:15" x14ac:dyDescent="0.25">
      <c r="A26" s="2" t="s">
        <v>161</v>
      </c>
    </row>
    <row r="27" spans="1:15" x14ac:dyDescent="0.25">
      <c r="A27" s="2" t="s">
        <v>160</v>
      </c>
    </row>
    <row r="28" spans="1:15" x14ac:dyDescent="0.25">
      <c r="A28" s="2" t="s">
        <v>159</v>
      </c>
    </row>
    <row r="29" spans="1:15" x14ac:dyDescent="0.25">
      <c r="A29" s="2" t="s">
        <v>158</v>
      </c>
    </row>
    <row r="30" spans="1:15" x14ac:dyDescent="0.25">
      <c r="A30" s="2" t="s">
        <v>157</v>
      </c>
    </row>
    <row r="31" spans="1:15" x14ac:dyDescent="0.25">
      <c r="A31" s="2" t="s">
        <v>156</v>
      </c>
    </row>
    <row r="32" spans="1:15" x14ac:dyDescent="0.25">
      <c r="A32" s="2" t="s">
        <v>155</v>
      </c>
    </row>
    <row r="33" spans="1:1" x14ac:dyDescent="0.25">
      <c r="A33" s="2" t="s">
        <v>154</v>
      </c>
    </row>
    <row r="34" spans="1:1" x14ac:dyDescent="0.25">
      <c r="A34" s="2" t="s">
        <v>140</v>
      </c>
    </row>
    <row r="35" spans="1:1" x14ac:dyDescent="0.25">
      <c r="A35" s="2" t="s">
        <v>133</v>
      </c>
    </row>
    <row r="36" spans="1:1" x14ac:dyDescent="0.25">
      <c r="A36" s="2" t="s">
        <v>137</v>
      </c>
    </row>
    <row r="37" spans="1:1" x14ac:dyDescent="0.25">
      <c r="A37" s="2" t="s">
        <v>136</v>
      </c>
    </row>
    <row r="38" spans="1:1" x14ac:dyDescent="0.25">
      <c r="A38" s="2" t="s">
        <v>135</v>
      </c>
    </row>
    <row r="39" spans="1:1" x14ac:dyDescent="0.25">
      <c r="A39" s="2" t="s">
        <v>134</v>
      </c>
    </row>
    <row r="40" spans="1:1" x14ac:dyDescent="0.25">
      <c r="A40" s="2" t="s">
        <v>132</v>
      </c>
    </row>
    <row r="41" spans="1:1" x14ac:dyDescent="0.25">
      <c r="A41" s="2" t="s">
        <v>131</v>
      </c>
    </row>
    <row r="42" spans="1:1" x14ac:dyDescent="0.25">
      <c r="A42" s="2" t="s">
        <v>130</v>
      </c>
    </row>
    <row r="43" spans="1:1" x14ac:dyDescent="0.25">
      <c r="A43" s="2" t="s">
        <v>129</v>
      </c>
    </row>
    <row r="44" spans="1:1" x14ac:dyDescent="0.25">
      <c r="A44" s="2" t="s">
        <v>128</v>
      </c>
    </row>
    <row r="45" spans="1:1" x14ac:dyDescent="0.25">
      <c r="A45" s="2" t="s">
        <v>127</v>
      </c>
    </row>
    <row r="46" spans="1:1" x14ac:dyDescent="0.25">
      <c r="A46" s="2" t="s">
        <v>117</v>
      </c>
    </row>
    <row r="47" spans="1:1" x14ac:dyDescent="0.25">
      <c r="A47" s="2" t="s">
        <v>107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FJ131"/>
  <sheetViews>
    <sheetView showGridLines="0" tabSelected="1" zoomScale="90" zoomScaleNormal="90" workbookViewId="0">
      <pane xSplit="3" ySplit="3" topLeftCell="O4" activePane="bottomRight" state="frozen"/>
      <selection pane="topRight" activeCell="D1" sqref="D1"/>
      <selection pane="bottomLeft" activeCell="A4" sqref="A4"/>
      <selection pane="bottomRight" activeCell="W33" sqref="W33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8.66406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19" width="10.83203125" style="2"/>
    <col min="20" max="20" width="11.33203125" style="2" customWidth="1"/>
    <col min="21" max="22" width="13.1640625" style="2" customWidth="1"/>
    <col min="23" max="27" width="10.83203125" style="2"/>
    <col min="28" max="28" width="13.1640625" style="2" bestFit="1" customWidth="1"/>
    <col min="29" max="29" width="10.83203125" style="4"/>
    <col min="30" max="39" width="10.83203125" style="2"/>
    <col min="40" max="40" width="14" style="2" bestFit="1" customWidth="1"/>
    <col min="41" max="41" width="13.5" style="2" bestFit="1" customWidth="1"/>
    <col min="42" max="16384" width="10.83203125" style="2"/>
  </cols>
  <sheetData>
    <row r="1" spans="1:166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E1" s="1"/>
    </row>
    <row r="3" spans="1:166" x14ac:dyDescent="0.25">
      <c r="A3" s="1" t="s">
        <v>0</v>
      </c>
      <c r="C3" s="2" t="s">
        <v>58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34</v>
      </c>
      <c r="Q3" s="7" t="s">
        <v>31</v>
      </c>
      <c r="R3" s="7" t="s">
        <v>32</v>
      </c>
      <c r="S3" s="7" t="s">
        <v>33</v>
      </c>
      <c r="T3" s="7" t="s">
        <v>141</v>
      </c>
      <c r="U3" s="7" t="s">
        <v>142</v>
      </c>
      <c r="V3" s="7" t="s">
        <v>143</v>
      </c>
      <c r="W3" s="7" t="s">
        <v>144</v>
      </c>
      <c r="Y3" s="7" t="s">
        <v>15</v>
      </c>
      <c r="Z3" s="7" t="s">
        <v>16</v>
      </c>
      <c r="AA3" s="7" t="s">
        <v>17</v>
      </c>
      <c r="AB3" s="7" t="s">
        <v>18</v>
      </c>
      <c r="AC3" s="15" t="s">
        <v>19</v>
      </c>
      <c r="AD3" s="7" t="s">
        <v>20</v>
      </c>
      <c r="AE3" s="7" t="s">
        <v>21</v>
      </c>
      <c r="AF3" s="7" t="s">
        <v>22</v>
      </c>
      <c r="AG3" s="7" t="s">
        <v>23</v>
      </c>
      <c r="AH3" s="7" t="s">
        <v>24</v>
      </c>
      <c r="AI3" s="7" t="s">
        <v>25</v>
      </c>
      <c r="AJ3" s="7" t="s">
        <v>26</v>
      </c>
      <c r="AK3" s="7" t="s">
        <v>27</v>
      </c>
      <c r="AL3" s="7" t="s">
        <v>28</v>
      </c>
    </row>
    <row r="4" spans="1:166" x14ac:dyDescent="0.25">
      <c r="A4" s="2" t="s">
        <v>1</v>
      </c>
      <c r="B4" s="19">
        <v>34</v>
      </c>
      <c r="C4" s="1" t="s">
        <v>43</v>
      </c>
      <c r="D4" s="11"/>
      <c r="E4" s="11"/>
      <c r="F4" s="11"/>
      <c r="G4" s="11"/>
      <c r="H4" s="11"/>
      <c r="I4" s="11"/>
      <c r="J4" s="11"/>
      <c r="K4" s="11"/>
      <c r="L4" s="11">
        <v>721</v>
      </c>
      <c r="M4" s="11">
        <v>755.79499999999996</v>
      </c>
      <c r="N4" s="11">
        <v>722.68899999999996</v>
      </c>
      <c r="O4" s="11">
        <f>3147-N4-M4-L4</f>
        <v>947.51600000000008</v>
      </c>
      <c r="P4" s="11">
        <v>736</v>
      </c>
      <c r="Q4" s="11">
        <v>848.96900000000005</v>
      </c>
      <c r="R4" s="11">
        <v>794.42499999999995</v>
      </c>
      <c r="S4" s="11">
        <v>1223.2159999999999</v>
      </c>
      <c r="T4" s="11">
        <v>904.82500000000005</v>
      </c>
      <c r="W4" s="13"/>
      <c r="Y4" s="11">
        <v>2152.241</v>
      </c>
      <c r="Z4" s="11">
        <v>2758</v>
      </c>
      <c r="AA4" s="11">
        <v>3146.9279999999999</v>
      </c>
      <c r="AB4" s="11">
        <v>3603</v>
      </c>
      <c r="AC4" s="12">
        <f>AB4*1.11</f>
        <v>3999.3300000000004</v>
      </c>
      <c r="AD4" s="11">
        <f>AC4*1.1</f>
        <v>4399.2630000000008</v>
      </c>
      <c r="AE4" s="11">
        <f>AD4*1.1</f>
        <v>4839.1893000000009</v>
      </c>
      <c r="AF4" s="11">
        <f t="shared" ref="AF4:AL4" si="0">AE4*1.05</f>
        <v>5081.1487650000008</v>
      </c>
      <c r="AG4" s="11">
        <f t="shared" si="0"/>
        <v>5335.2062032500007</v>
      </c>
      <c r="AH4" s="11">
        <f t="shared" si="0"/>
        <v>5601.9665134125007</v>
      </c>
      <c r="AI4" s="11">
        <f t="shared" si="0"/>
        <v>5882.0648390831257</v>
      </c>
      <c r="AJ4" s="11">
        <f t="shared" si="0"/>
        <v>6176.1680810372818</v>
      </c>
      <c r="AK4" s="11">
        <f t="shared" si="0"/>
        <v>6484.9764850891461</v>
      </c>
      <c r="AL4" s="11">
        <f t="shared" si="0"/>
        <v>6809.2253093436038</v>
      </c>
    </row>
    <row r="5" spans="1:166" x14ac:dyDescent="0.25">
      <c r="A5" s="2" t="s">
        <v>2</v>
      </c>
      <c r="B5" s="5">
        <v>20</v>
      </c>
      <c r="C5" s="2" t="s">
        <v>44</v>
      </c>
      <c r="D5" s="13"/>
      <c r="E5" s="13"/>
      <c r="F5" s="13"/>
      <c r="G5" s="13"/>
      <c r="H5" s="13"/>
      <c r="I5" s="13"/>
      <c r="J5" s="13"/>
      <c r="K5" s="13"/>
      <c r="L5" s="13">
        <v>0</v>
      </c>
      <c r="M5" s="13">
        <v>2.7909999999999999</v>
      </c>
      <c r="N5" s="13">
        <v>2.6</v>
      </c>
      <c r="O5" s="13">
        <v>0</v>
      </c>
      <c r="P5" s="13">
        <v>2.66</v>
      </c>
      <c r="Q5" s="13">
        <v>2.6</v>
      </c>
      <c r="R5" s="13">
        <v>0</v>
      </c>
      <c r="S5" s="13">
        <v>2.113</v>
      </c>
      <c r="T5" s="13">
        <v>7</v>
      </c>
      <c r="W5" s="13"/>
      <c r="Y5" s="13">
        <v>7.4390000000000001</v>
      </c>
      <c r="Z5" s="13">
        <v>8.1</v>
      </c>
      <c r="AA5" s="13">
        <v>5.9</v>
      </c>
      <c r="AB5" s="13">
        <v>7</v>
      </c>
      <c r="AC5" s="14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</row>
    <row r="6" spans="1:166" x14ac:dyDescent="0.25">
      <c r="A6" s="2" t="s">
        <v>39</v>
      </c>
      <c r="B6" s="5">
        <f>B4*B5</f>
        <v>680</v>
      </c>
      <c r="C6" s="2" t="s">
        <v>45</v>
      </c>
      <c r="D6" s="13"/>
      <c r="E6" s="13"/>
      <c r="F6" s="13"/>
      <c r="G6" s="13"/>
      <c r="H6" s="13"/>
      <c r="I6" s="13"/>
      <c r="J6" s="13"/>
      <c r="K6" s="13"/>
      <c r="L6" s="13">
        <v>-551.51499999999999</v>
      </c>
      <c r="M6" s="13">
        <v>-540.92100000000005</v>
      </c>
      <c r="N6" s="13">
        <v>-492.714</v>
      </c>
      <c r="O6" s="13">
        <f>-2260-N6-M6-L6</f>
        <v>-674.85</v>
      </c>
      <c r="P6" s="13">
        <v>-496.48200000000003</v>
      </c>
      <c r="Q6" s="13">
        <v>-593.62800000000004</v>
      </c>
      <c r="R6" s="13">
        <v>-549.21</v>
      </c>
      <c r="S6" s="13">
        <v>-888.88599999999997</v>
      </c>
      <c r="T6" s="13">
        <v>-636.45299999999997</v>
      </c>
      <c r="U6" s="13"/>
      <c r="W6" s="13"/>
      <c r="Y6" s="13">
        <v>-1483.8430000000001</v>
      </c>
      <c r="Z6" s="13">
        <v>-1993.92</v>
      </c>
      <c r="AA6" s="13">
        <v>-2259.5140000000001</v>
      </c>
      <c r="AB6" s="13">
        <v>-2528</v>
      </c>
      <c r="AC6" s="14">
        <f>AC4*-0.7</f>
        <v>-2799.5309999999999</v>
      </c>
      <c r="AD6" s="13">
        <f t="shared" ref="AD6:AL6" si="1">AD4*-0.7</f>
        <v>-3079.4841000000006</v>
      </c>
      <c r="AE6" s="13">
        <f t="shared" si="1"/>
        <v>-3387.4325100000005</v>
      </c>
      <c r="AF6" s="13">
        <f t="shared" si="1"/>
        <v>-3556.8041355000005</v>
      </c>
      <c r="AG6" s="13">
        <f t="shared" si="1"/>
        <v>-3734.6443422750003</v>
      </c>
      <c r="AH6" s="13">
        <f t="shared" si="1"/>
        <v>-3921.3765593887501</v>
      </c>
      <c r="AI6" s="13">
        <f t="shared" si="1"/>
        <v>-4117.4453873581879</v>
      </c>
      <c r="AJ6" s="13">
        <f t="shared" si="1"/>
        <v>-4323.3176567260971</v>
      </c>
      <c r="AK6" s="13">
        <f t="shared" si="1"/>
        <v>-4539.4835395624023</v>
      </c>
      <c r="AL6" s="13">
        <f t="shared" si="1"/>
        <v>-4766.4577165405226</v>
      </c>
    </row>
    <row r="7" spans="1:166" x14ac:dyDescent="0.25">
      <c r="A7" s="2" t="s">
        <v>40</v>
      </c>
      <c r="B7" s="5">
        <f>T41</f>
        <v>32.676000000000002</v>
      </c>
      <c r="C7" s="2" t="s">
        <v>46</v>
      </c>
      <c r="D7" s="13"/>
      <c r="E7" s="13"/>
      <c r="F7" s="13"/>
      <c r="G7" s="13"/>
      <c r="H7" s="13"/>
      <c r="I7" s="13"/>
      <c r="J7" s="13"/>
      <c r="K7" s="13"/>
      <c r="L7" s="13">
        <f t="shared" ref="L7:S7" si="2">SUM(L4:L6)</f>
        <v>169.48500000000001</v>
      </c>
      <c r="M7" s="13">
        <f t="shared" si="2"/>
        <v>217.66499999999996</v>
      </c>
      <c r="N7" s="13">
        <f t="shared" si="2"/>
        <v>232.57499999999999</v>
      </c>
      <c r="O7" s="13">
        <f t="shared" si="2"/>
        <v>272.66600000000005</v>
      </c>
      <c r="P7" s="13">
        <f t="shared" si="2"/>
        <v>242.17799999999994</v>
      </c>
      <c r="Q7" s="13">
        <f t="shared" si="2"/>
        <v>257.94100000000003</v>
      </c>
      <c r="R7" s="13">
        <f t="shared" si="2"/>
        <v>245.21499999999992</v>
      </c>
      <c r="S7" s="13">
        <f t="shared" si="2"/>
        <v>336.44299999999998</v>
      </c>
      <c r="T7" s="13">
        <f t="shared" ref="T7" si="3">SUM(T4:T6)</f>
        <v>275.37200000000007</v>
      </c>
      <c r="U7" s="13"/>
      <c r="W7" s="13"/>
      <c r="Y7" s="13">
        <f>SUM(Y4:Y6)</f>
        <v>675.83699999999976</v>
      </c>
      <c r="Z7" s="13">
        <f>SUM(Z4:Z6)</f>
        <v>772.17999999999984</v>
      </c>
      <c r="AA7" s="13">
        <f>SUM(AA4:AA6)</f>
        <v>893.31399999999985</v>
      </c>
      <c r="AB7" s="13">
        <f>SUM(AB4:AB6)</f>
        <v>1082</v>
      </c>
      <c r="AC7" s="14">
        <f t="shared" ref="AC7:AL7" si="4">SUM(AC4:AC6)</f>
        <v>1199.7990000000004</v>
      </c>
      <c r="AD7" s="13">
        <f t="shared" si="4"/>
        <v>1319.7789000000002</v>
      </c>
      <c r="AE7" s="13">
        <f t="shared" si="4"/>
        <v>1451.7567900000004</v>
      </c>
      <c r="AF7" s="13">
        <f t="shared" si="4"/>
        <v>1524.3446295000003</v>
      </c>
      <c r="AG7" s="13">
        <f t="shared" si="4"/>
        <v>1600.5618609750004</v>
      </c>
      <c r="AH7" s="13">
        <f t="shared" si="4"/>
        <v>1680.5899540237506</v>
      </c>
      <c r="AI7" s="13">
        <f t="shared" si="4"/>
        <v>1764.6194517249378</v>
      </c>
      <c r="AJ7" s="13">
        <f t="shared" si="4"/>
        <v>1852.8504243111847</v>
      </c>
      <c r="AK7" s="13">
        <f t="shared" si="4"/>
        <v>1945.4929455267438</v>
      </c>
      <c r="AL7" s="13">
        <f t="shared" si="4"/>
        <v>2042.7675928030812</v>
      </c>
    </row>
    <row r="8" spans="1:166" x14ac:dyDescent="0.25">
      <c r="A8" s="2" t="s">
        <v>41</v>
      </c>
      <c r="B8" s="5">
        <f>T48+T52</f>
        <v>82.242999999999995</v>
      </c>
      <c r="C8" s="2" t="s">
        <v>47</v>
      </c>
      <c r="D8" s="13"/>
      <c r="E8" s="13"/>
      <c r="F8" s="13"/>
      <c r="G8" s="13"/>
      <c r="H8" s="13"/>
      <c r="I8" s="13"/>
      <c r="J8" s="13"/>
      <c r="K8" s="13"/>
      <c r="L8" s="13">
        <v>-109.214</v>
      </c>
      <c r="M8" s="13">
        <v>-131.29</v>
      </c>
      <c r="N8" s="13">
        <v>-128.42500000000001</v>
      </c>
      <c r="O8" s="13">
        <f>-518-N8-M8-L8</f>
        <v>-149.07099999999997</v>
      </c>
      <c r="P8" s="13">
        <v>-132.44399999999999</v>
      </c>
      <c r="Q8" s="13">
        <v>-173.63300000000001</v>
      </c>
      <c r="R8" s="13">
        <v>-148.74799999999999</v>
      </c>
      <c r="S8" s="13">
        <v>-172.964</v>
      </c>
      <c r="T8" s="13">
        <v>-161.673</v>
      </c>
      <c r="U8" s="13"/>
      <c r="W8" s="13"/>
      <c r="Y8" s="13">
        <v>-378.166</v>
      </c>
      <c r="Z8" s="13">
        <v>-453.904</v>
      </c>
      <c r="AA8" s="13">
        <v>-517.53099999999995</v>
      </c>
      <c r="AB8" s="13">
        <v>-628</v>
      </c>
      <c r="AC8" s="14">
        <f>AB8*1</f>
        <v>-628</v>
      </c>
      <c r="AD8" s="13">
        <f>AC8*1.07</f>
        <v>-671.96</v>
      </c>
      <c r="AE8" s="13">
        <f>AD8*1.07</f>
        <v>-718.99720000000013</v>
      </c>
      <c r="AF8" s="13">
        <f>AE8*1.05</f>
        <v>-754.94706000000019</v>
      </c>
      <c r="AG8" s="13">
        <f t="shared" ref="AG8:AL8" si="5">AF8*1.05</f>
        <v>-792.69441300000028</v>
      </c>
      <c r="AH8" s="13">
        <f t="shared" si="5"/>
        <v>-832.32913365000036</v>
      </c>
      <c r="AI8" s="13">
        <f t="shared" si="5"/>
        <v>-873.94559033250039</v>
      </c>
      <c r="AJ8" s="13">
        <f t="shared" si="5"/>
        <v>-917.64286984912542</v>
      </c>
      <c r="AK8" s="13">
        <f t="shared" si="5"/>
        <v>-963.52501334158171</v>
      </c>
      <c r="AL8" s="13">
        <f t="shared" si="5"/>
        <v>-1011.7012640086608</v>
      </c>
    </row>
    <row r="9" spans="1:166" x14ac:dyDescent="0.25">
      <c r="A9" s="3" t="s">
        <v>42</v>
      </c>
      <c r="B9" s="6">
        <f>B6-B7+B8</f>
        <v>729.56700000000001</v>
      </c>
      <c r="C9" s="2" t="s">
        <v>48</v>
      </c>
      <c r="D9" s="13"/>
      <c r="E9" s="13"/>
      <c r="F9" s="13"/>
      <c r="G9" s="13"/>
      <c r="H9" s="13"/>
      <c r="I9" s="13"/>
      <c r="J9" s="13"/>
      <c r="K9" s="13"/>
      <c r="L9" s="13">
        <v>-28.2</v>
      </c>
      <c r="M9" s="13">
        <v>-28.533000000000001</v>
      </c>
      <c r="N9" s="13">
        <v>-32.89</v>
      </c>
      <c r="O9" s="13">
        <f>-126-N9-M9-L9</f>
        <v>-36.376999999999995</v>
      </c>
      <c r="P9" s="13">
        <v>-36.947000000000003</v>
      </c>
      <c r="Q9" s="13">
        <v>-37.633000000000003</v>
      </c>
      <c r="R9" s="13">
        <v>-38.383000000000003</v>
      </c>
      <c r="S9" s="13">
        <v>-48.216999999999999</v>
      </c>
      <c r="T9" s="13">
        <v>-44.398000000000003</v>
      </c>
      <c r="U9" s="13"/>
      <c r="W9" s="13"/>
      <c r="Y9" s="13">
        <v>-75.494</v>
      </c>
      <c r="Z9" s="13">
        <v>-103.84</v>
      </c>
      <c r="AA9" s="13">
        <v>-126</v>
      </c>
      <c r="AB9" s="13">
        <v>-161</v>
      </c>
      <c r="AC9" s="14">
        <f t="shared" ref="AC9:AC10" si="6">AB9*1</f>
        <v>-161</v>
      </c>
      <c r="AD9" s="13">
        <f t="shared" ref="AD9:AE10" si="7">AC9*1.07</f>
        <v>-172.27</v>
      </c>
      <c r="AE9" s="13">
        <f t="shared" si="7"/>
        <v>-184.32890000000003</v>
      </c>
      <c r="AF9" s="13">
        <f t="shared" ref="AF9:AL10" si="8">AE9*1.05</f>
        <v>-193.54534500000005</v>
      </c>
      <c r="AG9" s="13">
        <f t="shared" si="8"/>
        <v>-203.22261225000005</v>
      </c>
      <c r="AH9" s="13">
        <f t="shared" si="8"/>
        <v>-213.38374286250007</v>
      </c>
      <c r="AI9" s="13">
        <f t="shared" si="8"/>
        <v>-224.05293000562509</v>
      </c>
      <c r="AJ9" s="13">
        <f t="shared" si="8"/>
        <v>-235.25557650590636</v>
      </c>
      <c r="AK9" s="13">
        <f t="shared" si="8"/>
        <v>-247.01835533120169</v>
      </c>
      <c r="AL9" s="13">
        <f t="shared" si="8"/>
        <v>-259.36927309776178</v>
      </c>
    </row>
    <row r="10" spans="1:166" x14ac:dyDescent="0.25">
      <c r="C10" s="2" t="s">
        <v>49</v>
      </c>
      <c r="D10" s="13"/>
      <c r="E10" s="13"/>
      <c r="F10" s="13"/>
      <c r="G10" s="13"/>
      <c r="H10" s="13"/>
      <c r="I10" s="13"/>
      <c r="J10" s="13"/>
      <c r="K10" s="13"/>
      <c r="L10" s="13">
        <v>-29.260999999999999</v>
      </c>
      <c r="M10" s="13">
        <v>-55</v>
      </c>
      <c r="N10" s="13">
        <v>-47.734000000000002</v>
      </c>
      <c r="O10" s="13">
        <f>-184-N10-M10-L10</f>
        <v>-52.004999999999995</v>
      </c>
      <c r="P10" s="13">
        <v>-67.667000000000002</v>
      </c>
      <c r="Q10" s="13">
        <v>-63.920999999999999</v>
      </c>
      <c r="R10" s="13">
        <v>-67.116</v>
      </c>
      <c r="S10" s="13">
        <v>-78.722999999999999</v>
      </c>
      <c r="T10" s="13">
        <v>-57.274000000000001</v>
      </c>
      <c r="U10" s="13"/>
      <c r="W10" s="13"/>
      <c r="Y10" s="13">
        <v>-145.47300000000001</v>
      </c>
      <c r="Z10" s="13">
        <v>-152</v>
      </c>
      <c r="AA10" s="13">
        <v>-183.9</v>
      </c>
      <c r="AB10" s="13">
        <v>-277</v>
      </c>
      <c r="AC10" s="14">
        <f t="shared" si="6"/>
        <v>-277</v>
      </c>
      <c r="AD10" s="13">
        <f t="shared" si="7"/>
        <v>-296.39000000000004</v>
      </c>
      <c r="AE10" s="13">
        <f t="shared" si="7"/>
        <v>-317.13730000000004</v>
      </c>
      <c r="AF10" s="13">
        <f t="shared" si="8"/>
        <v>-332.99416500000007</v>
      </c>
      <c r="AG10" s="13">
        <f t="shared" si="8"/>
        <v>-349.64387325000007</v>
      </c>
      <c r="AH10" s="13">
        <f t="shared" si="8"/>
        <v>-367.12606691250011</v>
      </c>
      <c r="AI10" s="13">
        <f t="shared" si="8"/>
        <v>-385.48237025812512</v>
      </c>
      <c r="AJ10" s="13">
        <f t="shared" si="8"/>
        <v>-404.7564887710314</v>
      </c>
      <c r="AK10" s="13">
        <f t="shared" si="8"/>
        <v>-424.99431320958297</v>
      </c>
      <c r="AL10" s="13">
        <f t="shared" si="8"/>
        <v>-446.24402887006215</v>
      </c>
    </row>
    <row r="11" spans="1:166" x14ac:dyDescent="0.25">
      <c r="C11" s="1" t="s">
        <v>50</v>
      </c>
      <c r="D11" s="11"/>
      <c r="E11" s="11"/>
      <c r="F11" s="11"/>
      <c r="G11" s="11"/>
      <c r="H11" s="11"/>
      <c r="I11" s="11"/>
      <c r="J11" s="11"/>
      <c r="K11" s="11"/>
      <c r="L11" s="11">
        <f t="shared" ref="L11:S11" si="9">SUM(L7:L10)</f>
        <v>2.8100000000000129</v>
      </c>
      <c r="M11" s="11">
        <f t="shared" si="9"/>
        <v>2.8419999999999703</v>
      </c>
      <c r="N11" s="11">
        <f t="shared" si="9"/>
        <v>23.525999999999975</v>
      </c>
      <c r="O11" s="11">
        <f t="shared" si="9"/>
        <v>35.213000000000093</v>
      </c>
      <c r="P11" s="11">
        <f t="shared" si="9"/>
        <v>5.1199999999999477</v>
      </c>
      <c r="Q11" s="11">
        <f t="shared" si="9"/>
        <v>-17.245999999999981</v>
      </c>
      <c r="R11" s="11">
        <f t="shared" si="9"/>
        <v>-9.0320000000000746</v>
      </c>
      <c r="S11" s="11">
        <f t="shared" si="9"/>
        <v>36.538999999999987</v>
      </c>
      <c r="T11" s="11">
        <f t="shared" ref="T11" si="10">SUM(T7:T10)</f>
        <v>12.027000000000072</v>
      </c>
      <c r="U11" s="13"/>
      <c r="W11" s="13"/>
      <c r="X11" s="1"/>
      <c r="Y11" s="11">
        <f>SUM(Y7:Y10)</f>
        <v>76.703999999999752</v>
      </c>
      <c r="Z11" s="11">
        <f>SUM(Z7:Z10)</f>
        <v>62.435999999999837</v>
      </c>
      <c r="AA11" s="11">
        <f>SUM(AA7:AA10)</f>
        <v>65.882999999999896</v>
      </c>
      <c r="AB11" s="11">
        <f>SUM(AB7:AB10)</f>
        <v>16</v>
      </c>
      <c r="AC11" s="12">
        <f t="shared" ref="AC11:AL11" si="11">SUM(AC7:AC10)</f>
        <v>133.79900000000043</v>
      </c>
      <c r="AD11" s="11">
        <f t="shared" si="11"/>
        <v>179.15890000000019</v>
      </c>
      <c r="AE11" s="11">
        <f t="shared" si="11"/>
        <v>231.2933900000001</v>
      </c>
      <c r="AF11" s="11">
        <f t="shared" si="11"/>
        <v>242.85805950000008</v>
      </c>
      <c r="AG11" s="11">
        <f t="shared" si="11"/>
        <v>255.00096247500005</v>
      </c>
      <c r="AH11" s="11">
        <f t="shared" si="11"/>
        <v>267.75101059875004</v>
      </c>
      <c r="AI11" s="11">
        <f t="shared" si="11"/>
        <v>281.13856112868723</v>
      </c>
      <c r="AJ11" s="11">
        <f t="shared" si="11"/>
        <v>295.19548918512157</v>
      </c>
      <c r="AK11" s="11">
        <f t="shared" si="11"/>
        <v>309.95526364437751</v>
      </c>
      <c r="AL11" s="11">
        <f t="shared" si="11"/>
        <v>325.45302682659633</v>
      </c>
    </row>
    <row r="12" spans="1:166" x14ac:dyDescent="0.25">
      <c r="A12" s="2" t="s">
        <v>138</v>
      </c>
      <c r="B12" s="45">
        <f>(B8-B7)/SUM(Q25:T25)</f>
        <v>0.25943159216999889</v>
      </c>
      <c r="C12" s="2" t="s">
        <v>51</v>
      </c>
      <c r="D12" s="13"/>
      <c r="E12" s="13"/>
      <c r="F12" s="13"/>
      <c r="G12" s="13"/>
      <c r="H12" s="13"/>
      <c r="I12" s="13"/>
      <c r="J12" s="13"/>
      <c r="K12" s="13"/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0.02</v>
      </c>
      <c r="T12" s="13">
        <v>0</v>
      </c>
      <c r="Y12" s="13">
        <v>0</v>
      </c>
      <c r="Z12" s="13">
        <v>0</v>
      </c>
      <c r="AA12" s="13">
        <v>0</v>
      </c>
      <c r="AB12" s="13">
        <v>0</v>
      </c>
      <c r="AC12" s="14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</row>
    <row r="13" spans="1:166" x14ac:dyDescent="0.25">
      <c r="C13" s="2" t="s">
        <v>52</v>
      </c>
      <c r="D13" s="13"/>
      <c r="E13" s="13"/>
      <c r="F13" s="13"/>
      <c r="G13" s="13"/>
      <c r="H13" s="13"/>
      <c r="I13" s="13"/>
      <c r="J13" s="13"/>
      <c r="K13" s="13"/>
      <c r="L13" s="13">
        <v>-3.22</v>
      </c>
      <c r="M13" s="13">
        <v>-3.5</v>
      </c>
      <c r="N13" s="13">
        <v>-5.1100000000000003</v>
      </c>
      <c r="O13" s="13">
        <f>-19-N13-M13-L13</f>
        <v>-7.17</v>
      </c>
      <c r="P13" s="13">
        <v>-4.0999999999999996</v>
      </c>
      <c r="Q13" s="13">
        <v>-4.4000000000000004</v>
      </c>
      <c r="R13" s="13">
        <v>-5.2</v>
      </c>
      <c r="S13" s="13">
        <v>-7.4930000000000003</v>
      </c>
      <c r="T13" s="13">
        <v>-5.399</v>
      </c>
      <c r="Y13" s="13">
        <v>-7</v>
      </c>
      <c r="Z13" s="13">
        <v>-12.4</v>
      </c>
      <c r="AA13" s="13">
        <v>-19</v>
      </c>
      <c r="AB13" s="13">
        <v>-21</v>
      </c>
      <c r="AC13" s="14">
        <v>-20</v>
      </c>
      <c r="AD13" s="13">
        <v>-20</v>
      </c>
      <c r="AE13" s="13">
        <v>-20</v>
      </c>
      <c r="AF13" s="13">
        <v>-20</v>
      </c>
      <c r="AG13" s="13">
        <v>-20</v>
      </c>
      <c r="AH13" s="13">
        <v>-20</v>
      </c>
      <c r="AI13" s="13">
        <v>-20</v>
      </c>
      <c r="AJ13" s="13">
        <v>-20</v>
      </c>
      <c r="AK13" s="13">
        <v>-20</v>
      </c>
      <c r="AL13" s="13">
        <v>-20</v>
      </c>
    </row>
    <row r="14" spans="1:166" x14ac:dyDescent="0.25">
      <c r="C14" s="2" t="s">
        <v>53</v>
      </c>
      <c r="D14" s="13"/>
      <c r="E14" s="13"/>
      <c r="F14" s="13"/>
      <c r="G14" s="13"/>
      <c r="H14" s="13"/>
      <c r="I14" s="13"/>
      <c r="J14" s="13"/>
      <c r="K14" s="13"/>
      <c r="L14" s="13">
        <f t="shared" ref="L14:S14" si="12">SUM(L11:L13)</f>
        <v>-0.40999999999998726</v>
      </c>
      <c r="M14" s="13">
        <f t="shared" si="12"/>
        <v>-0.65800000000002967</v>
      </c>
      <c r="N14" s="13">
        <f t="shared" si="12"/>
        <v>18.415999999999976</v>
      </c>
      <c r="O14" s="13">
        <f t="shared" si="12"/>
        <v>28.043000000000092</v>
      </c>
      <c r="P14" s="13">
        <f t="shared" si="12"/>
        <v>1.0199999999999481</v>
      </c>
      <c r="Q14" s="13">
        <f t="shared" si="12"/>
        <v>-21.645999999999979</v>
      </c>
      <c r="R14" s="13">
        <f t="shared" si="12"/>
        <v>-14.232000000000074</v>
      </c>
      <c r="S14" s="13">
        <f t="shared" si="12"/>
        <v>29.065999999999988</v>
      </c>
      <c r="T14" s="13">
        <f t="shared" ref="T14" si="13">SUM(T11:T13)</f>
        <v>6.6280000000000721</v>
      </c>
      <c r="Y14" s="13">
        <f>SUM(Y11:Y13)</f>
        <v>69.703999999999752</v>
      </c>
      <c r="Z14" s="13">
        <f>SUM(Z11:Z13)</f>
        <v>50.035999999999838</v>
      </c>
      <c r="AA14" s="13">
        <f>SUM(AA11:AA13)</f>
        <v>46.882999999999896</v>
      </c>
      <c r="AB14" s="13">
        <f>SUM(AB11:AB13)</f>
        <v>-5</v>
      </c>
      <c r="AC14" s="14">
        <f t="shared" ref="AC14:AL14" si="14">SUM(AC11:AC13)</f>
        <v>113.79900000000043</v>
      </c>
      <c r="AD14" s="13">
        <f t="shared" si="14"/>
        <v>159.15890000000019</v>
      </c>
      <c r="AE14" s="13">
        <f t="shared" si="14"/>
        <v>211.2933900000001</v>
      </c>
      <c r="AF14" s="13">
        <f t="shared" si="14"/>
        <v>222.85805950000008</v>
      </c>
      <c r="AG14" s="13">
        <f t="shared" si="14"/>
        <v>235.00096247500005</v>
      </c>
      <c r="AH14" s="13">
        <f t="shared" si="14"/>
        <v>247.75101059875004</v>
      </c>
      <c r="AI14" s="13">
        <f t="shared" si="14"/>
        <v>261.13856112868723</v>
      </c>
      <c r="AJ14" s="13">
        <f t="shared" si="14"/>
        <v>275.19548918512157</v>
      </c>
      <c r="AK14" s="13">
        <f t="shared" si="14"/>
        <v>289.95526364437751</v>
      </c>
      <c r="AL14" s="13">
        <f t="shared" si="14"/>
        <v>305.45302682659633</v>
      </c>
    </row>
    <row r="15" spans="1:166" x14ac:dyDescent="0.25">
      <c r="C15" s="2" t="s">
        <v>54</v>
      </c>
      <c r="D15" s="13"/>
      <c r="E15" s="13"/>
      <c r="F15" s="13"/>
      <c r="G15" s="13"/>
      <c r="H15" s="13"/>
      <c r="I15" s="13"/>
      <c r="J15" s="13"/>
      <c r="K15" s="13"/>
      <c r="L15" s="13">
        <v>0</v>
      </c>
      <c r="M15" s="13">
        <v>-2.6</v>
      </c>
      <c r="N15" s="13">
        <v>2.1</v>
      </c>
      <c r="O15" s="13">
        <f>15-N15-M15-L15</f>
        <v>15.5</v>
      </c>
      <c r="P15" s="13">
        <v>-1.3</v>
      </c>
      <c r="Q15" s="13">
        <v>2.44</v>
      </c>
      <c r="R15" s="13">
        <v>2.8</v>
      </c>
      <c r="S15" s="13">
        <v>-21.468</v>
      </c>
      <c r="T15" s="13">
        <v>0.38800000000000001</v>
      </c>
      <c r="Y15" s="13">
        <v>-1.58</v>
      </c>
      <c r="Z15" s="13">
        <v>7.4</v>
      </c>
      <c r="AA15" s="13">
        <v>14.7</v>
      </c>
      <c r="AB15" s="13">
        <v>-18</v>
      </c>
      <c r="AC15" s="14">
        <f>AC14*-0.2</f>
        <v>-22.759800000000087</v>
      </c>
      <c r="AD15" s="13">
        <f t="shared" ref="AD15:AL15" si="15">AD14*-0.2</f>
        <v>-31.831780000000037</v>
      </c>
      <c r="AE15" s="13">
        <f t="shared" si="15"/>
        <v>-42.258678000000025</v>
      </c>
      <c r="AF15" s="13">
        <f t="shared" si="15"/>
        <v>-44.571611900000022</v>
      </c>
      <c r="AG15" s="13">
        <f t="shared" si="15"/>
        <v>-47.000192495000015</v>
      </c>
      <c r="AH15" s="13">
        <f t="shared" si="15"/>
        <v>-49.550202119750011</v>
      </c>
      <c r="AI15" s="13">
        <f t="shared" si="15"/>
        <v>-52.227712225737449</v>
      </c>
      <c r="AJ15" s="13">
        <f t="shared" si="15"/>
        <v>-55.039097837024315</v>
      </c>
      <c r="AK15" s="13">
        <f t="shared" si="15"/>
        <v>-57.991052728875502</v>
      </c>
      <c r="AL15" s="13">
        <f t="shared" si="15"/>
        <v>-61.09060536531927</v>
      </c>
    </row>
    <row r="16" spans="1:166" x14ac:dyDescent="0.25">
      <c r="C16" s="1" t="s">
        <v>55</v>
      </c>
      <c r="D16" s="11"/>
      <c r="E16" s="11"/>
      <c r="F16" s="11"/>
      <c r="G16" s="11"/>
      <c r="H16" s="11"/>
      <c r="I16" s="11"/>
      <c r="J16" s="11"/>
      <c r="K16" s="11"/>
      <c r="L16" s="11">
        <f t="shared" ref="L16:S16" si="16">SUM(L14:L15)</f>
        <v>-0.40999999999998726</v>
      </c>
      <c r="M16" s="11">
        <f t="shared" si="16"/>
        <v>-3.2580000000000298</v>
      </c>
      <c r="N16" s="11">
        <f t="shared" si="16"/>
        <v>20.515999999999977</v>
      </c>
      <c r="O16" s="11">
        <f t="shared" si="16"/>
        <v>43.543000000000092</v>
      </c>
      <c r="P16" s="11">
        <f t="shared" si="16"/>
        <v>-0.28000000000005199</v>
      </c>
      <c r="Q16" s="11">
        <f t="shared" si="16"/>
        <v>-19.205999999999978</v>
      </c>
      <c r="R16" s="11">
        <f t="shared" si="16"/>
        <v>-11.432000000000073</v>
      </c>
      <c r="S16" s="11">
        <f t="shared" si="16"/>
        <v>7.5979999999999883</v>
      </c>
      <c r="T16" s="11">
        <f t="shared" ref="T16" si="17">SUM(T14:T15)</f>
        <v>7.016000000000072</v>
      </c>
      <c r="U16" s="1"/>
      <c r="W16" s="1"/>
      <c r="X16" s="1"/>
      <c r="Y16" s="11">
        <f>SUM(Y14:Y15)</f>
        <v>68.123999999999754</v>
      </c>
      <c r="Z16" s="11">
        <f>SUM(Z14:Z15)</f>
        <v>57.435999999999837</v>
      </c>
      <c r="AA16" s="11">
        <f>SUM(AA14:AA15)</f>
        <v>61.582999999999899</v>
      </c>
      <c r="AB16" s="11">
        <f>SUM(AB14:AB15)</f>
        <v>-23</v>
      </c>
      <c r="AC16" s="12">
        <f t="shared" ref="AC16:AL16" si="18">SUM(AC14:AC15)</f>
        <v>91.039200000000349</v>
      </c>
      <c r="AD16" s="11">
        <f t="shared" si="18"/>
        <v>127.32712000000015</v>
      </c>
      <c r="AE16" s="11">
        <f t="shared" si="18"/>
        <v>169.03471200000007</v>
      </c>
      <c r="AF16" s="11">
        <f t="shared" si="18"/>
        <v>178.28644760000006</v>
      </c>
      <c r="AG16" s="11">
        <f t="shared" si="18"/>
        <v>188.00076998000003</v>
      </c>
      <c r="AH16" s="11">
        <f t="shared" si="18"/>
        <v>198.20080847900005</v>
      </c>
      <c r="AI16" s="11">
        <f t="shared" si="18"/>
        <v>208.91084890294979</v>
      </c>
      <c r="AJ16" s="11">
        <f t="shared" si="18"/>
        <v>220.15639134809726</v>
      </c>
      <c r="AK16" s="11">
        <f t="shared" si="18"/>
        <v>231.96421091550201</v>
      </c>
      <c r="AL16" s="11">
        <f t="shared" si="18"/>
        <v>244.36242146127705</v>
      </c>
      <c r="AM16" s="11">
        <f>AL16*(1+$AO$20)</f>
        <v>241.91879724666427</v>
      </c>
      <c r="AN16" s="11">
        <f t="shared" ref="AN16:CY16" si="19">AM16*(1+$AO$20)</f>
        <v>239.49960927419764</v>
      </c>
      <c r="AO16" s="11">
        <f t="shared" si="19"/>
        <v>237.10461318145565</v>
      </c>
      <c r="AP16" s="11">
        <f t="shared" si="19"/>
        <v>234.7335670496411</v>
      </c>
      <c r="AQ16" s="11">
        <f t="shared" si="19"/>
        <v>232.38623137914468</v>
      </c>
      <c r="AR16" s="11">
        <f t="shared" si="19"/>
        <v>230.06236906535324</v>
      </c>
      <c r="AS16" s="11">
        <f t="shared" si="19"/>
        <v>227.7617453746997</v>
      </c>
      <c r="AT16" s="11">
        <f t="shared" si="19"/>
        <v>225.48412792095269</v>
      </c>
      <c r="AU16" s="11">
        <f t="shared" si="19"/>
        <v>223.22928664174316</v>
      </c>
      <c r="AV16" s="11">
        <f t="shared" si="19"/>
        <v>220.99699377532573</v>
      </c>
      <c r="AW16" s="11">
        <f t="shared" si="19"/>
        <v>218.78702383757246</v>
      </c>
      <c r="AX16" s="11">
        <f t="shared" si="19"/>
        <v>216.59915359919674</v>
      </c>
      <c r="AY16" s="11">
        <f t="shared" si="19"/>
        <v>214.43316206320478</v>
      </c>
      <c r="AZ16" s="11">
        <f t="shared" si="19"/>
        <v>212.28883044257273</v>
      </c>
      <c r="BA16" s="11">
        <f t="shared" si="19"/>
        <v>210.16594213814699</v>
      </c>
      <c r="BB16" s="11">
        <f t="shared" si="19"/>
        <v>208.06428271676552</v>
      </c>
      <c r="BC16" s="11">
        <f t="shared" si="19"/>
        <v>205.98363988959787</v>
      </c>
      <c r="BD16" s="11">
        <f t="shared" si="19"/>
        <v>203.92380349070189</v>
      </c>
      <c r="BE16" s="11">
        <f t="shared" si="19"/>
        <v>201.88456545579487</v>
      </c>
      <c r="BF16" s="11">
        <f t="shared" si="19"/>
        <v>199.86571980123691</v>
      </c>
      <c r="BG16" s="11">
        <f t="shared" si="19"/>
        <v>197.86706260322453</v>
      </c>
      <c r="BH16" s="11">
        <f t="shared" si="19"/>
        <v>195.88839197719227</v>
      </c>
      <c r="BI16" s="11">
        <f t="shared" si="19"/>
        <v>193.92950805742035</v>
      </c>
      <c r="BJ16" s="11">
        <f t="shared" si="19"/>
        <v>191.99021297684615</v>
      </c>
      <c r="BK16" s="11">
        <f t="shared" si="19"/>
        <v>190.07031084707768</v>
      </c>
      <c r="BL16" s="11">
        <f t="shared" si="19"/>
        <v>188.16960773860691</v>
      </c>
      <c r="BM16" s="11">
        <f t="shared" si="19"/>
        <v>186.28791166122085</v>
      </c>
      <c r="BN16" s="11">
        <f t="shared" si="19"/>
        <v>184.42503254460863</v>
      </c>
      <c r="BO16" s="11">
        <f t="shared" si="19"/>
        <v>182.58078221916253</v>
      </c>
      <c r="BP16" s="11">
        <f t="shared" si="19"/>
        <v>180.75497439697091</v>
      </c>
      <c r="BQ16" s="11">
        <f t="shared" si="19"/>
        <v>178.94742465300121</v>
      </c>
      <c r="BR16" s="11">
        <f t="shared" si="19"/>
        <v>177.1579504064712</v>
      </c>
      <c r="BS16" s="11">
        <f t="shared" si="19"/>
        <v>175.3863709024065</v>
      </c>
      <c r="BT16" s="11">
        <f t="shared" si="19"/>
        <v>173.63250719338242</v>
      </c>
      <c r="BU16" s="11">
        <f t="shared" si="19"/>
        <v>171.89618212144859</v>
      </c>
      <c r="BV16" s="11">
        <f t="shared" si="19"/>
        <v>170.1772203002341</v>
      </c>
      <c r="BW16" s="11">
        <f t="shared" si="19"/>
        <v>168.47544809723175</v>
      </c>
      <c r="BX16" s="11">
        <f t="shared" si="19"/>
        <v>166.79069361625943</v>
      </c>
      <c r="BY16" s="11">
        <f t="shared" si="19"/>
        <v>165.12278668009682</v>
      </c>
      <c r="BZ16" s="11">
        <f t="shared" si="19"/>
        <v>163.47155881329584</v>
      </c>
      <c r="CA16" s="11">
        <f t="shared" si="19"/>
        <v>161.83684322516288</v>
      </c>
      <c r="CB16" s="11">
        <f t="shared" si="19"/>
        <v>160.21847479291125</v>
      </c>
      <c r="CC16" s="11">
        <f t="shared" si="19"/>
        <v>158.61629004498215</v>
      </c>
      <c r="CD16" s="11">
        <f t="shared" si="19"/>
        <v>157.03012714453232</v>
      </c>
      <c r="CE16" s="11">
        <f t="shared" si="19"/>
        <v>155.459825873087</v>
      </c>
      <c r="CF16" s="11">
        <f t="shared" si="19"/>
        <v>153.90522761435614</v>
      </c>
      <c r="CG16" s="11">
        <f t="shared" si="19"/>
        <v>152.36617533821257</v>
      </c>
      <c r="CH16" s="11">
        <f t="shared" si="19"/>
        <v>150.84251358483044</v>
      </c>
      <c r="CI16" s="11">
        <f t="shared" si="19"/>
        <v>149.33408844898213</v>
      </c>
      <c r="CJ16" s="11">
        <f t="shared" si="19"/>
        <v>147.84074756449232</v>
      </c>
      <c r="CK16" s="11">
        <f t="shared" si="19"/>
        <v>146.36234008884739</v>
      </c>
      <c r="CL16" s="11">
        <f t="shared" si="19"/>
        <v>144.89871668795891</v>
      </c>
      <c r="CM16" s="11">
        <f t="shared" si="19"/>
        <v>143.44972952107932</v>
      </c>
      <c r="CN16" s="11">
        <f t="shared" si="19"/>
        <v>142.01523222586852</v>
      </c>
      <c r="CO16" s="11">
        <f t="shared" si="19"/>
        <v>140.59507990360984</v>
      </c>
      <c r="CP16" s="11">
        <f t="shared" si="19"/>
        <v>139.18912910457374</v>
      </c>
      <c r="CQ16" s="11">
        <f t="shared" si="19"/>
        <v>137.797237813528</v>
      </c>
      <c r="CR16" s="11">
        <f t="shared" si="19"/>
        <v>136.41926543539273</v>
      </c>
      <c r="CS16" s="11">
        <f t="shared" si="19"/>
        <v>135.0550727810388</v>
      </c>
      <c r="CT16" s="11">
        <f t="shared" si="19"/>
        <v>133.7045220532284</v>
      </c>
      <c r="CU16" s="11">
        <f t="shared" si="19"/>
        <v>132.36747683269613</v>
      </c>
      <c r="CV16" s="11">
        <f t="shared" si="19"/>
        <v>131.04380206436917</v>
      </c>
      <c r="CW16" s="11">
        <f t="shared" si="19"/>
        <v>129.73336404372549</v>
      </c>
      <c r="CX16" s="11">
        <f t="shared" si="19"/>
        <v>128.43603040328824</v>
      </c>
      <c r="CY16" s="11">
        <f t="shared" si="19"/>
        <v>127.15167009925536</v>
      </c>
      <c r="CZ16" s="11">
        <f t="shared" ref="CZ16:FJ16" si="20">CY16*(1+$AO$20)</f>
        <v>125.88015339826281</v>
      </c>
      <c r="DA16" s="11">
        <f t="shared" si="20"/>
        <v>124.62135186428017</v>
      </c>
      <c r="DB16" s="11">
        <f t="shared" si="20"/>
        <v>123.37513834563737</v>
      </c>
      <c r="DC16" s="11">
        <f t="shared" si="20"/>
        <v>122.14138696218099</v>
      </c>
      <c r="DD16" s="11">
        <f t="shared" si="20"/>
        <v>120.91997309255918</v>
      </c>
      <c r="DE16" s="11">
        <f t="shared" si="20"/>
        <v>119.71077336163358</v>
      </c>
      <c r="DF16" s="11">
        <f t="shared" si="20"/>
        <v>118.51366562801725</v>
      </c>
      <c r="DG16" s="11">
        <f t="shared" si="20"/>
        <v>117.32852897173707</v>
      </c>
      <c r="DH16" s="11">
        <f t="shared" si="20"/>
        <v>116.1552436820197</v>
      </c>
      <c r="DI16" s="11">
        <f t="shared" si="20"/>
        <v>114.9936912451995</v>
      </c>
      <c r="DJ16" s="11">
        <f t="shared" si="20"/>
        <v>113.84375433274751</v>
      </c>
      <c r="DK16" s="11">
        <f t="shared" si="20"/>
        <v>112.70531678942004</v>
      </c>
      <c r="DL16" s="11">
        <f t="shared" si="20"/>
        <v>111.57826362152583</v>
      </c>
      <c r="DM16" s="11">
        <f t="shared" si="20"/>
        <v>110.46248098531058</v>
      </c>
      <c r="DN16" s="11">
        <f t="shared" si="20"/>
        <v>109.35785617545747</v>
      </c>
      <c r="DO16" s="11">
        <f t="shared" si="20"/>
        <v>108.2642776137029</v>
      </c>
      <c r="DP16" s="11">
        <f t="shared" si="20"/>
        <v>107.18163483756587</v>
      </c>
      <c r="DQ16" s="11">
        <f t="shared" si="20"/>
        <v>106.1098184891902</v>
      </c>
      <c r="DR16" s="11">
        <f t="shared" si="20"/>
        <v>105.0487203042983</v>
      </c>
      <c r="DS16" s="11">
        <f t="shared" si="20"/>
        <v>103.99823310125531</v>
      </c>
      <c r="DT16" s="11">
        <f t="shared" si="20"/>
        <v>102.95825077024276</v>
      </c>
      <c r="DU16" s="11">
        <f t="shared" si="20"/>
        <v>101.92866826254033</v>
      </c>
      <c r="DV16" s="11">
        <f t="shared" si="20"/>
        <v>100.90938157991492</v>
      </c>
      <c r="DW16" s="11">
        <f t="shared" si="20"/>
        <v>99.900287764115774</v>
      </c>
      <c r="DX16" s="11">
        <f t="shared" si="20"/>
        <v>98.901284886474613</v>
      </c>
      <c r="DY16" s="11">
        <f t="shared" si="20"/>
        <v>97.912272037609867</v>
      </c>
      <c r="DZ16" s="11">
        <f t="shared" si="20"/>
        <v>96.93314931723377</v>
      </c>
      <c r="EA16" s="11">
        <f t="shared" si="20"/>
        <v>95.963817824061437</v>
      </c>
      <c r="EB16" s="11">
        <f t="shared" si="20"/>
        <v>95.004179645820827</v>
      </c>
      <c r="EC16" s="11">
        <f t="shared" si="20"/>
        <v>94.054137849362618</v>
      </c>
      <c r="ED16" s="11">
        <f t="shared" si="20"/>
        <v>93.113596470868998</v>
      </c>
      <c r="EE16" s="11">
        <f t="shared" si="20"/>
        <v>92.182460506160311</v>
      </c>
      <c r="EF16" s="11">
        <f t="shared" si="20"/>
        <v>91.260635901098709</v>
      </c>
      <c r="EG16" s="11">
        <f t="shared" si="20"/>
        <v>90.348029542087716</v>
      </c>
      <c r="EH16" s="11">
        <f t="shared" si="20"/>
        <v>89.444549246666838</v>
      </c>
      <c r="EI16" s="11">
        <f t="shared" si="20"/>
        <v>88.550103754200165</v>
      </c>
      <c r="EJ16" s="11">
        <f t="shared" si="20"/>
        <v>87.664602716658166</v>
      </c>
      <c r="EK16" s="11">
        <f t="shared" si="20"/>
        <v>86.78795668949158</v>
      </c>
      <c r="EL16" s="11">
        <f t="shared" si="20"/>
        <v>85.920077122596666</v>
      </c>
      <c r="EM16" s="11">
        <f t="shared" si="20"/>
        <v>85.060876351370695</v>
      </c>
      <c r="EN16" s="11">
        <f t="shared" si="20"/>
        <v>84.21026758785699</v>
      </c>
      <c r="EO16" s="11">
        <f t="shared" si="20"/>
        <v>83.368164911978425</v>
      </c>
      <c r="EP16" s="11">
        <f t="shared" si="20"/>
        <v>82.534483262858643</v>
      </c>
      <c r="EQ16" s="11">
        <f t="shared" si="20"/>
        <v>81.709138430230055</v>
      </c>
      <c r="ER16" s="11">
        <f t="shared" si="20"/>
        <v>80.892047045927754</v>
      </c>
      <c r="ES16" s="11">
        <f t="shared" si="20"/>
        <v>80.083126575468469</v>
      </c>
      <c r="ET16" s="11">
        <f t="shared" si="20"/>
        <v>79.282295309713788</v>
      </c>
      <c r="EU16" s="11">
        <f t="shared" si="20"/>
        <v>78.489472356616645</v>
      </c>
      <c r="EV16" s="11">
        <f t="shared" si="20"/>
        <v>77.704577633050476</v>
      </c>
      <c r="EW16" s="11">
        <f t="shared" si="20"/>
        <v>76.927531856719966</v>
      </c>
      <c r="EX16" s="11">
        <f t="shared" si="20"/>
        <v>76.15825653815277</v>
      </c>
      <c r="EY16" s="11">
        <f t="shared" si="20"/>
        <v>75.396673972771239</v>
      </c>
      <c r="EZ16" s="11">
        <f t="shared" si="20"/>
        <v>74.642707233043524</v>
      </c>
      <c r="FA16" s="11">
        <f t="shared" si="20"/>
        <v>73.89628016071309</v>
      </c>
      <c r="FB16" s="11">
        <f t="shared" si="20"/>
        <v>73.15731735910596</v>
      </c>
      <c r="FC16" s="11">
        <f t="shared" si="20"/>
        <v>72.425744185514901</v>
      </c>
      <c r="FD16" s="11">
        <f t="shared" si="20"/>
        <v>71.701486743659757</v>
      </c>
      <c r="FE16" s="11">
        <f t="shared" si="20"/>
        <v>70.984471876223154</v>
      </c>
      <c r="FF16" s="11">
        <f t="shared" si="20"/>
        <v>70.274627157460927</v>
      </c>
      <c r="FG16" s="11">
        <f t="shared" si="20"/>
        <v>69.571880885886316</v>
      </c>
      <c r="FH16" s="11">
        <f t="shared" si="20"/>
        <v>68.876162077027445</v>
      </c>
      <c r="FI16" s="11">
        <f t="shared" si="20"/>
        <v>68.187400456257166</v>
      </c>
      <c r="FJ16" s="11">
        <f t="shared" si="20"/>
        <v>67.505526451694593</v>
      </c>
    </row>
    <row r="17" spans="1:41" x14ac:dyDescent="0.25">
      <c r="C17" s="2" t="s">
        <v>56</v>
      </c>
      <c r="D17" s="24">
        <v>20</v>
      </c>
      <c r="E17" s="24">
        <v>20</v>
      </c>
      <c r="F17" s="24">
        <v>20</v>
      </c>
      <c r="G17" s="24">
        <v>20</v>
      </c>
      <c r="H17" s="24">
        <v>20</v>
      </c>
      <c r="I17" s="24">
        <v>20</v>
      </c>
      <c r="J17" s="24">
        <v>20</v>
      </c>
      <c r="K17" s="24">
        <v>20</v>
      </c>
      <c r="L17" s="24">
        <v>20</v>
      </c>
      <c r="M17" s="24">
        <v>20</v>
      </c>
      <c r="N17" s="24">
        <v>20</v>
      </c>
      <c r="O17" s="24">
        <v>20</v>
      </c>
      <c r="P17" s="24">
        <v>20</v>
      </c>
      <c r="Q17" s="24">
        <v>20</v>
      </c>
      <c r="R17" s="24">
        <v>20</v>
      </c>
      <c r="S17" s="24">
        <v>20</v>
      </c>
      <c r="T17" s="24">
        <v>20</v>
      </c>
      <c r="Y17" s="24">
        <v>20</v>
      </c>
      <c r="Z17" s="24">
        <v>20</v>
      </c>
      <c r="AA17" s="24">
        <v>20</v>
      </c>
      <c r="AB17" s="24">
        <v>20</v>
      </c>
      <c r="AC17" s="5">
        <v>20</v>
      </c>
      <c r="AD17" s="24">
        <v>20</v>
      </c>
      <c r="AE17" s="24">
        <v>20</v>
      </c>
      <c r="AF17" s="24">
        <v>20</v>
      </c>
      <c r="AG17" s="24">
        <v>20</v>
      </c>
      <c r="AH17" s="24">
        <v>20</v>
      </c>
      <c r="AI17" s="24">
        <v>20</v>
      </c>
      <c r="AJ17" s="24">
        <v>20</v>
      </c>
      <c r="AK17" s="24">
        <v>20</v>
      </c>
      <c r="AL17" s="24">
        <v>20</v>
      </c>
    </row>
    <row r="18" spans="1:41" x14ac:dyDescent="0.25">
      <c r="C18" s="2" t="s">
        <v>57</v>
      </c>
      <c r="D18" s="25">
        <f t="shared" ref="D18:Q18" si="21">D16/D17</f>
        <v>0</v>
      </c>
      <c r="E18" s="25">
        <f t="shared" si="21"/>
        <v>0</v>
      </c>
      <c r="F18" s="25">
        <f t="shared" si="21"/>
        <v>0</v>
      </c>
      <c r="G18" s="25">
        <f t="shared" si="21"/>
        <v>0</v>
      </c>
      <c r="H18" s="25">
        <f t="shared" si="21"/>
        <v>0</v>
      </c>
      <c r="I18" s="25">
        <f t="shared" si="21"/>
        <v>0</v>
      </c>
      <c r="J18" s="25">
        <f t="shared" si="21"/>
        <v>0</v>
      </c>
      <c r="K18" s="25">
        <f t="shared" si="21"/>
        <v>0</v>
      </c>
      <c r="L18" s="25">
        <f t="shared" si="21"/>
        <v>-2.0499999999999362E-2</v>
      </c>
      <c r="M18" s="25">
        <f t="shared" si="21"/>
        <v>-0.16290000000000149</v>
      </c>
      <c r="N18" s="25">
        <f t="shared" si="21"/>
        <v>1.0257999999999989</v>
      </c>
      <c r="O18" s="25">
        <f t="shared" si="21"/>
        <v>2.1771500000000046</v>
      </c>
      <c r="P18" s="25">
        <f t="shared" si="21"/>
        <v>-1.4000000000002599E-2</v>
      </c>
      <c r="Q18" s="25">
        <f t="shared" si="21"/>
        <v>-0.96029999999999893</v>
      </c>
      <c r="R18" s="25">
        <f>R16/R17</f>
        <v>-0.57160000000000366</v>
      </c>
      <c r="S18" s="25">
        <f>S16/S17</f>
        <v>0.3798999999999994</v>
      </c>
      <c r="T18" s="25">
        <f>T16/T17</f>
        <v>0.35080000000000361</v>
      </c>
      <c r="Y18" s="25">
        <f>Y16/Y17</f>
        <v>3.4061999999999877</v>
      </c>
      <c r="Z18" s="25">
        <f t="shared" ref="Z18" si="22">Z16/Z17</f>
        <v>2.8717999999999919</v>
      </c>
      <c r="AA18" s="25">
        <f>AA16/AA17</f>
        <v>3.0791499999999949</v>
      </c>
      <c r="AB18" s="25">
        <f>AB16/AB17</f>
        <v>-1.1499999999999999</v>
      </c>
      <c r="AC18" s="19">
        <f t="shared" ref="AC18:AL18" si="23">AC16/AC17</f>
        <v>4.5519600000000171</v>
      </c>
      <c r="AD18" s="25">
        <f t="shared" si="23"/>
        <v>6.3663560000000077</v>
      </c>
      <c r="AE18" s="25">
        <f t="shared" si="23"/>
        <v>8.4517356000000028</v>
      </c>
      <c r="AF18" s="25">
        <f t="shared" si="23"/>
        <v>8.9143223800000033</v>
      </c>
      <c r="AG18" s="25">
        <f t="shared" si="23"/>
        <v>9.4000384990000008</v>
      </c>
      <c r="AH18" s="25">
        <f t="shared" si="23"/>
        <v>9.9100404239500026</v>
      </c>
      <c r="AI18" s="25">
        <f t="shared" si="23"/>
        <v>10.44554244514749</v>
      </c>
      <c r="AJ18" s="25">
        <f t="shared" si="23"/>
        <v>11.007819567404862</v>
      </c>
      <c r="AK18" s="25">
        <f t="shared" si="23"/>
        <v>11.5982105457751</v>
      </c>
      <c r="AL18" s="25">
        <f t="shared" si="23"/>
        <v>12.218121073063852</v>
      </c>
    </row>
    <row r="19" spans="1:41" x14ac:dyDescent="0.25"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Y19" s="13"/>
      <c r="Z19" s="13"/>
      <c r="AA19" s="13"/>
      <c r="AN19" s="2" t="s">
        <v>108</v>
      </c>
      <c r="AO19" s="31">
        <v>0.08</v>
      </c>
    </row>
    <row r="20" spans="1:41" x14ac:dyDescent="0.25">
      <c r="C20" s="1" t="s">
        <v>35</v>
      </c>
      <c r="D20" s="22"/>
      <c r="E20" s="22"/>
      <c r="F20" s="22"/>
      <c r="G20" s="22"/>
      <c r="H20" s="22" t="e">
        <f t="shared" ref="H20:O20" si="24">(H4-D4)/D4</f>
        <v>#DIV/0!</v>
      </c>
      <c r="I20" s="22" t="e">
        <f t="shared" si="24"/>
        <v>#DIV/0!</v>
      </c>
      <c r="J20" s="22" t="e">
        <f t="shared" si="24"/>
        <v>#DIV/0!</v>
      </c>
      <c r="K20" s="22" t="e">
        <f t="shared" si="24"/>
        <v>#DIV/0!</v>
      </c>
      <c r="L20" s="22" t="e">
        <f t="shared" si="24"/>
        <v>#DIV/0!</v>
      </c>
      <c r="M20" s="22" t="e">
        <f t="shared" si="24"/>
        <v>#DIV/0!</v>
      </c>
      <c r="N20" s="22" t="e">
        <f t="shared" si="24"/>
        <v>#DIV/0!</v>
      </c>
      <c r="O20" s="22" t="e">
        <f t="shared" si="24"/>
        <v>#DIV/0!</v>
      </c>
      <c r="P20" s="22">
        <f>(P4-L4)/L4</f>
        <v>2.0804438280166437E-2</v>
      </c>
      <c r="Q20" s="22">
        <f t="shared" ref="Q20:T20" si="25">(Q4-M4)/M4</f>
        <v>0.12327946070032231</v>
      </c>
      <c r="R20" s="22">
        <f t="shared" si="25"/>
        <v>9.9262615039110866E-2</v>
      </c>
      <c r="S20" s="22">
        <f t="shared" si="25"/>
        <v>0.2909713397979557</v>
      </c>
      <c r="T20" s="22">
        <f t="shared" si="25"/>
        <v>0.22938179347826093</v>
      </c>
      <c r="Y20" s="17"/>
      <c r="Z20" s="22">
        <f t="shared" ref="Z20" si="26">(Z4-Y4)/Y4</f>
        <v>0.28145500434198589</v>
      </c>
      <c r="AA20" s="22">
        <f>(AA4-Z4)/Z4</f>
        <v>0.14101812907904274</v>
      </c>
      <c r="AB20" s="22">
        <f t="shared" ref="AB20:AL20" si="27">(AB4-AA4)/AA4</f>
        <v>0.14492609935784997</v>
      </c>
      <c r="AC20" s="26">
        <f t="shared" si="27"/>
        <v>0.11000000000000011</v>
      </c>
      <c r="AD20" s="22">
        <f t="shared" si="27"/>
        <v>0.1000000000000001</v>
      </c>
      <c r="AE20" s="22">
        <f t="shared" si="27"/>
        <v>0.1</v>
      </c>
      <c r="AF20" s="22">
        <f t="shared" si="27"/>
        <v>4.9999999999999975E-2</v>
      </c>
      <c r="AG20" s="22">
        <f t="shared" si="27"/>
        <v>4.9999999999999975E-2</v>
      </c>
      <c r="AH20" s="22">
        <f t="shared" si="27"/>
        <v>4.9999999999999989E-2</v>
      </c>
      <c r="AI20" s="22">
        <f t="shared" si="27"/>
        <v>4.9999999999999982E-2</v>
      </c>
      <c r="AJ20" s="22">
        <f t="shared" si="27"/>
        <v>4.9999999999999975E-2</v>
      </c>
      <c r="AK20" s="22">
        <f t="shared" si="27"/>
        <v>5.0000000000000031E-2</v>
      </c>
      <c r="AL20" s="22">
        <f t="shared" si="27"/>
        <v>5.0000000000000072E-2</v>
      </c>
      <c r="AN20" s="2" t="s">
        <v>109</v>
      </c>
      <c r="AO20" s="31">
        <v>-0.01</v>
      </c>
    </row>
    <row r="21" spans="1:41" x14ac:dyDescent="0.25">
      <c r="C21" s="2" t="s">
        <v>38</v>
      </c>
      <c r="D21" s="17" t="e">
        <f t="shared" ref="D21:O21" si="28">D7/D4</f>
        <v>#DIV/0!</v>
      </c>
      <c r="E21" s="17" t="e">
        <f t="shared" si="28"/>
        <v>#DIV/0!</v>
      </c>
      <c r="F21" s="17" t="e">
        <f t="shared" si="28"/>
        <v>#DIV/0!</v>
      </c>
      <c r="G21" s="17" t="e">
        <f t="shared" si="28"/>
        <v>#DIV/0!</v>
      </c>
      <c r="H21" s="17" t="e">
        <f t="shared" si="28"/>
        <v>#DIV/0!</v>
      </c>
      <c r="I21" s="17" t="e">
        <f t="shared" si="28"/>
        <v>#DIV/0!</v>
      </c>
      <c r="J21" s="17" t="e">
        <f t="shared" si="28"/>
        <v>#DIV/0!</v>
      </c>
      <c r="K21" s="17" t="e">
        <f t="shared" si="28"/>
        <v>#DIV/0!</v>
      </c>
      <c r="L21" s="17">
        <f t="shared" si="28"/>
        <v>0.23506934812760058</v>
      </c>
      <c r="M21" s="17">
        <f t="shared" si="28"/>
        <v>0.28799476048399364</v>
      </c>
      <c r="N21" s="17">
        <f t="shared" si="28"/>
        <v>0.32181892902756232</v>
      </c>
      <c r="O21" s="17">
        <f t="shared" si="28"/>
        <v>0.28776928305168464</v>
      </c>
      <c r="P21" s="17">
        <f t="shared" ref="P21:S21" si="29">P7/P4</f>
        <v>0.32904619565217386</v>
      </c>
      <c r="Q21" s="17">
        <f t="shared" si="29"/>
        <v>0.30382852612992939</v>
      </c>
      <c r="R21" s="17">
        <f t="shared" si="29"/>
        <v>0.30866979261730176</v>
      </c>
      <c r="S21" s="17">
        <f t="shared" si="29"/>
        <v>0.27504790650220401</v>
      </c>
      <c r="T21" s="17">
        <f t="shared" ref="T21" si="30">T7/T4</f>
        <v>0.30433730279335791</v>
      </c>
      <c r="Y21" s="17">
        <f t="shared" ref="Y21:Z21" si="31">Y7/Y4</f>
        <v>0.31401548432540771</v>
      </c>
      <c r="Z21" s="17">
        <f t="shared" si="31"/>
        <v>0.27997824510514863</v>
      </c>
      <c r="AA21" s="17">
        <f>AA7/AA4</f>
        <v>0.28386858549035754</v>
      </c>
      <c r="AB21" s="17">
        <f t="shared" ref="AB21:AL21" si="32">AB7/AB4</f>
        <v>0.30030530113794063</v>
      </c>
      <c r="AC21" s="18">
        <f t="shared" si="32"/>
        <v>0.3000000000000001</v>
      </c>
      <c r="AD21" s="17">
        <f t="shared" si="32"/>
        <v>0.3</v>
      </c>
      <c r="AE21" s="17">
        <f t="shared" si="32"/>
        <v>0.30000000000000004</v>
      </c>
      <c r="AF21" s="17">
        <f t="shared" si="32"/>
        <v>0.30000000000000004</v>
      </c>
      <c r="AG21" s="17">
        <f t="shared" si="32"/>
        <v>0.30000000000000004</v>
      </c>
      <c r="AH21" s="17">
        <f t="shared" si="32"/>
        <v>0.30000000000000004</v>
      </c>
      <c r="AI21" s="17">
        <f t="shared" si="32"/>
        <v>0.3</v>
      </c>
      <c r="AJ21" s="17">
        <f t="shared" si="32"/>
        <v>0.30000000000000004</v>
      </c>
      <c r="AK21" s="17">
        <f t="shared" si="32"/>
        <v>0.3</v>
      </c>
      <c r="AL21" s="17">
        <f t="shared" si="32"/>
        <v>0.3</v>
      </c>
      <c r="AN21" s="30" t="s">
        <v>110</v>
      </c>
      <c r="AO21" s="32">
        <f>NPV(AO19,AB16:FJ16)</f>
        <v>2225.5992977151982</v>
      </c>
    </row>
    <row r="22" spans="1:41" x14ac:dyDescent="0.25">
      <c r="C22" s="2" t="s">
        <v>36</v>
      </c>
      <c r="D22" s="17" t="e">
        <f t="shared" ref="D22:O22" si="33">D11/D4</f>
        <v>#DIV/0!</v>
      </c>
      <c r="E22" s="17" t="e">
        <f t="shared" si="33"/>
        <v>#DIV/0!</v>
      </c>
      <c r="F22" s="17" t="e">
        <f t="shared" si="33"/>
        <v>#DIV/0!</v>
      </c>
      <c r="G22" s="17" t="e">
        <f t="shared" si="33"/>
        <v>#DIV/0!</v>
      </c>
      <c r="H22" s="17" t="e">
        <f t="shared" si="33"/>
        <v>#DIV/0!</v>
      </c>
      <c r="I22" s="17" t="e">
        <f t="shared" si="33"/>
        <v>#DIV/0!</v>
      </c>
      <c r="J22" s="17" t="e">
        <f t="shared" si="33"/>
        <v>#DIV/0!</v>
      </c>
      <c r="K22" s="17" t="e">
        <f t="shared" si="33"/>
        <v>#DIV/0!</v>
      </c>
      <c r="L22" s="17">
        <f t="shared" si="33"/>
        <v>3.8973647711511967E-3</v>
      </c>
      <c r="M22" s="17">
        <f t="shared" si="33"/>
        <v>3.7602789116095905E-3</v>
      </c>
      <c r="N22" s="17">
        <f t="shared" si="33"/>
        <v>3.2553422011404598E-2</v>
      </c>
      <c r="O22" s="17">
        <f t="shared" si="33"/>
        <v>3.716348853211987E-2</v>
      </c>
      <c r="P22" s="17">
        <f>P11/P4</f>
        <v>6.9565217391303639E-3</v>
      </c>
      <c r="Q22" s="17">
        <f t="shared" ref="Q22:S22" si="34">Q11/Q4</f>
        <v>-2.0314051514248435E-2</v>
      </c>
      <c r="R22" s="17">
        <f t="shared" si="34"/>
        <v>-1.1369229316801555E-2</v>
      </c>
      <c r="S22" s="17">
        <f t="shared" si="34"/>
        <v>2.9871257406704939E-2</v>
      </c>
      <c r="T22" s="17">
        <f t="shared" ref="T22" si="35">T11/T4</f>
        <v>1.3292073052800344E-2</v>
      </c>
      <c r="Y22" s="17">
        <f t="shared" ref="Y22:Z22" si="36">Y11/Y4</f>
        <v>3.5639131491315215E-2</v>
      </c>
      <c r="Z22" s="17">
        <f t="shared" si="36"/>
        <v>2.263814358230596E-2</v>
      </c>
      <c r="AA22" s="17">
        <f>AA11/AA4</f>
        <v>2.0935655343878187E-2</v>
      </c>
      <c r="AB22" s="17">
        <f t="shared" ref="AB22:AL22" si="37">AB11/AB4</f>
        <v>4.4407438245906193E-3</v>
      </c>
      <c r="AC22" s="18">
        <f t="shared" si="37"/>
        <v>3.3455353771756874E-2</v>
      </c>
      <c r="AD22" s="17">
        <f t="shared" si="37"/>
        <v>4.0724753214345259E-2</v>
      </c>
      <c r="AE22" s="17">
        <f t="shared" si="37"/>
        <v>4.7795896308499453E-2</v>
      </c>
      <c r="AF22" s="17">
        <f t="shared" si="37"/>
        <v>4.7795896308499453E-2</v>
      </c>
      <c r="AG22" s="17">
        <f t="shared" si="37"/>
        <v>4.7795896308499446E-2</v>
      </c>
      <c r="AH22" s="17">
        <f t="shared" si="37"/>
        <v>4.7795896308499446E-2</v>
      </c>
      <c r="AI22" s="17">
        <f t="shared" si="37"/>
        <v>4.779589630849939E-2</v>
      </c>
      <c r="AJ22" s="17">
        <f t="shared" si="37"/>
        <v>4.779589630849939E-2</v>
      </c>
      <c r="AK22" s="17">
        <f t="shared" si="37"/>
        <v>4.7795896308499362E-2</v>
      </c>
      <c r="AL22" s="17">
        <f t="shared" si="37"/>
        <v>4.7795896308499355E-2</v>
      </c>
      <c r="AN22" s="2" t="s">
        <v>2</v>
      </c>
      <c r="AO22" s="8">
        <v>20</v>
      </c>
    </row>
    <row r="23" spans="1:41" x14ac:dyDescent="0.25">
      <c r="C23" s="2" t="s">
        <v>139</v>
      </c>
      <c r="M23" s="16"/>
      <c r="P23" s="16"/>
      <c r="Q23" s="16"/>
      <c r="Y23" s="17">
        <v>0.33</v>
      </c>
      <c r="Z23" s="17">
        <v>0.15</v>
      </c>
      <c r="AA23" s="17">
        <v>0.14000000000000001</v>
      </c>
      <c r="AB23" s="17">
        <f>AB16/AB47</f>
        <v>-0.12209104807202309</v>
      </c>
      <c r="AC23" s="18"/>
      <c r="AD23" s="17"/>
      <c r="AE23" s="17"/>
      <c r="AF23" s="17"/>
      <c r="AG23" s="17"/>
      <c r="AH23" s="17"/>
      <c r="AI23" s="17"/>
      <c r="AJ23" s="17"/>
      <c r="AK23" s="17"/>
      <c r="AL23" s="17"/>
      <c r="AN23" s="1" t="s">
        <v>111</v>
      </c>
      <c r="AO23" s="33">
        <f>AO21/AO22</f>
        <v>111.27996488575991</v>
      </c>
    </row>
    <row r="24" spans="1:41" x14ac:dyDescent="0.25">
      <c r="M24" s="16"/>
      <c r="P24" s="16"/>
      <c r="Q24" s="16"/>
      <c r="Y24" s="17"/>
      <c r="Z24" s="17"/>
      <c r="AA24" s="17"/>
      <c r="AB24" s="17"/>
      <c r="AC24" s="18"/>
      <c r="AD24" s="17"/>
      <c r="AE24" s="17"/>
      <c r="AF24" s="17"/>
      <c r="AG24" s="17"/>
      <c r="AH24" s="17"/>
      <c r="AI24" s="17"/>
      <c r="AJ24" s="17"/>
      <c r="AK24" s="17"/>
      <c r="AL24" s="17"/>
      <c r="AN24" s="1" t="s">
        <v>124</v>
      </c>
      <c r="AO24" s="22">
        <f>(AO23-B4)/B4</f>
        <v>2.272940143698821</v>
      </c>
    </row>
    <row r="25" spans="1:41" x14ac:dyDescent="0.25">
      <c r="C25" s="2" t="s">
        <v>125</v>
      </c>
      <c r="L25" s="43">
        <v>31.231000000000002</v>
      </c>
      <c r="M25" s="43">
        <v>31.295000000000002</v>
      </c>
      <c r="N25" s="43">
        <v>56.451000000000001</v>
      </c>
      <c r="O25" s="43">
        <v>72.966999999999999</v>
      </c>
      <c r="P25" s="43">
        <v>42.08</v>
      </c>
      <c r="Q25" s="43">
        <v>20.483000000000001</v>
      </c>
      <c r="R25" s="43">
        <v>29.323</v>
      </c>
      <c r="S25" s="43">
        <v>84.775000000000006</v>
      </c>
      <c r="T25" s="43">
        <v>56.478999999999999</v>
      </c>
      <c r="AA25" s="43">
        <f>SUM(L25:O25)</f>
        <v>191.94400000000002</v>
      </c>
      <c r="AB25" s="43">
        <f>SUM(P25:S25)</f>
        <v>176.661</v>
      </c>
    </row>
    <row r="26" spans="1:41" x14ac:dyDescent="0.25">
      <c r="C26" s="2" t="s">
        <v>126</v>
      </c>
      <c r="L26" s="9">
        <f>L25/L4</f>
        <v>4.3316227461858529E-2</v>
      </c>
      <c r="M26" s="9">
        <f t="shared" ref="M26:T26" si="38">M25/M4</f>
        <v>4.1406730661091969E-2</v>
      </c>
      <c r="N26" s="9">
        <f t="shared" si="38"/>
        <v>7.8112438407115653E-2</v>
      </c>
      <c r="O26" s="9">
        <f t="shared" si="38"/>
        <v>7.7008725974020489E-2</v>
      </c>
      <c r="P26" s="9">
        <f t="shared" si="38"/>
        <v>5.7173913043478256E-2</v>
      </c>
      <c r="Q26" s="9">
        <f t="shared" si="38"/>
        <v>2.412691158334403E-2</v>
      </c>
      <c r="R26" s="9">
        <f t="shared" si="38"/>
        <v>3.6910973345501467E-2</v>
      </c>
      <c r="S26" s="9">
        <f t="shared" si="38"/>
        <v>6.9305012360858606E-2</v>
      </c>
      <c r="T26" s="9">
        <f t="shared" si="38"/>
        <v>6.2419804934655869E-2</v>
      </c>
      <c r="U26" s="17"/>
      <c r="V26" s="17"/>
      <c r="Y26" s="17"/>
      <c r="Z26" s="17"/>
      <c r="AA26" s="9">
        <f t="shared" ref="AA26:AB26" si="39">AA25/AA4</f>
        <v>6.0994086931763301E-2</v>
      </c>
      <c r="AB26" s="9">
        <f t="shared" si="39"/>
        <v>4.9031640299750205E-2</v>
      </c>
      <c r="AC26" s="18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41" x14ac:dyDescent="0.25">
      <c r="L27" s="9"/>
      <c r="M27" s="9"/>
      <c r="N27" s="9"/>
      <c r="O27" s="9"/>
      <c r="P27" s="9"/>
      <c r="Q27" s="9"/>
      <c r="R27" s="9"/>
      <c r="S27" s="9"/>
      <c r="T27" s="9"/>
      <c r="U27" s="17"/>
      <c r="V27" s="17"/>
      <c r="Y27" s="17"/>
      <c r="Z27" s="17"/>
      <c r="AA27" s="9"/>
      <c r="AB27" s="9"/>
      <c r="AC27" s="18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41" s="13" customFormat="1" x14ac:dyDescent="0.25">
      <c r="B28" s="14"/>
      <c r="C28" s="13" t="s">
        <v>119</v>
      </c>
      <c r="M28" s="13">
        <v>7.4219999999999997</v>
      </c>
      <c r="N28" s="13">
        <v>28.754999999999999</v>
      </c>
      <c r="O28" s="13">
        <v>45.905999999999999</v>
      </c>
      <c r="P28" s="13">
        <v>12.21</v>
      </c>
      <c r="Q28" s="13">
        <v>16.931000000000001</v>
      </c>
      <c r="R28" s="13">
        <v>20.696000000000002</v>
      </c>
      <c r="S28" s="13">
        <v>48.249000000000002</v>
      </c>
      <c r="T28" s="13">
        <v>19.841999999999999</v>
      </c>
      <c r="AA28" s="13">
        <v>89.5</v>
      </c>
      <c r="AB28" s="13">
        <v>98.1</v>
      </c>
      <c r="AC28" s="14">
        <f>AC4*AC29</f>
        <v>155.97387000000001</v>
      </c>
      <c r="AD28" s="13">
        <f t="shared" ref="AD28:AE28" si="40">AD4*AD29</f>
        <v>197.96683500000003</v>
      </c>
      <c r="AE28" s="13">
        <f t="shared" si="40"/>
        <v>241.95946500000005</v>
      </c>
    </row>
    <row r="29" spans="1:41" x14ac:dyDescent="0.25">
      <c r="C29" s="2" t="s">
        <v>126</v>
      </c>
      <c r="L29" s="9">
        <f t="shared" ref="L29:S29" si="41">L28/L4</f>
        <v>0</v>
      </c>
      <c r="M29" s="9">
        <f t="shared" si="41"/>
        <v>9.8201231815505524E-3</v>
      </c>
      <c r="N29" s="9">
        <f t="shared" si="41"/>
        <v>3.9788899512791812E-2</v>
      </c>
      <c r="O29" s="9">
        <f t="shared" si="41"/>
        <v>4.8448786089100339E-2</v>
      </c>
      <c r="P29" s="9">
        <f t="shared" si="41"/>
        <v>1.658967391304348E-2</v>
      </c>
      <c r="Q29" s="9">
        <f t="shared" si="41"/>
        <v>1.9943013231342958E-2</v>
      </c>
      <c r="R29" s="9">
        <f t="shared" si="41"/>
        <v>2.6051546716178372E-2</v>
      </c>
      <c r="S29" s="9">
        <f t="shared" si="41"/>
        <v>3.9444382676485597E-2</v>
      </c>
      <c r="T29" s="9">
        <f>T28/T4</f>
        <v>2.1929102312601881E-2</v>
      </c>
      <c r="U29" s="17"/>
      <c r="V29" s="17"/>
      <c r="Y29" s="9"/>
      <c r="Z29" s="9"/>
      <c r="AA29" s="9">
        <f t="shared" ref="AA29" si="42">AA28/AA4</f>
        <v>2.8440434607973238E-2</v>
      </c>
      <c r="AB29" s="9">
        <f>AB28/AB4</f>
        <v>2.722731057452123E-2</v>
      </c>
      <c r="AC29" s="18">
        <v>3.9E-2</v>
      </c>
      <c r="AD29" s="17">
        <v>4.4999999999999998E-2</v>
      </c>
      <c r="AE29" s="17">
        <v>0.05</v>
      </c>
      <c r="AF29" s="17"/>
      <c r="AG29" s="17"/>
      <c r="AH29" s="17"/>
      <c r="AI29" s="17"/>
      <c r="AJ29" s="17"/>
      <c r="AK29" s="17"/>
      <c r="AL29" s="17"/>
    </row>
    <row r="31" spans="1:41" x14ac:dyDescent="0.25">
      <c r="C31" s="1" t="s">
        <v>59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44"/>
      <c r="U31" s="44"/>
      <c r="V31" s="44"/>
      <c r="W31" s="1"/>
      <c r="X31" s="1"/>
      <c r="Y31" s="20"/>
      <c r="Z31" s="20"/>
      <c r="AA31" s="20"/>
    </row>
    <row r="32" spans="1:41" s="13" customFormat="1" x14ac:dyDescent="0.25">
      <c r="A32" s="2"/>
      <c r="B32" s="4"/>
      <c r="C32" s="2" t="s">
        <v>60</v>
      </c>
      <c r="G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18.600000000000001</v>
      </c>
      <c r="P32" s="13">
        <v>18.635999999999999</v>
      </c>
      <c r="Q32" s="13">
        <v>19</v>
      </c>
      <c r="R32" s="13">
        <v>18.626000000000001</v>
      </c>
      <c r="S32" s="13">
        <v>18.626000000000001</v>
      </c>
      <c r="T32" s="13">
        <v>18.626000000000001</v>
      </c>
      <c r="Y32" s="9"/>
      <c r="Z32" s="9"/>
      <c r="AA32" s="13">
        <v>18.600000000000001</v>
      </c>
      <c r="AB32" s="13">
        <v>18.626000000000001</v>
      </c>
      <c r="AC32" s="14"/>
    </row>
    <row r="33" spans="1:29" s="13" customFormat="1" x14ac:dyDescent="0.25">
      <c r="A33" s="2"/>
      <c r="B33" s="4"/>
      <c r="C33" s="2" t="s">
        <v>61</v>
      </c>
      <c r="G33" s="13">
        <v>50.286000000000001</v>
      </c>
      <c r="K33" s="13">
        <v>40.090000000000003</v>
      </c>
      <c r="L33" s="13">
        <v>38.700000000000003</v>
      </c>
      <c r="M33" s="13">
        <v>35.524999999999999</v>
      </c>
      <c r="N33" s="13">
        <v>32.731000000000002</v>
      </c>
      <c r="O33" s="13">
        <v>30.5</v>
      </c>
      <c r="P33" s="13">
        <v>26.4</v>
      </c>
      <c r="Q33" s="13">
        <v>25.666</v>
      </c>
      <c r="R33" s="13">
        <v>23.971</v>
      </c>
      <c r="S33" s="13">
        <v>18.827000000000002</v>
      </c>
      <c r="T33" s="13">
        <v>17.024000000000001</v>
      </c>
      <c r="Y33" s="9"/>
      <c r="Z33" s="9"/>
      <c r="AA33" s="13">
        <v>30.5</v>
      </c>
      <c r="AB33" s="13">
        <v>18.827000000000002</v>
      </c>
      <c r="AC33" s="14"/>
    </row>
    <row r="34" spans="1:29" s="13" customFormat="1" x14ac:dyDescent="0.25">
      <c r="A34" s="2"/>
      <c r="B34" s="4"/>
      <c r="C34" s="2" t="s">
        <v>62</v>
      </c>
      <c r="G34" s="13">
        <v>76.400000000000006</v>
      </c>
      <c r="K34" s="13">
        <v>68.822000000000003</v>
      </c>
      <c r="L34" s="13">
        <v>65.77</v>
      </c>
      <c r="M34" s="13">
        <v>63.295000000000002</v>
      </c>
      <c r="N34" s="13">
        <v>109.241</v>
      </c>
      <c r="O34" s="13">
        <v>117.538</v>
      </c>
      <c r="P34" s="13">
        <v>117.193</v>
      </c>
      <c r="Q34" s="13">
        <v>115.358</v>
      </c>
      <c r="R34" s="13">
        <v>112.92</v>
      </c>
      <c r="S34" s="13">
        <v>105.441</v>
      </c>
      <c r="T34" s="13">
        <v>99.933000000000007</v>
      </c>
      <c r="Y34" s="17"/>
      <c r="Z34" s="17"/>
      <c r="AA34" s="13">
        <v>117.538</v>
      </c>
      <c r="AB34" s="13">
        <v>105.441</v>
      </c>
      <c r="AC34" s="14"/>
    </row>
    <row r="35" spans="1:29" s="13" customFormat="1" x14ac:dyDescent="0.25">
      <c r="A35" s="2"/>
      <c r="B35" s="4"/>
      <c r="C35" s="2" t="s">
        <v>63</v>
      </c>
      <c r="G35" s="13">
        <v>167.143</v>
      </c>
      <c r="K35" s="13">
        <v>213.87899999999999</v>
      </c>
      <c r="L35" s="13">
        <v>223.595</v>
      </c>
      <c r="M35" s="13">
        <v>221.3</v>
      </c>
      <c r="N35" s="13">
        <v>241.49600000000001</v>
      </c>
      <c r="O35" s="13">
        <v>288.166</v>
      </c>
      <c r="P35" s="13">
        <v>265.75799999999998</v>
      </c>
      <c r="Q35" s="13">
        <v>282.363</v>
      </c>
      <c r="R35" s="13">
        <v>298.26100000000002</v>
      </c>
      <c r="S35" s="13">
        <v>393.55520000000001</v>
      </c>
      <c r="T35" s="13">
        <v>397.10599999999999</v>
      </c>
      <c r="Y35" s="2"/>
      <c r="Z35" s="2"/>
      <c r="AA35" s="13">
        <v>288.166</v>
      </c>
      <c r="AB35" s="13">
        <v>393.55520000000001</v>
      </c>
      <c r="AC35" s="14"/>
    </row>
    <row r="36" spans="1:29" s="13" customFormat="1" x14ac:dyDescent="0.25">
      <c r="A36" s="2"/>
      <c r="B36" s="4"/>
      <c r="C36" s="2" t="s">
        <v>64</v>
      </c>
      <c r="G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20.6</v>
      </c>
      <c r="P36" s="13">
        <v>22.6</v>
      </c>
      <c r="Q36" s="13">
        <v>26.850999999999999</v>
      </c>
      <c r="R36" s="13">
        <v>27.681000000000001</v>
      </c>
      <c r="S36" s="13">
        <v>11.711</v>
      </c>
      <c r="T36" s="13">
        <v>13.571</v>
      </c>
      <c r="Y36" s="2"/>
      <c r="Z36" s="2"/>
      <c r="AA36" s="13">
        <v>20.6</v>
      </c>
      <c r="AB36" s="13">
        <v>11.711</v>
      </c>
      <c r="AC36" s="14"/>
    </row>
    <row r="37" spans="1:29" s="13" customFormat="1" x14ac:dyDescent="0.25">
      <c r="A37" s="2"/>
      <c r="B37" s="4"/>
      <c r="C37" s="2" t="s">
        <v>65</v>
      </c>
      <c r="G37" s="13">
        <v>4.6550000000000002</v>
      </c>
      <c r="K37" s="13">
        <v>5.5</v>
      </c>
      <c r="L37" s="13">
        <v>5.9</v>
      </c>
      <c r="M37" s="13">
        <v>5.8</v>
      </c>
      <c r="N37" s="13">
        <v>5.3220000000000001</v>
      </c>
      <c r="O37" s="13">
        <v>12.2</v>
      </c>
      <c r="P37" s="13">
        <v>4.0999999999999996</v>
      </c>
      <c r="Q37" s="13">
        <v>4</v>
      </c>
      <c r="R37" s="13">
        <v>3.5</v>
      </c>
      <c r="S37" s="13">
        <v>4.1669999999999998</v>
      </c>
      <c r="T37" s="13">
        <v>4.1379999999999999</v>
      </c>
      <c r="Y37" s="2"/>
      <c r="Z37" s="2"/>
      <c r="AA37" s="13">
        <v>12.2</v>
      </c>
      <c r="AB37" s="13">
        <v>4.1669999999999998</v>
      </c>
      <c r="AC37" s="14"/>
    </row>
    <row r="38" spans="1:29" s="13" customFormat="1" x14ac:dyDescent="0.25">
      <c r="A38" s="2"/>
      <c r="B38" s="4"/>
      <c r="C38" s="2" t="s">
        <v>66</v>
      </c>
      <c r="G38" s="13">
        <v>25.591000000000001</v>
      </c>
      <c r="K38" s="13">
        <v>26.21</v>
      </c>
      <c r="L38" s="13">
        <v>9.11</v>
      </c>
      <c r="M38" s="13">
        <v>7.4</v>
      </c>
      <c r="N38" s="13">
        <v>19.100000000000001</v>
      </c>
      <c r="O38" s="13">
        <v>21.38</v>
      </c>
      <c r="P38" s="13">
        <v>38.97</v>
      </c>
      <c r="Q38" s="13">
        <v>21.780999999999999</v>
      </c>
      <c r="R38" s="13">
        <v>32.5</v>
      </c>
      <c r="S38" s="13">
        <v>30.613</v>
      </c>
      <c r="T38" s="13">
        <v>28.867999999999999</v>
      </c>
      <c r="Y38" s="2"/>
      <c r="Z38" s="2"/>
      <c r="AA38" s="13">
        <v>21.38</v>
      </c>
      <c r="AB38" s="13">
        <v>30.613</v>
      </c>
      <c r="AC38" s="14"/>
    </row>
    <row r="39" spans="1:29" s="13" customFormat="1" x14ac:dyDescent="0.25">
      <c r="A39" s="2"/>
      <c r="B39" s="4"/>
      <c r="C39" s="2" t="s">
        <v>67</v>
      </c>
      <c r="G39" s="13">
        <v>256.64100000000002</v>
      </c>
      <c r="K39" s="13">
        <v>398.19200000000001</v>
      </c>
      <c r="L39" s="13">
        <v>248.178</v>
      </c>
      <c r="M39" s="13">
        <v>293.714</v>
      </c>
      <c r="N39" s="13">
        <v>290.19</v>
      </c>
      <c r="O39" s="13">
        <v>369.39299999999997</v>
      </c>
      <c r="P39" s="13">
        <v>237.9</v>
      </c>
      <c r="Q39" s="13">
        <v>293.44499999999999</v>
      </c>
      <c r="R39" s="13">
        <v>301.858</v>
      </c>
      <c r="S39" s="13">
        <v>407.06799999999998</v>
      </c>
      <c r="T39" s="13">
        <v>251.03700000000001</v>
      </c>
      <c r="Y39" s="2"/>
      <c r="Z39" s="2"/>
      <c r="AA39" s="13">
        <v>369.39299999999997</v>
      </c>
      <c r="AB39" s="13">
        <v>407.06799999999998</v>
      </c>
      <c r="AC39" s="14"/>
    </row>
    <row r="40" spans="1:29" s="13" customFormat="1" x14ac:dyDescent="0.25">
      <c r="A40" s="2"/>
      <c r="B40" s="4"/>
      <c r="C40" s="2" t="s">
        <v>68</v>
      </c>
      <c r="G40" s="13">
        <v>102.79600000000001</v>
      </c>
      <c r="K40" s="13">
        <v>133.49600000000001</v>
      </c>
      <c r="L40" s="13">
        <v>210.29900000000001</v>
      </c>
      <c r="M40" s="13">
        <v>228.26300000000001</v>
      </c>
      <c r="N40" s="13">
        <v>276.88499999999999</v>
      </c>
      <c r="O40" s="13">
        <v>166.1</v>
      </c>
      <c r="P40" s="13">
        <v>208.488</v>
      </c>
      <c r="Q40" s="13">
        <v>283.18099999999998</v>
      </c>
      <c r="R40" s="13">
        <v>326.71699999999998</v>
      </c>
      <c r="S40" s="13">
        <v>246.11600000000001</v>
      </c>
      <c r="T40" s="13">
        <v>342.72899999999998</v>
      </c>
      <c r="Y40" s="2"/>
      <c r="Z40" s="2"/>
      <c r="AA40" s="13">
        <v>166.1</v>
      </c>
      <c r="AB40" s="13">
        <v>246.11600000000001</v>
      </c>
      <c r="AC40" s="14"/>
    </row>
    <row r="41" spans="1:29" s="13" customFormat="1" x14ac:dyDescent="0.25">
      <c r="A41" s="2"/>
      <c r="B41" s="4"/>
      <c r="C41" s="2" t="s">
        <v>69</v>
      </c>
      <c r="G41" s="13">
        <v>43.436999999999998</v>
      </c>
      <c r="K41" s="13">
        <v>29.334</v>
      </c>
      <c r="L41" s="13">
        <v>53.997999999999998</v>
      </c>
      <c r="M41" s="13">
        <v>24.829000000000001</v>
      </c>
      <c r="N41" s="13">
        <v>9</v>
      </c>
      <c r="O41" s="13">
        <v>45.292000000000002</v>
      </c>
      <c r="P41" s="13">
        <v>60.59</v>
      </c>
      <c r="Q41" s="13">
        <v>22.79</v>
      </c>
      <c r="R41" s="13">
        <v>17.779</v>
      </c>
      <c r="S41" s="13">
        <v>76.736000000000004</v>
      </c>
      <c r="T41" s="13">
        <v>32.676000000000002</v>
      </c>
      <c r="Y41" s="2"/>
      <c r="Z41" s="2"/>
      <c r="AA41" s="13">
        <v>45.292000000000002</v>
      </c>
      <c r="AB41" s="13">
        <v>76.736000000000004</v>
      </c>
      <c r="AC41" s="14"/>
    </row>
    <row r="42" spans="1:29" s="13" customFormat="1" x14ac:dyDescent="0.25">
      <c r="A42" s="2"/>
      <c r="B42" s="4"/>
      <c r="C42" s="1" t="s">
        <v>70</v>
      </c>
      <c r="D42" s="11">
        <f t="shared" ref="D42:O42" si="43">SUM(D32:D41)</f>
        <v>0</v>
      </c>
      <c r="E42" s="11">
        <f t="shared" si="43"/>
        <v>0</v>
      </c>
      <c r="F42" s="11">
        <f t="shared" si="43"/>
        <v>0</v>
      </c>
      <c r="G42" s="11">
        <f t="shared" si="43"/>
        <v>726.94900000000007</v>
      </c>
      <c r="H42" s="11">
        <f t="shared" si="43"/>
        <v>0</v>
      </c>
      <c r="I42" s="11">
        <f t="shared" si="43"/>
        <v>0</v>
      </c>
      <c r="J42" s="11">
        <f t="shared" si="43"/>
        <v>0</v>
      </c>
      <c r="K42" s="11">
        <f t="shared" si="43"/>
        <v>915.52299999999991</v>
      </c>
      <c r="L42" s="11">
        <f t="shared" si="43"/>
        <v>855.55</v>
      </c>
      <c r="M42" s="11">
        <f t="shared" si="43"/>
        <v>880.12599999999998</v>
      </c>
      <c r="N42" s="11">
        <f t="shared" si="43"/>
        <v>983.96500000000003</v>
      </c>
      <c r="O42" s="11">
        <f t="shared" si="43"/>
        <v>1089.7689999999998</v>
      </c>
      <c r="P42" s="11">
        <f>SUM(P32:P41)</f>
        <v>1000.6350000000001</v>
      </c>
      <c r="Q42" s="11">
        <f t="shared" ref="Q42:T42" si="44">SUM(Q32:Q41)</f>
        <v>1094.4349999999999</v>
      </c>
      <c r="R42" s="11">
        <f t="shared" si="44"/>
        <v>1163.8130000000001</v>
      </c>
      <c r="S42" s="11">
        <f t="shared" si="44"/>
        <v>1312.8602000000001</v>
      </c>
      <c r="T42" s="11">
        <f t="shared" si="44"/>
        <v>1205.7080000000001</v>
      </c>
      <c r="Y42" s="2"/>
      <c r="Z42" s="2"/>
      <c r="AA42" s="11">
        <f t="shared" ref="AA42" si="45">SUM(AA32:AA41)</f>
        <v>1089.7689999999998</v>
      </c>
      <c r="AB42" s="11">
        <f t="shared" ref="AB42" si="46">SUM(AB32:AB41)</f>
        <v>1312.8602000000001</v>
      </c>
      <c r="AC42" s="14"/>
    </row>
    <row r="43" spans="1:29" s="13" customFormat="1" x14ac:dyDescent="0.25">
      <c r="A43" s="2"/>
      <c r="B43" s="4"/>
      <c r="C43" s="2" t="s">
        <v>71</v>
      </c>
      <c r="G43" s="13">
        <v>0</v>
      </c>
      <c r="K43" s="13">
        <v>0</v>
      </c>
      <c r="L43" s="13">
        <v>0.05</v>
      </c>
      <c r="M43" s="13">
        <v>0</v>
      </c>
      <c r="N43" s="13">
        <v>0</v>
      </c>
      <c r="O43" s="13">
        <v>0</v>
      </c>
      <c r="P43" s="13">
        <v>0.05</v>
      </c>
      <c r="Q43" s="13">
        <v>20</v>
      </c>
      <c r="R43" s="13">
        <v>20</v>
      </c>
      <c r="S43" s="13">
        <v>20</v>
      </c>
      <c r="T43" s="13">
        <v>20</v>
      </c>
      <c r="Y43" s="2"/>
      <c r="Z43" s="2"/>
      <c r="AA43" s="13">
        <v>0</v>
      </c>
      <c r="AB43" s="13">
        <v>20</v>
      </c>
      <c r="AC43" s="14"/>
    </row>
    <row r="44" spans="1:29" s="13" customFormat="1" x14ac:dyDescent="0.25">
      <c r="A44" s="2"/>
      <c r="B44" s="4"/>
      <c r="C44" s="2" t="s">
        <v>72</v>
      </c>
      <c r="G44" s="13">
        <v>67.400000000000006</v>
      </c>
      <c r="K44" s="13">
        <v>67.400000000000006</v>
      </c>
      <c r="L44" s="13">
        <v>67.400000000000006</v>
      </c>
      <c r="M44" s="13">
        <v>67.400000000000006</v>
      </c>
      <c r="N44" s="13">
        <v>67.400000000000006</v>
      </c>
      <c r="O44" s="13">
        <v>67.400000000000006</v>
      </c>
      <c r="P44" s="13">
        <v>67.400000000000006</v>
      </c>
      <c r="Q44" s="13">
        <v>47.9</v>
      </c>
      <c r="R44" s="13">
        <v>47.9</v>
      </c>
      <c r="S44" s="13">
        <v>47.9</v>
      </c>
      <c r="T44" s="13">
        <v>47.9</v>
      </c>
      <c r="Y44" s="2"/>
      <c r="Z44" s="2"/>
      <c r="AA44" s="13">
        <v>67.400000000000006</v>
      </c>
      <c r="AB44" s="13">
        <v>47.9</v>
      </c>
      <c r="AC44" s="14"/>
    </row>
    <row r="45" spans="1:29" s="13" customFormat="1" x14ac:dyDescent="0.25">
      <c r="A45" s="2"/>
      <c r="B45" s="4"/>
      <c r="C45" s="2" t="s">
        <v>73</v>
      </c>
      <c r="G45" s="13">
        <v>7.5</v>
      </c>
      <c r="K45" s="13">
        <v>7.35</v>
      </c>
      <c r="L45" s="13">
        <v>10.35</v>
      </c>
      <c r="M45" s="13">
        <v>9.4</v>
      </c>
      <c r="N45" s="13">
        <v>9</v>
      </c>
      <c r="O45" s="13">
        <v>10</v>
      </c>
      <c r="P45" s="13">
        <v>4.8</v>
      </c>
      <c r="Q45" s="13">
        <v>7.2670000000000003</v>
      </c>
      <c r="R45" s="13">
        <v>6.5</v>
      </c>
      <c r="S45" s="13">
        <v>4.9859999999999998</v>
      </c>
      <c r="T45" s="13">
        <v>5.5549999999999997</v>
      </c>
      <c r="Y45" s="2"/>
      <c r="Z45" s="2"/>
      <c r="AA45" s="13">
        <v>10</v>
      </c>
      <c r="AB45" s="13">
        <v>4.9859999999999998</v>
      </c>
      <c r="AC45" s="14"/>
    </row>
    <row r="46" spans="1:29" s="13" customFormat="1" x14ac:dyDescent="0.25">
      <c r="A46" s="2"/>
      <c r="B46" s="4"/>
      <c r="C46" s="2" t="s">
        <v>74</v>
      </c>
      <c r="G46" s="13">
        <v>54.954999999999998</v>
      </c>
      <c r="K46" s="13">
        <v>76.525000000000006</v>
      </c>
      <c r="L46" s="13">
        <v>76.524000000000001</v>
      </c>
      <c r="M46" s="13">
        <v>73</v>
      </c>
      <c r="N46" s="13">
        <v>93.864999999999995</v>
      </c>
      <c r="O46" s="13">
        <v>138.578</v>
      </c>
      <c r="P46" s="13">
        <v>138.33199999999999</v>
      </c>
      <c r="Q46" s="13">
        <v>118.803</v>
      </c>
      <c r="R46" s="13">
        <v>107.38200000000001</v>
      </c>
      <c r="S46" s="13">
        <v>115.498</v>
      </c>
      <c r="T46" s="13">
        <v>122.59</v>
      </c>
      <c r="Y46" s="2"/>
      <c r="Z46" s="2"/>
      <c r="AA46" s="13">
        <v>138.578</v>
      </c>
      <c r="AB46" s="13">
        <v>115.498</v>
      </c>
      <c r="AC46" s="14"/>
    </row>
    <row r="47" spans="1:29" s="13" customFormat="1" x14ac:dyDescent="0.25">
      <c r="A47" s="2"/>
      <c r="B47" s="4"/>
      <c r="C47" s="10" t="s">
        <v>75</v>
      </c>
      <c r="D47" s="23">
        <f t="shared" ref="D47:O47" si="47">SUM(D43:D46)</f>
        <v>0</v>
      </c>
      <c r="E47" s="23">
        <f t="shared" si="47"/>
        <v>0</v>
      </c>
      <c r="F47" s="23">
        <f t="shared" si="47"/>
        <v>0</v>
      </c>
      <c r="G47" s="23">
        <f t="shared" si="47"/>
        <v>129.85500000000002</v>
      </c>
      <c r="H47" s="23">
        <f t="shared" si="47"/>
        <v>0</v>
      </c>
      <c r="I47" s="23">
        <f t="shared" si="47"/>
        <v>0</v>
      </c>
      <c r="J47" s="23">
        <f t="shared" si="47"/>
        <v>0</v>
      </c>
      <c r="K47" s="23">
        <f t="shared" si="47"/>
        <v>151.27500000000001</v>
      </c>
      <c r="L47" s="23">
        <f t="shared" si="47"/>
        <v>154.32400000000001</v>
      </c>
      <c r="M47" s="23">
        <f t="shared" si="47"/>
        <v>149.80000000000001</v>
      </c>
      <c r="N47" s="23">
        <f t="shared" si="47"/>
        <v>170.26499999999999</v>
      </c>
      <c r="O47" s="23">
        <f t="shared" si="47"/>
        <v>215.97800000000001</v>
      </c>
      <c r="P47" s="23">
        <f>SUM(P43:P46)</f>
        <v>210.58199999999999</v>
      </c>
      <c r="Q47" s="23">
        <f t="shared" ref="Q47:T47" si="48">SUM(Q43:Q46)</f>
        <v>193.97</v>
      </c>
      <c r="R47" s="23">
        <f t="shared" si="48"/>
        <v>181.78200000000001</v>
      </c>
      <c r="S47" s="23">
        <f t="shared" si="48"/>
        <v>188.38400000000001</v>
      </c>
      <c r="T47" s="23">
        <f t="shared" si="48"/>
        <v>196.04500000000002</v>
      </c>
      <c r="Y47" s="2"/>
      <c r="Z47" s="2"/>
      <c r="AA47" s="23">
        <f t="shared" ref="AA47" si="49">SUM(AA43:AA46)</f>
        <v>215.97800000000001</v>
      </c>
      <c r="AB47" s="23">
        <f t="shared" ref="AB47" si="50">SUM(AB43:AB46)</f>
        <v>188.38400000000001</v>
      </c>
      <c r="AC47" s="14"/>
    </row>
    <row r="48" spans="1:29" s="13" customFormat="1" x14ac:dyDescent="0.25">
      <c r="A48" s="2"/>
      <c r="B48" s="4"/>
      <c r="C48" s="2" t="s">
        <v>76</v>
      </c>
      <c r="G48" s="13">
        <v>0</v>
      </c>
      <c r="K48" s="13">
        <v>0</v>
      </c>
      <c r="L48" s="13">
        <v>0</v>
      </c>
      <c r="M48" s="13">
        <v>0</v>
      </c>
      <c r="N48" s="13">
        <v>6.1</v>
      </c>
      <c r="O48" s="13">
        <v>20.684999999999999</v>
      </c>
      <c r="P48" s="13">
        <v>20.411000000000001</v>
      </c>
      <c r="Q48" s="13">
        <v>20.3</v>
      </c>
      <c r="R48" s="13">
        <v>16</v>
      </c>
      <c r="S48" s="13">
        <v>15.561</v>
      </c>
      <c r="T48" s="13">
        <v>14.648</v>
      </c>
      <c r="Y48" s="2"/>
      <c r="Z48" s="2"/>
      <c r="AA48" s="13">
        <v>20.684999999999999</v>
      </c>
      <c r="AB48" s="13">
        <v>15.561</v>
      </c>
      <c r="AC48" s="14"/>
    </row>
    <row r="49" spans="1:32" s="13" customFormat="1" x14ac:dyDescent="0.25">
      <c r="A49" s="2"/>
      <c r="B49" s="4"/>
      <c r="C49" s="2" t="s">
        <v>113</v>
      </c>
      <c r="D49" s="23"/>
      <c r="G49" s="13">
        <v>114.866</v>
      </c>
      <c r="K49" s="13">
        <v>145.857</v>
      </c>
      <c r="L49" s="13">
        <v>151</v>
      </c>
      <c r="M49" s="13">
        <v>147.99</v>
      </c>
      <c r="N49" s="13">
        <v>158.25200000000001</v>
      </c>
      <c r="O49" s="13">
        <v>189.3</v>
      </c>
      <c r="P49" s="13">
        <v>172.33099999999999</v>
      </c>
      <c r="Q49" s="13">
        <v>187.785</v>
      </c>
      <c r="R49" s="13">
        <v>199.86099999999999</v>
      </c>
      <c r="S49" s="13">
        <v>270.589</v>
      </c>
      <c r="T49" s="13">
        <v>273.54599999999999</v>
      </c>
      <c r="Y49" s="2"/>
      <c r="Z49" s="2"/>
      <c r="AA49" s="13">
        <v>189.3</v>
      </c>
      <c r="AB49" s="13">
        <v>270.589</v>
      </c>
      <c r="AC49" s="14"/>
    </row>
    <row r="50" spans="1:32" s="13" customFormat="1" x14ac:dyDescent="0.25">
      <c r="A50" s="2"/>
      <c r="B50" s="4"/>
      <c r="C50" s="2" t="s">
        <v>77</v>
      </c>
      <c r="G50" s="13">
        <v>17.114000000000001</v>
      </c>
      <c r="K50" s="13">
        <v>14.116</v>
      </c>
      <c r="L50" s="13">
        <v>13.861000000000001</v>
      </c>
      <c r="M50" s="13">
        <v>13.16</v>
      </c>
      <c r="N50" s="13">
        <v>12.5</v>
      </c>
      <c r="O50" s="13">
        <v>6.3</v>
      </c>
      <c r="P50" s="13">
        <v>9.6999999999999993</v>
      </c>
      <c r="Q50" s="13">
        <v>9.3000000000000007</v>
      </c>
      <c r="R50" s="13">
        <v>8.7799999999999994</v>
      </c>
      <c r="S50" s="13">
        <v>10.855</v>
      </c>
      <c r="T50" s="13">
        <v>10.010999999999999</v>
      </c>
      <c r="Y50" s="2"/>
      <c r="Z50" s="2"/>
      <c r="AA50" s="13">
        <v>6.3</v>
      </c>
      <c r="AB50" s="13">
        <v>10.855</v>
      </c>
      <c r="AC50" s="14"/>
    </row>
    <row r="51" spans="1:32" s="13" customFormat="1" x14ac:dyDescent="0.25">
      <c r="A51" s="2"/>
      <c r="B51" s="4"/>
      <c r="C51" s="2" t="s">
        <v>78</v>
      </c>
      <c r="G51" s="13">
        <v>16.100000000000001</v>
      </c>
      <c r="K51" s="13">
        <v>5</v>
      </c>
      <c r="L51" s="13">
        <v>6.6</v>
      </c>
      <c r="M51" s="13">
        <v>6.5</v>
      </c>
      <c r="N51" s="13">
        <v>6.2</v>
      </c>
      <c r="O51" s="13">
        <v>5.5</v>
      </c>
      <c r="P51" s="13">
        <v>4.55</v>
      </c>
      <c r="Q51" s="13">
        <v>5.2</v>
      </c>
      <c r="R51" s="13">
        <v>4.4000000000000004</v>
      </c>
      <c r="S51" s="13">
        <v>7</v>
      </c>
      <c r="T51" s="13">
        <v>6.4619999999999997</v>
      </c>
      <c r="Y51" s="2"/>
      <c r="Z51" s="2"/>
      <c r="AA51" s="13">
        <v>5.5</v>
      </c>
      <c r="AB51" s="13">
        <v>7</v>
      </c>
      <c r="AC51" s="14"/>
    </row>
    <row r="52" spans="1:32" s="13" customFormat="1" x14ac:dyDescent="0.25">
      <c r="A52" s="2"/>
      <c r="B52" s="4"/>
      <c r="C52" s="2" t="s">
        <v>79</v>
      </c>
      <c r="G52" s="13">
        <v>9.327</v>
      </c>
      <c r="K52" s="13">
        <v>22.731999999999999</v>
      </c>
      <c r="L52" s="13">
        <v>13.1</v>
      </c>
      <c r="M52" s="13">
        <v>44.2</v>
      </c>
      <c r="N52" s="13">
        <v>104.1</v>
      </c>
      <c r="O52" s="13">
        <v>61.543999999999997</v>
      </c>
      <c r="P52" s="13">
        <v>42.545000000000002</v>
      </c>
      <c r="Q52" s="13">
        <v>69.364999999999995</v>
      </c>
      <c r="R52" s="13">
        <v>132.196</v>
      </c>
      <c r="S52" s="13">
        <v>31.800999999999998</v>
      </c>
      <c r="T52" s="13">
        <v>67.594999999999999</v>
      </c>
      <c r="Y52" s="2"/>
      <c r="Z52" s="2"/>
      <c r="AA52" s="13">
        <v>61.543999999999997</v>
      </c>
      <c r="AB52" s="13">
        <v>31.800999999999998</v>
      </c>
      <c r="AC52" s="14"/>
    </row>
    <row r="53" spans="1:32" s="13" customFormat="1" x14ac:dyDescent="0.25">
      <c r="A53" s="2"/>
      <c r="B53" s="4"/>
      <c r="C53" s="2" t="s">
        <v>80</v>
      </c>
      <c r="G53" s="13">
        <v>187.92500000000001</v>
      </c>
      <c r="K53" s="13">
        <v>315.435</v>
      </c>
      <c r="L53" s="13">
        <v>225.98099999999999</v>
      </c>
      <c r="M53" s="13">
        <v>177.37100000000001</v>
      </c>
      <c r="N53" s="13">
        <v>193.9</v>
      </c>
      <c r="O53" s="13">
        <v>232.328</v>
      </c>
      <c r="P53" s="13">
        <v>173.8</v>
      </c>
      <c r="Q53" s="13">
        <v>204.11699999999999</v>
      </c>
      <c r="R53" s="13">
        <v>228.7</v>
      </c>
      <c r="S53" s="13">
        <v>338.56</v>
      </c>
      <c r="T53" s="13">
        <v>233.34899999999999</v>
      </c>
      <c r="Y53" s="2"/>
      <c r="Z53" s="2"/>
      <c r="AA53" s="13">
        <v>232.328</v>
      </c>
      <c r="AB53" s="13">
        <v>338.56</v>
      </c>
      <c r="AC53" s="14"/>
    </row>
    <row r="54" spans="1:32" s="13" customFormat="1" x14ac:dyDescent="0.25">
      <c r="A54" s="2"/>
      <c r="B54" s="4"/>
      <c r="C54" s="2" t="s">
        <v>114</v>
      </c>
      <c r="G54" s="13">
        <v>1.4630000000000001</v>
      </c>
      <c r="K54" s="13">
        <v>1.55</v>
      </c>
      <c r="L54" s="13">
        <v>1.6</v>
      </c>
      <c r="M54" s="13">
        <v>1.5</v>
      </c>
      <c r="N54" s="13">
        <v>7.1</v>
      </c>
      <c r="O54" s="13">
        <v>21.9</v>
      </c>
      <c r="P54" s="13">
        <v>6.1</v>
      </c>
      <c r="Q54" s="13">
        <v>6.2</v>
      </c>
      <c r="R54" s="13">
        <v>6.1</v>
      </c>
      <c r="S54" s="13">
        <v>5.806</v>
      </c>
      <c r="T54" s="13">
        <v>11.55</v>
      </c>
      <c r="Y54" s="2"/>
      <c r="Z54" s="2"/>
      <c r="AA54" s="13">
        <v>21.9</v>
      </c>
      <c r="AB54" s="13">
        <v>5.806</v>
      </c>
      <c r="AC54" s="14"/>
    </row>
    <row r="55" spans="1:32" s="13" customFormat="1" x14ac:dyDescent="0.25">
      <c r="A55" s="2"/>
      <c r="B55" s="4"/>
      <c r="C55" s="2" t="s">
        <v>115</v>
      </c>
      <c r="G55" s="13">
        <v>52.433999999999997</v>
      </c>
      <c r="K55" s="13">
        <v>72.334999999999994</v>
      </c>
      <c r="L55" s="13">
        <v>77.69</v>
      </c>
      <c r="M55" s="13">
        <v>79.596999999999994</v>
      </c>
      <c r="N55" s="13">
        <v>90</v>
      </c>
      <c r="O55" s="13">
        <v>105.66800000000001</v>
      </c>
      <c r="P55" s="13">
        <v>100.76900000000001</v>
      </c>
      <c r="Q55" s="13">
        <v>102.749</v>
      </c>
      <c r="R55" s="13">
        <v>107.3</v>
      </c>
      <c r="S55" s="13">
        <v>131.024</v>
      </c>
      <c r="T55" s="13">
        <v>132.57499999999999</v>
      </c>
      <c r="Y55" s="2"/>
      <c r="Z55" s="2"/>
      <c r="AA55" s="13">
        <v>105.66800000000001</v>
      </c>
      <c r="AB55" s="13">
        <v>131.024</v>
      </c>
      <c r="AC55" s="14"/>
    </row>
    <row r="56" spans="1:32" s="13" customFormat="1" x14ac:dyDescent="0.25">
      <c r="A56" s="2"/>
      <c r="B56" s="4"/>
      <c r="C56" s="2" t="s">
        <v>81</v>
      </c>
      <c r="G56" s="13">
        <v>180.328</v>
      </c>
      <c r="K56" s="13">
        <v>175.685</v>
      </c>
      <c r="L56" s="13">
        <v>205.19900000000001</v>
      </c>
      <c r="M56" s="13">
        <v>254.142</v>
      </c>
      <c r="N56" s="13">
        <v>225.9</v>
      </c>
      <c r="O56" s="13">
        <v>211.28</v>
      </c>
      <c r="P56" s="13">
        <v>258.959</v>
      </c>
      <c r="Q56" s="13">
        <v>291.33</v>
      </c>
      <c r="R56" s="13">
        <v>260</v>
      </c>
      <c r="S56" s="13">
        <v>273.01799999999997</v>
      </c>
      <c r="T56" s="13">
        <v>256.166</v>
      </c>
      <c r="Y56" s="2"/>
      <c r="Z56" s="2"/>
      <c r="AA56" s="13">
        <v>211.28</v>
      </c>
      <c r="AB56" s="13">
        <v>273.01799999999997</v>
      </c>
      <c r="AC56" s="14"/>
    </row>
    <row r="57" spans="1:32" s="13" customFormat="1" x14ac:dyDescent="0.25">
      <c r="A57" s="2"/>
      <c r="B57" s="4"/>
      <c r="C57" s="2" t="s">
        <v>82</v>
      </c>
      <c r="G57" s="13">
        <v>6.4</v>
      </c>
      <c r="K57" s="13">
        <v>11.44</v>
      </c>
      <c r="L57" s="13">
        <v>6</v>
      </c>
      <c r="M57" s="13">
        <v>6</v>
      </c>
      <c r="N57" s="13">
        <v>9</v>
      </c>
      <c r="O57" s="13">
        <v>18.399999999999999</v>
      </c>
      <c r="P57" s="13">
        <v>0</v>
      </c>
      <c r="Q57" s="13">
        <v>3</v>
      </c>
      <c r="R57" s="13">
        <v>16</v>
      </c>
      <c r="S57" s="13">
        <v>38.481999999999999</v>
      </c>
      <c r="T57" s="13">
        <v>3.0089999999999999</v>
      </c>
      <c r="Y57" s="2"/>
      <c r="Z57" s="2"/>
      <c r="AA57" s="13">
        <v>18.399999999999999</v>
      </c>
      <c r="AB57" s="13">
        <v>38.481999999999999</v>
      </c>
      <c r="AC57" s="14"/>
    </row>
    <row r="58" spans="1:32" s="13" customFormat="1" x14ac:dyDescent="0.25">
      <c r="A58" s="2"/>
      <c r="B58" s="4"/>
      <c r="C58" s="2" t="s">
        <v>83</v>
      </c>
      <c r="G58" s="13">
        <v>11</v>
      </c>
      <c r="K58" s="13">
        <v>0</v>
      </c>
      <c r="L58" s="13">
        <v>0</v>
      </c>
      <c r="M58" s="13">
        <v>0</v>
      </c>
      <c r="N58" s="13">
        <v>0</v>
      </c>
      <c r="O58" s="13">
        <v>1</v>
      </c>
      <c r="P58" s="13">
        <v>1</v>
      </c>
      <c r="Q58" s="13">
        <v>1</v>
      </c>
      <c r="R58" s="13">
        <v>1.5</v>
      </c>
      <c r="S58" s="13">
        <v>0.754</v>
      </c>
      <c r="T58" s="13">
        <v>0.754</v>
      </c>
      <c r="Y58" s="1"/>
      <c r="Z58" s="1"/>
      <c r="AA58" s="13">
        <v>1</v>
      </c>
      <c r="AB58" s="13">
        <v>0.754</v>
      </c>
      <c r="AC58" s="14"/>
    </row>
    <row r="59" spans="1:32" s="13" customFormat="1" x14ac:dyDescent="0.25">
      <c r="A59" s="2"/>
      <c r="B59" s="4"/>
      <c r="C59" s="10" t="s">
        <v>84</v>
      </c>
      <c r="D59" s="23">
        <f t="shared" ref="D59:O59" si="51">SUM(D48:D58)</f>
        <v>0</v>
      </c>
      <c r="E59" s="23">
        <f t="shared" si="51"/>
        <v>0</v>
      </c>
      <c r="F59" s="23">
        <f t="shared" si="51"/>
        <v>0</v>
      </c>
      <c r="G59" s="23">
        <f t="shared" si="51"/>
        <v>596.95699999999999</v>
      </c>
      <c r="H59" s="23">
        <f t="shared" si="51"/>
        <v>0</v>
      </c>
      <c r="I59" s="23">
        <f t="shared" si="51"/>
        <v>0</v>
      </c>
      <c r="J59" s="23">
        <f t="shared" si="51"/>
        <v>0</v>
      </c>
      <c r="K59" s="23">
        <f t="shared" si="51"/>
        <v>764.15000000000009</v>
      </c>
      <c r="L59" s="23">
        <f t="shared" si="51"/>
        <v>701.03099999999995</v>
      </c>
      <c r="M59" s="23">
        <f t="shared" si="51"/>
        <v>730.46</v>
      </c>
      <c r="N59" s="23">
        <f t="shared" si="51"/>
        <v>813.05200000000002</v>
      </c>
      <c r="O59" s="23">
        <f t="shared" si="51"/>
        <v>873.90499999999997</v>
      </c>
      <c r="P59" s="23">
        <f>SUM(P48:P58)</f>
        <v>790.16499999999996</v>
      </c>
      <c r="Q59" s="23">
        <f t="shared" ref="Q59:S59" si="52">SUM(Q48:Q58)</f>
        <v>900.346</v>
      </c>
      <c r="R59" s="23">
        <f t="shared" si="52"/>
        <v>980.83699999999988</v>
      </c>
      <c r="S59" s="23">
        <f t="shared" si="52"/>
        <v>1123.4499999999998</v>
      </c>
      <c r="T59" s="23">
        <f t="shared" ref="T59" si="53">SUM(T48:T58)</f>
        <v>1009.6650000000001</v>
      </c>
      <c r="Y59" s="2"/>
      <c r="Z59" s="2"/>
      <c r="AA59" s="23">
        <f t="shared" ref="AA59" si="54">SUM(AA48:AA58)</f>
        <v>873.90499999999997</v>
      </c>
      <c r="AB59" s="23">
        <f t="shared" ref="AB59" si="55">SUM(AB48:AB58)</f>
        <v>1123.4499999999998</v>
      </c>
      <c r="AC59" s="14"/>
    </row>
    <row r="60" spans="1:32" s="13" customFormat="1" x14ac:dyDescent="0.25">
      <c r="A60" s="2"/>
      <c r="B60" s="4"/>
      <c r="C60" s="1" t="s">
        <v>85</v>
      </c>
      <c r="D60" s="11">
        <f t="shared" ref="D60:O60" si="56">D47+D59</f>
        <v>0</v>
      </c>
      <c r="E60" s="11">
        <f t="shared" si="56"/>
        <v>0</v>
      </c>
      <c r="F60" s="11">
        <f t="shared" si="56"/>
        <v>0</v>
      </c>
      <c r="G60" s="11">
        <f t="shared" si="56"/>
        <v>726.81200000000001</v>
      </c>
      <c r="H60" s="11">
        <f t="shared" si="56"/>
        <v>0</v>
      </c>
      <c r="I60" s="11">
        <f t="shared" si="56"/>
        <v>0</v>
      </c>
      <c r="J60" s="11">
        <f t="shared" si="56"/>
        <v>0</v>
      </c>
      <c r="K60" s="11">
        <f t="shared" si="56"/>
        <v>915.42500000000007</v>
      </c>
      <c r="L60" s="11">
        <f t="shared" si="56"/>
        <v>855.35500000000002</v>
      </c>
      <c r="M60" s="11">
        <f t="shared" si="56"/>
        <v>880.26</v>
      </c>
      <c r="N60" s="11">
        <f t="shared" si="56"/>
        <v>983.31700000000001</v>
      </c>
      <c r="O60" s="11">
        <f t="shared" si="56"/>
        <v>1089.883</v>
      </c>
      <c r="P60" s="11">
        <f>P47+P59</f>
        <v>1000.747</v>
      </c>
      <c r="Q60" s="11">
        <f t="shared" ref="Q60:S60" si="57">Q47+Q59</f>
        <v>1094.316</v>
      </c>
      <c r="R60" s="11">
        <f t="shared" si="57"/>
        <v>1162.6189999999999</v>
      </c>
      <c r="S60" s="11">
        <f t="shared" si="57"/>
        <v>1311.8339999999998</v>
      </c>
      <c r="T60" s="11">
        <f t="shared" ref="T60" si="58">T47+T59</f>
        <v>1205.71</v>
      </c>
      <c r="U60" s="11"/>
      <c r="V60" s="11"/>
      <c r="W60" s="11"/>
      <c r="Y60" s="2"/>
      <c r="Z60" s="2"/>
      <c r="AA60" s="11">
        <f t="shared" ref="AA60" si="59">AA47+AA59</f>
        <v>1089.883</v>
      </c>
      <c r="AB60" s="11">
        <f t="shared" ref="AB60" si="60">AB47+AB59</f>
        <v>1311.8339999999998</v>
      </c>
      <c r="AC60" s="14"/>
    </row>
    <row r="61" spans="1:32" x14ac:dyDescent="0.25">
      <c r="T61" s="13"/>
      <c r="U61" s="13"/>
      <c r="V61" s="13"/>
      <c r="W61" s="13"/>
      <c r="X61" s="13"/>
    </row>
    <row r="62" spans="1:32" x14ac:dyDescent="0.25">
      <c r="C62" s="1" t="s">
        <v>86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3"/>
      <c r="U62" s="13"/>
      <c r="V62" s="13"/>
      <c r="W62" s="13"/>
      <c r="X62" s="13"/>
      <c r="Y62" s="1"/>
      <c r="Z62" s="1"/>
      <c r="AA62" s="1"/>
    </row>
    <row r="63" spans="1:32" x14ac:dyDescent="0.25">
      <c r="C63" s="2" t="s">
        <v>87</v>
      </c>
      <c r="D63" s="13">
        <f t="shared" ref="D63:T63" si="61">D11</f>
        <v>0</v>
      </c>
      <c r="E63" s="13">
        <f t="shared" si="61"/>
        <v>0</v>
      </c>
      <c r="F63" s="13">
        <f t="shared" si="61"/>
        <v>0</v>
      </c>
      <c r="G63" s="13">
        <f t="shared" si="61"/>
        <v>0</v>
      </c>
      <c r="H63" s="13">
        <f t="shared" si="61"/>
        <v>0</v>
      </c>
      <c r="I63" s="13">
        <f t="shared" si="61"/>
        <v>0</v>
      </c>
      <c r="J63" s="13">
        <f t="shared" si="61"/>
        <v>0</v>
      </c>
      <c r="K63" s="13">
        <f t="shared" si="61"/>
        <v>0</v>
      </c>
      <c r="L63" s="13">
        <f t="shared" si="61"/>
        <v>2.8100000000000129</v>
      </c>
      <c r="M63" s="13">
        <f t="shared" si="61"/>
        <v>2.8419999999999703</v>
      </c>
      <c r="N63" s="13">
        <f t="shared" si="61"/>
        <v>23.525999999999975</v>
      </c>
      <c r="O63" s="13">
        <f t="shared" si="61"/>
        <v>35.213000000000093</v>
      </c>
      <c r="P63" s="13">
        <f t="shared" si="61"/>
        <v>5.1199999999999477</v>
      </c>
      <c r="Q63" s="13">
        <f t="shared" si="61"/>
        <v>-17.245999999999981</v>
      </c>
      <c r="R63" s="13">
        <f t="shared" si="61"/>
        <v>-9.0320000000000746</v>
      </c>
      <c r="S63" s="13">
        <f t="shared" si="61"/>
        <v>36.538999999999987</v>
      </c>
      <c r="T63" s="13">
        <f t="shared" si="61"/>
        <v>12.027000000000072</v>
      </c>
      <c r="U63" s="13"/>
      <c r="V63" s="13"/>
      <c r="W63" s="13"/>
      <c r="X63" s="13"/>
      <c r="Y63" s="13">
        <f>Y11</f>
        <v>76.703999999999752</v>
      </c>
      <c r="Z63" s="13">
        <f>Z11</f>
        <v>62.435999999999837</v>
      </c>
      <c r="AA63" s="13">
        <f>AA11</f>
        <v>65.882999999999896</v>
      </c>
      <c r="AB63" s="13">
        <f>AB11</f>
        <v>16</v>
      </c>
      <c r="AC63" s="14"/>
      <c r="AD63" s="13"/>
      <c r="AE63" s="13"/>
      <c r="AF63" s="13"/>
    </row>
    <row r="64" spans="1:32" x14ac:dyDescent="0.25">
      <c r="C64" s="2" t="s">
        <v>88</v>
      </c>
      <c r="D64" s="13"/>
      <c r="E64" s="13"/>
      <c r="F64" s="13"/>
      <c r="G64" s="13"/>
      <c r="H64" s="13"/>
      <c r="I64" s="13"/>
      <c r="J64" s="13"/>
      <c r="K64" s="13"/>
      <c r="L64" s="13">
        <v>3</v>
      </c>
      <c r="M64" s="13">
        <v>3</v>
      </c>
      <c r="N64" s="13">
        <v>24</v>
      </c>
      <c r="O64" s="13">
        <f>66-N64-M64-L64</f>
        <v>36</v>
      </c>
      <c r="P64" s="13">
        <v>5.133</v>
      </c>
      <c r="Q64" s="13">
        <v>-17</v>
      </c>
      <c r="R64" s="13">
        <v>-9</v>
      </c>
      <c r="S64" s="13">
        <v>37</v>
      </c>
      <c r="T64" s="13">
        <v>12.081</v>
      </c>
      <c r="U64" s="13"/>
      <c r="V64" s="13"/>
      <c r="W64" s="13"/>
      <c r="X64" s="13"/>
      <c r="Y64" s="13">
        <v>77</v>
      </c>
      <c r="Z64" s="13">
        <v>62.518000000000001</v>
      </c>
      <c r="AA64" s="13">
        <v>66</v>
      </c>
      <c r="AB64" s="13">
        <v>16</v>
      </c>
      <c r="AC64" s="14"/>
      <c r="AD64" s="13"/>
      <c r="AE64" s="13"/>
      <c r="AF64" s="13"/>
    </row>
    <row r="65" spans="3:32" x14ac:dyDescent="0.25">
      <c r="C65" s="2" t="s">
        <v>89</v>
      </c>
      <c r="D65" s="13"/>
      <c r="E65" s="13"/>
      <c r="F65" s="13"/>
      <c r="G65" s="13"/>
      <c r="H65" s="13"/>
      <c r="I65" s="13"/>
      <c r="J65" s="13"/>
      <c r="K65" s="13"/>
      <c r="L65" s="13">
        <v>-45.863</v>
      </c>
      <c r="M65" s="13">
        <v>56.494</v>
      </c>
      <c r="N65" s="13">
        <v>-23</v>
      </c>
      <c r="O65" s="13">
        <f>114-N65-M65-L65</f>
        <v>126.369</v>
      </c>
      <c r="P65" s="13">
        <v>30.658000000000001</v>
      </c>
      <c r="Q65" s="13">
        <v>2.6629999999999998</v>
      </c>
      <c r="R65" s="13">
        <v>-20.420999999999999</v>
      </c>
      <c r="S65" s="13">
        <v>166.74100000000001</v>
      </c>
      <c r="T65" s="13">
        <v>43.308</v>
      </c>
      <c r="U65" s="13"/>
      <c r="V65" s="13"/>
      <c r="W65" s="13"/>
      <c r="X65" s="13"/>
      <c r="Y65" s="13">
        <v>8.4</v>
      </c>
      <c r="Z65" s="13">
        <v>66.221000000000004</v>
      </c>
      <c r="AA65" s="13">
        <v>113.547</v>
      </c>
      <c r="AB65" s="13">
        <v>180</v>
      </c>
      <c r="AC65" s="14"/>
      <c r="AD65" s="13"/>
      <c r="AE65" s="13"/>
      <c r="AF65" s="13"/>
    </row>
    <row r="66" spans="3:32" x14ac:dyDescent="0.25">
      <c r="C66" s="2" t="s">
        <v>104</v>
      </c>
      <c r="D66" s="13"/>
      <c r="E66" s="13"/>
      <c r="F66" s="13"/>
      <c r="G66" s="13"/>
      <c r="H66" s="13"/>
      <c r="I66" s="13"/>
      <c r="J66" s="13"/>
      <c r="K66" s="13"/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0.02</v>
      </c>
      <c r="T66" s="13">
        <v>2.1999999999999999E-2</v>
      </c>
      <c r="U66" s="11"/>
      <c r="V66" s="11"/>
      <c r="W66" s="13"/>
      <c r="X66" s="11"/>
      <c r="Y66" s="13">
        <v>0</v>
      </c>
      <c r="Z66" s="13">
        <v>0</v>
      </c>
      <c r="AA66" s="13">
        <v>0</v>
      </c>
      <c r="AB66" s="13">
        <v>0</v>
      </c>
      <c r="AC66" s="14"/>
      <c r="AD66" s="13"/>
      <c r="AE66" s="13"/>
      <c r="AF66" s="13"/>
    </row>
    <row r="67" spans="3:32" x14ac:dyDescent="0.25">
      <c r="C67" s="2" t="s">
        <v>105</v>
      </c>
      <c r="D67" s="13"/>
      <c r="E67" s="13"/>
      <c r="F67" s="13"/>
      <c r="G67" s="13"/>
      <c r="H67" s="13"/>
      <c r="I67" s="13"/>
      <c r="J67" s="13"/>
      <c r="K67" s="13"/>
      <c r="L67" s="13">
        <v>-0.84099999999999997</v>
      </c>
      <c r="M67" s="13">
        <v>-1.1000000000000001</v>
      </c>
      <c r="N67" s="13">
        <v>-2.4</v>
      </c>
      <c r="O67" s="13">
        <f>-8-N67-M67-L67</f>
        <v>-3.6589999999999998</v>
      </c>
      <c r="P67" s="13">
        <v>-1.1000000000000001</v>
      </c>
      <c r="Q67" s="13">
        <v>-1.371</v>
      </c>
      <c r="R67" s="13">
        <v>-1.88</v>
      </c>
      <c r="S67" s="13">
        <v>-2.7679999999999998</v>
      </c>
      <c r="T67" s="13">
        <v>-1.1930000000000001</v>
      </c>
      <c r="U67" s="11"/>
      <c r="V67" s="11"/>
      <c r="W67" s="13"/>
      <c r="X67" s="11"/>
      <c r="Y67" s="13">
        <v>-3.5</v>
      </c>
      <c r="Z67" s="13">
        <v>-4.5999999999999996</v>
      </c>
      <c r="AA67" s="13">
        <v>-8.44</v>
      </c>
      <c r="AB67" s="13">
        <v>-7</v>
      </c>
      <c r="AC67" s="14"/>
      <c r="AD67" s="13"/>
      <c r="AE67" s="13"/>
      <c r="AF67" s="13"/>
    </row>
    <row r="68" spans="3:32" x14ac:dyDescent="0.25">
      <c r="C68" s="2" t="s">
        <v>90</v>
      </c>
      <c r="D68" s="13"/>
      <c r="E68" s="13"/>
      <c r="F68" s="13"/>
      <c r="G68" s="13"/>
      <c r="H68" s="13"/>
      <c r="I68" s="13"/>
      <c r="J68" s="13"/>
      <c r="K68" s="13"/>
      <c r="L68" s="13">
        <v>0.85599999999999998</v>
      </c>
      <c r="M68" s="13">
        <v>-8</v>
      </c>
      <c r="N68" s="13">
        <v>-1.3</v>
      </c>
      <c r="O68" s="13">
        <f>-7-N68-M68-L68</f>
        <v>1.444</v>
      </c>
      <c r="P68" s="13">
        <v>-17.271999999999998</v>
      </c>
      <c r="Q68" s="13">
        <v>-6.3</v>
      </c>
      <c r="R68" s="13">
        <v>-2</v>
      </c>
      <c r="S68" s="13">
        <v>-5.7050000000000001</v>
      </c>
      <c r="T68" s="13">
        <v>3.5209999999999999</v>
      </c>
      <c r="U68" s="11"/>
      <c r="V68" s="11"/>
      <c r="W68" s="13"/>
      <c r="X68" s="11"/>
      <c r="Y68" s="13">
        <v>7.4</v>
      </c>
      <c r="Z68" s="13">
        <v>-11.256</v>
      </c>
      <c r="AA68" s="13">
        <v>-6.5</v>
      </c>
      <c r="AB68" s="13">
        <v>-31</v>
      </c>
      <c r="AC68" s="14"/>
      <c r="AD68" s="13"/>
      <c r="AE68" s="13"/>
      <c r="AF68" s="13"/>
    </row>
    <row r="69" spans="3:32" x14ac:dyDescent="0.25">
      <c r="C69" s="2" t="s">
        <v>91</v>
      </c>
      <c r="D69" s="13"/>
      <c r="E69" s="13"/>
      <c r="F69" s="13"/>
      <c r="G69" s="13"/>
      <c r="H69" s="13"/>
      <c r="I69" s="13"/>
      <c r="J69" s="13"/>
      <c r="K69" s="13"/>
      <c r="L69" s="13">
        <v>77.656999999999996</v>
      </c>
      <c r="M69" s="13">
        <v>-92.3</v>
      </c>
      <c r="N69" s="13">
        <v>7.7</v>
      </c>
      <c r="O69" s="13">
        <f>-56-N69-M69-L69</f>
        <v>-49.057000000000002</v>
      </c>
      <c r="P69" s="13">
        <v>55.371000000000002</v>
      </c>
      <c r="Q69" s="13">
        <v>-8</v>
      </c>
      <c r="R69" s="13">
        <v>5.4</v>
      </c>
      <c r="S69" s="13">
        <f>1.563-108.27+112.92</f>
        <v>6.2130000000000081</v>
      </c>
      <c r="T69" s="13">
        <v>-95.590999999999994</v>
      </c>
      <c r="U69" s="11"/>
      <c r="V69" s="11"/>
      <c r="W69" s="13"/>
      <c r="X69" s="11"/>
      <c r="Y69" s="13">
        <v>40</v>
      </c>
      <c r="Z69" s="13">
        <v>-14.66</v>
      </c>
      <c r="AA69" s="13">
        <v>-55.896999999999998</v>
      </c>
      <c r="AB69" s="13">
        <v>59</v>
      </c>
      <c r="AC69" s="14"/>
      <c r="AD69" s="13"/>
      <c r="AE69" s="13"/>
      <c r="AF69" s="13"/>
    </row>
    <row r="70" spans="3:32" x14ac:dyDescent="0.25">
      <c r="C70" s="1" t="s">
        <v>92</v>
      </c>
      <c r="D70" s="11">
        <f t="shared" ref="D70:O70" si="62">SUM(D64:D69)</f>
        <v>0</v>
      </c>
      <c r="E70" s="11">
        <f t="shared" si="62"/>
        <v>0</v>
      </c>
      <c r="F70" s="11">
        <f t="shared" si="62"/>
        <v>0</v>
      </c>
      <c r="G70" s="11">
        <f t="shared" si="62"/>
        <v>0</v>
      </c>
      <c r="H70" s="11">
        <f t="shared" si="62"/>
        <v>0</v>
      </c>
      <c r="I70" s="11">
        <f t="shared" si="62"/>
        <v>0</v>
      </c>
      <c r="J70" s="11">
        <f t="shared" si="62"/>
        <v>0</v>
      </c>
      <c r="K70" s="11">
        <f t="shared" si="62"/>
        <v>0</v>
      </c>
      <c r="L70" s="11">
        <f t="shared" si="62"/>
        <v>34.808999999999997</v>
      </c>
      <c r="M70" s="11">
        <f t="shared" si="62"/>
        <v>-41.905999999999999</v>
      </c>
      <c r="N70" s="11">
        <f t="shared" si="62"/>
        <v>5</v>
      </c>
      <c r="O70" s="11">
        <f t="shared" si="62"/>
        <v>111.09699999999999</v>
      </c>
      <c r="P70" s="11">
        <f>SUM(P64:P69)</f>
        <v>72.790000000000006</v>
      </c>
      <c r="Q70" s="11">
        <f t="shared" ref="Q70:T70" si="63">SUM(Q64:Q69)</f>
        <v>-30.007999999999999</v>
      </c>
      <c r="R70" s="11">
        <f t="shared" si="63"/>
        <v>-27.901000000000003</v>
      </c>
      <c r="S70" s="11">
        <f t="shared" si="63"/>
        <v>201.50100000000003</v>
      </c>
      <c r="T70" s="11">
        <f t="shared" si="63"/>
        <v>-37.851999999999997</v>
      </c>
      <c r="U70" s="11"/>
      <c r="V70" s="11"/>
      <c r="W70" s="13"/>
      <c r="X70" s="11"/>
      <c r="Y70" s="11">
        <f t="shared" ref="Y70" si="64">SUM(Y64:Y69)</f>
        <v>129.30000000000001</v>
      </c>
      <c r="Z70" s="11">
        <f t="shared" ref="Z70" si="65">SUM(Z64:Z69)</f>
        <v>98.223000000000013</v>
      </c>
      <c r="AA70" s="11">
        <f t="shared" ref="AA70" si="66">SUM(AA64:AA69)</f>
        <v>108.71000000000001</v>
      </c>
      <c r="AB70" s="11">
        <f t="shared" ref="AB70" si="67">SUM(AB64:AB69)</f>
        <v>217</v>
      </c>
      <c r="AC70" s="14"/>
      <c r="AD70" s="13"/>
      <c r="AE70" s="13"/>
      <c r="AF70" s="13"/>
    </row>
    <row r="71" spans="3:32" x14ac:dyDescent="0.25"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1"/>
      <c r="S71" s="11"/>
      <c r="T71" s="11"/>
      <c r="U71" s="11"/>
      <c r="V71" s="11"/>
      <c r="W71" s="13"/>
      <c r="X71" s="11"/>
      <c r="Y71" s="13"/>
      <c r="Z71" s="13"/>
      <c r="AA71" s="13"/>
      <c r="AB71" s="13"/>
      <c r="AC71" s="14"/>
      <c r="AD71" s="13"/>
      <c r="AE71" s="13"/>
      <c r="AF71" s="13"/>
    </row>
    <row r="72" spans="3:32" x14ac:dyDescent="0.25">
      <c r="C72" s="2" t="s">
        <v>93</v>
      </c>
      <c r="D72" s="13"/>
      <c r="E72" s="13"/>
      <c r="F72" s="13"/>
      <c r="G72" s="13"/>
      <c r="H72" s="13"/>
      <c r="I72" s="13"/>
      <c r="J72" s="13"/>
      <c r="K72" s="13"/>
      <c r="L72" s="13">
        <v>-1.2</v>
      </c>
      <c r="M72" s="13">
        <v>0</v>
      </c>
      <c r="N72" s="13">
        <f>-3.494-11.3</f>
        <v>-14.794</v>
      </c>
      <c r="O72" s="13">
        <f>-24-N72-L72</f>
        <v>-8.0060000000000002</v>
      </c>
      <c r="P72" s="13">
        <f>1.544-3</f>
        <v>-1.456</v>
      </c>
      <c r="Q72" s="13">
        <v>-5</v>
      </c>
      <c r="R72" s="13">
        <f>-2</f>
        <v>-2</v>
      </c>
      <c r="S72" s="13">
        <v>4</v>
      </c>
      <c r="T72" s="11">
        <v>-0.504</v>
      </c>
      <c r="U72" s="11"/>
      <c r="V72" s="11"/>
      <c r="W72" s="13"/>
      <c r="X72" s="11"/>
      <c r="Y72" s="13">
        <f>1.493-61.424</f>
        <v>-59.930999999999997</v>
      </c>
      <c r="Z72" s="13">
        <f>-6</f>
        <v>-6</v>
      </c>
      <c r="AA72" s="13">
        <f>-1-22.722</f>
        <v>-23.722000000000001</v>
      </c>
      <c r="AB72" s="13">
        <v>-4</v>
      </c>
      <c r="AC72" s="14"/>
      <c r="AD72" s="13"/>
      <c r="AE72" s="13"/>
      <c r="AF72" s="13"/>
    </row>
    <row r="73" spans="3:32" x14ac:dyDescent="0.25">
      <c r="C73" s="2" t="s">
        <v>94</v>
      </c>
      <c r="D73" s="13"/>
      <c r="E73" s="13"/>
      <c r="F73" s="13"/>
      <c r="G73" s="13"/>
      <c r="H73" s="13"/>
      <c r="I73" s="13"/>
      <c r="J73" s="13"/>
      <c r="K73" s="13"/>
      <c r="L73" s="13">
        <v>0</v>
      </c>
      <c r="M73" s="13">
        <v>0</v>
      </c>
      <c r="N73" s="13">
        <v>-18.811</v>
      </c>
      <c r="O73" s="13">
        <f>-5-N73-M73</f>
        <v>13.811</v>
      </c>
      <c r="P73" s="13">
        <v>0</v>
      </c>
      <c r="Q73" s="13">
        <v>0</v>
      </c>
      <c r="R73" s="13">
        <v>0</v>
      </c>
      <c r="S73" s="13">
        <v>0</v>
      </c>
      <c r="T73" s="13">
        <v>1.331</v>
      </c>
      <c r="U73" s="13"/>
      <c r="V73" s="13"/>
      <c r="W73" s="13"/>
      <c r="X73" s="13"/>
      <c r="Y73" s="13">
        <v>0</v>
      </c>
      <c r="Z73" s="13">
        <v>0</v>
      </c>
      <c r="AA73" s="13">
        <v>-5</v>
      </c>
      <c r="AB73" s="13">
        <v>0</v>
      </c>
      <c r="AC73" s="14"/>
      <c r="AD73" s="13"/>
      <c r="AE73" s="13"/>
      <c r="AF73" s="13"/>
    </row>
    <row r="74" spans="3:32" x14ac:dyDescent="0.25">
      <c r="C74" s="1" t="s">
        <v>95</v>
      </c>
      <c r="D74" s="11">
        <f t="shared" ref="D74:O74" si="68">SUM(D72:D73)</f>
        <v>0</v>
      </c>
      <c r="E74" s="11">
        <f t="shared" si="68"/>
        <v>0</v>
      </c>
      <c r="F74" s="11">
        <f t="shared" si="68"/>
        <v>0</v>
      </c>
      <c r="G74" s="11">
        <f t="shared" si="68"/>
        <v>0</v>
      </c>
      <c r="H74" s="11">
        <f t="shared" si="68"/>
        <v>0</v>
      </c>
      <c r="I74" s="11">
        <f t="shared" si="68"/>
        <v>0</v>
      </c>
      <c r="J74" s="11">
        <f t="shared" si="68"/>
        <v>0</v>
      </c>
      <c r="K74" s="11">
        <f t="shared" si="68"/>
        <v>0</v>
      </c>
      <c r="L74" s="11">
        <f t="shared" si="68"/>
        <v>-1.2</v>
      </c>
      <c r="M74" s="11">
        <f t="shared" si="68"/>
        <v>0</v>
      </c>
      <c r="N74" s="11">
        <f t="shared" si="68"/>
        <v>-33.605000000000004</v>
      </c>
      <c r="O74" s="11">
        <f t="shared" si="68"/>
        <v>5.8049999999999997</v>
      </c>
      <c r="P74" s="11">
        <f>SUM(P72:P73)</f>
        <v>-1.456</v>
      </c>
      <c r="Q74" s="11">
        <f>SUM(Q72:Q73)</f>
        <v>-5</v>
      </c>
      <c r="R74" s="11">
        <f>SUM(R72:R73)</f>
        <v>-2</v>
      </c>
      <c r="S74" s="11">
        <f>SUM(S72:S73)</f>
        <v>4</v>
      </c>
      <c r="T74" s="11">
        <f>SUM(T72:T73)</f>
        <v>0.82699999999999996</v>
      </c>
      <c r="U74" s="13"/>
      <c r="V74" s="13"/>
      <c r="W74" s="13"/>
      <c r="X74" s="13"/>
      <c r="Y74" s="11">
        <f t="shared" ref="Y74:AB74" si="69">SUM(Y72:Y73)</f>
        <v>-59.930999999999997</v>
      </c>
      <c r="Z74" s="11">
        <f t="shared" si="69"/>
        <v>-6</v>
      </c>
      <c r="AA74" s="11">
        <f t="shared" si="69"/>
        <v>-28.722000000000001</v>
      </c>
      <c r="AB74" s="11">
        <f t="shared" si="69"/>
        <v>-4</v>
      </c>
      <c r="AC74" s="14"/>
      <c r="AD74" s="13"/>
      <c r="AE74" s="13"/>
      <c r="AF74" s="13"/>
    </row>
    <row r="75" spans="3:32" x14ac:dyDescent="0.25"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4"/>
      <c r="AD75" s="13"/>
      <c r="AE75" s="13"/>
      <c r="AF75" s="13"/>
    </row>
    <row r="76" spans="3:32" x14ac:dyDescent="0.25">
      <c r="C76" s="2" t="s">
        <v>96</v>
      </c>
      <c r="D76" s="13"/>
      <c r="E76" s="13"/>
      <c r="F76" s="13"/>
      <c r="G76" s="13"/>
      <c r="H76" s="13"/>
      <c r="I76" s="13"/>
      <c r="J76" s="13"/>
      <c r="K76" s="13"/>
      <c r="L76" s="13">
        <v>10.645</v>
      </c>
      <c r="M76" s="13">
        <v>36.756999999999998</v>
      </c>
      <c r="N76" s="13">
        <v>40</v>
      </c>
      <c r="O76" s="13">
        <f>36-N76-M76-L76</f>
        <v>-51.402000000000001</v>
      </c>
      <c r="P76" s="13">
        <v>-19.361000000000001</v>
      </c>
      <c r="Q76" s="13">
        <v>27</v>
      </c>
      <c r="R76" s="13">
        <v>58.615000000000002</v>
      </c>
      <c r="S76" s="13">
        <v>-99.608999999999995</v>
      </c>
      <c r="T76" s="13">
        <v>32.728000000000002</v>
      </c>
      <c r="U76" s="13"/>
      <c r="V76" s="13"/>
      <c r="W76" s="13"/>
      <c r="X76" s="13"/>
      <c r="Y76" s="13">
        <v>-30</v>
      </c>
      <c r="Z76" s="13">
        <v>6.1680000000000001</v>
      </c>
      <c r="AA76" s="13">
        <v>35.683999999999997</v>
      </c>
      <c r="AB76" s="13">
        <v>-33</v>
      </c>
      <c r="AC76" s="14"/>
      <c r="AD76" s="13"/>
      <c r="AE76" s="13"/>
      <c r="AF76" s="13"/>
    </row>
    <row r="77" spans="3:32" x14ac:dyDescent="0.25">
      <c r="C77" s="2" t="s">
        <v>97</v>
      </c>
      <c r="D77" s="13"/>
      <c r="E77" s="13"/>
      <c r="F77" s="13"/>
      <c r="G77" s="13"/>
      <c r="H77" s="13"/>
      <c r="I77" s="13"/>
      <c r="J77" s="13"/>
      <c r="K77" s="13"/>
      <c r="L77" s="13">
        <v>-19.873999999999999</v>
      </c>
      <c r="M77" s="13">
        <v>-20</v>
      </c>
      <c r="N77" s="13">
        <v>-24.085000000000001</v>
      </c>
      <c r="O77" s="13">
        <f>-92-N77-M77-L77</f>
        <v>-28.040999999999993</v>
      </c>
      <c r="P77" s="13">
        <v>-28.393999999999998</v>
      </c>
      <c r="Q77" s="13">
        <v>-28</v>
      </c>
      <c r="R77" s="13">
        <v>-30.1</v>
      </c>
      <c r="S77" s="13">
        <v>-40.558</v>
      </c>
      <c r="T77" s="13">
        <v>-35.518999999999998</v>
      </c>
      <c r="U77" s="13"/>
      <c r="V77" s="13"/>
      <c r="W77" s="13"/>
      <c r="X77" s="13"/>
      <c r="Y77" s="13">
        <v>-50.2</v>
      </c>
      <c r="Z77" s="13">
        <v>-68.459999999999994</v>
      </c>
      <c r="AA77" s="13">
        <v>-92.147999999999996</v>
      </c>
      <c r="AB77" s="13">
        <v>-127</v>
      </c>
      <c r="AC77" s="14"/>
      <c r="AD77" s="13"/>
      <c r="AE77" s="13"/>
      <c r="AF77" s="13"/>
    </row>
    <row r="78" spans="3:32" x14ac:dyDescent="0.25">
      <c r="C78" s="2" t="s">
        <v>98</v>
      </c>
      <c r="D78" s="13"/>
      <c r="E78" s="13"/>
      <c r="F78" s="13"/>
      <c r="G78" s="13"/>
      <c r="H78" s="13"/>
      <c r="I78" s="13"/>
      <c r="J78" s="13"/>
      <c r="K78" s="13"/>
      <c r="L78" s="13">
        <v>-2.3849999999999998</v>
      </c>
      <c r="M78" s="13">
        <v>-2.4</v>
      </c>
      <c r="N78" s="13">
        <v>-2.6989999999999998</v>
      </c>
      <c r="O78" s="13">
        <f>-11-N78-M78-L78</f>
        <v>-3.516</v>
      </c>
      <c r="P78" s="13">
        <v>-2.992</v>
      </c>
      <c r="Q78" s="13">
        <v>-3</v>
      </c>
      <c r="R78" s="13">
        <v>-3.3</v>
      </c>
      <c r="S78" s="13">
        <v>-4.7249999999999996</v>
      </c>
      <c r="T78" s="13">
        <v>-4.2060000000000004</v>
      </c>
      <c r="U78" s="13"/>
      <c r="V78" s="13"/>
      <c r="W78" s="13"/>
      <c r="X78" s="13"/>
      <c r="Y78" s="13">
        <v>-3.5</v>
      </c>
      <c r="Z78" s="13">
        <v>-7.7</v>
      </c>
      <c r="AA78" s="13">
        <v>-10.55</v>
      </c>
      <c r="AB78" s="13">
        <v>-14</v>
      </c>
      <c r="AC78" s="14"/>
      <c r="AD78" s="13"/>
      <c r="AE78" s="13"/>
      <c r="AF78" s="13"/>
    </row>
    <row r="79" spans="3:32" x14ac:dyDescent="0.25">
      <c r="C79" s="2" t="s">
        <v>99</v>
      </c>
      <c r="D79" s="13"/>
      <c r="E79" s="13"/>
      <c r="F79" s="13"/>
      <c r="G79" s="13"/>
      <c r="H79" s="13"/>
      <c r="I79" s="13"/>
      <c r="J79" s="13"/>
      <c r="K79" s="13"/>
      <c r="L79" s="13">
        <v>2.99</v>
      </c>
      <c r="M79" s="13">
        <v>-1</v>
      </c>
      <c r="N79" s="13">
        <v>0</v>
      </c>
      <c r="O79" s="13">
        <f>3-M79-L79</f>
        <v>1.0099999999999998</v>
      </c>
      <c r="P79" s="13">
        <v>-5.28</v>
      </c>
      <c r="Q79" s="13">
        <v>2.2999999999999998</v>
      </c>
      <c r="R79" s="13">
        <v>0</v>
      </c>
      <c r="S79" s="13">
        <v>0</v>
      </c>
      <c r="T79" s="13">
        <v>0</v>
      </c>
      <c r="U79" s="13"/>
      <c r="V79" s="13"/>
      <c r="W79" s="13"/>
      <c r="X79" s="13"/>
      <c r="Y79" s="13">
        <v>6.8</v>
      </c>
      <c r="Z79" s="13">
        <v>0</v>
      </c>
      <c r="AA79" s="13">
        <v>2.88</v>
      </c>
      <c r="AB79" s="13">
        <v>-3</v>
      </c>
      <c r="AC79" s="14"/>
      <c r="AD79" s="13"/>
      <c r="AE79" s="13"/>
      <c r="AF79" s="13"/>
    </row>
    <row r="80" spans="3:32" x14ac:dyDescent="0.25">
      <c r="C80" s="2" t="s">
        <v>100</v>
      </c>
      <c r="D80" s="13"/>
      <c r="E80" s="13"/>
      <c r="F80" s="13"/>
      <c r="G80" s="13"/>
      <c r="H80" s="13"/>
      <c r="I80" s="13"/>
      <c r="J80" s="13"/>
      <c r="K80" s="13"/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23">
        <v>0</v>
      </c>
      <c r="T80" s="13">
        <v>0</v>
      </c>
      <c r="U80" s="13"/>
      <c r="V80" s="13"/>
      <c r="W80" s="13"/>
      <c r="X80" s="13"/>
      <c r="Y80" s="13">
        <v>0</v>
      </c>
      <c r="Z80" s="13">
        <v>-36</v>
      </c>
      <c r="AA80" s="13">
        <v>0</v>
      </c>
      <c r="AB80" s="13">
        <v>0</v>
      </c>
      <c r="AC80" s="14"/>
      <c r="AD80" s="13"/>
      <c r="AE80" s="13"/>
      <c r="AF80" s="13"/>
    </row>
    <row r="81" spans="3:32" x14ac:dyDescent="0.25">
      <c r="C81" s="1" t="s">
        <v>101</v>
      </c>
      <c r="D81" s="11">
        <f t="shared" ref="D81:O81" si="70">SUM(D76:D80)</f>
        <v>0</v>
      </c>
      <c r="E81" s="11">
        <f t="shared" si="70"/>
        <v>0</v>
      </c>
      <c r="F81" s="11">
        <f t="shared" si="70"/>
        <v>0</v>
      </c>
      <c r="G81" s="11">
        <f t="shared" si="70"/>
        <v>0</v>
      </c>
      <c r="H81" s="11">
        <f t="shared" si="70"/>
        <v>0</v>
      </c>
      <c r="I81" s="11">
        <f t="shared" si="70"/>
        <v>0</v>
      </c>
      <c r="J81" s="11">
        <f t="shared" si="70"/>
        <v>0</v>
      </c>
      <c r="K81" s="11">
        <f t="shared" si="70"/>
        <v>0</v>
      </c>
      <c r="L81" s="11">
        <f t="shared" si="70"/>
        <v>-8.6239999999999988</v>
      </c>
      <c r="M81" s="11">
        <f t="shared" si="70"/>
        <v>13.356999999999998</v>
      </c>
      <c r="N81" s="11">
        <f t="shared" si="70"/>
        <v>13.215999999999999</v>
      </c>
      <c r="O81" s="11">
        <f t="shared" si="70"/>
        <v>-81.948999999999998</v>
      </c>
      <c r="P81" s="11">
        <f>SUM(P76:P80)</f>
        <v>-56.026999999999994</v>
      </c>
      <c r="Q81" s="11">
        <f t="shared" ref="Q81:T81" si="71">SUM(Q76:Q80)</f>
        <v>-1.7000000000000002</v>
      </c>
      <c r="R81" s="11">
        <f t="shared" si="71"/>
        <v>25.215</v>
      </c>
      <c r="S81" s="11">
        <f t="shared" si="71"/>
        <v>-144.892</v>
      </c>
      <c r="T81" s="11">
        <f t="shared" si="71"/>
        <v>-6.9969999999999972</v>
      </c>
      <c r="U81" s="13"/>
      <c r="V81" s="13"/>
      <c r="W81" s="13"/>
      <c r="X81" s="13"/>
      <c r="Y81" s="11">
        <f t="shared" ref="Y81" si="72">SUM(Y76:Y80)</f>
        <v>-76.900000000000006</v>
      </c>
      <c r="Z81" s="11">
        <f t="shared" ref="Z81" si="73">SUM(Z76:Z80)</f>
        <v>-105.99199999999999</v>
      </c>
      <c r="AA81" s="11">
        <f t="shared" ref="AA81" si="74">SUM(AA76:AA80)</f>
        <v>-64.134</v>
      </c>
      <c r="AB81" s="11">
        <f t="shared" ref="AB81" si="75">SUM(AB76:AB80)</f>
        <v>-177</v>
      </c>
      <c r="AC81" s="14"/>
      <c r="AD81" s="13"/>
      <c r="AE81" s="13"/>
      <c r="AF81" s="13"/>
    </row>
    <row r="82" spans="3:32" x14ac:dyDescent="0.25">
      <c r="C82" s="1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4"/>
      <c r="AD82" s="13"/>
      <c r="AE82" s="13"/>
      <c r="AF82" s="13"/>
    </row>
    <row r="83" spans="3:32" x14ac:dyDescent="0.25">
      <c r="C83" s="2" t="s">
        <v>102</v>
      </c>
      <c r="D83" s="13">
        <f t="shared" ref="D83:O83" si="76">D70+D74+D81</f>
        <v>0</v>
      </c>
      <c r="E83" s="13">
        <f t="shared" si="76"/>
        <v>0</v>
      </c>
      <c r="F83" s="13">
        <f t="shared" si="76"/>
        <v>0</v>
      </c>
      <c r="G83" s="13">
        <f t="shared" si="76"/>
        <v>0</v>
      </c>
      <c r="H83" s="13">
        <f t="shared" si="76"/>
        <v>0</v>
      </c>
      <c r="I83" s="13">
        <f t="shared" si="76"/>
        <v>0</v>
      </c>
      <c r="J83" s="13">
        <f t="shared" si="76"/>
        <v>0</v>
      </c>
      <c r="K83" s="13">
        <f t="shared" si="76"/>
        <v>0</v>
      </c>
      <c r="L83" s="13">
        <f t="shared" si="76"/>
        <v>24.984999999999996</v>
      </c>
      <c r="M83" s="13">
        <f t="shared" si="76"/>
        <v>-28.548999999999999</v>
      </c>
      <c r="N83" s="13">
        <f t="shared" si="76"/>
        <v>-15.389000000000005</v>
      </c>
      <c r="O83" s="13">
        <f t="shared" si="76"/>
        <v>34.952999999999989</v>
      </c>
      <c r="P83" s="13">
        <f>P70+P74+P81</f>
        <v>15.307000000000009</v>
      </c>
      <c r="Q83" s="13">
        <f t="shared" ref="Q83:R83" si="77">Q70+Q74+Q81</f>
        <v>-36.707999999999998</v>
      </c>
      <c r="R83" s="13">
        <f t="shared" si="77"/>
        <v>-4.6860000000000035</v>
      </c>
      <c r="S83" s="13">
        <f t="shared" ref="S83:T83" si="78">S70+S74+S81</f>
        <v>60.609000000000037</v>
      </c>
      <c r="T83" s="13">
        <f t="shared" si="78"/>
        <v>-44.021999999999998</v>
      </c>
      <c r="U83" s="13"/>
      <c r="V83" s="13"/>
      <c r="W83" s="13"/>
      <c r="X83" s="13"/>
      <c r="Y83" s="13">
        <f t="shared" ref="Y83:AB83" si="79">Y70+Y74+Y81</f>
        <v>-7.5309999999999917</v>
      </c>
      <c r="Z83" s="13">
        <f t="shared" si="79"/>
        <v>-13.768999999999977</v>
      </c>
      <c r="AA83" s="13">
        <f t="shared" si="79"/>
        <v>15.853999999999999</v>
      </c>
      <c r="AB83" s="13">
        <f t="shared" si="79"/>
        <v>36</v>
      </c>
      <c r="AC83" s="14"/>
      <c r="AD83" s="13"/>
      <c r="AE83" s="13"/>
      <c r="AF83" s="13"/>
    </row>
    <row r="84" spans="3:32" x14ac:dyDescent="0.25"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4"/>
      <c r="AD84" s="13"/>
      <c r="AE84" s="13"/>
      <c r="AF84" s="13"/>
    </row>
    <row r="85" spans="3:32" x14ac:dyDescent="0.25">
      <c r="C85" s="2" t="s">
        <v>103</v>
      </c>
      <c r="D85" s="13">
        <f t="shared" ref="D85:O85" si="80">D70+D72</f>
        <v>0</v>
      </c>
      <c r="E85" s="13">
        <f t="shared" si="80"/>
        <v>0</v>
      </c>
      <c r="F85" s="13">
        <f t="shared" si="80"/>
        <v>0</v>
      </c>
      <c r="G85" s="13">
        <f t="shared" si="80"/>
        <v>0</v>
      </c>
      <c r="H85" s="13">
        <f t="shared" si="80"/>
        <v>0</v>
      </c>
      <c r="I85" s="13">
        <f t="shared" si="80"/>
        <v>0</v>
      </c>
      <c r="J85" s="13">
        <f t="shared" si="80"/>
        <v>0</v>
      </c>
      <c r="K85" s="13">
        <f t="shared" si="80"/>
        <v>0</v>
      </c>
      <c r="L85" s="13">
        <f t="shared" si="80"/>
        <v>33.608999999999995</v>
      </c>
      <c r="M85" s="13">
        <f t="shared" si="80"/>
        <v>-41.905999999999999</v>
      </c>
      <c r="N85" s="13">
        <f t="shared" si="80"/>
        <v>-9.7940000000000005</v>
      </c>
      <c r="O85" s="13">
        <f t="shared" si="80"/>
        <v>103.09099999999999</v>
      </c>
      <c r="P85" s="13">
        <f>P70+P72</f>
        <v>71.334000000000003</v>
      </c>
      <c r="Q85" s="13">
        <f t="shared" ref="Q85:R85" si="81">Q70+Q72</f>
        <v>-35.007999999999996</v>
      </c>
      <c r="R85" s="13">
        <f t="shared" si="81"/>
        <v>-29.901000000000003</v>
      </c>
      <c r="S85" s="13">
        <f t="shared" ref="S85:T85" si="82">S70+S72</f>
        <v>205.50100000000003</v>
      </c>
      <c r="T85" s="13">
        <f t="shared" si="82"/>
        <v>-38.355999999999995</v>
      </c>
      <c r="U85" s="13"/>
      <c r="V85" s="13"/>
      <c r="W85" s="13"/>
      <c r="X85" s="13"/>
      <c r="Y85" s="13">
        <f t="shared" ref="Y85:AB85" si="83">Y70+Y72</f>
        <v>69.369000000000014</v>
      </c>
      <c r="Z85" s="13">
        <f t="shared" si="83"/>
        <v>92.223000000000013</v>
      </c>
      <c r="AA85" s="13">
        <f t="shared" si="83"/>
        <v>84.988</v>
      </c>
      <c r="AB85" s="13">
        <f t="shared" si="83"/>
        <v>213</v>
      </c>
      <c r="AC85" s="14"/>
      <c r="AD85" s="13"/>
      <c r="AE85" s="13"/>
      <c r="AF85" s="13"/>
    </row>
    <row r="86" spans="3:32" x14ac:dyDescent="0.25"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Y86" s="13"/>
      <c r="Z86" s="13"/>
      <c r="AA86" s="13"/>
    </row>
    <row r="87" spans="3:32" x14ac:dyDescent="0.25"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Y87" s="13"/>
      <c r="Z87" s="13"/>
      <c r="AA87" s="13"/>
    </row>
    <row r="88" spans="3:32" x14ac:dyDescent="0.25"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Y88" s="13"/>
      <c r="Z88" s="13"/>
      <c r="AA88" s="13"/>
    </row>
    <row r="89" spans="3:32" x14ac:dyDescent="0.25"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Y89" s="13"/>
      <c r="Z89" s="13"/>
      <c r="AA89" s="13"/>
    </row>
    <row r="90" spans="3:32" x14ac:dyDescent="0.25"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Y90" s="13"/>
      <c r="Z90" s="13"/>
      <c r="AA90" s="13"/>
    </row>
    <row r="91" spans="3:32" x14ac:dyDescent="0.25"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Y91" s="13"/>
      <c r="Z91" s="13"/>
      <c r="AA91" s="13"/>
    </row>
    <row r="92" spans="3:32" x14ac:dyDescent="0.25"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Y92" s="13"/>
      <c r="Z92" s="13"/>
      <c r="AA92" s="13"/>
    </row>
    <row r="93" spans="3:32" x14ac:dyDescent="0.25"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Y93" s="13"/>
      <c r="Z93" s="13"/>
      <c r="AA93" s="13"/>
    </row>
    <row r="94" spans="3:32" x14ac:dyDescent="0.25"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Y94" s="13"/>
      <c r="Z94" s="13"/>
      <c r="AA94" s="13"/>
    </row>
    <row r="95" spans="3:32" x14ac:dyDescent="0.25"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Y95" s="13"/>
      <c r="Z95" s="13"/>
      <c r="AA95" s="13"/>
    </row>
    <row r="96" spans="3:32" x14ac:dyDescent="0.25"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Y96" s="13"/>
      <c r="Z96" s="13"/>
      <c r="AA96" s="13"/>
    </row>
    <row r="97" spans="3:28" x14ac:dyDescent="0.25"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Y97" s="13"/>
      <c r="Z97" s="13"/>
      <c r="AA97" s="13"/>
    </row>
    <row r="98" spans="3:28" x14ac:dyDescent="0.25"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Y98" s="13"/>
      <c r="Z98" s="13"/>
      <c r="AA98" s="13"/>
    </row>
    <row r="99" spans="3:28" x14ac:dyDescent="0.25"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Y99" s="11"/>
      <c r="Z99" s="11"/>
      <c r="AA99" s="11"/>
    </row>
    <row r="100" spans="3:28" x14ac:dyDescent="0.25">
      <c r="C100" s="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Y100" s="11"/>
      <c r="Z100" s="11"/>
      <c r="AA100" s="11"/>
    </row>
    <row r="101" spans="3:28" x14ac:dyDescent="0.25">
      <c r="C101" s="1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21"/>
      <c r="Z101" s="21"/>
      <c r="AA101" s="21"/>
      <c r="AB101" s="21"/>
    </row>
    <row r="102" spans="3:28" x14ac:dyDescent="0.25">
      <c r="C102" s="10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Y102" s="13"/>
      <c r="Z102" s="13"/>
      <c r="AA102" s="13"/>
    </row>
    <row r="103" spans="3:28" x14ac:dyDescent="0.25"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Y103" s="13"/>
      <c r="Z103" s="13"/>
      <c r="AA103" s="13"/>
    </row>
    <row r="104" spans="3:28" x14ac:dyDescent="0.25"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Y104" s="13"/>
      <c r="Z104" s="13"/>
      <c r="AA104" s="13"/>
    </row>
    <row r="105" spans="3:28" x14ac:dyDescent="0.25"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Y105" s="13"/>
      <c r="Z105" s="13"/>
      <c r="AA105" s="13"/>
    </row>
    <row r="106" spans="3:28" x14ac:dyDescent="0.25"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Y106" s="13"/>
      <c r="Z106" s="13"/>
      <c r="AA106" s="13"/>
    </row>
    <row r="107" spans="3:28" x14ac:dyDescent="0.25"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Y107" s="13"/>
      <c r="Z107" s="13"/>
      <c r="AA107" s="13"/>
    </row>
    <row r="108" spans="3:28" x14ac:dyDescent="0.25"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Y108" s="13"/>
      <c r="Z108" s="13"/>
      <c r="AA108" s="13"/>
    </row>
    <row r="109" spans="3:28" x14ac:dyDescent="0.25"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Y109" s="13"/>
      <c r="Z109" s="13"/>
      <c r="AA109" s="13"/>
    </row>
    <row r="110" spans="3:28" x14ac:dyDescent="0.25"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Y110" s="13"/>
      <c r="Z110" s="13"/>
      <c r="AA110" s="13"/>
    </row>
    <row r="111" spans="3:28" x14ac:dyDescent="0.25"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Y111" s="13"/>
      <c r="Z111" s="13"/>
      <c r="AA111" s="13"/>
    </row>
    <row r="112" spans="3:28" x14ac:dyDescent="0.25"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Y112" s="11"/>
      <c r="Z112" s="11"/>
      <c r="AA112" s="11"/>
    </row>
    <row r="113" spans="3:27" x14ac:dyDescent="0.25">
      <c r="C113" s="1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Y113" s="13"/>
      <c r="Z113" s="13"/>
      <c r="AA113" s="13"/>
    </row>
    <row r="114" spans="3:27" x14ac:dyDescent="0.25"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Y114" s="13"/>
      <c r="Z114" s="13"/>
      <c r="AA114" s="13"/>
    </row>
    <row r="115" spans="3:27" x14ac:dyDescent="0.25"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Y115" s="13"/>
      <c r="Z115" s="13"/>
      <c r="AA115" s="13"/>
    </row>
    <row r="116" spans="3:27" x14ac:dyDescent="0.25"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Y116" s="13"/>
      <c r="Z116" s="13"/>
      <c r="AA116" s="13"/>
    </row>
    <row r="117" spans="3:27" x14ac:dyDescent="0.25"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Y117" s="13"/>
      <c r="Z117" s="13"/>
      <c r="AA117" s="13"/>
    </row>
    <row r="118" spans="3:27" x14ac:dyDescent="0.25"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Y118" s="13"/>
      <c r="Z118" s="13"/>
      <c r="AA118" s="13"/>
    </row>
    <row r="119" spans="3:27" x14ac:dyDescent="0.25"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Y119" s="13"/>
      <c r="Z119" s="13"/>
      <c r="AA119" s="13"/>
    </row>
    <row r="120" spans="3:27" x14ac:dyDescent="0.25"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Y120" s="13"/>
      <c r="Z120" s="13"/>
      <c r="AA120" s="13"/>
    </row>
    <row r="121" spans="3:27" x14ac:dyDescent="0.25"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Y121" s="13"/>
      <c r="Z121" s="13"/>
      <c r="AA121" s="13"/>
    </row>
    <row r="122" spans="3:27" x14ac:dyDescent="0.25"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Y122" s="13"/>
      <c r="Z122" s="13"/>
      <c r="AA122" s="13"/>
    </row>
    <row r="123" spans="3:27" x14ac:dyDescent="0.25"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Y123" s="13"/>
      <c r="Z123" s="13"/>
      <c r="AA123" s="13"/>
    </row>
    <row r="124" spans="3:27" x14ac:dyDescent="0.25"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Y124" s="13"/>
      <c r="Z124" s="13"/>
      <c r="AA124" s="13"/>
    </row>
    <row r="125" spans="3:27" x14ac:dyDescent="0.25"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Y125" s="11"/>
      <c r="Z125" s="11"/>
      <c r="AA125" s="11"/>
    </row>
    <row r="126" spans="3:27" x14ac:dyDescent="0.25">
      <c r="C126" s="1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1"/>
      <c r="R126" s="13"/>
      <c r="S126" s="13"/>
      <c r="Y126" s="13"/>
      <c r="Z126" s="13"/>
      <c r="AA126" s="13"/>
    </row>
    <row r="127" spans="3:27" x14ac:dyDescent="0.25"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Y127" s="13"/>
      <c r="Z127" s="13"/>
      <c r="AA127" s="13"/>
    </row>
    <row r="128" spans="3:27" x14ac:dyDescent="0.25"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Y128" s="13"/>
      <c r="Z128" s="13"/>
      <c r="AA128" s="13"/>
    </row>
    <row r="129" spans="4:27" x14ac:dyDescent="0.25"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Y129" s="13"/>
      <c r="Z129" s="13"/>
      <c r="AA129" s="13"/>
    </row>
    <row r="130" spans="4:27" x14ac:dyDescent="0.25"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Y130" s="13"/>
      <c r="Z130" s="13"/>
      <c r="AA130" s="13"/>
    </row>
    <row r="131" spans="4:27" x14ac:dyDescent="0.25"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Y131" s="13"/>
      <c r="Z131" s="13"/>
      <c r="AA131" s="13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4:AC19"/>
  <sheetViews>
    <sheetView showGridLines="0" workbookViewId="0">
      <pane xSplit="2" ySplit="4" topLeftCell="P5" activePane="bottomRight" state="frozen"/>
      <selection pane="topRight" activeCell="C1" sqref="C1"/>
      <selection pane="bottomLeft" activeCell="A5" sqref="A5"/>
      <selection pane="bottomRight" activeCell="V25" sqref="V25"/>
    </sheetView>
  </sheetViews>
  <sheetFormatPr baseColWidth="10" defaultRowHeight="19" x14ac:dyDescent="0.25"/>
  <cols>
    <col min="1" max="1" width="10.83203125" style="2"/>
    <col min="2" max="2" width="23" style="2" bestFit="1" customWidth="1"/>
    <col min="3" max="3" width="11.83203125" style="2" customWidth="1"/>
    <col min="4" max="16384" width="10.83203125" style="2"/>
  </cols>
  <sheetData>
    <row r="4" spans="2:27" x14ac:dyDescent="0.25">
      <c r="B4" s="2" t="s">
        <v>58</v>
      </c>
      <c r="C4" s="7" t="s">
        <v>3</v>
      </c>
      <c r="D4" s="7" t="s">
        <v>4</v>
      </c>
      <c r="E4" s="7" t="s">
        <v>5</v>
      </c>
      <c r="F4" s="7" t="s">
        <v>6</v>
      </c>
      <c r="G4" s="36">
        <v>2022</v>
      </c>
      <c r="H4" s="7" t="s">
        <v>7</v>
      </c>
      <c r="I4" s="7" t="s">
        <v>8</v>
      </c>
      <c r="J4" s="7" t="s">
        <v>9</v>
      </c>
      <c r="K4" s="7" t="s">
        <v>10</v>
      </c>
      <c r="L4" s="36">
        <v>2023</v>
      </c>
      <c r="M4" s="7" t="s">
        <v>11</v>
      </c>
      <c r="N4" s="7" t="s">
        <v>12</v>
      </c>
      <c r="O4" s="7" t="s">
        <v>13</v>
      </c>
      <c r="P4" s="7" t="s">
        <v>14</v>
      </c>
      <c r="Q4" s="36">
        <v>2024</v>
      </c>
      <c r="R4" s="7" t="s">
        <v>34</v>
      </c>
      <c r="S4" s="7" t="s">
        <v>31</v>
      </c>
      <c r="T4" s="7" t="s">
        <v>32</v>
      </c>
      <c r="U4" s="7" t="s">
        <v>33</v>
      </c>
      <c r="V4" s="41">
        <v>2025</v>
      </c>
      <c r="W4" s="7" t="s">
        <v>141</v>
      </c>
      <c r="X4" s="7" t="s">
        <v>142</v>
      </c>
      <c r="Y4" s="7" t="s">
        <v>143</v>
      </c>
      <c r="Z4" s="7" t="s">
        <v>144</v>
      </c>
      <c r="AA4" s="41">
        <v>2026</v>
      </c>
    </row>
    <row r="5" spans="2:27" x14ac:dyDescent="0.25">
      <c r="B5" s="1" t="s">
        <v>118</v>
      </c>
      <c r="G5" s="37"/>
      <c r="L5" s="37"/>
      <c r="Q5" s="37"/>
      <c r="V5" s="37"/>
      <c r="AA5" s="37"/>
    </row>
    <row r="6" spans="2:27" s="1" customFormat="1" x14ac:dyDescent="0.25">
      <c r="B6" s="1" t="s">
        <v>43</v>
      </c>
      <c r="C6" s="11"/>
      <c r="D6" s="11"/>
      <c r="E6" s="11"/>
      <c r="F6" s="11"/>
      <c r="G6" s="46"/>
      <c r="H6" s="11"/>
      <c r="I6" s="11"/>
      <c r="J6" s="11"/>
      <c r="K6" s="11"/>
      <c r="L6" s="46"/>
      <c r="M6" s="11"/>
      <c r="N6" s="11">
        <v>426.39800000000002</v>
      </c>
      <c r="O6" s="11">
        <v>413.59300000000002</v>
      </c>
      <c r="P6" s="11">
        <v>533.46900000000005</v>
      </c>
      <c r="Q6" s="46">
        <f>SUM(M6:P6)</f>
        <v>1373.46</v>
      </c>
      <c r="R6" s="11">
        <v>451.36700000000002</v>
      </c>
      <c r="S6" s="11">
        <v>506.90699999999998</v>
      </c>
      <c r="T6" s="11">
        <v>484.14499999999998</v>
      </c>
      <c r="U6" s="11">
        <v>788.68299999999999</v>
      </c>
      <c r="V6" s="46">
        <f>SUM(R6:U6)</f>
        <v>2231.1019999999999</v>
      </c>
      <c r="W6" s="11">
        <v>619.14599999999996</v>
      </c>
      <c r="X6" s="11"/>
      <c r="Y6" s="11"/>
      <c r="Z6" s="11"/>
      <c r="AA6" s="41"/>
    </row>
    <row r="7" spans="2:27" x14ac:dyDescent="0.25">
      <c r="B7" s="21" t="s">
        <v>123</v>
      </c>
      <c r="C7" s="21"/>
      <c r="D7" s="21"/>
      <c r="E7" s="21"/>
      <c r="F7" s="21"/>
      <c r="G7" s="39"/>
      <c r="H7" s="21" t="e">
        <f t="shared" ref="H7:S7" si="0">(H6-C6)/C6</f>
        <v>#DIV/0!</v>
      </c>
      <c r="I7" s="21" t="e">
        <f t="shared" si="0"/>
        <v>#DIV/0!</v>
      </c>
      <c r="J7" s="21" t="e">
        <f t="shared" si="0"/>
        <v>#DIV/0!</v>
      </c>
      <c r="K7" s="21" t="e">
        <f t="shared" si="0"/>
        <v>#DIV/0!</v>
      </c>
      <c r="L7" s="39" t="e">
        <f t="shared" si="0"/>
        <v>#DIV/0!</v>
      </c>
      <c r="M7" s="21" t="e">
        <f t="shared" si="0"/>
        <v>#DIV/0!</v>
      </c>
      <c r="N7" s="21" t="e">
        <f t="shared" si="0"/>
        <v>#DIV/0!</v>
      </c>
      <c r="O7" s="21" t="e">
        <f t="shared" si="0"/>
        <v>#DIV/0!</v>
      </c>
      <c r="P7" s="21" t="e">
        <f t="shared" si="0"/>
        <v>#DIV/0!</v>
      </c>
      <c r="Q7" s="39" t="e">
        <f t="shared" si="0"/>
        <v>#DIV/0!</v>
      </c>
      <c r="R7" s="21" t="e">
        <f t="shared" si="0"/>
        <v>#DIV/0!</v>
      </c>
      <c r="S7" s="21">
        <f t="shared" si="0"/>
        <v>0.18881186121886115</v>
      </c>
      <c r="T7" s="21">
        <f>(T6-O6)/O6</f>
        <v>0.17058315783874475</v>
      </c>
      <c r="U7" s="21">
        <f t="shared" ref="U7:V7" si="1">(U6-P6)/P6</f>
        <v>0.47840455584110775</v>
      </c>
      <c r="V7" s="39">
        <f t="shared" si="1"/>
        <v>0.62443900805265518</v>
      </c>
      <c r="W7" s="21">
        <f t="shared" ref="W7" si="2">(W6-R6)/R6</f>
        <v>0.37171304060775362</v>
      </c>
      <c r="X7" s="21">
        <f t="shared" ref="X7" si="3">(X6-S6)/S6</f>
        <v>-1</v>
      </c>
      <c r="Y7" s="21">
        <f>(Y6-T6)/T6</f>
        <v>-1</v>
      </c>
      <c r="Z7" s="21">
        <f t="shared" ref="Z7" si="4">(Z6-U6)/U6</f>
        <v>-1</v>
      </c>
      <c r="AA7" s="39">
        <f t="shared" ref="AA7" si="5">(AA6-V6)/V6</f>
        <v>-1</v>
      </c>
    </row>
    <row r="8" spans="2:27" x14ac:dyDescent="0.25">
      <c r="B8" s="2" t="s">
        <v>119</v>
      </c>
      <c r="C8" s="13"/>
      <c r="D8" s="13"/>
      <c r="E8" s="13"/>
      <c r="F8" s="13"/>
      <c r="G8" s="38"/>
      <c r="H8" s="13"/>
      <c r="I8" s="13"/>
      <c r="J8" s="13"/>
      <c r="K8" s="13"/>
      <c r="L8" s="38"/>
      <c r="M8" s="13"/>
      <c r="N8" s="13">
        <v>7.6</v>
      </c>
      <c r="O8" s="13">
        <v>16.670000000000002</v>
      </c>
      <c r="P8" s="13">
        <v>24.823</v>
      </c>
      <c r="Q8" s="46">
        <f>SUM(M8:P8)</f>
        <v>49.093000000000004</v>
      </c>
      <c r="R8" s="13">
        <v>16.600000000000001</v>
      </c>
      <c r="S8" s="13">
        <v>11.2</v>
      </c>
      <c r="T8" s="13">
        <v>18.817</v>
      </c>
      <c r="U8" s="13">
        <v>43.189</v>
      </c>
      <c r="V8" s="46">
        <f>SUM(R8:U8)</f>
        <v>89.806000000000012</v>
      </c>
      <c r="W8" s="13">
        <v>22.774999999999999</v>
      </c>
      <c r="X8" s="13"/>
      <c r="Y8" s="13"/>
      <c r="Z8" s="13"/>
      <c r="AA8" s="37"/>
    </row>
    <row r="9" spans="2:27" s="17" customFormat="1" ht="20" thickBot="1" x14ac:dyDescent="0.3">
      <c r="B9" s="47" t="s">
        <v>120</v>
      </c>
      <c r="C9" s="47"/>
      <c r="D9" s="47"/>
      <c r="E9" s="47"/>
      <c r="F9" s="47"/>
      <c r="G9" s="48"/>
      <c r="H9" s="47"/>
      <c r="I9" s="47"/>
      <c r="J9" s="47"/>
      <c r="K9" s="47"/>
      <c r="L9" s="48"/>
      <c r="M9" s="47"/>
      <c r="N9" s="47">
        <v>0.02</v>
      </c>
      <c r="O9" s="47">
        <v>0.04</v>
      </c>
      <c r="P9" s="47">
        <v>0.05</v>
      </c>
      <c r="Q9" s="48">
        <f>Q8/Q6</f>
        <v>3.5744033317315398E-2</v>
      </c>
      <c r="R9" s="47">
        <v>3.6999999999999998E-2</v>
      </c>
      <c r="S9" s="47">
        <v>0.02</v>
      </c>
      <c r="T9" s="47">
        <v>0.04</v>
      </c>
      <c r="U9" s="47">
        <v>0.05</v>
      </c>
      <c r="V9" s="48">
        <f>V8/V6</f>
        <v>4.0251857602207348E-2</v>
      </c>
      <c r="W9" s="47">
        <v>3.6999999999999998E-2</v>
      </c>
      <c r="X9" s="47"/>
      <c r="Y9" s="47"/>
      <c r="Z9" s="47"/>
      <c r="AA9" s="48"/>
    </row>
    <row r="10" spans="2:27" x14ac:dyDescent="0.25">
      <c r="B10" s="1" t="s">
        <v>121</v>
      </c>
      <c r="G10" s="37"/>
      <c r="L10" s="37"/>
      <c r="Q10" s="37"/>
      <c r="V10" s="37"/>
      <c r="AA10" s="37"/>
    </row>
    <row r="11" spans="2:27" s="1" customFormat="1" x14ac:dyDescent="0.25">
      <c r="B11" s="1" t="s">
        <v>43</v>
      </c>
      <c r="C11" s="11"/>
      <c r="D11" s="11"/>
      <c r="E11" s="11"/>
      <c r="F11" s="11"/>
      <c r="G11" s="46"/>
      <c r="H11" s="11"/>
      <c r="I11" s="11"/>
      <c r="J11" s="11"/>
      <c r="K11" s="11"/>
      <c r="L11" s="46"/>
      <c r="M11" s="11"/>
      <c r="N11" s="11">
        <v>131.13800000000001</v>
      </c>
      <c r="O11" s="11">
        <v>111.721</v>
      </c>
      <c r="P11" s="11">
        <v>205.786</v>
      </c>
      <c r="Q11" s="46">
        <f>SUM(M11:P11)</f>
        <v>448.64499999999998</v>
      </c>
      <c r="R11" s="11">
        <v>147.566</v>
      </c>
      <c r="S11" s="11">
        <v>154.376</v>
      </c>
      <c r="T11" s="11">
        <v>124.32</v>
      </c>
      <c r="U11" s="11">
        <v>204.827</v>
      </c>
      <c r="V11" s="46">
        <f>SUM(R11:U11)</f>
        <v>631.08899999999994</v>
      </c>
      <c r="W11" s="11">
        <v>144.56100000000001</v>
      </c>
      <c r="X11" s="11"/>
      <c r="Y11" s="11"/>
      <c r="Z11" s="11"/>
      <c r="AA11" s="41"/>
    </row>
    <row r="12" spans="2:27" x14ac:dyDescent="0.25">
      <c r="B12" s="21" t="s">
        <v>123</v>
      </c>
      <c r="C12" s="21"/>
      <c r="D12" s="21"/>
      <c r="E12" s="21"/>
      <c r="F12" s="21"/>
      <c r="G12" s="39"/>
      <c r="H12" s="21" t="e">
        <f t="shared" ref="H12" si="6">(H11-C11)/C11</f>
        <v>#DIV/0!</v>
      </c>
      <c r="I12" s="21" t="e">
        <f t="shared" ref="I12" si="7">(I11-D11)/D11</f>
        <v>#DIV/0!</v>
      </c>
      <c r="J12" s="21" t="e">
        <f t="shared" ref="J12" si="8">(J11-E11)/E11</f>
        <v>#DIV/0!</v>
      </c>
      <c r="K12" s="21" t="e">
        <f t="shared" ref="K12" si="9">(K11-F11)/F11</f>
        <v>#DIV/0!</v>
      </c>
      <c r="L12" s="39" t="e">
        <f t="shared" ref="L12" si="10">(L11-G11)/G11</f>
        <v>#DIV/0!</v>
      </c>
      <c r="M12" s="21" t="e">
        <f t="shared" ref="M12" si="11">(M11-H11)/H11</f>
        <v>#DIV/0!</v>
      </c>
      <c r="N12" s="21" t="e">
        <f t="shared" ref="N12" si="12">(N11-I11)/I11</f>
        <v>#DIV/0!</v>
      </c>
      <c r="O12" s="21" t="e">
        <f t="shared" ref="O12" si="13">(O11-J11)/J11</f>
        <v>#DIV/0!</v>
      </c>
      <c r="P12" s="21" t="e">
        <f t="shared" ref="P12:Q12" si="14">(P11-K11)/K11</f>
        <v>#DIV/0!</v>
      </c>
      <c r="Q12" s="39" t="e">
        <f t="shared" si="14"/>
        <v>#DIV/0!</v>
      </c>
      <c r="R12" s="21" t="e">
        <f t="shared" ref="R12" si="15">(R11-M11)/M11</f>
        <v>#DIV/0!</v>
      </c>
      <c r="S12" s="21">
        <f t="shared" ref="S12" si="16">(S11-N11)/N11</f>
        <v>0.17720264149216855</v>
      </c>
      <c r="T12" s="21">
        <f>(T11-O11)/O11</f>
        <v>0.11277199452206826</v>
      </c>
      <c r="U12" s="21">
        <f t="shared" ref="U12" si="17">(U11-P11)/P11</f>
        <v>-4.6601809646914906E-3</v>
      </c>
      <c r="V12" s="39">
        <f t="shared" ref="V12" si="18">(V11-Q11)/Q11</f>
        <v>0.40665559629551196</v>
      </c>
      <c r="W12" s="21">
        <f t="shared" ref="W12" si="19">(W11-R11)/R11</f>
        <v>-2.0363769431982946E-2</v>
      </c>
      <c r="X12" s="21">
        <f t="shared" ref="X12" si="20">(X11-S11)/S11</f>
        <v>-1</v>
      </c>
      <c r="Y12" s="21">
        <f>(Y11-T11)/T11</f>
        <v>-1</v>
      </c>
      <c r="Z12" s="21">
        <f t="shared" ref="Z12" si="21">(Z11-U11)/U11</f>
        <v>-1</v>
      </c>
      <c r="AA12" s="39">
        <f t="shared" ref="AA12" si="22">(AA11-V11)/V11</f>
        <v>-1</v>
      </c>
    </row>
    <row r="13" spans="2:27" x14ac:dyDescent="0.25">
      <c r="B13" s="2" t="s">
        <v>119</v>
      </c>
      <c r="C13" s="13"/>
      <c r="D13" s="13"/>
      <c r="E13" s="13"/>
      <c r="F13" s="13"/>
      <c r="G13" s="38"/>
      <c r="H13" s="13"/>
      <c r="I13" s="13"/>
      <c r="J13" s="13"/>
      <c r="K13" s="13"/>
      <c r="L13" s="38"/>
      <c r="M13" s="13"/>
      <c r="N13" s="13">
        <v>-3.2</v>
      </c>
      <c r="O13" s="13">
        <v>-2.2999999999999998</v>
      </c>
      <c r="P13" s="13">
        <v>7.65</v>
      </c>
      <c r="Q13" s="38">
        <f>SUM(M13:P13)</f>
        <v>2.1500000000000004</v>
      </c>
      <c r="R13" s="13">
        <v>-0.91900000000000004</v>
      </c>
      <c r="S13" s="13">
        <v>1</v>
      </c>
      <c r="T13" s="13">
        <v>-1</v>
      </c>
      <c r="U13" s="13">
        <v>2.3250000000000002</v>
      </c>
      <c r="V13" s="38">
        <f>SUM(R13:U13)</f>
        <v>1.4060000000000001</v>
      </c>
      <c r="W13" s="13">
        <v>0.38800000000000001</v>
      </c>
      <c r="X13" s="13"/>
      <c r="Y13" s="13"/>
      <c r="Z13" s="13"/>
      <c r="AA13" s="37"/>
    </row>
    <row r="14" spans="2:27" s="17" customFormat="1" ht="20" thickBot="1" x14ac:dyDescent="0.3">
      <c r="B14" s="47" t="s">
        <v>120</v>
      </c>
      <c r="C14" s="47"/>
      <c r="D14" s="47"/>
      <c r="E14" s="47"/>
      <c r="F14" s="47"/>
      <c r="G14" s="48"/>
      <c r="H14" s="47"/>
      <c r="I14" s="47"/>
      <c r="J14" s="47"/>
      <c r="K14" s="47"/>
      <c r="L14" s="48"/>
      <c r="M14" s="47"/>
      <c r="N14" s="47">
        <v>-0.03</v>
      </c>
      <c r="O14" s="47">
        <v>-0.02</v>
      </c>
      <c r="P14" s="47">
        <v>0.04</v>
      </c>
      <c r="Q14" s="48">
        <f>Q13/Q11</f>
        <v>4.7922076474718328E-3</v>
      </c>
      <c r="R14" s="47">
        <v>-6.0000000000000001E-3</v>
      </c>
      <c r="S14" s="47">
        <v>0.01</v>
      </c>
      <c r="T14" s="47">
        <v>-0.01</v>
      </c>
      <c r="U14" s="47">
        <v>0.01</v>
      </c>
      <c r="V14" s="48">
        <f>V13/V11</f>
        <v>2.2278949561789227E-3</v>
      </c>
      <c r="W14" s="47">
        <v>3.0000000000000001E-3</v>
      </c>
      <c r="X14" s="47"/>
      <c r="Y14" s="47"/>
      <c r="Z14" s="47"/>
      <c r="AA14" s="48"/>
    </row>
    <row r="15" spans="2:27" x14ac:dyDescent="0.25">
      <c r="B15" s="1" t="s">
        <v>122</v>
      </c>
      <c r="G15" s="37"/>
      <c r="L15" s="37"/>
      <c r="Q15" s="37"/>
      <c r="V15" s="37"/>
      <c r="AA15" s="37"/>
    </row>
    <row r="16" spans="2:27" s="1" customFormat="1" x14ac:dyDescent="0.25">
      <c r="B16" s="1" t="s">
        <v>43</v>
      </c>
      <c r="C16" s="11"/>
      <c r="D16" s="11"/>
      <c r="E16" s="11"/>
      <c r="F16" s="11"/>
      <c r="G16" s="46"/>
      <c r="H16" s="11"/>
      <c r="I16" s="11"/>
      <c r="J16" s="11"/>
      <c r="K16" s="11"/>
      <c r="L16" s="46"/>
      <c r="M16" s="11"/>
      <c r="N16" s="11">
        <v>198.25899999999999</v>
      </c>
      <c r="O16" s="11">
        <v>197.82499999999999</v>
      </c>
      <c r="P16" s="11">
        <v>208.58799999999999</v>
      </c>
      <c r="Q16" s="46">
        <f>SUM(M16:P16)</f>
        <v>604.67199999999991</v>
      </c>
      <c r="R16" s="11">
        <v>137.84299999999999</v>
      </c>
      <c r="S16" s="11">
        <v>188.333</v>
      </c>
      <c r="T16" s="11">
        <v>186.61699999999999</v>
      </c>
      <c r="U16" s="11">
        <v>230.352</v>
      </c>
      <c r="V16" s="46">
        <f>SUM(R16:U16)</f>
        <v>743.14499999999998</v>
      </c>
      <c r="W16" s="11">
        <v>141.952</v>
      </c>
      <c r="X16" s="11"/>
      <c r="Y16" s="11"/>
      <c r="Z16" s="11"/>
      <c r="AA16" s="41"/>
    </row>
    <row r="17" spans="2:29" x14ac:dyDescent="0.25">
      <c r="B17" s="21" t="s">
        <v>123</v>
      </c>
      <c r="C17" s="21"/>
      <c r="D17" s="21"/>
      <c r="E17" s="21"/>
      <c r="F17" s="21"/>
      <c r="G17" s="39"/>
      <c r="H17" s="21" t="e">
        <f t="shared" ref="H17" si="23">(H16-C16)/C16</f>
        <v>#DIV/0!</v>
      </c>
      <c r="I17" s="21" t="e">
        <f t="shared" ref="I17" si="24">(I16-D16)/D16</f>
        <v>#DIV/0!</v>
      </c>
      <c r="J17" s="21" t="e">
        <f t="shared" ref="J17" si="25">(J16-E16)/E16</f>
        <v>#DIV/0!</v>
      </c>
      <c r="K17" s="21" t="e">
        <f t="shared" ref="K17" si="26">(K16-F16)/F16</f>
        <v>#DIV/0!</v>
      </c>
      <c r="L17" s="39" t="e">
        <f t="shared" ref="L17" si="27">(L16-G16)/G16</f>
        <v>#DIV/0!</v>
      </c>
      <c r="M17" s="21" t="e">
        <f t="shared" ref="M17" si="28">(M16-H16)/H16</f>
        <v>#DIV/0!</v>
      </c>
      <c r="N17" s="21" t="e">
        <f t="shared" ref="N17" si="29">(N16-I16)/I16</f>
        <v>#DIV/0!</v>
      </c>
      <c r="O17" s="21" t="e">
        <f t="shared" ref="O17" si="30">(O16-J16)/J16</f>
        <v>#DIV/0!</v>
      </c>
      <c r="P17" s="21" t="e">
        <f t="shared" ref="P17:Q17" si="31">(P16-K16)/K16</f>
        <v>#DIV/0!</v>
      </c>
      <c r="Q17" s="39" t="e">
        <f t="shared" si="31"/>
        <v>#DIV/0!</v>
      </c>
      <c r="R17" s="21" t="e">
        <f t="shared" ref="R17" si="32">(R16-M16)/M16</f>
        <v>#DIV/0!</v>
      </c>
      <c r="S17" s="21">
        <f t="shared" ref="S17" si="33">(S16-N16)/N16</f>
        <v>-5.0065822989120233E-2</v>
      </c>
      <c r="T17" s="21">
        <f>(T16-O16)/O16</f>
        <v>-5.6656135473271828E-2</v>
      </c>
      <c r="U17" s="21">
        <f t="shared" ref="U17" si="34">(U16-P16)/P16</f>
        <v>0.10433965520547687</v>
      </c>
      <c r="V17" s="39">
        <f t="shared" ref="V17" si="35">(V16-Q16)/Q16</f>
        <v>0.22900514659187143</v>
      </c>
      <c r="W17" s="21">
        <f t="shared" ref="W17" si="36">(W16-R16)/R16</f>
        <v>2.9809275770260435E-2</v>
      </c>
      <c r="X17" s="21">
        <f t="shared" ref="X17" si="37">(X16-S16)/S16</f>
        <v>-1</v>
      </c>
      <c r="Y17" s="21">
        <f>(Y16-T16)/T16</f>
        <v>-1</v>
      </c>
      <c r="Z17" s="21">
        <f t="shared" ref="Z17" si="38">(Z16-U16)/U16</f>
        <v>-1</v>
      </c>
      <c r="AA17" s="39">
        <f t="shared" ref="AA17" si="39">(AA16-V16)/V16</f>
        <v>-1</v>
      </c>
    </row>
    <row r="18" spans="2:29" x14ac:dyDescent="0.25">
      <c r="B18" s="2" t="s">
        <v>119</v>
      </c>
      <c r="C18" s="13"/>
      <c r="D18" s="13"/>
      <c r="E18" s="13"/>
      <c r="F18" s="13"/>
      <c r="G18" s="38"/>
      <c r="H18" s="13"/>
      <c r="I18" s="13"/>
      <c r="J18" s="13"/>
      <c r="K18" s="13"/>
      <c r="L18" s="38"/>
      <c r="M18" s="13"/>
      <c r="N18" s="13">
        <v>3</v>
      </c>
      <c r="O18" s="13">
        <v>14.1</v>
      </c>
      <c r="P18" s="13">
        <v>13.215</v>
      </c>
      <c r="Q18" s="38">
        <f>SUM(M18:P18)</f>
        <v>30.315000000000001</v>
      </c>
      <c r="R18" s="13">
        <v>-3.2909999999999999</v>
      </c>
      <c r="S18" s="13">
        <v>5</v>
      </c>
      <c r="T18" s="13">
        <v>3</v>
      </c>
      <c r="U18" s="13">
        <v>4.5979999999999999</v>
      </c>
      <c r="V18" s="38">
        <f>SUM(R18:U18)</f>
        <v>9.3069999999999986</v>
      </c>
      <c r="W18" s="13">
        <v>-2.472</v>
      </c>
      <c r="X18" s="13"/>
      <c r="Y18" s="13"/>
      <c r="Z18" s="13"/>
      <c r="AA18" s="37"/>
      <c r="AC18" s="2">
        <f>9*1.35</f>
        <v>12.15</v>
      </c>
    </row>
    <row r="19" spans="2:29" ht="20" thickBot="1" x14ac:dyDescent="0.3">
      <c r="B19" s="34" t="s">
        <v>120</v>
      </c>
      <c r="C19" s="35"/>
      <c r="D19" s="35"/>
      <c r="E19" s="35"/>
      <c r="F19" s="35"/>
      <c r="G19" s="40"/>
      <c r="H19" s="35"/>
      <c r="I19" s="35"/>
      <c r="J19" s="35"/>
      <c r="K19" s="35"/>
      <c r="L19" s="40"/>
      <c r="M19" s="35"/>
      <c r="N19" s="35">
        <v>0.02</v>
      </c>
      <c r="O19" s="35">
        <v>7.0000000000000007E-2</v>
      </c>
      <c r="P19" s="35">
        <v>0.06</v>
      </c>
      <c r="Q19" s="48">
        <f>Q18/Q16</f>
        <v>5.0134618437764615E-2</v>
      </c>
      <c r="R19" s="35">
        <v>-2.4E-2</v>
      </c>
      <c r="S19" s="35">
        <v>0.03</v>
      </c>
      <c r="T19" s="35">
        <v>0.02</v>
      </c>
      <c r="U19" s="35">
        <v>0.02</v>
      </c>
      <c r="V19" s="48">
        <f>V18/V16</f>
        <v>1.2523800873315435E-2</v>
      </c>
      <c r="W19" s="35">
        <v>-1.7000000000000001E-2</v>
      </c>
      <c r="X19" s="35"/>
      <c r="Y19" s="35"/>
      <c r="Z19" s="35"/>
      <c r="AA19" s="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F8A8-F006-6A4A-AD9E-18B616B8FD89}">
  <dimension ref="A3:G15"/>
  <sheetViews>
    <sheetView showGridLines="0" workbookViewId="0">
      <selection activeCell="A4" sqref="A4"/>
    </sheetView>
  </sheetViews>
  <sheetFormatPr baseColWidth="10" defaultRowHeight="21" x14ac:dyDescent="0.25"/>
  <cols>
    <col min="1" max="2" width="10.83203125" style="49"/>
    <col min="3" max="3" width="20" style="49" customWidth="1"/>
    <col min="4" max="4" width="15" style="49" customWidth="1"/>
    <col min="5" max="5" width="13.83203125" style="49" customWidth="1"/>
    <col min="6" max="6" width="10.83203125" style="49"/>
    <col min="7" max="7" width="13" style="49" customWidth="1"/>
    <col min="8" max="16384" width="10.83203125" style="49"/>
  </cols>
  <sheetData>
    <row r="3" spans="1:7" x14ac:dyDescent="0.25">
      <c r="A3" s="49" t="s">
        <v>148</v>
      </c>
    </row>
    <row r="4" spans="1:7" x14ac:dyDescent="0.25">
      <c r="A4" s="50">
        <f>Modell!AC28</f>
        <v>155.97387000000001</v>
      </c>
    </row>
    <row r="6" spans="1:7" x14ac:dyDescent="0.25">
      <c r="C6" s="51"/>
      <c r="D6" s="51" t="s">
        <v>148</v>
      </c>
      <c r="E6" s="51" t="s">
        <v>145</v>
      </c>
      <c r="F6" s="51" t="s">
        <v>149</v>
      </c>
      <c r="G6" s="51" t="s">
        <v>150</v>
      </c>
    </row>
    <row r="7" spans="1:7" x14ac:dyDescent="0.25">
      <c r="C7" s="51" t="s">
        <v>146</v>
      </c>
      <c r="D7" s="51">
        <v>136</v>
      </c>
      <c r="E7" s="51">
        <v>6</v>
      </c>
      <c r="F7" s="54">
        <f>D7*E7</f>
        <v>816</v>
      </c>
      <c r="G7" s="54">
        <f>F7/Modell!$B$5</f>
        <v>40.799999999999997</v>
      </c>
    </row>
    <row r="8" spans="1:7" x14ac:dyDescent="0.25">
      <c r="C8" s="51" t="s">
        <v>147</v>
      </c>
      <c r="D8" s="51">
        <v>15</v>
      </c>
      <c r="E8" s="51">
        <v>2</v>
      </c>
      <c r="F8" s="54">
        <f t="shared" ref="F8:F9" si="0">D8*E8</f>
        <v>30</v>
      </c>
      <c r="G8" s="54">
        <f>F8/Modell!$B$5</f>
        <v>1.5</v>
      </c>
    </row>
    <row r="9" spans="1:7" x14ac:dyDescent="0.25">
      <c r="C9" s="51" t="s">
        <v>121</v>
      </c>
      <c r="D9" s="51">
        <v>5</v>
      </c>
      <c r="E9" s="51">
        <v>1</v>
      </c>
      <c r="F9" s="54">
        <f t="shared" si="0"/>
        <v>5</v>
      </c>
      <c r="G9" s="54">
        <f>F9/Modell!$B$5</f>
        <v>0.25</v>
      </c>
    </row>
    <row r="10" spans="1:7" x14ac:dyDescent="0.25">
      <c r="C10" s="52" t="s">
        <v>151</v>
      </c>
      <c r="D10" s="52"/>
      <c r="E10" s="52"/>
      <c r="F10" s="55">
        <f>SUM(F7:F9)</f>
        <v>851</v>
      </c>
      <c r="G10" s="55">
        <f>SUM(G7:G9)</f>
        <v>42.55</v>
      </c>
    </row>
    <row r="11" spans="1:7" x14ac:dyDescent="0.25">
      <c r="C11" s="53"/>
      <c r="D11" s="53"/>
      <c r="E11" s="53"/>
      <c r="F11" s="56"/>
      <c r="G11" s="56"/>
    </row>
    <row r="12" spans="1:7" x14ac:dyDescent="0.25">
      <c r="C12" s="51" t="s">
        <v>152</v>
      </c>
      <c r="D12" s="51"/>
      <c r="E12" s="51"/>
      <c r="F12" s="54">
        <f>-Modell!B8</f>
        <v>-82.242999999999995</v>
      </c>
      <c r="G12" s="54">
        <f>F12/Modell!B5</f>
        <v>-4.1121499999999997</v>
      </c>
    </row>
    <row r="13" spans="1:7" x14ac:dyDescent="0.25">
      <c r="C13" s="51" t="s">
        <v>69</v>
      </c>
      <c r="D13" s="51"/>
      <c r="E13" s="51"/>
      <c r="F13" s="54">
        <f>Modell!B7</f>
        <v>32.676000000000002</v>
      </c>
      <c r="G13" s="54">
        <f>F13/Modell!B5</f>
        <v>1.6338000000000001</v>
      </c>
    </row>
    <row r="14" spans="1:7" x14ac:dyDescent="0.25">
      <c r="C14" s="53"/>
      <c r="D14" s="53"/>
      <c r="E14" s="53"/>
      <c r="F14" s="56"/>
      <c r="G14" s="56"/>
    </row>
    <row r="15" spans="1:7" x14ac:dyDescent="0.25">
      <c r="C15" s="52" t="s">
        <v>153</v>
      </c>
      <c r="D15" s="52"/>
      <c r="E15" s="52"/>
      <c r="F15" s="55">
        <f>SUM(F10:F13)</f>
        <v>801.43300000000011</v>
      </c>
      <c r="G15" s="55">
        <f>SUM(G10:G13)</f>
        <v>40.071649999999998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7"/>
  <sheetViews>
    <sheetView showGridLines="0" workbookViewId="0">
      <selection activeCell="G12" sqref="G12"/>
    </sheetView>
  </sheetViews>
  <sheetFormatPr baseColWidth="10" defaultRowHeight="16" x14ac:dyDescent="0.2"/>
  <cols>
    <col min="3" max="3" width="33.1640625" customWidth="1"/>
    <col min="4" max="7" width="18.6640625" bestFit="1" customWidth="1"/>
  </cols>
  <sheetData>
    <row r="4" spans="3:6" ht="62" x14ac:dyDescent="0.7">
      <c r="C4" s="28"/>
      <c r="D4" s="28">
        <v>2026</v>
      </c>
      <c r="E4" s="28">
        <v>2027</v>
      </c>
      <c r="F4" s="28">
        <v>2028</v>
      </c>
    </row>
    <row r="5" spans="3:6" ht="62" x14ac:dyDescent="0.7">
      <c r="C5" s="28" t="s">
        <v>145</v>
      </c>
      <c r="D5" s="29">
        <f>Modell!$B$9/Modell!AC28</f>
        <v>4.6774950188772006</v>
      </c>
      <c r="E5" s="29">
        <f>Modell!$B$9/Modell!AD28</f>
        <v>3.6852991057820361</v>
      </c>
      <c r="F5" s="29">
        <f>Modell!$B$9/Modell!AE28</f>
        <v>3.0152447229125747</v>
      </c>
    </row>
    <row r="6" spans="3:6" ht="62" x14ac:dyDescent="0.7">
      <c r="C6" s="28" t="s">
        <v>29</v>
      </c>
      <c r="D6" s="29">
        <f>Modell!$B$9/Modell!AC11</f>
        <v>5.4527089141174274</v>
      </c>
      <c r="E6" s="29">
        <f>Modell!$B$9/Modell!AD11</f>
        <v>4.0721783846629958</v>
      </c>
      <c r="F6" s="29">
        <f>Modell!$B$9/Modell!AE11</f>
        <v>3.1542924767543061</v>
      </c>
    </row>
    <row r="7" spans="3:6" ht="62" x14ac:dyDescent="0.7">
      <c r="C7" s="28" t="s">
        <v>30</v>
      </c>
      <c r="D7" s="29">
        <f>Modell!$B$4/Modell!AC18</f>
        <v>7.4693099236372626</v>
      </c>
      <c r="E7" s="29">
        <f>Modell!$B$4/Modell!AD18</f>
        <v>5.3405747338037584</v>
      </c>
      <c r="F7" s="29">
        <f>Modell!$B$4/Modell!AE18</f>
        <v>4.0228423615144786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3:EO24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S13" sqref="S13"/>
    </sheetView>
  </sheetViews>
  <sheetFormatPr baseColWidth="10" defaultRowHeight="19" x14ac:dyDescent="0.25"/>
  <cols>
    <col min="1" max="1" width="10.83203125" style="2"/>
    <col min="2" max="2" width="21.33203125" style="4" customWidth="1"/>
    <col min="3" max="3" width="31.5" style="2" customWidth="1"/>
    <col min="4" max="18" width="10.83203125" style="2"/>
    <col min="19" max="19" width="14.1640625" style="2" bestFit="1" customWidth="1"/>
    <col min="20" max="20" width="12.1640625" style="2" bestFit="1" customWidth="1"/>
    <col min="21" max="16384" width="10.83203125" style="2"/>
  </cols>
  <sheetData>
    <row r="3" spans="1:145" x14ac:dyDescent="0.25">
      <c r="A3" s="1" t="s">
        <v>37</v>
      </c>
      <c r="D3" s="7" t="s">
        <v>15</v>
      </c>
      <c r="E3" s="7" t="s">
        <v>16</v>
      </c>
      <c r="F3" s="7" t="s">
        <v>17</v>
      </c>
      <c r="G3" s="15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7" t="s">
        <v>23</v>
      </c>
      <c r="M3" s="7" t="s">
        <v>24</v>
      </c>
      <c r="N3" s="7" t="s">
        <v>25</v>
      </c>
      <c r="O3" s="7" t="s">
        <v>26</v>
      </c>
      <c r="P3" s="7" t="s">
        <v>27</v>
      </c>
      <c r="Q3" s="7" t="s">
        <v>28</v>
      </c>
    </row>
    <row r="4" spans="1:145" x14ac:dyDescent="0.25">
      <c r="A4" s="1" t="s">
        <v>116</v>
      </c>
      <c r="C4" s="1" t="s">
        <v>43</v>
      </c>
      <c r="D4" s="11">
        <v>2152.241</v>
      </c>
      <c r="E4" s="11">
        <v>2758</v>
      </c>
      <c r="F4" s="11">
        <v>3146.9279999999999</v>
      </c>
      <c r="G4" s="12">
        <v>3377</v>
      </c>
      <c r="H4" s="11">
        <f>G4*1</f>
        <v>3377</v>
      </c>
      <c r="I4" s="11">
        <f t="shared" ref="I4:Q4" si="0">H4*1</f>
        <v>3377</v>
      </c>
      <c r="J4" s="11">
        <f t="shared" si="0"/>
        <v>3377</v>
      </c>
      <c r="K4" s="11">
        <f t="shared" si="0"/>
        <v>3377</v>
      </c>
      <c r="L4" s="11">
        <f t="shared" si="0"/>
        <v>3377</v>
      </c>
      <c r="M4" s="11">
        <f t="shared" si="0"/>
        <v>3377</v>
      </c>
      <c r="N4" s="11">
        <f t="shared" si="0"/>
        <v>3377</v>
      </c>
      <c r="O4" s="11">
        <f t="shared" si="0"/>
        <v>3377</v>
      </c>
      <c r="P4" s="11">
        <f t="shared" si="0"/>
        <v>3377</v>
      </c>
      <c r="Q4" s="11">
        <f t="shared" si="0"/>
        <v>3377</v>
      </c>
    </row>
    <row r="5" spans="1:145" x14ac:dyDescent="0.25">
      <c r="A5" s="33">
        <f>T23</f>
        <v>19.830224952099009</v>
      </c>
      <c r="C5" s="2" t="s">
        <v>44</v>
      </c>
      <c r="D5" s="13">
        <v>7.4390000000000001</v>
      </c>
      <c r="E5" s="13">
        <v>8.1</v>
      </c>
      <c r="F5" s="13">
        <v>5.9</v>
      </c>
      <c r="G5" s="14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</row>
    <row r="6" spans="1:145" x14ac:dyDescent="0.25">
      <c r="A6" s="22">
        <f>T24</f>
        <v>-0.41675808964414679</v>
      </c>
      <c r="C6" s="2" t="s">
        <v>45</v>
      </c>
      <c r="D6" s="13">
        <v>-1483.8430000000001</v>
      </c>
      <c r="E6" s="13">
        <v>-1993.92</v>
      </c>
      <c r="F6" s="13">
        <v>-2259.5140000000001</v>
      </c>
      <c r="G6" s="14">
        <v>-2400</v>
      </c>
      <c r="H6" s="13">
        <f>H4*-0.71</f>
        <v>-2397.67</v>
      </c>
      <c r="I6" s="13">
        <f t="shared" ref="I6:Q6" si="1">I4*-0.71</f>
        <v>-2397.67</v>
      </c>
      <c r="J6" s="13">
        <f t="shared" si="1"/>
        <v>-2397.67</v>
      </c>
      <c r="K6" s="13">
        <f t="shared" si="1"/>
        <v>-2397.67</v>
      </c>
      <c r="L6" s="13">
        <f t="shared" si="1"/>
        <v>-2397.67</v>
      </c>
      <c r="M6" s="13">
        <f t="shared" si="1"/>
        <v>-2397.67</v>
      </c>
      <c r="N6" s="13">
        <f t="shared" si="1"/>
        <v>-2397.67</v>
      </c>
      <c r="O6" s="13">
        <f t="shared" si="1"/>
        <v>-2397.67</v>
      </c>
      <c r="P6" s="13">
        <f t="shared" si="1"/>
        <v>-2397.67</v>
      </c>
      <c r="Q6" s="13">
        <f t="shared" si="1"/>
        <v>-2397.67</v>
      </c>
    </row>
    <row r="7" spans="1:145" x14ac:dyDescent="0.25">
      <c r="C7" s="2" t="s">
        <v>46</v>
      </c>
      <c r="D7" s="13">
        <f>SUM(D4:D6)</f>
        <v>675.83699999999976</v>
      </c>
      <c r="E7" s="13">
        <f>SUM(E4:E6)</f>
        <v>772.17999999999984</v>
      </c>
      <c r="F7" s="13">
        <f>SUM(F4:F6)</f>
        <v>893.31399999999985</v>
      </c>
      <c r="G7" s="14">
        <f>SUM(G4:G6)</f>
        <v>977</v>
      </c>
      <c r="H7" s="13">
        <f t="shared" ref="H7:Q7" si="2">SUM(H4:H6)</f>
        <v>979.32999999999993</v>
      </c>
      <c r="I7" s="13">
        <f t="shared" si="2"/>
        <v>979.32999999999993</v>
      </c>
      <c r="J7" s="13">
        <f t="shared" si="2"/>
        <v>979.32999999999993</v>
      </c>
      <c r="K7" s="13">
        <f t="shared" si="2"/>
        <v>979.32999999999993</v>
      </c>
      <c r="L7" s="13">
        <f t="shared" si="2"/>
        <v>979.32999999999993</v>
      </c>
      <c r="M7" s="13">
        <f t="shared" si="2"/>
        <v>979.32999999999993</v>
      </c>
      <c r="N7" s="13">
        <f t="shared" si="2"/>
        <v>979.32999999999993</v>
      </c>
      <c r="O7" s="13">
        <f t="shared" si="2"/>
        <v>979.32999999999993</v>
      </c>
      <c r="P7" s="13">
        <f t="shared" si="2"/>
        <v>979.32999999999993</v>
      </c>
      <c r="Q7" s="13">
        <f t="shared" si="2"/>
        <v>979.32999999999993</v>
      </c>
    </row>
    <row r="8" spans="1:145" x14ac:dyDescent="0.25">
      <c r="C8" s="2" t="s">
        <v>47</v>
      </c>
      <c r="D8" s="13">
        <v>-378.166</v>
      </c>
      <c r="E8" s="13">
        <v>-453.904</v>
      </c>
      <c r="F8" s="13">
        <v>-517.53099999999995</v>
      </c>
      <c r="G8" s="14">
        <v>-600</v>
      </c>
      <c r="H8" s="13">
        <v>-560</v>
      </c>
      <c r="I8" s="13">
        <v>-560</v>
      </c>
      <c r="J8" s="13">
        <v>-560</v>
      </c>
      <c r="K8" s="13">
        <v>-560</v>
      </c>
      <c r="L8" s="13">
        <v>-560</v>
      </c>
      <c r="M8" s="13">
        <v>-560</v>
      </c>
      <c r="N8" s="13">
        <v>-560</v>
      </c>
      <c r="O8" s="13">
        <v>-560</v>
      </c>
      <c r="P8" s="13">
        <v>-560</v>
      </c>
      <c r="Q8" s="13">
        <v>-560</v>
      </c>
    </row>
    <row r="9" spans="1:145" x14ac:dyDescent="0.25">
      <c r="C9" s="2" t="s">
        <v>48</v>
      </c>
      <c r="D9" s="13">
        <v>-75.494</v>
      </c>
      <c r="E9" s="13">
        <v>-103.84</v>
      </c>
      <c r="F9" s="13">
        <v>-126</v>
      </c>
      <c r="G9" s="14">
        <v>-150</v>
      </c>
      <c r="H9" s="13">
        <v>-150</v>
      </c>
      <c r="I9" s="13">
        <v>-150</v>
      </c>
      <c r="J9" s="13">
        <v>-150</v>
      </c>
      <c r="K9" s="13">
        <v>-150</v>
      </c>
      <c r="L9" s="13">
        <v>-150</v>
      </c>
      <c r="M9" s="13">
        <v>-150</v>
      </c>
      <c r="N9" s="13">
        <v>-150</v>
      </c>
      <c r="O9" s="13">
        <v>-150</v>
      </c>
      <c r="P9" s="13">
        <v>-150</v>
      </c>
      <c r="Q9" s="13">
        <v>-150</v>
      </c>
    </row>
    <row r="10" spans="1:145" x14ac:dyDescent="0.25">
      <c r="C10" s="2" t="s">
        <v>49</v>
      </c>
      <c r="D10" s="13">
        <v>-145.47300000000001</v>
      </c>
      <c r="E10" s="13">
        <v>-152</v>
      </c>
      <c r="F10" s="13">
        <v>-183.9</v>
      </c>
      <c r="G10" s="14">
        <v>-200</v>
      </c>
      <c r="H10" s="13">
        <v>-200</v>
      </c>
      <c r="I10" s="13">
        <v>-200</v>
      </c>
      <c r="J10" s="13">
        <v>-200</v>
      </c>
      <c r="K10" s="13">
        <v>-200</v>
      </c>
      <c r="L10" s="13">
        <v>-200</v>
      </c>
      <c r="M10" s="13">
        <v>-200</v>
      </c>
      <c r="N10" s="13">
        <v>-200</v>
      </c>
      <c r="O10" s="13">
        <v>-200</v>
      </c>
      <c r="P10" s="13">
        <v>-200</v>
      </c>
      <c r="Q10" s="13">
        <v>-200</v>
      </c>
    </row>
    <row r="11" spans="1:145" x14ac:dyDescent="0.25">
      <c r="C11" s="1" t="s">
        <v>50</v>
      </c>
      <c r="D11" s="11">
        <f>SUM(D7:D10)</f>
        <v>76.703999999999752</v>
      </c>
      <c r="E11" s="11">
        <f>SUM(E7:E10)</f>
        <v>62.435999999999837</v>
      </c>
      <c r="F11" s="11">
        <f>SUM(F7:F10)</f>
        <v>65.882999999999896</v>
      </c>
      <c r="G11" s="12">
        <f>SUM(G7:G10)</f>
        <v>27</v>
      </c>
      <c r="H11" s="11">
        <f t="shared" ref="H11:Q11" si="3">SUM(H7:H10)</f>
        <v>69.329999999999927</v>
      </c>
      <c r="I11" s="11">
        <f t="shared" si="3"/>
        <v>69.329999999999927</v>
      </c>
      <c r="J11" s="11">
        <f t="shared" si="3"/>
        <v>69.329999999999927</v>
      </c>
      <c r="K11" s="11">
        <f t="shared" si="3"/>
        <v>69.329999999999927</v>
      </c>
      <c r="L11" s="11">
        <f t="shared" si="3"/>
        <v>69.329999999999927</v>
      </c>
      <c r="M11" s="11">
        <f t="shared" si="3"/>
        <v>69.329999999999927</v>
      </c>
      <c r="N11" s="11">
        <f t="shared" si="3"/>
        <v>69.329999999999927</v>
      </c>
      <c r="O11" s="11">
        <f t="shared" si="3"/>
        <v>69.329999999999927</v>
      </c>
      <c r="P11" s="11">
        <f t="shared" si="3"/>
        <v>69.329999999999927</v>
      </c>
      <c r="Q11" s="11">
        <f t="shared" si="3"/>
        <v>69.329999999999927</v>
      </c>
    </row>
    <row r="12" spans="1:145" x14ac:dyDescent="0.25">
      <c r="C12" s="2" t="s">
        <v>51</v>
      </c>
      <c r="D12" s="13">
        <v>0</v>
      </c>
      <c r="E12" s="13">
        <v>0</v>
      </c>
      <c r="F12" s="13">
        <v>0</v>
      </c>
      <c r="G12" s="14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</row>
    <row r="13" spans="1:145" x14ac:dyDescent="0.25">
      <c r="C13" s="2" t="s">
        <v>52</v>
      </c>
      <c r="D13" s="13">
        <v>-7</v>
      </c>
      <c r="E13" s="13">
        <v>-12.4</v>
      </c>
      <c r="F13" s="13">
        <v>-19</v>
      </c>
      <c r="G13" s="14">
        <v>-19</v>
      </c>
      <c r="H13" s="13">
        <v>-20</v>
      </c>
      <c r="I13" s="13">
        <v>-20</v>
      </c>
      <c r="J13" s="13">
        <v>-20</v>
      </c>
      <c r="K13" s="13">
        <v>-20</v>
      </c>
      <c r="L13" s="13">
        <v>-20</v>
      </c>
      <c r="M13" s="13">
        <v>-20</v>
      </c>
      <c r="N13" s="13">
        <v>-20</v>
      </c>
      <c r="O13" s="13">
        <v>-20</v>
      </c>
      <c r="P13" s="13">
        <v>-20</v>
      </c>
      <c r="Q13" s="13">
        <v>-20</v>
      </c>
    </row>
    <row r="14" spans="1:145" x14ac:dyDescent="0.25">
      <c r="C14" s="2" t="s">
        <v>53</v>
      </c>
      <c r="D14" s="13">
        <f>SUM(D11:D13)</f>
        <v>69.703999999999752</v>
      </c>
      <c r="E14" s="13">
        <f>SUM(E11:E13)</f>
        <v>50.035999999999838</v>
      </c>
      <c r="F14" s="13">
        <f>SUM(F11:F13)</f>
        <v>46.882999999999896</v>
      </c>
      <c r="G14" s="14">
        <f>SUM(G11:G13)</f>
        <v>8</v>
      </c>
      <c r="H14" s="13">
        <f t="shared" ref="H14:Q14" si="4">SUM(H11:H13)</f>
        <v>49.329999999999927</v>
      </c>
      <c r="I14" s="13">
        <f t="shared" si="4"/>
        <v>49.329999999999927</v>
      </c>
      <c r="J14" s="13">
        <f t="shared" si="4"/>
        <v>49.329999999999927</v>
      </c>
      <c r="K14" s="13">
        <f t="shared" si="4"/>
        <v>49.329999999999927</v>
      </c>
      <c r="L14" s="13">
        <f t="shared" si="4"/>
        <v>49.329999999999927</v>
      </c>
      <c r="M14" s="13">
        <f t="shared" si="4"/>
        <v>49.329999999999927</v>
      </c>
      <c r="N14" s="13">
        <f t="shared" si="4"/>
        <v>49.329999999999927</v>
      </c>
      <c r="O14" s="13">
        <f t="shared" si="4"/>
        <v>49.329999999999927</v>
      </c>
      <c r="P14" s="13">
        <f t="shared" si="4"/>
        <v>49.329999999999927</v>
      </c>
      <c r="Q14" s="13">
        <f t="shared" si="4"/>
        <v>49.329999999999927</v>
      </c>
    </row>
    <row r="15" spans="1:145" x14ac:dyDescent="0.25">
      <c r="C15" s="2" t="s">
        <v>54</v>
      </c>
      <c r="D15" s="13">
        <v>-1.58</v>
      </c>
      <c r="E15" s="13">
        <v>7.4</v>
      </c>
      <c r="F15" s="13">
        <v>14.7</v>
      </c>
      <c r="G15" s="14">
        <v>6</v>
      </c>
      <c r="H15" s="13">
        <f>H14*-0.2</f>
        <v>-9.8659999999999854</v>
      </c>
      <c r="I15" s="13">
        <f t="shared" ref="I15:Q15" si="5">I14*-0.2</f>
        <v>-9.8659999999999854</v>
      </c>
      <c r="J15" s="13">
        <f t="shared" si="5"/>
        <v>-9.8659999999999854</v>
      </c>
      <c r="K15" s="13">
        <f t="shared" si="5"/>
        <v>-9.8659999999999854</v>
      </c>
      <c r="L15" s="13">
        <f t="shared" si="5"/>
        <v>-9.8659999999999854</v>
      </c>
      <c r="M15" s="13">
        <f t="shared" si="5"/>
        <v>-9.8659999999999854</v>
      </c>
      <c r="N15" s="13">
        <f t="shared" si="5"/>
        <v>-9.8659999999999854</v>
      </c>
      <c r="O15" s="13">
        <f t="shared" si="5"/>
        <v>-9.8659999999999854</v>
      </c>
      <c r="P15" s="13">
        <f t="shared" si="5"/>
        <v>-9.8659999999999854</v>
      </c>
      <c r="Q15" s="13">
        <f t="shared" si="5"/>
        <v>-9.8659999999999854</v>
      </c>
    </row>
    <row r="16" spans="1:145" x14ac:dyDescent="0.25">
      <c r="C16" s="1" t="s">
        <v>55</v>
      </c>
      <c r="D16" s="11">
        <f>SUM(D14:D15)</f>
        <v>68.123999999999754</v>
      </c>
      <c r="E16" s="11">
        <f>SUM(E14:E15)</f>
        <v>57.435999999999837</v>
      </c>
      <c r="F16" s="11">
        <f>SUM(F14:F15)</f>
        <v>61.582999999999899</v>
      </c>
      <c r="G16" s="12">
        <f>SUM(G14:G15)</f>
        <v>14</v>
      </c>
      <c r="H16" s="11">
        <f t="shared" ref="H16:Q16" si="6">SUM(H14:H15)</f>
        <v>39.463999999999942</v>
      </c>
      <c r="I16" s="11">
        <f t="shared" si="6"/>
        <v>39.463999999999942</v>
      </c>
      <c r="J16" s="11">
        <f t="shared" si="6"/>
        <v>39.463999999999942</v>
      </c>
      <c r="K16" s="11">
        <f t="shared" si="6"/>
        <v>39.463999999999942</v>
      </c>
      <c r="L16" s="11">
        <f t="shared" si="6"/>
        <v>39.463999999999942</v>
      </c>
      <c r="M16" s="11">
        <f t="shared" si="6"/>
        <v>39.463999999999942</v>
      </c>
      <c r="N16" s="11">
        <f t="shared" si="6"/>
        <v>39.463999999999942</v>
      </c>
      <c r="O16" s="11">
        <f t="shared" si="6"/>
        <v>39.463999999999942</v>
      </c>
      <c r="P16" s="11">
        <f t="shared" si="6"/>
        <v>39.463999999999942</v>
      </c>
      <c r="Q16" s="11">
        <f t="shared" si="6"/>
        <v>39.463999999999942</v>
      </c>
      <c r="R16" s="11">
        <f>Q16*(1+$T$20)</f>
        <v>39.069359999999939</v>
      </c>
      <c r="S16" s="11">
        <f t="shared" ref="S16:CD16" si="7">R16*(1+$T$20)</f>
        <v>38.67866639999994</v>
      </c>
      <c r="T16" s="11">
        <f t="shared" si="7"/>
        <v>38.291879735999942</v>
      </c>
      <c r="U16" s="11">
        <f t="shared" si="7"/>
        <v>37.908960938639943</v>
      </c>
      <c r="V16" s="11">
        <f t="shared" si="7"/>
        <v>37.529871329253545</v>
      </c>
      <c r="W16" s="11">
        <f t="shared" si="7"/>
        <v>37.154572615961008</v>
      </c>
      <c r="X16" s="11">
        <f t="shared" si="7"/>
        <v>36.783026889801398</v>
      </c>
      <c r="Y16" s="11">
        <f t="shared" si="7"/>
        <v>36.415196620903387</v>
      </c>
      <c r="Z16" s="11">
        <f t="shared" si="7"/>
        <v>36.051044654694351</v>
      </c>
      <c r="AA16" s="11">
        <f t="shared" si="7"/>
        <v>35.690534208147405</v>
      </c>
      <c r="AB16" s="11">
        <f t="shared" si="7"/>
        <v>35.333628866065929</v>
      </c>
      <c r="AC16" s="11">
        <f t="shared" si="7"/>
        <v>34.980292577405272</v>
      </c>
      <c r="AD16" s="11">
        <f t="shared" si="7"/>
        <v>34.630489651631223</v>
      </c>
      <c r="AE16" s="11">
        <f t="shared" si="7"/>
        <v>34.284184755114907</v>
      </c>
      <c r="AF16" s="11">
        <f t="shared" si="7"/>
        <v>33.941342907563758</v>
      </c>
      <c r="AG16" s="11">
        <f t="shared" si="7"/>
        <v>33.601929478488117</v>
      </c>
      <c r="AH16" s="11">
        <f t="shared" si="7"/>
        <v>33.265910183703234</v>
      </c>
      <c r="AI16" s="11">
        <f t="shared" si="7"/>
        <v>32.933251081866203</v>
      </c>
      <c r="AJ16" s="11">
        <f t="shared" si="7"/>
        <v>32.603918571047544</v>
      </c>
      <c r="AK16" s="11">
        <f t="shared" si="7"/>
        <v>32.277879385337066</v>
      </c>
      <c r="AL16" s="11">
        <f t="shared" si="7"/>
        <v>31.955100591483696</v>
      </c>
      <c r="AM16" s="11">
        <f t="shared" si="7"/>
        <v>31.635549585568857</v>
      </c>
      <c r="AN16" s="11">
        <f t="shared" si="7"/>
        <v>31.319194089713168</v>
      </c>
      <c r="AO16" s="11">
        <f t="shared" si="7"/>
        <v>31.006002148816037</v>
      </c>
      <c r="AP16" s="11">
        <f t="shared" si="7"/>
        <v>30.695942127327875</v>
      </c>
      <c r="AQ16" s="11">
        <f t="shared" si="7"/>
        <v>30.388982706054595</v>
      </c>
      <c r="AR16" s="11">
        <f t="shared" si="7"/>
        <v>30.085092878994047</v>
      </c>
      <c r="AS16" s="11">
        <f t="shared" si="7"/>
        <v>29.784241950204105</v>
      </c>
      <c r="AT16" s="11">
        <f t="shared" si="7"/>
        <v>29.486399530702062</v>
      </c>
      <c r="AU16" s="11">
        <f t="shared" si="7"/>
        <v>29.19153553539504</v>
      </c>
      <c r="AV16" s="11">
        <f t="shared" si="7"/>
        <v>28.89962018004109</v>
      </c>
      <c r="AW16" s="11">
        <f t="shared" si="7"/>
        <v>28.610623978240678</v>
      </c>
      <c r="AX16" s="11">
        <f t="shared" si="7"/>
        <v>28.324517738458272</v>
      </c>
      <c r="AY16" s="11">
        <f t="shared" si="7"/>
        <v>28.04127256107369</v>
      </c>
      <c r="AZ16" s="11">
        <f t="shared" si="7"/>
        <v>27.760859835462952</v>
      </c>
      <c r="BA16" s="11">
        <f t="shared" si="7"/>
        <v>27.483251237108323</v>
      </c>
      <c r="BB16" s="11">
        <f t="shared" si="7"/>
        <v>27.208418724737239</v>
      </c>
      <c r="BC16" s="11">
        <f t="shared" si="7"/>
        <v>26.936334537489866</v>
      </c>
      <c r="BD16" s="11">
        <f t="shared" si="7"/>
        <v>26.666971192114968</v>
      </c>
      <c r="BE16" s="11">
        <f t="shared" si="7"/>
        <v>26.400301480193818</v>
      </c>
      <c r="BF16" s="11">
        <f t="shared" si="7"/>
        <v>26.136298465391878</v>
      </c>
      <c r="BG16" s="11">
        <f t="shared" si="7"/>
        <v>25.87493548073796</v>
      </c>
      <c r="BH16" s="11">
        <f t="shared" si="7"/>
        <v>25.616186125930579</v>
      </c>
      <c r="BI16" s="11">
        <f t="shared" si="7"/>
        <v>25.360024264671274</v>
      </c>
      <c r="BJ16" s="11">
        <f t="shared" si="7"/>
        <v>25.106424022024562</v>
      </c>
      <c r="BK16" s="11">
        <f t="shared" si="7"/>
        <v>24.855359781804317</v>
      </c>
      <c r="BL16" s="11">
        <f t="shared" si="7"/>
        <v>24.606806183986272</v>
      </c>
      <c r="BM16" s="11">
        <f t="shared" si="7"/>
        <v>24.360738122146408</v>
      </c>
      <c r="BN16" s="11">
        <f t="shared" si="7"/>
        <v>24.117130740924942</v>
      </c>
      <c r="BO16" s="11">
        <f t="shared" si="7"/>
        <v>23.875959433515693</v>
      </c>
      <c r="BP16" s="11">
        <f t="shared" si="7"/>
        <v>23.637199839180536</v>
      </c>
      <c r="BQ16" s="11">
        <f t="shared" si="7"/>
        <v>23.400827840788729</v>
      </c>
      <c r="BR16" s="11">
        <f t="shared" si="7"/>
        <v>23.166819562380841</v>
      </c>
      <c r="BS16" s="11">
        <f t="shared" si="7"/>
        <v>22.935151366757033</v>
      </c>
      <c r="BT16" s="11">
        <f t="shared" si="7"/>
        <v>22.705799853089463</v>
      </c>
      <c r="BU16" s="11">
        <f t="shared" si="7"/>
        <v>22.478741854558567</v>
      </c>
      <c r="BV16" s="11">
        <f t="shared" si="7"/>
        <v>22.253954436012982</v>
      </c>
      <c r="BW16" s="11">
        <f t="shared" si="7"/>
        <v>22.031414891652851</v>
      </c>
      <c r="BX16" s="11">
        <f t="shared" si="7"/>
        <v>21.811100742736322</v>
      </c>
      <c r="BY16" s="11">
        <f t="shared" si="7"/>
        <v>21.592989735308958</v>
      </c>
      <c r="BZ16" s="11">
        <f t="shared" si="7"/>
        <v>21.377059837955869</v>
      </c>
      <c r="CA16" s="11">
        <f t="shared" si="7"/>
        <v>21.163289239576311</v>
      </c>
      <c r="CB16" s="11">
        <f t="shared" si="7"/>
        <v>20.951656347180549</v>
      </c>
      <c r="CC16" s="11">
        <f t="shared" si="7"/>
        <v>20.742139783708744</v>
      </c>
      <c r="CD16" s="11">
        <f t="shared" si="7"/>
        <v>20.534718385871656</v>
      </c>
      <c r="CE16" s="11">
        <f t="shared" ref="CE16:EO16" si="8">CD16*(1+$T$20)</f>
        <v>20.32937120201294</v>
      </c>
      <c r="CF16" s="11">
        <f t="shared" si="8"/>
        <v>20.126077489992809</v>
      </c>
      <c r="CG16" s="11">
        <f t="shared" si="8"/>
        <v>19.924816715092881</v>
      </c>
      <c r="CH16" s="11">
        <f t="shared" si="8"/>
        <v>19.72556854794195</v>
      </c>
      <c r="CI16" s="11">
        <f t="shared" si="8"/>
        <v>19.528312862462531</v>
      </c>
      <c r="CJ16" s="11">
        <f t="shared" si="8"/>
        <v>19.333029733837908</v>
      </c>
      <c r="CK16" s="11">
        <f t="shared" si="8"/>
        <v>19.13969943649953</v>
      </c>
      <c r="CL16" s="11">
        <f t="shared" si="8"/>
        <v>18.948302442134533</v>
      </c>
      <c r="CM16" s="11">
        <f t="shared" si="8"/>
        <v>18.758819417713188</v>
      </c>
      <c r="CN16" s="11">
        <f t="shared" si="8"/>
        <v>18.571231223536056</v>
      </c>
      <c r="CO16" s="11">
        <f t="shared" si="8"/>
        <v>18.385518911300696</v>
      </c>
      <c r="CP16" s="11">
        <f t="shared" si="8"/>
        <v>18.201663722187689</v>
      </c>
      <c r="CQ16" s="11">
        <f t="shared" si="8"/>
        <v>18.019647084965811</v>
      </c>
      <c r="CR16" s="11">
        <f t="shared" si="8"/>
        <v>17.839450614116153</v>
      </c>
      <c r="CS16" s="11">
        <f t="shared" si="8"/>
        <v>17.661056107974993</v>
      </c>
      <c r="CT16" s="11">
        <f t="shared" si="8"/>
        <v>17.484445546895241</v>
      </c>
      <c r="CU16" s="11">
        <f t="shared" si="8"/>
        <v>17.309601091426288</v>
      </c>
      <c r="CV16" s="11">
        <f t="shared" si="8"/>
        <v>17.136505080512023</v>
      </c>
      <c r="CW16" s="11">
        <f t="shared" si="8"/>
        <v>16.965140029706902</v>
      </c>
      <c r="CX16" s="11">
        <f t="shared" si="8"/>
        <v>16.795488629409832</v>
      </c>
      <c r="CY16" s="11">
        <f t="shared" si="8"/>
        <v>16.627533743115734</v>
      </c>
      <c r="CZ16" s="11">
        <f t="shared" si="8"/>
        <v>16.461258405684575</v>
      </c>
      <c r="DA16" s="11">
        <f t="shared" si="8"/>
        <v>16.296645821627727</v>
      </c>
      <c r="DB16" s="11">
        <f t="shared" si="8"/>
        <v>16.133679363411449</v>
      </c>
      <c r="DC16" s="11">
        <f t="shared" si="8"/>
        <v>15.972342569777334</v>
      </c>
      <c r="DD16" s="11">
        <f t="shared" si="8"/>
        <v>15.81261914407956</v>
      </c>
      <c r="DE16" s="11">
        <f t="shared" si="8"/>
        <v>15.654492952638766</v>
      </c>
      <c r="DF16" s="11">
        <f t="shared" si="8"/>
        <v>15.497948023112377</v>
      </c>
      <c r="DG16" s="11">
        <f t="shared" si="8"/>
        <v>15.342968542881254</v>
      </c>
      <c r="DH16" s="11">
        <f t="shared" si="8"/>
        <v>15.18953885745244</v>
      </c>
      <c r="DI16" s="11">
        <f t="shared" si="8"/>
        <v>15.037643468877915</v>
      </c>
      <c r="DJ16" s="11">
        <f t="shared" si="8"/>
        <v>14.887267034189136</v>
      </c>
      <c r="DK16" s="11">
        <f t="shared" si="8"/>
        <v>14.738394363847245</v>
      </c>
      <c r="DL16" s="11">
        <f t="shared" si="8"/>
        <v>14.591010420208773</v>
      </c>
      <c r="DM16" s="11">
        <f t="shared" si="8"/>
        <v>14.445100316006686</v>
      </c>
      <c r="DN16" s="11">
        <f t="shared" si="8"/>
        <v>14.300649312846618</v>
      </c>
      <c r="DO16" s="11">
        <f t="shared" si="8"/>
        <v>14.157642819718152</v>
      </c>
      <c r="DP16" s="11">
        <f t="shared" si="8"/>
        <v>14.016066391520971</v>
      </c>
      <c r="DQ16" s="11">
        <f t="shared" si="8"/>
        <v>13.87590572760576</v>
      </c>
      <c r="DR16" s="11">
        <f t="shared" si="8"/>
        <v>13.737146670329702</v>
      </c>
      <c r="DS16" s="11">
        <f t="shared" si="8"/>
        <v>13.599775203626406</v>
      </c>
      <c r="DT16" s="11">
        <f t="shared" si="8"/>
        <v>13.463777451590142</v>
      </c>
      <c r="DU16" s="11">
        <f t="shared" si="8"/>
        <v>13.32913967707424</v>
      </c>
      <c r="DV16" s="11">
        <f t="shared" si="8"/>
        <v>13.195848280303498</v>
      </c>
      <c r="DW16" s="11">
        <f t="shared" si="8"/>
        <v>13.063889797500462</v>
      </c>
      <c r="DX16" s="11">
        <f t="shared" si="8"/>
        <v>12.933250899525458</v>
      </c>
      <c r="DY16" s="11">
        <f t="shared" si="8"/>
        <v>12.803918390530203</v>
      </c>
      <c r="DZ16" s="11">
        <f t="shared" si="8"/>
        <v>12.6758792066249</v>
      </c>
      <c r="EA16" s="11">
        <f t="shared" si="8"/>
        <v>12.549120414558651</v>
      </c>
      <c r="EB16" s="11">
        <f t="shared" si="8"/>
        <v>12.423629210413065</v>
      </c>
      <c r="EC16" s="11">
        <f t="shared" si="8"/>
        <v>12.299392918308934</v>
      </c>
      <c r="ED16" s="11">
        <f t="shared" si="8"/>
        <v>12.176398989125845</v>
      </c>
      <c r="EE16" s="11">
        <f t="shared" si="8"/>
        <v>12.054634999234587</v>
      </c>
      <c r="EF16" s="11">
        <f t="shared" si="8"/>
        <v>11.934088649242241</v>
      </c>
      <c r="EG16" s="11">
        <f t="shared" si="8"/>
        <v>11.814747762749819</v>
      </c>
      <c r="EH16" s="11">
        <f t="shared" si="8"/>
        <v>11.696600285122321</v>
      </c>
      <c r="EI16" s="11">
        <f t="shared" si="8"/>
        <v>11.579634282271098</v>
      </c>
      <c r="EJ16" s="11">
        <f t="shared" si="8"/>
        <v>11.463837939448387</v>
      </c>
      <c r="EK16" s="11">
        <f t="shared" si="8"/>
        <v>11.349199560053904</v>
      </c>
      <c r="EL16" s="11">
        <f t="shared" si="8"/>
        <v>11.235707564453365</v>
      </c>
      <c r="EM16" s="11">
        <f t="shared" si="8"/>
        <v>11.123350488808832</v>
      </c>
      <c r="EN16" s="11">
        <f t="shared" si="8"/>
        <v>11.012116983920743</v>
      </c>
      <c r="EO16" s="11">
        <f t="shared" si="8"/>
        <v>10.901995814081536</v>
      </c>
    </row>
    <row r="17" spans="3:20" x14ac:dyDescent="0.25">
      <c r="C17" s="2" t="s">
        <v>56</v>
      </c>
      <c r="D17" s="24">
        <v>20</v>
      </c>
      <c r="E17" s="24">
        <v>20</v>
      </c>
      <c r="F17" s="24">
        <v>20</v>
      </c>
      <c r="G17" s="5">
        <v>20</v>
      </c>
      <c r="H17" s="24">
        <v>20</v>
      </c>
      <c r="I17" s="24">
        <v>20</v>
      </c>
      <c r="J17" s="24">
        <v>20</v>
      </c>
      <c r="K17" s="24">
        <v>20</v>
      </c>
      <c r="L17" s="24">
        <v>20</v>
      </c>
      <c r="M17" s="24">
        <v>20</v>
      </c>
      <c r="N17" s="24">
        <v>20</v>
      </c>
      <c r="O17" s="24">
        <v>20</v>
      </c>
      <c r="P17" s="24">
        <v>20</v>
      </c>
      <c r="Q17" s="24">
        <v>20</v>
      </c>
    </row>
    <row r="18" spans="3:20" x14ac:dyDescent="0.25">
      <c r="C18" s="2" t="s">
        <v>57</v>
      </c>
      <c r="D18" s="24">
        <f>D16/D17</f>
        <v>3.4061999999999877</v>
      </c>
      <c r="E18" s="24">
        <f t="shared" ref="E18" si="9">E16/E17</f>
        <v>2.8717999999999919</v>
      </c>
      <c r="F18" s="24">
        <f>F16/F17</f>
        <v>3.0791499999999949</v>
      </c>
      <c r="G18" s="5">
        <f>G16/G17</f>
        <v>0.7</v>
      </c>
      <c r="H18" s="24">
        <f t="shared" ref="H18:Q18" si="10">H16/H17</f>
        <v>1.9731999999999972</v>
      </c>
      <c r="I18" s="24">
        <f t="shared" si="10"/>
        <v>1.9731999999999972</v>
      </c>
      <c r="J18" s="24">
        <f t="shared" si="10"/>
        <v>1.9731999999999972</v>
      </c>
      <c r="K18" s="24">
        <f t="shared" si="10"/>
        <v>1.9731999999999972</v>
      </c>
      <c r="L18" s="24">
        <f t="shared" si="10"/>
        <v>1.9731999999999972</v>
      </c>
      <c r="M18" s="24">
        <f t="shared" si="10"/>
        <v>1.9731999999999972</v>
      </c>
      <c r="N18" s="24">
        <f t="shared" si="10"/>
        <v>1.9731999999999972</v>
      </c>
      <c r="O18" s="24">
        <f t="shared" si="10"/>
        <v>1.9731999999999972</v>
      </c>
      <c r="P18" s="24">
        <f t="shared" si="10"/>
        <v>1.9731999999999972</v>
      </c>
      <c r="Q18" s="24">
        <f t="shared" si="10"/>
        <v>1.9731999999999972</v>
      </c>
    </row>
    <row r="19" spans="3:20" x14ac:dyDescent="0.25">
      <c r="D19" s="13"/>
      <c r="E19" s="13"/>
      <c r="F19" s="13"/>
      <c r="G19" s="4"/>
      <c r="S19" s="2" t="s">
        <v>108</v>
      </c>
      <c r="T19" s="31">
        <v>0.09</v>
      </c>
    </row>
    <row r="20" spans="3:20" x14ac:dyDescent="0.25">
      <c r="C20" s="1" t="s">
        <v>35</v>
      </c>
      <c r="D20" s="17"/>
      <c r="E20" s="22">
        <f t="shared" ref="E20" si="11">(E4-D4)/D4</f>
        <v>0.28145500434198589</v>
      </c>
      <c r="F20" s="22">
        <f>(F4-E4)/E4</f>
        <v>0.14101812907904274</v>
      </c>
      <c r="G20" s="26">
        <f t="shared" ref="G20:Q20" si="12">(G4-F4)/F4</f>
        <v>7.311002984497901E-2</v>
      </c>
      <c r="H20" s="22">
        <f t="shared" si="12"/>
        <v>0</v>
      </c>
      <c r="I20" s="22">
        <f t="shared" si="12"/>
        <v>0</v>
      </c>
      <c r="J20" s="22">
        <f t="shared" si="12"/>
        <v>0</v>
      </c>
      <c r="K20" s="22">
        <f t="shared" si="12"/>
        <v>0</v>
      </c>
      <c r="L20" s="22">
        <f t="shared" si="12"/>
        <v>0</v>
      </c>
      <c r="M20" s="22">
        <f t="shared" si="12"/>
        <v>0</v>
      </c>
      <c r="N20" s="22">
        <f t="shared" si="12"/>
        <v>0</v>
      </c>
      <c r="O20" s="22">
        <f t="shared" si="12"/>
        <v>0</v>
      </c>
      <c r="P20" s="22">
        <f t="shared" si="12"/>
        <v>0</v>
      </c>
      <c r="Q20" s="22">
        <f t="shared" si="12"/>
        <v>0</v>
      </c>
      <c r="S20" s="2" t="s">
        <v>109</v>
      </c>
      <c r="T20" s="31">
        <v>-0.01</v>
      </c>
    </row>
    <row r="21" spans="3:20" x14ac:dyDescent="0.25">
      <c r="C21" s="2" t="s">
        <v>38</v>
      </c>
      <c r="D21" s="17">
        <f t="shared" ref="D21:E21" si="13">D7/D4</f>
        <v>0.31401548432540771</v>
      </c>
      <c r="E21" s="17">
        <f t="shared" si="13"/>
        <v>0.27997824510514863</v>
      </c>
      <c r="F21" s="17">
        <f>F7/F4</f>
        <v>0.28386858549035754</v>
      </c>
      <c r="G21" s="18">
        <f t="shared" ref="G21:Q21" si="14">G7/G4</f>
        <v>0.28931003849570625</v>
      </c>
      <c r="H21" s="17">
        <f t="shared" si="14"/>
        <v>0.28999999999999998</v>
      </c>
      <c r="I21" s="17">
        <f t="shared" si="14"/>
        <v>0.28999999999999998</v>
      </c>
      <c r="J21" s="17">
        <f t="shared" si="14"/>
        <v>0.28999999999999998</v>
      </c>
      <c r="K21" s="17">
        <f t="shared" si="14"/>
        <v>0.28999999999999998</v>
      </c>
      <c r="L21" s="17">
        <f t="shared" si="14"/>
        <v>0.28999999999999998</v>
      </c>
      <c r="M21" s="17">
        <f t="shared" si="14"/>
        <v>0.28999999999999998</v>
      </c>
      <c r="N21" s="17">
        <f t="shared" si="14"/>
        <v>0.28999999999999998</v>
      </c>
      <c r="O21" s="17">
        <f t="shared" si="14"/>
        <v>0.28999999999999998</v>
      </c>
      <c r="P21" s="17">
        <f t="shared" si="14"/>
        <v>0.28999999999999998</v>
      </c>
      <c r="Q21" s="17">
        <f t="shared" si="14"/>
        <v>0.28999999999999998</v>
      </c>
      <c r="S21" s="30" t="s">
        <v>110</v>
      </c>
      <c r="T21" s="32">
        <f>NPV(T19,G16:EO16)</f>
        <v>396.6044990419802</v>
      </c>
    </row>
    <row r="22" spans="3:20" x14ac:dyDescent="0.25">
      <c r="C22" s="2" t="s">
        <v>36</v>
      </c>
      <c r="D22" s="17">
        <f t="shared" ref="D22:E22" si="15">D11/D4</f>
        <v>3.5639131491315215E-2</v>
      </c>
      <c r="E22" s="17">
        <f t="shared" si="15"/>
        <v>2.263814358230596E-2</v>
      </c>
      <c r="F22" s="17">
        <f>F11/F4</f>
        <v>2.0935655343878187E-2</v>
      </c>
      <c r="G22" s="18">
        <f t="shared" ref="G22:Q22" si="16">G11/G4</f>
        <v>7.9952620669233049E-3</v>
      </c>
      <c r="H22" s="17">
        <f t="shared" si="16"/>
        <v>2.0530056262955263E-2</v>
      </c>
      <c r="I22" s="17">
        <f t="shared" si="16"/>
        <v>2.0530056262955263E-2</v>
      </c>
      <c r="J22" s="17">
        <f t="shared" si="16"/>
        <v>2.0530056262955263E-2</v>
      </c>
      <c r="K22" s="17">
        <f t="shared" si="16"/>
        <v>2.0530056262955263E-2</v>
      </c>
      <c r="L22" s="17">
        <f t="shared" si="16"/>
        <v>2.0530056262955263E-2</v>
      </c>
      <c r="M22" s="17">
        <f t="shared" si="16"/>
        <v>2.0530056262955263E-2</v>
      </c>
      <c r="N22" s="17">
        <f t="shared" si="16"/>
        <v>2.0530056262955263E-2</v>
      </c>
      <c r="O22" s="17">
        <f t="shared" si="16"/>
        <v>2.0530056262955263E-2</v>
      </c>
      <c r="P22" s="17">
        <f t="shared" si="16"/>
        <v>2.0530056262955263E-2</v>
      </c>
      <c r="Q22" s="17">
        <f t="shared" si="16"/>
        <v>2.0530056262955263E-2</v>
      </c>
      <c r="S22" s="2" t="s">
        <v>2</v>
      </c>
      <c r="T22" s="8">
        <v>20</v>
      </c>
    </row>
    <row r="23" spans="3:20" x14ac:dyDescent="0.25">
      <c r="S23" s="1" t="s">
        <v>111</v>
      </c>
      <c r="T23" s="33">
        <f>T21/T22</f>
        <v>19.830224952099009</v>
      </c>
    </row>
    <row r="24" spans="3:20" x14ac:dyDescent="0.25">
      <c r="S24" s="1" t="s">
        <v>112</v>
      </c>
      <c r="T24" s="22">
        <f>(T23-Modell!B4)/Modell!B4</f>
        <v>-0.41675808964414679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(Student) Hodt, August</cp:lastModifiedBy>
  <dcterms:created xsi:type="dcterms:W3CDTF">2025-02-09T20:32:11Z</dcterms:created>
  <dcterms:modified xsi:type="dcterms:W3CDTF">2026-06-30T06:56:34Z</dcterms:modified>
</cp:coreProperties>
</file>