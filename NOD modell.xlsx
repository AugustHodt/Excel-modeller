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hodt/Desktop/Aksjemodellering/"/>
    </mc:Choice>
  </mc:AlternateContent>
  <xr:revisionPtr revIDLastSave="0" documentId="13_ncr:1_{9B1621CB-205B-B94E-9760-1014E3D588A3}" xr6:coauthVersionLast="47" xr6:coauthVersionMax="47" xr10:uidLastSave="{00000000-0000-0000-0000-000000000000}"/>
  <bookViews>
    <workbookView xWindow="25200" yWindow="500" windowWidth="26000" windowHeight="26700" activeTab="3" xr2:uid="{6F97247D-DFFC-694E-BCA1-1702AEAD64F0}"/>
  </bookViews>
  <sheets>
    <sheet name="Info" sheetId="1" r:id="rId1"/>
    <sheet name="Modell" sheetId="2" r:id="rId2"/>
    <sheet name="Segmenter" sheetId="4" r:id="rId3"/>
    <sheet name="Nøkkeltall" sheetId="3" r:id="rId4"/>
    <sheet name="Kunder" sheetId="6" r:id="rId5"/>
    <sheet name="Nedsideberegning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1" i="2" l="1"/>
  <c r="U91" i="2"/>
  <c r="U73" i="2"/>
  <c r="U64" i="2"/>
  <c r="U52" i="2"/>
  <c r="U59" i="2"/>
  <c r="U53" i="2"/>
  <c r="U49" i="2"/>
  <c r="U43" i="2"/>
  <c r="U38" i="2"/>
  <c r="U6" i="2"/>
  <c r="U9" i="2" s="1"/>
  <c r="U11" i="2" s="1"/>
  <c r="U15" i="2" s="1"/>
  <c r="U17" i="2" s="1"/>
  <c r="U18" i="2" s="1"/>
  <c r="T43" i="6"/>
  <c r="T36" i="6"/>
  <c r="T33" i="6"/>
  <c r="T32" i="6"/>
  <c r="T31" i="6"/>
  <c r="G10" i="6"/>
  <c r="S10" i="6"/>
  <c r="R10" i="6"/>
  <c r="Q10" i="6"/>
  <c r="P10" i="6"/>
  <c r="O10" i="6"/>
  <c r="N10" i="6"/>
  <c r="M10" i="6"/>
  <c r="L10" i="6"/>
  <c r="K10" i="6"/>
  <c r="J10" i="6"/>
  <c r="I10" i="6"/>
  <c r="H10" i="6"/>
  <c r="T10" i="6"/>
  <c r="O12" i="6"/>
  <c r="O11" i="6"/>
  <c r="P12" i="6"/>
  <c r="P11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T22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T15" i="6"/>
  <c r="R12" i="6"/>
  <c r="Q12" i="6"/>
  <c r="N12" i="6"/>
  <c r="M12" i="6"/>
  <c r="L12" i="6"/>
  <c r="K12" i="6"/>
  <c r="J12" i="6"/>
  <c r="I12" i="6"/>
  <c r="H12" i="6"/>
  <c r="G12" i="6"/>
  <c r="F12" i="6"/>
  <c r="E12" i="6"/>
  <c r="D12" i="6"/>
  <c r="C12" i="6"/>
  <c r="R11" i="6"/>
  <c r="Q11" i="6"/>
  <c r="N11" i="6"/>
  <c r="M11" i="6"/>
  <c r="L11" i="6"/>
  <c r="K11" i="6"/>
  <c r="J11" i="6"/>
  <c r="I11" i="6"/>
  <c r="H11" i="6"/>
  <c r="G11" i="6"/>
  <c r="F11" i="6"/>
  <c r="E11" i="6"/>
  <c r="D11" i="6"/>
  <c r="C11" i="6"/>
  <c r="T12" i="6"/>
  <c r="T11" i="6"/>
  <c r="S12" i="6"/>
  <c r="S11" i="6"/>
  <c r="Z15" i="6"/>
  <c r="AA15" i="6"/>
  <c r="AB15" i="6"/>
  <c r="AC15" i="6"/>
  <c r="AD15" i="6"/>
  <c r="AE15" i="6"/>
  <c r="AF15" i="6"/>
  <c r="AG15" i="6"/>
  <c r="AG22" i="6"/>
  <c r="AF22" i="6"/>
  <c r="AE22" i="6"/>
  <c r="AD22" i="6"/>
  <c r="AC22" i="6"/>
  <c r="AB22" i="6"/>
  <c r="AA22" i="6"/>
  <c r="Z22" i="6"/>
  <c r="Y22" i="6"/>
  <c r="AH22" i="6"/>
  <c r="AH15" i="6"/>
  <c r="AG12" i="6"/>
  <c r="AF12" i="6"/>
  <c r="AE12" i="6"/>
  <c r="AD12" i="6"/>
  <c r="AC12" i="6"/>
  <c r="AB12" i="6"/>
  <c r="AA12" i="6"/>
  <c r="Z12" i="6"/>
  <c r="Y12" i="6"/>
  <c r="AG11" i="6"/>
  <c r="AF11" i="6"/>
  <c r="AE11" i="6"/>
  <c r="AD11" i="6"/>
  <c r="AC11" i="6"/>
  <c r="AB11" i="6"/>
  <c r="AA11" i="6"/>
  <c r="Z11" i="6"/>
  <c r="Y11" i="6"/>
  <c r="AG10" i="6"/>
  <c r="AF10" i="6"/>
  <c r="AE10" i="6"/>
  <c r="AD10" i="6"/>
  <c r="AC10" i="6"/>
  <c r="AB10" i="6"/>
  <c r="AA10" i="6"/>
  <c r="Z10" i="6"/>
  <c r="AH12" i="6"/>
  <c r="AH11" i="6"/>
  <c r="AH10" i="6"/>
  <c r="AI43" i="6"/>
  <c r="AH43" i="6"/>
  <c r="AG43" i="6"/>
  <c r="AF43" i="6"/>
  <c r="AE43" i="6"/>
  <c r="AD43" i="6"/>
  <c r="AH36" i="6"/>
  <c r="AG36" i="6"/>
  <c r="AF36" i="6"/>
  <c r="AE36" i="6"/>
  <c r="AD36" i="6"/>
  <c r="Z36" i="6"/>
  <c r="AA36" i="6"/>
  <c r="AB36" i="6"/>
  <c r="AB43" i="6"/>
  <c r="AA43" i="6"/>
  <c r="Z43" i="6"/>
  <c r="Y43" i="6"/>
  <c r="AC43" i="6"/>
  <c r="AC36" i="6"/>
  <c r="AH31" i="6"/>
  <c r="AG31" i="6"/>
  <c r="AF31" i="6"/>
  <c r="AE31" i="6"/>
  <c r="AD31" i="6"/>
  <c r="AC31" i="6"/>
  <c r="AB31" i="6"/>
  <c r="AA31" i="6"/>
  <c r="Z31" i="6"/>
  <c r="AA33" i="6"/>
  <c r="Z33" i="6"/>
  <c r="Y33" i="6"/>
  <c r="AA32" i="6"/>
  <c r="Z32" i="6"/>
  <c r="Y32" i="6"/>
  <c r="AH33" i="6"/>
  <c r="AG33" i="6"/>
  <c r="AF33" i="6"/>
  <c r="AE33" i="6"/>
  <c r="AD33" i="6"/>
  <c r="AC33" i="6"/>
  <c r="AB33" i="6"/>
  <c r="AH32" i="6"/>
  <c r="AG32" i="6"/>
  <c r="AF32" i="6"/>
  <c r="AE32" i="6"/>
  <c r="AD32" i="6"/>
  <c r="AC32" i="6"/>
  <c r="AB32" i="6"/>
  <c r="H43" i="6"/>
  <c r="M43" i="6"/>
  <c r="L43" i="6"/>
  <c r="K43" i="6"/>
  <c r="J43" i="6"/>
  <c r="I43" i="6"/>
  <c r="G43" i="6"/>
  <c r="F43" i="6"/>
  <c r="E43" i="6"/>
  <c r="D43" i="6"/>
  <c r="C43" i="6"/>
  <c r="Q43" i="6"/>
  <c r="P43" i="6"/>
  <c r="O43" i="6"/>
  <c r="S43" i="6"/>
  <c r="N43" i="6"/>
  <c r="R43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R31" i="6"/>
  <c r="Q31" i="6"/>
  <c r="P31" i="6"/>
  <c r="O31" i="6"/>
  <c r="N31" i="6"/>
  <c r="M31" i="6"/>
  <c r="L31" i="6"/>
  <c r="K31" i="6"/>
  <c r="J31" i="6"/>
  <c r="I31" i="6"/>
  <c r="H31" i="6"/>
  <c r="G31" i="6"/>
  <c r="S33" i="6"/>
  <c r="S32" i="6"/>
  <c r="S31" i="6"/>
  <c r="AF18" i="2"/>
  <c r="AJ25" i="4"/>
  <c r="AI25" i="4"/>
  <c r="AH25" i="4"/>
  <c r="AG25" i="4"/>
  <c r="AK24" i="4"/>
  <c r="AK25" i="4" s="1"/>
  <c r="AJ22" i="4"/>
  <c r="AI22" i="4"/>
  <c r="AH22" i="4"/>
  <c r="AG22" i="4"/>
  <c r="AK21" i="4"/>
  <c r="AK22" i="4" s="1"/>
  <c r="AJ19" i="4"/>
  <c r="AI19" i="4"/>
  <c r="AH19" i="4"/>
  <c r="AG19" i="4"/>
  <c r="AK18" i="4"/>
  <c r="AJ12" i="4"/>
  <c r="AI12" i="4"/>
  <c r="AH12" i="4"/>
  <c r="AG12" i="4"/>
  <c r="AK11" i="4"/>
  <c r="AK12" i="4" s="1"/>
  <c r="AJ9" i="4"/>
  <c r="AI9" i="4"/>
  <c r="AH9" i="4"/>
  <c r="AG9" i="4"/>
  <c r="AK8" i="4"/>
  <c r="AJ6" i="4"/>
  <c r="AI6" i="4"/>
  <c r="AH6" i="4"/>
  <c r="AG6" i="4"/>
  <c r="AK5" i="4"/>
  <c r="AE25" i="4"/>
  <c r="AD25" i="4"/>
  <c r="AC25" i="4"/>
  <c r="AB25" i="4"/>
  <c r="AF24" i="4"/>
  <c r="AE22" i="4"/>
  <c r="AD22" i="4"/>
  <c r="AC22" i="4"/>
  <c r="AB22" i="4"/>
  <c r="AF21" i="4"/>
  <c r="AE19" i="4"/>
  <c r="AD19" i="4"/>
  <c r="AC19" i="4"/>
  <c r="AB19" i="4"/>
  <c r="AF18" i="4"/>
  <c r="AE12" i="4"/>
  <c r="AD12" i="4"/>
  <c r="AC12" i="4"/>
  <c r="AB12" i="4"/>
  <c r="AF11" i="4"/>
  <c r="AE9" i="4"/>
  <c r="AD9" i="4"/>
  <c r="AC9" i="4"/>
  <c r="AB9" i="4"/>
  <c r="AF8" i="4"/>
  <c r="AE6" i="4"/>
  <c r="AD6" i="4"/>
  <c r="AC6" i="4"/>
  <c r="AB6" i="4"/>
  <c r="AF5" i="4"/>
  <c r="AG4" i="2"/>
  <c r="AH4" i="2"/>
  <c r="AI4" i="2" s="1"/>
  <c r="AJ4" i="2" s="1"/>
  <c r="AK4" i="2" s="1"/>
  <c r="AL4" i="2" s="1"/>
  <c r="AM4" i="2" s="1"/>
  <c r="AN4" i="2" s="1"/>
  <c r="AO4" i="2" s="1"/>
  <c r="U97" i="2" l="1"/>
  <c r="U95" i="2"/>
  <c r="U60" i="2"/>
  <c r="U61" i="2" s="1"/>
  <c r="U44" i="2"/>
  <c r="AK19" i="4"/>
  <c r="AK9" i="4"/>
  <c r="AK6" i="4"/>
  <c r="AH7" i="2"/>
  <c r="AI7" i="2" s="1"/>
  <c r="AJ7" i="2" s="1"/>
  <c r="AK7" i="2" s="1"/>
  <c r="AL7" i="2" s="1"/>
  <c r="AM7" i="2" s="1"/>
  <c r="AN7" i="2" s="1"/>
  <c r="AO7" i="2" s="1"/>
  <c r="AG7" i="2"/>
  <c r="AF7" i="2"/>
  <c r="AF8" i="2"/>
  <c r="AG5" i="2"/>
  <c r="AF5" i="2"/>
  <c r="AE6" i="2"/>
  <c r="AE23" i="2" s="1"/>
  <c r="Z53" i="2"/>
  <c r="AA53" i="2"/>
  <c r="AE21" i="2"/>
  <c r="AE59" i="2"/>
  <c r="AE53" i="2"/>
  <c r="AE60" i="2" s="1"/>
  <c r="AE49" i="2"/>
  <c r="AE44" i="2"/>
  <c r="AE43" i="2"/>
  <c r="AE38" i="2"/>
  <c r="AE97" i="2"/>
  <c r="AE95" i="2"/>
  <c r="AE91" i="2"/>
  <c r="AE81" i="2"/>
  <c r="AE73" i="2"/>
  <c r="Y60" i="2"/>
  <c r="Y61" i="2" s="1"/>
  <c r="AA59" i="2"/>
  <c r="Z59" i="2"/>
  <c r="Y59" i="2"/>
  <c r="AA49" i="2"/>
  <c r="Z49" i="2"/>
  <c r="Y49" i="2"/>
  <c r="AA43" i="2"/>
  <c r="Z43" i="2"/>
  <c r="Y43" i="2"/>
  <c r="AA38" i="2"/>
  <c r="AA44" i="2" s="1"/>
  <c r="Z38" i="2"/>
  <c r="Y38" i="2"/>
  <c r="Y44" i="2" s="1"/>
  <c r="AB59" i="2"/>
  <c r="AB53" i="2"/>
  <c r="AB60" i="2" s="1"/>
  <c r="AB49" i="2"/>
  <c r="AB43" i="2"/>
  <c r="AB38" i="2"/>
  <c r="AC59" i="2"/>
  <c r="AC53" i="2"/>
  <c r="AC49" i="2"/>
  <c r="AC43" i="2"/>
  <c r="AC38" i="2"/>
  <c r="AD59" i="2"/>
  <c r="AD53" i="2"/>
  <c r="AD60" i="2" s="1"/>
  <c r="AD49" i="2"/>
  <c r="AD43" i="2"/>
  <c r="AD38" i="2"/>
  <c r="AE9" i="2" l="1"/>
  <c r="Z60" i="2"/>
  <c r="AA60" i="2"/>
  <c r="Z61" i="2"/>
  <c r="Z44" i="2"/>
  <c r="AA61" i="2"/>
  <c r="AE61" i="2"/>
  <c r="AD44" i="2"/>
  <c r="AC60" i="2"/>
  <c r="AD61" i="2"/>
  <c r="AC44" i="2"/>
  <c r="AB44" i="2"/>
  <c r="AB61" i="2"/>
  <c r="AC61" i="2"/>
  <c r="AE24" i="2" l="1"/>
  <c r="AE11" i="2"/>
  <c r="AE25" i="2" l="1"/>
  <c r="AE15" i="2"/>
  <c r="AE64" i="2" l="1"/>
  <c r="AE17" i="2"/>
  <c r="AE18" i="2" s="1"/>
  <c r="U25" i="2" l="1"/>
  <c r="AF4" i="2"/>
  <c r="U21" i="2"/>
  <c r="U22" i="2"/>
  <c r="U23" i="2"/>
  <c r="U24" i="2"/>
  <c r="T91" i="2" l="1"/>
  <c r="T81" i="2"/>
  <c r="T73" i="2"/>
  <c r="T52" i="2"/>
  <c r="T53" i="2" s="1"/>
  <c r="S53" i="2"/>
  <c r="T59" i="2"/>
  <c r="T49" i="2"/>
  <c r="T43" i="2"/>
  <c r="T38" i="2"/>
  <c r="T22" i="2"/>
  <c r="T21" i="2"/>
  <c r="T6" i="2"/>
  <c r="T9" i="2" s="1"/>
  <c r="T11" i="2" s="1"/>
  <c r="S59" i="2"/>
  <c r="S49" i="2"/>
  <c r="S43" i="2"/>
  <c r="S38" i="2"/>
  <c r="S6" i="2"/>
  <c r="S9" i="2" s="1"/>
  <c r="S11" i="2" s="1"/>
  <c r="L7" i="5"/>
  <c r="M7" i="5" s="1"/>
  <c r="N7" i="5" s="1"/>
  <c r="O7" i="5" s="1"/>
  <c r="P7" i="5" s="1"/>
  <c r="Q7" i="5" s="1"/>
  <c r="R7" i="5" s="1"/>
  <c r="S7" i="5" s="1"/>
  <c r="T7" i="5" s="1"/>
  <c r="K7" i="5"/>
  <c r="L4" i="5"/>
  <c r="M4" i="5" s="1"/>
  <c r="N4" i="5" s="1"/>
  <c r="O4" i="5" s="1"/>
  <c r="P4" i="5" s="1"/>
  <c r="Q4" i="5" s="1"/>
  <c r="R4" i="5" s="1"/>
  <c r="S4" i="5" s="1"/>
  <c r="T4" i="5" s="1"/>
  <c r="K4" i="5"/>
  <c r="W22" i="5"/>
  <c r="F21" i="5"/>
  <c r="E21" i="5"/>
  <c r="F13" i="5"/>
  <c r="E13" i="5"/>
  <c r="D13" i="5"/>
  <c r="E12" i="5"/>
  <c r="D9" i="5"/>
  <c r="D11" i="5" s="1"/>
  <c r="D15" i="5" s="1"/>
  <c r="D17" i="5" s="1"/>
  <c r="D18" i="5" s="1"/>
  <c r="J8" i="5"/>
  <c r="K8" i="5" s="1"/>
  <c r="L8" i="5" s="1"/>
  <c r="M8" i="5" s="1"/>
  <c r="N8" i="5" s="1"/>
  <c r="O8" i="5" s="1"/>
  <c r="P8" i="5" s="1"/>
  <c r="Q8" i="5" s="1"/>
  <c r="R8" i="5" s="1"/>
  <c r="S8" i="5" s="1"/>
  <c r="T8" i="5" s="1"/>
  <c r="J7" i="5"/>
  <c r="I6" i="5"/>
  <c r="I23" i="5" s="1"/>
  <c r="F6" i="5"/>
  <c r="F23" i="5" s="1"/>
  <c r="E6" i="5"/>
  <c r="E23" i="5" s="1"/>
  <c r="D6" i="5"/>
  <c r="D23" i="5" s="1"/>
  <c r="J4" i="5"/>
  <c r="I21" i="5"/>
  <c r="H6" i="5"/>
  <c r="G21" i="5"/>
  <c r="Z25" i="4"/>
  <c r="Y25" i="4"/>
  <c r="X25" i="4"/>
  <c r="W25" i="4"/>
  <c r="AA24" i="4"/>
  <c r="AF25" i="4" s="1"/>
  <c r="Z22" i="4"/>
  <c r="Y22" i="4"/>
  <c r="X22" i="4"/>
  <c r="W22" i="4"/>
  <c r="AA21" i="4"/>
  <c r="AF22" i="4" s="1"/>
  <c r="Z19" i="4"/>
  <c r="Y19" i="4"/>
  <c r="X19" i="4"/>
  <c r="W19" i="4"/>
  <c r="AA18" i="4"/>
  <c r="AF19" i="4" s="1"/>
  <c r="Y12" i="4"/>
  <c r="Z12" i="4"/>
  <c r="X12" i="4"/>
  <c r="W12" i="4"/>
  <c r="Z9" i="4"/>
  <c r="Y9" i="4"/>
  <c r="X9" i="4"/>
  <c r="W9" i="4"/>
  <c r="Z6" i="4"/>
  <c r="Y6" i="4"/>
  <c r="X6" i="4"/>
  <c r="W6" i="4"/>
  <c r="AA5" i="4"/>
  <c r="AF6" i="4" s="1"/>
  <c r="AA11" i="4"/>
  <c r="AF12" i="4" s="1"/>
  <c r="AA8" i="4"/>
  <c r="AF9" i="4" s="1"/>
  <c r="R75" i="2"/>
  <c r="R81" i="2" s="1"/>
  <c r="R91" i="2"/>
  <c r="S91" i="2"/>
  <c r="S81" i="2"/>
  <c r="R73" i="2"/>
  <c r="S73" i="2"/>
  <c r="R52" i="2"/>
  <c r="R53" i="2" s="1"/>
  <c r="R59" i="2"/>
  <c r="R49" i="2"/>
  <c r="R43" i="2"/>
  <c r="R38" i="2"/>
  <c r="R6" i="2"/>
  <c r="R9" i="2" s="1"/>
  <c r="R11" i="2" s="1"/>
  <c r="S19" i="4"/>
  <c r="T15" i="2" l="1"/>
  <c r="T17" i="2" s="1"/>
  <c r="T18" i="2" s="1"/>
  <c r="T25" i="2"/>
  <c r="R15" i="2"/>
  <c r="R17" i="2" s="1"/>
  <c r="R18" i="2" s="1"/>
  <c r="R25" i="2"/>
  <c r="S15" i="2"/>
  <c r="S64" i="2" s="1"/>
  <c r="S25" i="2"/>
  <c r="T60" i="2"/>
  <c r="T61" i="2" s="1"/>
  <c r="T64" i="2"/>
  <c r="T24" i="2"/>
  <c r="T23" i="2"/>
  <c r="T95" i="2"/>
  <c r="T97" i="2"/>
  <c r="T44" i="2"/>
  <c r="S95" i="2"/>
  <c r="S60" i="2"/>
  <c r="S61" i="2" s="1"/>
  <c r="S44" i="2"/>
  <c r="I9" i="5"/>
  <c r="I11" i="5" s="1"/>
  <c r="I15" i="5" s="1"/>
  <c r="I17" i="5" s="1"/>
  <c r="I18" i="5" s="1"/>
  <c r="H9" i="5"/>
  <c r="H23" i="5"/>
  <c r="K5" i="5"/>
  <c r="K6" i="5" s="1"/>
  <c r="K21" i="5"/>
  <c r="H21" i="5"/>
  <c r="G6" i="5"/>
  <c r="J21" i="5"/>
  <c r="J5" i="5"/>
  <c r="J6" i="5"/>
  <c r="E9" i="5"/>
  <c r="D24" i="5"/>
  <c r="F9" i="5"/>
  <c r="S97" i="2"/>
  <c r="R95" i="2"/>
  <c r="R97" i="2"/>
  <c r="R60" i="2"/>
  <c r="R61" i="2" s="1"/>
  <c r="R44" i="2"/>
  <c r="Q49" i="2"/>
  <c r="Q91" i="2"/>
  <c r="Q81" i="2"/>
  <c r="Q73" i="2"/>
  <c r="Q59" i="2"/>
  <c r="Q53" i="2"/>
  <c r="Q60" i="2" s="1"/>
  <c r="Q43" i="2"/>
  <c r="Q38" i="2"/>
  <c r="Q6" i="2"/>
  <c r="Q9" i="2" s="1"/>
  <c r="Q11" i="2" s="1"/>
  <c r="Q44" i="2" l="1"/>
  <c r="S17" i="2"/>
  <c r="S18" i="2" s="1"/>
  <c r="Q15" i="2"/>
  <c r="Q17" i="2" s="1"/>
  <c r="Q18" i="2" s="1"/>
  <c r="Q25" i="2"/>
  <c r="R64" i="2"/>
  <c r="I24" i="5"/>
  <c r="G9" i="5"/>
  <c r="G23" i="5"/>
  <c r="E24" i="5"/>
  <c r="E11" i="5"/>
  <c r="E15" i="5" s="1"/>
  <c r="E17" i="5" s="1"/>
  <c r="E18" i="5" s="1"/>
  <c r="J23" i="5"/>
  <c r="J9" i="5"/>
  <c r="F11" i="5"/>
  <c r="F15" i="5" s="1"/>
  <c r="F17" i="5" s="1"/>
  <c r="F18" i="5" s="1"/>
  <c r="F24" i="5"/>
  <c r="K23" i="5"/>
  <c r="K9" i="5"/>
  <c r="L5" i="5"/>
  <c r="L6" i="5" s="1"/>
  <c r="L21" i="5"/>
  <c r="H11" i="5"/>
  <c r="H15" i="5" s="1"/>
  <c r="H17" i="5" s="1"/>
  <c r="H18" i="5" s="1"/>
  <c r="H24" i="5"/>
  <c r="Q61" i="2"/>
  <c r="Q64" i="2"/>
  <c r="Q95" i="2"/>
  <c r="Q97" i="2"/>
  <c r="AB4" i="2"/>
  <c r="K11" i="5" l="1"/>
  <c r="K15" i="5" s="1"/>
  <c r="K24" i="5"/>
  <c r="J11" i="5"/>
  <c r="J15" i="5" s="1"/>
  <c r="J24" i="5"/>
  <c r="M5" i="5"/>
  <c r="M6" i="5" s="1"/>
  <c r="M21" i="5"/>
  <c r="L23" i="5"/>
  <c r="L9" i="5"/>
  <c r="G11" i="5"/>
  <c r="G15" i="5" s="1"/>
  <c r="G17" i="5" s="1"/>
  <c r="G18" i="5" s="1"/>
  <c r="G24" i="5"/>
  <c r="Q21" i="2"/>
  <c r="R21" i="2"/>
  <c r="S21" i="2"/>
  <c r="Q22" i="2"/>
  <c r="R22" i="2"/>
  <c r="S22" i="2"/>
  <c r="Q23" i="2"/>
  <c r="R23" i="2"/>
  <c r="S23" i="2"/>
  <c r="Q24" i="2"/>
  <c r="R24" i="2"/>
  <c r="S24" i="2"/>
  <c r="V24" i="4"/>
  <c r="V21" i="4"/>
  <c r="AA22" i="4" s="1"/>
  <c r="V18" i="4"/>
  <c r="V11" i="4"/>
  <c r="V8" i="4"/>
  <c r="V5" i="4"/>
  <c r="L19" i="4"/>
  <c r="L25" i="4"/>
  <c r="L22" i="4"/>
  <c r="Q25" i="4"/>
  <c r="Q19" i="4"/>
  <c r="L12" i="4"/>
  <c r="L9" i="4"/>
  <c r="L6" i="4"/>
  <c r="Q12" i="4"/>
  <c r="Q9" i="4"/>
  <c r="Q6" i="4"/>
  <c r="G24" i="4"/>
  <c r="G21" i="4"/>
  <c r="G18" i="4"/>
  <c r="L24" i="4"/>
  <c r="L21" i="4"/>
  <c r="L18" i="4"/>
  <c r="Q24" i="4"/>
  <c r="Q21" i="4"/>
  <c r="Q22" i="4" s="1"/>
  <c r="Q18" i="4"/>
  <c r="Q11" i="4"/>
  <c r="Q8" i="4"/>
  <c r="Q5" i="4"/>
  <c r="L11" i="4"/>
  <c r="L8" i="4"/>
  <c r="L5" i="4"/>
  <c r="G11" i="4"/>
  <c r="G8" i="4"/>
  <c r="G5" i="4"/>
  <c r="V25" i="4" l="1"/>
  <c r="AA25" i="4"/>
  <c r="V19" i="4"/>
  <c r="AA19" i="4"/>
  <c r="V12" i="4"/>
  <c r="AA12" i="4"/>
  <c r="V9" i="4"/>
  <c r="AA9" i="4"/>
  <c r="V6" i="4"/>
  <c r="AA6" i="4"/>
  <c r="N5" i="5"/>
  <c r="N21" i="5"/>
  <c r="N6" i="5"/>
  <c r="M23" i="5"/>
  <c r="M9" i="5"/>
  <c r="L11" i="5"/>
  <c r="L15" i="5" s="1"/>
  <c r="L24" i="5"/>
  <c r="J16" i="5"/>
  <c r="J17" i="5" s="1"/>
  <c r="K16" i="5"/>
  <c r="K17" i="5"/>
  <c r="V22" i="4"/>
  <c r="D21" i="4"/>
  <c r="D8" i="4"/>
  <c r="E21" i="4"/>
  <c r="E8" i="4"/>
  <c r="F21" i="4"/>
  <c r="K18" i="5" l="1"/>
  <c r="L16" i="5"/>
  <c r="L17" i="5" s="1"/>
  <c r="M24" i="5"/>
  <c r="M11" i="5"/>
  <c r="M15" i="5" s="1"/>
  <c r="N23" i="5"/>
  <c r="N9" i="5"/>
  <c r="O21" i="5"/>
  <c r="O5" i="5"/>
  <c r="O6" i="5" s="1"/>
  <c r="J18" i="5"/>
  <c r="F8" i="4"/>
  <c r="C21" i="4"/>
  <c r="H21" i="4"/>
  <c r="C8" i="4"/>
  <c r="H8" i="4"/>
  <c r="H9" i="4" s="1"/>
  <c r="I21" i="4"/>
  <c r="N21" i="4"/>
  <c r="I8" i="4"/>
  <c r="N8" i="4"/>
  <c r="J21" i="4"/>
  <c r="O8" i="4"/>
  <c r="K21" i="4"/>
  <c r="K8" i="4"/>
  <c r="U25" i="4"/>
  <c r="T25" i="4"/>
  <c r="S25" i="4"/>
  <c r="R25" i="4"/>
  <c r="P25" i="4"/>
  <c r="O25" i="4"/>
  <c r="N25" i="4"/>
  <c r="M25" i="4"/>
  <c r="K25" i="4"/>
  <c r="J25" i="4"/>
  <c r="I25" i="4"/>
  <c r="H25" i="4"/>
  <c r="U22" i="4"/>
  <c r="T22" i="4"/>
  <c r="S22" i="4"/>
  <c r="R22" i="4"/>
  <c r="P22" i="4"/>
  <c r="O22" i="4"/>
  <c r="N22" i="4"/>
  <c r="M22" i="4"/>
  <c r="K22" i="4"/>
  <c r="J22" i="4"/>
  <c r="I22" i="4"/>
  <c r="H22" i="4"/>
  <c r="U19" i="4"/>
  <c r="T19" i="4"/>
  <c r="R19" i="4"/>
  <c r="P19" i="4"/>
  <c r="O19" i="4"/>
  <c r="N19" i="4"/>
  <c r="M19" i="4"/>
  <c r="K19" i="4"/>
  <c r="J19" i="4"/>
  <c r="I19" i="4"/>
  <c r="H19" i="4"/>
  <c r="K12" i="4"/>
  <c r="J12" i="4"/>
  <c r="I12" i="4"/>
  <c r="K9" i="4"/>
  <c r="J9" i="4"/>
  <c r="I9" i="4"/>
  <c r="I6" i="4"/>
  <c r="H6" i="4"/>
  <c r="J6" i="4"/>
  <c r="K6" i="4"/>
  <c r="M6" i="4"/>
  <c r="P9" i="4"/>
  <c r="O9" i="4"/>
  <c r="N9" i="4"/>
  <c r="P12" i="4"/>
  <c r="O12" i="4"/>
  <c r="N12" i="4"/>
  <c r="U12" i="4"/>
  <c r="T12" i="4"/>
  <c r="S12" i="4"/>
  <c r="U9" i="4"/>
  <c r="T9" i="4"/>
  <c r="S9" i="4"/>
  <c r="U6" i="4"/>
  <c r="T6" i="4"/>
  <c r="S6" i="4"/>
  <c r="P6" i="4"/>
  <c r="O6" i="4"/>
  <c r="N6" i="4"/>
  <c r="M9" i="4"/>
  <c r="M12" i="4"/>
  <c r="R12" i="4"/>
  <c r="R9" i="4"/>
  <c r="R6" i="4"/>
  <c r="L18" i="5" l="1"/>
  <c r="M16" i="5"/>
  <c r="M17" i="5" s="1"/>
  <c r="N11" i="5"/>
  <c r="N15" i="5" s="1"/>
  <c r="N24" i="5"/>
  <c r="O9" i="5"/>
  <c r="O23" i="5"/>
  <c r="P5" i="5"/>
  <c r="P6" i="5" s="1"/>
  <c r="P21" i="5"/>
  <c r="Z72" i="2"/>
  <c r="Y13" i="2"/>
  <c r="Z13" i="2"/>
  <c r="Z12" i="2"/>
  <c r="Y6" i="2"/>
  <c r="Y9" i="2" s="1"/>
  <c r="Z6" i="2"/>
  <c r="Z9" i="2" s="1"/>
  <c r="AA13" i="2"/>
  <c r="AA21" i="2"/>
  <c r="Z21" i="2"/>
  <c r="AA72" i="2"/>
  <c r="AA73" i="2" s="1"/>
  <c r="AB72" i="2"/>
  <c r="AC90" i="2"/>
  <c r="AC91" i="2" s="1"/>
  <c r="AC77" i="2"/>
  <c r="AC81" i="2" s="1"/>
  <c r="AC72" i="2"/>
  <c r="AC73" i="2" s="1"/>
  <c r="AB91" i="2"/>
  <c r="AA91" i="2"/>
  <c r="Z91" i="2"/>
  <c r="Y91" i="2"/>
  <c r="AD91" i="2"/>
  <c r="Y81" i="2"/>
  <c r="Z81" i="2"/>
  <c r="AA81" i="2"/>
  <c r="AB81" i="2"/>
  <c r="AD81" i="2"/>
  <c r="Y73" i="2"/>
  <c r="Z73" i="2"/>
  <c r="AB73" i="2"/>
  <c r="AD72" i="2"/>
  <c r="AD73" i="2" s="1"/>
  <c r="E22" i="2"/>
  <c r="F22" i="2"/>
  <c r="G22" i="2"/>
  <c r="H22" i="2"/>
  <c r="I22" i="2"/>
  <c r="J22" i="2"/>
  <c r="K22" i="2"/>
  <c r="L22" i="2"/>
  <c r="M22" i="2"/>
  <c r="N22" i="2"/>
  <c r="O22" i="2"/>
  <c r="P22" i="2"/>
  <c r="G73" i="2"/>
  <c r="H72" i="2"/>
  <c r="H73" i="2" s="1"/>
  <c r="M72" i="2"/>
  <c r="N72" i="2"/>
  <c r="N73" i="2" s="1"/>
  <c r="K90" i="2"/>
  <c r="K91" i="2" s="1"/>
  <c r="K72" i="2"/>
  <c r="K73" i="2" s="1"/>
  <c r="O72" i="2"/>
  <c r="O73" i="2" s="1"/>
  <c r="L73" i="2"/>
  <c r="D59" i="2"/>
  <c r="E59" i="2"/>
  <c r="F59" i="2"/>
  <c r="G59" i="2"/>
  <c r="H59" i="2"/>
  <c r="I59" i="2"/>
  <c r="J59" i="2"/>
  <c r="K59" i="2"/>
  <c r="L59" i="2"/>
  <c r="M59" i="2"/>
  <c r="D53" i="2"/>
  <c r="E53" i="2"/>
  <c r="F53" i="2"/>
  <c r="G53" i="2"/>
  <c r="H53" i="2"/>
  <c r="I53" i="2"/>
  <c r="J53" i="2"/>
  <c r="K53" i="2"/>
  <c r="L53" i="2"/>
  <c r="M53" i="2"/>
  <c r="D49" i="2"/>
  <c r="E49" i="2"/>
  <c r="F49" i="2"/>
  <c r="G49" i="2"/>
  <c r="H49" i="2"/>
  <c r="I49" i="2"/>
  <c r="J49" i="2"/>
  <c r="K49" i="2"/>
  <c r="L49" i="2"/>
  <c r="M49" i="2"/>
  <c r="D43" i="2"/>
  <c r="E43" i="2"/>
  <c r="F43" i="2"/>
  <c r="G43" i="2"/>
  <c r="H43" i="2"/>
  <c r="I43" i="2"/>
  <c r="J43" i="2"/>
  <c r="K43" i="2"/>
  <c r="L43" i="2"/>
  <c r="M43" i="2"/>
  <c r="D38" i="2"/>
  <c r="E38" i="2"/>
  <c r="F38" i="2"/>
  <c r="G38" i="2"/>
  <c r="H38" i="2"/>
  <c r="I38" i="2"/>
  <c r="J38" i="2"/>
  <c r="K38" i="2"/>
  <c r="L38" i="2"/>
  <c r="M38" i="2"/>
  <c r="L21" i="2"/>
  <c r="D91" i="2"/>
  <c r="E91" i="2"/>
  <c r="F91" i="2"/>
  <c r="G91" i="2"/>
  <c r="H91" i="2"/>
  <c r="I91" i="2"/>
  <c r="J91" i="2"/>
  <c r="L91" i="2"/>
  <c r="M91" i="2"/>
  <c r="N91" i="2"/>
  <c r="O91" i="2"/>
  <c r="P91" i="2"/>
  <c r="D73" i="2"/>
  <c r="E73" i="2"/>
  <c r="F73" i="2"/>
  <c r="I73" i="2"/>
  <c r="J73" i="2"/>
  <c r="M73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P73" i="2"/>
  <c r="P53" i="2"/>
  <c r="P43" i="2"/>
  <c r="P38" i="2"/>
  <c r="P6" i="2"/>
  <c r="P23" i="2" s="1"/>
  <c r="P59" i="2"/>
  <c r="P49" i="2"/>
  <c r="P21" i="2"/>
  <c r="O53" i="2"/>
  <c r="O59" i="2"/>
  <c r="O49" i="2"/>
  <c r="O43" i="2"/>
  <c r="O38" i="2"/>
  <c r="M18" i="5" l="1"/>
  <c r="P9" i="5"/>
  <c r="P23" i="5"/>
  <c r="Q5" i="5"/>
  <c r="Q6" i="5" s="1"/>
  <c r="Q21" i="5"/>
  <c r="O11" i="5"/>
  <c r="O15" i="5" s="1"/>
  <c r="O24" i="5"/>
  <c r="N16" i="5"/>
  <c r="N17" i="5" s="1"/>
  <c r="Z11" i="2"/>
  <c r="Z25" i="2" s="1"/>
  <c r="Z24" i="2"/>
  <c r="Y11" i="2"/>
  <c r="Y24" i="2"/>
  <c r="Y95" i="2"/>
  <c r="AD95" i="2"/>
  <c r="AD97" i="2"/>
  <c r="Y97" i="2"/>
  <c r="AA95" i="2"/>
  <c r="J60" i="2"/>
  <c r="P44" i="2"/>
  <c r="L60" i="2"/>
  <c r="L61" i="2" s="1"/>
  <c r="Z95" i="2"/>
  <c r="Z97" i="2"/>
  <c r="Y23" i="2"/>
  <c r="Z23" i="2"/>
  <c r="Z15" i="2"/>
  <c r="AA6" i="2"/>
  <c r="AA97" i="2"/>
  <c r="AB97" i="2"/>
  <c r="AB95" i="2"/>
  <c r="AC97" i="2"/>
  <c r="AC95" i="2"/>
  <c r="I44" i="2"/>
  <c r="L44" i="2"/>
  <c r="E60" i="2"/>
  <c r="E61" i="2"/>
  <c r="E44" i="2"/>
  <c r="G60" i="2"/>
  <c r="G61" i="2" s="1"/>
  <c r="H97" i="2"/>
  <c r="D60" i="2"/>
  <c r="D61" i="2" s="1"/>
  <c r="D44" i="2"/>
  <c r="H60" i="2"/>
  <c r="H61" i="2" s="1"/>
  <c r="H44" i="2"/>
  <c r="G97" i="2"/>
  <c r="F60" i="2"/>
  <c r="F61" i="2"/>
  <c r="F44" i="2"/>
  <c r="G44" i="2"/>
  <c r="I60" i="2"/>
  <c r="I61" i="2" s="1"/>
  <c r="M60" i="2"/>
  <c r="M61" i="2" s="1"/>
  <c r="M44" i="2"/>
  <c r="O95" i="2"/>
  <c r="D95" i="2"/>
  <c r="K97" i="2"/>
  <c r="J61" i="2"/>
  <c r="K44" i="2"/>
  <c r="J44" i="2"/>
  <c r="K60" i="2"/>
  <c r="K61" i="2" s="1"/>
  <c r="L97" i="2"/>
  <c r="J97" i="2"/>
  <c r="P95" i="2"/>
  <c r="M95" i="2"/>
  <c r="I95" i="2"/>
  <c r="O97" i="2"/>
  <c r="I97" i="2"/>
  <c r="H95" i="2"/>
  <c r="L95" i="2"/>
  <c r="G95" i="2"/>
  <c r="K95" i="2"/>
  <c r="P9" i="2"/>
  <c r="N95" i="2"/>
  <c r="F95" i="2"/>
  <c r="J95" i="2"/>
  <c r="P97" i="2"/>
  <c r="M97" i="2"/>
  <c r="E95" i="2"/>
  <c r="D97" i="2"/>
  <c r="N97" i="2"/>
  <c r="F97" i="2"/>
  <c r="E97" i="2"/>
  <c r="P60" i="2"/>
  <c r="P61" i="2" s="1"/>
  <c r="O60" i="2"/>
  <c r="O61" i="2" s="1"/>
  <c r="O44" i="2"/>
  <c r="O21" i="2"/>
  <c r="Y15" i="2" l="1"/>
  <c r="Y25" i="2"/>
  <c r="N18" i="5"/>
  <c r="Q9" i="5"/>
  <c r="Q23" i="5"/>
  <c r="O16" i="5"/>
  <c r="O17" i="5" s="1"/>
  <c r="R5" i="5"/>
  <c r="R6" i="5" s="1"/>
  <c r="R21" i="5"/>
  <c r="P11" i="5"/>
  <c r="P15" i="5" s="1"/>
  <c r="P24" i="5"/>
  <c r="P11" i="2"/>
  <c r="P25" i="2" s="1"/>
  <c r="P24" i="2"/>
  <c r="Y17" i="2"/>
  <c r="Y18" i="2" s="1"/>
  <c r="Y64" i="2"/>
  <c r="Z17" i="2"/>
  <c r="Z18" i="2" s="1"/>
  <c r="Z64" i="2"/>
  <c r="AA23" i="2"/>
  <c r="AA9" i="2"/>
  <c r="P15" i="2"/>
  <c r="P64" i="2" s="1"/>
  <c r="O6" i="2"/>
  <c r="AD16" i="2"/>
  <c r="AD14" i="2"/>
  <c r="AD13" i="2"/>
  <c r="AD10" i="2"/>
  <c r="AD8" i="2"/>
  <c r="AG8" i="2" s="1"/>
  <c r="AH8" i="2" s="1"/>
  <c r="AI8" i="2" s="1"/>
  <c r="AJ8" i="2" s="1"/>
  <c r="AK8" i="2" s="1"/>
  <c r="AL8" i="2" s="1"/>
  <c r="AM8" i="2" s="1"/>
  <c r="AN8" i="2" s="1"/>
  <c r="AO8" i="2" s="1"/>
  <c r="AD7" i="2"/>
  <c r="AD5" i="2"/>
  <c r="AD4" i="2"/>
  <c r="O18" i="5" l="1"/>
  <c r="R23" i="5"/>
  <c r="R9" i="5"/>
  <c r="S5" i="5"/>
  <c r="S6" i="5" s="1"/>
  <c r="S21" i="5"/>
  <c r="P16" i="5"/>
  <c r="P17" i="5" s="1"/>
  <c r="P18" i="5" s="1"/>
  <c r="Q11" i="5"/>
  <c r="Q15" i="5" s="1"/>
  <c r="Q24" i="5"/>
  <c r="P17" i="2"/>
  <c r="P18" i="2" s="1"/>
  <c r="AA11" i="2"/>
  <c r="AA25" i="2" s="1"/>
  <c r="AA24" i="2"/>
  <c r="AA15" i="2"/>
  <c r="O9" i="2"/>
  <c r="O23" i="2"/>
  <c r="AD6" i="2"/>
  <c r="AD9" i="2" s="1"/>
  <c r="AC16" i="2"/>
  <c r="AC14" i="2"/>
  <c r="AC13" i="2"/>
  <c r="AC10" i="2"/>
  <c r="AC8" i="2"/>
  <c r="AC7" i="2"/>
  <c r="AC5" i="2"/>
  <c r="AC4" i="2"/>
  <c r="AD21" i="2" s="1"/>
  <c r="AB16" i="2"/>
  <c r="AB14" i="2"/>
  <c r="AB13" i="2"/>
  <c r="AB10" i="2"/>
  <c r="AB8" i="2"/>
  <c r="AB7" i="2"/>
  <c r="AB5" i="2"/>
  <c r="AB21" i="2"/>
  <c r="R11" i="5" l="1"/>
  <c r="R15" i="5" s="1"/>
  <c r="R24" i="5"/>
  <c r="S23" i="5"/>
  <c r="S9" i="5"/>
  <c r="T5" i="5"/>
  <c r="T6" i="5" s="1"/>
  <c r="T21" i="5"/>
  <c r="Q16" i="5"/>
  <c r="Q17" i="5" s="1"/>
  <c r="Q18" i="5" s="1"/>
  <c r="O11" i="2"/>
  <c r="O24" i="2"/>
  <c r="AF6" i="2"/>
  <c r="AF21" i="2"/>
  <c r="AD11" i="2"/>
  <c r="AD24" i="2"/>
  <c r="AA17" i="2"/>
  <c r="AA18" i="2" s="1"/>
  <c r="AA64" i="2"/>
  <c r="AC6" i="2"/>
  <c r="AC9" i="2" s="1"/>
  <c r="AC21" i="2"/>
  <c r="AD23" i="2"/>
  <c r="AB6" i="2"/>
  <c r="AD15" i="2" l="1"/>
  <c r="AD25" i="2"/>
  <c r="O15" i="2"/>
  <c r="O25" i="2"/>
  <c r="T23" i="5"/>
  <c r="T9" i="5"/>
  <c r="S11" i="5"/>
  <c r="S15" i="5" s="1"/>
  <c r="S24" i="5"/>
  <c r="R16" i="5"/>
  <c r="R17" i="5" s="1"/>
  <c r="R18" i="5" s="1"/>
  <c r="AF23" i="2"/>
  <c r="AF9" i="2"/>
  <c r="B13" i="2" s="1"/>
  <c r="AC11" i="2"/>
  <c r="AC24" i="2"/>
  <c r="AH5" i="2"/>
  <c r="AG6" i="2"/>
  <c r="AG21" i="2"/>
  <c r="AD17" i="2"/>
  <c r="AD18" i="2" s="1"/>
  <c r="AD64" i="2"/>
  <c r="O17" i="2"/>
  <c r="O18" i="2" s="1"/>
  <c r="O64" i="2"/>
  <c r="AC23" i="2"/>
  <c r="AB9" i="2"/>
  <c r="AB23" i="2"/>
  <c r="AC15" i="2" l="1"/>
  <c r="AC25" i="2"/>
  <c r="S16" i="5"/>
  <c r="S17" i="5" s="1"/>
  <c r="S18" i="5" s="1"/>
  <c r="T11" i="5"/>
  <c r="T15" i="5" s="1"/>
  <c r="T24" i="5"/>
  <c r="AG23" i="2"/>
  <c r="AG9" i="2"/>
  <c r="AI5" i="2"/>
  <c r="AH6" i="2"/>
  <c r="AH21" i="2"/>
  <c r="AF11" i="2"/>
  <c r="AF24" i="2"/>
  <c r="AB11" i="2"/>
  <c r="AB24" i="2"/>
  <c r="AC17" i="2"/>
  <c r="AC18" i="2" s="1"/>
  <c r="AC64" i="2"/>
  <c r="M21" i="2"/>
  <c r="H21" i="2"/>
  <c r="I21" i="2"/>
  <c r="J21" i="2"/>
  <c r="K21" i="2"/>
  <c r="N21" i="2"/>
  <c r="D6" i="2"/>
  <c r="D23" i="2" s="1"/>
  <c r="E6" i="2"/>
  <c r="E9" i="2" s="1"/>
  <c r="E24" i="2" s="1"/>
  <c r="F6" i="2"/>
  <c r="F9" i="2" s="1"/>
  <c r="G6" i="2"/>
  <c r="G23" i="2" s="1"/>
  <c r="K6" i="2"/>
  <c r="K23" i="2" s="1"/>
  <c r="H6" i="2"/>
  <c r="H23" i="2" s="1"/>
  <c r="L6" i="2"/>
  <c r="L23" i="2" s="1"/>
  <c r="I6" i="2"/>
  <c r="I23" i="2" s="1"/>
  <c r="M6" i="2"/>
  <c r="M9" i="2" s="1"/>
  <c r="N53" i="2"/>
  <c r="N49" i="2"/>
  <c r="N59" i="2"/>
  <c r="N43" i="2"/>
  <c r="N38" i="2"/>
  <c r="J6" i="2"/>
  <c r="J23" i="2" s="1"/>
  <c r="N6" i="2"/>
  <c r="N23" i="2" s="1"/>
  <c r="B6" i="2"/>
  <c r="B9" i="2" s="1"/>
  <c r="F6" i="3" l="1"/>
  <c r="AB15" i="2"/>
  <c r="AB25" i="2"/>
  <c r="AF15" i="2"/>
  <c r="AF16" i="2" s="1"/>
  <c r="AF17" i="2" s="1"/>
  <c r="AF25" i="2"/>
  <c r="E6" i="3"/>
  <c r="D6" i="3"/>
  <c r="T16" i="5"/>
  <c r="T17" i="5" s="1"/>
  <c r="AH23" i="2"/>
  <c r="AH9" i="2"/>
  <c r="F7" i="3" s="1"/>
  <c r="M11" i="2"/>
  <c r="M24" i="2"/>
  <c r="AG11" i="2"/>
  <c r="AG24" i="2"/>
  <c r="AJ5" i="2"/>
  <c r="AI21" i="2"/>
  <c r="AI6" i="2"/>
  <c r="F11" i="2"/>
  <c r="F24" i="2"/>
  <c r="D8" i="3"/>
  <c r="E7" i="3"/>
  <c r="D7" i="3"/>
  <c r="D9" i="2"/>
  <c r="E11" i="2"/>
  <c r="E25" i="2" s="1"/>
  <c r="E23" i="2"/>
  <c r="F23" i="2"/>
  <c r="G9" i="2"/>
  <c r="K9" i="2"/>
  <c r="H9" i="2"/>
  <c r="L9" i="2"/>
  <c r="I9" i="2"/>
  <c r="M23" i="2"/>
  <c r="N9" i="2"/>
  <c r="N60" i="2"/>
  <c r="N61" i="2" s="1"/>
  <c r="N44" i="2"/>
  <c r="J9" i="2"/>
  <c r="M15" i="2" l="1"/>
  <c r="M25" i="2"/>
  <c r="F15" i="2"/>
  <c r="F25" i="2"/>
  <c r="AG15" i="2"/>
  <c r="AG16" i="2" s="1"/>
  <c r="AG17" i="2" s="1"/>
  <c r="AG25" i="2"/>
  <c r="AB64" i="2"/>
  <c r="AB17" i="2"/>
  <c r="AB18" i="2" s="1"/>
  <c r="T18" i="5"/>
  <c r="U17" i="5"/>
  <c r="V17" i="5" s="1"/>
  <c r="W17" i="5" s="1"/>
  <c r="X17" i="5" s="1"/>
  <c r="Y17" i="5" s="1"/>
  <c r="Z17" i="5" s="1"/>
  <c r="AA17" i="5" s="1"/>
  <c r="AB17" i="5" s="1"/>
  <c r="AC17" i="5" s="1"/>
  <c r="AD17" i="5" s="1"/>
  <c r="AE17" i="5" s="1"/>
  <c r="AF17" i="5" s="1"/>
  <c r="AG17" i="5" s="1"/>
  <c r="AH17" i="5" s="1"/>
  <c r="AI17" i="5" s="1"/>
  <c r="AJ17" i="5" s="1"/>
  <c r="AK17" i="5" s="1"/>
  <c r="AL17" i="5" s="1"/>
  <c r="AM17" i="5" s="1"/>
  <c r="AN17" i="5" s="1"/>
  <c r="AO17" i="5" s="1"/>
  <c r="AP17" i="5" s="1"/>
  <c r="AQ17" i="5" s="1"/>
  <c r="AR17" i="5" s="1"/>
  <c r="AS17" i="5" s="1"/>
  <c r="AT17" i="5" s="1"/>
  <c r="AU17" i="5" s="1"/>
  <c r="AV17" i="5" s="1"/>
  <c r="AW17" i="5" s="1"/>
  <c r="AX17" i="5" s="1"/>
  <c r="AY17" i="5" s="1"/>
  <c r="AZ17" i="5" s="1"/>
  <c r="BA17" i="5" s="1"/>
  <c r="BB17" i="5" s="1"/>
  <c r="BC17" i="5" s="1"/>
  <c r="BD17" i="5" s="1"/>
  <c r="BE17" i="5" s="1"/>
  <c r="BF17" i="5" s="1"/>
  <c r="BG17" i="5" s="1"/>
  <c r="BH17" i="5" s="1"/>
  <c r="BI17" i="5" s="1"/>
  <c r="BJ17" i="5" s="1"/>
  <c r="BK17" i="5" s="1"/>
  <c r="BL17" i="5" s="1"/>
  <c r="BM17" i="5" s="1"/>
  <c r="BN17" i="5" s="1"/>
  <c r="BO17" i="5" s="1"/>
  <c r="BP17" i="5" s="1"/>
  <c r="BQ17" i="5" s="1"/>
  <c r="BR17" i="5" s="1"/>
  <c r="BS17" i="5" s="1"/>
  <c r="BT17" i="5" s="1"/>
  <c r="BU17" i="5" s="1"/>
  <c r="BV17" i="5" s="1"/>
  <c r="BW17" i="5" s="1"/>
  <c r="BX17" i="5" s="1"/>
  <c r="BY17" i="5" s="1"/>
  <c r="BZ17" i="5" s="1"/>
  <c r="CA17" i="5" s="1"/>
  <c r="CB17" i="5" s="1"/>
  <c r="CC17" i="5" s="1"/>
  <c r="CD17" i="5" s="1"/>
  <c r="CE17" i="5" s="1"/>
  <c r="CF17" i="5" s="1"/>
  <c r="CG17" i="5" s="1"/>
  <c r="CH17" i="5" s="1"/>
  <c r="CI17" i="5" s="1"/>
  <c r="CJ17" i="5" s="1"/>
  <c r="CK17" i="5" s="1"/>
  <c r="CL17" i="5" s="1"/>
  <c r="CM17" i="5" s="1"/>
  <c r="CN17" i="5" s="1"/>
  <c r="CO17" i="5" s="1"/>
  <c r="CP17" i="5" s="1"/>
  <c r="CQ17" i="5" s="1"/>
  <c r="CR17" i="5" s="1"/>
  <c r="CS17" i="5" s="1"/>
  <c r="CT17" i="5" s="1"/>
  <c r="CU17" i="5" s="1"/>
  <c r="CV17" i="5" s="1"/>
  <c r="CW17" i="5" s="1"/>
  <c r="CX17" i="5" s="1"/>
  <c r="CY17" i="5" s="1"/>
  <c r="CZ17" i="5" s="1"/>
  <c r="DA17" i="5" s="1"/>
  <c r="DB17" i="5" s="1"/>
  <c r="DC17" i="5" s="1"/>
  <c r="DD17" i="5" s="1"/>
  <c r="DE17" i="5" s="1"/>
  <c r="DF17" i="5" s="1"/>
  <c r="DG17" i="5" s="1"/>
  <c r="DH17" i="5" s="1"/>
  <c r="DI17" i="5" s="1"/>
  <c r="DJ17" i="5" s="1"/>
  <c r="DK17" i="5" s="1"/>
  <c r="DL17" i="5" s="1"/>
  <c r="DM17" i="5" s="1"/>
  <c r="DN17" i="5" s="1"/>
  <c r="DO17" i="5" s="1"/>
  <c r="DP17" i="5" s="1"/>
  <c r="DQ17" i="5" s="1"/>
  <c r="DR17" i="5" s="1"/>
  <c r="DS17" i="5" s="1"/>
  <c r="DT17" i="5" s="1"/>
  <c r="DU17" i="5" s="1"/>
  <c r="DV17" i="5" s="1"/>
  <c r="DW17" i="5" s="1"/>
  <c r="DX17" i="5" s="1"/>
  <c r="DY17" i="5" s="1"/>
  <c r="DZ17" i="5" s="1"/>
  <c r="EA17" i="5" s="1"/>
  <c r="EB17" i="5" s="1"/>
  <c r="EC17" i="5" s="1"/>
  <c r="ED17" i="5" s="1"/>
  <c r="EE17" i="5" s="1"/>
  <c r="EF17" i="5" s="1"/>
  <c r="EG17" i="5" s="1"/>
  <c r="EH17" i="5" s="1"/>
  <c r="EI17" i="5" s="1"/>
  <c r="EJ17" i="5" s="1"/>
  <c r="EK17" i="5" s="1"/>
  <c r="EL17" i="5" s="1"/>
  <c r="EM17" i="5" s="1"/>
  <c r="EN17" i="5" s="1"/>
  <c r="EO17" i="5" s="1"/>
  <c r="EP17" i="5" s="1"/>
  <c r="EQ17" i="5" s="1"/>
  <c r="ER17" i="5" s="1"/>
  <c r="ES17" i="5" s="1"/>
  <c r="ET17" i="5" s="1"/>
  <c r="EU17" i="5" s="1"/>
  <c r="EV17" i="5" s="1"/>
  <c r="EW17" i="5" s="1"/>
  <c r="EX17" i="5" s="1"/>
  <c r="EY17" i="5" s="1"/>
  <c r="EZ17" i="5" s="1"/>
  <c r="FA17" i="5" s="1"/>
  <c r="FB17" i="5" s="1"/>
  <c r="FC17" i="5" s="1"/>
  <c r="FD17" i="5" s="1"/>
  <c r="FE17" i="5" s="1"/>
  <c r="FF17" i="5" s="1"/>
  <c r="FG17" i="5" s="1"/>
  <c r="FH17" i="5" s="1"/>
  <c r="FI17" i="5" s="1"/>
  <c r="FJ17" i="5" s="1"/>
  <c r="FK17" i="5" s="1"/>
  <c r="FL17" i="5" s="1"/>
  <c r="FM17" i="5" s="1"/>
  <c r="FN17" i="5" s="1"/>
  <c r="FO17" i="5" s="1"/>
  <c r="FP17" i="5" s="1"/>
  <c r="FQ17" i="5" s="1"/>
  <c r="FR17" i="5" s="1"/>
  <c r="FS17" i="5" s="1"/>
  <c r="FT17" i="5" s="1"/>
  <c r="FU17" i="5" s="1"/>
  <c r="FV17" i="5" s="1"/>
  <c r="FW17" i="5" s="1"/>
  <c r="FX17" i="5" s="1"/>
  <c r="FY17" i="5" s="1"/>
  <c r="FZ17" i="5" s="1"/>
  <c r="GA17" i="5" s="1"/>
  <c r="GB17" i="5" s="1"/>
  <c r="GC17" i="5" s="1"/>
  <c r="GD17" i="5" s="1"/>
  <c r="GE17" i="5" s="1"/>
  <c r="GF17" i="5" s="1"/>
  <c r="GG17" i="5" s="1"/>
  <c r="GH17" i="5" s="1"/>
  <c r="GI17" i="5" s="1"/>
  <c r="GJ17" i="5" s="1"/>
  <c r="GK17" i="5" s="1"/>
  <c r="GL17" i="5" s="1"/>
  <c r="GM17" i="5" s="1"/>
  <c r="GN17" i="5" s="1"/>
  <c r="GO17" i="5" s="1"/>
  <c r="GP17" i="5" s="1"/>
  <c r="GQ17" i="5" s="1"/>
  <c r="GR17" i="5" s="1"/>
  <c r="GS17" i="5" s="1"/>
  <c r="GT17" i="5" s="1"/>
  <c r="GU17" i="5" s="1"/>
  <c r="GV17" i="5" s="1"/>
  <c r="GW17" i="5" s="1"/>
  <c r="GX17" i="5" s="1"/>
  <c r="GY17" i="5" s="1"/>
  <c r="GZ17" i="5" s="1"/>
  <c r="HA17" i="5" s="1"/>
  <c r="HB17" i="5" s="1"/>
  <c r="HC17" i="5" s="1"/>
  <c r="HD17" i="5" s="1"/>
  <c r="HE17" i="5" s="1"/>
  <c r="HF17" i="5" s="1"/>
  <c r="HG17" i="5" s="1"/>
  <c r="HH17" i="5" s="1"/>
  <c r="HI17" i="5" s="1"/>
  <c r="HJ17" i="5" s="1"/>
  <c r="HK17" i="5" s="1"/>
  <c r="HL17" i="5" s="1"/>
  <c r="HM17" i="5" s="1"/>
  <c r="HN17" i="5" s="1"/>
  <c r="HO17" i="5" s="1"/>
  <c r="HP17" i="5" s="1"/>
  <c r="HQ17" i="5" s="1"/>
  <c r="HR17" i="5" s="1"/>
  <c r="HS17" i="5" s="1"/>
  <c r="HT17" i="5" s="1"/>
  <c r="HU17" i="5" s="1"/>
  <c r="HV17" i="5" s="1"/>
  <c r="HW17" i="5" s="1"/>
  <c r="HX17" i="5" s="1"/>
  <c r="HY17" i="5" s="1"/>
  <c r="HZ17" i="5" s="1"/>
  <c r="IA17" i="5" s="1"/>
  <c r="IB17" i="5" s="1"/>
  <c r="IC17" i="5" s="1"/>
  <c r="ID17" i="5" s="1"/>
  <c r="IE17" i="5" s="1"/>
  <c r="IF17" i="5" s="1"/>
  <c r="IG17" i="5" s="1"/>
  <c r="IH17" i="5" s="1"/>
  <c r="II17" i="5" s="1"/>
  <c r="IJ17" i="5" s="1"/>
  <c r="IK17" i="5" s="1"/>
  <c r="IL17" i="5" s="1"/>
  <c r="IM17" i="5" s="1"/>
  <c r="IN17" i="5" s="1"/>
  <c r="IO17" i="5" s="1"/>
  <c r="IP17" i="5" s="1"/>
  <c r="IQ17" i="5" s="1"/>
  <c r="IR17" i="5" s="1"/>
  <c r="IS17" i="5" s="1"/>
  <c r="IT17" i="5" s="1"/>
  <c r="W24" i="5" s="1"/>
  <c r="W25" i="5" s="1"/>
  <c r="W27" i="5" s="1"/>
  <c r="D9" i="3"/>
  <c r="G11" i="2"/>
  <c r="G25" i="2" s="1"/>
  <c r="G24" i="2"/>
  <c r="AI9" i="2"/>
  <c r="AI23" i="2"/>
  <c r="L11" i="2"/>
  <c r="L24" i="2"/>
  <c r="D11" i="2"/>
  <c r="D24" i="2"/>
  <c r="J11" i="2"/>
  <c r="J24" i="2"/>
  <c r="H11" i="2"/>
  <c r="H24" i="2"/>
  <c r="K11" i="2"/>
  <c r="K24" i="2"/>
  <c r="N11" i="2"/>
  <c r="N24" i="2"/>
  <c r="AH11" i="2"/>
  <c r="F8" i="3" s="1"/>
  <c r="AH24" i="2"/>
  <c r="I11" i="2"/>
  <c r="I24" i="2"/>
  <c r="E8" i="3"/>
  <c r="AK5" i="2"/>
  <c r="AJ6" i="2"/>
  <c r="AJ21" i="2"/>
  <c r="M17" i="2"/>
  <c r="M18" i="2" s="1"/>
  <c r="M64" i="2"/>
  <c r="E15" i="2"/>
  <c r="G15" i="2"/>
  <c r="L15" i="2" l="1"/>
  <c r="L25" i="2"/>
  <c r="I15" i="2"/>
  <c r="I25" i="2"/>
  <c r="H15" i="2"/>
  <c r="H17" i="2" s="1"/>
  <c r="H18" i="2" s="1"/>
  <c r="H25" i="2"/>
  <c r="AH15" i="2"/>
  <c r="AH16" i="2" s="1"/>
  <c r="AH17" i="2" s="1"/>
  <c r="AH18" i="2" s="1"/>
  <c r="F9" i="3" s="1"/>
  <c r="AH25" i="2"/>
  <c r="J15" i="2"/>
  <c r="J25" i="2"/>
  <c r="N15" i="2"/>
  <c r="N25" i="2"/>
  <c r="F17" i="2"/>
  <c r="F18" i="2" s="1"/>
  <c r="F64" i="2"/>
  <c r="D15" i="2"/>
  <c r="D17" i="2" s="1"/>
  <c r="D18" i="2" s="1"/>
  <c r="D25" i="2"/>
  <c r="K15" i="2"/>
  <c r="K25" i="2"/>
  <c r="W28" i="5"/>
  <c r="A6" i="5" s="1"/>
  <c r="A5" i="5"/>
  <c r="AG18" i="2"/>
  <c r="E9" i="3" s="1"/>
  <c r="AJ9" i="2"/>
  <c r="AJ23" i="2"/>
  <c r="AL5" i="2"/>
  <c r="AK6" i="2"/>
  <c r="AK21" i="2"/>
  <c r="AI11" i="2"/>
  <c r="AI24" i="2"/>
  <c r="K17" i="2"/>
  <c r="K18" i="2" s="1"/>
  <c r="K64" i="2"/>
  <c r="G17" i="2"/>
  <c r="G18" i="2" s="1"/>
  <c r="G64" i="2"/>
  <c r="E17" i="2"/>
  <c r="E18" i="2" s="1"/>
  <c r="E64" i="2"/>
  <c r="N17" i="2"/>
  <c r="N18" i="2" s="1"/>
  <c r="N64" i="2"/>
  <c r="I17" i="2"/>
  <c r="I18" i="2" s="1"/>
  <c r="I64" i="2"/>
  <c r="L17" i="2"/>
  <c r="L18" i="2" s="1"/>
  <c r="L64" i="2"/>
  <c r="J17" i="2"/>
  <c r="J18" i="2" s="1"/>
  <c r="J64" i="2"/>
  <c r="H64" i="2" l="1"/>
  <c r="AI15" i="2"/>
  <c r="AI16" i="2" s="1"/>
  <c r="AI17" i="2" s="1"/>
  <c r="AI18" i="2" s="1"/>
  <c r="AI25" i="2"/>
  <c r="D64" i="2"/>
  <c r="AK9" i="2"/>
  <c r="AK23" i="2"/>
  <c r="AM5" i="2"/>
  <c r="AL6" i="2"/>
  <c r="AL21" i="2"/>
  <c r="AJ11" i="2"/>
  <c r="AJ24" i="2"/>
  <c r="AJ15" i="2" l="1"/>
  <c r="AJ16" i="2" s="1"/>
  <c r="AJ17" i="2" s="1"/>
  <c r="AJ18" i="2" s="1"/>
  <c r="AJ25" i="2"/>
  <c r="AL23" i="2"/>
  <c r="AL9" i="2"/>
  <c r="AN5" i="2"/>
  <c r="AM6" i="2"/>
  <c r="AM21" i="2"/>
  <c r="AK24" i="2"/>
  <c r="AK11" i="2"/>
  <c r="AK15" i="2" l="1"/>
  <c r="AK16" i="2" s="1"/>
  <c r="AK17" i="2" s="1"/>
  <c r="AK18" i="2" s="1"/>
  <c r="AK25" i="2"/>
  <c r="AM9" i="2"/>
  <c r="AM23" i="2"/>
  <c r="AO5" i="2"/>
  <c r="AN21" i="2"/>
  <c r="AN6" i="2"/>
  <c r="AL24" i="2"/>
  <c r="AL11" i="2"/>
  <c r="AL15" i="2" l="1"/>
  <c r="AL16" i="2" s="1"/>
  <c r="AL17" i="2" s="1"/>
  <c r="AL18" i="2" s="1"/>
  <c r="AL25" i="2"/>
  <c r="AM11" i="2"/>
  <c r="AM24" i="2"/>
  <c r="AN9" i="2"/>
  <c r="AN23" i="2"/>
  <c r="AO6" i="2"/>
  <c r="AO21" i="2"/>
  <c r="AM15" i="2" l="1"/>
  <c r="AM16" i="2" s="1"/>
  <c r="AM17" i="2" s="1"/>
  <c r="AM18" i="2" s="1"/>
  <c r="AM25" i="2"/>
  <c r="AO9" i="2"/>
  <c r="AO23" i="2"/>
  <c r="AN11" i="2"/>
  <c r="AN24" i="2"/>
  <c r="AN15" i="2" l="1"/>
  <c r="AN16" i="2" s="1"/>
  <c r="AN17" i="2" s="1"/>
  <c r="AN18" i="2" s="1"/>
  <c r="AN25" i="2"/>
  <c r="AO24" i="2"/>
  <c r="AO11" i="2"/>
  <c r="AO15" i="2" l="1"/>
  <c r="AO16" i="2" s="1"/>
  <c r="AO17" i="2" s="1"/>
  <c r="AP17" i="2" s="1"/>
  <c r="AQ17" i="2" s="1"/>
  <c r="AR17" i="2" s="1"/>
  <c r="AS17" i="2" s="1"/>
  <c r="AT17" i="2" s="1"/>
  <c r="AU17" i="2" s="1"/>
  <c r="AV17" i="2" s="1"/>
  <c r="AW17" i="2" s="1"/>
  <c r="AX17" i="2" s="1"/>
  <c r="AY17" i="2" s="1"/>
  <c r="AZ17" i="2" s="1"/>
  <c r="BA17" i="2" s="1"/>
  <c r="BB17" i="2" s="1"/>
  <c r="BC17" i="2" s="1"/>
  <c r="BD17" i="2" s="1"/>
  <c r="BE17" i="2" s="1"/>
  <c r="BF17" i="2" s="1"/>
  <c r="BG17" i="2" s="1"/>
  <c r="BH17" i="2" s="1"/>
  <c r="BI17" i="2" s="1"/>
  <c r="BJ17" i="2" s="1"/>
  <c r="BK17" i="2" s="1"/>
  <c r="BL17" i="2" s="1"/>
  <c r="BM17" i="2" s="1"/>
  <c r="BN17" i="2" s="1"/>
  <c r="BO17" i="2" s="1"/>
  <c r="BP17" i="2" s="1"/>
  <c r="BQ17" i="2" s="1"/>
  <c r="BR17" i="2" s="1"/>
  <c r="BS17" i="2" s="1"/>
  <c r="BT17" i="2" s="1"/>
  <c r="BU17" i="2" s="1"/>
  <c r="BV17" i="2" s="1"/>
  <c r="BW17" i="2" s="1"/>
  <c r="BX17" i="2" s="1"/>
  <c r="BY17" i="2" s="1"/>
  <c r="BZ17" i="2" s="1"/>
  <c r="CA17" i="2" s="1"/>
  <c r="CB17" i="2" s="1"/>
  <c r="CC17" i="2" s="1"/>
  <c r="CD17" i="2" s="1"/>
  <c r="CE17" i="2" s="1"/>
  <c r="CF17" i="2" s="1"/>
  <c r="CG17" i="2" s="1"/>
  <c r="CH17" i="2" s="1"/>
  <c r="CI17" i="2" s="1"/>
  <c r="CJ17" i="2" s="1"/>
  <c r="CK17" i="2" s="1"/>
  <c r="CL17" i="2" s="1"/>
  <c r="CM17" i="2" s="1"/>
  <c r="CN17" i="2" s="1"/>
  <c r="CO17" i="2" s="1"/>
  <c r="CP17" i="2" s="1"/>
  <c r="CQ17" i="2" s="1"/>
  <c r="CR17" i="2" s="1"/>
  <c r="CS17" i="2" s="1"/>
  <c r="CT17" i="2" s="1"/>
  <c r="CU17" i="2" s="1"/>
  <c r="CV17" i="2" s="1"/>
  <c r="CW17" i="2" s="1"/>
  <c r="CX17" i="2" s="1"/>
  <c r="CY17" i="2" s="1"/>
  <c r="CZ17" i="2" s="1"/>
  <c r="DA17" i="2" s="1"/>
  <c r="DB17" i="2" s="1"/>
  <c r="DC17" i="2" s="1"/>
  <c r="DD17" i="2" s="1"/>
  <c r="DE17" i="2" s="1"/>
  <c r="DF17" i="2" s="1"/>
  <c r="DG17" i="2" s="1"/>
  <c r="DH17" i="2" s="1"/>
  <c r="DI17" i="2" s="1"/>
  <c r="DJ17" i="2" s="1"/>
  <c r="DK17" i="2" s="1"/>
  <c r="DL17" i="2" s="1"/>
  <c r="DM17" i="2" s="1"/>
  <c r="DN17" i="2" s="1"/>
  <c r="DO17" i="2" s="1"/>
  <c r="DP17" i="2" s="1"/>
  <c r="DQ17" i="2" s="1"/>
  <c r="DR17" i="2" s="1"/>
  <c r="DS17" i="2" s="1"/>
  <c r="DT17" i="2" s="1"/>
  <c r="DU17" i="2" s="1"/>
  <c r="DV17" i="2" s="1"/>
  <c r="DW17" i="2" s="1"/>
  <c r="DX17" i="2" s="1"/>
  <c r="DY17" i="2" s="1"/>
  <c r="DZ17" i="2" s="1"/>
  <c r="EA17" i="2" s="1"/>
  <c r="EB17" i="2" s="1"/>
  <c r="EC17" i="2" s="1"/>
  <c r="ED17" i="2" s="1"/>
  <c r="EE17" i="2" s="1"/>
  <c r="EF17" i="2" s="1"/>
  <c r="EG17" i="2" s="1"/>
  <c r="EH17" i="2" s="1"/>
  <c r="EI17" i="2" s="1"/>
  <c r="EJ17" i="2" s="1"/>
  <c r="EK17" i="2" s="1"/>
  <c r="EL17" i="2" s="1"/>
  <c r="EM17" i="2" s="1"/>
  <c r="EN17" i="2" s="1"/>
  <c r="EO17" i="2" s="1"/>
  <c r="EP17" i="2" s="1"/>
  <c r="EQ17" i="2" s="1"/>
  <c r="ER17" i="2" s="1"/>
  <c r="ES17" i="2" s="1"/>
  <c r="ET17" i="2" s="1"/>
  <c r="EU17" i="2" s="1"/>
  <c r="EV17" i="2" s="1"/>
  <c r="EW17" i="2" s="1"/>
  <c r="EX17" i="2" s="1"/>
  <c r="EY17" i="2" s="1"/>
  <c r="EZ17" i="2" s="1"/>
  <c r="FA17" i="2" s="1"/>
  <c r="FB17" i="2" s="1"/>
  <c r="FC17" i="2" s="1"/>
  <c r="FD17" i="2" s="1"/>
  <c r="FE17" i="2" s="1"/>
  <c r="FF17" i="2" s="1"/>
  <c r="FG17" i="2" s="1"/>
  <c r="FH17" i="2" s="1"/>
  <c r="FI17" i="2" s="1"/>
  <c r="FJ17" i="2" s="1"/>
  <c r="FK17" i="2" s="1"/>
  <c r="FL17" i="2" s="1"/>
  <c r="FM17" i="2" s="1"/>
  <c r="FN17" i="2" s="1"/>
  <c r="FO17" i="2" s="1"/>
  <c r="FP17" i="2" s="1"/>
  <c r="FQ17" i="2" s="1"/>
  <c r="FR17" i="2" s="1"/>
  <c r="FS17" i="2" s="1"/>
  <c r="FT17" i="2" s="1"/>
  <c r="FU17" i="2" s="1"/>
  <c r="FV17" i="2" s="1"/>
  <c r="FW17" i="2" s="1"/>
  <c r="FX17" i="2" s="1"/>
  <c r="FY17" i="2" s="1"/>
  <c r="FZ17" i="2" s="1"/>
  <c r="GA17" i="2" s="1"/>
  <c r="GB17" i="2" s="1"/>
  <c r="GC17" i="2" s="1"/>
  <c r="GD17" i="2" s="1"/>
  <c r="GE17" i="2" s="1"/>
  <c r="GF17" i="2" s="1"/>
  <c r="GG17" i="2" s="1"/>
  <c r="GH17" i="2" s="1"/>
  <c r="GI17" i="2" s="1"/>
  <c r="GJ17" i="2" s="1"/>
  <c r="GK17" i="2" s="1"/>
  <c r="GL17" i="2" s="1"/>
  <c r="GM17" i="2" s="1"/>
  <c r="GN17" i="2" s="1"/>
  <c r="GO17" i="2" s="1"/>
  <c r="GP17" i="2" s="1"/>
  <c r="GQ17" i="2" s="1"/>
  <c r="GR17" i="2" s="1"/>
  <c r="GS17" i="2" s="1"/>
  <c r="GT17" i="2" s="1"/>
  <c r="GU17" i="2" s="1"/>
  <c r="GV17" i="2" s="1"/>
  <c r="GW17" i="2" s="1"/>
  <c r="GX17" i="2" s="1"/>
  <c r="GY17" i="2" s="1"/>
  <c r="GZ17" i="2" s="1"/>
  <c r="HA17" i="2" s="1"/>
  <c r="HB17" i="2" s="1"/>
  <c r="HC17" i="2" s="1"/>
  <c r="HD17" i="2" s="1"/>
  <c r="HE17" i="2" s="1"/>
  <c r="HF17" i="2" s="1"/>
  <c r="HG17" i="2" s="1"/>
  <c r="HH17" i="2" s="1"/>
  <c r="HI17" i="2" s="1"/>
  <c r="HJ17" i="2" s="1"/>
  <c r="HK17" i="2" s="1"/>
  <c r="HL17" i="2" s="1"/>
  <c r="HM17" i="2" s="1"/>
  <c r="HN17" i="2" s="1"/>
  <c r="HO17" i="2" s="1"/>
  <c r="HP17" i="2" s="1"/>
  <c r="HQ17" i="2" s="1"/>
  <c r="HR17" i="2" s="1"/>
  <c r="HS17" i="2" s="1"/>
  <c r="HT17" i="2" s="1"/>
  <c r="HU17" i="2" s="1"/>
  <c r="HV17" i="2" s="1"/>
  <c r="HW17" i="2" s="1"/>
  <c r="HX17" i="2" s="1"/>
  <c r="HY17" i="2" s="1"/>
  <c r="HZ17" i="2" s="1"/>
  <c r="IA17" i="2" s="1"/>
  <c r="IB17" i="2" s="1"/>
  <c r="IC17" i="2" s="1"/>
  <c r="ID17" i="2" s="1"/>
  <c r="IE17" i="2" s="1"/>
  <c r="IF17" i="2" s="1"/>
  <c r="IG17" i="2" s="1"/>
  <c r="IH17" i="2" s="1"/>
  <c r="II17" i="2" s="1"/>
  <c r="IJ17" i="2" s="1"/>
  <c r="IK17" i="2" s="1"/>
  <c r="IL17" i="2" s="1"/>
  <c r="IM17" i="2" s="1"/>
  <c r="IN17" i="2" s="1"/>
  <c r="IO17" i="2" s="1"/>
  <c r="IP17" i="2" s="1"/>
  <c r="IQ17" i="2" s="1"/>
  <c r="IR17" i="2" s="1"/>
  <c r="IS17" i="2" s="1"/>
  <c r="IT17" i="2" s="1"/>
  <c r="IU17" i="2" s="1"/>
  <c r="IV17" i="2" s="1"/>
  <c r="IW17" i="2" s="1"/>
  <c r="IX17" i="2" s="1"/>
  <c r="IY17" i="2" s="1"/>
  <c r="IZ17" i="2" s="1"/>
  <c r="JA17" i="2" s="1"/>
  <c r="JB17" i="2" s="1"/>
  <c r="JC17" i="2" s="1"/>
  <c r="JD17" i="2" s="1"/>
  <c r="JE17" i="2" s="1"/>
  <c r="JF17" i="2" s="1"/>
  <c r="JG17" i="2" s="1"/>
  <c r="JH17" i="2" s="1"/>
  <c r="JI17" i="2" s="1"/>
  <c r="JJ17" i="2" s="1"/>
  <c r="JK17" i="2" s="1"/>
  <c r="JL17" i="2" s="1"/>
  <c r="JM17" i="2" s="1"/>
  <c r="JN17" i="2" s="1"/>
  <c r="JO17" i="2" s="1"/>
  <c r="AR24" i="2" s="1"/>
  <c r="AR25" i="2" s="1"/>
  <c r="AR27" i="2" s="1"/>
  <c r="AR28" i="2" s="1"/>
  <c r="AO25" i="2"/>
  <c r="AO18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tc={82328C62-DF8F-C24F-8307-F40892C93A4A}</author>
    <author>tc={B895511D-CBA5-9C4E-96D1-6E733BD402FA}</author>
    <author>tc={19E1B78D-9560-4840-9DD5-8156DEB6E121}</author>
    <author>tc={EEBB5E24-2C64-1440-A49A-7303AE7989A9}</author>
    <author>tc={EE9F1452-F91E-5E46-A17A-C9B6B94B30DB}</author>
  </authors>
  <commentList>
    <comment ref="R4" authorId="0" shapeId="0" xr:uid="{82328C62-DF8F-C24F-8307-F40892C93A4A}">
      <text>
        <t xml:space="preserve">[Kommentartråd]
Din versjon av Excel lar deg lese denne kommentartråden. Eventuelle endringer i den vil imidlertid bli fjernet hvis filen åpnes i en nyere versjon av Excel. Finn ut mer: https://go.microsoft.com/fwlink/?linkid=870924
Kommentar:
    165-185
</t>
      </text>
    </comment>
    <comment ref="S4" authorId="1" shapeId="0" xr:uid="{B895511D-CBA5-9C4E-96D1-6E733BD402FA}">
      <text>
        <t>[Kommentartråd]
Din versjon av Excel lar deg lese denne kommentartråden. Eventuelle endringer i den vil imidlertid bli fjernet hvis filen åpnes i en nyere versjon av Excel. Finn ut mer: https://go.microsoft.com/fwlink/?linkid=870924
Kommentar:
    Guidance 155 - 175</t>
      </text>
    </comment>
    <comment ref="U4" authorId="2" shapeId="0" xr:uid="{19E1B78D-9560-4840-9DD5-8156DEB6E121}">
      <text>
        <t xml:space="preserve">[Kommentartråd]
Din versjon av Excel lar deg lese denne kommentartråden. Eventuelle endringer i den vil imidlertid bli fjernet hvis filen åpnes i en nyere versjon av Excel. Finn ut mer: https://go.microsoft.com/fwlink/?linkid=870924
Kommentar:
    200-220 m
</t>
      </text>
    </comment>
    <comment ref="V4" authorId="3" shapeId="0" xr:uid="{EEBB5E24-2C64-1440-A49A-7303AE7989A9}">
      <text>
        <t xml:space="preserve">[Kommentartråd]
Din versjon av Excel lar deg lese denne kommentartråden. Eventuelle endringer i den vil imidlertid bli fjernet hvis filen åpnes i en nyere versjon av Excel. Finn ut mer: https://go.microsoft.com/fwlink/?linkid=870924
Kommentar:
    220-240
</t>
      </text>
    </comment>
    <comment ref="R75" authorId="4" shapeId="0" xr:uid="{EE9F1452-F91E-5E46-A17A-C9B6B94B30DB}">
      <text>
        <t>[Kommentartråd]
Din versjon av Excel lar deg lese denne kommentartråden. Eventuelle endringer i den vil imidlertid bli fjernet hvis filen åpnes i en nyere versjon av Excel. Finn ut mer: https://go.microsoft.com/fwlink/?linkid=870924
Kommentar:
    Oppkjøp på -106,547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tc={89C427DB-6B52-6944-8A1C-F18051DF3C75}</author>
    <author>tc={9D980B54-F522-7E4C-AE8A-D68E6549EB67}</author>
  </authors>
  <commentList>
    <comment ref="B7" authorId="0" shapeId="0" xr:uid="{89C427DB-6B52-6944-8A1C-F18051DF3C75}">
      <text>
        <t>[Kommentartråd]
Din versjon av Excel lar deg lese denne kommentartråden. Eventuelle endringer i den vil imidlertid bli fjernet hvis filen åpnes i en nyere versjon av Excel. Finn ut mer: https://go.microsoft.com/fwlink/?linkid=870924
Kommentar:
    Cellular IoT
Profitabel 2028</t>
      </text>
    </comment>
    <comment ref="B10" authorId="1" shapeId="0" xr:uid="{9D980B54-F522-7E4C-AE8A-D68E6549EB67}">
      <text>
        <t>[Kommentartråd]
Din versjon av Excel lar deg lese denne kommentartråden. Eventuelle endringer i den vil imidlertid bli fjernet hvis filen åpnes i en nyere versjon av Excel. Finn ut mer: https://go.microsoft.com/fwlink/?linkid=870924
Kommentar:
    Wifi: nRF70-serien
PMIC: power management integrated circuit (nPM-familien)
Rev-base &gt; 50USDm og profit 2028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tc={A2537B76-19DE-374B-965C-F5979AC78F71}</author>
    <author>tc={C12A32C2-0A47-5D48-9F0A-08CDC4B0D48A}</author>
  </authors>
  <commentList>
    <comment ref="B4" authorId="0" shapeId="0" xr:uid="{A2537B76-19DE-374B-965C-F5979AC78F71}">
      <text>
        <t>[Kommentartråd]
Din versjon av Excel lar deg lese denne kommentartråden. Eventuelle endringer i den vil imidlertid bli fjernet hvis filen åpnes i en nyere versjon av Excel. Finn ut mer: https://go.microsoft.com/fwlink/?linkid=870924
Kommentar:
    Fiscal årene er ett år frem ift kalenderen</t>
      </text>
    </comment>
    <comment ref="B39" authorId="1" shapeId="0" xr:uid="{C12A32C2-0A47-5D48-9F0A-08CDC4B0D48A}">
      <text>
        <t>[Kommentartråd]
Din versjon av Excel lar deg lese denne kommentartråden. Eventuelle endringer i den vil imidlertid bli fjernet hvis filen åpnes i en nyere versjon av Excel. Finn ut mer: https://go.microsoft.com/fwlink/?linkid=870924
Kommentar:
    Stor neg = positivt for NOD
Stor pos = Negativt for NOD</t>
      </text>
    </comment>
  </commentList>
</comments>
</file>

<file path=xl/sharedStrings.xml><?xml version="1.0" encoding="utf-8"?>
<sst xmlns="http://schemas.openxmlformats.org/spreadsheetml/2006/main" count="447" uniqueCount="285">
  <si>
    <t>Kapitalstruktur</t>
  </si>
  <si>
    <t>price</t>
  </si>
  <si>
    <t>Cash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</si>
  <si>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</si>
  <si>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</si>
  <si>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</si>
  <si>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</si>
  <si>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</si>
  <si>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</si>
  <si>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</si>
  <si>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</si>
  <si>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</si>
  <si>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</si>
  <si>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</si>
  <si>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</si>
  <si>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S/O (m)</t>
  </si>
  <si>
    <t>MC (NOKm)</t>
  </si>
  <si>
    <t>Er markedsleder innenfor produksjon av halvledere for bluetooth - komponenter</t>
  </si>
  <si>
    <t>Nordic Semiconductor er et norsk "fabless" halvlederselskap som spesialiserer seg på trådløs kommunikasjonsteknologi som driver tingenes internett (IoT)</t>
  </si>
  <si>
    <t>Revenue</t>
  </si>
  <si>
    <t>COGS</t>
  </si>
  <si>
    <t>Gross profit</t>
  </si>
  <si>
    <t>Payroll expense</t>
  </si>
  <si>
    <t>Other opex</t>
  </si>
  <si>
    <t>EBITDA</t>
  </si>
  <si>
    <t>D/A</t>
  </si>
  <si>
    <t>operating profit (EBIT)</t>
  </si>
  <si>
    <t>Share of profit from associates</t>
  </si>
  <si>
    <t>Net interest income</t>
  </si>
  <si>
    <t>Net foreign exhange</t>
  </si>
  <si>
    <t>PTP</t>
  </si>
  <si>
    <t>tax</t>
  </si>
  <si>
    <t>Net income</t>
  </si>
  <si>
    <t>Shares</t>
  </si>
  <si>
    <t>USD/NOK</t>
  </si>
  <si>
    <t>EPS (NOK)</t>
  </si>
  <si>
    <t>Revenue y/y</t>
  </si>
  <si>
    <t>Goodwill</t>
  </si>
  <si>
    <t>Capitalized dev expenses</t>
  </si>
  <si>
    <t>Software</t>
  </si>
  <si>
    <t>Deferred tax assets</t>
  </si>
  <si>
    <t>fixed assets</t>
  </si>
  <si>
    <t>Right-of-use assets</t>
  </si>
  <si>
    <t>Investments in JV</t>
  </si>
  <si>
    <t>Other long term assets</t>
  </si>
  <si>
    <t>Total non-current assets</t>
  </si>
  <si>
    <t>Inventory</t>
  </si>
  <si>
    <t>AR</t>
  </si>
  <si>
    <t>Other Current receivables</t>
  </si>
  <si>
    <t>Total current assets</t>
  </si>
  <si>
    <t>Total Assets</t>
  </si>
  <si>
    <t>Share capital</t>
  </si>
  <si>
    <t>Treasury shares</t>
  </si>
  <si>
    <t>share premium</t>
  </si>
  <si>
    <t>Other equity</t>
  </si>
  <si>
    <t>Total equity</t>
  </si>
  <si>
    <t>AP</t>
  </si>
  <si>
    <t>Income tax payable</t>
  </si>
  <si>
    <t>Public duties</t>
  </si>
  <si>
    <t>Current lease lia</t>
  </si>
  <si>
    <t>Other current lia</t>
  </si>
  <si>
    <t>Pension liability</t>
  </si>
  <si>
    <t>Borrowings</t>
  </si>
  <si>
    <t>Non-current lease lia</t>
  </si>
  <si>
    <t>Total -non-current liabilities</t>
  </si>
  <si>
    <t>Total current Liabilities</t>
  </si>
  <si>
    <t>Total liabilities</t>
  </si>
  <si>
    <t>Total E&amp;L</t>
  </si>
  <si>
    <t>CFFO</t>
  </si>
  <si>
    <t>CFFI</t>
  </si>
  <si>
    <t>CFFF</t>
  </si>
  <si>
    <t>Cash (NOKm)</t>
  </si>
  <si>
    <t>Debt (NOKm)</t>
  </si>
  <si>
    <t>EV (NOKm)</t>
  </si>
  <si>
    <t>FY 2022</t>
  </si>
  <si>
    <t>FY 2023</t>
  </si>
  <si>
    <t>FY 2024</t>
  </si>
  <si>
    <t>FY 2025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</si>
  <si>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</si>
  <si>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</si>
  <si>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</si>
  <si>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</si>
  <si>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</si>
  <si>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</si>
  <si>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</si>
  <si>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</si>
  <si>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FY 2034</t>
  </si>
  <si>
    <t>FY 2035</t>
  </si>
  <si>
    <t>P/E</t>
  </si>
  <si>
    <t>EV/EBIT</t>
  </si>
  <si>
    <t>Q125</t>
  </si>
  <si>
    <t>Q225</t>
  </si>
  <si>
    <t>Q325</t>
  </si>
  <si>
    <t>Q425</t>
  </si>
  <si>
    <t>Cash flow USD Million</t>
  </si>
  <si>
    <t>Balanse (USD million)</t>
  </si>
  <si>
    <t>Model PTP</t>
  </si>
  <si>
    <t>Reported PTP</t>
  </si>
  <si>
    <t>Taxes paid</t>
  </si>
  <si>
    <t>D/A/I</t>
  </si>
  <si>
    <t>Net interest</t>
  </si>
  <si>
    <t>Interest received</t>
  </si>
  <si>
    <t>WC</t>
  </si>
  <si>
    <t>Share-based comp</t>
  </si>
  <si>
    <t xml:space="preserve">Other </t>
  </si>
  <si>
    <t>Capex</t>
  </si>
  <si>
    <t>Investment in associated comp</t>
  </si>
  <si>
    <t>Buybacks</t>
  </si>
  <si>
    <t>Payment of interest</t>
  </si>
  <si>
    <t>Payment of principal</t>
  </si>
  <si>
    <t>Payment of interest of lease</t>
  </si>
  <si>
    <t>Credit facility</t>
  </si>
  <si>
    <t>FX</t>
  </si>
  <si>
    <t>CIC</t>
  </si>
  <si>
    <t>FCF</t>
  </si>
  <si>
    <t>FY 2019</t>
  </si>
  <si>
    <t>FY 2020</t>
  </si>
  <si>
    <t>FY 2021</t>
  </si>
  <si>
    <t>Revenue Q/Q</t>
  </si>
  <si>
    <t>Capital increase</t>
  </si>
  <si>
    <t>EV/EBITDA</t>
  </si>
  <si>
    <t>Discount</t>
  </si>
  <si>
    <t>TV</t>
  </si>
  <si>
    <t>NPV USD</t>
  </si>
  <si>
    <t>NPV NOK</t>
  </si>
  <si>
    <t>S/O</t>
  </si>
  <si>
    <t>NPV/Share</t>
  </si>
  <si>
    <t>Opp-/nedside</t>
  </si>
  <si>
    <t>USD million</t>
  </si>
  <si>
    <t>EBITDA margin</t>
  </si>
  <si>
    <t>Short range</t>
  </si>
  <si>
    <t>Long-range</t>
  </si>
  <si>
    <t>Growth %</t>
  </si>
  <si>
    <t>Revenue by end-user market</t>
  </si>
  <si>
    <t>Consumer</t>
  </si>
  <si>
    <t>Industrial and healthcare</t>
  </si>
  <si>
    <t>Press releases:</t>
  </si>
  <si>
    <t xml:space="preserve">Porteføljen deres inkluderer Bluetooth low energy, ANT+, Thread Wi-Fi og Zigbee. </t>
  </si>
  <si>
    <t>Topp 10 største kunder står for 57% av inntektene</t>
  </si>
  <si>
    <t xml:space="preserve">nRF52 - serie: </t>
  </si>
  <si>
    <t>Lansert: 2015</t>
  </si>
  <si>
    <t>Bruksområder: Smarthus (lysbrytrere, sensorer), Wearables (fitnessklokker (Garmin), sportenheter), HID (Mus, Tastatur, fjernkontroller)</t>
  </si>
  <si>
    <t>Funkjson: Balanse mellom ytelse og lavt strømforbruk.</t>
  </si>
  <si>
    <t xml:space="preserve">nRF53 - serie: </t>
  </si>
  <si>
    <t>Lansert: 2020</t>
  </si>
  <si>
    <t>Bruksområder: Avansert lyd (LE audio, høreapparater), Mesh-nettverker (Matter, Zigbee)</t>
  </si>
  <si>
    <t>Funksjon: Første dual-core fra Nordic. Høy ytelse, større for ny lydstandard (LE audio)</t>
  </si>
  <si>
    <t>nRF54 - serie:</t>
  </si>
  <si>
    <t>Teknologier: BLE 6.0, Thread, Zigbee, Matter, sidewalk, Wi-Fi</t>
  </si>
  <si>
    <t>Bruksomårder: Fremtidens wearables, smarthelse, AI/ML på enhet, Kompleks trådløs kommunikasjon med lavt strømforbuk</t>
  </si>
  <si>
    <t>Funksjon: Ny 22nm arkitektur. Kombinerere Arm Cortex-m33 + RISC-V. Svært lavt strømforbuk, fremtidens serie</t>
  </si>
  <si>
    <t xml:space="preserve">nRF91 - serie: </t>
  </si>
  <si>
    <t>Lansert 2019</t>
  </si>
  <si>
    <t>Teknlogi: LTE-M, NB- IoT, GPS</t>
  </si>
  <si>
    <t>Bruksområder: Asset tracking, smarte byer (måling, gatebelysning), fjernovervåking</t>
  </si>
  <si>
    <t>nRF70 - serie:</t>
  </si>
  <si>
    <t>lansert: 2022</t>
  </si>
  <si>
    <t>Teknologi: Wi-Fi 6 (2.4 GHz)</t>
  </si>
  <si>
    <t>Bruksområder: Smarthus, industrielle gateways, IoT-enheter med behov for høy båndbredde</t>
  </si>
  <si>
    <t xml:space="preserve">Funksjon: Companion chip som kobles sammen med nRF52/53/54 for å gi Wi-Fi-tilgang. Ikke en SoC alene. </t>
  </si>
  <si>
    <t>Funksjon: Fullstendig system med LTE-modem + GPS + MCU i en pakke. For mobilnettverk og global dekning</t>
  </si>
  <si>
    <t>nPM Family:</t>
  </si>
  <si>
    <t>Lansert: 2021 og fremover</t>
  </si>
  <si>
    <t>Teknologi: Strømstyring</t>
  </si>
  <si>
    <t>Bruksområder: Lading av Li-ion/Li-Po batterier, Strømregulering for nRF SoC-er</t>
  </si>
  <si>
    <t>Funksjon: Gir bedre strømstyring, batteristyring og stgabil spenning i systemdesign. Typisk brukt sammen med nRF/52/53/54</t>
  </si>
  <si>
    <t>Fagtermonologier:</t>
  </si>
  <si>
    <r>
      <rPr>
        <b/>
        <sz val="16"/>
        <color theme="1"/>
        <rFont val="Calibri"/>
        <family val="2"/>
        <scheme val="minor"/>
      </rPr>
      <t>Mesh:</t>
    </r>
    <r>
      <rPr>
        <sz val="16"/>
        <color theme="1"/>
        <rFont val="Calibri"/>
        <family val="2"/>
        <scheme val="minor"/>
      </rPr>
      <t xml:space="preserve"> Organisere trådløs kommunikasjon mellom enheter slik at de kobles sammen i et desentralisert nettverk, i stedet for å kommunisere kun via en sentral enhet (Tenk en sensor som ikke rekker til huben, men som sender via en lyspære)</t>
    </r>
  </si>
  <si>
    <r>
      <rPr>
        <b/>
        <sz val="16"/>
        <color theme="1"/>
        <rFont val="Calibri"/>
        <family val="2"/>
        <scheme val="minor"/>
      </rPr>
      <t>ANT:</t>
    </r>
    <r>
      <rPr>
        <sz val="16"/>
        <color theme="1"/>
        <rFont val="Calibri"/>
        <family val="2"/>
        <scheme val="minor"/>
      </rPr>
      <t xml:space="preserve"> Proprietær trådløs protokoll utviklet for lavt strømbruk og enkel trådløs kommunikasjon over korte distander (Bluetooth)</t>
    </r>
  </si>
  <si>
    <r>
      <rPr>
        <b/>
        <sz val="16"/>
        <color theme="1"/>
        <rFont val="Calibri"/>
        <family val="2"/>
        <scheme val="minor"/>
      </rPr>
      <t>Thread:</t>
    </r>
    <r>
      <rPr>
        <sz val="16"/>
        <color theme="1"/>
        <rFont val="Calibri"/>
        <family val="2"/>
        <scheme val="minor"/>
      </rPr>
      <t xml:space="preserve"> IPv6-basert mesh-nettverk laget for smarthus og IoT-enheter, med lavt strømforbruk og høy sikkerhet. Alle deltkaende enheter i et nettverk og kan rute trafikk. </t>
    </r>
  </si>
  <si>
    <r>
      <rPr>
        <b/>
        <sz val="16"/>
        <color theme="1"/>
        <rFont val="Calibri"/>
        <family val="2"/>
        <scheme val="minor"/>
      </rPr>
      <t>Zigbee:</t>
    </r>
    <r>
      <rPr>
        <sz val="16"/>
        <color theme="1"/>
        <rFont val="Calibri"/>
        <family val="2"/>
        <scheme val="minor"/>
      </rPr>
      <t xml:space="preserve"> Er en moden mesh-protokoll for smarthus og lavbåndbredde-enheter som trenger stabil kommunikasjon. En "Koordinator" setter opp nettverket, og andre enheter kobles til. Alle kan sende og videresende meldinger. </t>
    </r>
  </si>
  <si>
    <r>
      <rPr>
        <b/>
        <sz val="16"/>
        <color theme="1"/>
        <rFont val="Calibri"/>
        <family val="2"/>
        <scheme val="minor"/>
      </rPr>
      <t>LE Audio:</t>
    </r>
    <r>
      <rPr>
        <sz val="16"/>
        <color theme="1"/>
        <rFont val="Calibri"/>
        <family val="2"/>
        <scheme val="minor"/>
      </rPr>
      <t xml:space="preserve"> Neste generasjon trådløs lyd, bygget på BLE, og etterfølgeleren til klassisk audio (A2DP), bruker LC3 codec for bedre lydkvalitet ved lavere bitrate. Kan strømme en lydstrøm til flere enheter samtidig.</t>
    </r>
  </si>
  <si>
    <r>
      <rPr>
        <b/>
        <sz val="16"/>
        <color theme="1"/>
        <rFont val="Calibri"/>
        <family val="2"/>
        <scheme val="minor"/>
      </rPr>
      <t>Matter:</t>
    </r>
    <r>
      <rPr>
        <sz val="16"/>
        <color theme="1"/>
        <rFont val="Calibri"/>
        <family val="2"/>
        <scheme val="minor"/>
      </rPr>
      <t xml:space="preserve"> Åpen applikasjonsprotokoll for smarthus - designet for å gjøre enheter kompatible på tvers av plattformer. Matter kjører over thread eller Wi-Fi, og bruker kryptering, standarisert modell og automatisk onboarding</t>
    </r>
  </si>
  <si>
    <r>
      <t xml:space="preserve">SoC: </t>
    </r>
    <r>
      <rPr>
        <sz val="16"/>
        <color theme="1"/>
        <rFont val="Calibri"/>
        <family val="2"/>
        <scheme val="minor"/>
      </rPr>
      <t>System-on-chip</t>
    </r>
  </si>
  <si>
    <t>Modest growth in 25, set to accelerate from 26 onwards (CMD)</t>
  </si>
  <si>
    <r>
      <rPr>
        <b/>
        <sz val="16"/>
        <color theme="1"/>
        <rFont val="Calibri"/>
        <family val="2"/>
        <scheme val="minor"/>
      </rPr>
      <t xml:space="preserve">Short-range: </t>
    </r>
    <r>
      <rPr>
        <sz val="16"/>
        <color theme="1"/>
        <rFont val="Calibri"/>
        <family val="2"/>
        <scheme val="minor"/>
      </rPr>
      <t>Bluetooth og Zigbee</t>
    </r>
  </si>
  <si>
    <t>PMIC (Power management integrated circuit styrer strømforsyning, lading og batteridrift i IoT-enheter. (Satser på lønnsomhet ila 28)</t>
  </si>
  <si>
    <r>
      <t xml:space="preserve">Other (Wi-Fi, PMIC): </t>
    </r>
    <r>
      <rPr>
        <sz val="16"/>
        <color theme="1"/>
        <rFont val="Calibri"/>
        <family val="2"/>
        <scheme val="minor"/>
      </rPr>
      <t>Wi-Fi innebærer companion chips som gir Wi-Fi når de kobles sammen med en hovedprosessor (nRF52/53/54)</t>
    </r>
    <r>
      <rPr>
        <b/>
        <sz val="16"/>
        <color theme="1"/>
        <rFont val="Calibri"/>
        <family val="2"/>
        <scheme val="minor"/>
      </rPr>
      <t xml:space="preserve">. </t>
    </r>
  </si>
  <si>
    <t>lansert 2024 (54H), 24/25 (54L)</t>
  </si>
  <si>
    <t>Q126</t>
  </si>
  <si>
    <t>Q226</t>
  </si>
  <si>
    <t>Q326</t>
  </si>
  <si>
    <t>Q426</t>
  </si>
  <si>
    <t>NPV/NOK</t>
  </si>
  <si>
    <t>10% vekst</t>
  </si>
  <si>
    <t>EV/Sales</t>
  </si>
  <si>
    <t>Tekonlogi: Bluetooth low energy (BLE), ANT, Thread, Zigbee, 2.4 GHz</t>
  </si>
  <si>
    <t>Teknologi: BLE 5.2/5.3, LE audio, Thread, Zigbee</t>
  </si>
  <si>
    <t>nRF92 - serie</t>
  </si>
  <si>
    <t>nRF93 - serie</t>
  </si>
  <si>
    <t>Lansert: GA tidlig 2027 (lead customer sampling pågår)</t>
  </si>
  <si>
    <t>Teknologi: LTE-M, NB-IoT, satelitt NTN, 5G eRedCap, LTE Cat 1 bis</t>
  </si>
  <si>
    <t>Bruksområder: Mobile, trådløse og infrastrukturbegrensede miljøer. Autonome IoT-systemer.</t>
  </si>
  <si>
    <t>Lansert: GA mid-2026 (nRF93M1 sampling pågår)</t>
  </si>
  <si>
    <t>Teknologi: LTE Cat 1 bis</t>
  </si>
  <si>
    <t>Bruksområder: Gateways, avansert asset tracking, smart infrastruktur, sikkerhetssystemer</t>
  </si>
  <si>
    <t>Funksjon: Høyere gjennomstrømming enn nRF91. Lavt strømforbruk, kompakt formfaktor og enkel integrering.</t>
  </si>
  <si>
    <t>Funksjon: Neste generasjons cellular platform med innebygd Axon NPU for edge AI. Lokal AI-prosessering direkte på brikken – lavere latens, redusert datatransmisjon og autonome IoT-systemer uten cloud-avhengighet.</t>
  </si>
  <si>
    <t>EBIT margin</t>
  </si>
  <si>
    <t>Segment</t>
  </si>
  <si>
    <t>Brikke</t>
  </si>
  <si>
    <t>Teknologi</t>
  </si>
  <si>
    <t>Status</t>
  </si>
  <si>
    <t>Short-Range</t>
  </si>
  <si>
    <t>nRF52</t>
  </si>
  <si>
    <t>BLE, ANT, Thread, Zigbee</t>
  </si>
  <si>
    <t>Moden, høyt volum</t>
  </si>
  <si>
    <t>nRF53</t>
  </si>
  <si>
    <t>BLE 5.2/5.3, LE Audio, Thread, Zigbee</t>
  </si>
  <si>
    <t>Aktiv</t>
  </si>
  <si>
    <t>nRF54</t>
  </si>
  <si>
    <t>BLE 6.0, Thread, Zigbee, Matter, Wi-Fi</t>
  </si>
  <si>
    <t>Ny generasjon, 22nm</t>
  </si>
  <si>
    <t>Long-Range</t>
  </si>
  <si>
    <t>nRF91</t>
  </si>
  <si>
    <t>LTE-M, NB-IoT, GPS, NTN</t>
  </si>
  <si>
    <t>Eksisterende, oppdatert</t>
  </si>
  <si>
    <t>nRF93</t>
  </si>
  <si>
    <t>LTE Cat 1 bis</t>
  </si>
  <si>
    <t>nRF92</t>
  </si>
  <si>
    <t>LTE-M, NB-IoT, NTN, 5G eRedCap + Axon NPU (edge AI)</t>
  </si>
  <si>
    <t>Other</t>
  </si>
  <si>
    <t>nRF70</t>
  </si>
  <si>
    <t>Wi-Fi 6 (companion chip)</t>
  </si>
  <si>
    <t>Aktiv, ikke lønnsom ennå</t>
  </si>
  <si>
    <t>nPM Family</t>
  </si>
  <si>
    <t>Strømstyring / PMIC</t>
  </si>
  <si>
    <r>
      <rPr>
        <b/>
        <sz val="16"/>
        <color rgb="FF000000"/>
        <rFont val="Calibri"/>
        <family val="2"/>
        <scheme val="minor"/>
      </rPr>
      <t>BLE (Bluetooth Low Energy):</t>
    </r>
    <r>
      <rPr>
        <sz val="16"/>
        <color rgb="FF000000"/>
        <rFont val="Calibri"/>
        <family val="2"/>
        <scheme val="minor"/>
      </rPr>
      <t xml:space="preserve"> Trådløs kortdistanseprotokoll optimalisert for svært lavt strømforbruk. Brukes i wearables, smarthus og medisinsk utstyr. Kjører på 2.4 GHz-båndet og er standard i de fleste moderne IoT-enheter.</t>
    </r>
  </si>
  <si>
    <r>
      <rPr>
        <b/>
        <sz val="16"/>
        <color rgb="FF000000"/>
        <rFont val="Calibri"/>
        <family val="2"/>
        <scheme val="minor"/>
      </rPr>
      <t>LTE-M:</t>
    </r>
    <r>
      <rPr>
        <sz val="16"/>
        <color rgb="FF000000"/>
        <rFont val="Calibri"/>
        <family val="2"/>
        <scheme val="minor"/>
      </rPr>
      <t xml:space="preserve"> Mobilnettstandard for IoT-enheter som trenger lavt strømforbruk og lang batterilevetid. Bruker eksisterende 4G-nett, støtter stemme og bevegelse (roaming). Typisk for wearables og asset tracking.</t>
    </r>
  </si>
  <si>
    <r>
      <rPr>
        <b/>
        <sz val="16"/>
        <color rgb="FF000000"/>
        <rFont val="Calibri"/>
        <family val="2"/>
        <scheme val="minor"/>
      </rPr>
      <t>NB-IoT (Narrowband IoT):</t>
    </r>
    <r>
      <rPr>
        <sz val="16"/>
        <color rgb="FF000000"/>
        <rFont val="Calibri"/>
        <family val="2"/>
        <scheme val="minor"/>
      </rPr>
      <t xml:space="preserve"> Mobilnettstandard for statiske enheter med små datamengder og ekstremt lavt strømforbruk. God innendørsdekning og rekkevidde. Typisk for små målere, sensorer og sporingsbrikker som sjelden sender data.</t>
    </r>
  </si>
  <si>
    <r>
      <rPr>
        <b/>
        <sz val="16"/>
        <color rgb="FF000000"/>
        <rFont val="Calibri"/>
        <family val="2"/>
        <scheme val="minor"/>
      </rPr>
      <t>NTN (Non-Terrestrial Networks):</t>
    </r>
    <r>
      <rPr>
        <sz val="16"/>
        <color rgb="FF000000"/>
        <rFont val="Calibri"/>
        <family val="2"/>
        <scheme val="minor"/>
      </rPr>
      <t xml:space="preserve"> Satellittbasert tilkobling for IoT-enheter. Gir global dekning også der det ikke finnes mobilnett – viktig for fjernovervåking i hav, skog og avsidesliggende områder.</t>
    </r>
  </si>
  <si>
    <r>
      <rPr>
        <b/>
        <sz val="16"/>
        <color rgb="FF000000"/>
        <rFont val="Calibri"/>
        <family val="2"/>
        <scheme val="minor"/>
      </rPr>
      <t>5G eRedCap (Extended Reduced Capability):</t>
    </r>
    <r>
      <rPr>
        <sz val="16"/>
        <color rgb="FF000000"/>
        <rFont val="Calibri"/>
        <family val="2"/>
        <scheme val="minor"/>
      </rPr>
      <t xml:space="preserve"> Forenklet 5G-standard designet for IoT-enheter som trenger mer båndbredde enn LTE-M/NB-IoT, men ikke full 5G. Lavere kostnad og strømforbruk enn vanlig 5G. Brukes i industrielle sensorer, smarte kameraer og wearables.</t>
    </r>
  </si>
  <si>
    <r>
      <rPr>
        <b/>
        <sz val="16"/>
        <color rgb="FF000000"/>
        <rFont val="Calibri"/>
        <family val="2"/>
        <scheme val="minor"/>
      </rPr>
      <t>LTE Cat 1 bis:</t>
    </r>
    <r>
      <rPr>
        <sz val="16"/>
        <color rgb="FF000000"/>
        <rFont val="Calibri"/>
        <family val="2"/>
        <scheme val="minor"/>
      </rPr>
      <t xml:space="preserve"> LTE-kategori for enheter som trenger høyere gjennomstrømming enn LTE-M (maks ~10 Mbps ned). Bruker kun én antenne (enklere design) og passer til gateways, sikkerhetssystemer og avansert asset tracking.</t>
    </r>
  </si>
  <si>
    <r>
      <rPr>
        <b/>
        <sz val="16"/>
        <color rgb="FF000000"/>
        <rFont val="Calibri"/>
        <family val="2"/>
        <scheme val="minor"/>
      </rPr>
      <t xml:space="preserve">NPU (Neural Processing Unit): </t>
    </r>
    <r>
      <rPr>
        <sz val="16"/>
        <color rgb="FF000000"/>
        <rFont val="Calibri"/>
        <family val="2"/>
        <scheme val="minor"/>
      </rPr>
      <t>Dedikert prosessorkjerne for å kjøre maskinlæringsmodeller (AI/ML) direkte på brikken – kalt «edge AI». Gir raskere og mer strømeffektiv AI-inferens enn å sende data til skyen.</t>
    </r>
  </si>
  <si>
    <r>
      <rPr>
        <b/>
        <sz val="16"/>
        <color rgb="FF000000"/>
        <rFont val="Calibri"/>
        <family val="2"/>
        <scheme val="minor"/>
      </rPr>
      <t>Wi-Fi 6 (802.11ax):</t>
    </r>
    <r>
      <rPr>
        <sz val="16"/>
        <color rgb="FF000000"/>
        <rFont val="Calibri"/>
        <family val="2"/>
        <scheme val="minor"/>
      </rPr>
      <t xml:space="preserve"> Nyeste generasjon Wi-Fi med høyere hastighet, lavere latens og bedre ytelse i miljøer med mange tilkoblede enheter. Viktig for smarthus-hubs og industrielle IoT-gateways.</t>
    </r>
  </si>
  <si>
    <r>
      <rPr>
        <b/>
        <sz val="16"/>
        <color rgb="FF000000"/>
        <rFont val="Calibri"/>
        <family val="2"/>
        <scheme val="minor"/>
      </rPr>
      <t>PMIC (Power Management Integrated Circuit):</t>
    </r>
    <r>
      <rPr>
        <sz val="16"/>
        <color rgb="FF000000"/>
        <rFont val="Calibri"/>
        <family val="2"/>
        <scheme val="minor"/>
      </rPr>
      <t xml:space="preserve"> Brikke som styrer strømforsyning, batterilading og spenningsregulering i en elektronisk enhet. Sørger for at alle komponenter får riktig spenning og at batteriet lades og brukes effektivt.</t>
    </r>
  </si>
  <si>
    <t>Gearing</t>
  </si>
  <si>
    <t>Loans to subsidiaries</t>
  </si>
  <si>
    <t>Business Combination, net of cash</t>
  </si>
  <si>
    <t>Dividend from subsidiary</t>
  </si>
  <si>
    <t>Proceeds from bridge loan</t>
  </si>
  <si>
    <t>Payment of bridge loan</t>
  </si>
  <si>
    <t>Axon NPU</t>
  </si>
  <si>
    <t>Gross margin</t>
  </si>
  <si>
    <t>General availability mid-2026</t>
  </si>
  <si>
    <t>General availability tidlig 2027</t>
  </si>
  <si>
    <t>EDGE</t>
  </si>
  <si>
    <t>CMD 2024</t>
  </si>
  <si>
    <t>Q427</t>
  </si>
  <si>
    <t>Q327</t>
  </si>
  <si>
    <t>Q227</t>
  </si>
  <si>
    <t>Q127</t>
  </si>
  <si>
    <t>Q128</t>
  </si>
  <si>
    <t>Q228</t>
  </si>
  <si>
    <t>Q328</t>
  </si>
  <si>
    <t>Q428</t>
  </si>
  <si>
    <t>26.05.26: Styreleder kjøper 1 500 aksjer på 201,3kr</t>
  </si>
  <si>
    <t>12.05.26: Styreleder kjøper 1 500 aksjer på 193,3kr</t>
  </si>
  <si>
    <t>29.04.26: EVP supply chain selger 11 000 aksjer på 185,7</t>
  </si>
  <si>
    <t>20.03.26: EVP BU Long-range kjøper 1 250 aksjer på 150,6</t>
  </si>
  <si>
    <t>18.02.26: Styreleder kjøper 2 500 aksjer på 140,24 kr</t>
  </si>
  <si>
    <t>05.02.26: CFO selger 10 000 aksjer på 149,05 kr</t>
  </si>
  <si>
    <t>07.11.25: EVP og BU head kjøper 4 000 aksjer på 133,6 kr</t>
  </si>
  <si>
    <t>04.09.25: NOD henter 100 USDm for å refinansierer ved å tilbakebetale brolån på 100 USDm</t>
  </si>
  <si>
    <t>Logitech</t>
  </si>
  <si>
    <t>Garmin</t>
  </si>
  <si>
    <t>USDm</t>
  </si>
  <si>
    <t>Operating profit</t>
  </si>
  <si>
    <t>EPS</t>
  </si>
  <si>
    <t>Operating margin</t>
  </si>
  <si>
    <t>y/y</t>
  </si>
  <si>
    <t>Accounts receivables</t>
  </si>
  <si>
    <t>Inventories</t>
  </si>
  <si>
    <t>Other current and noncurrent assets</t>
  </si>
  <si>
    <t>Account payable</t>
  </si>
  <si>
    <t>Other current and noncurrent liab</t>
  </si>
  <si>
    <t>FY 2016</t>
  </si>
  <si>
    <t>FY 2017</t>
  </si>
  <si>
    <t>FY 2018</t>
  </si>
  <si>
    <t>Other assets</t>
  </si>
  <si>
    <t>Accured and other liabilities</t>
  </si>
  <si>
    <r>
      <rPr>
        <b/>
        <sz val="16"/>
        <color theme="1"/>
        <rFont val="Calibri"/>
        <family val="2"/>
        <scheme val="minor"/>
      </rPr>
      <t>Long-range</t>
    </r>
    <r>
      <rPr>
        <sz val="16"/>
        <color theme="1"/>
        <rFont val="Calibri"/>
        <family val="2"/>
        <scheme val="minor"/>
      </rPr>
      <t>: Trådløs kommunikasjon over lange distanser, hovedsaklig via mobilnett (Cellular IoT) (Satser på lønnsomhet ila 28)</t>
    </r>
  </si>
  <si>
    <t>07.08.26: Kvalitetsdirektør kjøper 1 100 aksjer og styremedlem har kjøpt 1 200 aksjer</t>
  </si>
  <si>
    <t>19.08.26: CEO Wollan kjøper 5000 aksjer til 160,87kr</t>
  </si>
  <si>
    <t>25.08.26: EVP Short range Øyvind Strøm kjøper 2000 aksjer 160,80kr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</si>
</sst>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kr&quot;\ #,##0.00_);[Red]\(&quot;kr&quot;\ #,##0.00\)"/>
    <numFmt numFmtId="164" formatCode="#,##0.0"/>
    <numFmt numFmtId="165" formatCode="0.0\ %"/>
    <numFmt numFmtId="166" formatCode="#,##0.000"/>
    <numFmt numFmtId="167" formatCode="0.0"/>
    <numFmt numFmtId="168" formatCode="0.000"/>
  </numFmts>
  <fonts count="16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B9C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1" xfId="0" applyFont="1" applyBorder="1"/>
    <xf numFmtId="0" fontId="4" fillId="0" borderId="1" xfId="0" applyFont="1" applyBorder="1"/>
    <xf numFmtId="164" fontId="1" fillId="0" borderId="0" xfId="0" applyNumberFormat="1" applyFont="1"/>
    <xf numFmtId="164" fontId="1" fillId="0" borderId="1" xfId="0" applyNumberFormat="1" applyFont="1" applyBorder="1"/>
    <xf numFmtId="2" fontId="1" fillId="0" borderId="1" xfId="0" applyNumberFormat="1" applyFont="1" applyBorder="1"/>
    <xf numFmtId="2" fontId="1" fillId="0" borderId="0" xfId="0" applyNumberFormat="1" applyFont="1"/>
    <xf numFmtId="10" fontId="1" fillId="0" borderId="0" xfId="0" applyNumberFormat="1" applyFont="1"/>
    <xf numFmtId="165" fontId="2" fillId="0" borderId="0" xfId="0" applyNumberFormat="1" applyFont="1"/>
    <xf numFmtId="165" fontId="2" fillId="0" borderId="1" xfId="0" applyNumberFormat="1" applyFont="1" applyBorder="1"/>
    <xf numFmtId="165" fontId="1" fillId="0" borderId="0" xfId="0" applyNumberFormat="1" applyFont="1"/>
    <xf numFmtId="165" fontId="1" fillId="0" borderId="1" xfId="0" applyNumberFormat="1" applyFont="1" applyBorder="1"/>
    <xf numFmtId="3" fontId="2" fillId="0" borderId="0" xfId="0" applyNumberFormat="1" applyFont="1"/>
    <xf numFmtId="3" fontId="2" fillId="0" borderId="1" xfId="0" applyNumberFormat="1" applyFont="1" applyBorder="1"/>
    <xf numFmtId="3" fontId="1" fillId="0" borderId="0" xfId="0" applyNumberFormat="1" applyFont="1"/>
    <xf numFmtId="3" fontId="1" fillId="0" borderId="1" xfId="0" applyNumberFormat="1" applyFont="1" applyBorder="1"/>
    <xf numFmtId="166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3" fontId="4" fillId="0" borderId="0" xfId="0" applyNumberFormat="1" applyFont="1"/>
    <xf numFmtId="167" fontId="1" fillId="0" borderId="0" xfId="0" applyNumberFormat="1" applyFont="1"/>
    <xf numFmtId="0" fontId="7" fillId="0" borderId="2" xfId="0" applyFont="1" applyBorder="1"/>
    <xf numFmtId="0" fontId="1" fillId="0" borderId="3" xfId="0" applyFont="1" applyBorder="1"/>
    <xf numFmtId="9" fontId="1" fillId="0" borderId="0" xfId="0" applyNumberFormat="1" applyFont="1"/>
    <xf numFmtId="8" fontId="1" fillId="0" borderId="0" xfId="0" applyNumberFormat="1" applyFont="1"/>
    <xf numFmtId="164" fontId="1" fillId="0" borderId="3" xfId="0" applyNumberFormat="1" applyFont="1" applyBorder="1"/>
    <xf numFmtId="0" fontId="4" fillId="0" borderId="3" xfId="0" applyFont="1" applyBorder="1"/>
    <xf numFmtId="0" fontId="1" fillId="0" borderId="5" xfId="0" applyFont="1" applyBorder="1"/>
    <xf numFmtId="0" fontId="4" fillId="0" borderId="4" xfId="0" applyFont="1" applyBorder="1"/>
    <xf numFmtId="0" fontId="2" fillId="0" borderId="5" xfId="0" applyFont="1" applyBorder="1"/>
    <xf numFmtId="0" fontId="1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4" xfId="0" applyFont="1" applyBorder="1"/>
    <xf numFmtId="165" fontId="4" fillId="0" borderId="3" xfId="0" applyNumberFormat="1" applyFont="1" applyBorder="1"/>
    <xf numFmtId="0" fontId="3" fillId="0" borderId="4" xfId="0" applyFont="1" applyBorder="1"/>
    <xf numFmtId="165" fontId="3" fillId="0" borderId="4" xfId="0" applyNumberFormat="1" applyFont="1" applyBorder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164" fontId="9" fillId="0" borderId="0" xfId="0" applyNumberFormat="1" applyFont="1"/>
    <xf numFmtId="3" fontId="2" fillId="0" borderId="5" xfId="0" applyNumberFormat="1" applyFont="1" applyBorder="1"/>
    <xf numFmtId="3" fontId="3" fillId="0" borderId="0" xfId="0" applyNumberFormat="1" applyFont="1"/>
    <xf numFmtId="167" fontId="6" fillId="0" borderId="2" xfId="0" applyNumberFormat="1" applyFont="1" applyBorder="1"/>
    <xf numFmtId="167" fontId="2" fillId="0" borderId="0" xfId="0" applyNumberFormat="1" applyFont="1"/>
    <xf numFmtId="164" fontId="2" fillId="0" borderId="1" xfId="0" applyNumberFormat="1" applyFont="1" applyBorder="1"/>
    <xf numFmtId="0" fontId="10" fillId="0" borderId="0" xfId="0" applyFont="1"/>
    <xf numFmtId="0" fontId="11" fillId="2" borderId="0" xfId="0" applyFont="1" applyFill="1" applyAlignment="1">
      <alignment horizontal="center"/>
    </xf>
    <xf numFmtId="0" fontId="12" fillId="3" borderId="0" xfId="0" applyFont="1" applyFill="1"/>
    <xf numFmtId="0" fontId="12" fillId="3" borderId="0" xfId="0" applyFont="1" applyFill="1" applyAlignment="1">
      <alignment horizontal="center"/>
    </xf>
    <xf numFmtId="0" fontId="13" fillId="3" borderId="0" xfId="0" applyFont="1" applyFill="1"/>
    <xf numFmtId="0" fontId="12" fillId="4" borderId="0" xfId="0" applyFont="1" applyFill="1"/>
    <xf numFmtId="0" fontId="12" fillId="4" borderId="0" xfId="0" applyFont="1" applyFill="1" applyAlignment="1">
      <alignment horizontal="center"/>
    </xf>
    <xf numFmtId="0" fontId="13" fillId="4" borderId="0" xfId="0" applyFont="1" applyFill="1"/>
    <xf numFmtId="0" fontId="12" fillId="5" borderId="0" xfId="0" applyFont="1" applyFill="1"/>
    <xf numFmtId="0" fontId="12" fillId="5" borderId="0" xfId="0" applyFont="1" applyFill="1" applyAlignment="1">
      <alignment horizontal="center"/>
    </xf>
    <xf numFmtId="0" fontId="13" fillId="5" borderId="0" xfId="0" applyFont="1" applyFill="1"/>
    <xf numFmtId="0" fontId="12" fillId="6" borderId="0" xfId="0" applyFont="1" applyFill="1"/>
    <xf numFmtId="0" fontId="12" fillId="6" borderId="0" xfId="0" applyFont="1" applyFill="1" applyAlignment="1">
      <alignment horizontal="center"/>
    </xf>
    <xf numFmtId="0" fontId="13" fillId="6" borderId="0" xfId="0" applyFont="1" applyFill="1"/>
    <xf numFmtId="0" fontId="12" fillId="7" borderId="0" xfId="0" applyFont="1" applyFill="1"/>
    <xf numFmtId="0" fontId="12" fillId="7" borderId="0" xfId="0" applyFont="1" applyFill="1" applyAlignment="1">
      <alignment horizontal="center"/>
    </xf>
    <xf numFmtId="0" fontId="13" fillId="7" borderId="0" xfId="0" applyFont="1" applyFill="1"/>
    <xf numFmtId="0" fontId="12" fillId="8" borderId="0" xfId="0" applyFont="1" applyFill="1"/>
    <xf numFmtId="0" fontId="12" fillId="8" borderId="0" xfId="0" applyFont="1" applyFill="1" applyAlignment="1">
      <alignment horizontal="center"/>
    </xf>
    <xf numFmtId="0" fontId="13" fillId="8" borderId="0" xfId="0" applyFont="1" applyFill="1"/>
    <xf numFmtId="167" fontId="1" fillId="0" borderId="1" xfId="0" applyNumberFormat="1" applyFont="1" applyBorder="1"/>
    <xf numFmtId="3" fontId="0" fillId="0" borderId="0" xfId="0" applyNumberFormat="1"/>
    <xf numFmtId="168" fontId="1" fillId="0" borderId="0" xfId="0" applyNumberFormat="1" applyFont="1"/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4" fontId="15" fillId="0" borderId="1" xfId="0" applyNumberFormat="1" applyFont="1" applyBorder="1"/>
    <xf numFmtId="10" fontId="2" fillId="0" borderId="0" xfId="0" applyNumberFormat="1" applyFont="1"/>
    <xf numFmtId="3" fontId="1" fillId="0" borderId="0" xfId="0" applyNumberFormat="1" applyFont="1" applyAlignment="1">
      <alignment wrapText="1"/>
    </xf>
    <xf numFmtId="4" fontId="1" fillId="0" borderId="0" xfId="0" applyNumberFormat="1" applyFont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108656</xdr:rowOff>
    </xdr:from>
    <xdr:to>
      <xdr:col>4</xdr:col>
      <xdr:colOff>620888</xdr:colOff>
      <xdr:row>21</xdr:row>
      <xdr:rowOff>23928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5D3500AC-35C2-9516-303C-32967F388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53545"/>
          <a:ext cx="4374444" cy="3400716"/>
        </a:xfrm>
        <a:prstGeom prst="rect">
          <a:avLst/>
        </a:prstGeom>
      </xdr:spPr>
    </xdr:pic>
    <xdr:clientData/>
  </xdr:twoCellAnchor>
  <xdr:twoCellAnchor editAs="oneCell">
    <xdr:from>
      <xdr:col>24</xdr:col>
      <xdr:colOff>784931</xdr:colOff>
      <xdr:row>0</xdr:row>
      <xdr:rowOff>0</xdr:rowOff>
    </xdr:from>
    <xdr:to>
      <xdr:col>34</xdr:col>
      <xdr:colOff>756991</xdr:colOff>
      <xdr:row>15</xdr:row>
      <xdr:rowOff>165099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8BCEAA45-D1AE-8226-B507-347106812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26181" y="0"/>
          <a:ext cx="8227060" cy="4213224"/>
        </a:xfrm>
        <a:prstGeom prst="rect">
          <a:avLst/>
        </a:prstGeom>
      </xdr:spPr>
    </xdr:pic>
    <xdr:clientData/>
  </xdr:twoCellAnchor>
  <xdr:twoCellAnchor editAs="oneCell">
    <xdr:from>
      <xdr:col>24</xdr:col>
      <xdr:colOff>719666</xdr:colOff>
      <xdr:row>16</xdr:row>
      <xdr:rowOff>95249</xdr:rowOff>
    </xdr:from>
    <xdr:to>
      <xdr:col>34</xdr:col>
      <xdr:colOff>508000</xdr:colOff>
      <xdr:row>33</xdr:row>
      <xdr:rowOff>27349</xdr:rowOff>
    </xdr:to>
    <xdr:pic>
      <xdr:nvPicPr>
        <xdr:cNvPr id="4" name="Bilde 3">
          <a:extLst>
            <a:ext uri="{FF2B5EF4-FFF2-40B4-BE49-F238E27FC236}">
              <a16:creationId xmlns:a16="http://schemas.microsoft.com/office/drawing/2014/main" id="{F7F8BA86-3483-EFC5-CEED-2FDD68E3A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960916" y="4413249"/>
          <a:ext cx="8043334" cy="4519975"/>
        </a:xfrm>
        <a:prstGeom prst="rect">
          <a:avLst/>
        </a:prstGeom>
      </xdr:spPr>
    </xdr:pic>
    <xdr:clientData/>
  </xdr:twoCellAnchor>
  <xdr:twoCellAnchor editAs="oneCell">
    <xdr:from>
      <xdr:col>4</xdr:col>
      <xdr:colOff>747889</xdr:colOff>
      <xdr:row>12</xdr:row>
      <xdr:rowOff>211666</xdr:rowOff>
    </xdr:from>
    <xdr:to>
      <xdr:col>8</xdr:col>
      <xdr:colOff>660835</xdr:colOff>
      <xdr:row>17</xdr:row>
      <xdr:rowOff>98778</xdr:rowOff>
    </xdr:to>
    <xdr:pic>
      <xdr:nvPicPr>
        <xdr:cNvPr id="5" name="Bilde 4">
          <a:extLst>
            <a:ext uri="{FF2B5EF4-FFF2-40B4-BE49-F238E27FC236}">
              <a16:creationId xmlns:a16="http://schemas.microsoft.com/office/drawing/2014/main" id="{85AF3077-6AF9-4A42-29F6-FFC0CFE23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01445" y="3428999"/>
          <a:ext cx="3412501" cy="1227668"/>
        </a:xfrm>
        <a:prstGeom prst="rect">
          <a:avLst/>
        </a:prstGeom>
      </xdr:spPr>
    </xdr:pic>
    <xdr:clientData/>
  </xdr:twoCellAnchor>
  <xdr:twoCellAnchor editAs="oneCell">
    <xdr:from>
      <xdr:col>9</xdr:col>
      <xdr:colOff>841374</xdr:colOff>
      <xdr:row>26</xdr:row>
      <xdr:rowOff>47625</xdr:rowOff>
    </xdr:from>
    <xdr:to>
      <xdr:col>15</xdr:col>
      <xdr:colOff>382272</xdr:colOff>
      <xdr:row>30</xdr:row>
      <xdr:rowOff>111125</xdr:rowOff>
    </xdr:to>
    <xdr:pic>
      <xdr:nvPicPr>
        <xdr:cNvPr id="6" name="Bilde 5">
          <a:extLst>
            <a:ext uri="{FF2B5EF4-FFF2-40B4-BE49-F238E27FC236}">
              <a16:creationId xmlns:a16="http://schemas.microsoft.com/office/drawing/2014/main" id="{16594634-9B0A-E0EC-516F-4E93C66BB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89999" y="7064375"/>
          <a:ext cx="9304023" cy="11430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gust Hodt" id="{5FDE49D1-A79D-D045-9A2E-7E4A896E15B4}" userId="a530012ce760c12d" providerId="Windows Live"/>
  <person displayName="(Student) Hodt, August" id="{03F14725-5B14-A646-93A0-04AC69440968}" userId="S::s2511823@bi.no::44d2ca7c-c877-4b52-8217-c5df9fee6d96" providerId="AD"/>
</personList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4" dT="2025-08-13T05:18:05.27" personId="{5FDE49D1-A79D-D045-9A2E-7E4A896E15B4}" id="{82328C62-DF8F-C24F-8307-F40892C93A4A}">
    <text xml:space="preserve">165-185
</text>
  </threadedComment>
  <threadedComment ref="S4" dT="2025-10-29T07:28:18.01" personId="{5FDE49D1-A79D-D045-9A2E-7E4A896E15B4}" id="{B895511D-CBA5-9C4E-96D1-6E733BD402FA}">
    <text>Guidance 155 - 175</text>
  </threadedComment>
  <threadedComment ref="U4" dT="2026-06-26T07:42:59.02" personId="{03F14725-5B14-A646-93A0-04AC69440968}" id="{19E1B78D-9560-4840-9DD5-8156DEB6E121}">
    <text xml:space="preserve">200-220 m
</text>
  </threadedComment>
  <threadedComment ref="V4" dT="2026-08-07T06:45:58.74" personId="{03F14725-5B14-A646-93A0-04AC69440968}" id="{EEBB5E24-2C64-1440-A49A-7303AE7989A9}">
    <text xml:space="preserve">220-240
</text>
  </threadedComment>
  <threadedComment ref="R75" dT="2025-10-29T07:36:15.69" personId="{5FDE49D1-A79D-D045-9A2E-7E4A896E15B4}" id="{EE9F1452-F91E-5E46-A17A-C9B6B94B30DB}">
    <text>Oppkjøp på -106,547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7" dT="2026-06-30T08:27:36.74" personId="{03F14725-5B14-A646-93A0-04AC69440968}" id="{89C427DB-6B52-6944-8A1C-F18051DF3C75}">
    <text>Cellular IoT
Profitabel 2028</text>
  </threadedComment>
  <threadedComment ref="B10" dT="2026-06-29T08:22:55.54" personId="{03F14725-5B14-A646-93A0-04AC69440968}" id="{9D980B54-F522-7E4C-AE8A-D68E6549EB67}">
    <text>Wifi: nRF70-serien
PMIC: power management integrated circuit (nPM-familien)
Rev-base &gt; 50USDm og profit 2028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4" dT="2026-07-29T11:03:37.28" personId="{03F14725-5B14-A646-93A0-04AC69440968}" id="{A2537B76-19DE-374B-965C-F5979AC78F71}">
    <text>Fiscal årene er ett år frem ift kalenderen</text>
  </threadedComment>
  <threadedComment ref="B39" dT="2026-07-29T11:01:58.33" personId="{03F14725-5B14-A646-93A0-04AC69440968}" id="{C12A32C2-0A47-5D48-9F0A-08CDC4B0D48A}">
    <text>Stor neg = positivt for NOD
Stor pos = Negativt for NOD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6BD9236-349A-C24A-BEAD-7E3E1AF0213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5f58811-1501-489c-b43e-a7bd877ba0c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17890-E153-2247-802B-A6B31C2C3895}">
  <dimension ref="A2:Z86"/>
  <sheetViews>
    <sheetView showGridLines="0" zoomScale="80" zoomScaleNormal="80" workbookViewId="0">
      <selection activeCell="P4" sqref="P4"/>
    </sheetView>
  </sheetViews>
  <sheetFormatPr baseColWidth="10" defaultRowHeight="21" x14ac:dyDescent="0.25"/>
  <cols>
    <col min="1" max="1" width="16.33203125" style="40" bestFit="1" customWidth="1"/>
    <col min="2" max="2" width="11.1640625" style="40" bestFit="1" customWidth="1"/>
    <col min="3" max="6" width="10.83203125" style="40"/>
    <col min="7" max="7" width="13.1640625" style="40" bestFit="1" customWidth="1"/>
    <col min="8" max="9" width="10.83203125" style="40"/>
    <col min="10" max="10" width="12.5" style="40" bestFit="1" customWidth="1"/>
    <col min="11" max="11" width="12.1640625" style="40" bestFit="1" customWidth="1"/>
    <col min="12" max="12" width="53.33203125" style="40" bestFit="1" customWidth="1"/>
    <col min="13" max="13" width="25.83203125" style="40" customWidth="1"/>
    <col min="14" max="14" width="13.5" style="40" customWidth="1"/>
    <col min="15" max="16384" width="10.83203125" style="40"/>
  </cols>
  <sheetData>
    <row r="2" spans="1:16" x14ac:dyDescent="0.25">
      <c r="A2" s="40" t="s">
        <v>17</v>
      </c>
      <c r="P2" s="41" t="s">
        <v>136</v>
      </c>
    </row>
    <row r="3" spans="1:16" x14ac:dyDescent="0.25">
      <c r="A3" s="40" t="s">
        <v>18</v>
      </c>
      <c r="P3" s="40" t="s">
        <v>284</v>
      </c>
    </row>
    <row r="4" spans="1:16" x14ac:dyDescent="0.25">
      <c r="A4" s="40" t="s">
        <v>137</v>
      </c>
      <c r="B4" s="42"/>
      <c r="P4" s="40" t="s">
        <v>283</v>
      </c>
    </row>
    <row r="5" spans="1:16" x14ac:dyDescent="0.25">
      <c r="A5" s="40" t="s">
        <v>175</v>
      </c>
      <c r="B5" s="42"/>
      <c r="P5" s="40" t="s">
        <v>282</v>
      </c>
    </row>
    <row r="6" spans="1:16" x14ac:dyDescent="0.25">
      <c r="A6" s="40" t="s">
        <v>281</v>
      </c>
      <c r="B6" s="42"/>
      <c r="P6" s="40" t="s">
        <v>256</v>
      </c>
    </row>
    <row r="7" spans="1:16" x14ac:dyDescent="0.25">
      <c r="A7" s="41" t="s">
        <v>177</v>
      </c>
      <c r="B7" s="42"/>
      <c r="P7" s="40" t="s">
        <v>257</v>
      </c>
    </row>
    <row r="8" spans="1:16" x14ac:dyDescent="0.25">
      <c r="A8" s="40" t="s">
        <v>176</v>
      </c>
      <c r="B8" s="42"/>
      <c r="P8" s="40" t="s">
        <v>258</v>
      </c>
    </row>
    <row r="9" spans="1:16" x14ac:dyDescent="0.25">
      <c r="A9" s="41"/>
      <c r="B9" s="43"/>
      <c r="P9" s="40" t="s">
        <v>259</v>
      </c>
    </row>
    <row r="10" spans="1:16" x14ac:dyDescent="0.25">
      <c r="P10" s="40" t="s">
        <v>260</v>
      </c>
    </row>
    <row r="11" spans="1:16" x14ac:dyDescent="0.25">
      <c r="P11" s="40" t="s">
        <v>261</v>
      </c>
    </row>
    <row r="12" spans="1:16" x14ac:dyDescent="0.25">
      <c r="P12" s="40" t="s">
        <v>262</v>
      </c>
    </row>
    <row r="13" spans="1:16" x14ac:dyDescent="0.25">
      <c r="P13" s="40" t="s">
        <v>263</v>
      </c>
    </row>
    <row r="14" spans="1:16" x14ac:dyDescent="0.25">
      <c r="J14" s="50" t="s">
        <v>199</v>
      </c>
      <c r="K14" s="50" t="s">
        <v>200</v>
      </c>
      <c r="L14" s="50" t="s">
        <v>201</v>
      </c>
      <c r="M14" s="50" t="s">
        <v>202</v>
      </c>
    </row>
    <row r="15" spans="1:16" x14ac:dyDescent="0.25">
      <c r="J15" s="52" t="s">
        <v>203</v>
      </c>
      <c r="K15" s="53" t="s">
        <v>204</v>
      </c>
      <c r="L15" s="51" t="s">
        <v>205</v>
      </c>
      <c r="M15" s="51" t="s">
        <v>206</v>
      </c>
    </row>
    <row r="16" spans="1:16" x14ac:dyDescent="0.25">
      <c r="J16" s="55" t="s">
        <v>203</v>
      </c>
      <c r="K16" s="56" t="s">
        <v>207</v>
      </c>
      <c r="L16" s="54" t="s">
        <v>208</v>
      </c>
      <c r="M16" s="54" t="s">
        <v>209</v>
      </c>
    </row>
    <row r="17" spans="1:15" x14ac:dyDescent="0.25">
      <c r="J17" s="52" t="s">
        <v>203</v>
      </c>
      <c r="K17" s="53" t="s">
        <v>210</v>
      </c>
      <c r="L17" s="51" t="s">
        <v>211</v>
      </c>
      <c r="M17" s="51" t="s">
        <v>212</v>
      </c>
      <c r="N17" s="40" t="s">
        <v>242</v>
      </c>
      <c r="O17" s="40" t="s">
        <v>246</v>
      </c>
    </row>
    <row r="18" spans="1:15" x14ac:dyDescent="0.25">
      <c r="J18" s="58" t="s">
        <v>213</v>
      </c>
      <c r="K18" s="59" t="s">
        <v>214</v>
      </c>
      <c r="L18" s="57" t="s">
        <v>215</v>
      </c>
      <c r="M18" s="57" t="s">
        <v>216</v>
      </c>
    </row>
    <row r="19" spans="1:15" x14ac:dyDescent="0.25">
      <c r="J19" s="61" t="s">
        <v>213</v>
      </c>
      <c r="K19" s="62" t="s">
        <v>217</v>
      </c>
      <c r="L19" s="60" t="s">
        <v>218</v>
      </c>
      <c r="M19" s="60" t="s">
        <v>244</v>
      </c>
    </row>
    <row r="20" spans="1:15" x14ac:dyDescent="0.25">
      <c r="J20" s="58" t="s">
        <v>213</v>
      </c>
      <c r="K20" s="59" t="s">
        <v>219</v>
      </c>
      <c r="L20" s="57" t="s">
        <v>220</v>
      </c>
      <c r="M20" s="57" t="s">
        <v>245</v>
      </c>
      <c r="N20" s="40" t="s">
        <v>242</v>
      </c>
      <c r="O20" s="40" t="s">
        <v>246</v>
      </c>
    </row>
    <row r="21" spans="1:15" x14ac:dyDescent="0.25">
      <c r="J21" s="64" t="s">
        <v>221</v>
      </c>
      <c r="K21" s="65" t="s">
        <v>222</v>
      </c>
      <c r="L21" s="63" t="s">
        <v>223</v>
      </c>
      <c r="M21" s="63" t="s">
        <v>224</v>
      </c>
    </row>
    <row r="22" spans="1:15" x14ac:dyDescent="0.25">
      <c r="A22" s="41" t="s">
        <v>139</v>
      </c>
      <c r="J22" s="67" t="s">
        <v>221</v>
      </c>
      <c r="K22" s="68" t="s">
        <v>225</v>
      </c>
      <c r="L22" s="66" t="s">
        <v>226</v>
      </c>
      <c r="M22" s="66" t="s">
        <v>224</v>
      </c>
    </row>
    <row r="23" spans="1:15" x14ac:dyDescent="0.25">
      <c r="A23" s="40" t="s">
        <v>140</v>
      </c>
    </row>
    <row r="24" spans="1:15" x14ac:dyDescent="0.25">
      <c r="A24" s="40" t="s">
        <v>186</v>
      </c>
    </row>
    <row r="25" spans="1:15" x14ac:dyDescent="0.25">
      <c r="A25" s="40" t="s">
        <v>141</v>
      </c>
    </row>
    <row r="26" spans="1:15" x14ac:dyDescent="0.25">
      <c r="A26" s="40" t="s">
        <v>142</v>
      </c>
    </row>
    <row r="28" spans="1:15" x14ac:dyDescent="0.25">
      <c r="A28" s="41" t="s">
        <v>143</v>
      </c>
    </row>
    <row r="29" spans="1:15" x14ac:dyDescent="0.25">
      <c r="A29" s="40" t="s">
        <v>144</v>
      </c>
    </row>
    <row r="30" spans="1:15" x14ac:dyDescent="0.25">
      <c r="A30" s="40" t="s">
        <v>187</v>
      </c>
    </row>
    <row r="31" spans="1:15" x14ac:dyDescent="0.25">
      <c r="A31" s="40" t="s">
        <v>145</v>
      </c>
    </row>
    <row r="32" spans="1:15" x14ac:dyDescent="0.25">
      <c r="A32" s="40" t="s">
        <v>146</v>
      </c>
      <c r="K32" s="40" t="s">
        <v>247</v>
      </c>
    </row>
    <row r="34" spans="1:26" x14ac:dyDescent="0.25">
      <c r="A34" s="41" t="s">
        <v>147</v>
      </c>
      <c r="B34" s="40" t="s">
        <v>174</v>
      </c>
    </row>
    <row r="35" spans="1:26" x14ac:dyDescent="0.25">
      <c r="A35" s="40" t="s">
        <v>178</v>
      </c>
      <c r="Z35" s="40" t="s">
        <v>138</v>
      </c>
    </row>
    <row r="36" spans="1:26" x14ac:dyDescent="0.25">
      <c r="A36" s="40" t="s">
        <v>148</v>
      </c>
    </row>
    <row r="37" spans="1:26" x14ac:dyDescent="0.25">
      <c r="A37" s="40" t="s">
        <v>149</v>
      </c>
    </row>
    <row r="38" spans="1:26" x14ac:dyDescent="0.25">
      <c r="A38" s="40" t="s">
        <v>150</v>
      </c>
    </row>
    <row r="40" spans="1:26" x14ac:dyDescent="0.25">
      <c r="A40" s="41" t="s">
        <v>155</v>
      </c>
    </row>
    <row r="41" spans="1:26" x14ac:dyDescent="0.25">
      <c r="A41" s="40" t="s">
        <v>156</v>
      </c>
    </row>
    <row r="42" spans="1:26" x14ac:dyDescent="0.25">
      <c r="A42" s="40" t="s">
        <v>157</v>
      </c>
    </row>
    <row r="43" spans="1:26" x14ac:dyDescent="0.25">
      <c r="A43" s="40" t="s">
        <v>158</v>
      </c>
    </row>
    <row r="44" spans="1:26" x14ac:dyDescent="0.25">
      <c r="A44" s="40" t="s">
        <v>159</v>
      </c>
    </row>
    <row r="46" spans="1:26" x14ac:dyDescent="0.25">
      <c r="A46" s="41" t="s">
        <v>151</v>
      </c>
    </row>
    <row r="47" spans="1:26" x14ac:dyDescent="0.25">
      <c r="A47" s="40" t="s">
        <v>152</v>
      </c>
    </row>
    <row r="48" spans="1:26" x14ac:dyDescent="0.25">
      <c r="A48" s="40" t="s">
        <v>153</v>
      </c>
    </row>
    <row r="49" spans="1:1" x14ac:dyDescent="0.25">
      <c r="A49" s="40" t="s">
        <v>154</v>
      </c>
    </row>
    <row r="50" spans="1:1" x14ac:dyDescent="0.25">
      <c r="A50" s="40" t="s">
        <v>160</v>
      </c>
    </row>
    <row r="52" spans="1:1" x14ac:dyDescent="0.25">
      <c r="A52" s="41" t="s">
        <v>188</v>
      </c>
    </row>
    <row r="53" spans="1:1" x14ac:dyDescent="0.25">
      <c r="A53" s="49" t="s">
        <v>190</v>
      </c>
    </row>
    <row r="54" spans="1:1" x14ac:dyDescent="0.25">
      <c r="A54" s="49" t="s">
        <v>191</v>
      </c>
    </row>
    <row r="55" spans="1:1" x14ac:dyDescent="0.25">
      <c r="A55" s="49" t="s">
        <v>192</v>
      </c>
    </row>
    <row r="56" spans="1:1" x14ac:dyDescent="0.25">
      <c r="A56" s="49" t="s">
        <v>197</v>
      </c>
    </row>
    <row r="58" spans="1:1" x14ac:dyDescent="0.25">
      <c r="A58" s="41" t="s">
        <v>189</v>
      </c>
    </row>
    <row r="59" spans="1:1" x14ac:dyDescent="0.25">
      <c r="A59" s="49" t="s">
        <v>193</v>
      </c>
    </row>
    <row r="60" spans="1:1" x14ac:dyDescent="0.25">
      <c r="A60" s="49" t="s">
        <v>194</v>
      </c>
    </row>
    <row r="61" spans="1:1" x14ac:dyDescent="0.25">
      <c r="A61" s="49" t="s">
        <v>195</v>
      </c>
    </row>
    <row r="62" spans="1:1" x14ac:dyDescent="0.25">
      <c r="A62" s="49" t="s">
        <v>196</v>
      </c>
    </row>
    <row r="64" spans="1:1" x14ac:dyDescent="0.25">
      <c r="A64" s="41" t="s">
        <v>161</v>
      </c>
    </row>
    <row r="65" spans="1:1" x14ac:dyDescent="0.25">
      <c r="A65" s="40" t="s">
        <v>162</v>
      </c>
    </row>
    <row r="66" spans="1:1" x14ac:dyDescent="0.25">
      <c r="A66" s="40" t="s">
        <v>163</v>
      </c>
    </row>
    <row r="67" spans="1:1" x14ac:dyDescent="0.25">
      <c r="A67" s="40" t="s">
        <v>164</v>
      </c>
    </row>
    <row r="68" spans="1:1" x14ac:dyDescent="0.25">
      <c r="A68" s="40" t="s">
        <v>165</v>
      </c>
    </row>
    <row r="70" spans="1:1" x14ac:dyDescent="0.25">
      <c r="A70" s="41" t="s">
        <v>166</v>
      </c>
    </row>
    <row r="71" spans="1:1" x14ac:dyDescent="0.25">
      <c r="A71" s="41" t="s">
        <v>173</v>
      </c>
    </row>
    <row r="72" spans="1:1" x14ac:dyDescent="0.25">
      <c r="A72" s="40" t="s">
        <v>167</v>
      </c>
    </row>
    <row r="73" spans="1:1" x14ac:dyDescent="0.25">
      <c r="A73" s="40" t="s">
        <v>168</v>
      </c>
    </row>
    <row r="74" spans="1:1" x14ac:dyDescent="0.25">
      <c r="A74" s="40" t="s">
        <v>169</v>
      </c>
    </row>
    <row r="75" spans="1:1" x14ac:dyDescent="0.25">
      <c r="A75" s="40" t="s">
        <v>170</v>
      </c>
    </row>
    <row r="76" spans="1:1" x14ac:dyDescent="0.25">
      <c r="A76" s="40" t="s">
        <v>171</v>
      </c>
    </row>
    <row r="77" spans="1:1" x14ac:dyDescent="0.25">
      <c r="A77" s="40" t="s">
        <v>172</v>
      </c>
    </row>
    <row r="78" spans="1:1" x14ac:dyDescent="0.25">
      <c r="A78" s="49" t="s">
        <v>227</v>
      </c>
    </row>
    <row r="79" spans="1:1" x14ac:dyDescent="0.25">
      <c r="A79" s="49" t="s">
        <v>228</v>
      </c>
    </row>
    <row r="80" spans="1:1" x14ac:dyDescent="0.25">
      <c r="A80" s="49" t="s">
        <v>229</v>
      </c>
    </row>
    <row r="81" spans="1:1" x14ac:dyDescent="0.25">
      <c r="A81" s="49" t="s">
        <v>230</v>
      </c>
    </row>
    <row r="82" spans="1:1" x14ac:dyDescent="0.25">
      <c r="A82" s="49" t="s">
        <v>231</v>
      </c>
    </row>
    <row r="83" spans="1:1" x14ac:dyDescent="0.25">
      <c r="A83" s="49" t="s">
        <v>232</v>
      </c>
    </row>
    <row r="84" spans="1:1" x14ac:dyDescent="0.25">
      <c r="A84" s="49" t="s">
        <v>233</v>
      </c>
    </row>
    <row r="85" spans="1:1" x14ac:dyDescent="0.25">
      <c r="A85" s="49" t="s">
        <v>234</v>
      </c>
    </row>
    <row r="86" spans="1:1" x14ac:dyDescent="0.25">
      <c r="A86" s="49" t="s">
        <v>235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BE332-FE01-F14B-86CF-4F8B00B123C4}">
  <dimension ref="A1:JO117"/>
  <sheetViews>
    <sheetView showGridLines="0" workbookViewId="0">
      <pane xSplit="3" ySplit="3" topLeftCell="P4" activePane="bottomRight" state="frozen"/>
      <selection pane="topRight" activeCell="D1" sqref="D1"/>
      <selection pane="bottomLeft" activeCell="A4" sqref="A4"/>
      <selection pane="bottomRight" activeCell="B5" sqref="B5"/>
    </sheetView>
  </sheetViews>
  <sheetFormatPr baseColWidth="10" defaultRowHeight="19" x14ac:dyDescent="0.25"/>
  <cols>
    <col min="1" max="1" width="16.33203125" style="1" bestFit="1" customWidth="1"/>
    <col min="2" max="2" width="12.6640625" style="5" bestFit="1" customWidth="1"/>
    <col min="3" max="3" width="30" style="1" bestFit="1" customWidth="1"/>
    <col min="4" max="31" width="10.83203125" style="1"/>
    <col min="32" max="32" width="10.83203125" style="5"/>
    <col min="33" max="42" width="10.83203125" style="1"/>
    <col min="43" max="43" width="14.83203125" style="1" bestFit="1" customWidth="1"/>
    <col min="44" max="44" width="12.1640625" style="1" bestFit="1" customWidth="1"/>
    <col min="45" max="16384" width="10.83203125" style="1"/>
  </cols>
  <sheetData>
    <row r="1" spans="1:41" x14ac:dyDescent="0.25">
      <c r="AE1"/>
    </row>
    <row r="2" spans="1:41" x14ac:dyDescent="0.25">
      <c r="AE2"/>
    </row>
    <row r="3" spans="1:41" x14ac:dyDescent="0.25">
      <c r="A3" s="2" t="s">
        <v>0</v>
      </c>
      <c r="C3" s="1" t="s">
        <v>266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  <c r="N3" s="21" t="s">
        <v>13</v>
      </c>
      <c r="O3" s="21" t="s">
        <v>14</v>
      </c>
      <c r="P3" s="21" t="s">
        <v>90</v>
      </c>
      <c r="Q3" s="21" t="s">
        <v>91</v>
      </c>
      <c r="R3" s="21" t="s">
        <v>92</v>
      </c>
      <c r="S3" s="21" t="s">
        <v>93</v>
      </c>
      <c r="T3" s="21" t="s">
        <v>179</v>
      </c>
      <c r="U3" s="21" t="s">
        <v>180</v>
      </c>
      <c r="V3" s="21" t="s">
        <v>181</v>
      </c>
      <c r="W3" s="21" t="s">
        <v>182</v>
      </c>
      <c r="X3" s="21"/>
      <c r="Y3" s="21" t="s">
        <v>115</v>
      </c>
      <c r="Z3" s="21" t="s">
        <v>116</v>
      </c>
      <c r="AA3" s="21" t="s">
        <v>117</v>
      </c>
      <c r="AB3" s="21" t="s">
        <v>74</v>
      </c>
      <c r="AC3" s="21" t="s">
        <v>75</v>
      </c>
      <c r="AD3" s="21" t="s">
        <v>76</v>
      </c>
      <c r="AE3" s="21" t="s">
        <v>77</v>
      </c>
      <c r="AF3" s="22" t="s">
        <v>78</v>
      </c>
      <c r="AG3" s="21" t="s">
        <v>79</v>
      </c>
      <c r="AH3" s="21" t="s">
        <v>80</v>
      </c>
      <c r="AI3" s="21" t="s">
        <v>81</v>
      </c>
      <c r="AJ3" s="21" t="s">
        <v>82</v>
      </c>
      <c r="AK3" s="21" t="s">
        <v>83</v>
      </c>
      <c r="AL3" s="21" t="s">
        <v>84</v>
      </c>
      <c r="AM3" s="21" t="s">
        <v>85</v>
      </c>
      <c r="AN3" s="21" t="s">
        <v>86</v>
      </c>
      <c r="AO3" s="21" t="s">
        <v>87</v>
      </c>
    </row>
    <row r="4" spans="1:41" x14ac:dyDescent="0.25">
      <c r="A4" s="1" t="s">
        <v>1</v>
      </c>
      <c r="B4" s="8">
        <v>177</v>
      </c>
      <c r="C4" s="2" t="s">
        <v>19</v>
      </c>
      <c r="D4" s="16">
        <v>183.08600000000001</v>
      </c>
      <c r="E4" s="16">
        <v>200.18700000000001</v>
      </c>
      <c r="F4" s="16">
        <v>202.08699999999999</v>
      </c>
      <c r="G4" s="16">
        <v>191.374</v>
      </c>
      <c r="H4" s="16">
        <v>145.428</v>
      </c>
      <c r="I4" s="16">
        <v>154.21700000000001</v>
      </c>
      <c r="J4" s="16">
        <v>135.03100000000001</v>
      </c>
      <c r="K4" s="16">
        <v>108.193</v>
      </c>
      <c r="L4" s="16">
        <v>74.498000000000005</v>
      </c>
      <c r="M4" s="16">
        <v>127.949</v>
      </c>
      <c r="N4" s="16">
        <v>158.773</v>
      </c>
      <c r="O4" s="16">
        <v>150.19999999999999</v>
      </c>
      <c r="P4" s="16">
        <v>155.06800000000001</v>
      </c>
      <c r="Q4" s="16">
        <v>164</v>
      </c>
      <c r="R4" s="16">
        <v>179</v>
      </c>
      <c r="S4" s="16">
        <v>169.50899999999999</v>
      </c>
      <c r="T4" s="16">
        <v>192.44300000000001</v>
      </c>
      <c r="U4" s="16">
        <v>218.566</v>
      </c>
      <c r="V4" s="16"/>
      <c r="W4" s="16"/>
      <c r="X4" s="16"/>
      <c r="Y4" s="16">
        <v>288.39499999999998</v>
      </c>
      <c r="Z4" s="16">
        <v>405.21699999999998</v>
      </c>
      <c r="AA4" s="16">
        <v>610.52800000000002</v>
      </c>
      <c r="AB4" s="16">
        <f>SUM(D4:G4)</f>
        <v>776.73400000000004</v>
      </c>
      <c r="AC4" s="16">
        <f>SUM(H4:K4)</f>
        <v>542.86900000000003</v>
      </c>
      <c r="AD4" s="16">
        <f>SUM(L4:O4)</f>
        <v>511.42</v>
      </c>
      <c r="AE4" s="2">
        <v>668</v>
      </c>
      <c r="AF4" s="17">
        <f>AE4*1.25</f>
        <v>835</v>
      </c>
      <c r="AG4" s="16">
        <f>AF4*1.2</f>
        <v>1002</v>
      </c>
      <c r="AH4" s="16">
        <f>AG4*1.2</f>
        <v>1202.3999999999999</v>
      </c>
      <c r="AI4" s="16">
        <f t="shared" ref="AI4:AO4" si="0">AH4*1.2</f>
        <v>1442.8799999999999</v>
      </c>
      <c r="AJ4" s="16">
        <f t="shared" si="0"/>
        <v>1731.4559999999999</v>
      </c>
      <c r="AK4" s="16">
        <f t="shared" si="0"/>
        <v>2077.7471999999998</v>
      </c>
      <c r="AL4" s="16">
        <f t="shared" si="0"/>
        <v>2493.2966399999996</v>
      </c>
      <c r="AM4" s="16">
        <f t="shared" si="0"/>
        <v>2991.9559679999993</v>
      </c>
      <c r="AN4" s="16">
        <f t="shared" si="0"/>
        <v>3590.3471615999993</v>
      </c>
      <c r="AO4" s="16">
        <f t="shared" si="0"/>
        <v>4308.4165939199993</v>
      </c>
    </row>
    <row r="5" spans="1:41" x14ac:dyDescent="0.25">
      <c r="A5" s="1" t="s">
        <v>15</v>
      </c>
      <c r="B5" s="74">
        <v>199.8</v>
      </c>
      <c r="C5" s="1" t="s">
        <v>20</v>
      </c>
      <c r="D5" s="18">
        <v>-73.763000000000005</v>
      </c>
      <c r="E5" s="18">
        <v>-89.346999999999994</v>
      </c>
      <c r="F5" s="18">
        <v>-86.35</v>
      </c>
      <c r="G5" s="18">
        <v>-90.48</v>
      </c>
      <c r="H5" s="18">
        <v>-67.873999999999995</v>
      </c>
      <c r="I5" s="18">
        <v>-72.472999999999999</v>
      </c>
      <c r="J5" s="18">
        <v>-66.875</v>
      </c>
      <c r="K5" s="18">
        <v>-51.936</v>
      </c>
      <c r="L5" s="18">
        <v>-38.747999999999998</v>
      </c>
      <c r="M5" s="18">
        <v>-74.177999999999997</v>
      </c>
      <c r="N5" s="18">
        <v>-80.114999999999995</v>
      </c>
      <c r="O5" s="18">
        <v>-76.406000000000006</v>
      </c>
      <c r="P5" s="18">
        <v>-78.233999999999995</v>
      </c>
      <c r="Q5" s="18">
        <v>-80.789000000000001</v>
      </c>
      <c r="R5" s="18">
        <v>-86</v>
      </c>
      <c r="S5" s="18">
        <v>-76</v>
      </c>
      <c r="T5" s="18">
        <v>-92.155000000000001</v>
      </c>
      <c r="U5" s="18">
        <v>-102.48399999999999</v>
      </c>
      <c r="V5" s="18"/>
      <c r="W5" s="16"/>
      <c r="X5" s="18"/>
      <c r="Y5" s="18">
        <v>-141.29</v>
      </c>
      <c r="Z5" s="18">
        <v>-190.69</v>
      </c>
      <c r="AA5" s="18">
        <v>-283.41500000000002</v>
      </c>
      <c r="AB5" s="18">
        <f>SUM(D5:G5)</f>
        <v>-339.94</v>
      </c>
      <c r="AC5" s="18">
        <f>SUM(H5:K5)</f>
        <v>-259.15799999999996</v>
      </c>
      <c r="AD5" s="18">
        <f>SUM(L5:O5)</f>
        <v>-269.447</v>
      </c>
      <c r="AE5" s="1">
        <v>-321</v>
      </c>
      <c r="AF5" s="19">
        <f>AF4*-0.48</f>
        <v>-400.8</v>
      </c>
      <c r="AG5" s="18">
        <f t="shared" ref="AG5:AO5" si="1">AG4*-0.48</f>
        <v>-480.96</v>
      </c>
      <c r="AH5" s="18">
        <f t="shared" si="1"/>
        <v>-577.15199999999993</v>
      </c>
      <c r="AI5" s="18">
        <f t="shared" si="1"/>
        <v>-692.58239999999989</v>
      </c>
      <c r="AJ5" s="18">
        <f t="shared" si="1"/>
        <v>-831.09887999999989</v>
      </c>
      <c r="AK5" s="18">
        <f t="shared" si="1"/>
        <v>-997.31865599999992</v>
      </c>
      <c r="AL5" s="18">
        <f t="shared" si="1"/>
        <v>-1196.7823871999997</v>
      </c>
      <c r="AM5" s="18">
        <f t="shared" si="1"/>
        <v>-1436.1388646399996</v>
      </c>
      <c r="AN5" s="18">
        <f t="shared" si="1"/>
        <v>-1723.3666375679995</v>
      </c>
      <c r="AO5" s="18">
        <f t="shared" si="1"/>
        <v>-2068.0399650815998</v>
      </c>
    </row>
    <row r="6" spans="1:41" x14ac:dyDescent="0.25">
      <c r="A6" s="1" t="s">
        <v>16</v>
      </c>
      <c r="B6" s="8">
        <f>B4*B5</f>
        <v>35364.6</v>
      </c>
      <c r="C6" s="1" t="s">
        <v>21</v>
      </c>
      <c r="D6" s="18">
        <f t="shared" ref="D6:P6" si="2">SUM(D4:D5)</f>
        <v>109.32300000000001</v>
      </c>
      <c r="E6" s="18">
        <f t="shared" si="2"/>
        <v>110.84000000000002</v>
      </c>
      <c r="F6" s="18">
        <f t="shared" si="2"/>
        <v>115.73699999999999</v>
      </c>
      <c r="G6" s="18">
        <f t="shared" si="2"/>
        <v>100.89399999999999</v>
      </c>
      <c r="H6" s="18">
        <f t="shared" si="2"/>
        <v>77.554000000000002</v>
      </c>
      <c r="I6" s="18">
        <f t="shared" si="2"/>
        <v>81.744000000000014</v>
      </c>
      <c r="J6" s="18">
        <f t="shared" si="2"/>
        <v>68.156000000000006</v>
      </c>
      <c r="K6" s="18">
        <f t="shared" si="2"/>
        <v>56.256999999999998</v>
      </c>
      <c r="L6" s="18">
        <f t="shared" si="2"/>
        <v>35.750000000000007</v>
      </c>
      <c r="M6" s="18">
        <f t="shared" si="2"/>
        <v>53.771000000000001</v>
      </c>
      <c r="N6" s="18">
        <f t="shared" si="2"/>
        <v>78.658000000000001</v>
      </c>
      <c r="O6" s="18">
        <f t="shared" si="2"/>
        <v>73.793999999999983</v>
      </c>
      <c r="P6" s="18">
        <f t="shared" si="2"/>
        <v>76.834000000000017</v>
      </c>
      <c r="Q6" s="18">
        <f t="shared" ref="Q6:S6" si="3">SUM(Q4:Q5)</f>
        <v>83.210999999999999</v>
      </c>
      <c r="R6" s="18">
        <f t="shared" si="3"/>
        <v>93</v>
      </c>
      <c r="S6" s="18">
        <f t="shared" si="3"/>
        <v>93.508999999999986</v>
      </c>
      <c r="T6" s="18">
        <f t="shared" ref="T6:U6" si="4">SUM(T4:T5)</f>
        <v>100.28800000000001</v>
      </c>
      <c r="U6" s="18">
        <f t="shared" si="4"/>
        <v>116.08200000000001</v>
      </c>
      <c r="V6" s="18"/>
      <c r="W6" s="16"/>
      <c r="X6" s="18"/>
      <c r="Y6" s="18">
        <f t="shared" ref="Y6:AE6" si="5">SUM(Y4:Y5)</f>
        <v>147.10499999999999</v>
      </c>
      <c r="Z6" s="18">
        <f t="shared" si="5"/>
        <v>214.52699999999999</v>
      </c>
      <c r="AA6" s="18">
        <f t="shared" si="5"/>
        <v>327.113</v>
      </c>
      <c r="AB6" s="18">
        <f t="shared" si="5"/>
        <v>436.79400000000004</v>
      </c>
      <c r="AC6" s="18">
        <f t="shared" si="5"/>
        <v>283.71100000000007</v>
      </c>
      <c r="AD6" s="18">
        <f t="shared" si="5"/>
        <v>241.97300000000001</v>
      </c>
      <c r="AE6" s="18">
        <f t="shared" si="5"/>
        <v>347</v>
      </c>
      <c r="AF6" s="19">
        <f t="shared" ref="AF6:AO6" si="6">SUM(AF4:AF5)</f>
        <v>434.2</v>
      </c>
      <c r="AG6" s="18">
        <f t="shared" si="6"/>
        <v>521.04</v>
      </c>
      <c r="AH6" s="18">
        <f t="shared" si="6"/>
        <v>625.24799999999993</v>
      </c>
      <c r="AI6" s="18">
        <f t="shared" si="6"/>
        <v>750.29759999999999</v>
      </c>
      <c r="AJ6" s="18">
        <f t="shared" si="6"/>
        <v>900.35712000000001</v>
      </c>
      <c r="AK6" s="18">
        <f t="shared" si="6"/>
        <v>1080.4285439999999</v>
      </c>
      <c r="AL6" s="18">
        <f t="shared" si="6"/>
        <v>1296.5142527999999</v>
      </c>
      <c r="AM6" s="18">
        <f t="shared" si="6"/>
        <v>1555.8171033599997</v>
      </c>
      <c r="AN6" s="18">
        <f t="shared" si="6"/>
        <v>1866.9805240319997</v>
      </c>
      <c r="AO6" s="18">
        <f t="shared" si="6"/>
        <v>2240.3766288383995</v>
      </c>
    </row>
    <row r="7" spans="1:41" x14ac:dyDescent="0.25">
      <c r="A7" s="1" t="s">
        <v>71</v>
      </c>
      <c r="B7" s="8">
        <v>5798.2115999999996</v>
      </c>
      <c r="C7" s="1" t="s">
        <v>22</v>
      </c>
      <c r="D7" s="18">
        <v>-40.084000000000003</v>
      </c>
      <c r="E7" s="18">
        <v>-39.070999999999998</v>
      </c>
      <c r="F7" s="18">
        <v>-39.478999999999999</v>
      </c>
      <c r="G7" s="18">
        <v>-42.805999999999997</v>
      </c>
      <c r="H7" s="18">
        <v>-43.7</v>
      </c>
      <c r="I7" s="18">
        <v>-33.451999999999998</v>
      </c>
      <c r="J7" s="18">
        <v>-35.447000000000003</v>
      </c>
      <c r="K7" s="18">
        <v>-40.390999999999998</v>
      </c>
      <c r="L7" s="18">
        <v>-40.432000000000002</v>
      </c>
      <c r="M7" s="18">
        <v>-42.207000000000001</v>
      </c>
      <c r="N7" s="18">
        <v>-43.933999999999997</v>
      </c>
      <c r="O7" s="18">
        <v>-43.749000000000002</v>
      </c>
      <c r="P7" s="18">
        <v>-43.137</v>
      </c>
      <c r="Q7" s="18">
        <v>-41.445999999999998</v>
      </c>
      <c r="R7" s="18">
        <v>-56.360999999999997</v>
      </c>
      <c r="S7" s="18">
        <v>-53.063000000000002</v>
      </c>
      <c r="T7" s="18">
        <v>-56.156999999999996</v>
      </c>
      <c r="U7" s="18">
        <v>-56.905000000000001</v>
      </c>
      <c r="V7" s="18"/>
      <c r="W7" s="16"/>
      <c r="X7" s="18"/>
      <c r="Y7" s="18">
        <v>-80.281000000000006</v>
      </c>
      <c r="Z7" s="18">
        <v>-101.211</v>
      </c>
      <c r="AA7" s="18">
        <v>-149.82400000000001</v>
      </c>
      <c r="AB7" s="18">
        <f>SUM(D7:G7)</f>
        <v>-161.44</v>
      </c>
      <c r="AC7" s="18">
        <f>SUM(H7:K7)</f>
        <v>-152.99</v>
      </c>
      <c r="AD7" s="18">
        <f>SUM(L7:O7)</f>
        <v>-170.322</v>
      </c>
      <c r="AE7" s="1">
        <v>-194</v>
      </c>
      <c r="AF7" s="19">
        <f>AE7*1.17</f>
        <v>-226.98</v>
      </c>
      <c r="AG7" s="18">
        <f>AF7*1.16</f>
        <v>-263.29679999999996</v>
      </c>
      <c r="AH7" s="18">
        <f t="shared" ref="AH7:AO7" si="7">AG7*1.16</f>
        <v>-305.42428799999993</v>
      </c>
      <c r="AI7" s="18">
        <f t="shared" si="7"/>
        <v>-354.29217407999988</v>
      </c>
      <c r="AJ7" s="18">
        <f t="shared" si="7"/>
        <v>-410.97892193279984</v>
      </c>
      <c r="AK7" s="18">
        <f t="shared" si="7"/>
        <v>-476.73554944204778</v>
      </c>
      <c r="AL7" s="18">
        <f t="shared" si="7"/>
        <v>-553.01323735277538</v>
      </c>
      <c r="AM7" s="18">
        <f t="shared" si="7"/>
        <v>-641.49535532921936</v>
      </c>
      <c r="AN7" s="18">
        <f t="shared" si="7"/>
        <v>-744.13461218189445</v>
      </c>
      <c r="AO7" s="18">
        <f t="shared" si="7"/>
        <v>-863.19615013099747</v>
      </c>
    </row>
    <row r="8" spans="1:41" x14ac:dyDescent="0.25">
      <c r="A8" s="1" t="s">
        <v>72</v>
      </c>
      <c r="B8" s="8">
        <v>1012.6356</v>
      </c>
      <c r="C8" s="1" t="s">
        <v>23</v>
      </c>
      <c r="D8" s="18">
        <v>-14.506</v>
      </c>
      <c r="E8" s="18">
        <v>-19.84</v>
      </c>
      <c r="F8" s="18">
        <v>-16.123000000000001</v>
      </c>
      <c r="G8" s="18">
        <v>-19.215</v>
      </c>
      <c r="H8" s="18">
        <v>-19.297999999999998</v>
      </c>
      <c r="I8" s="18">
        <v>-19.774999999999999</v>
      </c>
      <c r="J8" s="18">
        <v>-19.863</v>
      </c>
      <c r="K8" s="18">
        <v>-22.754000000000001</v>
      </c>
      <c r="L8" s="18">
        <v>-18.149000000000001</v>
      </c>
      <c r="M8" s="18">
        <v>-18.795999999999999</v>
      </c>
      <c r="N8" s="18">
        <v>-18.559000000000001</v>
      </c>
      <c r="O8" s="18">
        <v>-21.376000000000001</v>
      </c>
      <c r="P8" s="18">
        <v>-18.954999999999998</v>
      </c>
      <c r="Q8" s="18">
        <v>-20.945</v>
      </c>
      <c r="R8" s="18">
        <v>-21</v>
      </c>
      <c r="S8" s="18">
        <v>-25</v>
      </c>
      <c r="T8" s="18">
        <v>-22.867999999999999</v>
      </c>
      <c r="U8" s="18">
        <v>-25.510999999999999</v>
      </c>
      <c r="V8" s="18"/>
      <c r="W8" s="16"/>
      <c r="X8" s="18"/>
      <c r="Y8" s="18">
        <v>-33.664999999999999</v>
      </c>
      <c r="Z8" s="18">
        <v>-35.954000000000001</v>
      </c>
      <c r="AA8" s="18">
        <v>-52</v>
      </c>
      <c r="AB8" s="18">
        <f>SUM(D8:G8)</f>
        <v>-69.684000000000012</v>
      </c>
      <c r="AC8" s="18">
        <f>SUM(H8:K8)</f>
        <v>-81.69</v>
      </c>
      <c r="AD8" s="18">
        <f>SUM(L8:O8)</f>
        <v>-76.88000000000001</v>
      </c>
      <c r="AE8" s="1">
        <v>-86</v>
      </c>
      <c r="AF8" s="19">
        <f>AE8*1.18</f>
        <v>-101.47999999999999</v>
      </c>
      <c r="AG8" s="18">
        <f t="shared" ref="AG8:AO8" si="8">AF8*1.05</f>
        <v>-106.55399999999999</v>
      </c>
      <c r="AH8" s="18">
        <f t="shared" si="8"/>
        <v>-111.8817</v>
      </c>
      <c r="AI8" s="18">
        <f t="shared" si="8"/>
        <v>-117.475785</v>
      </c>
      <c r="AJ8" s="18">
        <f t="shared" si="8"/>
        <v>-123.34957425</v>
      </c>
      <c r="AK8" s="18">
        <f t="shared" si="8"/>
        <v>-129.5170529625</v>
      </c>
      <c r="AL8" s="18">
        <f t="shared" si="8"/>
        <v>-135.992905610625</v>
      </c>
      <c r="AM8" s="18">
        <f t="shared" si="8"/>
        <v>-142.79255089115625</v>
      </c>
      <c r="AN8" s="18">
        <f t="shared" si="8"/>
        <v>-149.93217843571406</v>
      </c>
      <c r="AO8" s="18">
        <f t="shared" si="8"/>
        <v>-157.42878735749977</v>
      </c>
    </row>
    <row r="9" spans="1:41" x14ac:dyDescent="0.25">
      <c r="A9" s="2" t="s">
        <v>73</v>
      </c>
      <c r="B9" s="48">
        <f>B6-B7+B8</f>
        <v>30579.024000000001</v>
      </c>
      <c r="C9" s="2" t="s">
        <v>24</v>
      </c>
      <c r="D9" s="16">
        <f t="shared" ref="D9:P9" si="9">SUM(D6:D8)</f>
        <v>54.733000000000004</v>
      </c>
      <c r="E9" s="16">
        <f t="shared" si="9"/>
        <v>51.929000000000016</v>
      </c>
      <c r="F9" s="16">
        <f t="shared" si="9"/>
        <v>60.134999999999991</v>
      </c>
      <c r="G9" s="16">
        <f t="shared" si="9"/>
        <v>38.87299999999999</v>
      </c>
      <c r="H9" s="16">
        <f t="shared" si="9"/>
        <v>14.556000000000001</v>
      </c>
      <c r="I9" s="16">
        <f t="shared" si="9"/>
        <v>28.517000000000017</v>
      </c>
      <c r="J9" s="16">
        <f t="shared" si="9"/>
        <v>12.846000000000004</v>
      </c>
      <c r="K9" s="16">
        <f t="shared" si="9"/>
        <v>-6.8880000000000017</v>
      </c>
      <c r="L9" s="16">
        <f t="shared" si="9"/>
        <v>-22.830999999999996</v>
      </c>
      <c r="M9" s="16">
        <f t="shared" si="9"/>
        <v>-7.2319999999999993</v>
      </c>
      <c r="N9" s="16">
        <f t="shared" si="9"/>
        <v>16.165000000000003</v>
      </c>
      <c r="O9" s="16">
        <f t="shared" si="9"/>
        <v>8.6689999999999792</v>
      </c>
      <c r="P9" s="16">
        <f t="shared" si="9"/>
        <v>14.742000000000019</v>
      </c>
      <c r="Q9" s="16">
        <f t="shared" ref="Q9:S9" si="10">SUM(Q6:Q8)</f>
        <v>20.82</v>
      </c>
      <c r="R9" s="16">
        <f t="shared" si="10"/>
        <v>15.639000000000003</v>
      </c>
      <c r="S9" s="16">
        <f t="shared" si="10"/>
        <v>15.445999999999984</v>
      </c>
      <c r="T9" s="16">
        <f t="shared" ref="T9:U9" si="11">SUM(T6:T8)</f>
        <v>21.263000000000016</v>
      </c>
      <c r="U9" s="16">
        <f t="shared" si="11"/>
        <v>33.666000000000011</v>
      </c>
      <c r="V9" s="18"/>
      <c r="W9" s="16"/>
      <c r="X9" s="18"/>
      <c r="Y9" s="16">
        <f t="shared" ref="Y9:AE9" si="12">SUM(Y6:Y8)</f>
        <v>33.158999999999985</v>
      </c>
      <c r="Z9" s="16">
        <f t="shared" si="12"/>
        <v>77.361999999999995</v>
      </c>
      <c r="AA9" s="16">
        <f t="shared" si="12"/>
        <v>125.28899999999999</v>
      </c>
      <c r="AB9" s="16">
        <f t="shared" si="12"/>
        <v>205.67000000000002</v>
      </c>
      <c r="AC9" s="16">
        <f t="shared" si="12"/>
        <v>49.031000000000063</v>
      </c>
      <c r="AD9" s="16">
        <f t="shared" si="12"/>
        <v>-5.2289999999999992</v>
      </c>
      <c r="AE9" s="16">
        <f t="shared" si="12"/>
        <v>67</v>
      </c>
      <c r="AF9" s="17">
        <f t="shared" ref="AF9:AO9" si="13">SUM(AF6:AF8)</f>
        <v>105.74000000000001</v>
      </c>
      <c r="AG9" s="16">
        <f t="shared" si="13"/>
        <v>151.18920000000003</v>
      </c>
      <c r="AH9" s="16">
        <f t="shared" si="13"/>
        <v>207.94201200000001</v>
      </c>
      <c r="AI9" s="16">
        <f t="shared" si="13"/>
        <v>278.52964092000013</v>
      </c>
      <c r="AJ9" s="16">
        <f t="shared" si="13"/>
        <v>366.02862381720018</v>
      </c>
      <c r="AK9" s="16">
        <f t="shared" si="13"/>
        <v>474.17594159545206</v>
      </c>
      <c r="AL9" s="16">
        <f t="shared" si="13"/>
        <v>607.50810983659949</v>
      </c>
      <c r="AM9" s="16">
        <f t="shared" si="13"/>
        <v>771.5291971396241</v>
      </c>
      <c r="AN9" s="16">
        <f t="shared" si="13"/>
        <v>972.91373341439123</v>
      </c>
      <c r="AO9" s="16">
        <f t="shared" si="13"/>
        <v>1219.7516913499023</v>
      </c>
    </row>
    <row r="10" spans="1:41" x14ac:dyDescent="0.25">
      <c r="C10" s="1" t="s">
        <v>25</v>
      </c>
      <c r="D10" s="18">
        <v>-10.038</v>
      </c>
      <c r="E10" s="18">
        <v>-10.55</v>
      </c>
      <c r="F10" s="18">
        <v>-11.627000000000001</v>
      </c>
      <c r="G10" s="18">
        <v>-11.852</v>
      </c>
      <c r="H10" s="18">
        <v>-11.509</v>
      </c>
      <c r="I10" s="18">
        <v>-10.935</v>
      </c>
      <c r="J10" s="18">
        <v>-10.747</v>
      </c>
      <c r="K10" s="18">
        <v>-11.137</v>
      </c>
      <c r="L10" s="18">
        <v>-10.654999999999999</v>
      </c>
      <c r="M10" s="18">
        <v>-9.5619999999999994</v>
      </c>
      <c r="N10" s="18">
        <v>-9.98</v>
      </c>
      <c r="O10" s="18">
        <v>-10.377000000000001</v>
      </c>
      <c r="P10" s="18">
        <v>-9.0299999999999994</v>
      </c>
      <c r="Q10" s="18">
        <v>-9.3610000000000007</v>
      </c>
      <c r="R10" s="18">
        <v>-11.2</v>
      </c>
      <c r="S10" s="18">
        <v>-13.441000000000001</v>
      </c>
      <c r="T10" s="18">
        <v>-11.17</v>
      </c>
      <c r="U10" s="18">
        <v>-11.36</v>
      </c>
      <c r="V10" s="18"/>
      <c r="W10" s="16"/>
      <c r="X10" s="18"/>
      <c r="Y10" s="18">
        <v>-23.535</v>
      </c>
      <c r="Z10" s="18">
        <v>-31</v>
      </c>
      <c r="AA10" s="18">
        <v>-37.798000000000002</v>
      </c>
      <c r="AB10" s="18">
        <f>SUM(D10:G10)</f>
        <v>-44.067000000000007</v>
      </c>
      <c r="AC10" s="18">
        <f>SUM(H10:K10)</f>
        <v>-44.328000000000003</v>
      </c>
      <c r="AD10" s="18">
        <f>SUM(L10:O10)</f>
        <v>-40.573999999999998</v>
      </c>
      <c r="AE10" s="1">
        <v>-43</v>
      </c>
      <c r="AF10" s="19">
        <v>-40</v>
      </c>
      <c r="AG10" s="18">
        <v>-40</v>
      </c>
      <c r="AH10" s="18">
        <v>-40</v>
      </c>
      <c r="AI10" s="18">
        <v>-40</v>
      </c>
      <c r="AJ10" s="18">
        <v>-40</v>
      </c>
      <c r="AK10" s="18">
        <v>-40</v>
      </c>
      <c r="AL10" s="18">
        <v>-40</v>
      </c>
      <c r="AM10" s="18">
        <v>-40</v>
      </c>
      <c r="AN10" s="18">
        <v>-40</v>
      </c>
      <c r="AO10" s="18">
        <v>-40</v>
      </c>
    </row>
    <row r="11" spans="1:41" x14ac:dyDescent="0.25">
      <c r="A11" s="4" t="s">
        <v>34</v>
      </c>
      <c r="B11" s="6">
        <v>9.8000000000000007</v>
      </c>
      <c r="C11" s="2" t="s">
        <v>26</v>
      </c>
      <c r="D11" s="16">
        <f t="shared" ref="D11:P11" si="14">SUM(D9:D10)</f>
        <v>44.695000000000007</v>
      </c>
      <c r="E11" s="16">
        <f t="shared" si="14"/>
        <v>41.379000000000019</v>
      </c>
      <c r="F11" s="16">
        <f t="shared" si="14"/>
        <v>48.507999999999988</v>
      </c>
      <c r="G11" s="16">
        <f t="shared" si="14"/>
        <v>27.02099999999999</v>
      </c>
      <c r="H11" s="16">
        <f t="shared" si="14"/>
        <v>3.0470000000000006</v>
      </c>
      <c r="I11" s="16">
        <f t="shared" si="14"/>
        <v>17.582000000000015</v>
      </c>
      <c r="J11" s="16">
        <f t="shared" si="14"/>
        <v>2.0990000000000038</v>
      </c>
      <c r="K11" s="16">
        <f t="shared" si="14"/>
        <v>-18.025000000000002</v>
      </c>
      <c r="L11" s="16">
        <f t="shared" si="14"/>
        <v>-33.485999999999997</v>
      </c>
      <c r="M11" s="16">
        <f t="shared" si="14"/>
        <v>-16.793999999999997</v>
      </c>
      <c r="N11" s="16">
        <f t="shared" si="14"/>
        <v>6.1850000000000023</v>
      </c>
      <c r="O11" s="16">
        <f t="shared" si="14"/>
        <v>-1.7080000000000215</v>
      </c>
      <c r="P11" s="16">
        <f t="shared" si="14"/>
        <v>5.7120000000000193</v>
      </c>
      <c r="Q11" s="16">
        <f t="shared" ref="Q11:S11" si="15">SUM(Q9:Q10)</f>
        <v>11.459</v>
      </c>
      <c r="R11" s="16">
        <f t="shared" si="15"/>
        <v>4.4390000000000036</v>
      </c>
      <c r="S11" s="16">
        <f t="shared" si="15"/>
        <v>2.004999999999983</v>
      </c>
      <c r="T11" s="16">
        <f t="shared" ref="T11:U11" si="16">SUM(T9:T10)</f>
        <v>10.093000000000016</v>
      </c>
      <c r="U11" s="16">
        <f t="shared" si="16"/>
        <v>22.306000000000012</v>
      </c>
      <c r="V11" s="18"/>
      <c r="W11" s="16"/>
      <c r="X11" s="18"/>
      <c r="Y11" s="16">
        <f t="shared" ref="Y11:AE11" si="17">SUM(Y9:Y10)</f>
        <v>9.6239999999999846</v>
      </c>
      <c r="Z11" s="16">
        <f t="shared" si="17"/>
        <v>46.361999999999995</v>
      </c>
      <c r="AA11" s="16">
        <f t="shared" si="17"/>
        <v>87.490999999999985</v>
      </c>
      <c r="AB11" s="16">
        <f t="shared" si="17"/>
        <v>161.60300000000001</v>
      </c>
      <c r="AC11" s="16">
        <f t="shared" si="17"/>
        <v>4.7030000000000598</v>
      </c>
      <c r="AD11" s="16">
        <f t="shared" si="17"/>
        <v>-45.802999999999997</v>
      </c>
      <c r="AE11" s="16">
        <f t="shared" si="17"/>
        <v>24</v>
      </c>
      <c r="AF11" s="17">
        <f t="shared" ref="AF11:AO11" si="18">SUM(AF9:AF10)</f>
        <v>65.740000000000009</v>
      </c>
      <c r="AG11" s="16">
        <f t="shared" si="18"/>
        <v>111.18920000000003</v>
      </c>
      <c r="AH11" s="16">
        <f t="shared" si="18"/>
        <v>167.94201200000001</v>
      </c>
      <c r="AI11" s="16">
        <f t="shared" si="18"/>
        <v>238.52964092000013</v>
      </c>
      <c r="AJ11" s="16">
        <f t="shared" si="18"/>
        <v>326.02862381720018</v>
      </c>
      <c r="AK11" s="16">
        <f t="shared" si="18"/>
        <v>434.17594159545206</v>
      </c>
      <c r="AL11" s="16">
        <f t="shared" si="18"/>
        <v>567.50810983659949</v>
      </c>
      <c r="AM11" s="16">
        <f t="shared" si="18"/>
        <v>731.5291971396241</v>
      </c>
      <c r="AN11" s="16">
        <f t="shared" si="18"/>
        <v>932.91373341439123</v>
      </c>
      <c r="AO11" s="16">
        <f t="shared" si="18"/>
        <v>1179.7516913499023</v>
      </c>
    </row>
    <row r="12" spans="1:41" x14ac:dyDescent="0.25">
      <c r="C12" s="1" t="s">
        <v>27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-0.11600000000000001</v>
      </c>
      <c r="N12" s="18">
        <v>-0.11600000000000001</v>
      </c>
      <c r="O12" s="18">
        <v>-2.8000000000000001E-2</v>
      </c>
      <c r="P12" s="18">
        <v>-0.13100000000000001</v>
      </c>
      <c r="Q12" s="18">
        <v>-0.128</v>
      </c>
      <c r="R12" s="18">
        <v>0</v>
      </c>
      <c r="S12" s="18">
        <v>0</v>
      </c>
      <c r="T12" s="18">
        <v>0</v>
      </c>
      <c r="U12" s="18">
        <v>0</v>
      </c>
      <c r="V12" s="18"/>
      <c r="W12" s="16"/>
      <c r="X12" s="18"/>
      <c r="Y12" s="1">
        <v>0</v>
      </c>
      <c r="Z12" s="18">
        <f>0</f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9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</row>
    <row r="13" spans="1:41" x14ac:dyDescent="0.25">
      <c r="A13" s="1" t="s">
        <v>236</v>
      </c>
      <c r="B13" s="69">
        <f>(T51-T42)/AF9</f>
        <v>-1.6832324569699262</v>
      </c>
      <c r="C13" s="1" t="s">
        <v>28</v>
      </c>
      <c r="D13" s="18">
        <v>-5.6000000000000001E-2</v>
      </c>
      <c r="E13" s="18">
        <v>0.158</v>
      </c>
      <c r="F13" s="18">
        <v>0.78200000000000003</v>
      </c>
      <c r="G13" s="18">
        <v>4.05</v>
      </c>
      <c r="H13" s="18">
        <v>1.494</v>
      </c>
      <c r="I13" s="18">
        <v>1.5780000000000001</v>
      </c>
      <c r="J13" s="18">
        <v>0.52100000000000002</v>
      </c>
      <c r="K13" s="18">
        <v>2.4430000000000001</v>
      </c>
      <c r="L13" s="18">
        <v>0.496</v>
      </c>
      <c r="M13" s="18">
        <v>0.433</v>
      </c>
      <c r="N13" s="18">
        <v>-1.143</v>
      </c>
      <c r="O13" s="18">
        <v>-0.72899999999999998</v>
      </c>
      <c r="P13" s="18">
        <v>-0.52500000000000002</v>
      </c>
      <c r="Q13" s="18">
        <v>-0.33300000000000002</v>
      </c>
      <c r="R13" s="18">
        <v>-1.7</v>
      </c>
      <c r="S13" s="18">
        <v>-0.69</v>
      </c>
      <c r="T13" s="18">
        <v>-1.1950000000000001</v>
      </c>
      <c r="U13" s="18">
        <v>-0.63600000000000001</v>
      </c>
      <c r="V13" s="18"/>
      <c r="W13" s="16"/>
      <c r="X13" s="18"/>
      <c r="Y13" s="18">
        <f>1.9-1.1</f>
        <v>0.79999999999999982</v>
      </c>
      <c r="Z13" s="18">
        <f>0.642-1.416</f>
        <v>-0.77399999999999991</v>
      </c>
      <c r="AA13" s="18">
        <f>0.73-1.129</f>
        <v>-0.39900000000000002</v>
      </c>
      <c r="AB13" s="18">
        <f>SUM(D13:G13)</f>
        <v>4.9340000000000002</v>
      </c>
      <c r="AC13" s="18">
        <f>SUM(H13:K13)</f>
        <v>6.0359999999999996</v>
      </c>
      <c r="AD13" s="18">
        <f>SUM(L13:O13)</f>
        <v>-0.94299999999999995</v>
      </c>
      <c r="AE13" s="1">
        <v>-3</v>
      </c>
      <c r="AF13" s="19">
        <v>0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</row>
    <row r="14" spans="1:41" x14ac:dyDescent="0.25">
      <c r="C14" s="1" t="s">
        <v>29</v>
      </c>
      <c r="D14" s="18">
        <v>-0.19</v>
      </c>
      <c r="E14" s="18">
        <v>5.1120000000000001</v>
      </c>
      <c r="F14" s="18">
        <v>1.9850000000000001</v>
      </c>
      <c r="G14" s="18">
        <v>-6.2869999999999999</v>
      </c>
      <c r="H14" s="18">
        <v>3.8530000000000002</v>
      </c>
      <c r="I14" s="18">
        <v>0.42</v>
      </c>
      <c r="J14" s="18">
        <v>-0.91500000000000004</v>
      </c>
      <c r="K14" s="18">
        <v>-2.0009999999999999</v>
      </c>
      <c r="L14" s="18">
        <v>2.3559999999999999</v>
      </c>
      <c r="M14" s="18">
        <v>-1.5009999999999999</v>
      </c>
      <c r="N14" s="18">
        <v>0.57499999999999996</v>
      </c>
      <c r="O14" s="18">
        <v>2.3889999999999998</v>
      </c>
      <c r="P14" s="18">
        <v>-3</v>
      </c>
      <c r="Q14" s="18">
        <v>-0.92600000000000005</v>
      </c>
      <c r="R14" s="18">
        <v>-1.875</v>
      </c>
      <c r="S14" s="18">
        <v>-1.117</v>
      </c>
      <c r="T14" s="18">
        <v>0.67900000000000005</v>
      </c>
      <c r="U14" s="18">
        <v>0</v>
      </c>
      <c r="V14" s="18"/>
      <c r="W14" s="16"/>
      <c r="X14" s="18"/>
      <c r="Y14" s="18">
        <v>-0.375</v>
      </c>
      <c r="Z14" s="18">
        <v>-2</v>
      </c>
      <c r="AA14" s="18">
        <v>0.73899999999999999</v>
      </c>
      <c r="AB14" s="18">
        <f>SUM(D14:G14)</f>
        <v>0.62000000000000011</v>
      </c>
      <c r="AC14" s="18">
        <f>SUM(H14:K14)</f>
        <v>1.3570000000000007</v>
      </c>
      <c r="AD14" s="18">
        <f>SUM(L14:O14)</f>
        <v>3.819</v>
      </c>
      <c r="AE14" s="1">
        <v>-7</v>
      </c>
      <c r="AF14" s="19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</row>
    <row r="15" spans="1:41" x14ac:dyDescent="0.25">
      <c r="C15" s="1" t="s">
        <v>30</v>
      </c>
      <c r="D15" s="18">
        <f t="shared" ref="D15:P15" si="19">SUM(D11:D14)</f>
        <v>44.449000000000012</v>
      </c>
      <c r="E15" s="18">
        <f t="shared" si="19"/>
        <v>46.649000000000022</v>
      </c>
      <c r="F15" s="18">
        <f t="shared" si="19"/>
        <v>51.274999999999991</v>
      </c>
      <c r="G15" s="18">
        <f t="shared" si="19"/>
        <v>24.783999999999992</v>
      </c>
      <c r="H15" s="18">
        <f t="shared" si="19"/>
        <v>8.3940000000000001</v>
      </c>
      <c r="I15" s="18">
        <f t="shared" si="19"/>
        <v>19.580000000000016</v>
      </c>
      <c r="J15" s="18">
        <f t="shared" si="19"/>
        <v>1.7050000000000036</v>
      </c>
      <c r="K15" s="18">
        <f t="shared" si="19"/>
        <v>-17.583000000000002</v>
      </c>
      <c r="L15" s="18">
        <f t="shared" si="19"/>
        <v>-30.633999999999993</v>
      </c>
      <c r="M15" s="18">
        <f t="shared" si="19"/>
        <v>-17.977999999999998</v>
      </c>
      <c r="N15" s="18">
        <f t="shared" si="19"/>
        <v>5.501000000000003</v>
      </c>
      <c r="O15" s="18">
        <f t="shared" si="19"/>
        <v>-7.6000000000021828E-2</v>
      </c>
      <c r="P15" s="18">
        <f t="shared" si="19"/>
        <v>2.0560000000000187</v>
      </c>
      <c r="Q15" s="18">
        <f t="shared" ref="Q15:S15" si="20">SUM(Q11:Q14)</f>
        <v>10.071999999999999</v>
      </c>
      <c r="R15" s="18">
        <f t="shared" si="20"/>
        <v>0.86400000000000343</v>
      </c>
      <c r="S15" s="18">
        <f t="shared" si="20"/>
        <v>0.19799999999998308</v>
      </c>
      <c r="T15" s="18">
        <f t="shared" ref="T15:U15" si="21">SUM(T11:T14)</f>
        <v>9.5770000000000159</v>
      </c>
      <c r="U15" s="18">
        <f t="shared" si="21"/>
        <v>21.670000000000012</v>
      </c>
      <c r="V15" s="18"/>
      <c r="W15" s="16"/>
      <c r="X15" s="18"/>
      <c r="Y15" s="18">
        <f t="shared" ref="Y15:AE15" si="22">SUM(Y11:Y14)</f>
        <v>10.048999999999985</v>
      </c>
      <c r="Z15" s="18">
        <f t="shared" si="22"/>
        <v>43.587999999999994</v>
      </c>
      <c r="AA15" s="18">
        <f t="shared" si="22"/>
        <v>87.830999999999989</v>
      </c>
      <c r="AB15" s="18">
        <f t="shared" si="22"/>
        <v>167.15700000000001</v>
      </c>
      <c r="AC15" s="18">
        <f t="shared" si="22"/>
        <v>12.09600000000006</v>
      </c>
      <c r="AD15" s="18">
        <f t="shared" si="22"/>
        <v>-42.926999999999992</v>
      </c>
      <c r="AE15" s="18">
        <f t="shared" si="22"/>
        <v>14</v>
      </c>
      <c r="AF15" s="19">
        <f t="shared" ref="AF15:AO15" si="23">SUM(AF11:AF14)</f>
        <v>65.740000000000009</v>
      </c>
      <c r="AG15" s="18">
        <f t="shared" si="23"/>
        <v>111.18920000000003</v>
      </c>
      <c r="AH15" s="18">
        <f t="shared" si="23"/>
        <v>167.94201200000001</v>
      </c>
      <c r="AI15" s="18">
        <f t="shared" si="23"/>
        <v>238.52964092000013</v>
      </c>
      <c r="AJ15" s="18">
        <f t="shared" si="23"/>
        <v>326.02862381720018</v>
      </c>
      <c r="AK15" s="18">
        <f t="shared" si="23"/>
        <v>434.17594159545206</v>
      </c>
      <c r="AL15" s="18">
        <f t="shared" si="23"/>
        <v>567.50810983659949</v>
      </c>
      <c r="AM15" s="18">
        <f t="shared" si="23"/>
        <v>731.5291971396241</v>
      </c>
      <c r="AN15" s="18">
        <f t="shared" si="23"/>
        <v>932.91373341439123</v>
      </c>
      <c r="AO15" s="18">
        <f t="shared" si="23"/>
        <v>1179.7516913499023</v>
      </c>
    </row>
    <row r="16" spans="1:41" x14ac:dyDescent="0.25">
      <c r="C16" s="1" t="s">
        <v>31</v>
      </c>
      <c r="D16" s="18">
        <v>-10.711</v>
      </c>
      <c r="E16" s="18">
        <v>-13.645</v>
      </c>
      <c r="F16" s="18">
        <v>-27.113</v>
      </c>
      <c r="G16" s="18">
        <v>6.6520000000000001</v>
      </c>
      <c r="H16" s="18">
        <v>-5.3540000000000001</v>
      </c>
      <c r="I16" s="18">
        <v>-3.726</v>
      </c>
      <c r="J16" s="18">
        <v>-0.52700000000000002</v>
      </c>
      <c r="K16" s="18">
        <v>5.16</v>
      </c>
      <c r="L16" s="18">
        <v>4.9020000000000001</v>
      </c>
      <c r="M16" s="18">
        <v>2.927</v>
      </c>
      <c r="N16" s="18">
        <v>0.67100000000000004</v>
      </c>
      <c r="O16" s="18">
        <v>-3.8149999999999999</v>
      </c>
      <c r="P16" s="18">
        <v>-0.88600000000000001</v>
      </c>
      <c r="Q16" s="18">
        <v>9.1999999999999998E-2</v>
      </c>
      <c r="R16" s="18">
        <v>8.5000000000000006E-2</v>
      </c>
      <c r="S16" s="18">
        <v>4.4489999999999998</v>
      </c>
      <c r="T16" s="18">
        <v>1</v>
      </c>
      <c r="U16" s="18">
        <v>-5.2169999999999996</v>
      </c>
      <c r="V16" s="18"/>
      <c r="W16" s="16"/>
      <c r="X16" s="18"/>
      <c r="Y16" s="18">
        <v>-2.2999999999999998</v>
      </c>
      <c r="Z16" s="18">
        <v>-4.5</v>
      </c>
      <c r="AA16" s="18">
        <v>-16.088999999999999</v>
      </c>
      <c r="AB16" s="18">
        <f>SUM(D16:G16)</f>
        <v>-44.817</v>
      </c>
      <c r="AC16" s="18">
        <f>SUM(H16:K16)</f>
        <v>-4.4469999999999992</v>
      </c>
      <c r="AD16" s="18">
        <f>SUM(L16:O16)</f>
        <v>4.6850000000000005</v>
      </c>
      <c r="AE16" s="1">
        <v>4</v>
      </c>
      <c r="AF16" s="19">
        <f t="shared" ref="AF16:AO16" si="24">AF15*-0.22</f>
        <v>-14.462800000000001</v>
      </c>
      <c r="AG16" s="18">
        <f t="shared" si="24"/>
        <v>-24.461624000000008</v>
      </c>
      <c r="AH16" s="18">
        <f t="shared" si="24"/>
        <v>-36.947242639999999</v>
      </c>
      <c r="AI16" s="18">
        <f t="shared" si="24"/>
        <v>-52.476521002400027</v>
      </c>
      <c r="AJ16" s="18">
        <f t="shared" si="24"/>
        <v>-71.726297239784046</v>
      </c>
      <c r="AK16" s="18">
        <f t="shared" si="24"/>
        <v>-95.518707150999447</v>
      </c>
      <c r="AL16" s="18">
        <f t="shared" si="24"/>
        <v>-124.85178416405189</v>
      </c>
      <c r="AM16" s="18">
        <f t="shared" si="24"/>
        <v>-160.93642337071731</v>
      </c>
      <c r="AN16" s="18">
        <f t="shared" si="24"/>
        <v>-205.24102135116607</v>
      </c>
      <c r="AO16" s="18">
        <f t="shared" si="24"/>
        <v>-259.5453720969785</v>
      </c>
    </row>
    <row r="17" spans="3:275" x14ac:dyDescent="0.25">
      <c r="C17" s="2" t="s">
        <v>32</v>
      </c>
      <c r="D17" s="16">
        <f t="shared" ref="D17:P17" si="25">SUM(D15:D16)</f>
        <v>33.738000000000014</v>
      </c>
      <c r="E17" s="16">
        <f t="shared" si="25"/>
        <v>33.004000000000019</v>
      </c>
      <c r="F17" s="16">
        <f t="shared" si="25"/>
        <v>24.161999999999992</v>
      </c>
      <c r="G17" s="16">
        <f t="shared" si="25"/>
        <v>31.435999999999993</v>
      </c>
      <c r="H17" s="16">
        <f t="shared" si="25"/>
        <v>3.04</v>
      </c>
      <c r="I17" s="16">
        <f t="shared" si="25"/>
        <v>15.854000000000017</v>
      </c>
      <c r="J17" s="16">
        <f t="shared" si="25"/>
        <v>1.1780000000000035</v>
      </c>
      <c r="K17" s="16">
        <f t="shared" si="25"/>
        <v>-12.423000000000002</v>
      </c>
      <c r="L17" s="16">
        <f t="shared" si="25"/>
        <v>-25.731999999999992</v>
      </c>
      <c r="M17" s="16">
        <f t="shared" si="25"/>
        <v>-15.050999999999998</v>
      </c>
      <c r="N17" s="16">
        <f t="shared" si="25"/>
        <v>6.1720000000000033</v>
      </c>
      <c r="O17" s="16">
        <f t="shared" si="25"/>
        <v>-3.8910000000000218</v>
      </c>
      <c r="P17" s="16">
        <f t="shared" si="25"/>
        <v>1.1700000000000186</v>
      </c>
      <c r="Q17" s="16">
        <f t="shared" ref="Q17:S17" si="26">SUM(Q15:Q16)</f>
        <v>10.164</v>
      </c>
      <c r="R17" s="16">
        <f t="shared" si="26"/>
        <v>0.9490000000000034</v>
      </c>
      <c r="S17" s="16">
        <f t="shared" si="26"/>
        <v>4.6469999999999825</v>
      </c>
      <c r="T17" s="16">
        <f t="shared" ref="T17:U17" si="27">SUM(T15:T16)</f>
        <v>10.577000000000016</v>
      </c>
      <c r="U17" s="16">
        <f t="shared" si="27"/>
        <v>16.453000000000014</v>
      </c>
      <c r="V17" s="18"/>
      <c r="W17" s="16"/>
      <c r="X17" s="18"/>
      <c r="Y17" s="16">
        <f t="shared" ref="Y17:AE17" si="28">SUM(Y15:Y16)</f>
        <v>7.7489999999999855</v>
      </c>
      <c r="Z17" s="16">
        <f t="shared" si="28"/>
        <v>39.087999999999994</v>
      </c>
      <c r="AA17" s="16">
        <f t="shared" si="28"/>
        <v>71.74199999999999</v>
      </c>
      <c r="AB17" s="16">
        <f t="shared" si="28"/>
        <v>122.34</v>
      </c>
      <c r="AC17" s="16">
        <f t="shared" si="28"/>
        <v>7.6490000000000613</v>
      </c>
      <c r="AD17" s="16">
        <f t="shared" si="28"/>
        <v>-38.24199999999999</v>
      </c>
      <c r="AE17" s="16">
        <f t="shared" si="28"/>
        <v>18</v>
      </c>
      <c r="AF17" s="17">
        <f t="shared" ref="AF17:AO17" si="29">SUM(AF15:AF16)</f>
        <v>51.277200000000008</v>
      </c>
      <c r="AG17" s="16">
        <f t="shared" si="29"/>
        <v>86.727576000000028</v>
      </c>
      <c r="AH17" s="16">
        <f t="shared" si="29"/>
        <v>130.99476936000002</v>
      </c>
      <c r="AI17" s="16">
        <f t="shared" si="29"/>
        <v>186.0531199176001</v>
      </c>
      <c r="AJ17" s="16">
        <f t="shared" si="29"/>
        <v>254.30232657741612</v>
      </c>
      <c r="AK17" s="16">
        <f t="shared" si="29"/>
        <v>338.65723444445263</v>
      </c>
      <c r="AL17" s="16">
        <f t="shared" si="29"/>
        <v>442.65632567254761</v>
      </c>
      <c r="AM17" s="16">
        <f t="shared" si="29"/>
        <v>570.5927737689068</v>
      </c>
      <c r="AN17" s="16">
        <f t="shared" si="29"/>
        <v>727.67271206322516</v>
      </c>
      <c r="AO17" s="16">
        <f t="shared" si="29"/>
        <v>920.20631925292378</v>
      </c>
      <c r="AP17" s="16">
        <f>AO17*(1+$AR$23)</f>
        <v>911.00425606039448</v>
      </c>
      <c r="AQ17" s="16">
        <f t="shared" ref="AQ17:DB17" si="30">AP17*(1+$AR$23)</f>
        <v>901.89421349979057</v>
      </c>
      <c r="AR17" s="16">
        <f t="shared" si="30"/>
        <v>892.87527136479264</v>
      </c>
      <c r="AS17" s="16">
        <f t="shared" si="30"/>
        <v>883.94651865114474</v>
      </c>
      <c r="AT17" s="16">
        <f t="shared" si="30"/>
        <v>875.10705346463328</v>
      </c>
      <c r="AU17" s="16">
        <f t="shared" si="30"/>
        <v>866.35598292998691</v>
      </c>
      <c r="AV17" s="16">
        <f t="shared" si="30"/>
        <v>857.69242310068705</v>
      </c>
      <c r="AW17" s="16">
        <f t="shared" si="30"/>
        <v>849.11549886968021</v>
      </c>
      <c r="AX17" s="16">
        <f t="shared" si="30"/>
        <v>840.62434388098336</v>
      </c>
      <c r="AY17" s="16">
        <f t="shared" si="30"/>
        <v>832.21810044217352</v>
      </c>
      <c r="AZ17" s="16">
        <f t="shared" si="30"/>
        <v>823.89591943775179</v>
      </c>
      <c r="BA17" s="16">
        <f t="shared" si="30"/>
        <v>815.65696024337421</v>
      </c>
      <c r="BB17" s="16">
        <f t="shared" si="30"/>
        <v>807.50039064094051</v>
      </c>
      <c r="BC17" s="16">
        <f t="shared" si="30"/>
        <v>799.42538673453112</v>
      </c>
      <c r="BD17" s="16">
        <f t="shared" si="30"/>
        <v>791.43113286718585</v>
      </c>
      <c r="BE17" s="16">
        <f t="shared" si="30"/>
        <v>783.51682153851402</v>
      </c>
      <c r="BF17" s="16">
        <f t="shared" si="30"/>
        <v>775.6816533231289</v>
      </c>
      <c r="BG17" s="16">
        <f t="shared" si="30"/>
        <v>767.92483678989765</v>
      </c>
      <c r="BH17" s="16">
        <f t="shared" si="30"/>
        <v>760.24558842199872</v>
      </c>
      <c r="BI17" s="16">
        <f t="shared" si="30"/>
        <v>752.64313253777868</v>
      </c>
      <c r="BJ17" s="16">
        <f t="shared" si="30"/>
        <v>745.11670121240093</v>
      </c>
      <c r="BK17" s="16">
        <f t="shared" si="30"/>
        <v>737.66553420027697</v>
      </c>
      <c r="BL17" s="16">
        <f t="shared" si="30"/>
        <v>730.28887885827419</v>
      </c>
      <c r="BM17" s="16">
        <f t="shared" si="30"/>
        <v>722.98599006969141</v>
      </c>
      <c r="BN17" s="16">
        <f t="shared" si="30"/>
        <v>715.75613016899445</v>
      </c>
      <c r="BO17" s="16">
        <f t="shared" si="30"/>
        <v>708.59856886730449</v>
      </c>
      <c r="BP17" s="16">
        <f t="shared" si="30"/>
        <v>701.51258317863142</v>
      </c>
      <c r="BQ17" s="16">
        <f t="shared" si="30"/>
        <v>694.49745734684507</v>
      </c>
      <c r="BR17" s="16">
        <f t="shared" si="30"/>
        <v>687.5524827733766</v>
      </c>
      <c r="BS17" s="16">
        <f t="shared" si="30"/>
        <v>680.67695794564281</v>
      </c>
      <c r="BT17" s="16">
        <f t="shared" si="30"/>
        <v>673.87018836618643</v>
      </c>
      <c r="BU17" s="16">
        <f t="shared" si="30"/>
        <v>667.13148648252456</v>
      </c>
      <c r="BV17" s="16">
        <f t="shared" si="30"/>
        <v>660.4601716176993</v>
      </c>
      <c r="BW17" s="16">
        <f t="shared" si="30"/>
        <v>653.85556990152236</v>
      </c>
      <c r="BX17" s="16">
        <f t="shared" si="30"/>
        <v>647.31701420250715</v>
      </c>
      <c r="BY17" s="16">
        <f t="shared" si="30"/>
        <v>640.84384406048207</v>
      </c>
      <c r="BZ17" s="16">
        <f t="shared" si="30"/>
        <v>634.4354056198772</v>
      </c>
      <c r="CA17" s="16">
        <f t="shared" si="30"/>
        <v>628.09105156367843</v>
      </c>
      <c r="CB17" s="16">
        <f t="shared" si="30"/>
        <v>621.8101410480416</v>
      </c>
      <c r="CC17" s="16">
        <f t="shared" si="30"/>
        <v>615.59203963756113</v>
      </c>
      <c r="CD17" s="16">
        <f t="shared" si="30"/>
        <v>609.43611924118557</v>
      </c>
      <c r="CE17" s="16">
        <f t="shared" si="30"/>
        <v>603.34175804877373</v>
      </c>
      <c r="CF17" s="16">
        <f t="shared" si="30"/>
        <v>597.30834046828602</v>
      </c>
      <c r="CG17" s="16">
        <f t="shared" si="30"/>
        <v>591.33525706360319</v>
      </c>
      <c r="CH17" s="16">
        <f t="shared" si="30"/>
        <v>585.4219044929672</v>
      </c>
      <c r="CI17" s="16">
        <f t="shared" si="30"/>
        <v>579.56768544803754</v>
      </c>
      <c r="CJ17" s="16">
        <f t="shared" si="30"/>
        <v>573.77200859355719</v>
      </c>
      <c r="CK17" s="16">
        <f t="shared" si="30"/>
        <v>568.03428850762157</v>
      </c>
      <c r="CL17" s="16">
        <f t="shared" si="30"/>
        <v>562.35394562254533</v>
      </c>
      <c r="CM17" s="16">
        <f t="shared" si="30"/>
        <v>556.73040616631988</v>
      </c>
      <c r="CN17" s="16">
        <f t="shared" si="30"/>
        <v>551.16310210465667</v>
      </c>
      <c r="CO17" s="16">
        <f t="shared" si="30"/>
        <v>545.65147108361009</v>
      </c>
      <c r="CP17" s="16">
        <f t="shared" si="30"/>
        <v>540.19495637277396</v>
      </c>
      <c r="CQ17" s="16">
        <f t="shared" si="30"/>
        <v>534.79300680904623</v>
      </c>
      <c r="CR17" s="16">
        <f t="shared" si="30"/>
        <v>529.44507674095576</v>
      </c>
      <c r="CS17" s="16">
        <f t="shared" si="30"/>
        <v>524.1506259735462</v>
      </c>
      <c r="CT17" s="16">
        <f t="shared" si="30"/>
        <v>518.9091197138107</v>
      </c>
      <c r="CU17" s="16">
        <f t="shared" si="30"/>
        <v>513.72002851667253</v>
      </c>
      <c r="CV17" s="16">
        <f t="shared" si="30"/>
        <v>508.5828282315058</v>
      </c>
      <c r="CW17" s="16">
        <f t="shared" si="30"/>
        <v>503.49699994919075</v>
      </c>
      <c r="CX17" s="16">
        <f t="shared" si="30"/>
        <v>498.46202994969883</v>
      </c>
      <c r="CY17" s="16">
        <f t="shared" si="30"/>
        <v>493.47740965020182</v>
      </c>
      <c r="CZ17" s="16">
        <f t="shared" si="30"/>
        <v>488.54263555369982</v>
      </c>
      <c r="DA17" s="16">
        <f t="shared" si="30"/>
        <v>483.65720919816283</v>
      </c>
      <c r="DB17" s="16">
        <f t="shared" si="30"/>
        <v>478.82063710618121</v>
      </c>
      <c r="DC17" s="16">
        <f t="shared" ref="DC17:FN17" si="31">DB17*(1+$AR$23)</f>
        <v>474.03243073511942</v>
      </c>
      <c r="DD17" s="16">
        <f t="shared" si="31"/>
        <v>469.2921064277682</v>
      </c>
      <c r="DE17" s="16">
        <f t="shared" si="31"/>
        <v>464.59918536349051</v>
      </c>
      <c r="DF17" s="16">
        <f t="shared" si="31"/>
        <v>459.95319350985562</v>
      </c>
      <c r="DG17" s="16">
        <f t="shared" si="31"/>
        <v>455.35366157475704</v>
      </c>
      <c r="DH17" s="16">
        <f t="shared" si="31"/>
        <v>450.80012495900945</v>
      </c>
      <c r="DI17" s="16">
        <f t="shared" si="31"/>
        <v>446.29212370941934</v>
      </c>
      <c r="DJ17" s="16">
        <f t="shared" si="31"/>
        <v>441.82920247232516</v>
      </c>
      <c r="DK17" s="16">
        <f t="shared" si="31"/>
        <v>437.41091044760191</v>
      </c>
      <c r="DL17" s="16">
        <f t="shared" si="31"/>
        <v>433.03680134312589</v>
      </c>
      <c r="DM17" s="16">
        <f t="shared" si="31"/>
        <v>428.70643332969462</v>
      </c>
      <c r="DN17" s="16">
        <f t="shared" si="31"/>
        <v>424.41936899639768</v>
      </c>
      <c r="DO17" s="16">
        <f t="shared" si="31"/>
        <v>420.17517530643369</v>
      </c>
      <c r="DP17" s="16">
        <f t="shared" si="31"/>
        <v>415.97342355336934</v>
      </c>
      <c r="DQ17" s="16">
        <f t="shared" si="31"/>
        <v>411.81368931783567</v>
      </c>
      <c r="DR17" s="16">
        <f t="shared" si="31"/>
        <v>407.69555242465731</v>
      </c>
      <c r="DS17" s="16">
        <f t="shared" si="31"/>
        <v>403.61859690041075</v>
      </c>
      <c r="DT17" s="16">
        <f t="shared" si="31"/>
        <v>399.58241093140663</v>
      </c>
      <c r="DU17" s="16">
        <f t="shared" si="31"/>
        <v>395.58658682209256</v>
      </c>
      <c r="DV17" s="16">
        <f t="shared" si="31"/>
        <v>391.63072095387162</v>
      </c>
      <c r="DW17" s="16">
        <f t="shared" si="31"/>
        <v>387.71441374433289</v>
      </c>
      <c r="DX17" s="16">
        <f t="shared" si="31"/>
        <v>383.83726960688955</v>
      </c>
      <c r="DY17" s="16">
        <f t="shared" si="31"/>
        <v>379.99889691082063</v>
      </c>
      <c r="DZ17" s="16">
        <f t="shared" si="31"/>
        <v>376.19890794171243</v>
      </c>
      <c r="EA17" s="16">
        <f t="shared" si="31"/>
        <v>372.43691886229533</v>
      </c>
      <c r="EB17" s="16">
        <f t="shared" si="31"/>
        <v>368.71254967367236</v>
      </c>
      <c r="EC17" s="16">
        <f t="shared" si="31"/>
        <v>365.02542417693564</v>
      </c>
      <c r="ED17" s="16">
        <f t="shared" si="31"/>
        <v>361.3751699351663</v>
      </c>
      <c r="EE17" s="16">
        <f t="shared" si="31"/>
        <v>357.76141823581463</v>
      </c>
      <c r="EF17" s="16">
        <f t="shared" si="31"/>
        <v>354.18380405345647</v>
      </c>
      <c r="EG17" s="16">
        <f t="shared" si="31"/>
        <v>350.6419660129219</v>
      </c>
      <c r="EH17" s="16">
        <f t="shared" si="31"/>
        <v>347.13554635279269</v>
      </c>
      <c r="EI17" s="16">
        <f t="shared" si="31"/>
        <v>343.66419088926477</v>
      </c>
      <c r="EJ17" s="16">
        <f t="shared" si="31"/>
        <v>340.22754898037215</v>
      </c>
      <c r="EK17" s="16">
        <f t="shared" si="31"/>
        <v>336.82527349056841</v>
      </c>
      <c r="EL17" s="16">
        <f t="shared" si="31"/>
        <v>333.45702075566271</v>
      </c>
      <c r="EM17" s="16">
        <f t="shared" si="31"/>
        <v>330.12245054810609</v>
      </c>
      <c r="EN17" s="16">
        <f t="shared" si="31"/>
        <v>326.82122604262503</v>
      </c>
      <c r="EO17" s="16">
        <f t="shared" si="31"/>
        <v>323.55301378219878</v>
      </c>
      <c r="EP17" s="16">
        <f t="shared" si="31"/>
        <v>320.31748364437681</v>
      </c>
      <c r="EQ17" s="16">
        <f t="shared" si="31"/>
        <v>317.11430880793301</v>
      </c>
      <c r="ER17" s="16">
        <f t="shared" si="31"/>
        <v>313.94316571985371</v>
      </c>
      <c r="ES17" s="16">
        <f t="shared" si="31"/>
        <v>310.80373406265517</v>
      </c>
      <c r="ET17" s="16">
        <f t="shared" si="31"/>
        <v>307.69569672202863</v>
      </c>
      <c r="EU17" s="16">
        <f t="shared" si="31"/>
        <v>304.61873975480836</v>
      </c>
      <c r="EV17" s="16">
        <f t="shared" si="31"/>
        <v>301.57255235726029</v>
      </c>
      <c r="EW17" s="16">
        <f t="shared" si="31"/>
        <v>298.55682683368769</v>
      </c>
      <c r="EX17" s="16">
        <f t="shared" si="31"/>
        <v>295.57125856535083</v>
      </c>
      <c r="EY17" s="16">
        <f t="shared" si="31"/>
        <v>292.61554597969734</v>
      </c>
      <c r="EZ17" s="16">
        <f t="shared" si="31"/>
        <v>289.68939051990037</v>
      </c>
      <c r="FA17" s="16">
        <f t="shared" si="31"/>
        <v>286.79249661470135</v>
      </c>
      <c r="FB17" s="16">
        <f t="shared" si="31"/>
        <v>283.92457164855432</v>
      </c>
      <c r="FC17" s="16">
        <f t="shared" si="31"/>
        <v>281.08532593206877</v>
      </c>
      <c r="FD17" s="16">
        <f t="shared" si="31"/>
        <v>278.27447267274806</v>
      </c>
      <c r="FE17" s="16">
        <f t="shared" si="31"/>
        <v>275.4917279460206</v>
      </c>
      <c r="FF17" s="16">
        <f t="shared" si="31"/>
        <v>272.73681066656042</v>
      </c>
      <c r="FG17" s="16">
        <f t="shared" si="31"/>
        <v>270.00944255989481</v>
      </c>
      <c r="FH17" s="16">
        <f t="shared" si="31"/>
        <v>267.30934813429587</v>
      </c>
      <c r="FI17" s="16">
        <f t="shared" si="31"/>
        <v>264.63625465295291</v>
      </c>
      <c r="FJ17" s="16">
        <f t="shared" si="31"/>
        <v>261.98989210642338</v>
      </c>
      <c r="FK17" s="16">
        <f t="shared" si="31"/>
        <v>259.36999318535914</v>
      </c>
      <c r="FL17" s="16">
        <f t="shared" si="31"/>
        <v>256.77629325350551</v>
      </c>
      <c r="FM17" s="16">
        <f t="shared" si="31"/>
        <v>254.20853032097045</v>
      </c>
      <c r="FN17" s="16">
        <f t="shared" si="31"/>
        <v>251.66644501776074</v>
      </c>
      <c r="FO17" s="16">
        <f t="shared" ref="FO17:HZ17" si="32">FN17*(1+$AR$23)</f>
        <v>249.14978056758312</v>
      </c>
      <c r="FP17" s="16">
        <f t="shared" si="32"/>
        <v>246.65828276190729</v>
      </c>
      <c r="FQ17" s="16">
        <f t="shared" si="32"/>
        <v>244.19169993428821</v>
      </c>
      <c r="FR17" s="16">
        <f t="shared" si="32"/>
        <v>241.74978293494533</v>
      </c>
      <c r="FS17" s="16">
        <f t="shared" si="32"/>
        <v>239.33228510559587</v>
      </c>
      <c r="FT17" s="16">
        <f t="shared" si="32"/>
        <v>236.93896225453992</v>
      </c>
      <c r="FU17" s="16">
        <f t="shared" si="32"/>
        <v>234.5695726319945</v>
      </c>
      <c r="FV17" s="16">
        <f t="shared" si="32"/>
        <v>232.22387690567456</v>
      </c>
      <c r="FW17" s="16">
        <f t="shared" si="32"/>
        <v>229.90163813661781</v>
      </c>
      <c r="FX17" s="16">
        <f t="shared" si="32"/>
        <v>227.60262175525162</v>
      </c>
      <c r="FY17" s="16">
        <f t="shared" si="32"/>
        <v>225.32659553769909</v>
      </c>
      <c r="FZ17" s="16">
        <f t="shared" si="32"/>
        <v>223.07332958232209</v>
      </c>
      <c r="GA17" s="16">
        <f t="shared" si="32"/>
        <v>220.84259628649886</v>
      </c>
      <c r="GB17" s="16">
        <f t="shared" si="32"/>
        <v>218.63417032363387</v>
      </c>
      <c r="GC17" s="16">
        <f t="shared" si="32"/>
        <v>216.44782862039753</v>
      </c>
      <c r="GD17" s="16">
        <f t="shared" si="32"/>
        <v>214.28335033419356</v>
      </c>
      <c r="GE17" s="16">
        <f t="shared" si="32"/>
        <v>212.14051683085162</v>
      </c>
      <c r="GF17" s="16">
        <f t="shared" si="32"/>
        <v>210.01911166254311</v>
      </c>
      <c r="GG17" s="16">
        <f t="shared" si="32"/>
        <v>207.91892054591767</v>
      </c>
      <c r="GH17" s="16">
        <f t="shared" si="32"/>
        <v>205.83973134045848</v>
      </c>
      <c r="GI17" s="16">
        <f t="shared" si="32"/>
        <v>203.7813340270539</v>
      </c>
      <c r="GJ17" s="16">
        <f t="shared" si="32"/>
        <v>201.74352068678337</v>
      </c>
      <c r="GK17" s="16">
        <f t="shared" si="32"/>
        <v>199.72608547991553</v>
      </c>
      <c r="GL17" s="16">
        <f t="shared" si="32"/>
        <v>197.72882462511637</v>
      </c>
      <c r="GM17" s="16">
        <f t="shared" si="32"/>
        <v>195.75153637886521</v>
      </c>
      <c r="GN17" s="16">
        <f t="shared" si="32"/>
        <v>193.79402101507657</v>
      </c>
      <c r="GO17" s="16">
        <f t="shared" si="32"/>
        <v>191.8560808049258</v>
      </c>
      <c r="GP17" s="16">
        <f t="shared" si="32"/>
        <v>189.93751999687655</v>
      </c>
      <c r="GQ17" s="16">
        <f t="shared" si="32"/>
        <v>188.03814479690777</v>
      </c>
      <c r="GR17" s="16">
        <f t="shared" si="32"/>
        <v>186.15776334893869</v>
      </c>
      <c r="GS17" s="16">
        <f t="shared" si="32"/>
        <v>184.2961857154493</v>
      </c>
      <c r="GT17" s="16">
        <f t="shared" si="32"/>
        <v>182.45322385829479</v>
      </c>
      <c r="GU17" s="16">
        <f t="shared" si="32"/>
        <v>180.62869161971184</v>
      </c>
      <c r="GV17" s="16">
        <f t="shared" si="32"/>
        <v>178.82240470351474</v>
      </c>
      <c r="GW17" s="16">
        <f t="shared" si="32"/>
        <v>177.03418065647958</v>
      </c>
      <c r="GX17" s="16">
        <f t="shared" si="32"/>
        <v>175.26383884991478</v>
      </c>
      <c r="GY17" s="16">
        <f t="shared" si="32"/>
        <v>173.51120046141563</v>
      </c>
      <c r="GZ17" s="16">
        <f t="shared" si="32"/>
        <v>171.77608845680146</v>
      </c>
      <c r="HA17" s="16">
        <f t="shared" si="32"/>
        <v>170.05832757223345</v>
      </c>
      <c r="HB17" s="16">
        <f t="shared" si="32"/>
        <v>168.35774429651113</v>
      </c>
      <c r="HC17" s="16">
        <f t="shared" si="32"/>
        <v>166.67416685354601</v>
      </c>
      <c r="HD17" s="16">
        <f t="shared" si="32"/>
        <v>165.00742518501056</v>
      </c>
      <c r="HE17" s="16">
        <f t="shared" si="32"/>
        <v>163.35735093316046</v>
      </c>
      <c r="HF17" s="16">
        <f t="shared" si="32"/>
        <v>161.72377742382886</v>
      </c>
      <c r="HG17" s="16">
        <f t="shared" si="32"/>
        <v>160.10653964959059</v>
      </c>
      <c r="HH17" s="16">
        <f t="shared" si="32"/>
        <v>158.50547425309469</v>
      </c>
      <c r="HI17" s="16">
        <f t="shared" si="32"/>
        <v>156.92041951056373</v>
      </c>
      <c r="HJ17" s="16">
        <f t="shared" si="32"/>
        <v>155.35121531545809</v>
      </c>
      <c r="HK17" s="16">
        <f t="shared" si="32"/>
        <v>153.79770316230352</v>
      </c>
      <c r="HL17" s="16">
        <f t="shared" si="32"/>
        <v>152.25972613068049</v>
      </c>
      <c r="HM17" s="16">
        <f t="shared" si="32"/>
        <v>150.73712886937369</v>
      </c>
      <c r="HN17" s="16">
        <f t="shared" si="32"/>
        <v>149.22975758067994</v>
      </c>
      <c r="HO17" s="16">
        <f t="shared" si="32"/>
        <v>147.73746000487316</v>
      </c>
      <c r="HP17" s="16">
        <f t="shared" si="32"/>
        <v>146.26008540482442</v>
      </c>
      <c r="HQ17" s="16">
        <f t="shared" si="32"/>
        <v>144.79748455077618</v>
      </c>
      <c r="HR17" s="16">
        <f t="shared" si="32"/>
        <v>143.34950970526842</v>
      </c>
      <c r="HS17" s="16">
        <f t="shared" si="32"/>
        <v>141.91601460821573</v>
      </c>
      <c r="HT17" s="16">
        <f t="shared" si="32"/>
        <v>140.49685446213357</v>
      </c>
      <c r="HU17" s="16">
        <f t="shared" si="32"/>
        <v>139.09188591751223</v>
      </c>
      <c r="HV17" s="16">
        <f t="shared" si="32"/>
        <v>137.70096705833711</v>
      </c>
      <c r="HW17" s="16">
        <f t="shared" si="32"/>
        <v>136.32395738775375</v>
      </c>
      <c r="HX17" s="16">
        <f t="shared" si="32"/>
        <v>134.96071781387622</v>
      </c>
      <c r="HY17" s="16">
        <f t="shared" si="32"/>
        <v>133.61111063573745</v>
      </c>
      <c r="HZ17" s="16">
        <f t="shared" si="32"/>
        <v>132.27499952938007</v>
      </c>
      <c r="IA17" s="16">
        <f t="shared" ref="IA17:JO17" si="33">HZ17*(1+$AR$23)</f>
        <v>130.95224953408626</v>
      </c>
      <c r="IB17" s="16">
        <f t="shared" si="33"/>
        <v>129.64272703874539</v>
      </c>
      <c r="IC17" s="16">
        <f t="shared" si="33"/>
        <v>128.34629976835794</v>
      </c>
      <c r="ID17" s="16">
        <f t="shared" si="33"/>
        <v>127.06283677067435</v>
      </c>
      <c r="IE17" s="16">
        <f t="shared" si="33"/>
        <v>125.7922084029676</v>
      </c>
      <c r="IF17" s="16">
        <f t="shared" si="33"/>
        <v>124.53428631893793</v>
      </c>
      <c r="IG17" s="16">
        <f t="shared" si="33"/>
        <v>123.28894345574855</v>
      </c>
      <c r="IH17" s="16">
        <f t="shared" si="33"/>
        <v>122.05605402119106</v>
      </c>
      <c r="II17" s="16">
        <f t="shared" si="33"/>
        <v>120.83549348097915</v>
      </c>
      <c r="IJ17" s="16">
        <f t="shared" si="33"/>
        <v>119.62713854616936</v>
      </c>
      <c r="IK17" s="16">
        <f t="shared" si="33"/>
        <v>118.43086716070766</v>
      </c>
      <c r="IL17" s="16">
        <f t="shared" si="33"/>
        <v>117.24655848910058</v>
      </c>
      <c r="IM17" s="16">
        <f t="shared" si="33"/>
        <v>116.07409290420958</v>
      </c>
      <c r="IN17" s="16">
        <f t="shared" si="33"/>
        <v>114.91335197516749</v>
      </c>
      <c r="IO17" s="16">
        <f t="shared" si="33"/>
        <v>113.76421845541581</v>
      </c>
      <c r="IP17" s="16">
        <f t="shared" si="33"/>
        <v>112.62657627086166</v>
      </c>
      <c r="IQ17" s="16">
        <f t="shared" si="33"/>
        <v>111.50031050815305</v>
      </c>
      <c r="IR17" s="16">
        <f t="shared" si="33"/>
        <v>110.38530740307152</v>
      </c>
      <c r="IS17" s="16">
        <f t="shared" si="33"/>
        <v>109.28145432904081</v>
      </c>
      <c r="IT17" s="16">
        <f t="shared" si="33"/>
        <v>108.1886397857504</v>
      </c>
      <c r="IU17" s="16">
        <f t="shared" si="33"/>
        <v>107.10675338789289</v>
      </c>
      <c r="IV17" s="16">
        <f t="shared" si="33"/>
        <v>106.03568585401396</v>
      </c>
      <c r="IW17" s="16">
        <f t="shared" si="33"/>
        <v>104.97532899547382</v>
      </c>
      <c r="IX17" s="16">
        <f t="shared" si="33"/>
        <v>103.92557570551908</v>
      </c>
      <c r="IY17" s="16">
        <f t="shared" si="33"/>
        <v>102.88631994846389</v>
      </c>
      <c r="IZ17" s="16">
        <f t="shared" si="33"/>
        <v>101.85745674897925</v>
      </c>
      <c r="JA17" s="16">
        <f t="shared" si="33"/>
        <v>100.83888218148945</v>
      </c>
      <c r="JB17" s="16">
        <f t="shared" si="33"/>
        <v>99.830493359674563</v>
      </c>
      <c r="JC17" s="16">
        <f t="shared" si="33"/>
        <v>98.832188426077821</v>
      </c>
      <c r="JD17" s="16">
        <f t="shared" si="33"/>
        <v>97.843866541817036</v>
      </c>
      <c r="JE17" s="16">
        <f t="shared" si="33"/>
        <v>96.865427876398869</v>
      </c>
      <c r="JF17" s="16">
        <f t="shared" si="33"/>
        <v>95.896773597634876</v>
      </c>
      <c r="JG17" s="16">
        <f t="shared" si="33"/>
        <v>94.937805861658532</v>
      </c>
      <c r="JH17" s="16">
        <f t="shared" si="33"/>
        <v>93.988427803041944</v>
      </c>
      <c r="JI17" s="16">
        <f t="shared" si="33"/>
        <v>93.048543525011524</v>
      </c>
      <c r="JJ17" s="16">
        <f t="shared" si="33"/>
        <v>92.118058089761405</v>
      </c>
      <c r="JK17" s="16">
        <f t="shared" si="33"/>
        <v>91.196877508863793</v>
      </c>
      <c r="JL17" s="16">
        <f t="shared" si="33"/>
        <v>90.284908733775154</v>
      </c>
      <c r="JM17" s="16">
        <f t="shared" si="33"/>
        <v>89.382059646437398</v>
      </c>
      <c r="JN17" s="16">
        <f t="shared" si="33"/>
        <v>88.488239049973018</v>
      </c>
      <c r="JO17" s="16">
        <f t="shared" si="33"/>
        <v>87.603356659473292</v>
      </c>
    </row>
    <row r="18" spans="3:275" x14ac:dyDescent="0.25">
      <c r="C18" s="1" t="s">
        <v>35</v>
      </c>
      <c r="D18" s="10">
        <f t="shared" ref="D18:O18" si="34">(D17*$B$11)/D19</f>
        <v>1.7149872918719857</v>
      </c>
      <c r="E18" s="10">
        <f t="shared" si="34"/>
        <v>1.6776762280201267</v>
      </c>
      <c r="F18" s="10">
        <f t="shared" si="34"/>
        <v>1.2282151563877792</v>
      </c>
      <c r="G18" s="10">
        <f t="shared" si="34"/>
        <v>1.597970849110431</v>
      </c>
      <c r="H18" s="10">
        <f t="shared" si="34"/>
        <v>0.1545308366616526</v>
      </c>
      <c r="I18" s="10">
        <f t="shared" si="34"/>
        <v>0.80589864619534302</v>
      </c>
      <c r="J18" s="10">
        <f t="shared" si="34"/>
        <v>5.988069920639056E-2</v>
      </c>
      <c r="K18" s="10">
        <f t="shared" si="34"/>
        <v>-0.63149229731832579</v>
      </c>
      <c r="L18" s="10">
        <f t="shared" si="34"/>
        <v>-1.3080222003215931</v>
      </c>
      <c r="M18" s="10">
        <f t="shared" si="34"/>
        <v>-0.76508013901135952</v>
      </c>
      <c r="N18" s="10">
        <f>(N17*B11)/N19</f>
        <v>0.31373826443280273</v>
      </c>
      <c r="O18" s="10">
        <f t="shared" si="34"/>
        <v>-0.19778930442450449</v>
      </c>
      <c r="P18" s="10">
        <f t="shared" ref="P18:U18" si="35">(P17*$B$11)/P19</f>
        <v>5.9474039109913286E-2</v>
      </c>
      <c r="Q18" s="10">
        <f t="shared" si="35"/>
        <v>0.51666165257534113</v>
      </c>
      <c r="R18" s="10">
        <f t="shared" si="35"/>
        <v>4.655183460338707E-2</v>
      </c>
      <c r="S18" s="10">
        <f t="shared" si="35"/>
        <v>0.22795192350046167</v>
      </c>
      <c r="T18" s="10">
        <f t="shared" si="35"/>
        <v>0.51883957281351312</v>
      </c>
      <c r="U18" s="10">
        <f t="shared" si="35"/>
        <v>0.80707832953585379</v>
      </c>
      <c r="W18" s="16"/>
      <c r="Y18" s="10">
        <f t="shared" ref="Y18:AA18" si="36">(Y17*$B$11)/Y19</f>
        <v>0.43051464335521539</v>
      </c>
      <c r="Z18" s="10">
        <f t="shared" si="36"/>
        <v>1.9674089900567011</v>
      </c>
      <c r="AA18" s="10">
        <f t="shared" si="36"/>
        <v>3.6420654572580058</v>
      </c>
      <c r="AB18" s="10">
        <f>(AB17*$B$11)/AB19</f>
        <v>6.265158205523476</v>
      </c>
      <c r="AC18" s="10">
        <f>(AC17*$B$11)/AC19</f>
        <v>0.3849956857588987</v>
      </c>
      <c r="AD18" s="10">
        <f>(AD17*$B$11)/AD19</f>
        <v>-1.9248274303558217</v>
      </c>
      <c r="AE18" s="10">
        <f>(AE17*$B$11)/AE19</f>
        <v>0.90599063193360174</v>
      </c>
      <c r="AF18" s="9">
        <f>(AF17*$B$11)/AF19</f>
        <v>2.5153295398575248</v>
      </c>
      <c r="AG18" s="10">
        <f t="shared" ref="AG18:AO18" si="37">(AG17*$B$11)/AG19</f>
        <v>4.2542969162325273</v>
      </c>
      <c r="AH18" s="10">
        <f t="shared" si="37"/>
        <v>6.4257606292471401</v>
      </c>
      <c r="AI18" s="10">
        <f t="shared" si="37"/>
        <v>9.12656908940804</v>
      </c>
      <c r="AJ18" s="10">
        <f t="shared" si="37"/>
        <v>12.47443608649985</v>
      </c>
      <c r="AK18" s="10">
        <f t="shared" si="37"/>
        <v>16.612345168702401</v>
      </c>
      <c r="AL18" s="10">
        <f t="shared" si="37"/>
        <v>21.713871505638991</v>
      </c>
      <c r="AM18" s="10">
        <f t="shared" si="37"/>
        <v>27.98961056941824</v>
      </c>
      <c r="AN18" s="10">
        <f t="shared" si="37"/>
        <v>35.694941767508155</v>
      </c>
      <c r="AO18" s="10">
        <f t="shared" si="37"/>
        <v>45.139401870235567</v>
      </c>
    </row>
    <row r="19" spans="3:275" x14ac:dyDescent="0.25">
      <c r="C19" s="1" t="s">
        <v>33</v>
      </c>
      <c r="D19" s="7">
        <v>192.79</v>
      </c>
      <c r="E19" s="7">
        <v>192.79</v>
      </c>
      <c r="F19" s="7">
        <v>192.79</v>
      </c>
      <c r="G19" s="7">
        <v>192.79</v>
      </c>
      <c r="H19" s="7">
        <v>192.79</v>
      </c>
      <c r="I19" s="7">
        <v>192.79</v>
      </c>
      <c r="J19" s="7">
        <v>192.79</v>
      </c>
      <c r="K19" s="7">
        <v>192.79</v>
      </c>
      <c r="L19" s="7">
        <v>192.79</v>
      </c>
      <c r="M19" s="7">
        <v>192.79</v>
      </c>
      <c r="N19" s="7">
        <v>192.79</v>
      </c>
      <c r="O19" s="7">
        <v>192.79</v>
      </c>
      <c r="P19" s="7">
        <v>192.79</v>
      </c>
      <c r="Q19" s="7">
        <v>192.79</v>
      </c>
      <c r="R19" s="7">
        <v>199.7816</v>
      </c>
      <c r="S19" s="7">
        <v>199.7816</v>
      </c>
      <c r="T19" s="7">
        <v>199.7816</v>
      </c>
      <c r="U19" s="7">
        <v>199.7816</v>
      </c>
      <c r="W19" s="16"/>
      <c r="Y19" s="24">
        <v>176.39400000000001</v>
      </c>
      <c r="Z19" s="24">
        <v>194.70400000000001</v>
      </c>
      <c r="AA19" s="24">
        <v>193.042</v>
      </c>
      <c r="AB19" s="7">
        <v>191.36500000000001</v>
      </c>
      <c r="AC19" s="7">
        <v>194.70400000000001</v>
      </c>
      <c r="AD19" s="7">
        <v>194.70400000000001</v>
      </c>
      <c r="AE19" s="7">
        <v>194.70400000000001</v>
      </c>
      <c r="AF19" s="8">
        <v>199.7816</v>
      </c>
      <c r="AG19" s="7">
        <v>199.7816</v>
      </c>
      <c r="AH19" s="7">
        <v>199.7816</v>
      </c>
      <c r="AI19" s="7">
        <v>199.7816</v>
      </c>
      <c r="AJ19" s="7">
        <v>199.7816</v>
      </c>
      <c r="AK19" s="7">
        <v>199.7816</v>
      </c>
      <c r="AL19" s="7">
        <v>199.7816</v>
      </c>
      <c r="AM19" s="7">
        <v>199.7816</v>
      </c>
      <c r="AN19" s="7">
        <v>199.7816</v>
      </c>
      <c r="AO19" s="7">
        <v>199.7816</v>
      </c>
    </row>
    <row r="20" spans="3:275" x14ac:dyDescent="0.25"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AE20"/>
    </row>
    <row r="21" spans="3:275" x14ac:dyDescent="0.25">
      <c r="C21" s="2" t="s">
        <v>36</v>
      </c>
      <c r="D21" s="12">
        <v>0.28000000000000003</v>
      </c>
      <c r="E21" s="12">
        <v>0.36</v>
      </c>
      <c r="F21" s="12">
        <v>0.36</v>
      </c>
      <c r="G21" s="12">
        <v>0.12</v>
      </c>
      <c r="H21" s="12">
        <f t="shared" ref="H21:K21" si="38">(H4-D4)/D4</f>
        <v>-0.20568476016735313</v>
      </c>
      <c r="I21" s="12">
        <f t="shared" si="38"/>
        <v>-0.22963529100291225</v>
      </c>
      <c r="J21" s="12">
        <f t="shared" si="38"/>
        <v>-0.33181748454873389</v>
      </c>
      <c r="K21" s="12">
        <f t="shared" si="38"/>
        <v>-0.43465152006019625</v>
      </c>
      <c r="L21" s="12">
        <f t="shared" ref="L21:P21" si="39">(L4-H4)/H4</f>
        <v>-0.48773276122892423</v>
      </c>
      <c r="M21" s="12">
        <f t="shared" si="39"/>
        <v>-0.17033141612143934</v>
      </c>
      <c r="N21" s="12">
        <f t="shared" si="39"/>
        <v>0.17582629174041509</v>
      </c>
      <c r="O21" s="12">
        <f t="shared" si="39"/>
        <v>0.38825986893791642</v>
      </c>
      <c r="P21" s="12">
        <f t="shared" si="39"/>
        <v>1.0815055437729872</v>
      </c>
      <c r="Q21" s="12">
        <f t="shared" ref="Q21" si="40">(Q4-M4)/M4</f>
        <v>0.28176070152951571</v>
      </c>
      <c r="R21" s="12">
        <f t="shared" ref="R21" si="41">(R4-N4)/N4</f>
        <v>0.12739571589627963</v>
      </c>
      <c r="S21" s="12">
        <f t="shared" ref="S21:U21" si="42">(S4-O4)/O4</f>
        <v>0.12855525965379494</v>
      </c>
      <c r="T21" s="12">
        <f t="shared" si="42"/>
        <v>0.24102329300693887</v>
      </c>
      <c r="U21" s="12">
        <f t="shared" si="42"/>
        <v>0.33271951219512197</v>
      </c>
      <c r="Z21" s="12">
        <f t="shared" ref="Z21:AB21" si="43">(Z4-Y4)/Y4</f>
        <v>0.40507637094956572</v>
      </c>
      <c r="AA21" s="12">
        <f t="shared" si="43"/>
        <v>0.50666926609693086</v>
      </c>
      <c r="AB21" s="12">
        <f t="shared" si="43"/>
        <v>0.27223321452906341</v>
      </c>
      <c r="AC21" s="12">
        <f>(AC4-AB4)/AB4</f>
        <v>-0.30108763102941288</v>
      </c>
      <c r="AD21" s="12">
        <f>(AD4-AC4)/AC4</f>
        <v>-5.7931103083801082E-2</v>
      </c>
      <c r="AE21" s="12">
        <f>(AE4-AD4)/AD4</f>
        <v>0.30616714246607479</v>
      </c>
      <c r="AF21" s="13">
        <f t="shared" ref="AF21:AO21" si="44">(AF4-AE4)/AE4</f>
        <v>0.25</v>
      </c>
      <c r="AG21" s="12">
        <f t="shared" si="44"/>
        <v>0.2</v>
      </c>
      <c r="AH21" s="12">
        <f t="shared" si="44"/>
        <v>0.19999999999999987</v>
      </c>
      <c r="AI21" s="12">
        <f t="shared" si="44"/>
        <v>0.20000000000000004</v>
      </c>
      <c r="AJ21" s="12">
        <f t="shared" si="44"/>
        <v>0.20000000000000004</v>
      </c>
      <c r="AK21" s="12">
        <f t="shared" si="44"/>
        <v>0.19999999999999996</v>
      </c>
      <c r="AL21" s="12">
        <f t="shared" si="44"/>
        <v>0.1999999999999999</v>
      </c>
      <c r="AM21" s="12">
        <f t="shared" si="44"/>
        <v>0.19999999999999993</v>
      </c>
      <c r="AN21" s="12">
        <f t="shared" si="44"/>
        <v>0.20000000000000004</v>
      </c>
      <c r="AO21" s="12">
        <f t="shared" si="44"/>
        <v>0.20000000000000004</v>
      </c>
    </row>
    <row r="22" spans="3:275" x14ac:dyDescent="0.25">
      <c r="C22" s="1" t="s">
        <v>118</v>
      </c>
      <c r="D22" s="12"/>
      <c r="E22" s="11">
        <f t="shared" ref="E22:P22" si="45">(E4-D4)/D4</f>
        <v>9.3404192565242558E-2</v>
      </c>
      <c r="F22" s="11">
        <f t="shared" si="45"/>
        <v>9.4911257973793357E-3</v>
      </c>
      <c r="G22" s="11">
        <f t="shared" si="45"/>
        <v>-5.3011821641174316E-2</v>
      </c>
      <c r="H22" s="11">
        <f t="shared" si="45"/>
        <v>-0.24008486001233187</v>
      </c>
      <c r="I22" s="11">
        <f t="shared" si="45"/>
        <v>6.0435404461314297E-2</v>
      </c>
      <c r="J22" s="11">
        <f t="shared" si="45"/>
        <v>-0.12440911183591954</v>
      </c>
      <c r="K22" s="11">
        <f t="shared" si="45"/>
        <v>-0.19875436010990075</v>
      </c>
      <c r="L22" s="11">
        <f t="shared" si="45"/>
        <v>-0.31143419629735747</v>
      </c>
      <c r="M22" s="11">
        <f t="shared" si="45"/>
        <v>0.71748234851942316</v>
      </c>
      <c r="N22" s="11">
        <f t="shared" si="45"/>
        <v>0.2409084869752792</v>
      </c>
      <c r="O22" s="11">
        <f t="shared" si="45"/>
        <v>-5.3995326661334157E-2</v>
      </c>
      <c r="P22" s="11">
        <f t="shared" si="45"/>
        <v>3.2410119840213206E-2</v>
      </c>
      <c r="Q22" s="11">
        <f t="shared" ref="Q22" si="46">(Q4-P4)/P4</f>
        <v>5.76005365388087E-2</v>
      </c>
      <c r="R22" s="11">
        <f t="shared" ref="R22" si="47">(R4-Q4)/Q4</f>
        <v>9.1463414634146339E-2</v>
      </c>
      <c r="S22" s="11">
        <f t="shared" ref="S22:U22" si="48">(S4-R4)/R4</f>
        <v>-5.3022346368715161E-2</v>
      </c>
      <c r="T22" s="11">
        <f t="shared" si="48"/>
        <v>0.13529665091529081</v>
      </c>
      <c r="U22" s="11">
        <f t="shared" si="48"/>
        <v>0.13574409045795371</v>
      </c>
      <c r="AC22" s="12"/>
      <c r="AD22" s="12"/>
      <c r="AE22"/>
      <c r="AQ22" s="1" t="s">
        <v>121</v>
      </c>
      <c r="AR22" s="27">
        <v>0.08</v>
      </c>
    </row>
    <row r="23" spans="3:275" x14ac:dyDescent="0.25">
      <c r="C23" s="1" t="s">
        <v>243</v>
      </c>
      <c r="D23" s="14">
        <f t="shared" ref="D23:P23" si="49">D6/D4</f>
        <v>0.59711283222092348</v>
      </c>
      <c r="E23" s="14">
        <f t="shared" si="49"/>
        <v>0.55368230704291488</v>
      </c>
      <c r="F23" s="14">
        <f t="shared" si="49"/>
        <v>0.57270878384062307</v>
      </c>
      <c r="G23" s="14">
        <f t="shared" si="49"/>
        <v>0.52720850272241782</v>
      </c>
      <c r="H23" s="14">
        <f t="shared" si="49"/>
        <v>0.53328107379596779</v>
      </c>
      <c r="I23" s="14">
        <f t="shared" si="49"/>
        <v>0.53005829448115327</v>
      </c>
      <c r="J23" s="14">
        <f t="shared" si="49"/>
        <v>0.50474335522953995</v>
      </c>
      <c r="K23" s="14">
        <f t="shared" si="49"/>
        <v>0.51996894438642061</v>
      </c>
      <c r="L23" s="14">
        <f t="shared" si="49"/>
        <v>0.47987865446052247</v>
      </c>
      <c r="M23" s="14">
        <f t="shared" si="49"/>
        <v>0.42025338220697311</v>
      </c>
      <c r="N23" s="14">
        <f t="shared" si="49"/>
        <v>0.4954116883853048</v>
      </c>
      <c r="O23" s="14">
        <f t="shared" si="49"/>
        <v>0.49130492676431414</v>
      </c>
      <c r="P23" s="14">
        <f t="shared" si="49"/>
        <v>0.49548585136843198</v>
      </c>
      <c r="Q23" s="14">
        <f t="shared" ref="Q23:S23" si="50">Q6/Q4</f>
        <v>0.50738414634146345</v>
      </c>
      <c r="R23" s="14">
        <f t="shared" si="50"/>
        <v>0.51955307262569828</v>
      </c>
      <c r="S23" s="14">
        <f t="shared" si="50"/>
        <v>0.55164622527417417</v>
      </c>
      <c r="T23" s="14">
        <f t="shared" ref="T23:U23" si="51">T6/T4</f>
        <v>0.52113093227605056</v>
      </c>
      <c r="U23" s="14">
        <f t="shared" si="51"/>
        <v>0.53110730854753263</v>
      </c>
      <c r="Y23" s="14">
        <f t="shared" ref="Y23:AA23" si="52">Y6/Y4</f>
        <v>0.51008165883597145</v>
      </c>
      <c r="Z23" s="14">
        <f t="shared" si="52"/>
        <v>0.52941263569889707</v>
      </c>
      <c r="AA23" s="14">
        <f t="shared" si="52"/>
        <v>0.53578705644949942</v>
      </c>
      <c r="AB23" s="14">
        <f>AB6/AB4</f>
        <v>0.56234695532833634</v>
      </c>
      <c r="AC23" s="14">
        <f>AC6/AC4</f>
        <v>0.522614111323358</v>
      </c>
      <c r="AD23" s="14">
        <f>AD6/AD4</f>
        <v>0.47313949395799931</v>
      </c>
      <c r="AE23" s="14">
        <f>AE6/AE4</f>
        <v>0.51946107784431139</v>
      </c>
      <c r="AF23" s="15">
        <f t="shared" ref="AF23:AO23" si="53">AF6/AF4</f>
        <v>0.52</v>
      </c>
      <c r="AG23" s="14">
        <f t="shared" si="53"/>
        <v>0.52</v>
      </c>
      <c r="AH23" s="14">
        <f t="shared" si="53"/>
        <v>0.52</v>
      </c>
      <c r="AI23" s="14">
        <f t="shared" si="53"/>
        <v>0.52</v>
      </c>
      <c r="AJ23" s="14">
        <f t="shared" si="53"/>
        <v>0.52</v>
      </c>
      <c r="AK23" s="14">
        <f t="shared" si="53"/>
        <v>0.52</v>
      </c>
      <c r="AL23" s="14">
        <f t="shared" si="53"/>
        <v>0.52</v>
      </c>
      <c r="AM23" s="14">
        <f t="shared" si="53"/>
        <v>0.52</v>
      </c>
      <c r="AN23" s="14">
        <f t="shared" si="53"/>
        <v>0.52</v>
      </c>
      <c r="AO23" s="14">
        <f t="shared" si="53"/>
        <v>0.52</v>
      </c>
      <c r="AQ23" s="1" t="s">
        <v>122</v>
      </c>
      <c r="AR23" s="27">
        <v>-0.01</v>
      </c>
    </row>
    <row r="24" spans="3:275" x14ac:dyDescent="0.25">
      <c r="C24" s="1" t="s">
        <v>129</v>
      </c>
      <c r="D24" s="14">
        <f>D9/D4</f>
        <v>0.29894694296669327</v>
      </c>
      <c r="E24" s="14">
        <f t="shared" ref="E24:O24" si="54">E9/E4</f>
        <v>0.2594024587011145</v>
      </c>
      <c r="F24" s="14">
        <f t="shared" si="54"/>
        <v>0.29756985852627826</v>
      </c>
      <c r="G24" s="14">
        <f t="shared" si="54"/>
        <v>0.20312581646409644</v>
      </c>
      <c r="H24" s="14">
        <f t="shared" si="54"/>
        <v>0.1000907665648981</v>
      </c>
      <c r="I24" s="14">
        <f t="shared" si="54"/>
        <v>0.18491476296387568</v>
      </c>
      <c r="J24" s="14">
        <f t="shared" si="54"/>
        <v>9.5133710036954505E-2</v>
      </c>
      <c r="K24" s="14">
        <f t="shared" si="54"/>
        <v>-6.3664007837845343E-2</v>
      </c>
      <c r="L24" s="14">
        <f t="shared" si="54"/>
        <v>-0.30646460307659257</v>
      </c>
      <c r="M24" s="14">
        <f t="shared" si="54"/>
        <v>-5.6522520691838149E-2</v>
      </c>
      <c r="N24" s="14">
        <f t="shared" si="54"/>
        <v>0.10181202093554952</v>
      </c>
      <c r="O24" s="14">
        <f t="shared" si="54"/>
        <v>5.7716378162449934E-2</v>
      </c>
      <c r="P24" s="14">
        <f>P9/P4</f>
        <v>9.506797018082401E-2</v>
      </c>
      <c r="Q24" s="14">
        <f t="shared" ref="Q24:S24" si="55">Q9/Q4</f>
        <v>0.12695121951219512</v>
      </c>
      <c r="R24" s="14">
        <f t="shared" si="55"/>
        <v>8.7368715083798898E-2</v>
      </c>
      <c r="S24" s="14">
        <f t="shared" si="55"/>
        <v>9.1122005321251295E-2</v>
      </c>
      <c r="T24" s="14">
        <f t="shared" ref="T24:U24" si="56">T9/T4</f>
        <v>0.11048985933497199</v>
      </c>
      <c r="U24" s="14">
        <f t="shared" si="56"/>
        <v>0.15403127659379781</v>
      </c>
      <c r="Y24" s="14">
        <f>Y9/Y4</f>
        <v>0.1149777215277657</v>
      </c>
      <c r="Z24" s="14">
        <f t="shared" ref="Z24:AO24" si="57">Z9/Z4</f>
        <v>0.19091499122692285</v>
      </c>
      <c r="AA24" s="14">
        <f t="shared" si="57"/>
        <v>0.20521417527124061</v>
      </c>
      <c r="AB24" s="14">
        <f t="shared" si="57"/>
        <v>0.26478820291116395</v>
      </c>
      <c r="AC24" s="14">
        <f t="shared" si="57"/>
        <v>9.0318290416288388E-2</v>
      </c>
      <c r="AD24" s="14">
        <f t="shared" si="57"/>
        <v>-1.0224473035860934E-2</v>
      </c>
      <c r="AE24" s="14">
        <f t="shared" ref="AE24" si="58">AE9/AE4</f>
        <v>0.10029940119760479</v>
      </c>
      <c r="AF24" s="15">
        <f t="shared" si="57"/>
        <v>0.12663473053892216</v>
      </c>
      <c r="AG24" s="14">
        <f t="shared" si="57"/>
        <v>0.15088742514970063</v>
      </c>
      <c r="AH24" s="14">
        <f t="shared" si="57"/>
        <v>0.17293913173652697</v>
      </c>
      <c r="AI24" s="14">
        <f t="shared" si="57"/>
        <v>0.1930372871756488</v>
      </c>
      <c r="AJ24" s="14">
        <f t="shared" si="57"/>
        <v>0.21139932162134076</v>
      </c>
      <c r="AK24" s="14">
        <f t="shared" si="57"/>
        <v>0.2282163785832329</v>
      </c>
      <c r="AL24" s="14">
        <f t="shared" si="57"/>
        <v>0.2436565710194033</v>
      </c>
      <c r="AM24" s="14">
        <f t="shared" si="57"/>
        <v>0.2578678314090832</v>
      </c>
      <c r="AN24" s="14">
        <f t="shared" si="57"/>
        <v>0.27098040652448296</v>
      </c>
      <c r="AO24" s="14">
        <f t="shared" si="57"/>
        <v>0.28310904128240649</v>
      </c>
      <c r="AQ24" s="1" t="s">
        <v>123</v>
      </c>
      <c r="AR24" s="28">
        <f>NPV(AR22,AE17:JO17)</f>
        <v>6307.8160349347354</v>
      </c>
    </row>
    <row r="25" spans="3:275" x14ac:dyDescent="0.25">
      <c r="C25" s="1" t="s">
        <v>198</v>
      </c>
      <c r="D25" s="14">
        <f t="shared" ref="D25:T25" si="59">D11/D4</f>
        <v>0.24412024950023489</v>
      </c>
      <c r="E25" s="14">
        <f t="shared" si="59"/>
        <v>0.20670173387882337</v>
      </c>
      <c r="F25" s="14">
        <f t="shared" si="59"/>
        <v>0.24003523235042329</v>
      </c>
      <c r="G25" s="14">
        <f t="shared" si="59"/>
        <v>0.14119472864652455</v>
      </c>
      <c r="H25" s="14">
        <f t="shared" si="59"/>
        <v>2.0951948730643346E-2</v>
      </c>
      <c r="I25" s="14">
        <f t="shared" si="59"/>
        <v>0.11400818327421759</v>
      </c>
      <c r="J25" s="14">
        <f t="shared" si="59"/>
        <v>1.5544578652309496E-2</v>
      </c>
      <c r="K25" s="14">
        <f t="shared" si="59"/>
        <v>-0.16660042701468675</v>
      </c>
      <c r="L25" s="14">
        <f t="shared" si="59"/>
        <v>-0.44948857687454691</v>
      </c>
      <c r="M25" s="14">
        <f t="shared" si="59"/>
        <v>-0.13125542208223587</v>
      </c>
      <c r="N25" s="14">
        <f t="shared" si="59"/>
        <v>3.8954986049265318E-2</v>
      </c>
      <c r="O25" s="14">
        <f t="shared" si="59"/>
        <v>-1.1371504660452874E-2</v>
      </c>
      <c r="P25" s="14">
        <f t="shared" si="59"/>
        <v>3.6835452833595704E-2</v>
      </c>
      <c r="Q25" s="14">
        <f t="shared" si="59"/>
        <v>6.9871951219512188E-2</v>
      </c>
      <c r="R25" s="14">
        <f t="shared" si="59"/>
        <v>2.4798882681564265E-2</v>
      </c>
      <c r="S25" s="14">
        <f t="shared" si="59"/>
        <v>1.182828050427991E-2</v>
      </c>
      <c r="T25" s="14">
        <f t="shared" si="59"/>
        <v>5.2446698502933417E-2</v>
      </c>
      <c r="U25" s="14">
        <f>U11/U4</f>
        <v>0.10205612949864119</v>
      </c>
      <c r="Y25" s="14">
        <f t="shared" ref="Y25:AO25" si="60">Y11/Y4</f>
        <v>3.3370897553702338E-2</v>
      </c>
      <c r="Z25" s="14">
        <f t="shared" si="60"/>
        <v>0.11441277142864192</v>
      </c>
      <c r="AA25" s="14">
        <f t="shared" si="60"/>
        <v>0.14330382881702391</v>
      </c>
      <c r="AB25" s="14">
        <f t="shared" si="60"/>
        <v>0.20805449484636954</v>
      </c>
      <c r="AC25" s="14">
        <f t="shared" si="60"/>
        <v>8.6632318294101521E-3</v>
      </c>
      <c r="AD25" s="14">
        <f t="shared" si="60"/>
        <v>-8.9560439560439548E-2</v>
      </c>
      <c r="AE25" s="14">
        <f t="shared" ref="AE25" si="61">AE11/AE4</f>
        <v>3.5928143712574849E-2</v>
      </c>
      <c r="AF25" s="15">
        <f t="shared" si="60"/>
        <v>7.8730538922155702E-2</v>
      </c>
      <c r="AG25" s="14">
        <f t="shared" si="60"/>
        <v>0.11096726546906191</v>
      </c>
      <c r="AH25" s="14">
        <f t="shared" si="60"/>
        <v>0.13967233200266135</v>
      </c>
      <c r="AI25" s="14">
        <f t="shared" si="60"/>
        <v>0.16531495406409413</v>
      </c>
      <c r="AJ25" s="14">
        <f t="shared" si="60"/>
        <v>0.18829737736171187</v>
      </c>
      <c r="AK25" s="14">
        <f t="shared" si="60"/>
        <v>0.20896475836687547</v>
      </c>
      <c r="AL25" s="14">
        <f t="shared" si="60"/>
        <v>0.22761355417243878</v>
      </c>
      <c r="AM25" s="14">
        <f t="shared" si="60"/>
        <v>0.24449865070327942</v>
      </c>
      <c r="AN25" s="14">
        <f t="shared" si="60"/>
        <v>0.25983942260297982</v>
      </c>
      <c r="AO25" s="14">
        <f t="shared" si="60"/>
        <v>0.27382488801448723</v>
      </c>
      <c r="AQ25" s="26" t="s">
        <v>124</v>
      </c>
      <c r="AR25" s="29">
        <f>AR24*B11</f>
        <v>61816.597142360413</v>
      </c>
    </row>
    <row r="26" spans="3:275" x14ac:dyDescent="0.25"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Y26" s="14"/>
      <c r="Z26" s="14"/>
      <c r="AA26" s="14"/>
      <c r="AB26" s="14"/>
      <c r="AC26" s="14"/>
      <c r="AD26" s="14"/>
      <c r="AE26"/>
      <c r="AF26" s="15"/>
      <c r="AG26" s="14"/>
      <c r="AH26" s="14"/>
      <c r="AI26" s="14"/>
      <c r="AJ26" s="14"/>
      <c r="AK26" s="14"/>
      <c r="AL26" s="14"/>
      <c r="AM26" s="14"/>
      <c r="AN26" s="14"/>
      <c r="AO26" s="14"/>
      <c r="AQ26" s="1" t="s">
        <v>125</v>
      </c>
      <c r="AR26" s="7">
        <v>199.7816</v>
      </c>
    </row>
    <row r="27" spans="3:275" x14ac:dyDescent="0.25"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AE27"/>
      <c r="AQ27" s="1" t="s">
        <v>126</v>
      </c>
      <c r="AR27" s="24">
        <f>AR25/AR26</f>
        <v>309.42087330545161</v>
      </c>
    </row>
    <row r="28" spans="3:275" x14ac:dyDescent="0.25">
      <c r="C28" s="3" t="s">
        <v>95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20"/>
      <c r="AE28"/>
      <c r="AQ28" s="16" t="s">
        <v>127</v>
      </c>
      <c r="AR28" s="12">
        <f>(AR27-B4)/B4</f>
        <v>0.74814052714944412</v>
      </c>
    </row>
    <row r="29" spans="3:275" x14ac:dyDescent="0.25">
      <c r="D29" s="7"/>
      <c r="E29" s="7"/>
      <c r="F29" s="7"/>
      <c r="G29" s="7"/>
      <c r="H29" s="7"/>
      <c r="I29" s="11"/>
      <c r="J29" s="7"/>
      <c r="K29" s="7"/>
      <c r="L29" s="7"/>
      <c r="M29" s="7"/>
      <c r="N29" s="7"/>
      <c r="AE29"/>
    </row>
    <row r="30" spans="3:275" x14ac:dyDescent="0.25">
      <c r="C30" s="1" t="s">
        <v>37</v>
      </c>
      <c r="D30" s="18">
        <v>2.2000000000000002</v>
      </c>
      <c r="E30" s="18">
        <v>2</v>
      </c>
      <c r="F30" s="18">
        <v>2.2000000000000002</v>
      </c>
      <c r="G30" s="18">
        <v>2.2000000000000002</v>
      </c>
      <c r="H30" s="18">
        <v>10</v>
      </c>
      <c r="I30" s="18">
        <v>11</v>
      </c>
      <c r="J30" s="18">
        <v>10</v>
      </c>
      <c r="K30" s="18">
        <v>11</v>
      </c>
      <c r="L30" s="18">
        <v>11</v>
      </c>
      <c r="M30" s="18">
        <v>11</v>
      </c>
      <c r="N30" s="18">
        <v>10.933999999999999</v>
      </c>
      <c r="O30" s="18">
        <v>10.88</v>
      </c>
      <c r="P30" s="18">
        <v>10.906000000000001</v>
      </c>
      <c r="Q30" s="18">
        <v>11</v>
      </c>
      <c r="R30" s="18">
        <v>102.5</v>
      </c>
      <c r="S30" s="18">
        <v>101</v>
      </c>
      <c r="T30" s="18">
        <v>101.29600000000001</v>
      </c>
      <c r="U30" s="18">
        <v>101.294</v>
      </c>
      <c r="V30" s="18"/>
      <c r="W30" s="18"/>
      <c r="X30" s="18"/>
      <c r="Y30" s="18">
        <v>0</v>
      </c>
      <c r="Z30" s="18">
        <v>0.249</v>
      </c>
      <c r="AA30" s="18">
        <v>0.249</v>
      </c>
      <c r="AB30" s="18">
        <v>2.2000000000000002</v>
      </c>
      <c r="AC30" s="18">
        <v>11</v>
      </c>
      <c r="AD30" s="18">
        <v>10.88</v>
      </c>
      <c r="AE30" s="18">
        <v>101</v>
      </c>
      <c r="AF30" s="19"/>
      <c r="AG30" s="18"/>
      <c r="AH30" s="18"/>
      <c r="AI30" s="18"/>
      <c r="AJ30" s="18"/>
      <c r="AK30" s="18"/>
      <c r="AL30" s="18"/>
      <c r="AM30" s="18"/>
      <c r="AN30" s="18"/>
      <c r="AO30" s="18"/>
      <c r="AP30" s="18"/>
    </row>
    <row r="31" spans="3:275" x14ac:dyDescent="0.25">
      <c r="C31" s="1" t="s">
        <v>38</v>
      </c>
      <c r="D31" s="18">
        <v>26.6</v>
      </c>
      <c r="E31" s="18">
        <v>29.9</v>
      </c>
      <c r="F31" s="18">
        <v>26.6</v>
      </c>
      <c r="G31" s="18">
        <v>26.6</v>
      </c>
      <c r="H31" s="18">
        <v>26.9</v>
      </c>
      <c r="I31" s="18">
        <v>38.9</v>
      </c>
      <c r="J31" s="18">
        <v>34.5</v>
      </c>
      <c r="K31" s="18">
        <v>38.9</v>
      </c>
      <c r="L31" s="18">
        <v>50</v>
      </c>
      <c r="M31" s="18">
        <v>42</v>
      </c>
      <c r="N31" s="18">
        <v>44.268999999999998</v>
      </c>
      <c r="O31" s="18">
        <v>50.076000000000001</v>
      </c>
      <c r="P31" s="18">
        <v>50.485999999999997</v>
      </c>
      <c r="Q31" s="18">
        <v>52.448999999999998</v>
      </c>
      <c r="R31" s="18">
        <v>52</v>
      </c>
      <c r="S31" s="18">
        <v>52.9</v>
      </c>
      <c r="T31" s="18">
        <v>53.219000000000001</v>
      </c>
      <c r="U31" s="18">
        <v>52.892000000000003</v>
      </c>
      <c r="V31" s="18"/>
      <c r="W31" s="18"/>
      <c r="X31" s="18"/>
      <c r="Y31" s="18">
        <v>33.99</v>
      </c>
      <c r="Z31" s="18">
        <v>34.563000000000002</v>
      </c>
      <c r="AA31" s="18">
        <v>31.542000000000002</v>
      </c>
      <c r="AB31" s="18">
        <v>26.6</v>
      </c>
      <c r="AC31" s="18">
        <v>38.9</v>
      </c>
      <c r="AD31" s="18">
        <v>50.076000000000001</v>
      </c>
      <c r="AE31" s="18">
        <v>52.9</v>
      </c>
      <c r="AF31" s="19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</row>
    <row r="32" spans="3:275" x14ac:dyDescent="0.25">
      <c r="C32" s="1" t="s">
        <v>39</v>
      </c>
      <c r="D32" s="18">
        <v>11.65</v>
      </c>
      <c r="E32" s="18">
        <v>13.7</v>
      </c>
      <c r="F32" s="18">
        <v>11.6</v>
      </c>
      <c r="G32" s="18">
        <v>11.65</v>
      </c>
      <c r="H32" s="18">
        <v>12.6</v>
      </c>
      <c r="I32" s="18">
        <v>19</v>
      </c>
      <c r="J32" s="18">
        <v>10.9</v>
      </c>
      <c r="K32" s="18">
        <v>19</v>
      </c>
      <c r="L32" s="18">
        <v>13</v>
      </c>
      <c r="M32" s="18">
        <v>16.899999999999999</v>
      </c>
      <c r="N32" s="18">
        <v>14.506</v>
      </c>
      <c r="O32" s="18">
        <v>13.762</v>
      </c>
      <c r="P32" s="18">
        <v>12.512</v>
      </c>
      <c r="Q32" s="18">
        <v>11.5</v>
      </c>
      <c r="R32" s="18">
        <v>56.457999999999998</v>
      </c>
      <c r="S32" s="18">
        <v>54</v>
      </c>
      <c r="T32" s="18">
        <v>52.5</v>
      </c>
      <c r="U32" s="18">
        <v>51.792999999999999</v>
      </c>
      <c r="V32" s="18"/>
      <c r="W32" s="18"/>
      <c r="X32" s="18"/>
      <c r="Y32" s="18">
        <v>11.407999999999999</v>
      </c>
      <c r="Z32" s="18">
        <v>19.286000000000001</v>
      </c>
      <c r="AA32" s="18">
        <v>15.231999999999999</v>
      </c>
      <c r="AB32" s="18">
        <v>11.65</v>
      </c>
      <c r="AC32" s="18">
        <v>19</v>
      </c>
      <c r="AD32" s="18">
        <v>13.762</v>
      </c>
      <c r="AE32" s="18">
        <v>54</v>
      </c>
      <c r="AF32" s="19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</row>
    <row r="33" spans="3:43" x14ac:dyDescent="0.25">
      <c r="C33" s="1" t="s">
        <v>40</v>
      </c>
      <c r="D33" s="18">
        <v>4.5</v>
      </c>
      <c r="E33" s="18">
        <v>5.5</v>
      </c>
      <c r="F33" s="18">
        <v>4.55</v>
      </c>
      <c r="G33" s="18">
        <v>4.5</v>
      </c>
      <c r="H33" s="18">
        <v>3.7</v>
      </c>
      <c r="I33" s="18">
        <v>5.8</v>
      </c>
      <c r="J33" s="18">
        <v>3.6</v>
      </c>
      <c r="K33" s="18">
        <v>5.8</v>
      </c>
      <c r="L33" s="18">
        <v>15</v>
      </c>
      <c r="M33" s="18">
        <v>15</v>
      </c>
      <c r="N33" s="18">
        <v>16.942</v>
      </c>
      <c r="O33" s="18">
        <v>13.097</v>
      </c>
      <c r="P33" s="18">
        <v>14.728999999999999</v>
      </c>
      <c r="Q33" s="18">
        <v>16.863</v>
      </c>
      <c r="R33" s="18">
        <v>19.2</v>
      </c>
      <c r="S33" s="18">
        <v>23</v>
      </c>
      <c r="T33" s="18">
        <v>27.475000000000001</v>
      </c>
      <c r="U33" s="18">
        <v>22.946999999999999</v>
      </c>
      <c r="V33" s="18"/>
      <c r="W33" s="18"/>
      <c r="X33" s="18"/>
      <c r="Y33" s="18">
        <v>2.8130000000000002</v>
      </c>
      <c r="Z33" s="18">
        <v>3.0289999999999999</v>
      </c>
      <c r="AA33" s="18">
        <v>5.7480000000000002</v>
      </c>
      <c r="AB33" s="18">
        <v>4.5</v>
      </c>
      <c r="AC33" s="18">
        <v>5.8</v>
      </c>
      <c r="AD33" s="18">
        <v>13.097</v>
      </c>
      <c r="AE33" s="18">
        <v>23</v>
      </c>
      <c r="AF33" s="19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</row>
    <row r="34" spans="3:43" x14ac:dyDescent="0.25">
      <c r="C34" s="1" t="s">
        <v>41</v>
      </c>
      <c r="D34" s="18">
        <v>35.6</v>
      </c>
      <c r="E34" s="18">
        <v>31.45</v>
      </c>
      <c r="F34" s="18">
        <v>35.6</v>
      </c>
      <c r="G34" s="18">
        <v>35.6</v>
      </c>
      <c r="H34" s="18">
        <v>35.4</v>
      </c>
      <c r="I34" s="18">
        <v>29</v>
      </c>
      <c r="J34" s="18">
        <v>30.7</v>
      </c>
      <c r="K34" s="18">
        <v>29</v>
      </c>
      <c r="L34" s="18">
        <v>20</v>
      </c>
      <c r="M34" s="18">
        <v>23</v>
      </c>
      <c r="N34" s="18">
        <v>23.623999999999999</v>
      </c>
      <c r="O34" s="18">
        <v>21.954999999999998</v>
      </c>
      <c r="P34" s="18">
        <v>20.279</v>
      </c>
      <c r="Q34" s="18">
        <v>25.690999999999999</v>
      </c>
      <c r="R34" s="18">
        <v>27.536999999999999</v>
      </c>
      <c r="S34" s="18">
        <v>28.805</v>
      </c>
      <c r="T34" s="18">
        <v>34.078000000000003</v>
      </c>
      <c r="U34" s="18">
        <v>36.956000000000003</v>
      </c>
      <c r="V34" s="18"/>
      <c r="W34" s="18"/>
      <c r="X34" s="18"/>
      <c r="Y34" s="18">
        <v>26.625</v>
      </c>
      <c r="Z34" s="18">
        <v>24.96</v>
      </c>
      <c r="AA34" s="18">
        <v>28.82</v>
      </c>
      <c r="AB34" s="18">
        <v>35.6</v>
      </c>
      <c r="AC34" s="18">
        <v>29</v>
      </c>
      <c r="AD34" s="18">
        <v>21.954999999999998</v>
      </c>
      <c r="AE34" s="18">
        <v>28.805</v>
      </c>
      <c r="AF34" s="19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</row>
    <row r="35" spans="3:43" x14ac:dyDescent="0.25">
      <c r="C35" s="1" t="s">
        <v>42</v>
      </c>
      <c r="D35" s="18">
        <v>21.4</v>
      </c>
      <c r="E35" s="18">
        <v>18</v>
      </c>
      <c r="F35" s="18">
        <v>21.4</v>
      </c>
      <c r="G35" s="18">
        <v>21.4</v>
      </c>
      <c r="H35" s="18">
        <v>20.7</v>
      </c>
      <c r="I35" s="18">
        <v>54.6</v>
      </c>
      <c r="J35" s="18">
        <v>34.799999999999997</v>
      </c>
      <c r="K35" s="18">
        <v>54.6</v>
      </c>
      <c r="L35" s="18">
        <v>53</v>
      </c>
      <c r="M35" s="18">
        <v>56.5</v>
      </c>
      <c r="N35" s="18">
        <v>55.453000000000003</v>
      </c>
      <c r="O35" s="18">
        <v>52.357999999999997</v>
      </c>
      <c r="P35" s="18">
        <v>52.804000000000002</v>
      </c>
      <c r="Q35" s="18">
        <v>51.311999999999998</v>
      </c>
      <c r="R35" s="18">
        <v>49.256999999999998</v>
      </c>
      <c r="S35" s="18">
        <v>49.66</v>
      </c>
      <c r="T35" s="18">
        <v>49.506999999999998</v>
      </c>
      <c r="U35" s="18">
        <v>47.402999999999999</v>
      </c>
      <c r="V35" s="18"/>
      <c r="W35" s="18"/>
      <c r="X35" s="18"/>
      <c r="Y35" s="18">
        <v>23.934000000000001</v>
      </c>
      <c r="Z35" s="18">
        <v>20.616</v>
      </c>
      <c r="AA35" s="18">
        <v>14.923</v>
      </c>
      <c r="AB35" s="18">
        <v>21.4</v>
      </c>
      <c r="AC35" s="18">
        <v>54.6</v>
      </c>
      <c r="AD35" s="18">
        <v>52.357999999999997</v>
      </c>
      <c r="AE35" s="18">
        <v>49.66</v>
      </c>
      <c r="AF35" s="19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</row>
    <row r="36" spans="3:43" x14ac:dyDescent="0.25">
      <c r="C36" s="1" t="s">
        <v>43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">
        <v>0</v>
      </c>
      <c r="K36" s="18">
        <v>0</v>
      </c>
      <c r="L36" s="18">
        <v>1</v>
      </c>
      <c r="M36" s="18">
        <v>0.32100000000000001</v>
      </c>
      <c r="N36" s="18">
        <v>0.20499999999999999</v>
      </c>
      <c r="O36" s="18">
        <v>0.17699999999999999</v>
      </c>
      <c r="P36" s="18">
        <v>0.56100000000000005</v>
      </c>
      <c r="Q36" s="18">
        <v>0.434</v>
      </c>
      <c r="R36" s="18">
        <v>0.33700000000000002</v>
      </c>
      <c r="S36" s="18">
        <v>0</v>
      </c>
      <c r="T36" s="18">
        <v>0</v>
      </c>
      <c r="U36" s="18">
        <v>0</v>
      </c>
      <c r="V36" s="18"/>
      <c r="W36" s="18"/>
      <c r="X36" s="18"/>
      <c r="Y36" s="18">
        <v>0</v>
      </c>
      <c r="Z36" s="18">
        <v>1.59</v>
      </c>
      <c r="AA36" s="18">
        <v>6.6959999999999997</v>
      </c>
      <c r="AB36" s="18">
        <v>0</v>
      </c>
      <c r="AC36" s="18">
        <v>0</v>
      </c>
      <c r="AD36" s="18">
        <v>0.17699999999999999</v>
      </c>
      <c r="AE36" s="18">
        <v>0</v>
      </c>
      <c r="AF36" s="19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</row>
    <row r="37" spans="3:43" x14ac:dyDescent="0.25">
      <c r="C37" s="1" t="s">
        <v>44</v>
      </c>
      <c r="D37" s="18">
        <v>0</v>
      </c>
      <c r="E37" s="18">
        <v>0</v>
      </c>
      <c r="F37" s="18">
        <v>0</v>
      </c>
      <c r="G37" s="18">
        <v>0</v>
      </c>
      <c r="H37" s="18">
        <v>100</v>
      </c>
      <c r="I37" s="18">
        <v>94.4</v>
      </c>
      <c r="J37" s="18">
        <v>100</v>
      </c>
      <c r="K37" s="18">
        <v>94.4</v>
      </c>
      <c r="L37" s="18">
        <v>90</v>
      </c>
      <c r="M37" s="18">
        <v>94.4</v>
      </c>
      <c r="N37" s="18">
        <v>93.066999999999993</v>
      </c>
      <c r="O37" s="18">
        <v>91.14</v>
      </c>
      <c r="P37" s="18">
        <v>90.347999999999999</v>
      </c>
      <c r="Q37" s="18">
        <v>93.662000000000006</v>
      </c>
      <c r="R37" s="18">
        <v>92.611999999999995</v>
      </c>
      <c r="S37" s="18">
        <v>90.710999999999999</v>
      </c>
      <c r="T37" s="18">
        <v>90.417000000000002</v>
      </c>
      <c r="U37" s="18">
        <v>86.984999999999999</v>
      </c>
      <c r="V37" s="18"/>
      <c r="W37" s="18"/>
      <c r="X37" s="18"/>
      <c r="Y37" s="18">
        <v>0</v>
      </c>
      <c r="Z37" s="18">
        <v>0</v>
      </c>
      <c r="AA37" s="18">
        <v>0</v>
      </c>
      <c r="AB37" s="18">
        <v>0</v>
      </c>
      <c r="AC37" s="18">
        <v>94.4</v>
      </c>
      <c r="AD37" s="18">
        <v>91.14</v>
      </c>
      <c r="AE37" s="18">
        <v>90.710999999999999</v>
      </c>
      <c r="AF37" s="19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</row>
    <row r="38" spans="3:43" x14ac:dyDescent="0.25">
      <c r="C38" s="4" t="s">
        <v>45</v>
      </c>
      <c r="D38" s="23">
        <f t="shared" ref="D38:M38" si="62">SUM(D30:D37)</f>
        <v>101.95000000000002</v>
      </c>
      <c r="E38" s="23">
        <f t="shared" si="62"/>
        <v>100.55</v>
      </c>
      <c r="F38" s="23">
        <f t="shared" si="62"/>
        <v>101.94999999999999</v>
      </c>
      <c r="G38" s="23">
        <f t="shared" si="62"/>
        <v>101.95000000000002</v>
      </c>
      <c r="H38" s="23">
        <f t="shared" si="62"/>
        <v>209.3</v>
      </c>
      <c r="I38" s="23">
        <f t="shared" si="62"/>
        <v>252.70000000000002</v>
      </c>
      <c r="J38" s="23">
        <f>SUM(J30:J37)</f>
        <v>224.5</v>
      </c>
      <c r="K38" s="23">
        <f t="shared" si="62"/>
        <v>252.70000000000002</v>
      </c>
      <c r="L38" s="23">
        <f t="shared" si="62"/>
        <v>253</v>
      </c>
      <c r="M38" s="23">
        <f t="shared" si="62"/>
        <v>259.12099999999998</v>
      </c>
      <c r="N38" s="23">
        <f t="shared" ref="N38:U38" si="63">SUM(N30:N37)</f>
        <v>259</v>
      </c>
      <c r="O38" s="23">
        <f t="shared" si="63"/>
        <v>253.44499999999999</v>
      </c>
      <c r="P38" s="23">
        <f t="shared" si="63"/>
        <v>252.625</v>
      </c>
      <c r="Q38" s="23">
        <f t="shared" si="63"/>
        <v>262.911</v>
      </c>
      <c r="R38" s="23">
        <f t="shared" si="63"/>
        <v>399.90099999999995</v>
      </c>
      <c r="S38" s="23">
        <f t="shared" si="63"/>
        <v>400.07600000000002</v>
      </c>
      <c r="T38" s="23">
        <f t="shared" si="63"/>
        <v>408.49199999999996</v>
      </c>
      <c r="U38" s="23">
        <f t="shared" si="63"/>
        <v>400.27000000000004</v>
      </c>
      <c r="V38" s="18"/>
      <c r="W38" s="18"/>
      <c r="X38" s="18"/>
      <c r="Y38" s="23">
        <f t="shared" ref="Y38:AA38" si="64">SUM(Y30:Y37)</f>
        <v>98.77000000000001</v>
      </c>
      <c r="Z38" s="23">
        <f t="shared" si="64"/>
        <v>104.29300000000002</v>
      </c>
      <c r="AA38" s="23">
        <f t="shared" si="64"/>
        <v>103.21</v>
      </c>
      <c r="AB38" s="23">
        <f t="shared" ref="AB38" si="65">SUM(AB30:AB37)</f>
        <v>101.95000000000002</v>
      </c>
      <c r="AC38" s="23">
        <f t="shared" ref="AC38" si="66">SUM(AC30:AC37)</f>
        <v>252.70000000000002</v>
      </c>
      <c r="AD38" s="23">
        <f>SUM(AD30:AD37)</f>
        <v>253.44499999999999</v>
      </c>
      <c r="AE38" s="23">
        <f>SUM(AE30:AE37)</f>
        <v>400.07600000000002</v>
      </c>
      <c r="AF38" s="19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</row>
    <row r="39" spans="3:43" x14ac:dyDescent="0.25">
      <c r="C39" s="1" t="s">
        <v>46</v>
      </c>
      <c r="D39" s="18">
        <v>102</v>
      </c>
      <c r="E39" s="18">
        <v>63.9</v>
      </c>
      <c r="F39" s="18">
        <v>102</v>
      </c>
      <c r="G39" s="18">
        <v>102</v>
      </c>
      <c r="H39" s="18">
        <v>126.914</v>
      </c>
      <c r="I39" s="18">
        <v>163</v>
      </c>
      <c r="J39" s="18">
        <v>158.19999999999999</v>
      </c>
      <c r="K39" s="18">
        <v>163</v>
      </c>
      <c r="L39" s="18">
        <v>144</v>
      </c>
      <c r="M39" s="18">
        <v>170.441</v>
      </c>
      <c r="N39" s="18">
        <v>181.47499999999999</v>
      </c>
      <c r="O39" s="18">
        <v>171.90700000000001</v>
      </c>
      <c r="P39" s="18">
        <v>144.08799999999999</v>
      </c>
      <c r="Q39" s="18">
        <v>135.85</v>
      </c>
      <c r="R39" s="18">
        <v>133.358</v>
      </c>
      <c r="S39" s="18">
        <v>154.994</v>
      </c>
      <c r="T39" s="18">
        <v>183.67400000000001</v>
      </c>
      <c r="U39" s="18">
        <v>217.29400000000001</v>
      </c>
      <c r="V39" s="18"/>
      <c r="W39" s="18"/>
      <c r="X39" s="18"/>
      <c r="Y39" s="18">
        <v>53.067</v>
      </c>
      <c r="Z39" s="18">
        <v>61.954999999999998</v>
      </c>
      <c r="AA39" s="18">
        <v>54.942999999999998</v>
      </c>
      <c r="AB39" s="18">
        <v>102</v>
      </c>
      <c r="AC39" s="18">
        <v>163</v>
      </c>
      <c r="AD39" s="18">
        <v>171.90700000000001</v>
      </c>
      <c r="AE39" s="18">
        <v>154.994</v>
      </c>
      <c r="AF39" s="19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</row>
    <row r="40" spans="3:43" x14ac:dyDescent="0.25">
      <c r="C40" s="1" t="s">
        <v>47</v>
      </c>
      <c r="D40" s="18">
        <v>175.12</v>
      </c>
      <c r="E40" s="18">
        <v>186.6</v>
      </c>
      <c r="F40" s="18">
        <v>175</v>
      </c>
      <c r="G40" s="18">
        <v>175</v>
      </c>
      <c r="H40" s="18">
        <v>176.1</v>
      </c>
      <c r="I40" s="18">
        <v>133.30000000000001</v>
      </c>
      <c r="J40" s="18">
        <v>160.44999999999999</v>
      </c>
      <c r="K40" s="18">
        <v>133.30000000000001</v>
      </c>
      <c r="L40" s="18">
        <v>73</v>
      </c>
      <c r="M40" s="18">
        <v>106.3</v>
      </c>
      <c r="N40" s="18">
        <v>110.595</v>
      </c>
      <c r="O40" s="18">
        <v>66.412000000000006</v>
      </c>
      <c r="P40" s="18">
        <v>72.849999999999994</v>
      </c>
      <c r="Q40" s="18">
        <v>66</v>
      </c>
      <c r="R40" s="18">
        <v>99</v>
      </c>
      <c r="S40" s="18">
        <v>93.488</v>
      </c>
      <c r="T40" s="18">
        <v>107.15600000000001</v>
      </c>
      <c r="U40" s="18">
        <v>115.65300000000001</v>
      </c>
      <c r="V40" s="18"/>
      <c r="W40" s="18"/>
      <c r="X40" s="18"/>
      <c r="Y40" s="18">
        <v>64.519000000000005</v>
      </c>
      <c r="Z40" s="18">
        <v>88.034000000000006</v>
      </c>
      <c r="AA40" s="18">
        <v>141.74799999999999</v>
      </c>
      <c r="AB40" s="18">
        <v>175</v>
      </c>
      <c r="AC40" s="18">
        <v>133.30000000000001</v>
      </c>
      <c r="AD40" s="18">
        <v>66.412000000000006</v>
      </c>
      <c r="AE40" s="18">
        <v>93.488</v>
      </c>
      <c r="AF40" s="19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</row>
    <row r="41" spans="3:43" x14ac:dyDescent="0.25">
      <c r="C41" s="1" t="s">
        <v>48</v>
      </c>
      <c r="D41" s="18">
        <v>17.5</v>
      </c>
      <c r="E41" s="18">
        <v>15.2</v>
      </c>
      <c r="F41" s="18">
        <v>17.5</v>
      </c>
      <c r="G41" s="18">
        <v>17.5</v>
      </c>
      <c r="H41" s="18">
        <v>18</v>
      </c>
      <c r="I41" s="18">
        <v>21.8</v>
      </c>
      <c r="J41" s="18">
        <v>18</v>
      </c>
      <c r="K41" s="18">
        <v>21.8</v>
      </c>
      <c r="L41" s="18">
        <v>27</v>
      </c>
      <c r="M41" s="18">
        <v>23.4</v>
      </c>
      <c r="N41" s="18">
        <v>19.7</v>
      </c>
      <c r="O41" s="18">
        <v>27.029</v>
      </c>
      <c r="P41" s="18">
        <v>27.324000000000002</v>
      </c>
      <c r="Q41" s="18">
        <v>29.253</v>
      </c>
      <c r="R41" s="18">
        <v>27.2</v>
      </c>
      <c r="S41" s="18">
        <v>26.957000000000001</v>
      </c>
      <c r="T41" s="18">
        <v>29.55</v>
      </c>
      <c r="U41" s="18">
        <v>32.024000000000001</v>
      </c>
      <c r="V41" s="18"/>
      <c r="W41" s="18"/>
      <c r="X41" s="18"/>
      <c r="Y41" s="18">
        <v>11.359</v>
      </c>
      <c r="Z41" s="18">
        <v>10.061999999999999</v>
      </c>
      <c r="AA41" s="18">
        <v>11.282999999999999</v>
      </c>
      <c r="AB41" s="18">
        <v>17.5</v>
      </c>
      <c r="AC41" s="18">
        <v>21.8</v>
      </c>
      <c r="AD41" s="18">
        <v>27.029</v>
      </c>
      <c r="AE41" s="18">
        <v>26.957000000000001</v>
      </c>
      <c r="AF41" s="19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</row>
    <row r="42" spans="3:43" x14ac:dyDescent="0.25">
      <c r="C42" s="1" t="s">
        <v>2</v>
      </c>
      <c r="D42" s="18">
        <v>379</v>
      </c>
      <c r="E42" s="18">
        <v>319.85000000000002</v>
      </c>
      <c r="F42" s="18">
        <v>379</v>
      </c>
      <c r="G42" s="18">
        <v>379</v>
      </c>
      <c r="H42" s="18">
        <v>233.26</v>
      </c>
      <c r="I42" s="18">
        <v>290.89999999999998</v>
      </c>
      <c r="J42" s="18">
        <v>228.7</v>
      </c>
      <c r="K42" s="18">
        <v>290.89999999999998</v>
      </c>
      <c r="L42" s="18">
        <v>307</v>
      </c>
      <c r="M42" s="18">
        <v>257.89999999999998</v>
      </c>
      <c r="N42" s="18">
        <v>260.85000000000002</v>
      </c>
      <c r="O42" s="18">
        <v>287.91399999999999</v>
      </c>
      <c r="P42" s="18">
        <v>307.45400000000001</v>
      </c>
      <c r="Q42" s="18">
        <v>335.47300000000001</v>
      </c>
      <c r="R42" s="18">
        <v>308.89999999999998</v>
      </c>
      <c r="S42" s="18">
        <v>307.40199999999999</v>
      </c>
      <c r="T42" s="18">
        <v>279.66500000000002</v>
      </c>
      <c r="U42" s="18">
        <v>276.10599999999999</v>
      </c>
      <c r="V42" s="18"/>
      <c r="W42" s="18"/>
      <c r="X42" s="18"/>
      <c r="Y42" s="18">
        <v>90.644999999999996</v>
      </c>
      <c r="Z42" s="18">
        <v>238.61500000000001</v>
      </c>
      <c r="AA42" s="18">
        <v>273.43</v>
      </c>
      <c r="AB42" s="18">
        <v>379</v>
      </c>
      <c r="AC42" s="18">
        <v>290.89999999999998</v>
      </c>
      <c r="AD42" s="18">
        <v>287.91399999999999</v>
      </c>
      <c r="AE42" s="18">
        <v>307.40199999999999</v>
      </c>
      <c r="AF42" s="19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</row>
    <row r="43" spans="3:43" x14ac:dyDescent="0.25">
      <c r="C43" s="4" t="s">
        <v>49</v>
      </c>
      <c r="D43" s="23">
        <f t="shared" ref="D43:M43" si="67">SUM(D39:D42)</f>
        <v>673.62</v>
      </c>
      <c r="E43" s="23">
        <f t="shared" si="67"/>
        <v>585.54999999999995</v>
      </c>
      <c r="F43" s="23">
        <f t="shared" si="67"/>
        <v>673.5</v>
      </c>
      <c r="G43" s="23">
        <f t="shared" si="67"/>
        <v>673.5</v>
      </c>
      <c r="H43" s="23">
        <f t="shared" si="67"/>
        <v>554.274</v>
      </c>
      <c r="I43" s="23">
        <f t="shared" si="67"/>
        <v>609</v>
      </c>
      <c r="J43" s="23">
        <f t="shared" si="67"/>
        <v>565.34999999999991</v>
      </c>
      <c r="K43" s="23">
        <f t="shared" si="67"/>
        <v>609</v>
      </c>
      <c r="L43" s="23">
        <f t="shared" si="67"/>
        <v>551</v>
      </c>
      <c r="M43" s="23">
        <f t="shared" si="67"/>
        <v>558.04099999999994</v>
      </c>
      <c r="N43" s="23">
        <f t="shared" ref="N43:T43" si="68">SUM(N39:N42)</f>
        <v>572.62</v>
      </c>
      <c r="O43" s="23">
        <f t="shared" si="68"/>
        <v>553.26199999999994</v>
      </c>
      <c r="P43" s="23">
        <f t="shared" si="68"/>
        <v>551.71600000000001</v>
      </c>
      <c r="Q43" s="23">
        <f t="shared" si="68"/>
        <v>566.57600000000002</v>
      </c>
      <c r="R43" s="23">
        <f t="shared" si="68"/>
        <v>568.45799999999997</v>
      </c>
      <c r="S43" s="23">
        <f t="shared" si="68"/>
        <v>582.84100000000001</v>
      </c>
      <c r="T43" s="23">
        <f t="shared" si="68"/>
        <v>600.04500000000007</v>
      </c>
      <c r="U43" s="23">
        <f t="shared" ref="U43" si="69">SUM(U39:U42)</f>
        <v>641.077</v>
      </c>
      <c r="V43" s="18"/>
      <c r="W43" s="18"/>
      <c r="X43" s="18"/>
      <c r="Y43" s="23">
        <f t="shared" ref="Y43:AA43" si="70">SUM(Y39:Y42)</f>
        <v>219.59000000000003</v>
      </c>
      <c r="Z43" s="23">
        <f t="shared" si="70"/>
        <v>398.66600000000005</v>
      </c>
      <c r="AA43" s="23">
        <f t="shared" si="70"/>
        <v>481.404</v>
      </c>
      <c r="AB43" s="23">
        <f t="shared" ref="AB43" si="71">SUM(AB39:AB42)</f>
        <v>673.5</v>
      </c>
      <c r="AC43" s="23">
        <f t="shared" ref="AC43" si="72">SUM(AC39:AC42)</f>
        <v>609</v>
      </c>
      <c r="AD43" s="23">
        <f>SUM(AD39:AD42)</f>
        <v>553.26199999999994</v>
      </c>
      <c r="AE43" s="23">
        <f>SUM(AE39:AE42)</f>
        <v>582.84100000000001</v>
      </c>
      <c r="AF43" s="19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</row>
    <row r="44" spans="3:43" x14ac:dyDescent="0.25">
      <c r="C44" s="2" t="s">
        <v>50</v>
      </c>
      <c r="D44" s="16">
        <f t="shared" ref="D44:M44" si="73">D43+D38</f>
        <v>775.57</v>
      </c>
      <c r="E44" s="16">
        <f t="shared" si="73"/>
        <v>686.09999999999991</v>
      </c>
      <c r="F44" s="16">
        <f t="shared" si="73"/>
        <v>775.45</v>
      </c>
      <c r="G44" s="16">
        <f t="shared" si="73"/>
        <v>775.45</v>
      </c>
      <c r="H44" s="16">
        <f t="shared" si="73"/>
        <v>763.57400000000007</v>
      </c>
      <c r="I44" s="16">
        <f t="shared" si="73"/>
        <v>861.7</v>
      </c>
      <c r="J44" s="16">
        <f t="shared" si="73"/>
        <v>789.84999999999991</v>
      </c>
      <c r="K44" s="16">
        <f t="shared" si="73"/>
        <v>861.7</v>
      </c>
      <c r="L44" s="16">
        <f t="shared" si="73"/>
        <v>804</v>
      </c>
      <c r="M44" s="16">
        <f t="shared" si="73"/>
        <v>817.16199999999992</v>
      </c>
      <c r="N44" s="16">
        <f t="shared" ref="N44:T44" si="74">N43+N38</f>
        <v>831.62</v>
      </c>
      <c r="O44" s="16">
        <f t="shared" si="74"/>
        <v>806.70699999999988</v>
      </c>
      <c r="P44" s="16">
        <f t="shared" si="74"/>
        <v>804.34100000000001</v>
      </c>
      <c r="Q44" s="16">
        <f t="shared" si="74"/>
        <v>829.48700000000008</v>
      </c>
      <c r="R44" s="16">
        <f t="shared" si="74"/>
        <v>968.35899999999992</v>
      </c>
      <c r="S44" s="16">
        <f t="shared" si="74"/>
        <v>982.91700000000003</v>
      </c>
      <c r="T44" s="16">
        <f t="shared" si="74"/>
        <v>1008.537</v>
      </c>
      <c r="U44" s="16">
        <f t="shared" ref="U44" si="75">U43+U38</f>
        <v>1041.347</v>
      </c>
      <c r="V44" s="18"/>
      <c r="W44" s="18"/>
      <c r="X44" s="18"/>
      <c r="Y44" s="16">
        <f t="shared" ref="Y44:AA44" si="76">Y43+Y38</f>
        <v>318.36</v>
      </c>
      <c r="Z44" s="16">
        <f t="shared" si="76"/>
        <v>502.95900000000006</v>
      </c>
      <c r="AA44" s="16">
        <f t="shared" si="76"/>
        <v>584.61400000000003</v>
      </c>
      <c r="AB44" s="16">
        <f t="shared" ref="AB44" si="77">AB43+AB38</f>
        <v>775.45</v>
      </c>
      <c r="AC44" s="16">
        <f t="shared" ref="AC44" si="78">AC43+AC38</f>
        <v>861.7</v>
      </c>
      <c r="AD44" s="16">
        <f>AD43+AD38</f>
        <v>806.70699999999988</v>
      </c>
      <c r="AE44" s="16">
        <f>AE43+AE38</f>
        <v>982.91700000000003</v>
      </c>
      <c r="AF44" s="19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</row>
    <row r="45" spans="3:43" x14ac:dyDescent="0.25">
      <c r="C45" s="1" t="s">
        <v>51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0.317</v>
      </c>
      <c r="O45" s="18">
        <v>0.317</v>
      </c>
      <c r="P45" s="18">
        <v>0.317</v>
      </c>
      <c r="Q45" s="18">
        <v>0.317</v>
      </c>
      <c r="R45" s="18">
        <v>0</v>
      </c>
      <c r="S45" s="18">
        <v>0.32400000000000001</v>
      </c>
      <c r="T45" s="18">
        <v>0</v>
      </c>
      <c r="U45" s="18">
        <v>0.32400000000000001</v>
      </c>
      <c r="V45" s="18"/>
      <c r="W45" s="18"/>
      <c r="X45" s="18"/>
      <c r="Y45" s="18">
        <v>0.30299999999999999</v>
      </c>
      <c r="Z45" s="18">
        <v>0.317</v>
      </c>
      <c r="AA45" s="18">
        <v>0.317</v>
      </c>
      <c r="AB45" s="18">
        <v>0</v>
      </c>
      <c r="AC45" s="18">
        <v>0</v>
      </c>
      <c r="AD45" s="18">
        <v>0.317</v>
      </c>
      <c r="AE45" s="18">
        <v>0.32400000000000001</v>
      </c>
      <c r="AF45" s="19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</row>
    <row r="46" spans="3:43" x14ac:dyDescent="0.25">
      <c r="C46" s="1" t="s">
        <v>52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-1E-3</v>
      </c>
      <c r="O46" s="18">
        <v>-1E-3</v>
      </c>
      <c r="P46" s="18">
        <v>-2E-3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/>
      <c r="W46" s="18"/>
      <c r="X46" s="18"/>
      <c r="Y46" s="18">
        <v>-5.0000000000000001E-3</v>
      </c>
      <c r="Z46" s="18">
        <v>0</v>
      </c>
      <c r="AA46" s="18">
        <v>0</v>
      </c>
      <c r="AB46" s="18">
        <v>0</v>
      </c>
      <c r="AC46" s="18">
        <v>0</v>
      </c>
      <c r="AD46" s="18">
        <v>-1E-3</v>
      </c>
      <c r="AE46" s="18">
        <v>0</v>
      </c>
      <c r="AF46" s="19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</row>
    <row r="47" spans="3:43" x14ac:dyDescent="0.25">
      <c r="C47" s="1" t="s">
        <v>53</v>
      </c>
      <c r="D47" s="18">
        <v>235.44800000000001</v>
      </c>
      <c r="E47" s="18">
        <v>235.44800000000001</v>
      </c>
      <c r="F47" s="18">
        <v>235.4</v>
      </c>
      <c r="G47" s="18">
        <v>235.44800000000001</v>
      </c>
      <c r="H47" s="18">
        <v>235.44800000000001</v>
      </c>
      <c r="I47" s="18">
        <v>235.44800000000001</v>
      </c>
      <c r="J47" s="18">
        <v>235.44800000000001</v>
      </c>
      <c r="K47" s="18">
        <v>235.44800000000001</v>
      </c>
      <c r="L47" s="18">
        <v>235</v>
      </c>
      <c r="M47" s="18">
        <v>235.48</v>
      </c>
      <c r="N47" s="18">
        <v>235.44800000000001</v>
      </c>
      <c r="O47" s="18">
        <v>235.44800000000001</v>
      </c>
      <c r="P47" s="18">
        <v>235.44800000000001</v>
      </c>
      <c r="Q47" s="18">
        <v>235.44800000000001</v>
      </c>
      <c r="R47" s="18">
        <v>338.89699999999999</v>
      </c>
      <c r="S47" s="18">
        <v>338.89699999999999</v>
      </c>
      <c r="T47" s="18">
        <v>338.89699999999999</v>
      </c>
      <c r="U47" s="18">
        <v>338.89699999999999</v>
      </c>
      <c r="V47" s="18"/>
      <c r="W47" s="18"/>
      <c r="X47" s="18"/>
      <c r="Y47" s="18">
        <v>113.355</v>
      </c>
      <c r="Z47" s="18">
        <v>235.44800000000001</v>
      </c>
      <c r="AA47" s="18">
        <v>235.44800000000001</v>
      </c>
      <c r="AB47" s="18">
        <v>235.44800000000001</v>
      </c>
      <c r="AC47" s="18">
        <v>235.44800000000001</v>
      </c>
      <c r="AD47" s="18">
        <v>235.44800000000001</v>
      </c>
      <c r="AE47" s="18">
        <v>338.89699999999999</v>
      </c>
      <c r="AF47" s="19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</row>
    <row r="48" spans="3:43" x14ac:dyDescent="0.25">
      <c r="C48" s="1" t="s">
        <v>54</v>
      </c>
      <c r="D48" s="18">
        <v>347.7</v>
      </c>
      <c r="E48" s="18">
        <v>287.84100000000001</v>
      </c>
      <c r="F48" s="18">
        <v>347.7</v>
      </c>
      <c r="G48" s="18">
        <v>347.78</v>
      </c>
      <c r="H48" s="18">
        <v>356.2</v>
      </c>
      <c r="I48" s="18">
        <v>366.3</v>
      </c>
      <c r="J48" s="18">
        <v>376.1</v>
      </c>
      <c r="K48" s="18">
        <v>366.3</v>
      </c>
      <c r="L48" s="18">
        <v>323</v>
      </c>
      <c r="M48" s="18">
        <v>326.49400000000003</v>
      </c>
      <c r="N48" s="18">
        <v>338.02699999999999</v>
      </c>
      <c r="O48" s="18">
        <v>334.00099999999998</v>
      </c>
      <c r="P48" s="18">
        <v>323.38799999999998</v>
      </c>
      <c r="Q48" s="18">
        <v>339.68700000000001</v>
      </c>
      <c r="R48" s="18">
        <v>332.98599999999999</v>
      </c>
      <c r="S48" s="18">
        <v>340.36799999999999</v>
      </c>
      <c r="T48" s="18">
        <v>341.01299999999998</v>
      </c>
      <c r="U48" s="18">
        <v>363.76100000000002</v>
      </c>
      <c r="V48" s="18"/>
      <c r="W48" s="18"/>
      <c r="X48" s="18"/>
      <c r="Y48" s="18">
        <v>118.551</v>
      </c>
      <c r="Z48" s="18">
        <v>153.501</v>
      </c>
      <c r="AA48" s="18">
        <v>204.92400000000001</v>
      </c>
      <c r="AB48" s="18">
        <v>347.78</v>
      </c>
      <c r="AC48" s="18">
        <v>366.3</v>
      </c>
      <c r="AD48" s="18">
        <v>334.00099999999998</v>
      </c>
      <c r="AE48" s="18">
        <v>340.36799999999999</v>
      </c>
      <c r="AF48" s="19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</row>
    <row r="49" spans="1:43" x14ac:dyDescent="0.25">
      <c r="C49" s="3" t="s">
        <v>55</v>
      </c>
      <c r="D49" s="45">
        <f t="shared" ref="D49:M49" si="79">SUM(D45:D48)</f>
        <v>583.14800000000002</v>
      </c>
      <c r="E49" s="45">
        <f t="shared" si="79"/>
        <v>523.28899999999999</v>
      </c>
      <c r="F49" s="45">
        <f t="shared" si="79"/>
        <v>583.1</v>
      </c>
      <c r="G49" s="45">
        <f t="shared" si="79"/>
        <v>583.22799999999995</v>
      </c>
      <c r="H49" s="45">
        <f t="shared" si="79"/>
        <v>591.64800000000002</v>
      </c>
      <c r="I49" s="45">
        <f t="shared" si="79"/>
        <v>601.74800000000005</v>
      </c>
      <c r="J49" s="45">
        <f t="shared" si="79"/>
        <v>611.548</v>
      </c>
      <c r="K49" s="45">
        <f t="shared" si="79"/>
        <v>601.74800000000005</v>
      </c>
      <c r="L49" s="45">
        <f t="shared" si="79"/>
        <v>558</v>
      </c>
      <c r="M49" s="45">
        <f t="shared" si="79"/>
        <v>561.97400000000005</v>
      </c>
      <c r="N49" s="45">
        <f t="shared" ref="N49:U49" si="80">SUM(N45:N48)</f>
        <v>573.79099999999994</v>
      </c>
      <c r="O49" s="45">
        <f t="shared" si="80"/>
        <v>569.76499999999999</v>
      </c>
      <c r="P49" s="45">
        <f t="shared" si="80"/>
        <v>559.15099999999995</v>
      </c>
      <c r="Q49" s="45">
        <f t="shared" si="80"/>
        <v>575.452</v>
      </c>
      <c r="R49" s="45">
        <f t="shared" si="80"/>
        <v>671.88300000000004</v>
      </c>
      <c r="S49" s="45">
        <f t="shared" si="80"/>
        <v>679.58899999999994</v>
      </c>
      <c r="T49" s="45">
        <f t="shared" si="80"/>
        <v>679.91</v>
      </c>
      <c r="U49" s="45">
        <f t="shared" si="80"/>
        <v>702.98199999999997</v>
      </c>
      <c r="V49" s="18"/>
      <c r="W49" s="18"/>
      <c r="X49" s="18"/>
      <c r="Y49" s="45">
        <f t="shared" ref="Y49:AA49" si="81">SUM(Y45:Y48)</f>
        <v>232.20400000000001</v>
      </c>
      <c r="Z49" s="45">
        <f t="shared" si="81"/>
        <v>389.26600000000002</v>
      </c>
      <c r="AA49" s="45">
        <f t="shared" si="81"/>
        <v>440.68900000000002</v>
      </c>
      <c r="AB49" s="45">
        <f t="shared" ref="AB49" si="82">SUM(AB45:AB48)</f>
        <v>583.22799999999995</v>
      </c>
      <c r="AC49" s="45">
        <f t="shared" ref="AC49" si="83">SUM(AC45:AC48)</f>
        <v>601.74800000000005</v>
      </c>
      <c r="AD49" s="45">
        <f>SUM(AD45:AD48)</f>
        <v>569.76499999999999</v>
      </c>
      <c r="AE49" s="45">
        <f>SUM(AE45:AE48)</f>
        <v>679.58899999999994</v>
      </c>
      <c r="AF49" s="19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</row>
    <row r="50" spans="1:43" x14ac:dyDescent="0.25">
      <c r="C50" s="1" t="s">
        <v>61</v>
      </c>
      <c r="D50" s="18">
        <v>0.7</v>
      </c>
      <c r="E50" s="18">
        <v>1</v>
      </c>
      <c r="F50" s="18">
        <v>1</v>
      </c>
      <c r="G50" s="18">
        <v>1</v>
      </c>
      <c r="H50" s="18">
        <v>0.7</v>
      </c>
      <c r="I50" s="18">
        <v>1</v>
      </c>
      <c r="J50" s="18">
        <v>1</v>
      </c>
      <c r="K50" s="18">
        <v>1</v>
      </c>
      <c r="L50" s="18">
        <v>1</v>
      </c>
      <c r="M50" s="18">
        <v>0.65</v>
      </c>
      <c r="N50" s="18">
        <v>0.64600000000000002</v>
      </c>
      <c r="O50" s="18">
        <v>0.76500000000000001</v>
      </c>
      <c r="P50" s="18">
        <v>0</v>
      </c>
      <c r="Q50" s="18">
        <v>1</v>
      </c>
      <c r="R50" s="18">
        <v>1</v>
      </c>
      <c r="S50" s="18">
        <v>0.94499999999999995</v>
      </c>
      <c r="T50" s="18">
        <v>0.92300000000000004</v>
      </c>
      <c r="U50" s="18">
        <v>0.878</v>
      </c>
      <c r="V50" s="18"/>
      <c r="W50" s="18"/>
      <c r="X50" s="18"/>
      <c r="Y50" s="18">
        <v>0.31</v>
      </c>
      <c r="Z50" s="18">
        <v>0.44800000000000001</v>
      </c>
      <c r="AA50" s="18">
        <v>0.55400000000000005</v>
      </c>
      <c r="AB50" s="18">
        <v>1</v>
      </c>
      <c r="AC50" s="18">
        <v>1</v>
      </c>
      <c r="AD50" s="18">
        <v>0.76500000000000001</v>
      </c>
      <c r="AE50" s="18">
        <v>0.94499999999999995</v>
      </c>
      <c r="AF50" s="19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</row>
    <row r="51" spans="1:43" x14ac:dyDescent="0.25">
      <c r="C51" s="1" t="s">
        <v>62</v>
      </c>
      <c r="D51" s="1">
        <v>0</v>
      </c>
      <c r="E51" s="18">
        <v>0</v>
      </c>
      <c r="F51" s="18">
        <v>0</v>
      </c>
      <c r="G51" s="18">
        <v>0</v>
      </c>
      <c r="H51" s="18">
        <v>0</v>
      </c>
      <c r="I51" s="18">
        <v>97.4</v>
      </c>
      <c r="J51" s="18">
        <v>0</v>
      </c>
      <c r="K51" s="18">
        <v>97.491</v>
      </c>
      <c r="L51" s="18">
        <v>94</v>
      </c>
      <c r="M51" s="18">
        <v>93</v>
      </c>
      <c r="N51" s="18">
        <v>94.364000000000004</v>
      </c>
      <c r="O51" s="18">
        <v>87.335999999999999</v>
      </c>
      <c r="P51" s="18">
        <v>93.968999999999994</v>
      </c>
      <c r="Q51" s="18">
        <v>98.195999999999998</v>
      </c>
      <c r="R51" s="18">
        <v>99.278000000000006</v>
      </c>
      <c r="S51" s="18">
        <v>98.376999999999995</v>
      </c>
      <c r="T51" s="18">
        <v>101.68</v>
      </c>
      <c r="U51" s="18">
        <v>99.888000000000005</v>
      </c>
      <c r="V51" s="18"/>
      <c r="W51" s="18"/>
      <c r="X51" s="18"/>
      <c r="Y51" s="18">
        <v>0</v>
      </c>
      <c r="Z51" s="18">
        <v>0</v>
      </c>
      <c r="AA51" s="18">
        <v>0</v>
      </c>
      <c r="AB51" s="18">
        <v>0</v>
      </c>
      <c r="AC51" s="18">
        <v>97.491</v>
      </c>
      <c r="AD51" s="18">
        <v>87.335999999999999</v>
      </c>
      <c r="AE51" s="18">
        <v>98.376999999999995</v>
      </c>
      <c r="AF51" s="19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</row>
    <row r="52" spans="1:43" x14ac:dyDescent="0.25">
      <c r="C52" s="1" t="s">
        <v>63</v>
      </c>
      <c r="D52" s="18">
        <v>13.6</v>
      </c>
      <c r="E52" s="18">
        <v>12.2</v>
      </c>
      <c r="F52" s="18">
        <v>14.8</v>
      </c>
      <c r="G52" s="18">
        <v>14.861000000000001</v>
      </c>
      <c r="H52" s="18">
        <v>13.6</v>
      </c>
      <c r="I52" s="18">
        <v>47.863999999999997</v>
      </c>
      <c r="J52" s="18">
        <v>26.8</v>
      </c>
      <c r="K52" s="18">
        <v>47.8</v>
      </c>
      <c r="L52" s="18">
        <v>49</v>
      </c>
      <c r="M52" s="18">
        <v>48</v>
      </c>
      <c r="N52" s="18">
        <v>47.725000000000001</v>
      </c>
      <c r="O52" s="18">
        <v>45.752000000000002</v>
      </c>
      <c r="P52" s="18">
        <v>49.006</v>
      </c>
      <c r="Q52" s="18">
        <v>52.354999999999997</v>
      </c>
      <c r="R52" s="18">
        <f>50.877+8.367</f>
        <v>59.244</v>
      </c>
      <c r="S52" s="18">
        <v>8.1999999999999993</v>
      </c>
      <c r="T52" s="18">
        <f>8+52</f>
        <v>60</v>
      </c>
      <c r="U52" s="18">
        <f>8+49.28</f>
        <v>57.28</v>
      </c>
      <c r="V52" s="18"/>
      <c r="W52" s="18"/>
      <c r="X52" s="18"/>
      <c r="Y52" s="18">
        <v>19.885999999999999</v>
      </c>
      <c r="Z52" s="18">
        <v>18.338000000000001</v>
      </c>
      <c r="AA52" s="18">
        <v>11.673</v>
      </c>
      <c r="AB52" s="18">
        <v>14.861000000000001</v>
      </c>
      <c r="AC52" s="18">
        <v>47.8</v>
      </c>
      <c r="AD52" s="18">
        <v>45.752000000000002</v>
      </c>
      <c r="AE52" s="18">
        <v>8.1999999999999993</v>
      </c>
      <c r="AF52" s="19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</row>
    <row r="53" spans="1:43" x14ac:dyDescent="0.25">
      <c r="C53" s="4" t="s">
        <v>64</v>
      </c>
      <c r="D53" s="23">
        <f>SUM(D50:D52)</f>
        <v>14.299999999999999</v>
      </c>
      <c r="E53" s="23">
        <f t="shared" ref="E53:M53" si="84">SUM(E50:E52)</f>
        <v>13.2</v>
      </c>
      <c r="F53" s="23">
        <f t="shared" si="84"/>
        <v>15.8</v>
      </c>
      <c r="G53" s="23">
        <f t="shared" si="84"/>
        <v>15.861000000000001</v>
      </c>
      <c r="H53" s="23">
        <f t="shared" si="84"/>
        <v>14.299999999999999</v>
      </c>
      <c r="I53" s="23">
        <f t="shared" si="84"/>
        <v>146.26400000000001</v>
      </c>
      <c r="J53" s="23">
        <f t="shared" si="84"/>
        <v>27.8</v>
      </c>
      <c r="K53" s="23">
        <f t="shared" si="84"/>
        <v>146.291</v>
      </c>
      <c r="L53" s="23">
        <f t="shared" si="84"/>
        <v>144</v>
      </c>
      <c r="M53" s="23">
        <f t="shared" si="84"/>
        <v>141.65</v>
      </c>
      <c r="N53" s="23">
        <f t="shared" ref="N53:U53" si="85">SUM(N50:N52)</f>
        <v>142.73500000000001</v>
      </c>
      <c r="O53" s="23">
        <f t="shared" si="85"/>
        <v>133.85300000000001</v>
      </c>
      <c r="P53" s="23">
        <f t="shared" si="85"/>
        <v>142.97499999999999</v>
      </c>
      <c r="Q53" s="23">
        <f t="shared" si="85"/>
        <v>151.55099999999999</v>
      </c>
      <c r="R53" s="23">
        <f t="shared" si="85"/>
        <v>159.52199999999999</v>
      </c>
      <c r="S53" s="23">
        <f t="shared" si="85"/>
        <v>107.52199999999999</v>
      </c>
      <c r="T53" s="23">
        <f t="shared" si="85"/>
        <v>162.60300000000001</v>
      </c>
      <c r="U53" s="23">
        <f t="shared" si="85"/>
        <v>158.04599999999999</v>
      </c>
      <c r="V53" s="18"/>
      <c r="W53" s="18"/>
      <c r="X53" s="18"/>
      <c r="Y53" s="18"/>
      <c r="Z53" s="23">
        <f t="shared" ref="Z53:AB53" si="86">SUM(Z50:Z52)</f>
        <v>18.786000000000001</v>
      </c>
      <c r="AA53" s="23">
        <f t="shared" si="86"/>
        <v>12.227</v>
      </c>
      <c r="AB53" s="23">
        <f t="shared" si="86"/>
        <v>15.861000000000001</v>
      </c>
      <c r="AC53" s="23">
        <f t="shared" ref="AC53" si="87">SUM(AC50:AC52)</f>
        <v>146.291</v>
      </c>
      <c r="AD53" s="23">
        <f>SUM(AD50:AD52)</f>
        <v>133.85300000000001</v>
      </c>
      <c r="AE53" s="23">
        <f>SUM(AE50:AE52)</f>
        <v>107.52199999999999</v>
      </c>
      <c r="AF53" s="19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</row>
    <row r="54" spans="1:43" x14ac:dyDescent="0.25">
      <c r="C54" s="1" t="s">
        <v>56</v>
      </c>
      <c r="D54" s="18">
        <v>36.25</v>
      </c>
      <c r="E54" s="18">
        <v>37.9</v>
      </c>
      <c r="F54" s="18">
        <v>34.228999999999999</v>
      </c>
      <c r="G54" s="18">
        <v>34.228999999999999</v>
      </c>
      <c r="H54" s="18">
        <v>36.25</v>
      </c>
      <c r="I54" s="18">
        <v>12.2</v>
      </c>
      <c r="J54" s="18">
        <v>35.700000000000003</v>
      </c>
      <c r="K54" s="18">
        <v>12.2</v>
      </c>
      <c r="L54" s="18">
        <v>24</v>
      </c>
      <c r="M54" s="18">
        <v>23</v>
      </c>
      <c r="N54" s="18">
        <v>31.984000000000002</v>
      </c>
      <c r="O54" s="18">
        <v>23.917999999999999</v>
      </c>
      <c r="P54" s="18">
        <v>24.391999999999999</v>
      </c>
      <c r="Q54" s="18">
        <v>23.47</v>
      </c>
      <c r="R54" s="18">
        <v>35.545999999999999</v>
      </c>
      <c r="S54" s="18">
        <v>41.253</v>
      </c>
      <c r="T54" s="18">
        <v>41.250999999999998</v>
      </c>
      <c r="U54" s="18">
        <v>60.734000000000002</v>
      </c>
      <c r="V54" s="18"/>
      <c r="W54" s="18"/>
      <c r="X54" s="18"/>
      <c r="Y54" s="18">
        <v>19.738</v>
      </c>
      <c r="Z54" s="18">
        <v>21.059000000000001</v>
      </c>
      <c r="AA54" s="18">
        <v>27.558</v>
      </c>
      <c r="AB54" s="18">
        <v>34.228999999999999</v>
      </c>
      <c r="AC54" s="18">
        <v>12.2</v>
      </c>
      <c r="AD54" s="18">
        <v>23.917999999999999</v>
      </c>
      <c r="AE54" s="18">
        <v>41.253</v>
      </c>
      <c r="AF54" s="19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</row>
    <row r="55" spans="1:43" x14ac:dyDescent="0.25">
      <c r="C55" s="1" t="s">
        <v>57</v>
      </c>
      <c r="D55" s="18">
        <v>38.5</v>
      </c>
      <c r="E55" s="18">
        <v>33.4</v>
      </c>
      <c r="F55" s="18">
        <v>43.75</v>
      </c>
      <c r="G55" s="18">
        <v>43.758000000000003</v>
      </c>
      <c r="H55" s="18">
        <v>38.590000000000003</v>
      </c>
      <c r="I55" s="18">
        <v>5.6</v>
      </c>
      <c r="J55" s="18">
        <v>34.450000000000003</v>
      </c>
      <c r="K55" s="18">
        <v>5.6</v>
      </c>
      <c r="L55" s="18">
        <v>2</v>
      </c>
      <c r="M55" s="18">
        <v>1.4</v>
      </c>
      <c r="N55" s="18">
        <v>1.6060000000000001</v>
      </c>
      <c r="O55" s="18">
        <v>1.7989999999999999</v>
      </c>
      <c r="P55" s="18">
        <v>1.599</v>
      </c>
      <c r="Q55" s="18">
        <v>1</v>
      </c>
      <c r="R55" s="18">
        <v>1.9</v>
      </c>
      <c r="S55" s="18">
        <v>2.5670000000000002</v>
      </c>
      <c r="T55" s="18">
        <v>3</v>
      </c>
      <c r="U55" s="18">
        <v>2.4550000000000001</v>
      </c>
      <c r="V55" s="18"/>
      <c r="W55" s="18"/>
      <c r="X55" s="18"/>
      <c r="Y55" s="18">
        <v>3.1360000000000001</v>
      </c>
      <c r="Z55" s="18">
        <v>4.8890000000000002</v>
      </c>
      <c r="AA55" s="18">
        <v>17.181000000000001</v>
      </c>
      <c r="AB55" s="18">
        <v>43.758000000000003</v>
      </c>
      <c r="AC55" s="18">
        <v>5.6</v>
      </c>
      <c r="AD55" s="18">
        <v>1.7989999999999999</v>
      </c>
      <c r="AE55" s="18">
        <v>2.5670000000000002</v>
      </c>
      <c r="AF55" s="19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</row>
    <row r="56" spans="1:43" x14ac:dyDescent="0.25">
      <c r="C56" s="1" t="s">
        <v>58</v>
      </c>
      <c r="D56" s="18">
        <v>10</v>
      </c>
      <c r="E56" s="18">
        <v>9.6</v>
      </c>
      <c r="F56" s="18">
        <v>6.45</v>
      </c>
      <c r="G56" s="18">
        <v>6.4</v>
      </c>
      <c r="H56" s="18">
        <v>10</v>
      </c>
      <c r="I56" s="18">
        <v>6.3</v>
      </c>
      <c r="J56" s="18">
        <v>4.4000000000000004</v>
      </c>
      <c r="K56" s="18">
        <v>6.3</v>
      </c>
      <c r="L56" s="18">
        <v>10</v>
      </c>
      <c r="M56" s="18">
        <v>7.1</v>
      </c>
      <c r="N56" s="18">
        <v>5.2140000000000004</v>
      </c>
      <c r="O56" s="18">
        <v>6.024</v>
      </c>
      <c r="P56" s="18">
        <v>10.19</v>
      </c>
      <c r="Q56" s="18">
        <v>6.88</v>
      </c>
      <c r="R56" s="18">
        <v>12.977</v>
      </c>
      <c r="S56" s="18">
        <v>6.7370000000000001</v>
      </c>
      <c r="T56" s="18">
        <v>9</v>
      </c>
      <c r="U56" s="18">
        <v>5.9320000000000004</v>
      </c>
      <c r="V56" s="18"/>
      <c r="W56" s="18"/>
      <c r="X56" s="18"/>
      <c r="Y56" s="18">
        <v>3.7610000000000001</v>
      </c>
      <c r="Z56" s="18">
        <v>7.7770000000000001</v>
      </c>
      <c r="AA56" s="18">
        <v>6.266</v>
      </c>
      <c r="AB56" s="18">
        <v>6.4</v>
      </c>
      <c r="AC56" s="18">
        <v>6.3</v>
      </c>
      <c r="AD56" s="18">
        <v>6.024</v>
      </c>
      <c r="AE56" s="18">
        <v>6.7370000000000001</v>
      </c>
      <c r="AF56" s="19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</row>
    <row r="57" spans="1:43" x14ac:dyDescent="0.25">
      <c r="C57" s="1" t="s">
        <v>59</v>
      </c>
      <c r="D57" s="18">
        <v>6.3</v>
      </c>
      <c r="E57" s="18">
        <v>5</v>
      </c>
      <c r="F57" s="18">
        <v>6.2</v>
      </c>
      <c r="G57" s="18">
        <v>6.2</v>
      </c>
      <c r="H57" s="18">
        <v>6.3</v>
      </c>
      <c r="I57" s="18">
        <v>9.8000000000000007</v>
      </c>
      <c r="J57" s="18">
        <v>8.6999999999999993</v>
      </c>
      <c r="K57" s="18">
        <v>9.8000000000000007</v>
      </c>
      <c r="L57" s="18">
        <v>11</v>
      </c>
      <c r="M57" s="18">
        <v>10.199999999999999</v>
      </c>
      <c r="N57" s="18">
        <v>10.585000000000001</v>
      </c>
      <c r="O57" s="18">
        <v>10.36</v>
      </c>
      <c r="P57" s="18">
        <v>11.324999999999999</v>
      </c>
      <c r="Q57" s="18">
        <v>12.465999999999999</v>
      </c>
      <c r="R57" s="18">
        <v>12.438000000000001</v>
      </c>
      <c r="S57" s="18">
        <v>12.407999999999999</v>
      </c>
      <c r="T57" s="18">
        <v>12.853</v>
      </c>
      <c r="U57" s="18">
        <v>12.366</v>
      </c>
      <c r="V57" s="18"/>
      <c r="W57" s="18"/>
      <c r="X57" s="18"/>
      <c r="Y57" s="18">
        <v>4.0439999999999996</v>
      </c>
      <c r="Z57" s="18">
        <v>3.6160000000000001</v>
      </c>
      <c r="AA57" s="18">
        <v>3.9209999999999998</v>
      </c>
      <c r="AB57" s="18">
        <v>6.2</v>
      </c>
      <c r="AC57" s="18">
        <v>9.8000000000000007</v>
      </c>
      <c r="AD57" s="18">
        <v>10.36</v>
      </c>
      <c r="AE57" s="18">
        <v>12.407999999999999</v>
      </c>
      <c r="AF57" s="19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</row>
    <row r="58" spans="1:43" x14ac:dyDescent="0.25">
      <c r="C58" s="1" t="s">
        <v>60</v>
      </c>
      <c r="D58" s="18">
        <v>66.7</v>
      </c>
      <c r="E58" s="18">
        <v>63.8</v>
      </c>
      <c r="F58" s="18">
        <v>86.4</v>
      </c>
      <c r="G58" s="18">
        <v>86.438999999999993</v>
      </c>
      <c r="H58" s="18">
        <v>66.7</v>
      </c>
      <c r="I58" s="18">
        <v>80</v>
      </c>
      <c r="J58" s="18">
        <v>67.8</v>
      </c>
      <c r="K58" s="18">
        <v>80</v>
      </c>
      <c r="L58" s="18">
        <v>54</v>
      </c>
      <c r="M58" s="18">
        <v>71.400000000000006</v>
      </c>
      <c r="N58" s="18">
        <v>65.703999999999994</v>
      </c>
      <c r="O58" s="18">
        <v>60.984999999999999</v>
      </c>
      <c r="P58" s="18">
        <v>53.898000000000003</v>
      </c>
      <c r="Q58" s="18">
        <v>58.814</v>
      </c>
      <c r="R58" s="18">
        <v>74</v>
      </c>
      <c r="S58" s="18">
        <v>82.456000000000003</v>
      </c>
      <c r="T58" s="18">
        <v>99.34</v>
      </c>
      <c r="U58" s="18">
        <v>98.911000000000001</v>
      </c>
      <c r="V58" s="18"/>
      <c r="W58" s="18"/>
      <c r="X58" s="18"/>
      <c r="Y58" s="18">
        <v>35.279000000000003</v>
      </c>
      <c r="Z58" s="18">
        <v>57.567</v>
      </c>
      <c r="AA58" s="18">
        <v>76.778000000000006</v>
      </c>
      <c r="AB58" s="18">
        <v>86.438999999999993</v>
      </c>
      <c r="AC58" s="18">
        <v>80</v>
      </c>
      <c r="AD58" s="18">
        <v>60.984999999999999</v>
      </c>
      <c r="AE58" s="18">
        <v>82.456000000000003</v>
      </c>
      <c r="AF58" s="19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</row>
    <row r="59" spans="1:43" x14ac:dyDescent="0.25">
      <c r="C59" s="4" t="s">
        <v>65</v>
      </c>
      <c r="D59" s="23">
        <f t="shared" ref="D59:M59" si="88">SUM(D54:D58)</f>
        <v>157.75</v>
      </c>
      <c r="E59" s="23">
        <f t="shared" si="88"/>
        <v>149.69999999999999</v>
      </c>
      <c r="F59" s="23">
        <f t="shared" si="88"/>
        <v>177.029</v>
      </c>
      <c r="G59" s="23">
        <f t="shared" si="88"/>
        <v>177.02600000000001</v>
      </c>
      <c r="H59" s="23">
        <f t="shared" si="88"/>
        <v>157.84</v>
      </c>
      <c r="I59" s="23">
        <f t="shared" si="88"/>
        <v>113.9</v>
      </c>
      <c r="J59" s="23">
        <f t="shared" si="88"/>
        <v>151.05000000000001</v>
      </c>
      <c r="K59" s="23">
        <f t="shared" si="88"/>
        <v>113.9</v>
      </c>
      <c r="L59" s="23">
        <f t="shared" si="88"/>
        <v>101</v>
      </c>
      <c r="M59" s="23">
        <f t="shared" si="88"/>
        <v>113.10000000000001</v>
      </c>
      <c r="N59" s="23">
        <f t="shared" ref="N59:T59" si="89">SUM(N54:N58)</f>
        <v>115.09299999999999</v>
      </c>
      <c r="O59" s="23">
        <f t="shared" si="89"/>
        <v>103.086</v>
      </c>
      <c r="P59" s="23">
        <f t="shared" si="89"/>
        <v>101.404</v>
      </c>
      <c r="Q59" s="23">
        <f t="shared" si="89"/>
        <v>102.63</v>
      </c>
      <c r="R59" s="23">
        <f t="shared" si="89"/>
        <v>136.86099999999999</v>
      </c>
      <c r="S59" s="23">
        <f t="shared" si="89"/>
        <v>145.42099999999999</v>
      </c>
      <c r="T59" s="23">
        <f t="shared" si="89"/>
        <v>165.44400000000002</v>
      </c>
      <c r="U59" s="23">
        <f t="shared" ref="U59" si="90">SUM(U54:U58)</f>
        <v>180.398</v>
      </c>
      <c r="V59" s="18"/>
      <c r="W59" s="18"/>
      <c r="X59" s="18"/>
      <c r="Y59" s="23">
        <f t="shared" ref="Y59:AA59" si="91">SUM(Y54:Y58)</f>
        <v>65.957999999999998</v>
      </c>
      <c r="Z59" s="23">
        <f t="shared" si="91"/>
        <v>94.908000000000001</v>
      </c>
      <c r="AA59" s="23">
        <f t="shared" si="91"/>
        <v>131.70400000000001</v>
      </c>
      <c r="AB59" s="23">
        <f t="shared" ref="AB59" si="92">SUM(AB54:AB58)</f>
        <v>177.02600000000001</v>
      </c>
      <c r="AC59" s="23">
        <f t="shared" ref="AC59" si="93">SUM(AC54:AC58)</f>
        <v>113.9</v>
      </c>
      <c r="AD59" s="23">
        <f>SUM(AD54:AD58)</f>
        <v>103.086</v>
      </c>
      <c r="AE59" s="23">
        <f>SUM(AE54:AE58)</f>
        <v>145.42099999999999</v>
      </c>
      <c r="AF59" s="19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</row>
    <row r="60" spans="1:43" x14ac:dyDescent="0.25">
      <c r="C60" s="2" t="s">
        <v>66</v>
      </c>
      <c r="D60" s="16">
        <f t="shared" ref="D60:M60" si="94">D53+D59</f>
        <v>172.05</v>
      </c>
      <c r="E60" s="16">
        <f t="shared" si="94"/>
        <v>162.89999999999998</v>
      </c>
      <c r="F60" s="16">
        <f t="shared" si="94"/>
        <v>192.82900000000001</v>
      </c>
      <c r="G60" s="16">
        <f t="shared" si="94"/>
        <v>192.887</v>
      </c>
      <c r="H60" s="16">
        <f t="shared" si="94"/>
        <v>172.14000000000001</v>
      </c>
      <c r="I60" s="16">
        <f t="shared" si="94"/>
        <v>260.16399999999999</v>
      </c>
      <c r="J60" s="16">
        <f t="shared" si="94"/>
        <v>178.85000000000002</v>
      </c>
      <c r="K60" s="16">
        <f t="shared" si="94"/>
        <v>260.19100000000003</v>
      </c>
      <c r="L60" s="16">
        <f t="shared" si="94"/>
        <v>245</v>
      </c>
      <c r="M60" s="16">
        <f t="shared" si="94"/>
        <v>254.75</v>
      </c>
      <c r="N60" s="16">
        <f t="shared" ref="N60:T60" si="95">N53+N59</f>
        <v>257.82799999999997</v>
      </c>
      <c r="O60" s="16">
        <f t="shared" si="95"/>
        <v>236.93900000000002</v>
      </c>
      <c r="P60" s="16">
        <f t="shared" si="95"/>
        <v>244.37899999999999</v>
      </c>
      <c r="Q60" s="16">
        <f t="shared" si="95"/>
        <v>254.18099999999998</v>
      </c>
      <c r="R60" s="16">
        <f t="shared" si="95"/>
        <v>296.38299999999998</v>
      </c>
      <c r="S60" s="16">
        <f t="shared" si="95"/>
        <v>252.94299999999998</v>
      </c>
      <c r="T60" s="16">
        <f t="shared" si="95"/>
        <v>328.04700000000003</v>
      </c>
      <c r="U60" s="16">
        <f t="shared" ref="U60" si="96">U53+U59</f>
        <v>338.44399999999996</v>
      </c>
      <c r="V60" s="18"/>
      <c r="W60" s="18"/>
      <c r="X60" s="18"/>
      <c r="Y60" s="16">
        <f t="shared" ref="Y60:AA60" si="97">Y53+Y59</f>
        <v>65.957999999999998</v>
      </c>
      <c r="Z60" s="16">
        <f t="shared" si="97"/>
        <v>113.694</v>
      </c>
      <c r="AA60" s="16">
        <f t="shared" si="97"/>
        <v>143.93100000000001</v>
      </c>
      <c r="AB60" s="16">
        <f t="shared" ref="AB60" si="98">AB53+AB59</f>
        <v>192.887</v>
      </c>
      <c r="AC60" s="16">
        <f t="shared" ref="AC60" si="99">AC53+AC59</f>
        <v>260.19100000000003</v>
      </c>
      <c r="AD60" s="16">
        <f>AD53+AD59</f>
        <v>236.93900000000002</v>
      </c>
      <c r="AE60" s="16">
        <f>AE53+AE59</f>
        <v>252.94299999999998</v>
      </c>
      <c r="AF60" s="19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</row>
    <row r="61" spans="1:43" x14ac:dyDescent="0.25">
      <c r="C61" s="2" t="s">
        <v>67</v>
      </c>
      <c r="D61" s="16">
        <f t="shared" ref="D61:M61" si="100">D49+D60</f>
        <v>755.19800000000009</v>
      </c>
      <c r="E61" s="16">
        <f t="shared" si="100"/>
        <v>686.18899999999996</v>
      </c>
      <c r="F61" s="16">
        <f t="shared" si="100"/>
        <v>775.92900000000009</v>
      </c>
      <c r="G61" s="16">
        <f t="shared" si="100"/>
        <v>776.11500000000001</v>
      </c>
      <c r="H61" s="16">
        <f t="shared" si="100"/>
        <v>763.78800000000001</v>
      </c>
      <c r="I61" s="16">
        <f t="shared" si="100"/>
        <v>861.91200000000003</v>
      </c>
      <c r="J61" s="16">
        <f t="shared" si="100"/>
        <v>790.39800000000002</v>
      </c>
      <c r="K61" s="16">
        <f t="shared" si="100"/>
        <v>861.93900000000008</v>
      </c>
      <c r="L61" s="16">
        <f t="shared" si="100"/>
        <v>803</v>
      </c>
      <c r="M61" s="16">
        <f t="shared" si="100"/>
        <v>816.72400000000005</v>
      </c>
      <c r="N61" s="16">
        <f t="shared" ref="N61:T61" si="101">N49+N60</f>
        <v>831.61899999999991</v>
      </c>
      <c r="O61" s="16">
        <f t="shared" si="101"/>
        <v>806.70399999999995</v>
      </c>
      <c r="P61" s="16">
        <f t="shared" si="101"/>
        <v>803.53</v>
      </c>
      <c r="Q61" s="16">
        <f t="shared" si="101"/>
        <v>829.63300000000004</v>
      </c>
      <c r="R61" s="16">
        <f t="shared" si="101"/>
        <v>968.26600000000008</v>
      </c>
      <c r="S61" s="16">
        <f t="shared" si="101"/>
        <v>932.53199999999993</v>
      </c>
      <c r="T61" s="16">
        <f t="shared" si="101"/>
        <v>1007.957</v>
      </c>
      <c r="U61" s="16">
        <f t="shared" ref="U61" si="102">U49+U60</f>
        <v>1041.4259999999999</v>
      </c>
      <c r="V61" s="18"/>
      <c r="W61" s="18"/>
      <c r="X61" s="18"/>
      <c r="Y61" s="16">
        <f t="shared" ref="Y61:AA61" si="103">Y49+Y60</f>
        <v>298.16200000000003</v>
      </c>
      <c r="Z61" s="16">
        <f t="shared" si="103"/>
        <v>502.96000000000004</v>
      </c>
      <c r="AA61" s="16">
        <f t="shared" si="103"/>
        <v>584.62</v>
      </c>
      <c r="AB61" s="16">
        <f t="shared" ref="AB61" si="104">AB49+AB60</f>
        <v>776.11500000000001</v>
      </c>
      <c r="AC61" s="16">
        <f t="shared" ref="AC61" si="105">AC49+AC60</f>
        <v>861.93900000000008</v>
      </c>
      <c r="AD61" s="16">
        <f>AD49+AD60</f>
        <v>806.70399999999995</v>
      </c>
      <c r="AE61" s="16">
        <f>AE49+AE60</f>
        <v>932.53199999999993</v>
      </c>
      <c r="AF61" s="19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</row>
    <row r="62" spans="1:43" x14ac:dyDescent="0.25"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AE62"/>
    </row>
    <row r="63" spans="1:43" x14ac:dyDescent="0.25">
      <c r="C63" s="3" t="s">
        <v>94</v>
      </c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AE63"/>
    </row>
    <row r="64" spans="1:43" s="18" customFormat="1" x14ac:dyDescent="0.25">
      <c r="A64" s="1"/>
      <c r="B64" s="5"/>
      <c r="C64" s="1" t="s">
        <v>96</v>
      </c>
      <c r="D64" s="18">
        <f t="shared" ref="D64:O64" si="106">D15</f>
        <v>44.449000000000012</v>
      </c>
      <c r="E64" s="18">
        <f t="shared" si="106"/>
        <v>46.649000000000022</v>
      </c>
      <c r="F64" s="18">
        <f t="shared" si="106"/>
        <v>51.274999999999991</v>
      </c>
      <c r="G64" s="18">
        <f t="shared" si="106"/>
        <v>24.783999999999992</v>
      </c>
      <c r="H64" s="18">
        <f t="shared" si="106"/>
        <v>8.3940000000000001</v>
      </c>
      <c r="I64" s="18">
        <f t="shared" si="106"/>
        <v>19.580000000000016</v>
      </c>
      <c r="J64" s="18">
        <f t="shared" si="106"/>
        <v>1.7050000000000036</v>
      </c>
      <c r="K64" s="18">
        <f t="shared" si="106"/>
        <v>-17.583000000000002</v>
      </c>
      <c r="L64" s="18">
        <f t="shared" si="106"/>
        <v>-30.633999999999993</v>
      </c>
      <c r="M64" s="18">
        <f t="shared" si="106"/>
        <v>-17.977999999999998</v>
      </c>
      <c r="N64" s="18">
        <f t="shared" si="106"/>
        <v>5.501000000000003</v>
      </c>
      <c r="O64" s="18">
        <f t="shared" si="106"/>
        <v>-7.6000000000021828E-2</v>
      </c>
      <c r="P64" s="18">
        <f>P15</f>
        <v>2.0560000000000187</v>
      </c>
      <c r="Q64" s="18">
        <f>Q15</f>
        <v>10.071999999999999</v>
      </c>
      <c r="R64" s="18">
        <f t="shared" ref="R64:U64" si="107">R15</f>
        <v>0.86400000000000343</v>
      </c>
      <c r="S64" s="18">
        <f t="shared" si="107"/>
        <v>0.19799999999998308</v>
      </c>
      <c r="T64" s="18">
        <f t="shared" si="107"/>
        <v>9.5770000000000159</v>
      </c>
      <c r="U64" s="18">
        <f t="shared" si="107"/>
        <v>21.670000000000012</v>
      </c>
      <c r="Y64" s="18">
        <f t="shared" ref="Y64:AC64" si="108">Y15</f>
        <v>10.048999999999985</v>
      </c>
      <c r="Z64" s="18">
        <f t="shared" si="108"/>
        <v>43.587999999999994</v>
      </c>
      <c r="AA64" s="18">
        <f t="shared" si="108"/>
        <v>87.830999999999989</v>
      </c>
      <c r="AB64" s="18">
        <f t="shared" si="108"/>
        <v>167.15700000000001</v>
      </c>
      <c r="AC64" s="18">
        <f t="shared" si="108"/>
        <v>12.09600000000006</v>
      </c>
      <c r="AD64" s="18">
        <f>AD15</f>
        <v>-42.926999999999992</v>
      </c>
      <c r="AE64" s="18">
        <f>AE15</f>
        <v>14</v>
      </c>
      <c r="AF64" s="19"/>
    </row>
    <row r="65" spans="1:32" s="18" customFormat="1" x14ac:dyDescent="0.25">
      <c r="A65" s="1"/>
      <c r="B65" s="5"/>
      <c r="C65" s="1" t="s">
        <v>97</v>
      </c>
      <c r="D65" s="18">
        <v>44</v>
      </c>
      <c r="E65" s="18">
        <v>47</v>
      </c>
      <c r="F65" s="18">
        <v>51</v>
      </c>
      <c r="G65" s="18">
        <v>25</v>
      </c>
      <c r="H65" s="18">
        <v>8</v>
      </c>
      <c r="I65" s="18">
        <v>20</v>
      </c>
      <c r="J65" s="18">
        <v>2</v>
      </c>
      <c r="K65" s="18">
        <v>-18</v>
      </c>
      <c r="L65" s="18">
        <v>-31</v>
      </c>
      <c r="M65" s="18">
        <v>-18</v>
      </c>
      <c r="N65" s="18">
        <v>6</v>
      </c>
      <c r="O65" s="18">
        <v>0</v>
      </c>
      <c r="P65" s="18">
        <v>2</v>
      </c>
      <c r="Q65" s="18">
        <v>10</v>
      </c>
      <c r="R65" s="18">
        <v>1</v>
      </c>
      <c r="S65" s="18">
        <v>0</v>
      </c>
      <c r="T65" s="18">
        <v>10</v>
      </c>
      <c r="U65" s="18">
        <v>21.649000000000001</v>
      </c>
      <c r="Y65" s="18">
        <v>10</v>
      </c>
      <c r="Z65" s="18">
        <v>43</v>
      </c>
      <c r="AA65" s="18">
        <v>87.26</v>
      </c>
      <c r="AB65" s="18">
        <v>167</v>
      </c>
      <c r="AC65" s="18">
        <v>12</v>
      </c>
      <c r="AD65" s="18">
        <v>-43</v>
      </c>
      <c r="AE65" s="18">
        <v>8.8670000000000009</v>
      </c>
      <c r="AF65" s="19"/>
    </row>
    <row r="66" spans="1:32" s="18" customFormat="1" x14ac:dyDescent="0.25">
      <c r="A66" s="1"/>
      <c r="B66" s="5"/>
      <c r="C66" s="1" t="s">
        <v>98</v>
      </c>
      <c r="D66" s="18">
        <v>-2.9</v>
      </c>
      <c r="E66" s="18">
        <v>-4.7</v>
      </c>
      <c r="F66" s="18">
        <v>-2.5</v>
      </c>
      <c r="G66" s="18">
        <v>-6.5</v>
      </c>
      <c r="H66" s="18">
        <v>-7.8</v>
      </c>
      <c r="I66" s="18">
        <v>-8.1</v>
      </c>
      <c r="J66" s="18">
        <v>-1</v>
      </c>
      <c r="K66" s="18">
        <v>-25</v>
      </c>
      <c r="L66" s="18">
        <v>-3</v>
      </c>
      <c r="M66" s="18">
        <v>-2</v>
      </c>
      <c r="N66" s="18">
        <v>-1</v>
      </c>
      <c r="O66" s="18">
        <v>-1.7</v>
      </c>
      <c r="P66" s="18">
        <v>-0.72399999999999998</v>
      </c>
      <c r="Q66" s="18">
        <v>-1.8</v>
      </c>
      <c r="R66" s="18">
        <v>-0.54800000000000004</v>
      </c>
      <c r="S66" s="18">
        <v>-0.504</v>
      </c>
      <c r="T66" s="18">
        <v>-0.79900000000000004</v>
      </c>
      <c r="U66" s="18">
        <v>-2</v>
      </c>
      <c r="Y66" s="18">
        <v>-4.8</v>
      </c>
      <c r="Z66" s="18">
        <v>-2.95</v>
      </c>
      <c r="AA66" s="18">
        <v>-6.3319999999999999</v>
      </c>
      <c r="AB66" s="18">
        <v>-16.760000000000002</v>
      </c>
      <c r="AC66" s="18">
        <v>-41.9</v>
      </c>
      <c r="AD66" s="18">
        <v>-7.8</v>
      </c>
      <c r="AE66" s="18">
        <v>0</v>
      </c>
      <c r="AF66" s="19"/>
    </row>
    <row r="67" spans="1:32" s="18" customFormat="1" x14ac:dyDescent="0.25">
      <c r="A67" s="1"/>
      <c r="B67" s="5"/>
      <c r="C67" s="1" t="s">
        <v>99</v>
      </c>
      <c r="D67" s="18">
        <v>10</v>
      </c>
      <c r="E67" s="18">
        <v>10.5</v>
      </c>
      <c r="F67" s="18">
        <v>11.6</v>
      </c>
      <c r="G67" s="18">
        <v>11.8</v>
      </c>
      <c r="H67" s="18">
        <v>11.5</v>
      </c>
      <c r="I67" s="18">
        <v>10.9</v>
      </c>
      <c r="J67" s="18">
        <v>10.7</v>
      </c>
      <c r="K67" s="18">
        <v>11</v>
      </c>
      <c r="L67" s="18">
        <v>10.6</v>
      </c>
      <c r="M67" s="18">
        <v>9.5</v>
      </c>
      <c r="N67" s="18">
        <v>9.9</v>
      </c>
      <c r="O67" s="18">
        <v>10</v>
      </c>
      <c r="P67" s="18">
        <v>9</v>
      </c>
      <c r="Q67" s="18">
        <v>9.3000000000000007</v>
      </c>
      <c r="R67" s="18">
        <v>11.228</v>
      </c>
      <c r="S67" s="18">
        <v>13.441000000000001</v>
      </c>
      <c r="T67" s="18">
        <v>11</v>
      </c>
      <c r="U67" s="18">
        <v>11.36</v>
      </c>
      <c r="Y67" s="18">
        <v>23.5</v>
      </c>
      <c r="Z67" s="18">
        <v>31</v>
      </c>
      <c r="AA67" s="18">
        <v>37.799999999999997</v>
      </c>
      <c r="AB67" s="18">
        <v>44</v>
      </c>
      <c r="AC67" s="18">
        <v>44.3</v>
      </c>
      <c r="AD67" s="18">
        <v>40.5</v>
      </c>
      <c r="AE67" s="18">
        <v>32.811</v>
      </c>
      <c r="AF67" s="19"/>
    </row>
    <row r="68" spans="1:32" s="18" customFormat="1" x14ac:dyDescent="0.25">
      <c r="A68" s="1"/>
      <c r="B68" s="5"/>
      <c r="C68" s="1" t="s">
        <v>100</v>
      </c>
      <c r="D68" s="18">
        <v>0</v>
      </c>
      <c r="E68" s="18">
        <v>0</v>
      </c>
      <c r="F68" s="1">
        <v>0</v>
      </c>
      <c r="G68" s="18">
        <v>0</v>
      </c>
      <c r="H68" s="1">
        <v>0</v>
      </c>
      <c r="I68" s="18">
        <v>-1.5</v>
      </c>
      <c r="J68" s="1">
        <v>0</v>
      </c>
      <c r="K68" s="18">
        <v>-2.4</v>
      </c>
      <c r="L68" s="18">
        <v>0</v>
      </c>
      <c r="M68" s="18">
        <v>0</v>
      </c>
      <c r="N68" s="18">
        <v>1.1000000000000001</v>
      </c>
      <c r="O68" s="18">
        <v>0.7</v>
      </c>
      <c r="P68" s="18">
        <v>0.52500000000000002</v>
      </c>
      <c r="Q68" s="18">
        <v>0.33300000000000002</v>
      </c>
      <c r="R68" s="18">
        <v>1.7</v>
      </c>
      <c r="S68" s="18">
        <v>0.69</v>
      </c>
      <c r="T68" s="18">
        <v>1.1950000000000001</v>
      </c>
      <c r="U68" s="18">
        <v>0.64359999999999995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-20.253</v>
      </c>
      <c r="AF68" s="19"/>
    </row>
    <row r="69" spans="1:32" s="18" customFormat="1" x14ac:dyDescent="0.25">
      <c r="A69" s="1"/>
      <c r="B69" s="5"/>
      <c r="C69" s="1" t="s">
        <v>101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1.9</v>
      </c>
      <c r="J69" s="18">
        <v>0</v>
      </c>
      <c r="K69" s="18">
        <v>3.9</v>
      </c>
      <c r="L69" s="18">
        <v>3</v>
      </c>
      <c r="M69" s="18">
        <v>2.6</v>
      </c>
      <c r="N69" s="18">
        <v>3.3</v>
      </c>
      <c r="O69" s="18">
        <v>2.2000000000000002</v>
      </c>
      <c r="P69" s="18">
        <v>2.4449999999999998</v>
      </c>
      <c r="Q69" s="18">
        <v>2.714</v>
      </c>
      <c r="R69" s="18">
        <v>2.7589999999999999</v>
      </c>
      <c r="S69" s="18">
        <v>2.391</v>
      </c>
      <c r="T69" s="18">
        <v>1.9330000000000001</v>
      </c>
      <c r="U69" s="18">
        <v>2.2650000000000001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10.106999999999999</v>
      </c>
      <c r="AF69" s="19"/>
    </row>
    <row r="70" spans="1:32" s="18" customFormat="1" x14ac:dyDescent="0.25">
      <c r="A70" s="1"/>
      <c r="B70" s="5"/>
      <c r="C70" s="1" t="s">
        <v>102</v>
      </c>
      <c r="D70" s="18">
        <v>-19</v>
      </c>
      <c r="E70" s="18">
        <v>-25</v>
      </c>
      <c r="F70" s="18">
        <v>-17.25</v>
      </c>
      <c r="G70" s="18">
        <v>-13.1</v>
      </c>
      <c r="H70" s="18">
        <v>-23.7</v>
      </c>
      <c r="I70" s="18">
        <v>1.3</v>
      </c>
      <c r="J70" s="18">
        <v>-17.445</v>
      </c>
      <c r="K70" s="18">
        <v>-1.2</v>
      </c>
      <c r="L70" s="18">
        <v>-2.4</v>
      </c>
      <c r="M70" s="18">
        <v>34.200000000000003</v>
      </c>
      <c r="N70" s="18">
        <v>-7.6</v>
      </c>
      <c r="O70" s="18">
        <v>45.6</v>
      </c>
      <c r="P70" s="18">
        <v>21.835999999999999</v>
      </c>
      <c r="Q70" s="18">
        <v>14</v>
      </c>
      <c r="R70" s="18">
        <v>-18.385000000000002</v>
      </c>
      <c r="S70" s="18">
        <v>-10.412000000000001</v>
      </c>
      <c r="T70" s="18">
        <v>-42.326000000000001</v>
      </c>
      <c r="U70" s="18">
        <v>-22.632999999999999</v>
      </c>
      <c r="Y70" s="18">
        <v>-13.789</v>
      </c>
      <c r="Z70" s="18">
        <v>-29.5</v>
      </c>
      <c r="AA70" s="18">
        <v>-41</v>
      </c>
      <c r="AB70" s="18">
        <v>-74.59</v>
      </c>
      <c r="AC70" s="18">
        <v>-41.1</v>
      </c>
      <c r="AD70" s="18">
        <v>69.808000000000007</v>
      </c>
      <c r="AE70" s="18">
        <v>30.945</v>
      </c>
      <c r="AF70" s="19"/>
    </row>
    <row r="71" spans="1:32" s="18" customFormat="1" x14ac:dyDescent="0.25">
      <c r="A71" s="1"/>
      <c r="B71" s="5"/>
      <c r="C71" s="1" t="s">
        <v>103</v>
      </c>
      <c r="D71" s="18">
        <v>1.8</v>
      </c>
      <c r="E71" s="18">
        <v>2.4</v>
      </c>
      <c r="F71" s="18">
        <v>2</v>
      </c>
      <c r="G71" s="18">
        <v>1.4</v>
      </c>
      <c r="H71" s="18">
        <v>1.8</v>
      </c>
      <c r="I71" s="18">
        <v>1.1000000000000001</v>
      </c>
      <c r="J71" s="18">
        <v>2.2999999999999998</v>
      </c>
      <c r="K71" s="18">
        <v>1.1000000000000001</v>
      </c>
      <c r="L71" s="18">
        <v>2</v>
      </c>
      <c r="M71" s="18">
        <v>3.8</v>
      </c>
      <c r="N71" s="18">
        <v>3.9</v>
      </c>
      <c r="O71" s="18">
        <v>1.8</v>
      </c>
      <c r="P71" s="18">
        <v>3</v>
      </c>
      <c r="Q71" s="18">
        <v>3.645</v>
      </c>
      <c r="R71" s="18">
        <v>5.5</v>
      </c>
      <c r="S71" s="18">
        <v>4.3890000000000002</v>
      </c>
      <c r="T71" s="18">
        <v>4.9000000000000004</v>
      </c>
      <c r="U71" s="18">
        <v>5.5709999999999997</v>
      </c>
      <c r="Y71" s="18">
        <v>1.1000000000000001</v>
      </c>
      <c r="Z71" s="18">
        <v>3.1</v>
      </c>
      <c r="AA71" s="18">
        <v>6.6</v>
      </c>
      <c r="AB71" s="18">
        <v>7.7</v>
      </c>
      <c r="AC71" s="18">
        <v>6.5</v>
      </c>
      <c r="AD71" s="18">
        <v>11.6</v>
      </c>
      <c r="AE71" s="18">
        <v>16.239999999999998</v>
      </c>
      <c r="AF71" s="19"/>
    </row>
    <row r="72" spans="1:32" s="18" customFormat="1" x14ac:dyDescent="0.25">
      <c r="A72" s="1"/>
      <c r="B72" s="5"/>
      <c r="C72" s="1" t="s">
        <v>104</v>
      </c>
      <c r="D72" s="18">
        <v>-2.4</v>
      </c>
      <c r="E72" s="18">
        <v>0</v>
      </c>
      <c r="F72" s="18">
        <v>0</v>
      </c>
      <c r="G72" s="18">
        <v>17.600000000000001</v>
      </c>
      <c r="H72" s="18">
        <f>-100-20</f>
        <v>-120</v>
      </c>
      <c r="I72" s="18">
        <v>6.8</v>
      </c>
      <c r="J72" s="18">
        <v>-9.4</v>
      </c>
      <c r="K72" s="18">
        <f>21</f>
        <v>21</v>
      </c>
      <c r="L72" s="18">
        <v>-14</v>
      </c>
      <c r="M72" s="18">
        <f>0-0+2.9</f>
        <v>2.9</v>
      </c>
      <c r="N72" s="18">
        <f>-1.7</f>
        <v>-1.7</v>
      </c>
      <c r="O72" s="18">
        <f>0+0-9.9</f>
        <v>-9.9</v>
      </c>
      <c r="P72" s="18">
        <v>-3.2</v>
      </c>
      <c r="Q72" s="18">
        <v>8.4879999999999995</v>
      </c>
      <c r="R72" s="18">
        <v>18.376000000000001</v>
      </c>
      <c r="S72" s="18">
        <v>3.839</v>
      </c>
      <c r="T72" s="18">
        <v>15.241</v>
      </c>
      <c r="U72" s="18">
        <v>-1.3819999999999999</v>
      </c>
      <c r="Y72" s="18">
        <v>3.9</v>
      </c>
      <c r="Z72" s="18">
        <f>20.5</f>
        <v>20.5</v>
      </c>
      <c r="AA72" s="18">
        <f>11.3</f>
        <v>11.3</v>
      </c>
      <c r="AB72" s="18">
        <f>14.9</f>
        <v>14.9</v>
      </c>
      <c r="AC72" s="18">
        <f>-6+9.7-100-2.5</f>
        <v>-98.8</v>
      </c>
      <c r="AD72" s="18">
        <f>0.1+0.9+11.1-22.89</f>
        <v>-10.790000000000001</v>
      </c>
      <c r="AE72" s="18">
        <v>16.716000000000001</v>
      </c>
      <c r="AF72" s="19"/>
    </row>
    <row r="73" spans="1:32" s="18" customFormat="1" x14ac:dyDescent="0.25">
      <c r="A73" s="1"/>
      <c r="B73" s="5"/>
      <c r="C73" s="2" t="s">
        <v>68</v>
      </c>
      <c r="D73" s="16">
        <f t="shared" ref="D73:O73" si="109">SUM(D65:D72)</f>
        <v>31.5</v>
      </c>
      <c r="E73" s="16">
        <f t="shared" si="109"/>
        <v>30.199999999999996</v>
      </c>
      <c r="F73" s="16">
        <f t="shared" si="109"/>
        <v>44.85</v>
      </c>
      <c r="G73" s="16">
        <f t="shared" si="109"/>
        <v>36.200000000000003</v>
      </c>
      <c r="H73" s="16">
        <f t="shared" si="109"/>
        <v>-130.19999999999999</v>
      </c>
      <c r="I73" s="16">
        <f t="shared" si="109"/>
        <v>32.4</v>
      </c>
      <c r="J73" s="16">
        <f t="shared" si="109"/>
        <v>-12.845000000000002</v>
      </c>
      <c r="K73" s="16">
        <f t="shared" si="109"/>
        <v>-9.5999999999999979</v>
      </c>
      <c r="L73" s="16">
        <f t="shared" si="109"/>
        <v>-34.799999999999997</v>
      </c>
      <c r="M73" s="16">
        <f t="shared" si="109"/>
        <v>33.000000000000007</v>
      </c>
      <c r="N73" s="16">
        <f t="shared" si="109"/>
        <v>13.900000000000002</v>
      </c>
      <c r="O73" s="16">
        <f t="shared" si="109"/>
        <v>48.699999999999996</v>
      </c>
      <c r="P73" s="16">
        <f>SUM(P65:P72)</f>
        <v>34.881999999999998</v>
      </c>
      <c r="Q73" s="16">
        <f>SUM(Q65:Q72)</f>
        <v>46.68</v>
      </c>
      <c r="R73" s="16">
        <f t="shared" ref="R73:U73" si="110">SUM(R65:R72)</f>
        <v>21.63</v>
      </c>
      <c r="S73" s="16">
        <f t="shared" si="110"/>
        <v>13.834000000000001</v>
      </c>
      <c r="T73" s="16">
        <f t="shared" si="110"/>
        <v>1.1440000000000001</v>
      </c>
      <c r="U73" s="16">
        <f t="shared" si="110"/>
        <v>15.473600000000003</v>
      </c>
      <c r="Y73" s="16">
        <f t="shared" ref="Y73:AC73" si="111">SUM(Y65:Y72)</f>
        <v>19.910999999999998</v>
      </c>
      <c r="Z73" s="16">
        <f t="shared" si="111"/>
        <v>65.150000000000006</v>
      </c>
      <c r="AA73" s="16">
        <f t="shared" si="111"/>
        <v>95.628</v>
      </c>
      <c r="AB73" s="16">
        <f t="shared" si="111"/>
        <v>142.25</v>
      </c>
      <c r="AC73" s="16">
        <f t="shared" si="111"/>
        <v>-119</v>
      </c>
      <c r="AD73" s="16">
        <f>SUM(AD65:AD72)</f>
        <v>60.318000000000005</v>
      </c>
      <c r="AE73" s="16">
        <f>SUM(AE65:AE72)</f>
        <v>95.432999999999993</v>
      </c>
      <c r="AF73" s="19"/>
    </row>
    <row r="74" spans="1:32" s="18" customFormat="1" x14ac:dyDescent="0.25">
      <c r="A74" s="1"/>
      <c r="B74" s="5"/>
      <c r="C74" s="1"/>
      <c r="L74" s="1"/>
      <c r="AE74"/>
      <c r="AF74" s="19"/>
    </row>
    <row r="75" spans="1:32" s="18" customFormat="1" x14ac:dyDescent="0.25">
      <c r="A75" s="1"/>
      <c r="B75" s="5"/>
      <c r="C75" s="1" t="s">
        <v>105</v>
      </c>
      <c r="D75" s="18">
        <v>-4.0999999999999996</v>
      </c>
      <c r="E75" s="18">
        <v>-4.3</v>
      </c>
      <c r="F75" s="18">
        <v>-7</v>
      </c>
      <c r="G75" s="18">
        <v>-8.3000000000000007</v>
      </c>
      <c r="H75" s="18">
        <v>-5.5</v>
      </c>
      <c r="I75" s="18">
        <v>-4.7</v>
      </c>
      <c r="J75" s="18">
        <v>-2</v>
      </c>
      <c r="K75" s="18">
        <v>-13.227</v>
      </c>
      <c r="L75" s="18">
        <v>-1</v>
      </c>
      <c r="M75" s="18">
        <v>-2.5</v>
      </c>
      <c r="N75" s="18">
        <v>-3</v>
      </c>
      <c r="O75" s="18">
        <v>-3.4</v>
      </c>
      <c r="P75" s="18">
        <v>-1.7</v>
      </c>
      <c r="Q75" s="18">
        <v>-8.9710000000000001</v>
      </c>
      <c r="R75" s="18">
        <f>-25-106.546</f>
        <v>-131.54599999999999</v>
      </c>
      <c r="S75" s="18">
        <v>-5</v>
      </c>
      <c r="T75" s="18">
        <v>-9.2260000000000009</v>
      </c>
      <c r="U75" s="18">
        <v>-8.2710000000000008</v>
      </c>
      <c r="Y75" s="18">
        <v>-20</v>
      </c>
      <c r="Z75" s="18">
        <v>-16.48</v>
      </c>
      <c r="AA75" s="18">
        <v>-25</v>
      </c>
      <c r="AB75" s="18">
        <v>-24</v>
      </c>
      <c r="AC75" s="18">
        <v>-25.5</v>
      </c>
      <c r="AD75" s="18">
        <v>-9.8000000000000007</v>
      </c>
      <c r="AE75" s="18">
        <v>-37.502000000000002</v>
      </c>
      <c r="AF75" s="19"/>
    </row>
    <row r="76" spans="1:32" s="18" customFormat="1" x14ac:dyDescent="0.25">
      <c r="A76" s="1"/>
      <c r="B76" s="5"/>
      <c r="C76" s="1" t="s">
        <v>38</v>
      </c>
      <c r="D76" s="18">
        <v>-1.6</v>
      </c>
      <c r="E76" s="18">
        <v>-1.7</v>
      </c>
      <c r="F76" s="18">
        <v>-2</v>
      </c>
      <c r="G76" s="18">
        <v>-1</v>
      </c>
      <c r="H76" s="18">
        <v>-3.1</v>
      </c>
      <c r="I76" s="18">
        <v>-6.46</v>
      </c>
      <c r="J76" s="18">
        <v>-5.6</v>
      </c>
      <c r="K76" s="18">
        <v>-6.6</v>
      </c>
      <c r="L76" s="18">
        <v>-4.7</v>
      </c>
      <c r="M76" s="18">
        <v>-2.9</v>
      </c>
      <c r="N76" s="18">
        <v>-4.4000000000000004</v>
      </c>
      <c r="O76" s="18">
        <v>-7.1</v>
      </c>
      <c r="P76" s="18">
        <v>-2.3490000000000002</v>
      </c>
      <c r="Q76" s="18">
        <v>-4.234</v>
      </c>
      <c r="R76" s="18">
        <v>-3</v>
      </c>
      <c r="S76" s="18">
        <v>-5.976</v>
      </c>
      <c r="T76" s="18">
        <v>-3.3809999999999998</v>
      </c>
      <c r="U76" s="18">
        <v>-2.738</v>
      </c>
      <c r="Y76" s="18">
        <v>-11</v>
      </c>
      <c r="Z76" s="18">
        <v>-8.3000000000000007</v>
      </c>
      <c r="AA76" s="18">
        <v>-5.6</v>
      </c>
      <c r="AB76" s="18">
        <v>-6.4</v>
      </c>
      <c r="AC76" s="18">
        <v>-21.9</v>
      </c>
      <c r="AD76" s="18">
        <v>-19.343</v>
      </c>
      <c r="AE76" s="18">
        <v>-15.628</v>
      </c>
      <c r="AF76" s="19"/>
    </row>
    <row r="77" spans="1:32" s="18" customFormat="1" x14ac:dyDescent="0.25">
      <c r="A77" s="1"/>
      <c r="B77" s="5"/>
      <c r="C77" s="1" t="s">
        <v>106</v>
      </c>
      <c r="D77" s="18">
        <v>0</v>
      </c>
      <c r="E77" s="18">
        <v>0</v>
      </c>
      <c r="F77" s="18">
        <v>0</v>
      </c>
      <c r="G77" s="18">
        <v>0</v>
      </c>
      <c r="H77" s="18">
        <v>-6</v>
      </c>
      <c r="I77" s="18">
        <v>0</v>
      </c>
      <c r="J77" s="18">
        <v>0</v>
      </c>
      <c r="K77" s="18">
        <v>0</v>
      </c>
      <c r="L77" s="18">
        <v>-0.4</v>
      </c>
      <c r="M77" s="18">
        <v>0</v>
      </c>
      <c r="N77" s="18">
        <v>0</v>
      </c>
      <c r="O77" s="18">
        <v>0</v>
      </c>
      <c r="P77" s="18">
        <v>-0.51800000000000002</v>
      </c>
      <c r="Q77" s="18">
        <v>0</v>
      </c>
      <c r="R77" s="18">
        <v>0</v>
      </c>
      <c r="S77" s="18">
        <v>0</v>
      </c>
      <c r="T77" s="18">
        <v>0</v>
      </c>
      <c r="U77" s="18">
        <v>0</v>
      </c>
      <c r="Y77" s="18">
        <v>0</v>
      </c>
      <c r="Z77" s="18">
        <v>-13</v>
      </c>
      <c r="AA77" s="18">
        <v>0</v>
      </c>
      <c r="AB77" s="18">
        <v>0</v>
      </c>
      <c r="AC77" s="18">
        <f>-6</f>
        <v>-6</v>
      </c>
      <c r="AE77" s="18">
        <v>0</v>
      </c>
      <c r="AF77" s="19"/>
    </row>
    <row r="78" spans="1:32" s="18" customFormat="1" x14ac:dyDescent="0.25">
      <c r="A78" s="1"/>
      <c r="B78" s="5"/>
      <c r="C78" s="1" t="s">
        <v>237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AE78" s="18">
        <v>-0.51900000000000002</v>
      </c>
      <c r="AF78" s="19"/>
    </row>
    <row r="79" spans="1:32" s="18" customFormat="1" x14ac:dyDescent="0.25">
      <c r="A79" s="1"/>
      <c r="B79" s="5"/>
      <c r="C79" s="1" t="s">
        <v>238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AE79" s="18">
        <v>-111.663</v>
      </c>
      <c r="AF79" s="19"/>
    </row>
    <row r="80" spans="1:32" s="18" customFormat="1" x14ac:dyDescent="0.25">
      <c r="A80" s="1"/>
      <c r="B80" s="5"/>
      <c r="C80" s="1" t="s">
        <v>239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  <c r="U80" s="18">
        <v>0</v>
      </c>
      <c r="AE80" s="18">
        <v>18.893000000000001</v>
      </c>
      <c r="AF80" s="19"/>
    </row>
    <row r="81" spans="1:32" s="18" customFormat="1" x14ac:dyDescent="0.25">
      <c r="A81" s="1"/>
      <c r="B81" s="5"/>
      <c r="C81" s="2" t="s">
        <v>69</v>
      </c>
      <c r="D81" s="16">
        <f t="shared" ref="D81:O81" si="112">SUM(D75:D77)</f>
        <v>-5.6999999999999993</v>
      </c>
      <c r="E81" s="16">
        <f t="shared" si="112"/>
        <v>-6</v>
      </c>
      <c r="F81" s="16">
        <f t="shared" si="112"/>
        <v>-9</v>
      </c>
      <c r="G81" s="16">
        <f t="shared" si="112"/>
        <v>-9.3000000000000007</v>
      </c>
      <c r="H81" s="16">
        <f t="shared" si="112"/>
        <v>-14.6</v>
      </c>
      <c r="I81" s="16">
        <f t="shared" si="112"/>
        <v>-11.16</v>
      </c>
      <c r="J81" s="16">
        <f t="shared" si="112"/>
        <v>-7.6</v>
      </c>
      <c r="K81" s="16">
        <f t="shared" si="112"/>
        <v>-19.826999999999998</v>
      </c>
      <c r="L81" s="16">
        <f>SUM(L76:L77)</f>
        <v>-5.1000000000000005</v>
      </c>
      <c r="M81" s="16">
        <f t="shared" si="112"/>
        <v>-5.4</v>
      </c>
      <c r="N81" s="16">
        <f t="shared" si="112"/>
        <v>-7.4</v>
      </c>
      <c r="O81" s="16">
        <f t="shared" si="112"/>
        <v>-10.5</v>
      </c>
      <c r="P81" s="16">
        <f>SUM(P75:P77)</f>
        <v>-4.5670000000000002</v>
      </c>
      <c r="Q81" s="16">
        <f>SUM(Q75:Q77)</f>
        <v>-13.205</v>
      </c>
      <c r="R81" s="16">
        <f t="shared" ref="R81:T81" si="113">SUM(R75:R77)</f>
        <v>-134.54599999999999</v>
      </c>
      <c r="S81" s="16">
        <f t="shared" si="113"/>
        <v>-10.975999999999999</v>
      </c>
      <c r="T81" s="16">
        <f t="shared" si="113"/>
        <v>-12.607000000000001</v>
      </c>
      <c r="U81" s="16">
        <f>SUM(U75:U80)</f>
        <v>-11.009</v>
      </c>
      <c r="Y81" s="16">
        <f t="shared" ref="Y81:AC81" si="114">SUM(Y75:Y77)</f>
        <v>-31</v>
      </c>
      <c r="Z81" s="16">
        <f t="shared" si="114"/>
        <v>-37.78</v>
      </c>
      <c r="AA81" s="16">
        <f t="shared" si="114"/>
        <v>-30.6</v>
      </c>
      <c r="AB81" s="16">
        <f t="shared" si="114"/>
        <v>-30.4</v>
      </c>
      <c r="AC81" s="16">
        <f t="shared" si="114"/>
        <v>-53.4</v>
      </c>
      <c r="AD81" s="16">
        <f>SUM(AD75:AD77)</f>
        <v>-29.143000000000001</v>
      </c>
      <c r="AE81" s="16">
        <f>SUM(AE75:AE80)</f>
        <v>-146.41900000000001</v>
      </c>
      <c r="AF81" s="19"/>
    </row>
    <row r="82" spans="1:32" s="18" customFormat="1" x14ac:dyDescent="0.25">
      <c r="A82" s="1"/>
      <c r="B82" s="5"/>
      <c r="C82" s="1"/>
      <c r="AE82"/>
      <c r="AF82" s="19"/>
    </row>
    <row r="83" spans="1:32" s="18" customFormat="1" x14ac:dyDescent="0.25">
      <c r="A83" s="1"/>
      <c r="B83" s="5"/>
      <c r="C83" s="1" t="s">
        <v>107</v>
      </c>
      <c r="D83" s="18">
        <v>0</v>
      </c>
      <c r="E83" s="18">
        <v>-4.7</v>
      </c>
      <c r="F83" s="18">
        <v>0</v>
      </c>
      <c r="G83" s="18">
        <v>0</v>
      </c>
      <c r="H83" s="18">
        <v>0</v>
      </c>
      <c r="I83" s="18">
        <v>0</v>
      </c>
      <c r="J83" s="18">
        <v>0</v>
      </c>
      <c r="K83" s="18">
        <v>0</v>
      </c>
      <c r="L83" s="18">
        <v>-3.8</v>
      </c>
      <c r="M83" s="18">
        <v>0</v>
      </c>
      <c r="N83" s="18">
        <v>0</v>
      </c>
      <c r="O83" s="18">
        <v>0</v>
      </c>
      <c r="P83" s="18">
        <v>-16.521999999999998</v>
      </c>
      <c r="Q83" s="18">
        <v>0</v>
      </c>
      <c r="R83" s="18">
        <v>-13.683</v>
      </c>
      <c r="S83" s="18">
        <v>0</v>
      </c>
      <c r="T83" s="18">
        <v>-13.743</v>
      </c>
      <c r="U83" s="18">
        <v>0</v>
      </c>
      <c r="Y83" s="18">
        <v>2.4119999999999999</v>
      </c>
      <c r="Z83" s="18">
        <v>10.45</v>
      </c>
      <c r="AA83" s="18">
        <v>-20.757999999999999</v>
      </c>
      <c r="AB83" s="18">
        <v>-4.7</v>
      </c>
      <c r="AC83" s="18">
        <v>0</v>
      </c>
      <c r="AD83" s="18">
        <v>-3.8</v>
      </c>
      <c r="AE83" s="18">
        <v>-30.204999999999998</v>
      </c>
      <c r="AF83" s="19"/>
    </row>
    <row r="84" spans="1:32" s="18" customFormat="1" x14ac:dyDescent="0.25">
      <c r="A84" s="1"/>
      <c r="B84" s="5"/>
      <c r="C84" s="1" t="s">
        <v>119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-1.8280000000000001</v>
      </c>
      <c r="R84" s="18">
        <v>102.941</v>
      </c>
      <c r="S84" s="18">
        <v>0</v>
      </c>
      <c r="T84" s="18">
        <v>0</v>
      </c>
      <c r="U84" s="18">
        <v>0</v>
      </c>
      <c r="Y84" s="18">
        <v>0</v>
      </c>
      <c r="Z84" s="18">
        <v>121.277</v>
      </c>
      <c r="AE84" s="18">
        <v>102.941</v>
      </c>
      <c r="AF84" s="19"/>
    </row>
    <row r="85" spans="1:32" s="18" customFormat="1" x14ac:dyDescent="0.25">
      <c r="A85" s="1"/>
      <c r="B85" s="5"/>
      <c r="C85" s="1" t="s">
        <v>108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-1.8</v>
      </c>
      <c r="M85" s="18">
        <v>-1.8</v>
      </c>
      <c r="N85" s="18">
        <v>-1.865</v>
      </c>
      <c r="O85" s="18">
        <v>-1.7</v>
      </c>
      <c r="P85" s="18">
        <v>-1.7</v>
      </c>
      <c r="Q85" s="18">
        <v>-2</v>
      </c>
      <c r="R85" s="18">
        <v>-3</v>
      </c>
      <c r="S85" s="18">
        <v>-1.823</v>
      </c>
      <c r="T85" s="18">
        <v>-1.9279999999999999</v>
      </c>
      <c r="U85" s="18">
        <v>-1.913</v>
      </c>
      <c r="Y85" s="18">
        <v>0</v>
      </c>
      <c r="Z85" s="18">
        <v>-4.5</v>
      </c>
      <c r="AA85" s="18">
        <v>-6.4</v>
      </c>
      <c r="AB85" s="18">
        <v>0</v>
      </c>
      <c r="AC85" s="18">
        <v>0</v>
      </c>
      <c r="AD85" s="18">
        <v>-7.3</v>
      </c>
      <c r="AE85" s="18">
        <v>-8.5030000000000001</v>
      </c>
      <c r="AF85" s="19"/>
    </row>
    <row r="86" spans="1:32" s="18" customFormat="1" x14ac:dyDescent="0.25">
      <c r="A86" s="1"/>
      <c r="B86" s="5"/>
      <c r="C86" s="1" t="s">
        <v>109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-1.8</v>
      </c>
      <c r="M86" s="18">
        <v>0</v>
      </c>
      <c r="N86" s="18">
        <v>0</v>
      </c>
      <c r="O86" s="18">
        <v>0</v>
      </c>
      <c r="P86" s="18">
        <v>-1.89</v>
      </c>
      <c r="Q86" s="18">
        <v>-0.98399999999999999</v>
      </c>
      <c r="R86" s="18">
        <v>-2</v>
      </c>
      <c r="S86" s="18">
        <v>-2.3809999999999998</v>
      </c>
      <c r="T86" s="18">
        <v>-2.3690000000000002</v>
      </c>
      <c r="U86" s="18">
        <v>-2.5259999999999998</v>
      </c>
      <c r="Y86" s="18">
        <v>-3.9</v>
      </c>
      <c r="Z86" s="18">
        <v>-3.5</v>
      </c>
      <c r="AA86" s="18">
        <v>0</v>
      </c>
      <c r="AB86" s="18">
        <v>0</v>
      </c>
      <c r="AC86" s="18">
        <v>-6.8</v>
      </c>
      <c r="AD86" s="18">
        <v>-7.3</v>
      </c>
      <c r="AE86" s="18">
        <v>-8.5259999999999998</v>
      </c>
      <c r="AF86" s="19"/>
    </row>
    <row r="87" spans="1:32" s="18" customFormat="1" x14ac:dyDescent="0.25">
      <c r="A87" s="1"/>
      <c r="B87" s="5"/>
      <c r="C87" s="1" t="s">
        <v>110</v>
      </c>
      <c r="D87" s="18">
        <v>-1.5</v>
      </c>
      <c r="E87" s="18">
        <v>-1.5</v>
      </c>
      <c r="F87" s="18">
        <v>-1.4</v>
      </c>
      <c r="G87" s="18">
        <v>-2</v>
      </c>
      <c r="H87" s="18">
        <v>-1.8</v>
      </c>
      <c r="I87" s="18">
        <v>-1.9</v>
      </c>
      <c r="J87" s="18">
        <v>-2.1</v>
      </c>
      <c r="K87" s="18">
        <v>-2.4</v>
      </c>
      <c r="L87" s="18">
        <v>-0.88800000000000001</v>
      </c>
      <c r="M87" s="18">
        <v>-2.7</v>
      </c>
      <c r="N87" s="18">
        <v>-2.6</v>
      </c>
      <c r="O87" s="18">
        <v>-2.7</v>
      </c>
      <c r="P87" s="18">
        <v>-0.89900000000000002</v>
      </c>
      <c r="Q87" s="18">
        <v>-0.24099999999999999</v>
      </c>
      <c r="R87" s="18">
        <v>-1</v>
      </c>
      <c r="S87" s="18">
        <v>-0.94799999999999995</v>
      </c>
      <c r="T87" s="18">
        <v>-1</v>
      </c>
      <c r="U87" s="18">
        <v>-0.99199999999999999</v>
      </c>
      <c r="Y87" s="18">
        <v>0</v>
      </c>
      <c r="Z87" s="18">
        <v>0</v>
      </c>
      <c r="AA87" s="18">
        <v>0</v>
      </c>
      <c r="AB87" s="18">
        <v>-6.6</v>
      </c>
      <c r="AC87" s="18">
        <v>-1.5</v>
      </c>
      <c r="AD87" s="18">
        <v>-3.5</v>
      </c>
      <c r="AE87" s="18">
        <v>-3.798</v>
      </c>
      <c r="AF87" s="19"/>
    </row>
    <row r="88" spans="1:32" s="18" customFormat="1" x14ac:dyDescent="0.25">
      <c r="A88" s="1"/>
      <c r="B88" s="5"/>
      <c r="C88" s="1" t="s">
        <v>240</v>
      </c>
      <c r="D88" s="18">
        <v>0</v>
      </c>
      <c r="E88" s="18">
        <v>0</v>
      </c>
      <c r="F88" s="18">
        <v>0</v>
      </c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v>0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  <c r="AE88" s="18">
        <v>100</v>
      </c>
      <c r="AF88" s="19"/>
    </row>
    <row r="89" spans="1:32" s="18" customFormat="1" x14ac:dyDescent="0.25">
      <c r="A89" s="1"/>
      <c r="B89" s="5"/>
      <c r="C89" s="1" t="s">
        <v>241</v>
      </c>
      <c r="D89" s="18">
        <v>0</v>
      </c>
      <c r="E89" s="18">
        <v>0</v>
      </c>
      <c r="F89" s="18">
        <v>0</v>
      </c>
      <c r="G89" s="18">
        <v>0</v>
      </c>
      <c r="H89" s="18">
        <v>0</v>
      </c>
      <c r="I89" s="18">
        <v>0</v>
      </c>
      <c r="J89" s="18">
        <v>0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AE89" s="18">
        <v>-100</v>
      </c>
      <c r="AF89" s="19"/>
    </row>
    <row r="90" spans="1:32" s="18" customFormat="1" x14ac:dyDescent="0.25">
      <c r="A90" s="1"/>
      <c r="B90" s="5"/>
      <c r="C90" s="1" t="s">
        <v>111</v>
      </c>
      <c r="D90" s="18">
        <v>0</v>
      </c>
      <c r="E90" s="18">
        <v>0</v>
      </c>
      <c r="F90" s="18">
        <v>0</v>
      </c>
      <c r="G90" s="18">
        <v>0</v>
      </c>
      <c r="H90" s="18">
        <v>0</v>
      </c>
      <c r="I90" s="18">
        <v>0</v>
      </c>
      <c r="J90" s="18">
        <v>0</v>
      </c>
      <c r="K90" s="18">
        <f>92.9</f>
        <v>92.9</v>
      </c>
      <c r="L90" s="18">
        <v>-0.216</v>
      </c>
      <c r="M90" s="18">
        <v>0</v>
      </c>
      <c r="N90" s="18">
        <v>-0.23</v>
      </c>
      <c r="O90" s="18">
        <v>0</v>
      </c>
      <c r="P90" s="18">
        <v>-0.23</v>
      </c>
      <c r="Q90" s="18">
        <v>0</v>
      </c>
      <c r="R90" s="18">
        <v>0</v>
      </c>
      <c r="S90" s="18">
        <v>-0.154</v>
      </c>
      <c r="T90" s="18">
        <v>-0.217</v>
      </c>
      <c r="U90" s="18">
        <v>-0.2</v>
      </c>
      <c r="Y90" s="18">
        <v>0</v>
      </c>
      <c r="Z90" s="18">
        <v>0</v>
      </c>
      <c r="AA90" s="18">
        <v>0</v>
      </c>
      <c r="AB90" s="18">
        <v>0</v>
      </c>
      <c r="AC90" s="18">
        <f>-0.811+92.9</f>
        <v>92.088999999999999</v>
      </c>
      <c r="AD90" s="18">
        <v>-1.1000000000000001</v>
      </c>
      <c r="AE90" s="18">
        <v>-0.85299999999999998</v>
      </c>
      <c r="AF90" s="19"/>
    </row>
    <row r="91" spans="1:32" s="18" customFormat="1" x14ac:dyDescent="0.25">
      <c r="A91" s="1"/>
      <c r="B91" s="5"/>
      <c r="C91" s="2" t="s">
        <v>70</v>
      </c>
      <c r="D91" s="16">
        <f t="shared" ref="D91:U91" si="115">SUM(D83:D90)</f>
        <v>-1.5</v>
      </c>
      <c r="E91" s="16">
        <f t="shared" si="115"/>
        <v>-6.2</v>
      </c>
      <c r="F91" s="16">
        <f t="shared" si="115"/>
        <v>-1.4</v>
      </c>
      <c r="G91" s="16">
        <f t="shared" si="115"/>
        <v>-2</v>
      </c>
      <c r="H91" s="16">
        <f t="shared" si="115"/>
        <v>-1.8</v>
      </c>
      <c r="I91" s="16">
        <f t="shared" si="115"/>
        <v>-1.9</v>
      </c>
      <c r="J91" s="16">
        <f t="shared" si="115"/>
        <v>-2.1</v>
      </c>
      <c r="K91" s="16">
        <f t="shared" si="115"/>
        <v>90.5</v>
      </c>
      <c r="L91" s="16">
        <f t="shared" si="115"/>
        <v>-8.5039999999999996</v>
      </c>
      <c r="M91" s="16">
        <f t="shared" si="115"/>
        <v>-4.5</v>
      </c>
      <c r="N91" s="16">
        <f t="shared" si="115"/>
        <v>-4.6950000000000003</v>
      </c>
      <c r="O91" s="16">
        <f t="shared" si="115"/>
        <v>-4.4000000000000004</v>
      </c>
      <c r="P91" s="16">
        <f t="shared" si="115"/>
        <v>-21.241</v>
      </c>
      <c r="Q91" s="16">
        <f t="shared" si="115"/>
        <v>-5.0529999999999999</v>
      </c>
      <c r="R91" s="16">
        <f t="shared" si="115"/>
        <v>83.25800000000001</v>
      </c>
      <c r="S91" s="16">
        <f t="shared" si="115"/>
        <v>-5.3059999999999992</v>
      </c>
      <c r="T91" s="16">
        <f t="shared" si="115"/>
        <v>-19.256999999999998</v>
      </c>
      <c r="U91" s="16">
        <f t="shared" si="115"/>
        <v>-5.6310000000000002</v>
      </c>
      <c r="Y91" s="16">
        <f t="shared" ref="Y91:AD91" si="116">SUM(Y83:Y90)</f>
        <v>-1.488</v>
      </c>
      <c r="Z91" s="16">
        <f t="shared" si="116"/>
        <v>123.727</v>
      </c>
      <c r="AA91" s="16">
        <f t="shared" si="116"/>
        <v>-27.158000000000001</v>
      </c>
      <c r="AB91" s="16">
        <f t="shared" si="116"/>
        <v>-11.3</v>
      </c>
      <c r="AC91" s="16">
        <f t="shared" si="116"/>
        <v>83.789000000000001</v>
      </c>
      <c r="AD91" s="16">
        <f t="shared" si="116"/>
        <v>-23</v>
      </c>
      <c r="AE91" s="16">
        <f>SUM(AE83:AE90)</f>
        <v>51.05599999999999</v>
      </c>
      <c r="AF91" s="19"/>
    </row>
    <row r="92" spans="1:32" s="18" customFormat="1" x14ac:dyDescent="0.25">
      <c r="A92" s="1"/>
      <c r="B92" s="5"/>
      <c r="C92" s="1"/>
      <c r="AE92"/>
      <c r="AF92" s="19"/>
    </row>
    <row r="93" spans="1:32" s="18" customFormat="1" x14ac:dyDescent="0.25">
      <c r="A93" s="1"/>
      <c r="B93" s="5"/>
      <c r="C93" s="1" t="s">
        <v>112</v>
      </c>
      <c r="D93" s="18">
        <v>-0.435</v>
      </c>
      <c r="E93" s="18">
        <v>-1</v>
      </c>
      <c r="F93" s="18">
        <v>-1</v>
      </c>
      <c r="G93" s="18">
        <v>1.56</v>
      </c>
      <c r="H93" s="18">
        <v>0</v>
      </c>
      <c r="I93" s="18">
        <v>0</v>
      </c>
      <c r="J93" s="18">
        <v>-0.60499999999999998</v>
      </c>
      <c r="K93" s="18">
        <v>0.9</v>
      </c>
      <c r="L93" s="18">
        <v>-6</v>
      </c>
      <c r="M93" s="18">
        <v>0.59299999999999997</v>
      </c>
      <c r="N93" s="18">
        <v>1.4</v>
      </c>
      <c r="O93" s="18">
        <v>0</v>
      </c>
      <c r="P93" s="18">
        <v>10.5</v>
      </c>
      <c r="Q93" s="18">
        <v>-0.5</v>
      </c>
      <c r="R93" s="18">
        <v>4</v>
      </c>
      <c r="S93" s="18">
        <v>-1.5</v>
      </c>
      <c r="T93" s="18">
        <v>3.2450000000000001</v>
      </c>
      <c r="U93" s="18">
        <v>-2.2229999999999999</v>
      </c>
      <c r="Y93" s="18">
        <v>0</v>
      </c>
      <c r="Z93" s="18">
        <v>1</v>
      </c>
      <c r="AA93" s="18">
        <v>-1</v>
      </c>
      <c r="AB93" s="18">
        <v>-1</v>
      </c>
      <c r="AC93" s="18">
        <v>0.63</v>
      </c>
      <c r="AD93" s="18">
        <v>-10.65</v>
      </c>
      <c r="AE93" s="18">
        <v>15.074999999999999</v>
      </c>
      <c r="AF93" s="19"/>
    </row>
    <row r="94" spans="1:32" s="18" customFormat="1" x14ac:dyDescent="0.25">
      <c r="A94" s="1"/>
      <c r="B94" s="5"/>
      <c r="C94" s="1"/>
      <c r="AE94"/>
      <c r="AF94" s="19"/>
    </row>
    <row r="95" spans="1:32" s="18" customFormat="1" x14ac:dyDescent="0.25">
      <c r="A95" s="1"/>
      <c r="B95" s="5"/>
      <c r="C95" s="1" t="s">
        <v>113</v>
      </c>
      <c r="D95" s="18">
        <f t="shared" ref="D95:P95" si="117">D73+D81+D91+D93</f>
        <v>23.865000000000002</v>
      </c>
      <c r="E95" s="18">
        <f t="shared" si="117"/>
        <v>16.999999999999996</v>
      </c>
      <c r="F95" s="18">
        <f t="shared" si="117"/>
        <v>33.450000000000003</v>
      </c>
      <c r="G95" s="18">
        <f t="shared" si="117"/>
        <v>26.46</v>
      </c>
      <c r="H95" s="18">
        <f t="shared" si="117"/>
        <v>-146.6</v>
      </c>
      <c r="I95" s="18">
        <f t="shared" si="117"/>
        <v>19.34</v>
      </c>
      <c r="J95" s="18">
        <f t="shared" si="117"/>
        <v>-23.150000000000002</v>
      </c>
      <c r="K95" s="18">
        <f t="shared" si="117"/>
        <v>61.973000000000006</v>
      </c>
      <c r="L95" s="18">
        <f t="shared" si="117"/>
        <v>-54.403999999999996</v>
      </c>
      <c r="M95" s="18">
        <f t="shared" si="117"/>
        <v>23.693000000000008</v>
      </c>
      <c r="N95" s="18">
        <f t="shared" si="117"/>
        <v>3.2050000000000014</v>
      </c>
      <c r="O95" s="18">
        <f t="shared" si="117"/>
        <v>33.799999999999997</v>
      </c>
      <c r="P95" s="18">
        <f t="shared" si="117"/>
        <v>19.573999999999998</v>
      </c>
      <c r="Q95" s="18">
        <f t="shared" ref="Q95:S95" si="118">Q73+Q81+Q91+Q93</f>
        <v>27.922000000000001</v>
      </c>
      <c r="R95" s="18">
        <f t="shared" si="118"/>
        <v>-25.657999999999987</v>
      </c>
      <c r="S95" s="18">
        <f t="shared" si="118"/>
        <v>-3.9479999999999968</v>
      </c>
      <c r="T95" s="18">
        <f t="shared" ref="T95:U95" si="119">T73+T81+T91+T93</f>
        <v>-27.474999999999998</v>
      </c>
      <c r="U95" s="18">
        <f t="shared" si="119"/>
        <v>-3.3893999999999975</v>
      </c>
      <c r="Y95" s="18">
        <f t="shared" ref="Y95:AD95" si="120">Y73+Y81+Y91+Y93</f>
        <v>-12.577000000000002</v>
      </c>
      <c r="Z95" s="18">
        <f t="shared" si="120"/>
        <v>152.09700000000001</v>
      </c>
      <c r="AA95" s="18">
        <f t="shared" si="120"/>
        <v>36.86999999999999</v>
      </c>
      <c r="AB95" s="18">
        <f t="shared" si="120"/>
        <v>99.55</v>
      </c>
      <c r="AC95" s="18">
        <f t="shared" si="120"/>
        <v>-87.981000000000009</v>
      </c>
      <c r="AD95" s="18">
        <f t="shared" si="120"/>
        <v>-2.4749999999999961</v>
      </c>
      <c r="AE95" s="70">
        <f>AE73+AE81+AE91+AE93</f>
        <v>15.144999999999971</v>
      </c>
      <c r="AF95" s="19"/>
    </row>
    <row r="96" spans="1:32" s="18" customFormat="1" x14ac:dyDescent="0.25">
      <c r="A96" s="1"/>
      <c r="B96" s="5"/>
      <c r="C96" s="1"/>
      <c r="AE96"/>
      <c r="AF96" s="19"/>
    </row>
    <row r="97" spans="1:32" s="18" customFormat="1" x14ac:dyDescent="0.25">
      <c r="A97" s="1"/>
      <c r="B97" s="5"/>
      <c r="C97" s="1" t="s">
        <v>114</v>
      </c>
      <c r="D97" s="18">
        <f t="shared" ref="D97:O97" si="121">D73+D81</f>
        <v>25.8</v>
      </c>
      <c r="E97" s="18">
        <f t="shared" si="121"/>
        <v>24.199999999999996</v>
      </c>
      <c r="F97" s="18">
        <f t="shared" si="121"/>
        <v>35.85</v>
      </c>
      <c r="G97" s="18">
        <f t="shared" si="121"/>
        <v>26.900000000000002</v>
      </c>
      <c r="H97" s="18">
        <f t="shared" si="121"/>
        <v>-144.79999999999998</v>
      </c>
      <c r="I97" s="18">
        <f t="shared" si="121"/>
        <v>21.24</v>
      </c>
      <c r="J97" s="18">
        <f t="shared" si="121"/>
        <v>-20.445</v>
      </c>
      <c r="K97" s="18">
        <f t="shared" si="121"/>
        <v>-29.426999999999996</v>
      </c>
      <c r="L97" s="18">
        <f>L73+L81</f>
        <v>-39.9</v>
      </c>
      <c r="M97" s="18">
        <f t="shared" si="121"/>
        <v>27.600000000000009</v>
      </c>
      <c r="N97" s="18">
        <f t="shared" si="121"/>
        <v>6.5000000000000018</v>
      </c>
      <c r="O97" s="18">
        <f t="shared" si="121"/>
        <v>38.199999999999996</v>
      </c>
      <c r="P97" s="18">
        <f>P73+P81</f>
        <v>30.314999999999998</v>
      </c>
      <c r="Q97" s="18">
        <f>Q73+Q81</f>
        <v>33.475000000000001</v>
      </c>
      <c r="R97" s="18">
        <f t="shared" ref="R97:S97" si="122">R73+R81</f>
        <v>-112.916</v>
      </c>
      <c r="S97" s="18">
        <f t="shared" si="122"/>
        <v>2.8580000000000023</v>
      </c>
      <c r="T97" s="18">
        <f t="shared" ref="T97:U97" si="123">T73+T81</f>
        <v>-11.463000000000001</v>
      </c>
      <c r="U97" s="18">
        <f t="shared" si="123"/>
        <v>4.4646000000000026</v>
      </c>
      <c r="Y97" s="18">
        <f t="shared" ref="Y97:AC97" si="124">Y73+Y81</f>
        <v>-11.089000000000002</v>
      </c>
      <c r="Z97" s="18">
        <f t="shared" si="124"/>
        <v>27.370000000000005</v>
      </c>
      <c r="AA97" s="18">
        <f t="shared" si="124"/>
        <v>65.027999999999992</v>
      </c>
      <c r="AB97" s="18">
        <f t="shared" si="124"/>
        <v>111.85</v>
      </c>
      <c r="AC97" s="18">
        <f t="shared" si="124"/>
        <v>-172.4</v>
      </c>
      <c r="AD97" s="18">
        <f>AD73+AD81</f>
        <v>31.175000000000004</v>
      </c>
      <c r="AE97" s="70">
        <f>AE73+AE81</f>
        <v>-50.986000000000018</v>
      </c>
      <c r="AF97" s="19"/>
    </row>
    <row r="98" spans="1:32" x14ac:dyDescent="0.25"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Y98" s="18"/>
      <c r="Z98" s="18"/>
      <c r="AA98" s="18"/>
      <c r="AB98" s="18"/>
      <c r="AC98" s="18"/>
      <c r="AD98" s="18"/>
    </row>
    <row r="99" spans="1:32" x14ac:dyDescent="0.25"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Y99" s="18"/>
      <c r="Z99" s="18"/>
      <c r="AA99" s="18"/>
      <c r="AB99" s="18"/>
      <c r="AC99" s="18"/>
      <c r="AD99" s="18"/>
    </row>
    <row r="100" spans="1:32" x14ac:dyDescent="0.25"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</row>
    <row r="101" spans="1:32" x14ac:dyDescent="0.25"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</row>
    <row r="102" spans="1:32" x14ac:dyDescent="0.25"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</row>
    <row r="103" spans="1:32" x14ac:dyDescent="0.25"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</row>
    <row r="104" spans="1:32" x14ac:dyDescent="0.25"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</row>
    <row r="105" spans="1:32" x14ac:dyDescent="0.25"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</row>
    <row r="106" spans="1:32" x14ac:dyDescent="0.25"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</row>
    <row r="107" spans="1:32" x14ac:dyDescent="0.25"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</row>
    <row r="108" spans="1:32" x14ac:dyDescent="0.25"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</row>
    <row r="109" spans="1:32" x14ac:dyDescent="0.25"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</row>
    <row r="110" spans="1:32" x14ac:dyDescent="0.25"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</row>
    <row r="111" spans="1:32" x14ac:dyDescent="0.25"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</row>
    <row r="112" spans="1:32" x14ac:dyDescent="0.25"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</row>
    <row r="113" spans="4:16" x14ac:dyDescent="0.25"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</row>
    <row r="114" spans="4:16" x14ac:dyDescent="0.25"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</row>
    <row r="115" spans="4:16" x14ac:dyDescent="0.25"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</row>
    <row r="116" spans="4:16" x14ac:dyDescent="0.25"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</row>
    <row r="117" spans="4:16" x14ac:dyDescent="0.25"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</row>
  </sheetData>
  <phoneticPr fontId="5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D16E7-B804-E143-9FC2-A747C08EC0A8}">
  <dimension ref="A3:AK32"/>
  <sheetViews>
    <sheetView showGridLines="0" workbookViewId="0">
      <pane xSplit="2" ySplit="3" topLeftCell="T4" activePane="bottomRight" state="frozen"/>
      <selection pane="topRight" activeCell="C1" sqref="C1"/>
      <selection pane="bottomLeft" activeCell="A4" sqref="A4"/>
      <selection pane="bottomRight" activeCell="AE32" sqref="AE32"/>
    </sheetView>
  </sheetViews>
  <sheetFormatPr baseColWidth="10" defaultRowHeight="19" x14ac:dyDescent="0.25"/>
  <cols>
    <col min="1" max="1" width="5" style="1" customWidth="1"/>
    <col min="2" max="2" width="25.5" style="1" customWidth="1"/>
    <col min="3" max="17" width="10.83203125" style="1"/>
    <col min="18" max="18" width="11.1640625" style="1" bestFit="1" customWidth="1"/>
    <col min="19" max="16384" width="10.83203125" style="1"/>
  </cols>
  <sheetData>
    <row r="3" spans="1:37" x14ac:dyDescent="0.25">
      <c r="B3" s="26" t="s">
        <v>128</v>
      </c>
      <c r="C3" s="34" t="s">
        <v>3</v>
      </c>
      <c r="D3" s="34" t="s">
        <v>4</v>
      </c>
      <c r="E3" s="34" t="s">
        <v>5</v>
      </c>
      <c r="F3" s="34" t="s">
        <v>6</v>
      </c>
      <c r="G3" s="35">
        <v>2022</v>
      </c>
      <c r="H3" s="34" t="s">
        <v>7</v>
      </c>
      <c r="I3" s="34" t="s">
        <v>8</v>
      </c>
      <c r="J3" s="34" t="s">
        <v>9</v>
      </c>
      <c r="K3" s="34" t="s">
        <v>10</v>
      </c>
      <c r="L3" s="35">
        <v>2023</v>
      </c>
      <c r="M3" s="34" t="s">
        <v>11</v>
      </c>
      <c r="N3" s="34" t="s">
        <v>12</v>
      </c>
      <c r="O3" s="34" t="s">
        <v>13</v>
      </c>
      <c r="P3" s="34" t="s">
        <v>14</v>
      </c>
      <c r="Q3" s="35">
        <v>2024</v>
      </c>
      <c r="R3" s="34" t="s">
        <v>90</v>
      </c>
      <c r="S3" s="34" t="s">
        <v>91</v>
      </c>
      <c r="T3" s="34" t="s">
        <v>92</v>
      </c>
      <c r="U3" s="34" t="s">
        <v>93</v>
      </c>
      <c r="V3" s="36">
        <v>2025</v>
      </c>
      <c r="W3" s="21" t="s">
        <v>179</v>
      </c>
      <c r="X3" s="21" t="s">
        <v>180</v>
      </c>
      <c r="Y3" s="21" t="s">
        <v>181</v>
      </c>
      <c r="Z3" s="21" t="s">
        <v>182</v>
      </c>
      <c r="AA3" s="36">
        <v>2026</v>
      </c>
      <c r="AB3" s="21" t="s">
        <v>251</v>
      </c>
      <c r="AC3" s="21" t="s">
        <v>250</v>
      </c>
      <c r="AD3" s="21" t="s">
        <v>249</v>
      </c>
      <c r="AE3" s="21" t="s">
        <v>248</v>
      </c>
      <c r="AF3" s="36">
        <v>2027</v>
      </c>
      <c r="AG3" s="21" t="s">
        <v>252</v>
      </c>
      <c r="AH3" s="21" t="s">
        <v>253</v>
      </c>
      <c r="AI3" s="21" t="s">
        <v>254</v>
      </c>
      <c r="AJ3" s="21" t="s">
        <v>255</v>
      </c>
      <c r="AK3" s="36">
        <v>2028</v>
      </c>
    </row>
    <row r="4" spans="1:37" x14ac:dyDescent="0.25">
      <c r="B4" s="2" t="s">
        <v>130</v>
      </c>
      <c r="G4" s="31"/>
      <c r="L4" s="31"/>
      <c r="Q4" s="31"/>
      <c r="V4" s="31"/>
      <c r="AA4" s="31"/>
      <c r="AF4" s="31"/>
      <c r="AK4" s="31"/>
    </row>
    <row r="5" spans="1:37" s="18" customFormat="1" x14ac:dyDescent="0.25">
      <c r="B5" s="18" t="s">
        <v>19</v>
      </c>
      <c r="C5" s="18">
        <v>175.52199999999999</v>
      </c>
      <c r="D5" s="18">
        <v>193.249</v>
      </c>
      <c r="E5" s="18">
        <v>192.05</v>
      </c>
      <c r="F5" s="18">
        <v>183.99199999999999</v>
      </c>
      <c r="G5" s="44">
        <f>SUM(C5:F5)</f>
        <v>744.81299999999987</v>
      </c>
      <c r="H5" s="18">
        <v>138.77000000000001</v>
      </c>
      <c r="I5" s="18">
        <v>149.61600000000001</v>
      </c>
      <c r="J5" s="18">
        <v>130</v>
      </c>
      <c r="K5" s="18">
        <v>99.897999999999996</v>
      </c>
      <c r="L5" s="44">
        <f>SUM(H5:K5)</f>
        <v>518.28399999999999</v>
      </c>
      <c r="M5" s="18">
        <v>69.025000000000006</v>
      </c>
      <c r="N5" s="18">
        <v>122.91800000000001</v>
      </c>
      <c r="O5" s="18">
        <v>155.166</v>
      </c>
      <c r="P5" s="18">
        <v>140.227</v>
      </c>
      <c r="Q5" s="44">
        <f>SUM(M5:P5)</f>
        <v>487.33600000000001</v>
      </c>
      <c r="R5" s="18">
        <v>146.04300000000001</v>
      </c>
      <c r="S5" s="18">
        <v>154.30000000000001</v>
      </c>
      <c r="T5" s="18">
        <v>166.709</v>
      </c>
      <c r="U5" s="18">
        <v>158.30500000000001</v>
      </c>
      <c r="V5" s="44">
        <f>SUM(R5:U5)</f>
        <v>625.35699999999997</v>
      </c>
      <c r="W5" s="18">
        <v>177.535</v>
      </c>
      <c r="X5" s="18">
        <v>199.78800000000001</v>
      </c>
      <c r="AA5" s="44">
        <f>SUM(W5:Z5)</f>
        <v>377.32299999999998</v>
      </c>
      <c r="AF5" s="44">
        <f>SUM(AB5:AE5)</f>
        <v>0</v>
      </c>
      <c r="AK5" s="44">
        <f>SUM(AG5:AJ5)</f>
        <v>0</v>
      </c>
    </row>
    <row r="6" spans="1:37" x14ac:dyDescent="0.25">
      <c r="B6" s="30" t="s">
        <v>132</v>
      </c>
      <c r="C6" s="30"/>
      <c r="D6" s="30"/>
      <c r="E6" s="30"/>
      <c r="F6" s="30"/>
      <c r="G6" s="38"/>
      <c r="H6" s="37">
        <f t="shared" ref="H6:V6" si="0">(H5-C5)/C5</f>
        <v>-0.20938685748795013</v>
      </c>
      <c r="I6" s="37">
        <f t="shared" si="0"/>
        <v>-0.22578642062830848</v>
      </c>
      <c r="J6" s="37">
        <f t="shared" si="0"/>
        <v>-0.32309294454569126</v>
      </c>
      <c r="K6" s="37">
        <f t="shared" si="0"/>
        <v>-0.45705248054263226</v>
      </c>
      <c r="L6" s="39">
        <f t="shared" si="0"/>
        <v>-0.30414211352379716</v>
      </c>
      <c r="M6" s="37">
        <f t="shared" si="0"/>
        <v>-0.50259422065287884</v>
      </c>
      <c r="N6" s="37">
        <f t="shared" si="0"/>
        <v>-0.17844348198053686</v>
      </c>
      <c r="O6" s="37">
        <f t="shared" si="0"/>
        <v>0.19358461538461536</v>
      </c>
      <c r="P6" s="37">
        <f t="shared" si="0"/>
        <v>0.40370177581132766</v>
      </c>
      <c r="Q6" s="39">
        <f t="shared" si="0"/>
        <v>-5.971243565303961E-2</v>
      </c>
      <c r="R6" s="37">
        <f t="shared" si="0"/>
        <v>1.1157986236870698</v>
      </c>
      <c r="S6" s="37">
        <f t="shared" si="0"/>
        <v>0.25530841699344281</v>
      </c>
      <c r="T6" s="37">
        <f t="shared" si="0"/>
        <v>7.4391297062500847E-2</v>
      </c>
      <c r="U6" s="37">
        <f t="shared" si="0"/>
        <v>0.1289195376068803</v>
      </c>
      <c r="V6" s="39">
        <f t="shared" si="0"/>
        <v>0.28321527652379458</v>
      </c>
      <c r="W6" s="37">
        <f t="shared" ref="W6" si="1">(W5-R5)/R5</f>
        <v>0.21563512116294509</v>
      </c>
      <c r="X6" s="37">
        <f t="shared" ref="X6" si="2">(X5-S5)/S5</f>
        <v>0.29480233311730392</v>
      </c>
      <c r="Y6" s="37">
        <f t="shared" ref="Y6" si="3">(Y5-T5)/T5</f>
        <v>-1</v>
      </c>
      <c r="Z6" s="37">
        <f t="shared" ref="Z6" si="4">(Z5-U5)/U5</f>
        <v>-1</v>
      </c>
      <c r="AA6" s="39">
        <f>(AA5-V5)/V5</f>
        <v>-0.39662784617426528</v>
      </c>
      <c r="AB6" s="37">
        <f t="shared" ref="AB6" si="5">(AB5-W5)/W5</f>
        <v>-1</v>
      </c>
      <c r="AC6" s="37">
        <f t="shared" ref="AC6" si="6">(AC5-X5)/X5</f>
        <v>-1</v>
      </c>
      <c r="AD6" s="37" t="e">
        <f t="shared" ref="AD6" si="7">(AD5-Y5)/Y5</f>
        <v>#DIV/0!</v>
      </c>
      <c r="AE6" s="37" t="e">
        <f t="shared" ref="AE6" si="8">(AE5-Z5)/Z5</f>
        <v>#DIV/0!</v>
      </c>
      <c r="AF6" s="39">
        <f>(AF5-AA5)/AA5</f>
        <v>-1</v>
      </c>
      <c r="AG6" s="37" t="e">
        <f t="shared" ref="AG6" si="9">(AG5-AB5)/AB5</f>
        <v>#DIV/0!</v>
      </c>
      <c r="AH6" s="37" t="e">
        <f t="shared" ref="AH6" si="10">(AH5-AC5)/AC5</f>
        <v>#DIV/0!</v>
      </c>
      <c r="AI6" s="37" t="e">
        <f t="shared" ref="AI6" si="11">(AI5-AD5)/AD5</f>
        <v>#DIV/0!</v>
      </c>
      <c r="AJ6" s="37" t="e">
        <f t="shared" ref="AJ6" si="12">(AJ5-AE5)/AE5</f>
        <v>#DIV/0!</v>
      </c>
      <c r="AK6" s="39" t="e">
        <f>(AK5-AF5)/AF5</f>
        <v>#DIV/0!</v>
      </c>
    </row>
    <row r="7" spans="1:37" x14ac:dyDescent="0.25">
      <c r="B7" s="2" t="s">
        <v>131</v>
      </c>
      <c r="G7" s="33"/>
      <c r="L7" s="31"/>
      <c r="Q7" s="33"/>
      <c r="V7" s="31"/>
      <c r="AA7" s="31"/>
      <c r="AF7" s="31"/>
      <c r="AK7" s="31"/>
    </row>
    <row r="8" spans="1:37" s="18" customFormat="1" x14ac:dyDescent="0.25">
      <c r="B8" s="18" t="s">
        <v>19</v>
      </c>
      <c r="C8" s="18">
        <f>6.553+1</f>
        <v>7.5529999999999999</v>
      </c>
      <c r="D8" s="18">
        <f>5.1+1</f>
        <v>6.1</v>
      </c>
      <c r="E8" s="18">
        <f>8.6+0.714</f>
        <v>9.3140000000000001</v>
      </c>
      <c r="F8" s="18">
        <f>5+1.8</f>
        <v>6.8</v>
      </c>
      <c r="G8" s="44">
        <f>SUM(C8:F8)</f>
        <v>29.766999999999999</v>
      </c>
      <c r="H8" s="18">
        <f>4.7+1.1</f>
        <v>5.8000000000000007</v>
      </c>
      <c r="I8" s="18">
        <f>2.588+1.7</f>
        <v>4.2880000000000003</v>
      </c>
      <c r="J8" s="18">
        <v>4.7</v>
      </c>
      <c r="K8" s="18">
        <f>6+1.2</f>
        <v>7.2</v>
      </c>
      <c r="L8" s="44">
        <f>SUM(H8:K8)</f>
        <v>21.988</v>
      </c>
      <c r="M8" s="18">
        <v>3.778</v>
      </c>
      <c r="N8" s="18">
        <f>3.743+0.545</f>
        <v>4.2880000000000003</v>
      </c>
      <c r="O8" s="18">
        <f>2.476+0.094</f>
        <v>2.57</v>
      </c>
      <c r="P8" s="18">
        <v>7.8</v>
      </c>
      <c r="Q8" s="44">
        <f>SUM(M8:P8)</f>
        <v>18.436</v>
      </c>
      <c r="R8" s="18">
        <v>7.5369999999999999</v>
      </c>
      <c r="S8" s="18">
        <v>7.5</v>
      </c>
      <c r="T8" s="18">
        <v>9.798</v>
      </c>
      <c r="U8" s="18">
        <v>8.7219999999999995</v>
      </c>
      <c r="V8" s="44">
        <f>SUM(R8:U8)</f>
        <v>33.557000000000002</v>
      </c>
      <c r="W8" s="18">
        <v>12.487</v>
      </c>
      <c r="X8" s="18">
        <v>14.625</v>
      </c>
      <c r="AA8" s="44">
        <f>SUM(W8:Z8)</f>
        <v>27.112000000000002</v>
      </c>
      <c r="AF8" s="44">
        <f>SUM(AB8:AE8)</f>
        <v>0</v>
      </c>
      <c r="AK8" s="44">
        <f>SUM(AG8:AJ8)</f>
        <v>0</v>
      </c>
    </row>
    <row r="9" spans="1:37" x14ac:dyDescent="0.25">
      <c r="B9" s="30" t="s">
        <v>132</v>
      </c>
      <c r="C9" s="30"/>
      <c r="D9" s="30"/>
      <c r="E9" s="30"/>
      <c r="F9" s="30"/>
      <c r="G9" s="38"/>
      <c r="H9" s="37">
        <f t="shared" ref="H9:V9" si="13">(H8-C8)/C8</f>
        <v>-0.23209320799682234</v>
      </c>
      <c r="I9" s="37">
        <f t="shared" si="13"/>
        <v>-0.29704918032786876</v>
      </c>
      <c r="J9" s="37">
        <f t="shared" si="13"/>
        <v>-0.49538329396607256</v>
      </c>
      <c r="K9" s="37">
        <f t="shared" si="13"/>
        <v>5.8823529411764761E-2</v>
      </c>
      <c r="L9" s="39">
        <f t="shared" si="13"/>
        <v>-0.261329660362146</v>
      </c>
      <c r="M9" s="37">
        <f t="shared" si="13"/>
        <v>-0.34862068965517251</v>
      </c>
      <c r="N9" s="37">
        <f t="shared" si="13"/>
        <v>0</v>
      </c>
      <c r="O9" s="37">
        <f t="shared" si="13"/>
        <v>-0.45319148936170217</v>
      </c>
      <c r="P9" s="37">
        <f t="shared" si="13"/>
        <v>8.3333333333333287E-2</v>
      </c>
      <c r="Q9" s="39">
        <f t="shared" si="13"/>
        <v>-0.16154265963252681</v>
      </c>
      <c r="R9" s="37">
        <f t="shared" si="13"/>
        <v>0.99497088406564316</v>
      </c>
      <c r="S9" s="37">
        <f t="shared" si="13"/>
        <v>0.74906716417910435</v>
      </c>
      <c r="T9" s="37">
        <f t="shared" si="13"/>
        <v>2.8124513618677045</v>
      </c>
      <c r="U9" s="37">
        <f t="shared" si="13"/>
        <v>0.11820512820512817</v>
      </c>
      <c r="V9" s="39">
        <f t="shared" si="13"/>
        <v>0.82018876111954886</v>
      </c>
      <c r="W9" s="37">
        <f t="shared" ref="W9" si="14">(W8-R8)/R8</f>
        <v>0.65675998407854586</v>
      </c>
      <c r="X9" s="37">
        <f t="shared" ref="X9" si="15">(X8-S8)/S8</f>
        <v>0.95</v>
      </c>
      <c r="Y9" s="37">
        <f t="shared" ref="Y9" si="16">(Y8-T8)/T8</f>
        <v>-1</v>
      </c>
      <c r="Z9" s="37">
        <f t="shared" ref="Z9" si="17">(Z8-U8)/U8</f>
        <v>-1</v>
      </c>
      <c r="AA9" s="39">
        <f t="shared" ref="AA9" si="18">(AA8-V8)/V8</f>
        <v>-0.19206126888577643</v>
      </c>
      <c r="AB9" s="37">
        <f t="shared" ref="AB9" si="19">(AB8-W8)/W8</f>
        <v>-1</v>
      </c>
      <c r="AC9" s="37">
        <f t="shared" ref="AC9" si="20">(AC8-X8)/X8</f>
        <v>-1</v>
      </c>
      <c r="AD9" s="37" t="e">
        <f t="shared" ref="AD9" si="21">(AD8-Y8)/Y8</f>
        <v>#DIV/0!</v>
      </c>
      <c r="AE9" s="37" t="e">
        <f t="shared" ref="AE9" si="22">(AE8-Z8)/Z8</f>
        <v>#DIV/0!</v>
      </c>
      <c r="AF9" s="39">
        <f t="shared" ref="AF9" si="23">(AF8-AA8)/AA8</f>
        <v>-1</v>
      </c>
      <c r="AG9" s="37" t="e">
        <f t="shared" ref="AG9" si="24">(AG8-AB8)/AB8</f>
        <v>#DIV/0!</v>
      </c>
      <c r="AH9" s="37" t="e">
        <f t="shared" ref="AH9" si="25">(AH8-AC8)/AC8</f>
        <v>#DIV/0!</v>
      </c>
      <c r="AI9" s="37" t="e">
        <f t="shared" ref="AI9" si="26">(AI8-AD8)/AD8</f>
        <v>#DIV/0!</v>
      </c>
      <c r="AJ9" s="37" t="e">
        <f t="shared" ref="AJ9" si="27">(AJ8-AE8)/AE8</f>
        <v>#DIV/0!</v>
      </c>
      <c r="AK9" s="39" t="e">
        <f t="shared" ref="AK9" si="28">(AK8-AF8)/AF8</f>
        <v>#DIV/0!</v>
      </c>
    </row>
    <row r="10" spans="1:37" x14ac:dyDescent="0.25">
      <c r="B10" s="2" t="s">
        <v>104</v>
      </c>
      <c r="G10" s="33"/>
      <c r="L10" s="31"/>
      <c r="Q10" s="33"/>
      <c r="V10" s="31"/>
      <c r="AA10" s="31"/>
      <c r="AF10" s="31"/>
      <c r="AK10" s="31"/>
    </row>
    <row r="11" spans="1:37" s="18" customFormat="1" x14ac:dyDescent="0.25">
      <c r="B11" s="18" t="s">
        <v>19</v>
      </c>
      <c r="C11" s="18">
        <v>0</v>
      </c>
      <c r="D11" s="18">
        <v>0.751</v>
      </c>
      <c r="E11" s="18">
        <v>0.71799999999999997</v>
      </c>
      <c r="F11" s="18">
        <v>0.48199999999999998</v>
      </c>
      <c r="G11" s="44">
        <f>SUM(C11:F11)</f>
        <v>1.9509999999999998</v>
      </c>
      <c r="H11" s="18">
        <v>0.78700000000000003</v>
      </c>
      <c r="I11" s="18">
        <v>0.28699999999999998</v>
      </c>
      <c r="J11" s="18">
        <v>0.24299999999999999</v>
      </c>
      <c r="K11" s="18">
        <v>0.98399999999999999</v>
      </c>
      <c r="L11" s="44">
        <f>SUM(H11:K11)</f>
        <v>2.3010000000000002</v>
      </c>
      <c r="M11" s="18">
        <v>1.6950000000000001</v>
      </c>
      <c r="N11" s="18">
        <v>0.74299999999999999</v>
      </c>
      <c r="O11" s="18">
        <v>1</v>
      </c>
      <c r="P11" s="18">
        <v>2</v>
      </c>
      <c r="Q11" s="44">
        <f>SUM(M11:P11)</f>
        <v>5.4380000000000006</v>
      </c>
      <c r="R11" s="18">
        <v>1.4870000000000001</v>
      </c>
      <c r="S11" s="18">
        <v>2.2000000000000002</v>
      </c>
      <c r="T11" s="18">
        <v>2.4500000000000002</v>
      </c>
      <c r="U11" s="18">
        <v>2.4809999999999999</v>
      </c>
      <c r="V11" s="44">
        <f>SUM(R11:U11)</f>
        <v>8.6180000000000003</v>
      </c>
      <c r="W11" s="18">
        <v>2.4209999999999998</v>
      </c>
      <c r="X11" s="18">
        <v>4</v>
      </c>
      <c r="AA11" s="44">
        <f>SUM(W11:Z11)</f>
        <v>6.4209999999999994</v>
      </c>
      <c r="AF11" s="44">
        <f>SUM(AB11:AE11)</f>
        <v>0</v>
      </c>
      <c r="AK11" s="44">
        <f>SUM(AG11:AJ11)</f>
        <v>0</v>
      </c>
    </row>
    <row r="12" spans="1:37" x14ac:dyDescent="0.25">
      <c r="B12" s="30" t="s">
        <v>132</v>
      </c>
      <c r="C12" s="30"/>
      <c r="D12" s="30"/>
      <c r="E12" s="30"/>
      <c r="F12" s="30"/>
      <c r="G12" s="38"/>
      <c r="H12" s="37"/>
      <c r="I12" s="37">
        <f t="shared" ref="I12:V12" si="29">(I11-D11)/D11</f>
        <v>-0.61784287616511324</v>
      </c>
      <c r="J12" s="37">
        <f t="shared" si="29"/>
        <v>-0.66155988857938719</v>
      </c>
      <c r="K12" s="37">
        <f t="shared" si="29"/>
        <v>1.04149377593361</v>
      </c>
      <c r="L12" s="39">
        <f t="shared" si="29"/>
        <v>0.17939518195797044</v>
      </c>
      <c r="M12" s="37">
        <f t="shared" si="29"/>
        <v>1.1537484116899619</v>
      </c>
      <c r="N12" s="37">
        <f t="shared" si="29"/>
        <v>1.5888501742160281</v>
      </c>
      <c r="O12" s="37">
        <f t="shared" si="29"/>
        <v>3.1152263374485596</v>
      </c>
      <c r="P12" s="37">
        <f t="shared" si="29"/>
        <v>1.032520325203252</v>
      </c>
      <c r="Q12" s="39">
        <f t="shared" si="29"/>
        <v>1.3633202955236854</v>
      </c>
      <c r="R12" s="37">
        <f t="shared" si="29"/>
        <v>-0.12271386430678463</v>
      </c>
      <c r="S12" s="37">
        <f t="shared" si="29"/>
        <v>1.960969044414536</v>
      </c>
      <c r="T12" s="37">
        <f t="shared" si="29"/>
        <v>1.4500000000000002</v>
      </c>
      <c r="U12" s="37">
        <f t="shared" si="29"/>
        <v>0.24049999999999994</v>
      </c>
      <c r="V12" s="39">
        <f t="shared" si="29"/>
        <v>0.58477381390216976</v>
      </c>
      <c r="W12" s="37">
        <f t="shared" ref="W12" si="30">(W11-R11)/R11</f>
        <v>0.62811028917283096</v>
      </c>
      <c r="X12" s="37">
        <f t="shared" ref="X12" si="31">(X11-S11)/S11</f>
        <v>0.81818181818181801</v>
      </c>
      <c r="Y12" s="37">
        <f>(Y11-T11)/T11</f>
        <v>-1</v>
      </c>
      <c r="Z12" s="37">
        <f t="shared" ref="Z12" si="32">(Z11-U11)/U11</f>
        <v>-1</v>
      </c>
      <c r="AA12" s="39">
        <f t="shared" ref="AA12" si="33">(AA11-V11)/V11</f>
        <v>-0.2549315386400558</v>
      </c>
      <c r="AB12" s="37">
        <f t="shared" ref="AB12" si="34">(AB11-W11)/W11</f>
        <v>-1</v>
      </c>
      <c r="AC12" s="37">
        <f t="shared" ref="AC12" si="35">(AC11-X11)/X11</f>
        <v>-1</v>
      </c>
      <c r="AD12" s="37" t="e">
        <f>(AD11-Y11)/Y11</f>
        <v>#DIV/0!</v>
      </c>
      <c r="AE12" s="37" t="e">
        <f t="shared" ref="AE12" si="36">(AE11-Z11)/Z11</f>
        <v>#DIV/0!</v>
      </c>
      <c r="AF12" s="39">
        <f t="shared" ref="AF12" si="37">(AF11-AA11)/AA11</f>
        <v>-1</v>
      </c>
      <c r="AG12" s="37" t="e">
        <f t="shared" ref="AG12" si="38">(AG11-AB11)/AB11</f>
        <v>#DIV/0!</v>
      </c>
      <c r="AH12" s="37" t="e">
        <f t="shared" ref="AH12" si="39">(AH11-AC11)/AC11</f>
        <v>#DIV/0!</v>
      </c>
      <c r="AI12" s="37" t="e">
        <f>(AI11-AD11)/AD11</f>
        <v>#DIV/0!</v>
      </c>
      <c r="AJ12" s="37" t="e">
        <f t="shared" ref="AJ12" si="40">(AJ11-AE11)/AE11</f>
        <v>#DIV/0!</v>
      </c>
      <c r="AK12" s="39" t="e">
        <f t="shared" ref="AK12" si="41">(AK11-AF11)/AF11</f>
        <v>#DIV/0!</v>
      </c>
    </row>
    <row r="14" spans="1:37" x14ac:dyDescent="0.25">
      <c r="A14" s="2" t="s">
        <v>133</v>
      </c>
    </row>
    <row r="16" spans="1:37" x14ac:dyDescent="0.25">
      <c r="B16" s="26" t="s">
        <v>128</v>
      </c>
      <c r="C16" s="34" t="s">
        <v>3</v>
      </c>
      <c r="D16" s="34" t="s">
        <v>4</v>
      </c>
      <c r="E16" s="34" t="s">
        <v>5</v>
      </c>
      <c r="F16" s="34" t="s">
        <v>6</v>
      </c>
      <c r="G16" s="35">
        <v>2022</v>
      </c>
      <c r="H16" s="34" t="s">
        <v>7</v>
      </c>
      <c r="I16" s="34" t="s">
        <v>8</v>
      </c>
      <c r="J16" s="34" t="s">
        <v>9</v>
      </c>
      <c r="K16" s="34" t="s">
        <v>10</v>
      </c>
      <c r="L16" s="35">
        <v>2023</v>
      </c>
      <c r="M16" s="34" t="s">
        <v>11</v>
      </c>
      <c r="N16" s="34" t="s">
        <v>12</v>
      </c>
      <c r="O16" s="34" t="s">
        <v>13</v>
      </c>
      <c r="P16" s="34" t="s">
        <v>14</v>
      </c>
      <c r="Q16" s="35">
        <v>2024</v>
      </c>
      <c r="R16" s="34" t="s">
        <v>90</v>
      </c>
      <c r="S16" s="34" t="s">
        <v>91</v>
      </c>
      <c r="T16" s="34" t="s">
        <v>92</v>
      </c>
      <c r="U16" s="34" t="s">
        <v>93</v>
      </c>
      <c r="V16" s="36">
        <v>2025</v>
      </c>
      <c r="W16" s="34" t="s">
        <v>179</v>
      </c>
      <c r="X16" s="34" t="s">
        <v>180</v>
      </c>
      <c r="Y16" s="34" t="s">
        <v>181</v>
      </c>
      <c r="Z16" s="34" t="s">
        <v>182</v>
      </c>
      <c r="AA16" s="36">
        <v>2026</v>
      </c>
      <c r="AB16" s="72" t="s">
        <v>251</v>
      </c>
      <c r="AC16" s="34" t="s">
        <v>250</v>
      </c>
      <c r="AD16" s="34" t="s">
        <v>249</v>
      </c>
      <c r="AE16" s="73" t="s">
        <v>248</v>
      </c>
      <c r="AF16" s="36">
        <v>2027</v>
      </c>
      <c r="AG16" s="72" t="s">
        <v>252</v>
      </c>
      <c r="AH16" s="34" t="s">
        <v>253</v>
      </c>
      <c r="AI16" s="34" t="s">
        <v>254</v>
      </c>
      <c r="AJ16" s="73" t="s">
        <v>255</v>
      </c>
      <c r="AK16" s="36">
        <v>2028</v>
      </c>
    </row>
    <row r="17" spans="2:37" x14ac:dyDescent="0.25">
      <c r="B17" s="2" t="s">
        <v>134</v>
      </c>
      <c r="G17" s="31"/>
      <c r="L17" s="31"/>
      <c r="Q17" s="31"/>
      <c r="V17" s="31"/>
      <c r="AA17" s="31"/>
      <c r="AF17" s="31"/>
      <c r="AK17" s="31"/>
    </row>
    <row r="18" spans="2:37" s="18" customFormat="1" x14ac:dyDescent="0.25">
      <c r="B18" s="18" t="s">
        <v>19</v>
      </c>
      <c r="C18" s="18">
        <v>122.246</v>
      </c>
      <c r="D18" s="18">
        <v>126.404</v>
      </c>
      <c r="E18" s="18">
        <v>126.242</v>
      </c>
      <c r="F18" s="18">
        <v>108.90600000000001</v>
      </c>
      <c r="G18" s="44">
        <f>SUM(C18:F18)</f>
        <v>483.798</v>
      </c>
      <c r="H18" s="18">
        <v>69.75</v>
      </c>
      <c r="I18" s="18">
        <v>84.358000000000004</v>
      </c>
      <c r="J18" s="18">
        <v>80</v>
      </c>
      <c r="K18" s="18">
        <v>67.411000000000001</v>
      </c>
      <c r="L18" s="44">
        <f>SUM(H18:K18)</f>
        <v>301.51900000000001</v>
      </c>
      <c r="M18" s="18">
        <v>54.198</v>
      </c>
      <c r="N18" s="18">
        <v>83</v>
      </c>
      <c r="O18" s="18">
        <v>108.96</v>
      </c>
      <c r="P18" s="18">
        <v>94.311999999999998</v>
      </c>
      <c r="Q18" s="44">
        <f>SUM(M18:P18)</f>
        <v>340.47</v>
      </c>
      <c r="R18" s="18">
        <v>88.475999999999999</v>
      </c>
      <c r="S18" s="18">
        <v>100</v>
      </c>
      <c r="T18" s="18">
        <v>112</v>
      </c>
      <c r="U18" s="18">
        <v>100</v>
      </c>
      <c r="V18" s="44">
        <f>SUM(R18:U18)</f>
        <v>400.476</v>
      </c>
      <c r="W18" s="18">
        <v>115.142</v>
      </c>
      <c r="X18" s="18">
        <v>125.227</v>
      </c>
      <c r="AA18" s="44">
        <f>SUM(W18:Z18)</f>
        <v>240.369</v>
      </c>
      <c r="AF18" s="44">
        <f>SUM(AB18:AE18)</f>
        <v>0</v>
      </c>
      <c r="AK18" s="44">
        <f>SUM(AG18:AJ18)</f>
        <v>0</v>
      </c>
    </row>
    <row r="19" spans="2:37" x14ac:dyDescent="0.25">
      <c r="B19" s="30" t="s">
        <v>132</v>
      </c>
      <c r="C19" s="30"/>
      <c r="D19" s="30"/>
      <c r="E19" s="30"/>
      <c r="F19" s="30"/>
      <c r="G19" s="32"/>
      <c r="H19" s="37">
        <f t="shared" ref="H19:V19" si="42">(H18-C18)/C18</f>
        <v>-0.42942918377697425</v>
      </c>
      <c r="I19" s="37">
        <f t="shared" si="42"/>
        <v>-0.33263187873801459</v>
      </c>
      <c r="J19" s="37">
        <f t="shared" si="42"/>
        <v>-0.36629647819267758</v>
      </c>
      <c r="K19" s="37">
        <f t="shared" si="42"/>
        <v>-0.38101665656621309</v>
      </c>
      <c r="L19" s="39">
        <f t="shared" si="42"/>
        <v>-0.37676674975919699</v>
      </c>
      <c r="M19" s="37">
        <f t="shared" si="42"/>
        <v>-0.22296774193548385</v>
      </c>
      <c r="N19" s="37">
        <f t="shared" si="42"/>
        <v>-1.6098058275445176E-2</v>
      </c>
      <c r="O19" s="37">
        <f t="shared" si="42"/>
        <v>0.36199999999999993</v>
      </c>
      <c r="P19" s="37">
        <f t="shared" si="42"/>
        <v>0.39905950067496399</v>
      </c>
      <c r="Q19" s="39">
        <f t="shared" si="42"/>
        <v>0.12918257224254531</v>
      </c>
      <c r="R19" s="37">
        <f t="shared" si="42"/>
        <v>0.63245876231595255</v>
      </c>
      <c r="S19" s="37">
        <f>(S18-N18)/N18</f>
        <v>0.20481927710843373</v>
      </c>
      <c r="T19" s="37">
        <f t="shared" si="42"/>
        <v>2.7900146842878181E-2</v>
      </c>
      <c r="U19" s="37">
        <f t="shared" si="42"/>
        <v>6.0310458902366637E-2</v>
      </c>
      <c r="V19" s="39">
        <f t="shared" si="42"/>
        <v>0.17624460304872666</v>
      </c>
      <c r="W19" s="37">
        <f t="shared" ref="W19" si="43">(W18-R18)/R18</f>
        <v>0.30139246801392466</v>
      </c>
      <c r="X19" s="37">
        <f>(X18-S18)/S18</f>
        <v>0.25227000000000005</v>
      </c>
      <c r="Y19" s="37">
        <f t="shared" ref="Y19" si="44">(Y18-T18)/T18</f>
        <v>-1</v>
      </c>
      <c r="Z19" s="37">
        <f t="shared" ref="Z19" si="45">(Z18-U18)/U18</f>
        <v>-1</v>
      </c>
      <c r="AA19" s="39">
        <f t="shared" ref="AA19" si="46">(AA18-V18)/V18</f>
        <v>-0.39979174782009408</v>
      </c>
      <c r="AB19" s="37">
        <f t="shared" ref="AB19" si="47">(AB18-W18)/W18</f>
        <v>-1</v>
      </c>
      <c r="AC19" s="37">
        <f>(AC18-X18)/X18</f>
        <v>-1</v>
      </c>
      <c r="AD19" s="37" t="e">
        <f t="shared" ref="AD19" si="48">(AD18-Y18)/Y18</f>
        <v>#DIV/0!</v>
      </c>
      <c r="AE19" s="37" t="e">
        <f t="shared" ref="AE19" si="49">(AE18-Z18)/Z18</f>
        <v>#DIV/0!</v>
      </c>
      <c r="AF19" s="39">
        <f t="shared" ref="AF19" si="50">(AF18-AA18)/AA18</f>
        <v>-1</v>
      </c>
      <c r="AG19" s="37" t="e">
        <f t="shared" ref="AG19" si="51">(AG18-AB18)/AB18</f>
        <v>#DIV/0!</v>
      </c>
      <c r="AH19" s="37" t="e">
        <f>(AH18-AC18)/AC18</f>
        <v>#DIV/0!</v>
      </c>
      <c r="AI19" s="37" t="e">
        <f t="shared" ref="AI19" si="52">(AI18-AD18)/AD18</f>
        <v>#DIV/0!</v>
      </c>
      <c r="AJ19" s="37" t="e">
        <f t="shared" ref="AJ19" si="53">(AJ18-AE18)/AE18</f>
        <v>#DIV/0!</v>
      </c>
      <c r="AK19" s="39" t="e">
        <f t="shared" ref="AK19" si="54">(AK18-AF18)/AF18</f>
        <v>#DIV/0!</v>
      </c>
    </row>
    <row r="20" spans="2:37" x14ac:dyDescent="0.25">
      <c r="B20" s="2" t="s">
        <v>135</v>
      </c>
      <c r="G20" s="31"/>
      <c r="L20" s="33"/>
      <c r="Q20" s="33"/>
      <c r="V20" s="31"/>
      <c r="AA20" s="31"/>
      <c r="AF20" s="31"/>
      <c r="AK20" s="31"/>
    </row>
    <row r="21" spans="2:37" s="18" customFormat="1" x14ac:dyDescent="0.25">
      <c r="B21" s="18" t="s">
        <v>19</v>
      </c>
      <c r="C21" s="18">
        <f>39.783+14.192</f>
        <v>53.975000000000001</v>
      </c>
      <c r="D21" s="18">
        <f>48.205+16.755</f>
        <v>64.959999999999994</v>
      </c>
      <c r="E21" s="18">
        <f>51.815+14.374</f>
        <v>66.188999999999993</v>
      </c>
      <c r="F21" s="18">
        <f>51.739+22.3</f>
        <v>74.039000000000001</v>
      </c>
      <c r="G21" s="44">
        <f>SUM(C21:F21)</f>
        <v>259.16300000000001</v>
      </c>
      <c r="H21" s="18">
        <f>45.362+23.56</f>
        <v>68.921999999999997</v>
      </c>
      <c r="I21" s="18">
        <f>29.873+34.522</f>
        <v>64.394999999999996</v>
      </c>
      <c r="J21" s="18">
        <f>23.709+26.491</f>
        <v>50.2</v>
      </c>
      <c r="K21" s="18">
        <f>18.26+18.752</f>
        <v>37.012</v>
      </c>
      <c r="L21" s="44">
        <f>SUM(H21:K21)</f>
        <v>220.529</v>
      </c>
      <c r="M21" s="18">
        <v>17.273</v>
      </c>
      <c r="N21" s="18">
        <f>26.565+14.899</f>
        <v>41.463999999999999</v>
      </c>
      <c r="O21" s="18">
        <v>44</v>
      </c>
      <c r="P21" s="18">
        <v>48</v>
      </c>
      <c r="Q21" s="44">
        <f>SUM(M21:P21)</f>
        <v>150.73699999999999</v>
      </c>
      <c r="R21" s="18">
        <v>60.362000000000002</v>
      </c>
      <c r="S21" s="18">
        <v>59</v>
      </c>
      <c r="T21" s="18">
        <v>62</v>
      </c>
      <c r="U21" s="18">
        <v>63</v>
      </c>
      <c r="V21" s="44">
        <f>SUM(R21:U21)</f>
        <v>244.36199999999999</v>
      </c>
      <c r="W21" s="18">
        <v>72.17</v>
      </c>
      <c r="X21" s="18">
        <v>86.052000000000007</v>
      </c>
      <c r="AA21" s="44">
        <f>SUM(W21:Z21)</f>
        <v>158.22200000000001</v>
      </c>
      <c r="AF21" s="44">
        <f>SUM(AB21:AE21)</f>
        <v>0</v>
      </c>
      <c r="AK21" s="44">
        <f>SUM(AG21:AJ21)</f>
        <v>0</v>
      </c>
    </row>
    <row r="22" spans="2:37" x14ac:dyDescent="0.25">
      <c r="B22" s="30" t="s">
        <v>132</v>
      </c>
      <c r="C22" s="30"/>
      <c r="D22" s="30"/>
      <c r="E22" s="30"/>
      <c r="F22" s="30"/>
      <c r="G22" s="32"/>
      <c r="H22" s="37">
        <f t="shared" ref="H22:V22" si="55">(H21-C21)/C21</f>
        <v>0.2769245020842982</v>
      </c>
      <c r="I22" s="37">
        <f t="shared" si="55"/>
        <v>-8.6976600985221326E-3</v>
      </c>
      <c r="J22" s="37">
        <f t="shared" si="55"/>
        <v>-0.241565819093807</v>
      </c>
      <c r="K22" s="37">
        <f t="shared" si="55"/>
        <v>-0.50010129796458624</v>
      </c>
      <c r="L22" s="39">
        <f t="shared" si="55"/>
        <v>-0.149072205523165</v>
      </c>
      <c r="M22" s="37">
        <f t="shared" si="55"/>
        <v>-0.74938336090072843</v>
      </c>
      <c r="N22" s="37">
        <f t="shared" si="55"/>
        <v>-0.35609907601521856</v>
      </c>
      <c r="O22" s="37">
        <f t="shared" si="55"/>
        <v>-0.12350597609561757</v>
      </c>
      <c r="P22" s="37">
        <f t="shared" si="55"/>
        <v>0.29687668864152167</v>
      </c>
      <c r="Q22" s="39">
        <f t="shared" si="55"/>
        <v>-0.31647538418983445</v>
      </c>
      <c r="R22" s="37">
        <f t="shared" si="55"/>
        <v>2.4945869275748276</v>
      </c>
      <c r="S22" s="37">
        <f t="shared" si="55"/>
        <v>0.42292108817287288</v>
      </c>
      <c r="T22" s="37">
        <f t="shared" si="55"/>
        <v>0.40909090909090912</v>
      </c>
      <c r="U22" s="37">
        <f t="shared" si="55"/>
        <v>0.3125</v>
      </c>
      <c r="V22" s="39">
        <f t="shared" si="55"/>
        <v>0.62111492201649232</v>
      </c>
      <c r="W22" s="37">
        <f t="shared" ref="W22" si="56">(W21-R21)/R21</f>
        <v>0.19561976077664756</v>
      </c>
      <c r="X22" s="37">
        <f t="shared" ref="X22" si="57">(X21-S21)/S21</f>
        <v>0.45850847457627131</v>
      </c>
      <c r="Y22" s="37">
        <f t="shared" ref="Y22" si="58">(Y21-T21)/T21</f>
        <v>-1</v>
      </c>
      <c r="Z22" s="37">
        <f t="shared" ref="Z22" si="59">(Z21-U21)/U21</f>
        <v>-1</v>
      </c>
      <c r="AA22" s="39">
        <f t="shared" ref="AA22" si="60">(AA21-V21)/V21</f>
        <v>-0.35250980103289375</v>
      </c>
      <c r="AB22" s="37">
        <f t="shared" ref="AB22" si="61">(AB21-W21)/W21</f>
        <v>-1</v>
      </c>
      <c r="AC22" s="37">
        <f t="shared" ref="AC22" si="62">(AC21-X21)/X21</f>
        <v>-1</v>
      </c>
      <c r="AD22" s="37" t="e">
        <f t="shared" ref="AD22" si="63">(AD21-Y21)/Y21</f>
        <v>#DIV/0!</v>
      </c>
      <c r="AE22" s="37" t="e">
        <f t="shared" ref="AE22" si="64">(AE21-Z21)/Z21</f>
        <v>#DIV/0!</v>
      </c>
      <c r="AF22" s="39">
        <f t="shared" ref="AF22" si="65">(AF21-AA21)/AA21</f>
        <v>-1</v>
      </c>
      <c r="AG22" s="37" t="e">
        <f t="shared" ref="AG22" si="66">(AG21-AB21)/AB21</f>
        <v>#DIV/0!</v>
      </c>
      <c r="AH22" s="37" t="e">
        <f t="shared" ref="AH22" si="67">(AH21-AC21)/AC21</f>
        <v>#DIV/0!</v>
      </c>
      <c r="AI22" s="37" t="e">
        <f t="shared" ref="AI22" si="68">(AI21-AD21)/AD21</f>
        <v>#DIV/0!</v>
      </c>
      <c r="AJ22" s="37" t="e">
        <f t="shared" ref="AJ22" si="69">(AJ21-AE21)/AE21</f>
        <v>#DIV/0!</v>
      </c>
      <c r="AK22" s="39" t="e">
        <f t="shared" ref="AK22" si="70">(AK21-AF21)/AF21</f>
        <v>#DIV/0!</v>
      </c>
    </row>
    <row r="23" spans="2:37" x14ac:dyDescent="0.25">
      <c r="B23" s="2" t="s">
        <v>104</v>
      </c>
      <c r="G23" s="31"/>
      <c r="L23" s="33"/>
      <c r="Q23" s="33"/>
      <c r="V23" s="31"/>
      <c r="AA23" s="31"/>
      <c r="AF23" s="31"/>
      <c r="AK23" s="31"/>
    </row>
    <row r="24" spans="2:37" s="18" customFormat="1" x14ac:dyDescent="0.25">
      <c r="B24" s="18" t="s">
        <v>19</v>
      </c>
      <c r="C24" s="18">
        <v>5.8</v>
      </c>
      <c r="D24" s="18">
        <v>7.7</v>
      </c>
      <c r="E24" s="18">
        <v>8.9</v>
      </c>
      <c r="F24" s="18">
        <v>6.5</v>
      </c>
      <c r="G24" s="44">
        <f>SUM(C24:F24)</f>
        <v>28.9</v>
      </c>
      <c r="H24" s="18">
        <v>5.6</v>
      </c>
      <c r="I24" s="18">
        <v>3.7</v>
      </c>
      <c r="J24" s="18">
        <v>3.3</v>
      </c>
      <c r="K24" s="18">
        <v>2.4</v>
      </c>
      <c r="L24" s="44">
        <f>SUM(H24:K24)</f>
        <v>15.000000000000002</v>
      </c>
      <c r="M24" s="18">
        <v>2</v>
      </c>
      <c r="N24" s="18">
        <v>2.891</v>
      </c>
      <c r="O24" s="18">
        <v>3</v>
      </c>
      <c r="P24" s="18">
        <v>4.4000000000000004</v>
      </c>
      <c r="Q24" s="44">
        <f>SUM(M24:P24)</f>
        <v>12.291</v>
      </c>
      <c r="R24" s="18">
        <v>5.6509999999999998</v>
      </c>
      <c r="S24" s="18">
        <v>4</v>
      </c>
      <c r="T24" s="18">
        <v>5</v>
      </c>
      <c r="U24" s="18">
        <v>6</v>
      </c>
      <c r="V24" s="44">
        <f>SUM(R24:U24)</f>
        <v>20.651</v>
      </c>
      <c r="W24" s="18">
        <v>4.9779999999999998</v>
      </c>
      <c r="X24" s="18">
        <v>7.22</v>
      </c>
      <c r="AA24" s="44">
        <f>SUM(W24:Z24)</f>
        <v>12.198</v>
      </c>
      <c r="AF24" s="44">
        <f>SUM(AB24:AE24)</f>
        <v>0</v>
      </c>
      <c r="AK24" s="44">
        <f>SUM(AG24:AJ24)</f>
        <v>0</v>
      </c>
    </row>
    <row r="25" spans="2:37" x14ac:dyDescent="0.25">
      <c r="B25" s="30" t="s">
        <v>132</v>
      </c>
      <c r="C25" s="30"/>
      <c r="D25" s="30"/>
      <c r="E25" s="30"/>
      <c r="F25" s="30"/>
      <c r="G25" s="32"/>
      <c r="H25" s="37">
        <f t="shared" ref="H25:V25" si="71">(H24-C24)/C24</f>
        <v>-3.4482758620689689E-2</v>
      </c>
      <c r="I25" s="37">
        <f t="shared" si="71"/>
        <v>-0.51948051948051943</v>
      </c>
      <c r="J25" s="37">
        <f t="shared" si="71"/>
        <v>-0.6292134831460674</v>
      </c>
      <c r="K25" s="37">
        <f t="shared" si="71"/>
        <v>-0.63076923076923075</v>
      </c>
      <c r="L25" s="39">
        <f t="shared" si="71"/>
        <v>-0.48096885813148782</v>
      </c>
      <c r="M25" s="37">
        <f t="shared" si="71"/>
        <v>-0.64285714285714279</v>
      </c>
      <c r="N25" s="37">
        <f t="shared" si="71"/>
        <v>-0.21864864864864869</v>
      </c>
      <c r="O25" s="37">
        <f t="shared" si="71"/>
        <v>-9.0909090909090856E-2</v>
      </c>
      <c r="P25" s="37">
        <f t="shared" si="71"/>
        <v>0.83333333333333359</v>
      </c>
      <c r="Q25" s="39">
        <f t="shared" si="71"/>
        <v>-0.18060000000000007</v>
      </c>
      <c r="R25" s="37">
        <f t="shared" si="71"/>
        <v>1.8254999999999999</v>
      </c>
      <c r="S25" s="37">
        <f t="shared" si="71"/>
        <v>0.38360428917329642</v>
      </c>
      <c r="T25" s="37">
        <f t="shared" si="71"/>
        <v>0.66666666666666663</v>
      </c>
      <c r="U25" s="37">
        <f t="shared" si="71"/>
        <v>0.36363636363636354</v>
      </c>
      <c r="V25" s="39">
        <f t="shared" si="71"/>
        <v>0.68017248393133178</v>
      </c>
      <c r="W25" s="37">
        <f t="shared" ref="W25" si="72">(W24-R24)/R24</f>
        <v>-0.11909396566979297</v>
      </c>
      <c r="X25" s="37">
        <f t="shared" ref="X25" si="73">(X24-S24)/S24</f>
        <v>0.80499999999999994</v>
      </c>
      <c r="Y25" s="37">
        <f t="shared" ref="Y25" si="74">(Y24-T24)/T24</f>
        <v>-1</v>
      </c>
      <c r="Z25" s="37">
        <f t="shared" ref="Z25" si="75">(Z24-U24)/U24</f>
        <v>-1</v>
      </c>
      <c r="AA25" s="39">
        <f t="shared" ref="AA25" si="76">(AA24-V24)/V24</f>
        <v>-0.40932642487046628</v>
      </c>
      <c r="AB25" s="37">
        <f t="shared" ref="AB25" si="77">(AB24-W24)/W24</f>
        <v>-1</v>
      </c>
      <c r="AC25" s="37">
        <f t="shared" ref="AC25" si="78">(AC24-X24)/X24</f>
        <v>-1</v>
      </c>
      <c r="AD25" s="37" t="e">
        <f t="shared" ref="AD25" si="79">(AD24-Y24)/Y24</f>
        <v>#DIV/0!</v>
      </c>
      <c r="AE25" s="37" t="e">
        <f t="shared" ref="AE25" si="80">(AE24-Z24)/Z24</f>
        <v>#DIV/0!</v>
      </c>
      <c r="AF25" s="39">
        <f t="shared" ref="AF25" si="81">(AF24-AA24)/AA24</f>
        <v>-1</v>
      </c>
      <c r="AG25" s="37" t="e">
        <f t="shared" ref="AG25" si="82">(AG24-AB24)/AB24</f>
        <v>#DIV/0!</v>
      </c>
      <c r="AH25" s="37" t="e">
        <f t="shared" ref="AH25" si="83">(AH24-AC24)/AC24</f>
        <v>#DIV/0!</v>
      </c>
      <c r="AI25" s="37" t="e">
        <f t="shared" ref="AI25" si="84">(AI24-AD24)/AD24</f>
        <v>#DIV/0!</v>
      </c>
      <c r="AJ25" s="37" t="e">
        <f t="shared" ref="AJ25" si="85">(AJ24-AE24)/AE24</f>
        <v>#DIV/0!</v>
      </c>
      <c r="AK25" s="39" t="e">
        <f t="shared" ref="AK25" si="86">(AK24-AF24)/AF24</f>
        <v>#DIV/0!</v>
      </c>
    </row>
    <row r="26" spans="2:37" x14ac:dyDescent="0.25">
      <c r="M26" s="14"/>
      <c r="N26" s="14"/>
      <c r="O26" s="14"/>
      <c r="P26" s="14"/>
    </row>
    <row r="32" spans="2:37" x14ac:dyDescent="0.25">
      <c r="S32" s="71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38B5C-D6C9-8042-8480-0C7CB85DFC69}">
  <dimension ref="C5:F9"/>
  <sheetViews>
    <sheetView showGridLines="0" tabSelected="1" workbookViewId="0">
      <selection activeCell="D13" sqref="D13"/>
    </sheetView>
  </sheetViews>
  <sheetFormatPr baseColWidth="10" defaultRowHeight="16" x14ac:dyDescent="0.2"/>
  <cols>
    <col min="3" max="3" width="59.5" bestFit="1" customWidth="1"/>
    <col min="4" max="4" width="31" bestFit="1" customWidth="1"/>
    <col min="5" max="6" width="28" bestFit="1" customWidth="1"/>
    <col min="7" max="7" width="14.1640625" bestFit="1" customWidth="1"/>
  </cols>
  <sheetData>
    <row r="5" spans="3:6" ht="92" x14ac:dyDescent="1">
      <c r="C5" s="25"/>
      <c r="D5" s="25">
        <v>2026</v>
      </c>
      <c r="E5" s="25">
        <v>2027</v>
      </c>
      <c r="F5" s="25">
        <v>2028</v>
      </c>
    </row>
    <row r="6" spans="3:6" ht="92" x14ac:dyDescent="1">
      <c r="C6" s="25" t="s">
        <v>185</v>
      </c>
      <c r="D6" s="46">
        <f>Modell!$B$9/(Modell!AG4*Modell!$B$11)</f>
        <v>3.1140804106073565</v>
      </c>
      <c r="E6" s="46">
        <f>Modell!$B$9/(Modell!AH4*Modell!$B$11)</f>
        <v>2.5950670088394645</v>
      </c>
      <c r="F6" s="46">
        <f>Modell!$B$9/(Modell!AI4*Modell!$B$11)</f>
        <v>2.1625558406995533</v>
      </c>
    </row>
    <row r="7" spans="3:6" ht="92" x14ac:dyDescent="1">
      <c r="C7" s="25" t="s">
        <v>120</v>
      </c>
      <c r="D7" s="46">
        <f>Modell!$B$9/(Modell!$B$11*Modell!AF9)</f>
        <v>29.509254505660781</v>
      </c>
      <c r="E7" s="46">
        <f>Modell!$B$9/(Modell!$B$11*Modell!AG9)</f>
        <v>20.638435625220392</v>
      </c>
      <c r="F7" s="46">
        <f>Modell!$B$9/(Modell!$B$11*Modell!AH9)</f>
        <v>15.005666923279415</v>
      </c>
    </row>
    <row r="8" spans="3:6" ht="92" x14ac:dyDescent="1">
      <c r="C8" s="25" t="s">
        <v>89</v>
      </c>
      <c r="D8" s="46">
        <f>Modell!$B$9/(Modell!$B$11*Modell!AF11)</f>
        <v>47.464383502107857</v>
      </c>
      <c r="E8" s="46">
        <f>Modell!$B$9/(Modell!$B$11*Modell!AG11)</f>
        <v>28.063054428204996</v>
      </c>
      <c r="F8" s="46">
        <f>Modell!$B$9/(Modell!$B$11*Modell!AH11)</f>
        <v>18.579678391780675</v>
      </c>
    </row>
    <row r="9" spans="3:6" ht="92" x14ac:dyDescent="1">
      <c r="C9" s="25" t="s">
        <v>88</v>
      </c>
      <c r="D9" s="46">
        <f>Modell!$B$4/Modell!AF18</f>
        <v>70.368513228698362</v>
      </c>
      <c r="E9" s="46">
        <f>Modell!$B$4/Modell!AG18</f>
        <v>41.604994546724228</v>
      </c>
      <c r="F9" s="46">
        <f>Modell!$B$4/Modell!AH18</f>
        <v>27.545377148718629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50767-E284-8E49-8407-62BFEEBEEC04}">
  <dimension ref="A3:AI43"/>
  <sheetViews>
    <sheetView showGridLines="0" workbookViewId="0">
      <pane xSplit="2" ySplit="3" topLeftCell="R4" activePane="bottomRight" state="frozen"/>
      <selection pane="topRight" activeCell="C1" sqref="C1"/>
      <selection pane="bottomLeft" activeCell="A4" sqref="A4"/>
      <selection pane="bottomRight" activeCell="W24" sqref="W24"/>
    </sheetView>
  </sheetViews>
  <sheetFormatPr baseColWidth="10" defaultRowHeight="19" x14ac:dyDescent="0.25"/>
  <cols>
    <col min="1" max="1" width="10.83203125" style="1"/>
    <col min="2" max="2" width="21.1640625" style="1" customWidth="1"/>
    <col min="3" max="16384" width="10.83203125" style="1"/>
  </cols>
  <sheetData>
    <row r="3" spans="1:35" x14ac:dyDescent="0.25">
      <c r="B3" s="1" t="s">
        <v>266</v>
      </c>
      <c r="C3" s="21" t="s">
        <v>3</v>
      </c>
      <c r="D3" s="21" t="s">
        <v>4</v>
      </c>
      <c r="E3" s="21" t="s">
        <v>5</v>
      </c>
      <c r="F3" s="21" t="s">
        <v>6</v>
      </c>
      <c r="G3" s="21" t="s">
        <v>7</v>
      </c>
      <c r="H3" s="21" t="s">
        <v>8</v>
      </c>
      <c r="I3" s="21" t="s">
        <v>9</v>
      </c>
      <c r="J3" s="21" t="s">
        <v>10</v>
      </c>
      <c r="K3" s="21" t="s">
        <v>11</v>
      </c>
      <c r="L3" s="21" t="s">
        <v>12</v>
      </c>
      <c r="M3" s="21" t="s">
        <v>13</v>
      </c>
      <c r="N3" s="21" t="s">
        <v>14</v>
      </c>
      <c r="O3" s="21" t="s">
        <v>90</v>
      </c>
      <c r="P3" s="21" t="s">
        <v>91</v>
      </c>
      <c r="Q3" s="21" t="s">
        <v>92</v>
      </c>
      <c r="R3" s="21" t="s">
        <v>93</v>
      </c>
      <c r="S3" s="21" t="s">
        <v>179</v>
      </c>
      <c r="T3" s="21" t="s">
        <v>180</v>
      </c>
      <c r="U3" s="21" t="s">
        <v>181</v>
      </c>
      <c r="V3" s="21" t="s">
        <v>182</v>
      </c>
      <c r="Y3" s="21" t="s">
        <v>276</v>
      </c>
      <c r="Z3" s="21" t="s">
        <v>277</v>
      </c>
      <c r="AA3" s="21" t="s">
        <v>278</v>
      </c>
      <c r="AB3" s="21" t="s">
        <v>115</v>
      </c>
      <c r="AC3" s="21" t="s">
        <v>116</v>
      </c>
      <c r="AD3" s="21" t="s">
        <v>117</v>
      </c>
      <c r="AE3" s="21" t="s">
        <v>74</v>
      </c>
      <c r="AF3" s="21" t="s">
        <v>75</v>
      </c>
      <c r="AG3" s="21" t="s">
        <v>76</v>
      </c>
      <c r="AH3" s="21" t="s">
        <v>77</v>
      </c>
      <c r="AI3" s="21" t="s">
        <v>78</v>
      </c>
    </row>
    <row r="4" spans="1:35" x14ac:dyDescent="0.25">
      <c r="B4" s="2" t="s">
        <v>264</v>
      </c>
    </row>
    <row r="5" spans="1:35" s="16" customFormat="1" x14ac:dyDescent="0.25">
      <c r="A5" s="2"/>
      <c r="B5" s="16" t="s">
        <v>19</v>
      </c>
      <c r="C5" s="16">
        <v>1229.9939999999999</v>
      </c>
      <c r="D5" s="16">
        <v>1159.865</v>
      </c>
      <c r="E5" s="16">
        <v>1148.951</v>
      </c>
      <c r="F5" s="16">
        <v>1269.925</v>
      </c>
      <c r="G5" s="16">
        <v>960.07</v>
      </c>
      <c r="H5" s="16">
        <v>974.49900000000002</v>
      </c>
      <c r="I5" s="16">
        <v>1057.008</v>
      </c>
      <c r="J5" s="16">
        <v>1255.473</v>
      </c>
      <c r="K5" s="16">
        <v>1011.487</v>
      </c>
      <c r="L5" s="16">
        <v>1088.2170000000001</v>
      </c>
      <c r="M5" s="16">
        <v>1116</v>
      </c>
      <c r="N5" s="16">
        <v>1340.2940000000001</v>
      </c>
      <c r="O5" s="16">
        <v>1010.355</v>
      </c>
      <c r="P5" s="16">
        <v>1147.703</v>
      </c>
      <c r="Q5" s="16">
        <v>1186.056</v>
      </c>
      <c r="R5" s="16">
        <v>1421.479</v>
      </c>
      <c r="S5" s="16">
        <v>1085.5229999999999</v>
      </c>
      <c r="T5" s="16">
        <v>1227.2339999999999</v>
      </c>
      <c r="Y5" s="16">
        <v>2221.4270000000001</v>
      </c>
      <c r="Z5" s="16">
        <v>2566.8629999999998</v>
      </c>
      <c r="AA5" s="16">
        <v>2788.3220000000001</v>
      </c>
      <c r="AB5" s="16">
        <v>2975.8510000000001</v>
      </c>
      <c r="AC5" s="16">
        <v>5252.2790000000005</v>
      </c>
      <c r="AD5" s="16">
        <v>5481.1009999999997</v>
      </c>
      <c r="AE5" s="16">
        <v>4538.8180000000002</v>
      </c>
      <c r="AF5" s="16">
        <v>4298.4669999999996</v>
      </c>
      <c r="AG5" s="16">
        <v>4554.8999999999996</v>
      </c>
      <c r="AH5" s="16">
        <v>4840.7610000000004</v>
      </c>
    </row>
    <row r="6" spans="1:35" s="18" customFormat="1" x14ac:dyDescent="0.25">
      <c r="A6" s="1"/>
      <c r="B6" s="18" t="s">
        <v>21</v>
      </c>
      <c r="C6" s="18">
        <v>493.90699999999998</v>
      </c>
      <c r="D6" s="18">
        <v>459.60300000000001</v>
      </c>
      <c r="E6" s="18">
        <v>438.78</v>
      </c>
      <c r="F6" s="18">
        <v>477.26799999999997</v>
      </c>
      <c r="G6" s="18">
        <v>343.86399999999998</v>
      </c>
      <c r="H6" s="18">
        <v>375.642</v>
      </c>
      <c r="I6" s="18">
        <v>438.62200000000001</v>
      </c>
      <c r="J6" s="18">
        <v>526.78</v>
      </c>
      <c r="K6" s="18">
        <v>436.97699999999998</v>
      </c>
      <c r="L6" s="18">
        <v>466.25799999999998</v>
      </c>
      <c r="M6" s="18">
        <v>486.09100000000001</v>
      </c>
      <c r="N6" s="18">
        <v>574.44100000000003</v>
      </c>
      <c r="O6" s="18">
        <v>435.81099999999998</v>
      </c>
      <c r="P6" s="18">
        <v>478.96199999999999</v>
      </c>
      <c r="Q6" s="18">
        <v>514.45600000000002</v>
      </c>
      <c r="R6" s="18">
        <v>614.63900000000001</v>
      </c>
      <c r="S6" s="18">
        <v>483.28</v>
      </c>
      <c r="T6" s="18">
        <v>607.94000000000005</v>
      </c>
      <c r="Y6" s="18">
        <v>820.04100000000005</v>
      </c>
      <c r="Z6" s="18">
        <v>909.24099999999999</v>
      </c>
      <c r="AA6" s="18">
        <v>1037.011</v>
      </c>
      <c r="AB6" s="18">
        <v>1122.3810000000001</v>
      </c>
      <c r="AC6" s="18">
        <v>2335.7350000000001</v>
      </c>
      <c r="AD6" s="18">
        <v>2263.0059999999999</v>
      </c>
      <c r="AE6" s="18">
        <v>1719.5150000000001</v>
      </c>
      <c r="AF6" s="18">
        <v>1778.021</v>
      </c>
      <c r="AG6" s="18">
        <v>1962.6010000000001</v>
      </c>
      <c r="AH6" s="18">
        <v>2091.337</v>
      </c>
    </row>
    <row r="7" spans="1:35" s="18" customFormat="1" x14ac:dyDescent="0.25">
      <c r="A7" s="1"/>
      <c r="B7" s="18" t="s">
        <v>267</v>
      </c>
      <c r="C7" s="18">
        <v>128.76900000000001</v>
      </c>
      <c r="D7" s="18">
        <v>115.479</v>
      </c>
      <c r="E7" s="18">
        <v>127.401</v>
      </c>
      <c r="F7" s="18">
        <v>176.745</v>
      </c>
      <c r="G7" s="18">
        <v>38.844000000000001</v>
      </c>
      <c r="H7" s="18">
        <v>78.405000000000001</v>
      </c>
      <c r="I7" s="18">
        <v>156.63900000000001</v>
      </c>
      <c r="J7" s="18">
        <v>222.07499999999999</v>
      </c>
      <c r="K7" s="18">
        <v>130.21700000000001</v>
      </c>
      <c r="L7" s="18">
        <v>153.499</v>
      </c>
      <c r="M7" s="18">
        <v>160.89599999999999</v>
      </c>
      <c r="N7" s="18">
        <v>234.55600000000001</v>
      </c>
      <c r="O7" s="18">
        <v>105.904</v>
      </c>
      <c r="P7" s="18">
        <v>162.09399999999999</v>
      </c>
      <c r="Q7" s="18">
        <v>191.291</v>
      </c>
      <c r="R7" s="18">
        <v>286.01400000000001</v>
      </c>
      <c r="S7" s="18">
        <v>135.79499999999999</v>
      </c>
      <c r="T7" s="18">
        <v>258.55099999999999</v>
      </c>
      <c r="Y7" s="18">
        <v>211.86</v>
      </c>
      <c r="Z7" s="18">
        <v>229.733</v>
      </c>
      <c r="AA7" s="18">
        <v>263.19400000000002</v>
      </c>
      <c r="AB7" s="18">
        <v>276.495</v>
      </c>
      <c r="AC7" s="18">
        <v>1148.125</v>
      </c>
      <c r="AD7" s="18">
        <v>774.01199999999994</v>
      </c>
      <c r="AE7" s="18">
        <v>458.46899999999999</v>
      </c>
      <c r="AF7" s="18">
        <v>587.33600000000001</v>
      </c>
      <c r="AG7" s="18">
        <v>654.85500000000002</v>
      </c>
      <c r="AH7" s="18">
        <v>775.19399999999996</v>
      </c>
    </row>
    <row r="8" spans="1:35" s="10" customFormat="1" x14ac:dyDescent="0.25">
      <c r="B8" s="10" t="s">
        <v>268</v>
      </c>
      <c r="C8" s="10">
        <v>0.65</v>
      </c>
      <c r="D8" s="10">
        <v>0.61</v>
      </c>
      <c r="E8" s="10">
        <v>0.5</v>
      </c>
      <c r="F8" s="10">
        <v>0.87</v>
      </c>
      <c r="G8" s="10">
        <v>0.26</v>
      </c>
      <c r="H8" s="10">
        <v>0.39</v>
      </c>
      <c r="I8" s="10">
        <v>0.87</v>
      </c>
      <c r="J8" s="10">
        <v>1.57</v>
      </c>
      <c r="K8" s="10">
        <v>1.0900000000000001</v>
      </c>
      <c r="L8" s="10">
        <v>0.93</v>
      </c>
      <c r="M8" s="10">
        <v>0.95</v>
      </c>
      <c r="N8" s="10">
        <v>1.33</v>
      </c>
      <c r="O8" s="10">
        <v>0.97</v>
      </c>
      <c r="P8" s="10">
        <v>0.99</v>
      </c>
      <c r="Q8" s="10">
        <v>1.1599999999999999</v>
      </c>
      <c r="R8" s="10">
        <v>1.71</v>
      </c>
      <c r="S8" s="10">
        <v>0.99</v>
      </c>
      <c r="T8" s="10">
        <v>1.64</v>
      </c>
      <c r="Y8" s="10">
        <v>1.27</v>
      </c>
      <c r="Z8" s="10">
        <v>1.27</v>
      </c>
      <c r="AA8" s="10">
        <v>1.56</v>
      </c>
      <c r="AB8" s="10">
        <v>2.7</v>
      </c>
      <c r="AC8" s="10">
        <v>5.62</v>
      </c>
      <c r="AD8" s="10">
        <v>3.85</v>
      </c>
      <c r="AE8" s="10">
        <v>2.25</v>
      </c>
      <c r="AF8" s="10">
        <v>3.9</v>
      </c>
      <c r="AG8" s="10">
        <v>4.17</v>
      </c>
      <c r="AH8" s="10">
        <v>4.8499999999999996</v>
      </c>
    </row>
    <row r="10" spans="1:35" x14ac:dyDescent="0.25">
      <c r="B10" s="2" t="s">
        <v>36</v>
      </c>
      <c r="C10" s="75"/>
      <c r="D10" s="75"/>
      <c r="E10" s="75"/>
      <c r="F10" s="75"/>
      <c r="G10" s="75">
        <f>(G5-C5)/C5</f>
        <v>-0.21945147699907469</v>
      </c>
      <c r="H10" s="75">
        <f t="shared" ref="H10:S10" si="0">(H5-D5)/D5</f>
        <v>-0.15981687523979082</v>
      </c>
      <c r="I10" s="75">
        <f t="shared" si="0"/>
        <v>-8.0023430067948917E-2</v>
      </c>
      <c r="J10" s="75">
        <f t="shared" si="0"/>
        <v>-1.1380199618087681E-2</v>
      </c>
      <c r="K10" s="75">
        <f t="shared" si="0"/>
        <v>5.3555469913652037E-2</v>
      </c>
      <c r="L10" s="75">
        <f t="shared" si="0"/>
        <v>0.11669380881868537</v>
      </c>
      <c r="M10" s="75">
        <f t="shared" si="0"/>
        <v>5.5810362835475191E-2</v>
      </c>
      <c r="N10" s="75">
        <f t="shared" si="0"/>
        <v>6.7560990957193146E-2</v>
      </c>
      <c r="O10" s="75">
        <f t="shared" si="0"/>
        <v>-1.1191443884102793E-3</v>
      </c>
      <c r="P10" s="75">
        <f t="shared" si="0"/>
        <v>5.4663729752429772E-2</v>
      </c>
      <c r="Q10" s="75">
        <f t="shared" si="0"/>
        <v>6.2774193548387133E-2</v>
      </c>
      <c r="R10" s="75">
        <f t="shared" si="0"/>
        <v>6.057253110138517E-2</v>
      </c>
      <c r="S10" s="75">
        <f t="shared" si="0"/>
        <v>7.4397612720281378E-2</v>
      </c>
      <c r="T10" s="75">
        <f>(T5-P5)/P5</f>
        <v>6.9295802136963958E-2</v>
      </c>
      <c r="Y10" s="75"/>
      <c r="Z10" s="75">
        <f t="shared" ref="Z10:AG10" si="1">(Z5-Y5)/Y5</f>
        <v>0.1555018463357111</v>
      </c>
      <c r="AA10" s="75">
        <f t="shared" si="1"/>
        <v>8.6276127709192227E-2</v>
      </c>
      <c r="AB10" s="75">
        <f t="shared" si="1"/>
        <v>6.7255144850558862E-2</v>
      </c>
      <c r="AC10" s="75">
        <f t="shared" si="1"/>
        <v>0.76496706320309726</v>
      </c>
      <c r="AD10" s="75">
        <f t="shared" si="1"/>
        <v>4.3566230963739586E-2</v>
      </c>
      <c r="AE10" s="75">
        <f t="shared" si="1"/>
        <v>-0.17191491271552914</v>
      </c>
      <c r="AF10" s="75">
        <f t="shared" si="1"/>
        <v>-5.2954535740362484E-2</v>
      </c>
      <c r="AG10" s="75">
        <f t="shared" si="1"/>
        <v>5.9656849755971145E-2</v>
      </c>
      <c r="AH10" s="75">
        <f t="shared" ref="AH10" si="2">(AH5-AG5)/AG5</f>
        <v>6.2759006783903226E-2</v>
      </c>
    </row>
    <row r="11" spans="1:35" x14ac:dyDescent="0.25">
      <c r="B11" s="1" t="s">
        <v>243</v>
      </c>
      <c r="C11" s="11">
        <f t="shared" ref="C11:R11" si="3">C6/C5</f>
        <v>0.4015523652960909</v>
      </c>
      <c r="D11" s="11">
        <f t="shared" si="3"/>
        <v>0.39625559871191907</v>
      </c>
      <c r="E11" s="11">
        <f t="shared" si="3"/>
        <v>0.38189618182150498</v>
      </c>
      <c r="F11" s="11">
        <f t="shared" si="3"/>
        <v>0.37582376912022364</v>
      </c>
      <c r="G11" s="11">
        <f t="shared" si="3"/>
        <v>0.35816555042861453</v>
      </c>
      <c r="H11" s="11">
        <f t="shared" si="3"/>
        <v>0.38547191941705428</v>
      </c>
      <c r="I11" s="11">
        <f t="shared" si="3"/>
        <v>0.4149656388598762</v>
      </c>
      <c r="J11" s="11">
        <f t="shared" si="3"/>
        <v>0.41958688080110046</v>
      </c>
      <c r="K11" s="11">
        <f t="shared" si="3"/>
        <v>0.43201445001270405</v>
      </c>
      <c r="L11" s="11">
        <f t="shared" si="3"/>
        <v>0.42846050006570374</v>
      </c>
      <c r="M11" s="11">
        <f t="shared" si="3"/>
        <v>0.43556541218637995</v>
      </c>
      <c r="N11" s="11">
        <f t="shared" si="3"/>
        <v>0.42859327878808678</v>
      </c>
      <c r="O11" s="11">
        <f t="shared" ref="O11:P11" si="4">O6/O5</f>
        <v>0.43134442844346788</v>
      </c>
      <c r="P11" s="11">
        <f t="shared" si="4"/>
        <v>0.41732225148840774</v>
      </c>
      <c r="Q11" s="11">
        <f t="shared" si="3"/>
        <v>0.43375354957944651</v>
      </c>
      <c r="R11" s="11">
        <f t="shared" si="3"/>
        <v>0.43239400652419063</v>
      </c>
      <c r="S11" s="11">
        <f>S6/S5</f>
        <v>0.44520475383755115</v>
      </c>
      <c r="T11" s="11">
        <f>T6/T5</f>
        <v>0.49537415032503995</v>
      </c>
      <c r="Y11" s="11">
        <f t="shared" ref="Y11:AG11" si="5">Y6/Y5</f>
        <v>0.36915055052450518</v>
      </c>
      <c r="Z11" s="11">
        <f t="shared" si="5"/>
        <v>0.35422264452758095</v>
      </c>
      <c r="AA11" s="11">
        <f t="shared" si="5"/>
        <v>0.37191221100002075</v>
      </c>
      <c r="AB11" s="11">
        <f t="shared" si="5"/>
        <v>0.37716303672462098</v>
      </c>
      <c r="AC11" s="11">
        <f t="shared" si="5"/>
        <v>0.44470885876397653</v>
      </c>
      <c r="AD11" s="11">
        <f t="shared" si="5"/>
        <v>0.41287434769036369</v>
      </c>
      <c r="AE11" s="11">
        <f t="shared" si="5"/>
        <v>0.37884643094303405</v>
      </c>
      <c r="AF11" s="11">
        <f t="shared" si="5"/>
        <v>0.41364072354167197</v>
      </c>
      <c r="AG11" s="11">
        <f t="shared" si="5"/>
        <v>0.43087685788930608</v>
      </c>
      <c r="AH11" s="11">
        <f t="shared" ref="AH11" si="6">AH6/AH5</f>
        <v>0.4320264933550737</v>
      </c>
    </row>
    <row r="12" spans="1:35" x14ac:dyDescent="0.25">
      <c r="B12" s="1" t="s">
        <v>269</v>
      </c>
      <c r="C12" s="11">
        <f t="shared" ref="C12:R12" si="7">C7/C5</f>
        <v>0.10469075458904679</v>
      </c>
      <c r="D12" s="11">
        <f t="shared" si="7"/>
        <v>9.9562449078125476E-2</v>
      </c>
      <c r="E12" s="11">
        <f t="shared" si="7"/>
        <v>0.11088462432253421</v>
      </c>
      <c r="F12" s="11">
        <f t="shared" si="7"/>
        <v>0.13917751048290256</v>
      </c>
      <c r="G12" s="11">
        <f t="shared" si="7"/>
        <v>4.0459549824491965E-2</v>
      </c>
      <c r="H12" s="11">
        <f t="shared" si="7"/>
        <v>8.0456726995102104E-2</v>
      </c>
      <c r="I12" s="11">
        <f t="shared" si="7"/>
        <v>0.14819093138367923</v>
      </c>
      <c r="J12" s="11">
        <f t="shared" si="7"/>
        <v>0.17688552441988001</v>
      </c>
      <c r="K12" s="11">
        <f t="shared" si="7"/>
        <v>0.12873818447493643</v>
      </c>
      <c r="L12" s="11">
        <f t="shared" si="7"/>
        <v>0.14105550639256689</v>
      </c>
      <c r="M12" s="11">
        <f t="shared" si="7"/>
        <v>0.14417204301075268</v>
      </c>
      <c r="N12" s="11">
        <f t="shared" si="7"/>
        <v>0.17500339477756371</v>
      </c>
      <c r="O12" s="11">
        <f t="shared" ref="O12:P12" si="8">O7/O5</f>
        <v>0.10481860336218457</v>
      </c>
      <c r="P12" s="11">
        <f t="shared" si="8"/>
        <v>0.14123340271829907</v>
      </c>
      <c r="Q12" s="11">
        <f t="shared" si="7"/>
        <v>0.16128327836122408</v>
      </c>
      <c r="R12" s="11">
        <f t="shared" si="7"/>
        <v>0.20120874103662453</v>
      </c>
      <c r="S12" s="11">
        <f>S7/S5</f>
        <v>0.12509638211258536</v>
      </c>
      <c r="T12" s="11">
        <f>T7/T5</f>
        <v>0.21067783324125636</v>
      </c>
      <c r="Y12" s="11">
        <f t="shared" ref="Y12:AG12" si="9">Y7/Y5</f>
        <v>9.5371128558354612E-2</v>
      </c>
      <c r="Z12" s="11">
        <f t="shared" si="9"/>
        <v>8.9499517504440254E-2</v>
      </c>
      <c r="AA12" s="11">
        <f t="shared" si="9"/>
        <v>9.4391537275823958E-2</v>
      </c>
      <c r="AB12" s="11">
        <f t="shared" si="9"/>
        <v>9.2912918019080928E-2</v>
      </c>
      <c r="AC12" s="11">
        <f t="shared" si="9"/>
        <v>0.21859558488800765</v>
      </c>
      <c r="AD12" s="11">
        <f t="shared" si="9"/>
        <v>0.14121469390912519</v>
      </c>
      <c r="AE12" s="11">
        <f t="shared" si="9"/>
        <v>0.10101065960344741</v>
      </c>
      <c r="AF12" s="11">
        <f t="shared" si="9"/>
        <v>0.13663848064903139</v>
      </c>
      <c r="AG12" s="11">
        <f t="shared" si="9"/>
        <v>0.14376934729631827</v>
      </c>
      <c r="AH12" s="11">
        <f t="shared" ref="AH12" si="10">AH7/AH5</f>
        <v>0.16013887072714392</v>
      </c>
    </row>
    <row r="14" spans="1:35" s="16" customFormat="1" x14ac:dyDescent="0.25">
      <c r="B14" s="16" t="s">
        <v>46</v>
      </c>
      <c r="C14" s="16">
        <v>933.12400000000002</v>
      </c>
      <c r="D14" s="16">
        <v>682.89300000000003</v>
      </c>
      <c r="E14" s="16">
        <v>682.89300000000003</v>
      </c>
      <c r="F14" s="16">
        <v>682.89300000000003</v>
      </c>
      <c r="G14" s="16">
        <v>682.89300000000003</v>
      </c>
      <c r="H14" s="16">
        <v>572.34400000000005</v>
      </c>
      <c r="I14" s="16">
        <v>532.94299999999998</v>
      </c>
      <c r="J14" s="16">
        <v>447.262</v>
      </c>
      <c r="K14" s="16">
        <v>422.51299999999998</v>
      </c>
      <c r="L14" s="16">
        <v>459.58199999999999</v>
      </c>
      <c r="M14" s="16">
        <v>503.74700000000001</v>
      </c>
      <c r="N14" s="16">
        <v>503.74700000000001</v>
      </c>
      <c r="O14" s="16">
        <v>503.74700000000001</v>
      </c>
      <c r="P14" s="16">
        <v>489.94799999999998</v>
      </c>
      <c r="Q14" s="16">
        <v>517.673</v>
      </c>
      <c r="R14" s="16">
        <v>449.54399999999998</v>
      </c>
      <c r="S14" s="16">
        <v>489.94799999999998</v>
      </c>
      <c r="T14" s="16">
        <v>491.74299999999999</v>
      </c>
      <c r="Y14" s="16">
        <v>253.40100000000001</v>
      </c>
      <c r="Z14" s="16">
        <v>259.90600000000001</v>
      </c>
      <c r="AA14" s="16">
        <v>293.495</v>
      </c>
      <c r="AB14" s="16">
        <v>229.249</v>
      </c>
      <c r="AC14" s="16">
        <v>661.11599999999999</v>
      </c>
      <c r="AD14" s="16">
        <v>933.12400000000002</v>
      </c>
      <c r="AE14" s="16">
        <v>682.89300000000003</v>
      </c>
      <c r="AF14" s="16">
        <v>422.51299999999998</v>
      </c>
      <c r="AG14" s="16">
        <v>503.74700000000001</v>
      </c>
      <c r="AH14" s="16">
        <v>489.94799999999998</v>
      </c>
    </row>
    <row r="15" spans="1:35" s="11" customFormat="1" x14ac:dyDescent="0.25">
      <c r="B15" s="11" t="s">
        <v>270</v>
      </c>
      <c r="G15" s="11">
        <f t="shared" ref="G15:S15" si="11">(G14-C14)/C14</f>
        <v>-0.26816478838825281</v>
      </c>
      <c r="H15" s="11">
        <f t="shared" si="11"/>
        <v>-0.16188334043547081</v>
      </c>
      <c r="I15" s="11">
        <f t="shared" si="11"/>
        <v>-0.21958051993504113</v>
      </c>
      <c r="J15" s="11">
        <f t="shared" si="11"/>
        <v>-0.34504819935187508</v>
      </c>
      <c r="K15" s="11">
        <f t="shared" si="11"/>
        <v>-0.38128960173848619</v>
      </c>
      <c r="L15" s="11">
        <f t="shared" si="11"/>
        <v>-0.19701787736046861</v>
      </c>
      <c r="M15" s="11">
        <f t="shared" si="11"/>
        <v>-5.4782594010991739E-2</v>
      </c>
      <c r="N15" s="11">
        <f t="shared" si="11"/>
        <v>0.12629063054764325</v>
      </c>
      <c r="O15" s="11">
        <f t="shared" si="11"/>
        <v>0.19226390667269419</v>
      </c>
      <c r="P15" s="11">
        <f t="shared" si="11"/>
        <v>6.6073083802237656E-2</v>
      </c>
      <c r="Q15" s="11">
        <f t="shared" si="11"/>
        <v>2.7644829646628143E-2</v>
      </c>
      <c r="R15" s="11">
        <f t="shared" si="11"/>
        <v>-0.10759964823611859</v>
      </c>
      <c r="S15" s="11">
        <f t="shared" si="11"/>
        <v>-2.739271896408323E-2</v>
      </c>
      <c r="T15" s="11">
        <f>(T14-P14)/P14</f>
        <v>3.6636541020680074E-3</v>
      </c>
      <c r="Z15" s="11">
        <f t="shared" ref="Z15:AG15" si="12">(Z14-Y14)/Y14</f>
        <v>2.5670774779894299E-2</v>
      </c>
      <c r="AA15" s="11">
        <f t="shared" si="12"/>
        <v>0.12923518502843334</v>
      </c>
      <c r="AB15" s="11">
        <f t="shared" si="12"/>
        <v>-0.21889981089967464</v>
      </c>
      <c r="AC15" s="11">
        <f t="shared" si="12"/>
        <v>1.8838337353707104</v>
      </c>
      <c r="AD15" s="11">
        <f t="shared" si="12"/>
        <v>0.41143762970492326</v>
      </c>
      <c r="AE15" s="11">
        <f t="shared" si="12"/>
        <v>-0.26816478838825281</v>
      </c>
      <c r="AF15" s="11">
        <f t="shared" si="12"/>
        <v>-0.38128960173848619</v>
      </c>
      <c r="AG15" s="11">
        <f t="shared" si="12"/>
        <v>0.19226390667269419</v>
      </c>
      <c r="AH15" s="11">
        <f>(AH14-AG14)/AG14</f>
        <v>-2.739271896408323E-2</v>
      </c>
    </row>
    <row r="17" spans="1:34" s="18" customFormat="1" x14ac:dyDescent="0.25">
      <c r="A17" s="1"/>
      <c r="B17" s="18" t="s">
        <v>271</v>
      </c>
      <c r="C17" s="18">
        <v>164.84800000000001</v>
      </c>
      <c r="D17" s="18">
        <v>-44.572000000000003</v>
      </c>
      <c r="E17" s="18">
        <v>-77.337000000000003</v>
      </c>
      <c r="F17" s="18">
        <v>-1.6379999999999999</v>
      </c>
      <c r="G17" s="18">
        <v>174.732</v>
      </c>
      <c r="H17" s="18">
        <v>65.39</v>
      </c>
      <c r="I17" s="18">
        <v>-100.752</v>
      </c>
      <c r="J17" s="18">
        <v>-11.423999999999999</v>
      </c>
      <c r="K17" s="18">
        <v>138.30500000000001</v>
      </c>
      <c r="L17" s="18">
        <v>-53.951999999999998</v>
      </c>
      <c r="M17" s="18">
        <v>-27.616</v>
      </c>
      <c r="N17" s="18">
        <v>-46.366</v>
      </c>
      <c r="O17" s="18">
        <v>197.91300000000001</v>
      </c>
      <c r="P17" s="18">
        <v>-166.767</v>
      </c>
      <c r="Q17" s="18">
        <v>-69.091999999999999</v>
      </c>
      <c r="R17" s="18">
        <v>22.044</v>
      </c>
      <c r="S17" s="18">
        <v>174.37899999999999</v>
      </c>
      <c r="T17" s="18">
        <v>-162.667</v>
      </c>
      <c r="Y17" s="18">
        <v>-46.552999999999997</v>
      </c>
      <c r="Z17" s="18">
        <v>-26.363</v>
      </c>
      <c r="AA17" s="18">
        <v>-58.798000000000002</v>
      </c>
      <c r="AB17" s="18">
        <v>-15.768000000000001</v>
      </c>
      <c r="AC17" s="18">
        <v>-201.22</v>
      </c>
      <c r="AD17" s="18">
        <v>-71.510000000000005</v>
      </c>
      <c r="AE17" s="18">
        <v>51.185000000000002</v>
      </c>
      <c r="AF17" s="18">
        <v>91.519000000000005</v>
      </c>
      <c r="AG17" s="18">
        <v>69.975999999999999</v>
      </c>
      <c r="AH17" s="18">
        <v>-39.436</v>
      </c>
    </row>
    <row r="18" spans="1:34" s="18" customFormat="1" x14ac:dyDescent="0.25">
      <c r="A18" s="1"/>
      <c r="B18" s="18" t="s">
        <v>272</v>
      </c>
      <c r="C18" s="18">
        <v>-98.811999999999998</v>
      </c>
      <c r="D18" s="18">
        <v>-0.32400000000000001</v>
      </c>
      <c r="E18" s="18">
        <v>22.114000000000001</v>
      </c>
      <c r="F18" s="18">
        <v>104.51900000000001</v>
      </c>
      <c r="G18" s="18">
        <v>121</v>
      </c>
      <c r="H18" s="18">
        <v>110.44</v>
      </c>
      <c r="I18" s="18">
        <v>35.929000000000002</v>
      </c>
      <c r="J18" s="18">
        <v>91.6</v>
      </c>
      <c r="K18" s="18">
        <v>21.827000000000002</v>
      </c>
      <c r="L18" s="18">
        <v>-39</v>
      </c>
      <c r="M18" s="18">
        <v>-54.814</v>
      </c>
      <c r="N18" s="18">
        <v>26.353000000000002</v>
      </c>
      <c r="O18" s="18">
        <v>-12.946999999999999</v>
      </c>
      <c r="P18" s="18">
        <v>17.303999999999998</v>
      </c>
      <c r="Q18" s="18">
        <v>-19</v>
      </c>
      <c r="R18" s="18">
        <v>68.700999999999993</v>
      </c>
      <c r="S18" s="18">
        <v>-44.039000000000001</v>
      </c>
      <c r="T18" s="18">
        <v>-0.70699999999999996</v>
      </c>
      <c r="Y18" s="18">
        <v>-15.428000000000001</v>
      </c>
      <c r="Z18" s="18">
        <v>16</v>
      </c>
      <c r="AA18" s="18">
        <v>-21.550999999999998</v>
      </c>
      <c r="AB18" s="18">
        <v>60.387999999999998</v>
      </c>
      <c r="AC18" s="18">
        <v>-427.50099999999998</v>
      </c>
      <c r="AD18" s="18">
        <v>-276.64</v>
      </c>
      <c r="AE18" s="18">
        <v>247.309</v>
      </c>
      <c r="AF18" s="18">
        <v>259.79599999999999</v>
      </c>
      <c r="AG18" s="18">
        <v>-80.501000000000005</v>
      </c>
      <c r="AH18" s="18">
        <v>22.882000000000001</v>
      </c>
    </row>
    <row r="19" spans="1:34" s="18" customFormat="1" ht="20" x14ac:dyDescent="0.25">
      <c r="A19" s="1"/>
      <c r="B19" s="76" t="s">
        <v>279</v>
      </c>
      <c r="C19" s="18">
        <v>2.4</v>
      </c>
      <c r="D19" s="18">
        <v>4.9320000000000004</v>
      </c>
      <c r="E19" s="18">
        <v>-0.17499999999999999</v>
      </c>
      <c r="F19" s="18">
        <v>16.161000000000001</v>
      </c>
      <c r="G19" s="18">
        <v>-15.284000000000001</v>
      </c>
      <c r="H19" s="18">
        <v>34.341999999999999</v>
      </c>
      <c r="I19" s="18">
        <v>-22.343</v>
      </c>
      <c r="J19" s="18">
        <v>-8.3000000000000007</v>
      </c>
      <c r="K19" s="18">
        <v>7</v>
      </c>
      <c r="L19" s="18">
        <v>4.907</v>
      </c>
      <c r="M19" s="18">
        <v>-2.66</v>
      </c>
      <c r="N19" s="18">
        <v>7.1749999999999998</v>
      </c>
      <c r="O19" s="18">
        <v>14.554</v>
      </c>
      <c r="P19" s="18">
        <v>-19.817</v>
      </c>
      <c r="Q19" s="18">
        <v>2.2999999999999998</v>
      </c>
      <c r="R19" s="18">
        <v>-12.939</v>
      </c>
      <c r="S19" s="18">
        <v>-6.1360000000000001</v>
      </c>
      <c r="T19" s="18">
        <v>-29.789000000000001</v>
      </c>
      <c r="Y19" s="18">
        <v>-5.3</v>
      </c>
      <c r="Z19" s="18">
        <v>-16.899999999999999</v>
      </c>
      <c r="AA19" s="18">
        <v>-8.8000000000000007</v>
      </c>
      <c r="AB19" s="18">
        <v>18.318999999999999</v>
      </c>
      <c r="AC19" s="18">
        <v>-67.707999999999998</v>
      </c>
      <c r="AD19" s="18">
        <v>-18.169</v>
      </c>
      <c r="AE19" s="18">
        <v>5.6340000000000003</v>
      </c>
      <c r="AF19" s="18">
        <v>10.76</v>
      </c>
      <c r="AG19" s="18">
        <v>23.97</v>
      </c>
      <c r="AH19" s="18">
        <v>-36.558999999999997</v>
      </c>
    </row>
    <row r="20" spans="1:34" s="18" customFormat="1" x14ac:dyDescent="0.25">
      <c r="A20" s="1"/>
      <c r="B20" s="18" t="s">
        <v>274</v>
      </c>
      <c r="C20" s="18">
        <v>-100.666</v>
      </c>
      <c r="D20" s="18">
        <v>-70</v>
      </c>
      <c r="E20" s="18">
        <v>-8.32</v>
      </c>
      <c r="F20" s="18">
        <v>-56.494</v>
      </c>
      <c r="G20" s="18">
        <v>-84.203000000000003</v>
      </c>
      <c r="H20" s="18">
        <v>-18.420000000000002</v>
      </c>
      <c r="I20" s="18">
        <v>106.44199999999999</v>
      </c>
      <c r="J20" s="18">
        <v>32.360999999999997</v>
      </c>
      <c r="K20" s="18">
        <v>-81.046999999999997</v>
      </c>
      <c r="L20" s="18">
        <v>109.02800000000001</v>
      </c>
      <c r="M20" s="18">
        <v>-0.65200000000000002</v>
      </c>
      <c r="N20" s="18">
        <v>28.472000000000001</v>
      </c>
      <c r="O20" s="18">
        <v>-168.47499999999999</v>
      </c>
      <c r="P20" s="18">
        <v>135.00299999999999</v>
      </c>
      <c r="Q20" s="18">
        <v>30.416</v>
      </c>
      <c r="R20" s="18">
        <v>6.548</v>
      </c>
      <c r="S20" s="18">
        <v>-62.792999999999999</v>
      </c>
      <c r="T20" s="18">
        <v>56.21</v>
      </c>
      <c r="Y20" s="18">
        <v>24.459</v>
      </c>
      <c r="Z20" s="18">
        <v>17.695</v>
      </c>
      <c r="AA20" s="18">
        <v>-19.134</v>
      </c>
      <c r="AB20" s="18">
        <v>-24.25</v>
      </c>
      <c r="AC20" s="18">
        <v>553.96</v>
      </c>
      <c r="AD20" s="18">
        <v>-181.303</v>
      </c>
      <c r="AE20" s="18">
        <v>-219.05099999999999</v>
      </c>
      <c r="AF20" s="18">
        <v>39.335999999999999</v>
      </c>
      <c r="AG20" s="18">
        <v>-31.626999999999999</v>
      </c>
      <c r="AH20" s="18">
        <v>109.17400000000001</v>
      </c>
    </row>
    <row r="21" spans="1:34" s="18" customFormat="1" ht="40" x14ac:dyDescent="0.25">
      <c r="A21" s="1"/>
      <c r="B21" s="76" t="s">
        <v>280</v>
      </c>
      <c r="C21" s="18">
        <v>-26.628</v>
      </c>
      <c r="D21" s="18">
        <v>-63.835000000000001</v>
      </c>
      <c r="E21" s="18">
        <v>-8.3219999999999992</v>
      </c>
      <c r="F21" s="18">
        <v>12.097</v>
      </c>
      <c r="G21" s="18">
        <v>-68.647000000000006</v>
      </c>
      <c r="H21" s="18">
        <v>-74.328999999999994</v>
      </c>
      <c r="I21" s="18">
        <v>14.476000000000001</v>
      </c>
      <c r="J21" s="18">
        <v>73.388999999999996</v>
      </c>
      <c r="K21" s="18">
        <v>-25.513999999999999</v>
      </c>
      <c r="L21" s="18">
        <v>-42.506</v>
      </c>
      <c r="M21" s="18">
        <v>54.786000000000001</v>
      </c>
      <c r="N21" s="18">
        <v>106.379</v>
      </c>
      <c r="O21" s="18">
        <v>-117.819</v>
      </c>
      <c r="P21" s="18">
        <v>-51.860999999999997</v>
      </c>
      <c r="Q21" s="18">
        <v>53.210999999999999</v>
      </c>
      <c r="R21" s="18">
        <v>118.55800000000001</v>
      </c>
      <c r="S21" s="18">
        <v>-70.257000000000005</v>
      </c>
      <c r="T21" s="18">
        <v>6</v>
      </c>
      <c r="Y21" s="18">
        <v>49.917000000000002</v>
      </c>
      <c r="Z21" s="18">
        <v>44.655000000000001</v>
      </c>
      <c r="AA21" s="18">
        <v>51.277999999999999</v>
      </c>
      <c r="AB21" s="18">
        <v>-15.48</v>
      </c>
      <c r="AC21" s="18">
        <v>440.935</v>
      </c>
      <c r="AD21" s="18">
        <v>-44.24</v>
      </c>
      <c r="AE21" s="18">
        <v>-128.70699999999999</v>
      </c>
      <c r="AF21" s="18">
        <v>-11.978</v>
      </c>
      <c r="AG21" s="18">
        <v>0.84</v>
      </c>
      <c r="AH21" s="18">
        <v>49.651000000000003</v>
      </c>
    </row>
    <row r="22" spans="1:34" s="79" customFormat="1" x14ac:dyDescent="0.25">
      <c r="A22" s="78"/>
      <c r="B22" s="79" t="s">
        <v>102</v>
      </c>
      <c r="C22" s="79">
        <f t="shared" ref="C22:S22" si="13">SUM(C17:C21)</f>
        <v>-58.857999999999976</v>
      </c>
      <c r="D22" s="79">
        <f t="shared" si="13"/>
        <v>-173.79900000000001</v>
      </c>
      <c r="E22" s="79">
        <f t="shared" si="13"/>
        <v>-72.039999999999992</v>
      </c>
      <c r="F22" s="79">
        <f t="shared" si="13"/>
        <v>74.644999999999996</v>
      </c>
      <c r="G22" s="79">
        <f t="shared" si="13"/>
        <v>127.59799999999997</v>
      </c>
      <c r="H22" s="79">
        <f t="shared" si="13"/>
        <v>117.42299999999996</v>
      </c>
      <c r="I22" s="79">
        <f t="shared" si="13"/>
        <v>33.751999999999995</v>
      </c>
      <c r="J22" s="79">
        <f t="shared" si="13"/>
        <v>177.62599999999998</v>
      </c>
      <c r="K22" s="79">
        <f t="shared" si="13"/>
        <v>60.571000000000012</v>
      </c>
      <c r="L22" s="79">
        <f t="shared" si="13"/>
        <v>-21.522999999999996</v>
      </c>
      <c r="M22" s="79">
        <f t="shared" si="13"/>
        <v>-30.956000000000003</v>
      </c>
      <c r="N22" s="79">
        <f t="shared" si="13"/>
        <v>122.01300000000001</v>
      </c>
      <c r="O22" s="79">
        <f t="shared" si="13"/>
        <v>-86.773999999999987</v>
      </c>
      <c r="P22" s="79">
        <f t="shared" si="13"/>
        <v>-86.138000000000005</v>
      </c>
      <c r="Q22" s="79">
        <f t="shared" si="13"/>
        <v>-2.1650000000000063</v>
      </c>
      <c r="R22" s="79">
        <f t="shared" si="13"/>
        <v>202.91199999999998</v>
      </c>
      <c r="S22" s="79">
        <f t="shared" si="13"/>
        <v>-8.846000000000025</v>
      </c>
      <c r="T22" s="79">
        <f>SUM(T17:T21)</f>
        <v>-130.953</v>
      </c>
      <c r="Y22" s="79">
        <f t="shared" ref="Y22:AG22" si="14">SUM(Y17:Y21)</f>
        <v>7.0950000000000131</v>
      </c>
      <c r="Z22" s="79">
        <f t="shared" si="14"/>
        <v>35.087000000000003</v>
      </c>
      <c r="AA22" s="79">
        <f t="shared" si="14"/>
        <v>-57.005000000000003</v>
      </c>
      <c r="AB22" s="79">
        <f t="shared" si="14"/>
        <v>23.208999999999993</v>
      </c>
      <c r="AC22" s="79">
        <f t="shared" si="14"/>
        <v>298.46600000000007</v>
      </c>
      <c r="AD22" s="79">
        <f t="shared" si="14"/>
        <v>-591.86199999999997</v>
      </c>
      <c r="AE22" s="79">
        <f t="shared" si="14"/>
        <v>-43.629999999999939</v>
      </c>
      <c r="AF22" s="79">
        <f t="shared" si="14"/>
        <v>389.43299999999999</v>
      </c>
      <c r="AG22" s="79">
        <f t="shared" si="14"/>
        <v>-17.342000000000006</v>
      </c>
      <c r="AH22" s="79">
        <f>SUM(AH17:AH21)</f>
        <v>105.71200000000002</v>
      </c>
    </row>
    <row r="23" spans="1:34" s="18" customFormat="1" x14ac:dyDescent="0.25">
      <c r="A23" s="1"/>
    </row>
    <row r="25" spans="1:34" x14ac:dyDescent="0.25">
      <c r="B25" s="2" t="s">
        <v>265</v>
      </c>
    </row>
    <row r="26" spans="1:34" s="16" customFormat="1" x14ac:dyDescent="0.25">
      <c r="B26" s="16" t="s">
        <v>19</v>
      </c>
      <c r="C26" s="16">
        <v>1147.424</v>
      </c>
      <c r="D26" s="16">
        <v>1240.8330000000001</v>
      </c>
      <c r="E26" s="16">
        <v>1140.434</v>
      </c>
      <c r="F26" s="16">
        <v>1306.356</v>
      </c>
      <c r="G26" s="16">
        <v>1147.424</v>
      </c>
      <c r="H26" s="16">
        <v>1320.7950000000001</v>
      </c>
      <c r="I26" s="16">
        <v>1277.5309999999999</v>
      </c>
      <c r="J26" s="16">
        <v>1482.501</v>
      </c>
      <c r="K26" s="16">
        <v>1381.6489999999999</v>
      </c>
      <c r="L26" s="16">
        <v>1506.671</v>
      </c>
      <c r="M26" s="16">
        <v>1586.0219999999999</v>
      </c>
      <c r="N26" s="16">
        <v>1822.56</v>
      </c>
      <c r="O26" s="16">
        <v>1535.0989999999999</v>
      </c>
      <c r="P26" s="16">
        <v>1814.5640000000001</v>
      </c>
      <c r="Q26" s="16">
        <v>1770.9010000000001</v>
      </c>
      <c r="R26" s="16">
        <v>2124.9549999999999</v>
      </c>
      <c r="S26" s="16">
        <v>1753.489</v>
      </c>
      <c r="T26" s="16">
        <v>2022.0920000000001</v>
      </c>
      <c r="Y26" s="16">
        <v>3045.797</v>
      </c>
      <c r="Z26" s="16">
        <v>3121.56</v>
      </c>
      <c r="AA26" s="16">
        <v>3347.444</v>
      </c>
      <c r="AB26" s="16">
        <v>3757.5050000000001</v>
      </c>
      <c r="AC26" s="16">
        <v>4186.5730000000003</v>
      </c>
      <c r="AD26" s="16">
        <v>4982.7950000000001</v>
      </c>
      <c r="AE26" s="16">
        <v>4860.2860000000001</v>
      </c>
      <c r="AF26" s="16">
        <v>5228.2520000000004</v>
      </c>
      <c r="AG26" s="16">
        <v>6296.9030000000002</v>
      </c>
      <c r="AH26" s="16">
        <v>7245.5190000000002</v>
      </c>
    </row>
    <row r="27" spans="1:34" s="18" customFormat="1" x14ac:dyDescent="0.25">
      <c r="B27" s="18" t="s">
        <v>21</v>
      </c>
      <c r="C27" s="18">
        <v>652.79399999999998</v>
      </c>
      <c r="D27" s="18">
        <v>728.82600000000002</v>
      </c>
      <c r="E27" s="18">
        <v>670.49900000000002</v>
      </c>
      <c r="F27" s="18">
        <v>744.97</v>
      </c>
      <c r="G27" s="18">
        <v>652.79399999999998</v>
      </c>
      <c r="H27" s="18">
        <v>759.44200000000001</v>
      </c>
      <c r="I27" s="18">
        <v>728.56899999999996</v>
      </c>
      <c r="J27" s="18">
        <v>864.149</v>
      </c>
      <c r="K27" s="18">
        <v>802.13900000000001</v>
      </c>
      <c r="L27" s="18">
        <v>862.89099999999996</v>
      </c>
      <c r="M27" s="18">
        <v>951.59900000000005</v>
      </c>
      <c r="N27" s="18">
        <v>1079.9259999999999</v>
      </c>
      <c r="O27" s="18">
        <v>884.54499999999996</v>
      </c>
      <c r="P27" s="18">
        <v>1067.0119999999999</v>
      </c>
      <c r="Q27" s="18">
        <v>1046.4870000000001</v>
      </c>
      <c r="R27" s="18">
        <v>1258.26</v>
      </c>
      <c r="S27" s="18">
        <v>1042.289</v>
      </c>
      <c r="T27" s="18">
        <v>1262.0219999999999</v>
      </c>
      <c r="Y27" s="18">
        <v>1688.5250000000001</v>
      </c>
      <c r="Z27" s="18">
        <v>1797.941</v>
      </c>
      <c r="AA27" s="18">
        <v>1979.7190000000001</v>
      </c>
      <c r="AB27" s="18">
        <v>2233.9760000000001</v>
      </c>
      <c r="AC27" s="18">
        <v>2481.3359999999998</v>
      </c>
      <c r="AD27" s="18">
        <v>2890.4589999999998</v>
      </c>
      <c r="AE27" s="18">
        <v>2806.7750000000001</v>
      </c>
      <c r="AF27" s="18">
        <v>3004.9549999999999</v>
      </c>
      <c r="AG27" s="18">
        <v>3696.5549999999998</v>
      </c>
      <c r="AH27" s="18">
        <v>4256.3029999999999</v>
      </c>
    </row>
    <row r="28" spans="1:34" s="18" customFormat="1" x14ac:dyDescent="0.25">
      <c r="B28" s="18" t="s">
        <v>267</v>
      </c>
      <c r="C28" s="18">
        <v>196.982</v>
      </c>
      <c r="D28" s="18">
        <v>292.74</v>
      </c>
      <c r="E28" s="18">
        <v>239.37299999999999</v>
      </c>
      <c r="F28" s="18">
        <v>267.17500000000001</v>
      </c>
      <c r="G28" s="18">
        <v>196.983</v>
      </c>
      <c r="H28" s="18">
        <v>284.35500000000002</v>
      </c>
      <c r="I28" s="18">
        <v>270.36900000000003</v>
      </c>
      <c r="J28" s="18">
        <v>340.45400000000001</v>
      </c>
      <c r="K28" s="18">
        <v>298.41000000000003</v>
      </c>
      <c r="L28" s="18">
        <v>342.02699999999999</v>
      </c>
      <c r="M28" s="18">
        <v>437.47500000000002</v>
      </c>
      <c r="N28" s="18">
        <v>516.08199999999999</v>
      </c>
      <c r="O28" s="18">
        <v>332.82400000000001</v>
      </c>
      <c r="P28" s="18">
        <v>472.29500000000002</v>
      </c>
      <c r="Q28" s="18">
        <v>456.803</v>
      </c>
      <c r="R28" s="18">
        <v>614.154</v>
      </c>
      <c r="S28" s="18">
        <v>431.66500000000002</v>
      </c>
      <c r="T28" s="18">
        <v>615.50800000000004</v>
      </c>
      <c r="Y28" s="18">
        <v>632.86400000000003</v>
      </c>
      <c r="Z28" s="18">
        <v>683.63699999999994</v>
      </c>
      <c r="AA28" s="18">
        <v>778.34299999999996</v>
      </c>
      <c r="AB28" s="18">
        <v>945.58600000000001</v>
      </c>
      <c r="AC28" s="18">
        <v>1054.24</v>
      </c>
      <c r="AD28" s="18">
        <v>1218.6199999999999</v>
      </c>
      <c r="AE28" s="18">
        <v>1027.845</v>
      </c>
      <c r="AF28" s="18">
        <v>1092.1600000000001</v>
      </c>
      <c r="AG28" s="18">
        <v>1593.9939999999999</v>
      </c>
      <c r="AH28" s="18">
        <v>1876.076</v>
      </c>
    </row>
    <row r="29" spans="1:34" s="77" customFormat="1" x14ac:dyDescent="0.25">
      <c r="B29" s="77" t="s">
        <v>268</v>
      </c>
      <c r="C29" s="77">
        <v>1.06</v>
      </c>
      <c r="D29" s="77">
        <v>1.34</v>
      </c>
      <c r="E29" s="77">
        <v>1.0900000000000001</v>
      </c>
      <c r="F29" s="77">
        <v>1.53</v>
      </c>
      <c r="G29" s="77">
        <v>1.05</v>
      </c>
      <c r="H29" s="77">
        <v>1.51</v>
      </c>
      <c r="I29" s="77">
        <v>1.34</v>
      </c>
      <c r="J29" s="77">
        <v>2.83</v>
      </c>
      <c r="K29" s="77">
        <v>1.44</v>
      </c>
      <c r="L29" s="77">
        <v>1.57</v>
      </c>
      <c r="M29" s="77">
        <v>2.08</v>
      </c>
      <c r="N29" s="77">
        <v>2.27</v>
      </c>
      <c r="O29" s="77">
        <v>1.73</v>
      </c>
      <c r="P29" s="77">
        <v>2.08</v>
      </c>
      <c r="Q29" s="77">
        <v>2.09</v>
      </c>
      <c r="R29" s="77">
        <v>2.75</v>
      </c>
      <c r="S29" s="77">
        <v>2.1</v>
      </c>
      <c r="T29" s="77">
        <v>2.8</v>
      </c>
      <c r="Y29" s="77">
        <v>2.73</v>
      </c>
      <c r="Z29" s="77">
        <v>3.76</v>
      </c>
      <c r="AA29" s="77">
        <v>3.66</v>
      </c>
      <c r="AB29" s="77">
        <v>4.99</v>
      </c>
      <c r="AC29" s="77">
        <v>5.17</v>
      </c>
      <c r="AD29" s="77">
        <v>5.63</v>
      </c>
      <c r="AE29" s="77">
        <v>5.0599999999999996</v>
      </c>
      <c r="AF29" s="77">
        <v>6.74</v>
      </c>
      <c r="AG29" s="77">
        <v>7.35</v>
      </c>
      <c r="AH29" s="77">
        <v>8.65</v>
      </c>
    </row>
    <row r="30" spans="1:34" x14ac:dyDescent="0.25">
      <c r="A30" s="16"/>
      <c r="Y30" s="16"/>
      <c r="Z30" s="16"/>
      <c r="AA30" s="16"/>
    </row>
    <row r="31" spans="1:34" s="75" customFormat="1" x14ac:dyDescent="0.25">
      <c r="A31" s="1"/>
      <c r="B31" s="75" t="s">
        <v>36</v>
      </c>
      <c r="G31" s="75">
        <f t="shared" ref="G31:T31" si="15">(G26-C26)/C26</f>
        <v>0</v>
      </c>
      <c r="H31" s="75">
        <f t="shared" si="15"/>
        <v>6.4442193268554257E-2</v>
      </c>
      <c r="I31" s="75">
        <f t="shared" si="15"/>
        <v>0.1202147603456228</v>
      </c>
      <c r="J31" s="75">
        <f t="shared" si="15"/>
        <v>0.13483690510090662</v>
      </c>
      <c r="K31" s="75">
        <f t="shared" si="15"/>
        <v>0.20413116685723839</v>
      </c>
      <c r="L31" s="75">
        <f t="shared" si="15"/>
        <v>0.14073039343728586</v>
      </c>
      <c r="M31" s="75">
        <f t="shared" si="15"/>
        <v>0.24147437518150244</v>
      </c>
      <c r="N31" s="75">
        <f t="shared" si="15"/>
        <v>0.22938197006275204</v>
      </c>
      <c r="O31" s="75">
        <f t="shared" si="15"/>
        <v>0.11106294000864189</v>
      </c>
      <c r="P31" s="75">
        <f t="shared" si="15"/>
        <v>0.20435317332051922</v>
      </c>
      <c r="Q31" s="75">
        <f t="shared" si="15"/>
        <v>0.11656773991785747</v>
      </c>
      <c r="R31" s="75">
        <f t="shared" si="15"/>
        <v>0.16591772012992714</v>
      </c>
      <c r="S31" s="75">
        <f t="shared" si="15"/>
        <v>0.14226444027388468</v>
      </c>
      <c r="T31" s="75">
        <f t="shared" si="15"/>
        <v>0.11436796938548324</v>
      </c>
      <c r="Z31" s="75">
        <f>(Z26-Y26)/Y26</f>
        <v>2.4874605891331537E-2</v>
      </c>
      <c r="AA31" s="75">
        <f t="shared" ref="AA31:AH31" si="16">(AA26-Z26)/Z26</f>
        <v>7.2362536680377759E-2</v>
      </c>
      <c r="AB31" s="75">
        <f t="shared" si="16"/>
        <v>0.12249973412549998</v>
      </c>
      <c r="AC31" s="75">
        <f t="shared" si="16"/>
        <v>0.11418960187677733</v>
      </c>
      <c r="AD31" s="75">
        <f t="shared" si="16"/>
        <v>0.19018466894044359</v>
      </c>
      <c r="AE31" s="75">
        <f t="shared" si="16"/>
        <v>-2.4586401808623475E-2</v>
      </c>
      <c r="AF31" s="75">
        <f t="shared" si="16"/>
        <v>7.5708713437851266E-2</v>
      </c>
      <c r="AG31" s="75">
        <f t="shared" si="16"/>
        <v>0.20439929062332873</v>
      </c>
      <c r="AH31" s="75">
        <f t="shared" si="16"/>
        <v>0.15064802491002321</v>
      </c>
    </row>
    <row r="32" spans="1:34" s="11" customFormat="1" x14ac:dyDescent="0.25">
      <c r="A32" s="1"/>
      <c r="B32" s="11" t="s">
        <v>243</v>
      </c>
      <c r="C32" s="11">
        <f t="shared" ref="C32:R32" si="17">C27/C26</f>
        <v>0.56892134032406505</v>
      </c>
      <c r="D32" s="11">
        <f t="shared" si="17"/>
        <v>0.5873683243434048</v>
      </c>
      <c r="E32" s="11">
        <f t="shared" si="17"/>
        <v>0.58793319034683289</v>
      </c>
      <c r="F32" s="11">
        <f t="shared" si="17"/>
        <v>0.57026568561709057</v>
      </c>
      <c r="G32" s="11">
        <f t="shared" si="17"/>
        <v>0.56892134032406505</v>
      </c>
      <c r="H32" s="11">
        <f t="shared" si="17"/>
        <v>0.57498854856355452</v>
      </c>
      <c r="I32" s="11">
        <f t="shared" si="17"/>
        <v>0.57029457602202993</v>
      </c>
      <c r="J32" s="11">
        <f t="shared" si="17"/>
        <v>0.58289943817913104</v>
      </c>
      <c r="K32" s="11">
        <f t="shared" si="17"/>
        <v>0.5805664101374518</v>
      </c>
      <c r="L32" s="11">
        <f t="shared" si="17"/>
        <v>0.57271361830154022</v>
      </c>
      <c r="M32" s="11">
        <f t="shared" si="17"/>
        <v>0.5999910467824533</v>
      </c>
      <c r="N32" s="11">
        <f t="shared" si="17"/>
        <v>0.59253248178386442</v>
      </c>
      <c r="O32" s="11">
        <f t="shared" si="17"/>
        <v>0.57621365136711056</v>
      </c>
      <c r="P32" s="11">
        <f t="shared" si="17"/>
        <v>0.58802665543899246</v>
      </c>
      <c r="Q32" s="11">
        <f t="shared" si="17"/>
        <v>0.59093478404495792</v>
      </c>
      <c r="R32" s="11">
        <f t="shared" si="17"/>
        <v>0.59213489226830684</v>
      </c>
      <c r="S32" s="11">
        <f>S27/S26</f>
        <v>0.59440863330194826</v>
      </c>
      <c r="T32" s="11">
        <f>T27/T26</f>
        <v>0.62411700357847211</v>
      </c>
      <c r="Y32" s="11">
        <f t="shared" ref="Y32:AA32" si="18">Y27/Y26</f>
        <v>0.55437870613176132</v>
      </c>
      <c r="Z32" s="11">
        <f t="shared" si="18"/>
        <v>0.57597515344891659</v>
      </c>
      <c r="AA32" s="11">
        <f t="shared" si="18"/>
        <v>0.59141213415370053</v>
      </c>
      <c r="AB32" s="11">
        <f t="shared" ref="AB32:AH32" si="19">AB27/AB26</f>
        <v>0.59453706648427618</v>
      </c>
      <c r="AC32" s="11">
        <f t="shared" si="19"/>
        <v>0.59268905618031731</v>
      </c>
      <c r="AD32" s="11">
        <f t="shared" si="19"/>
        <v>0.58008788240334985</v>
      </c>
      <c r="AE32" s="11">
        <f t="shared" si="19"/>
        <v>0.57749173608302062</v>
      </c>
      <c r="AF32" s="11">
        <f t="shared" si="19"/>
        <v>0.5747532827415357</v>
      </c>
      <c r="AG32" s="11">
        <f t="shared" si="19"/>
        <v>0.58704334495862487</v>
      </c>
      <c r="AH32" s="11">
        <f t="shared" si="19"/>
        <v>0.58743935389583546</v>
      </c>
    </row>
    <row r="33" spans="1:35" s="11" customFormat="1" x14ac:dyDescent="0.25">
      <c r="A33" s="18"/>
      <c r="B33" s="11" t="s">
        <v>269</v>
      </c>
      <c r="C33" s="11">
        <f t="shared" ref="C33:R33" si="20">C28/C26</f>
        <v>0.17167324371810247</v>
      </c>
      <c r="D33" s="11">
        <f t="shared" si="20"/>
        <v>0.23592215874336031</v>
      </c>
      <c r="E33" s="11">
        <f t="shared" si="20"/>
        <v>0.20989640785876254</v>
      </c>
      <c r="F33" s="11">
        <f t="shared" si="20"/>
        <v>0.20451928876967687</v>
      </c>
      <c r="G33" s="11">
        <f t="shared" si="20"/>
        <v>0.17167411523551887</v>
      </c>
      <c r="H33" s="11">
        <f t="shared" si="20"/>
        <v>0.21529079077373856</v>
      </c>
      <c r="I33" s="11">
        <f t="shared" si="20"/>
        <v>0.21163400340187444</v>
      </c>
      <c r="J33" s="11">
        <f t="shared" si="20"/>
        <v>0.22964841170427541</v>
      </c>
      <c r="K33" s="11">
        <f t="shared" si="20"/>
        <v>0.21598104873234811</v>
      </c>
      <c r="L33" s="11">
        <f t="shared" si="20"/>
        <v>0.22700841789614321</v>
      </c>
      <c r="M33" s="11">
        <f t="shared" si="20"/>
        <v>0.27583160889319319</v>
      </c>
      <c r="N33" s="11">
        <f t="shared" si="20"/>
        <v>0.28316324291107015</v>
      </c>
      <c r="O33" s="11">
        <f t="shared" si="20"/>
        <v>0.21680946961726899</v>
      </c>
      <c r="P33" s="11">
        <f t="shared" si="20"/>
        <v>0.260280155453321</v>
      </c>
      <c r="Q33" s="11">
        <f t="shared" si="20"/>
        <v>0.25794948447146393</v>
      </c>
      <c r="R33" s="11">
        <f t="shared" si="20"/>
        <v>0.28901976747742897</v>
      </c>
      <c r="S33" s="11">
        <f>S28/S26</f>
        <v>0.24617491184718013</v>
      </c>
      <c r="T33" s="11">
        <f>T28/T26</f>
        <v>0.30439168939889977</v>
      </c>
      <c r="Y33" s="11">
        <f t="shared" ref="Y33:AA33" si="21">Y28/Y26</f>
        <v>0.20778272485001464</v>
      </c>
      <c r="Z33" s="11">
        <f t="shared" si="21"/>
        <v>0.21900492061661475</v>
      </c>
      <c r="AA33" s="11">
        <f t="shared" si="21"/>
        <v>0.23251860225294282</v>
      </c>
      <c r="AB33" s="11">
        <f t="shared" ref="AB33:AH33" si="22">AB28/AB26</f>
        <v>0.25165262587807602</v>
      </c>
      <c r="AC33" s="11">
        <f t="shared" si="22"/>
        <v>0.25181455094656174</v>
      </c>
      <c r="AD33" s="11">
        <f t="shared" si="22"/>
        <v>0.24456555005774869</v>
      </c>
      <c r="AE33" s="11">
        <f t="shared" si="22"/>
        <v>0.21147829572169211</v>
      </c>
      <c r="AF33" s="11">
        <f t="shared" si="22"/>
        <v>0.20889582216006419</v>
      </c>
      <c r="AG33" s="11">
        <f t="shared" si="22"/>
        <v>0.2531393607301875</v>
      </c>
      <c r="AH33" s="11">
        <f t="shared" si="22"/>
        <v>0.25892913951367735</v>
      </c>
    </row>
    <row r="35" spans="1:35" s="16" customFormat="1" x14ac:dyDescent="0.25">
      <c r="A35" s="1"/>
      <c r="B35" s="16" t="s">
        <v>46</v>
      </c>
      <c r="C35" s="16">
        <v>1478.9970000000001</v>
      </c>
      <c r="D35" s="16">
        <v>1454.8679999999999</v>
      </c>
      <c r="E35" s="16">
        <v>1533.271</v>
      </c>
      <c r="F35" s="16">
        <v>1515.0450000000001</v>
      </c>
      <c r="G35" s="16">
        <v>1478.9970000000001</v>
      </c>
      <c r="H35" s="16">
        <v>1402.2249999999999</v>
      </c>
      <c r="I35" s="16">
        <v>1439.894</v>
      </c>
      <c r="J35" s="16">
        <v>1345.9549999999999</v>
      </c>
      <c r="K35" s="16">
        <v>1302.23</v>
      </c>
      <c r="L35" s="16">
        <v>1473.9780000000001</v>
      </c>
      <c r="M35" s="16">
        <v>1473.9780000000001</v>
      </c>
      <c r="N35" s="16">
        <v>1473.9780000000001</v>
      </c>
      <c r="O35" s="16">
        <v>1772.2570000000001</v>
      </c>
      <c r="P35" s="16">
        <v>1788.02</v>
      </c>
      <c r="Q35" s="16">
        <v>1887.93</v>
      </c>
      <c r="R35" s="16">
        <v>1772.2570000000001</v>
      </c>
      <c r="S35" s="16">
        <v>1850.2819999999999</v>
      </c>
      <c r="T35" s="16">
        <v>1966.0609999999999</v>
      </c>
      <c r="Y35" s="16">
        <v>484.82100000000003</v>
      </c>
      <c r="Z35" s="16">
        <v>517.64400000000001</v>
      </c>
      <c r="AA35" s="16">
        <v>561.84</v>
      </c>
      <c r="AB35" s="16">
        <v>752.90800000000002</v>
      </c>
      <c r="AC35" s="16">
        <v>762.08399999999995</v>
      </c>
      <c r="AD35" s="16">
        <v>1227.6089999999999</v>
      </c>
      <c r="AE35" s="16">
        <v>1515.0450000000001</v>
      </c>
      <c r="AF35" s="16">
        <v>1345.9549999999999</v>
      </c>
      <c r="AG35" s="16">
        <v>1473.9780000000001</v>
      </c>
      <c r="AH35" s="16">
        <v>1772.2570000000001</v>
      </c>
    </row>
    <row r="36" spans="1:35" s="11" customFormat="1" x14ac:dyDescent="0.25">
      <c r="B36" s="11" t="s">
        <v>270</v>
      </c>
      <c r="G36" s="11">
        <f t="shared" ref="G36:R36" si="23">(G35-C35)/C35</f>
        <v>0</v>
      </c>
      <c r="H36" s="11">
        <f t="shared" si="23"/>
        <v>-3.618403868942064E-2</v>
      </c>
      <c r="I36" s="11">
        <f t="shared" si="23"/>
        <v>-6.0900519216759437E-2</v>
      </c>
      <c r="J36" s="11">
        <f t="shared" si="23"/>
        <v>-0.11160724598939314</v>
      </c>
      <c r="K36" s="11">
        <f t="shared" si="23"/>
        <v>-0.11951815994217706</v>
      </c>
      <c r="L36" s="11">
        <f t="shared" si="23"/>
        <v>5.1170817807413331E-2</v>
      </c>
      <c r="M36" s="11">
        <f t="shared" si="23"/>
        <v>2.3671186906814017E-2</v>
      </c>
      <c r="N36" s="11">
        <f t="shared" si="23"/>
        <v>9.5116850117574619E-2</v>
      </c>
      <c r="O36" s="11">
        <f t="shared" si="23"/>
        <v>0.36094007970942155</v>
      </c>
      <c r="P36" s="11">
        <f t="shared" si="23"/>
        <v>0.21305745404612544</v>
      </c>
      <c r="Q36" s="11">
        <f t="shared" si="23"/>
        <v>0.28084001253750057</v>
      </c>
      <c r="R36" s="11">
        <f t="shared" si="23"/>
        <v>0.2023632645806111</v>
      </c>
      <c r="S36" s="11">
        <f>(S35-O35)/O35</f>
        <v>4.4025781813811352E-2</v>
      </c>
      <c r="T36" s="11">
        <f>(T35-P35)/P35</f>
        <v>9.9574389548215306E-2</v>
      </c>
      <c r="Z36" s="11">
        <f t="shared" ref="Z36:AB36" si="24">(Z35-Y35)/Y35</f>
        <v>6.7701275316044432E-2</v>
      </c>
      <c r="AA36" s="11">
        <f t="shared" si="24"/>
        <v>8.5379140876741588E-2</v>
      </c>
      <c r="AB36" s="11">
        <f t="shared" si="24"/>
        <v>0.3400754663249323</v>
      </c>
      <c r="AC36" s="11">
        <f>(AC35-AB35)/AB35</f>
        <v>1.2187412007841503E-2</v>
      </c>
      <c r="AD36" s="11">
        <f t="shared" ref="AD36:AH36" si="25">(AD35-AC35)/AC35</f>
        <v>0.61085785818886107</v>
      </c>
      <c r="AE36" s="11">
        <f t="shared" si="25"/>
        <v>0.23414295594118337</v>
      </c>
      <c r="AF36" s="11">
        <f t="shared" si="25"/>
        <v>-0.11160724598939314</v>
      </c>
      <c r="AG36" s="11">
        <f t="shared" si="25"/>
        <v>9.5116850117574619E-2</v>
      </c>
      <c r="AH36" s="11">
        <f t="shared" si="25"/>
        <v>0.2023632645806111</v>
      </c>
    </row>
    <row r="38" spans="1:35" s="18" customFormat="1" x14ac:dyDescent="0.25">
      <c r="A38" s="2"/>
      <c r="B38" s="18" t="s">
        <v>271</v>
      </c>
      <c r="C38" s="18">
        <v>46.872999999999998</v>
      </c>
      <c r="D38" s="18">
        <v>122.428</v>
      </c>
      <c r="E38" s="18">
        <v>156.666</v>
      </c>
      <c r="F38" s="18">
        <v>167.33600000000001</v>
      </c>
      <c r="G38" s="18">
        <v>46.872999999999998</v>
      </c>
      <c r="H38" s="18">
        <v>-62.832000000000001</v>
      </c>
      <c r="I38" s="18">
        <v>-54.756</v>
      </c>
      <c r="J38" s="18">
        <v>-129.12</v>
      </c>
      <c r="K38" s="18">
        <v>108.453</v>
      </c>
      <c r="L38" s="18">
        <v>-8.6</v>
      </c>
      <c r="M38" s="18">
        <v>-103.56699999999999</v>
      </c>
      <c r="N38" s="18">
        <v>-196.256</v>
      </c>
      <c r="O38" s="18">
        <v>213.089</v>
      </c>
      <c r="P38" s="18">
        <v>17.902000000000001</v>
      </c>
      <c r="Q38" s="18">
        <v>68.817999999999998</v>
      </c>
      <c r="R38" s="18">
        <v>-222.809</v>
      </c>
      <c r="S38" s="18">
        <v>301.791</v>
      </c>
      <c r="T38" s="18">
        <v>84.186999999999998</v>
      </c>
      <c r="Y38" s="18">
        <v>9</v>
      </c>
      <c r="Z38" s="18">
        <v>-40.088000000000001</v>
      </c>
      <c r="AA38" s="18">
        <v>7.29</v>
      </c>
      <c r="AB38" s="18">
        <v>-123.401</v>
      </c>
      <c r="AC38" s="18">
        <v>-108.85899999999999</v>
      </c>
      <c r="AD38" s="18">
        <v>-19.106000000000002</v>
      </c>
      <c r="AE38" s="18">
        <v>167.33600000000001</v>
      </c>
      <c r="AF38" s="18">
        <v>-129.12</v>
      </c>
      <c r="AG38" s="18">
        <v>-196.256</v>
      </c>
      <c r="AH38" s="18">
        <v>-222.809</v>
      </c>
    </row>
    <row r="39" spans="1:35" s="18" customFormat="1" x14ac:dyDescent="0.25">
      <c r="A39" s="1"/>
      <c r="B39" s="18" t="s">
        <v>272</v>
      </c>
      <c r="C39" s="18">
        <v>43.712000000000003</v>
      </c>
      <c r="D39" s="18">
        <v>-294.76600000000002</v>
      </c>
      <c r="E39" s="18">
        <v>-442.31200000000001</v>
      </c>
      <c r="F39" s="18">
        <v>-363.327</v>
      </c>
      <c r="G39" s="18">
        <v>43.712000000000003</v>
      </c>
      <c r="H39" s="18">
        <v>111.53100000000001</v>
      </c>
      <c r="I39" s="18">
        <v>111.459</v>
      </c>
      <c r="J39" s="18">
        <v>244.506</v>
      </c>
      <c r="K39" s="18">
        <v>16.545000000000002</v>
      </c>
      <c r="L39" s="18">
        <v>-11.368</v>
      </c>
      <c r="M39" s="18">
        <v>-163.86500000000001</v>
      </c>
      <c r="N39" s="18">
        <v>-178.815</v>
      </c>
      <c r="O39" s="18">
        <v>-102.239</v>
      </c>
      <c r="P39" s="18">
        <v>-206.27600000000001</v>
      </c>
      <c r="Q39" s="18">
        <v>-324.88</v>
      </c>
      <c r="R39" s="18">
        <v>-218.06299999999999</v>
      </c>
      <c r="S39" s="18">
        <v>-95.063999999999993</v>
      </c>
      <c r="T39" s="18">
        <v>-209.36099999999999</v>
      </c>
      <c r="Y39" s="18">
        <v>-2.4550000000000001</v>
      </c>
      <c r="Z39" s="18">
        <v>-38.575000000000003</v>
      </c>
      <c r="AA39" s="18">
        <v>-57.737000000000002</v>
      </c>
      <c r="AB39" s="18">
        <v>-170.16900000000001</v>
      </c>
      <c r="AC39" s="18">
        <v>28.725999999999999</v>
      </c>
      <c r="AD39" s="18">
        <v>-476.45400000000001</v>
      </c>
      <c r="AE39" s="18">
        <v>-363.327</v>
      </c>
      <c r="AF39" s="18">
        <v>244.506</v>
      </c>
      <c r="AG39" s="18">
        <v>-178.815</v>
      </c>
      <c r="AH39" s="18">
        <v>-218.06299999999999</v>
      </c>
    </row>
    <row r="40" spans="1:35" s="18" customFormat="1" ht="40" x14ac:dyDescent="0.25">
      <c r="A40" s="1"/>
      <c r="B40" s="76" t="s">
        <v>273</v>
      </c>
      <c r="C40" s="18">
        <v>4.78</v>
      </c>
      <c r="D40" s="18">
        <v>0.77500000000000002</v>
      </c>
      <c r="E40" s="18">
        <v>29.298999999999999</v>
      </c>
      <c r="F40" s="18">
        <v>72.185000000000002</v>
      </c>
      <c r="G40" s="18">
        <v>4.78</v>
      </c>
      <c r="H40" s="18">
        <v>2.7690000000000001</v>
      </c>
      <c r="I40" s="18">
        <v>28.288</v>
      </c>
      <c r="J40" s="18">
        <v>7.8869999999999996</v>
      </c>
      <c r="K40" s="18">
        <v>2.117</v>
      </c>
      <c r="L40" s="18">
        <v>-39.759</v>
      </c>
      <c r="M40" s="18">
        <v>-47.412999999999997</v>
      </c>
      <c r="N40" s="18">
        <v>-42.13</v>
      </c>
      <c r="O40" s="18">
        <v>-17.5</v>
      </c>
      <c r="P40" s="18">
        <v>-37.091999999999999</v>
      </c>
      <c r="Q40" s="18">
        <v>-18.466000000000001</v>
      </c>
      <c r="R40" s="18">
        <v>1.921</v>
      </c>
      <c r="S40" s="18">
        <v>-29.068000000000001</v>
      </c>
      <c r="T40" s="18">
        <v>-44.686999999999998</v>
      </c>
      <c r="Y40" s="18">
        <v>2.2000000000000002</v>
      </c>
      <c r="Z40" s="18">
        <v>-21.608000000000001</v>
      </c>
      <c r="AA40" s="18">
        <v>7.3579999999999997</v>
      </c>
      <c r="AB40" s="18">
        <v>-86.072999999999993</v>
      </c>
      <c r="AC40" s="18">
        <v>-33.69</v>
      </c>
      <c r="AD40" s="18">
        <v>-38</v>
      </c>
      <c r="AE40" s="18">
        <v>72.185000000000002</v>
      </c>
      <c r="AF40" s="18">
        <v>7.8869999999999996</v>
      </c>
      <c r="AG40" s="18">
        <v>-42.13</v>
      </c>
      <c r="AH40" s="18">
        <v>1.921</v>
      </c>
    </row>
    <row r="41" spans="1:35" s="18" customFormat="1" x14ac:dyDescent="0.25">
      <c r="A41" s="1"/>
      <c r="B41" s="18" t="s">
        <v>274</v>
      </c>
      <c r="C41" s="18">
        <v>-4.2</v>
      </c>
      <c r="D41" s="18">
        <v>-29.829000000000001</v>
      </c>
      <c r="E41" s="18">
        <v>-64.198999999999998</v>
      </c>
      <c r="F41" s="18">
        <v>-131.268</v>
      </c>
      <c r="G41" s="18">
        <v>-4.2</v>
      </c>
      <c r="H41" s="18">
        <v>45.206000000000003</v>
      </c>
      <c r="I41" s="18">
        <v>55.34</v>
      </c>
      <c r="J41" s="18">
        <v>28.503</v>
      </c>
      <c r="K41" s="18">
        <v>-1.2809999999999999</v>
      </c>
      <c r="L41" s="18">
        <v>92.064999999999998</v>
      </c>
      <c r="M41" s="18">
        <v>124.315</v>
      </c>
      <c r="N41" s="18">
        <v>120.637</v>
      </c>
      <c r="O41" s="18">
        <v>-12.629</v>
      </c>
      <c r="P41" s="18">
        <v>-2.5910000000000002</v>
      </c>
      <c r="Q41" s="18">
        <v>-7.5309999999999997</v>
      </c>
      <c r="R41" s="18">
        <v>-30.518000000000001</v>
      </c>
      <c r="S41" s="18">
        <v>3.4</v>
      </c>
      <c r="T41" s="18">
        <v>59.546999999999997</v>
      </c>
      <c r="Y41" s="18">
        <v>-11.496</v>
      </c>
      <c r="Z41" s="18">
        <v>-17.239999999999998</v>
      </c>
      <c r="AA41" s="18">
        <v>40.628</v>
      </c>
      <c r="AB41" s="18">
        <v>26.192</v>
      </c>
      <c r="AC41" s="18">
        <v>1.4</v>
      </c>
      <c r="AD41" s="18">
        <v>108.946</v>
      </c>
      <c r="AE41" s="18">
        <v>-131.268</v>
      </c>
      <c r="AF41" s="18">
        <v>28.503</v>
      </c>
      <c r="AG41" s="18">
        <v>120.637</v>
      </c>
      <c r="AH41" s="18">
        <v>-30.518000000000001</v>
      </c>
    </row>
    <row r="42" spans="1:35" s="18" customFormat="1" ht="40" x14ac:dyDescent="0.25">
      <c r="A42" s="1"/>
      <c r="B42" s="76" t="s">
        <v>275</v>
      </c>
      <c r="C42" s="18">
        <v>-67.405000000000001</v>
      </c>
      <c r="D42" s="18">
        <v>-74.272999999999996</v>
      </c>
      <c r="E42" s="18">
        <v>-84.287000000000006</v>
      </c>
      <c r="F42" s="18">
        <v>-71.756</v>
      </c>
      <c r="G42" s="18">
        <v>-67.405000000000001</v>
      </c>
      <c r="H42" s="18">
        <v>-39.484000000000002</v>
      </c>
      <c r="I42" s="18">
        <v>0.43</v>
      </c>
      <c r="J42" s="18">
        <v>52.188000000000002</v>
      </c>
      <c r="K42" s="18">
        <v>-64.698999999999998</v>
      </c>
      <c r="L42" s="18">
        <v>-62.098999999999997</v>
      </c>
      <c r="M42" s="18">
        <v>-6.9870000000000001</v>
      </c>
      <c r="N42" s="18">
        <v>24.545999999999999</v>
      </c>
      <c r="O42" s="18">
        <v>-57.318899999999999</v>
      </c>
      <c r="P42" s="18">
        <v>2.4079999999999999</v>
      </c>
      <c r="Q42" s="18">
        <v>1.944</v>
      </c>
      <c r="R42" s="18">
        <v>85.206000000000003</v>
      </c>
      <c r="S42" s="18">
        <v>-90.378</v>
      </c>
      <c r="T42" s="18">
        <v>-68.307000000000002</v>
      </c>
      <c r="Y42" s="18">
        <v>44.765999999999998</v>
      </c>
      <c r="Z42" s="18">
        <v>5.6269999999999998</v>
      </c>
      <c r="AA42" s="18">
        <v>-1.323</v>
      </c>
      <c r="AB42" s="18">
        <v>36.659999999999997</v>
      </c>
      <c r="AC42" s="18">
        <v>87.760999999999996</v>
      </c>
      <c r="AD42" s="18">
        <v>70</v>
      </c>
      <c r="AE42" s="18">
        <v>-71.756</v>
      </c>
      <c r="AF42" s="18">
        <v>52.188000000000002</v>
      </c>
      <c r="AG42" s="18">
        <v>24.545999999999999</v>
      </c>
      <c r="AH42" s="18">
        <v>85.206000000000003</v>
      </c>
    </row>
    <row r="43" spans="1:35" s="16" customFormat="1" x14ac:dyDescent="0.25">
      <c r="A43" s="1"/>
      <c r="B43" s="16" t="s">
        <v>102</v>
      </c>
      <c r="C43" s="16">
        <f t="shared" ref="C43:M43" si="26">SUM(C38:C42)</f>
        <v>23.760000000000005</v>
      </c>
      <c r="D43" s="16">
        <f t="shared" si="26"/>
        <v>-275.66500000000002</v>
      </c>
      <c r="E43" s="16">
        <f t="shared" si="26"/>
        <v>-404.83300000000008</v>
      </c>
      <c r="F43" s="16">
        <f t="shared" si="26"/>
        <v>-326.83</v>
      </c>
      <c r="G43" s="16">
        <f t="shared" si="26"/>
        <v>23.760000000000005</v>
      </c>
      <c r="H43" s="16">
        <f t="shared" si="26"/>
        <v>57.190000000000005</v>
      </c>
      <c r="I43" s="16">
        <f t="shared" si="26"/>
        <v>140.76100000000002</v>
      </c>
      <c r="J43" s="16">
        <f t="shared" si="26"/>
        <v>203.964</v>
      </c>
      <c r="K43" s="16">
        <f t="shared" si="26"/>
        <v>61.135000000000005</v>
      </c>
      <c r="L43" s="16">
        <f t="shared" si="26"/>
        <v>-29.761000000000003</v>
      </c>
      <c r="M43" s="16">
        <f t="shared" si="26"/>
        <v>-197.51700000000002</v>
      </c>
      <c r="N43" s="16">
        <f t="shared" ref="N43:T43" si="27">SUM(N38:N42)</f>
        <v>-272.01800000000003</v>
      </c>
      <c r="O43" s="16">
        <f t="shared" si="27"/>
        <v>23.40209999999999</v>
      </c>
      <c r="P43" s="16">
        <f t="shared" si="27"/>
        <v>-225.64900000000003</v>
      </c>
      <c r="Q43" s="16">
        <f t="shared" si="27"/>
        <v>-280.11500000000001</v>
      </c>
      <c r="R43" s="16">
        <f t="shared" si="27"/>
        <v>-384.26299999999992</v>
      </c>
      <c r="S43" s="16">
        <f t="shared" si="27"/>
        <v>90.680999999999997</v>
      </c>
      <c r="T43" s="16">
        <f t="shared" si="27"/>
        <v>-178.62099999999998</v>
      </c>
      <c r="Y43" s="16">
        <f t="shared" ref="Y43:AB43" si="28">SUM(Y38:Y42)</f>
        <v>42.015000000000001</v>
      </c>
      <c r="Z43" s="16">
        <f t="shared" si="28"/>
        <v>-111.88400000000001</v>
      </c>
      <c r="AA43" s="16">
        <f t="shared" si="28"/>
        <v>-3.7840000000000056</v>
      </c>
      <c r="AB43" s="16">
        <f t="shared" si="28"/>
        <v>-316.79099999999994</v>
      </c>
      <c r="AC43" s="16">
        <f>SUM(AC38:AC42)</f>
        <v>-24.661999999999992</v>
      </c>
      <c r="AD43" s="16">
        <f t="shared" ref="AD43:AI43" si="29">SUM(AD38:AD42)</f>
        <v>-354.61399999999992</v>
      </c>
      <c r="AE43" s="16">
        <f t="shared" si="29"/>
        <v>-326.83</v>
      </c>
      <c r="AF43" s="16">
        <f t="shared" si="29"/>
        <v>203.964</v>
      </c>
      <c r="AG43" s="16">
        <f t="shared" si="29"/>
        <v>-272.01800000000003</v>
      </c>
      <c r="AH43" s="16">
        <f t="shared" si="29"/>
        <v>-384.26299999999992</v>
      </c>
      <c r="AI43" s="16">
        <f t="shared" si="29"/>
        <v>0</v>
      </c>
    </row>
  </sheetData>
  <phoneticPr fontId="5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96008-10A1-C544-AD70-EB940B20D611}">
  <dimension ref="A3:IT28"/>
  <sheetViews>
    <sheetView showGridLine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G27" sqref="G27"/>
    </sheetView>
  </sheetViews>
  <sheetFormatPr baseColWidth="10" defaultRowHeight="19" x14ac:dyDescent="0.25"/>
  <cols>
    <col min="1" max="1" width="10.83203125" style="1"/>
    <col min="2" max="2" width="10.83203125" style="5"/>
    <col min="3" max="3" width="31.5" style="1" customWidth="1"/>
    <col min="4" max="22" width="10.83203125" style="1"/>
    <col min="23" max="23" width="12.1640625" style="1" bestFit="1" customWidth="1"/>
    <col min="24" max="16384" width="10.83203125" style="1"/>
  </cols>
  <sheetData>
    <row r="3" spans="1:20" x14ac:dyDescent="0.25">
      <c r="A3" s="2"/>
      <c r="D3" s="21" t="s">
        <v>115</v>
      </c>
      <c r="E3" s="21" t="s">
        <v>116</v>
      </c>
      <c r="F3" s="21" t="s">
        <v>117</v>
      </c>
      <c r="G3" s="21" t="s">
        <v>74</v>
      </c>
      <c r="H3" s="21" t="s">
        <v>75</v>
      </c>
      <c r="I3" s="21" t="s">
        <v>76</v>
      </c>
      <c r="J3" s="22" t="s">
        <v>77</v>
      </c>
      <c r="K3" s="21" t="s">
        <v>78</v>
      </c>
      <c r="L3" s="21" t="s">
        <v>79</v>
      </c>
      <c r="M3" s="21" t="s">
        <v>80</v>
      </c>
      <c r="N3" s="21" t="s">
        <v>81</v>
      </c>
      <c r="O3" s="21" t="s">
        <v>82</v>
      </c>
      <c r="P3" s="21" t="s">
        <v>83</v>
      </c>
      <c r="Q3" s="21" t="s">
        <v>84</v>
      </c>
      <c r="R3" s="21" t="s">
        <v>85</v>
      </c>
      <c r="S3" s="21" t="s">
        <v>86</v>
      </c>
      <c r="T3" s="21" t="s">
        <v>87</v>
      </c>
    </row>
    <row r="4" spans="1:20" x14ac:dyDescent="0.25">
      <c r="A4" s="2" t="s">
        <v>184</v>
      </c>
      <c r="C4" s="2" t="s">
        <v>19</v>
      </c>
      <c r="D4" s="16">
        <v>288.39499999999998</v>
      </c>
      <c r="E4" s="16">
        <v>405.21699999999998</v>
      </c>
      <c r="F4" s="16">
        <v>610.52800000000002</v>
      </c>
      <c r="G4" s="16">
        <v>777</v>
      </c>
      <c r="H4" s="16">
        <v>543</v>
      </c>
      <c r="I4" s="16">
        <v>511</v>
      </c>
      <c r="J4" s="17">
        <f>I4*1.26</f>
        <v>643.86</v>
      </c>
      <c r="K4" s="16">
        <f>J4*1.1</f>
        <v>708.24600000000009</v>
      </c>
      <c r="L4" s="16">
        <f t="shared" ref="L4:T4" si="0">K4*1.1</f>
        <v>779.07060000000013</v>
      </c>
      <c r="M4" s="16">
        <f t="shared" si="0"/>
        <v>856.97766000000024</v>
      </c>
      <c r="N4" s="16">
        <f t="shared" si="0"/>
        <v>942.67542600000036</v>
      </c>
      <c r="O4" s="16">
        <f t="shared" si="0"/>
        <v>1036.9429686000005</v>
      </c>
      <c r="P4" s="16">
        <f t="shared" si="0"/>
        <v>1140.6372654600007</v>
      </c>
      <c r="Q4" s="16">
        <f t="shared" si="0"/>
        <v>1254.7009920060009</v>
      </c>
      <c r="R4" s="16">
        <f t="shared" si="0"/>
        <v>1380.171091206601</v>
      </c>
      <c r="S4" s="16">
        <f t="shared" si="0"/>
        <v>1518.1882003272613</v>
      </c>
      <c r="T4" s="16">
        <f t="shared" si="0"/>
        <v>1670.0070203599876</v>
      </c>
    </row>
    <row r="5" spans="1:20" x14ac:dyDescent="0.25">
      <c r="A5" s="47">
        <f>W27</f>
        <v>121.96478052641898</v>
      </c>
      <c r="C5" s="1" t="s">
        <v>20</v>
      </c>
      <c r="D5" s="18">
        <v>-141.29</v>
      </c>
      <c r="E5" s="18">
        <v>-190.69</v>
      </c>
      <c r="F5" s="18">
        <v>-283.41500000000002</v>
      </c>
      <c r="G5" s="18">
        <v>-340</v>
      </c>
      <c r="H5" s="18">
        <v>-259</v>
      </c>
      <c r="I5" s="18">
        <v>-269</v>
      </c>
      <c r="J5" s="19">
        <f>J4*-0.5</f>
        <v>-321.93</v>
      </c>
      <c r="K5" s="18">
        <f t="shared" ref="K5:T5" si="1">K4*-0.5</f>
        <v>-354.12300000000005</v>
      </c>
      <c r="L5" s="18">
        <f t="shared" si="1"/>
        <v>-389.53530000000006</v>
      </c>
      <c r="M5" s="18">
        <f t="shared" si="1"/>
        <v>-428.48883000000012</v>
      </c>
      <c r="N5" s="18">
        <f t="shared" si="1"/>
        <v>-471.33771300000018</v>
      </c>
      <c r="O5" s="18">
        <f t="shared" si="1"/>
        <v>-518.47148430000027</v>
      </c>
      <c r="P5" s="18">
        <f t="shared" si="1"/>
        <v>-570.31863273000033</v>
      </c>
      <c r="Q5" s="18">
        <f t="shared" si="1"/>
        <v>-627.35049600300044</v>
      </c>
      <c r="R5" s="18">
        <f t="shared" si="1"/>
        <v>-690.08554560330049</v>
      </c>
      <c r="S5" s="18">
        <f t="shared" si="1"/>
        <v>-759.09410016363063</v>
      </c>
      <c r="T5" s="18">
        <f t="shared" si="1"/>
        <v>-835.00351017999378</v>
      </c>
    </row>
    <row r="6" spans="1:20" x14ac:dyDescent="0.25">
      <c r="A6" s="12">
        <f>W28</f>
        <v>-0.3109334433535651</v>
      </c>
      <c r="C6" s="1" t="s">
        <v>21</v>
      </c>
      <c r="D6" s="18">
        <f t="shared" ref="D6:T6" si="2">SUM(D4:D5)</f>
        <v>147.10499999999999</v>
      </c>
      <c r="E6" s="18">
        <f t="shared" si="2"/>
        <v>214.52699999999999</v>
      </c>
      <c r="F6" s="18">
        <f t="shared" si="2"/>
        <v>327.113</v>
      </c>
      <c r="G6" s="18">
        <f t="shared" si="2"/>
        <v>437</v>
      </c>
      <c r="H6" s="18">
        <f t="shared" si="2"/>
        <v>284</v>
      </c>
      <c r="I6" s="18">
        <f t="shared" si="2"/>
        <v>242</v>
      </c>
      <c r="J6" s="19">
        <f t="shared" si="2"/>
        <v>321.93</v>
      </c>
      <c r="K6" s="18">
        <f t="shared" si="2"/>
        <v>354.12300000000005</v>
      </c>
      <c r="L6" s="18">
        <f t="shared" si="2"/>
        <v>389.53530000000006</v>
      </c>
      <c r="M6" s="18">
        <f t="shared" si="2"/>
        <v>428.48883000000012</v>
      </c>
      <c r="N6" s="18">
        <f t="shared" si="2"/>
        <v>471.33771300000018</v>
      </c>
      <c r="O6" s="18">
        <f t="shared" si="2"/>
        <v>518.47148430000027</v>
      </c>
      <c r="P6" s="18">
        <f t="shared" si="2"/>
        <v>570.31863273000033</v>
      </c>
      <c r="Q6" s="18">
        <f t="shared" si="2"/>
        <v>627.35049600300044</v>
      </c>
      <c r="R6" s="18">
        <f t="shared" si="2"/>
        <v>690.08554560330049</v>
      </c>
      <c r="S6" s="18">
        <f t="shared" si="2"/>
        <v>759.09410016363063</v>
      </c>
      <c r="T6" s="18">
        <f t="shared" si="2"/>
        <v>835.00351017999378</v>
      </c>
    </row>
    <row r="7" spans="1:20" x14ac:dyDescent="0.25">
      <c r="C7" s="1" t="s">
        <v>22</v>
      </c>
      <c r="D7" s="18">
        <v>-80.281000000000006</v>
      </c>
      <c r="E7" s="18">
        <v>-101.211</v>
      </c>
      <c r="F7" s="18">
        <v>-149.82400000000001</v>
      </c>
      <c r="G7" s="18">
        <v>-161</v>
      </c>
      <c r="H7" s="18">
        <v>-153</v>
      </c>
      <c r="I7" s="18">
        <v>-170</v>
      </c>
      <c r="J7" s="19">
        <f>I7*1.05</f>
        <v>-178.5</v>
      </c>
      <c r="K7" s="18">
        <f>J7*1.05</f>
        <v>-187.42500000000001</v>
      </c>
      <c r="L7" s="18">
        <f t="shared" ref="L7:T7" si="3">K7*1.05</f>
        <v>-196.79625000000001</v>
      </c>
      <c r="M7" s="18">
        <f t="shared" si="3"/>
        <v>-206.63606250000004</v>
      </c>
      <c r="N7" s="18">
        <f t="shared" si="3"/>
        <v>-216.96786562500006</v>
      </c>
      <c r="O7" s="18">
        <f t="shared" si="3"/>
        <v>-227.81625890625008</v>
      </c>
      <c r="P7" s="18">
        <f t="shared" si="3"/>
        <v>-239.2070718515626</v>
      </c>
      <c r="Q7" s="18">
        <f t="shared" si="3"/>
        <v>-251.16742544414075</v>
      </c>
      <c r="R7" s="18">
        <f t="shared" si="3"/>
        <v>-263.72579671634782</v>
      </c>
      <c r="S7" s="18">
        <f t="shared" si="3"/>
        <v>-276.91208655216519</v>
      </c>
      <c r="T7" s="18">
        <f t="shared" si="3"/>
        <v>-290.75769087977346</v>
      </c>
    </row>
    <row r="8" spans="1:20" x14ac:dyDescent="0.25">
      <c r="C8" s="1" t="s">
        <v>23</v>
      </c>
      <c r="D8" s="18">
        <v>-33.664999999999999</v>
      </c>
      <c r="E8" s="18">
        <v>-35.954000000000001</v>
      </c>
      <c r="F8" s="18">
        <v>-52</v>
      </c>
      <c r="G8" s="18">
        <v>-70</v>
      </c>
      <c r="H8" s="18">
        <v>-82</v>
      </c>
      <c r="I8" s="18">
        <v>-77</v>
      </c>
      <c r="J8" s="19">
        <f>I8*1</f>
        <v>-77</v>
      </c>
      <c r="K8" s="18">
        <f t="shared" ref="K8:T8" si="4">J8*1.05</f>
        <v>-80.850000000000009</v>
      </c>
      <c r="L8" s="18">
        <f t="shared" si="4"/>
        <v>-84.892500000000013</v>
      </c>
      <c r="M8" s="18">
        <f t="shared" si="4"/>
        <v>-89.137125000000012</v>
      </c>
      <c r="N8" s="18">
        <f t="shared" si="4"/>
        <v>-93.593981250000013</v>
      </c>
      <c r="O8" s="18">
        <f t="shared" si="4"/>
        <v>-98.273680312500019</v>
      </c>
      <c r="P8" s="18">
        <f t="shared" si="4"/>
        <v>-103.18736432812503</v>
      </c>
      <c r="Q8" s="18">
        <f t="shared" si="4"/>
        <v>-108.34673254453128</v>
      </c>
      <c r="R8" s="18">
        <f t="shared" si="4"/>
        <v>-113.76406917175785</v>
      </c>
      <c r="S8" s="18">
        <f t="shared" si="4"/>
        <v>-119.45227263034575</v>
      </c>
      <c r="T8" s="18">
        <f t="shared" si="4"/>
        <v>-125.42488626186304</v>
      </c>
    </row>
    <row r="9" spans="1:20" x14ac:dyDescent="0.25">
      <c r="C9" s="2" t="s">
        <v>24</v>
      </c>
      <c r="D9" s="16">
        <f t="shared" ref="D9:T9" si="5">SUM(D6:D8)</f>
        <v>33.158999999999985</v>
      </c>
      <c r="E9" s="16">
        <f t="shared" si="5"/>
        <v>77.361999999999995</v>
      </c>
      <c r="F9" s="16">
        <f t="shared" si="5"/>
        <v>125.28899999999999</v>
      </c>
      <c r="G9" s="16">
        <f t="shared" si="5"/>
        <v>206</v>
      </c>
      <c r="H9" s="16">
        <f t="shared" si="5"/>
        <v>49</v>
      </c>
      <c r="I9" s="16">
        <f t="shared" si="5"/>
        <v>-5</v>
      </c>
      <c r="J9" s="17">
        <f t="shared" si="5"/>
        <v>66.430000000000007</v>
      </c>
      <c r="K9" s="16">
        <f t="shared" si="5"/>
        <v>85.848000000000027</v>
      </c>
      <c r="L9" s="16">
        <f t="shared" si="5"/>
        <v>107.84655000000004</v>
      </c>
      <c r="M9" s="16">
        <f t="shared" si="5"/>
        <v>132.71564250000006</v>
      </c>
      <c r="N9" s="16">
        <f t="shared" si="5"/>
        <v>160.77586612500011</v>
      </c>
      <c r="O9" s="16">
        <f t="shared" si="5"/>
        <v>192.38154508125018</v>
      </c>
      <c r="P9" s="16">
        <f t="shared" si="5"/>
        <v>227.9241965503127</v>
      </c>
      <c r="Q9" s="16">
        <f t="shared" si="5"/>
        <v>267.83633801432842</v>
      </c>
      <c r="R9" s="16">
        <f t="shared" si="5"/>
        <v>312.59567971519482</v>
      </c>
      <c r="S9" s="16">
        <f t="shared" si="5"/>
        <v>362.72974098111968</v>
      </c>
      <c r="T9" s="16">
        <f t="shared" si="5"/>
        <v>418.82093303835728</v>
      </c>
    </row>
    <row r="10" spans="1:20" x14ac:dyDescent="0.25">
      <c r="C10" s="1" t="s">
        <v>25</v>
      </c>
      <c r="D10" s="18">
        <v>-23.535</v>
      </c>
      <c r="E10" s="18">
        <v>-31</v>
      </c>
      <c r="F10" s="18">
        <v>-37.798000000000002</v>
      </c>
      <c r="G10" s="18">
        <v>-44</v>
      </c>
      <c r="H10" s="18">
        <v>-44</v>
      </c>
      <c r="I10" s="18">
        <v>-41</v>
      </c>
      <c r="J10" s="19">
        <v>-40</v>
      </c>
      <c r="K10" s="18">
        <v>-40</v>
      </c>
      <c r="L10" s="18">
        <v>-40</v>
      </c>
      <c r="M10" s="18">
        <v>-40</v>
      </c>
      <c r="N10" s="18">
        <v>-40</v>
      </c>
      <c r="O10" s="18">
        <v>-40</v>
      </c>
      <c r="P10" s="18">
        <v>-40</v>
      </c>
      <c r="Q10" s="18">
        <v>-40</v>
      </c>
      <c r="R10" s="18">
        <v>-40</v>
      </c>
      <c r="S10" s="18">
        <v>-40</v>
      </c>
      <c r="T10" s="18">
        <v>-40</v>
      </c>
    </row>
    <row r="11" spans="1:20" x14ac:dyDescent="0.25">
      <c r="C11" s="2" t="s">
        <v>26</v>
      </c>
      <c r="D11" s="16">
        <f t="shared" ref="D11:T11" si="6">SUM(D9:D10)</f>
        <v>9.6239999999999846</v>
      </c>
      <c r="E11" s="16">
        <f t="shared" si="6"/>
        <v>46.361999999999995</v>
      </c>
      <c r="F11" s="16">
        <f t="shared" si="6"/>
        <v>87.490999999999985</v>
      </c>
      <c r="G11" s="16">
        <f t="shared" si="6"/>
        <v>162</v>
      </c>
      <c r="H11" s="16">
        <f t="shared" si="6"/>
        <v>5</v>
      </c>
      <c r="I11" s="16">
        <f t="shared" si="6"/>
        <v>-46</v>
      </c>
      <c r="J11" s="17">
        <f t="shared" si="6"/>
        <v>26.430000000000007</v>
      </c>
      <c r="K11" s="16">
        <f t="shared" si="6"/>
        <v>45.848000000000027</v>
      </c>
      <c r="L11" s="16">
        <f t="shared" si="6"/>
        <v>67.846550000000036</v>
      </c>
      <c r="M11" s="16">
        <f t="shared" si="6"/>
        <v>92.715642500000058</v>
      </c>
      <c r="N11" s="16">
        <f t="shared" si="6"/>
        <v>120.77586612500011</v>
      </c>
      <c r="O11" s="16">
        <f t="shared" si="6"/>
        <v>152.38154508125018</v>
      </c>
      <c r="P11" s="16">
        <f t="shared" si="6"/>
        <v>187.9241965503127</v>
      </c>
      <c r="Q11" s="16">
        <f t="shared" si="6"/>
        <v>227.83633801432842</v>
      </c>
      <c r="R11" s="16">
        <f t="shared" si="6"/>
        <v>272.59567971519482</v>
      </c>
      <c r="S11" s="16">
        <f t="shared" si="6"/>
        <v>322.72974098111968</v>
      </c>
      <c r="T11" s="16">
        <f t="shared" si="6"/>
        <v>378.82093303835728</v>
      </c>
    </row>
    <row r="12" spans="1:20" x14ac:dyDescent="0.25">
      <c r="C12" s="1" t="s">
        <v>27</v>
      </c>
      <c r="D12" s="1">
        <v>0</v>
      </c>
      <c r="E12" s="18">
        <f>0</f>
        <v>0</v>
      </c>
      <c r="F12" s="18">
        <v>0</v>
      </c>
      <c r="G12" s="18">
        <v>0</v>
      </c>
      <c r="H12" s="18">
        <v>0</v>
      </c>
      <c r="I12" s="18">
        <v>0</v>
      </c>
      <c r="J12" s="19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</row>
    <row r="13" spans="1:20" x14ac:dyDescent="0.25">
      <c r="C13" s="1" t="s">
        <v>28</v>
      </c>
      <c r="D13" s="18">
        <f>1.9-1.1</f>
        <v>0.79999999999999982</v>
      </c>
      <c r="E13" s="18">
        <f>0.642-1.416</f>
        <v>-0.77399999999999991</v>
      </c>
      <c r="F13" s="18">
        <f>0.73-1.129</f>
        <v>-0.39900000000000002</v>
      </c>
      <c r="G13" s="18">
        <v>5</v>
      </c>
      <c r="H13" s="18">
        <v>6</v>
      </c>
      <c r="I13" s="18">
        <v>-1</v>
      </c>
      <c r="J13" s="19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</row>
    <row r="14" spans="1:20" x14ac:dyDescent="0.25">
      <c r="C14" s="1" t="s">
        <v>29</v>
      </c>
      <c r="D14" s="18">
        <v>-0.375</v>
      </c>
      <c r="E14" s="18">
        <v>-2</v>
      </c>
      <c r="F14" s="18">
        <v>0.73899999999999999</v>
      </c>
      <c r="G14" s="18">
        <v>1</v>
      </c>
      <c r="H14" s="18">
        <v>1</v>
      </c>
      <c r="I14" s="18">
        <v>4</v>
      </c>
      <c r="J14" s="19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</row>
    <row r="15" spans="1:20" x14ac:dyDescent="0.25">
      <c r="C15" s="1" t="s">
        <v>30</v>
      </c>
      <c r="D15" s="18">
        <f t="shared" ref="D15:T15" si="7">SUM(D11:D14)</f>
        <v>10.048999999999985</v>
      </c>
      <c r="E15" s="18">
        <f t="shared" si="7"/>
        <v>43.587999999999994</v>
      </c>
      <c r="F15" s="18">
        <f t="shared" si="7"/>
        <v>87.830999999999989</v>
      </c>
      <c r="G15" s="18">
        <f t="shared" si="7"/>
        <v>168</v>
      </c>
      <c r="H15" s="18">
        <f t="shared" si="7"/>
        <v>12</v>
      </c>
      <c r="I15" s="18">
        <f t="shared" si="7"/>
        <v>-43</v>
      </c>
      <c r="J15" s="19">
        <f t="shared" si="7"/>
        <v>26.430000000000007</v>
      </c>
      <c r="K15" s="18">
        <f t="shared" si="7"/>
        <v>45.848000000000027</v>
      </c>
      <c r="L15" s="18">
        <f t="shared" si="7"/>
        <v>67.846550000000036</v>
      </c>
      <c r="M15" s="18">
        <f t="shared" si="7"/>
        <v>92.715642500000058</v>
      </c>
      <c r="N15" s="18">
        <f t="shared" si="7"/>
        <v>120.77586612500011</v>
      </c>
      <c r="O15" s="18">
        <f t="shared" si="7"/>
        <v>152.38154508125018</v>
      </c>
      <c r="P15" s="18">
        <f t="shared" si="7"/>
        <v>187.9241965503127</v>
      </c>
      <c r="Q15" s="18">
        <f t="shared" si="7"/>
        <v>227.83633801432842</v>
      </c>
      <c r="R15" s="18">
        <f t="shared" si="7"/>
        <v>272.59567971519482</v>
      </c>
      <c r="S15" s="18">
        <f t="shared" si="7"/>
        <v>322.72974098111968</v>
      </c>
      <c r="T15" s="18">
        <f t="shared" si="7"/>
        <v>378.82093303835728</v>
      </c>
    </row>
    <row r="16" spans="1:20" x14ac:dyDescent="0.25">
      <c r="C16" s="1" t="s">
        <v>31</v>
      </c>
      <c r="D16" s="18">
        <v>-2.2999999999999998</v>
      </c>
      <c r="E16" s="18">
        <v>-4.5</v>
      </c>
      <c r="F16" s="18">
        <v>-16.088999999999999</v>
      </c>
      <c r="G16" s="18">
        <v>-45</v>
      </c>
      <c r="H16" s="18">
        <v>-4</v>
      </c>
      <c r="I16" s="18">
        <v>5</v>
      </c>
      <c r="J16" s="19">
        <f>J15*-0.22</f>
        <v>-5.8146000000000013</v>
      </c>
      <c r="K16" s="18">
        <f t="shared" ref="K16:T16" si="8">K15*-0.22</f>
        <v>-10.086560000000006</v>
      </c>
      <c r="L16" s="18">
        <f t="shared" si="8"/>
        <v>-14.926241000000008</v>
      </c>
      <c r="M16" s="18">
        <f t="shared" si="8"/>
        <v>-20.397441350000012</v>
      </c>
      <c r="N16" s="18">
        <f t="shared" si="8"/>
        <v>-26.570690547500025</v>
      </c>
      <c r="O16" s="18">
        <f t="shared" si="8"/>
        <v>-33.52393991787504</v>
      </c>
      <c r="P16" s="18">
        <f t="shared" si="8"/>
        <v>-41.343323241068795</v>
      </c>
      <c r="Q16" s="18">
        <f t="shared" si="8"/>
        <v>-50.123994363152249</v>
      </c>
      <c r="R16" s="18">
        <f t="shared" si="8"/>
        <v>-59.971049537342857</v>
      </c>
      <c r="S16" s="18">
        <f t="shared" si="8"/>
        <v>-71.000543015846333</v>
      </c>
      <c r="T16" s="18">
        <f t="shared" si="8"/>
        <v>-83.340605268438608</v>
      </c>
    </row>
    <row r="17" spans="3:254" x14ac:dyDescent="0.25">
      <c r="C17" s="2" t="s">
        <v>32</v>
      </c>
      <c r="D17" s="16">
        <f t="shared" ref="D17:T17" si="9">SUM(D15:D16)</f>
        <v>7.7489999999999855</v>
      </c>
      <c r="E17" s="16">
        <f t="shared" si="9"/>
        <v>39.087999999999994</v>
      </c>
      <c r="F17" s="16">
        <f t="shared" si="9"/>
        <v>71.74199999999999</v>
      </c>
      <c r="G17" s="16">
        <f t="shared" si="9"/>
        <v>123</v>
      </c>
      <c r="H17" s="16">
        <f t="shared" si="9"/>
        <v>8</v>
      </c>
      <c r="I17" s="16">
        <f t="shared" si="9"/>
        <v>-38</v>
      </c>
      <c r="J17" s="17">
        <f t="shared" si="9"/>
        <v>20.615400000000005</v>
      </c>
      <c r="K17" s="16">
        <f t="shared" si="9"/>
        <v>35.761440000000022</v>
      </c>
      <c r="L17" s="16">
        <f t="shared" si="9"/>
        <v>52.920309000000032</v>
      </c>
      <c r="M17" s="16">
        <f t="shared" si="9"/>
        <v>72.31820115000005</v>
      </c>
      <c r="N17" s="16">
        <f t="shared" si="9"/>
        <v>94.205175577500086</v>
      </c>
      <c r="O17" s="16">
        <f t="shared" si="9"/>
        <v>118.85760516337514</v>
      </c>
      <c r="P17" s="16">
        <f t="shared" si="9"/>
        <v>146.58087330924391</v>
      </c>
      <c r="Q17" s="16">
        <f t="shared" si="9"/>
        <v>177.71234365117618</v>
      </c>
      <c r="R17" s="16">
        <f t="shared" si="9"/>
        <v>212.62463017785197</v>
      </c>
      <c r="S17" s="16">
        <f t="shared" si="9"/>
        <v>251.72919796527333</v>
      </c>
      <c r="T17" s="16">
        <f t="shared" si="9"/>
        <v>295.48032776991869</v>
      </c>
      <c r="U17" s="16">
        <f>T17*(1+$AR$23)</f>
        <v>295.48032776991869</v>
      </c>
      <c r="V17" s="16">
        <f t="shared" ref="V17:CG17" si="10">U17*(1+$AR$23)</f>
        <v>295.48032776991869</v>
      </c>
      <c r="W17" s="16">
        <f t="shared" si="10"/>
        <v>295.48032776991869</v>
      </c>
      <c r="X17" s="16">
        <f t="shared" si="10"/>
        <v>295.48032776991869</v>
      </c>
      <c r="Y17" s="16">
        <f t="shared" si="10"/>
        <v>295.48032776991869</v>
      </c>
      <c r="Z17" s="16">
        <f t="shared" si="10"/>
        <v>295.48032776991869</v>
      </c>
      <c r="AA17" s="16">
        <f t="shared" si="10"/>
        <v>295.48032776991869</v>
      </c>
      <c r="AB17" s="16">
        <f t="shared" si="10"/>
        <v>295.48032776991869</v>
      </c>
      <c r="AC17" s="16">
        <f t="shared" si="10"/>
        <v>295.48032776991869</v>
      </c>
      <c r="AD17" s="16">
        <f t="shared" si="10"/>
        <v>295.48032776991869</v>
      </c>
      <c r="AE17" s="16">
        <f t="shared" si="10"/>
        <v>295.48032776991869</v>
      </c>
      <c r="AF17" s="16">
        <f t="shared" si="10"/>
        <v>295.48032776991869</v>
      </c>
      <c r="AG17" s="16">
        <f t="shared" si="10"/>
        <v>295.48032776991869</v>
      </c>
      <c r="AH17" s="16">
        <f t="shared" si="10"/>
        <v>295.48032776991869</v>
      </c>
      <c r="AI17" s="16">
        <f t="shared" si="10"/>
        <v>295.48032776991869</v>
      </c>
      <c r="AJ17" s="16">
        <f t="shared" si="10"/>
        <v>295.48032776991869</v>
      </c>
      <c r="AK17" s="16">
        <f t="shared" si="10"/>
        <v>295.48032776991869</v>
      </c>
      <c r="AL17" s="16">
        <f t="shared" si="10"/>
        <v>295.48032776991869</v>
      </c>
      <c r="AM17" s="16">
        <f t="shared" si="10"/>
        <v>295.48032776991869</v>
      </c>
      <c r="AN17" s="16">
        <f t="shared" si="10"/>
        <v>295.48032776991869</v>
      </c>
      <c r="AO17" s="16">
        <f t="shared" si="10"/>
        <v>295.48032776991869</v>
      </c>
      <c r="AP17" s="16">
        <f t="shared" si="10"/>
        <v>295.48032776991869</v>
      </c>
      <c r="AQ17" s="16">
        <f t="shared" si="10"/>
        <v>295.48032776991869</v>
      </c>
      <c r="AR17" s="16">
        <f t="shared" si="10"/>
        <v>295.48032776991869</v>
      </c>
      <c r="AS17" s="16">
        <f t="shared" si="10"/>
        <v>295.48032776991869</v>
      </c>
      <c r="AT17" s="16">
        <f t="shared" si="10"/>
        <v>295.48032776991869</v>
      </c>
      <c r="AU17" s="16">
        <f t="shared" si="10"/>
        <v>295.48032776991869</v>
      </c>
      <c r="AV17" s="16">
        <f t="shared" si="10"/>
        <v>295.48032776991869</v>
      </c>
      <c r="AW17" s="16">
        <f t="shared" si="10"/>
        <v>295.48032776991869</v>
      </c>
      <c r="AX17" s="16">
        <f t="shared" si="10"/>
        <v>295.48032776991869</v>
      </c>
      <c r="AY17" s="16">
        <f t="shared" si="10"/>
        <v>295.48032776991869</v>
      </c>
      <c r="AZ17" s="16">
        <f t="shared" si="10"/>
        <v>295.48032776991869</v>
      </c>
      <c r="BA17" s="16">
        <f t="shared" si="10"/>
        <v>295.48032776991869</v>
      </c>
      <c r="BB17" s="16">
        <f t="shared" si="10"/>
        <v>295.48032776991869</v>
      </c>
      <c r="BC17" s="16">
        <f t="shared" si="10"/>
        <v>295.48032776991869</v>
      </c>
      <c r="BD17" s="16">
        <f t="shared" si="10"/>
        <v>295.48032776991869</v>
      </c>
      <c r="BE17" s="16">
        <f t="shared" si="10"/>
        <v>295.48032776991869</v>
      </c>
      <c r="BF17" s="16">
        <f t="shared" si="10"/>
        <v>295.48032776991869</v>
      </c>
      <c r="BG17" s="16">
        <f t="shared" si="10"/>
        <v>295.48032776991869</v>
      </c>
      <c r="BH17" s="16">
        <f t="shared" si="10"/>
        <v>295.48032776991869</v>
      </c>
      <c r="BI17" s="16">
        <f t="shared" si="10"/>
        <v>295.48032776991869</v>
      </c>
      <c r="BJ17" s="16">
        <f t="shared" si="10"/>
        <v>295.48032776991869</v>
      </c>
      <c r="BK17" s="16">
        <f t="shared" si="10"/>
        <v>295.48032776991869</v>
      </c>
      <c r="BL17" s="16">
        <f t="shared" si="10"/>
        <v>295.48032776991869</v>
      </c>
      <c r="BM17" s="16">
        <f t="shared" si="10"/>
        <v>295.48032776991869</v>
      </c>
      <c r="BN17" s="16">
        <f t="shared" si="10"/>
        <v>295.48032776991869</v>
      </c>
      <c r="BO17" s="16">
        <f t="shared" si="10"/>
        <v>295.48032776991869</v>
      </c>
      <c r="BP17" s="16">
        <f t="shared" si="10"/>
        <v>295.48032776991869</v>
      </c>
      <c r="BQ17" s="16">
        <f t="shared" si="10"/>
        <v>295.48032776991869</v>
      </c>
      <c r="BR17" s="16">
        <f t="shared" si="10"/>
        <v>295.48032776991869</v>
      </c>
      <c r="BS17" s="16">
        <f t="shared" si="10"/>
        <v>295.48032776991869</v>
      </c>
      <c r="BT17" s="16">
        <f t="shared" si="10"/>
        <v>295.48032776991869</v>
      </c>
      <c r="BU17" s="16">
        <f t="shared" si="10"/>
        <v>295.48032776991869</v>
      </c>
      <c r="BV17" s="16">
        <f t="shared" si="10"/>
        <v>295.48032776991869</v>
      </c>
      <c r="BW17" s="16">
        <f t="shared" si="10"/>
        <v>295.48032776991869</v>
      </c>
      <c r="BX17" s="16">
        <f t="shared" si="10"/>
        <v>295.48032776991869</v>
      </c>
      <c r="BY17" s="16">
        <f t="shared" si="10"/>
        <v>295.48032776991869</v>
      </c>
      <c r="BZ17" s="16">
        <f t="shared" si="10"/>
        <v>295.48032776991869</v>
      </c>
      <c r="CA17" s="16">
        <f t="shared" si="10"/>
        <v>295.48032776991869</v>
      </c>
      <c r="CB17" s="16">
        <f t="shared" si="10"/>
        <v>295.48032776991869</v>
      </c>
      <c r="CC17" s="16">
        <f t="shared" si="10"/>
        <v>295.48032776991869</v>
      </c>
      <c r="CD17" s="16">
        <f t="shared" si="10"/>
        <v>295.48032776991869</v>
      </c>
      <c r="CE17" s="16">
        <f t="shared" si="10"/>
        <v>295.48032776991869</v>
      </c>
      <c r="CF17" s="16">
        <f t="shared" si="10"/>
        <v>295.48032776991869</v>
      </c>
      <c r="CG17" s="16">
        <f t="shared" si="10"/>
        <v>295.48032776991869</v>
      </c>
      <c r="CH17" s="16">
        <f t="shared" ref="CH17:ES17" si="11">CG17*(1+$AR$23)</f>
        <v>295.48032776991869</v>
      </c>
      <c r="CI17" s="16">
        <f t="shared" si="11"/>
        <v>295.48032776991869</v>
      </c>
      <c r="CJ17" s="16">
        <f t="shared" si="11"/>
        <v>295.48032776991869</v>
      </c>
      <c r="CK17" s="16">
        <f t="shared" si="11"/>
        <v>295.48032776991869</v>
      </c>
      <c r="CL17" s="16">
        <f t="shared" si="11"/>
        <v>295.48032776991869</v>
      </c>
      <c r="CM17" s="16">
        <f t="shared" si="11"/>
        <v>295.48032776991869</v>
      </c>
      <c r="CN17" s="16">
        <f t="shared" si="11"/>
        <v>295.48032776991869</v>
      </c>
      <c r="CO17" s="16">
        <f t="shared" si="11"/>
        <v>295.48032776991869</v>
      </c>
      <c r="CP17" s="16">
        <f t="shared" si="11"/>
        <v>295.48032776991869</v>
      </c>
      <c r="CQ17" s="16">
        <f t="shared" si="11"/>
        <v>295.48032776991869</v>
      </c>
      <c r="CR17" s="16">
        <f t="shared" si="11"/>
        <v>295.48032776991869</v>
      </c>
      <c r="CS17" s="16">
        <f t="shared" si="11"/>
        <v>295.48032776991869</v>
      </c>
      <c r="CT17" s="16">
        <f t="shared" si="11"/>
        <v>295.48032776991869</v>
      </c>
      <c r="CU17" s="16">
        <f t="shared" si="11"/>
        <v>295.48032776991869</v>
      </c>
      <c r="CV17" s="16">
        <f t="shared" si="11"/>
        <v>295.48032776991869</v>
      </c>
      <c r="CW17" s="16">
        <f t="shared" si="11"/>
        <v>295.48032776991869</v>
      </c>
      <c r="CX17" s="16">
        <f t="shared" si="11"/>
        <v>295.48032776991869</v>
      </c>
      <c r="CY17" s="16">
        <f t="shared" si="11"/>
        <v>295.48032776991869</v>
      </c>
      <c r="CZ17" s="16">
        <f t="shared" si="11"/>
        <v>295.48032776991869</v>
      </c>
      <c r="DA17" s="16">
        <f t="shared" si="11"/>
        <v>295.48032776991869</v>
      </c>
      <c r="DB17" s="16">
        <f t="shared" si="11"/>
        <v>295.48032776991869</v>
      </c>
      <c r="DC17" s="16">
        <f t="shared" si="11"/>
        <v>295.48032776991869</v>
      </c>
      <c r="DD17" s="16">
        <f t="shared" si="11"/>
        <v>295.48032776991869</v>
      </c>
      <c r="DE17" s="16">
        <f t="shared" si="11"/>
        <v>295.48032776991869</v>
      </c>
      <c r="DF17" s="16">
        <f t="shared" si="11"/>
        <v>295.48032776991869</v>
      </c>
      <c r="DG17" s="16">
        <f t="shared" si="11"/>
        <v>295.48032776991869</v>
      </c>
      <c r="DH17" s="16">
        <f t="shared" si="11"/>
        <v>295.48032776991869</v>
      </c>
      <c r="DI17" s="16">
        <f t="shared" si="11"/>
        <v>295.48032776991869</v>
      </c>
      <c r="DJ17" s="16">
        <f t="shared" si="11"/>
        <v>295.48032776991869</v>
      </c>
      <c r="DK17" s="16">
        <f t="shared" si="11"/>
        <v>295.48032776991869</v>
      </c>
      <c r="DL17" s="16">
        <f t="shared" si="11"/>
        <v>295.48032776991869</v>
      </c>
      <c r="DM17" s="16">
        <f t="shared" si="11"/>
        <v>295.48032776991869</v>
      </c>
      <c r="DN17" s="16">
        <f t="shared" si="11"/>
        <v>295.48032776991869</v>
      </c>
      <c r="DO17" s="16">
        <f t="shared" si="11"/>
        <v>295.48032776991869</v>
      </c>
      <c r="DP17" s="16">
        <f t="shared" si="11"/>
        <v>295.48032776991869</v>
      </c>
      <c r="DQ17" s="16">
        <f t="shared" si="11"/>
        <v>295.48032776991869</v>
      </c>
      <c r="DR17" s="16">
        <f t="shared" si="11"/>
        <v>295.48032776991869</v>
      </c>
      <c r="DS17" s="16">
        <f t="shared" si="11"/>
        <v>295.48032776991869</v>
      </c>
      <c r="DT17" s="16">
        <f t="shared" si="11"/>
        <v>295.48032776991869</v>
      </c>
      <c r="DU17" s="16">
        <f t="shared" si="11"/>
        <v>295.48032776991869</v>
      </c>
      <c r="DV17" s="16">
        <f t="shared" si="11"/>
        <v>295.48032776991869</v>
      </c>
      <c r="DW17" s="16">
        <f t="shared" si="11"/>
        <v>295.48032776991869</v>
      </c>
      <c r="DX17" s="16">
        <f t="shared" si="11"/>
        <v>295.48032776991869</v>
      </c>
      <c r="DY17" s="16">
        <f t="shared" si="11"/>
        <v>295.48032776991869</v>
      </c>
      <c r="DZ17" s="16">
        <f t="shared" si="11"/>
        <v>295.48032776991869</v>
      </c>
      <c r="EA17" s="16">
        <f t="shared" si="11"/>
        <v>295.48032776991869</v>
      </c>
      <c r="EB17" s="16">
        <f t="shared" si="11"/>
        <v>295.48032776991869</v>
      </c>
      <c r="EC17" s="16">
        <f t="shared" si="11"/>
        <v>295.48032776991869</v>
      </c>
      <c r="ED17" s="16">
        <f t="shared" si="11"/>
        <v>295.48032776991869</v>
      </c>
      <c r="EE17" s="16">
        <f t="shared" si="11"/>
        <v>295.48032776991869</v>
      </c>
      <c r="EF17" s="16">
        <f t="shared" si="11"/>
        <v>295.48032776991869</v>
      </c>
      <c r="EG17" s="16">
        <f t="shared" si="11"/>
        <v>295.48032776991869</v>
      </c>
      <c r="EH17" s="16">
        <f t="shared" si="11"/>
        <v>295.48032776991869</v>
      </c>
      <c r="EI17" s="16">
        <f t="shared" si="11"/>
        <v>295.48032776991869</v>
      </c>
      <c r="EJ17" s="16">
        <f t="shared" si="11"/>
        <v>295.48032776991869</v>
      </c>
      <c r="EK17" s="16">
        <f t="shared" si="11"/>
        <v>295.48032776991869</v>
      </c>
      <c r="EL17" s="16">
        <f t="shared" si="11"/>
        <v>295.48032776991869</v>
      </c>
      <c r="EM17" s="16">
        <f t="shared" si="11"/>
        <v>295.48032776991869</v>
      </c>
      <c r="EN17" s="16">
        <f t="shared" si="11"/>
        <v>295.48032776991869</v>
      </c>
      <c r="EO17" s="16">
        <f t="shared" si="11"/>
        <v>295.48032776991869</v>
      </c>
      <c r="EP17" s="16">
        <f t="shared" si="11"/>
        <v>295.48032776991869</v>
      </c>
      <c r="EQ17" s="16">
        <f t="shared" si="11"/>
        <v>295.48032776991869</v>
      </c>
      <c r="ER17" s="16">
        <f t="shared" si="11"/>
        <v>295.48032776991869</v>
      </c>
      <c r="ES17" s="16">
        <f t="shared" si="11"/>
        <v>295.48032776991869</v>
      </c>
      <c r="ET17" s="16">
        <f t="shared" ref="ET17:HE17" si="12">ES17*(1+$AR$23)</f>
        <v>295.48032776991869</v>
      </c>
      <c r="EU17" s="16">
        <f t="shared" si="12"/>
        <v>295.48032776991869</v>
      </c>
      <c r="EV17" s="16">
        <f t="shared" si="12"/>
        <v>295.48032776991869</v>
      </c>
      <c r="EW17" s="16">
        <f t="shared" si="12"/>
        <v>295.48032776991869</v>
      </c>
      <c r="EX17" s="16">
        <f t="shared" si="12"/>
        <v>295.48032776991869</v>
      </c>
      <c r="EY17" s="16">
        <f t="shared" si="12"/>
        <v>295.48032776991869</v>
      </c>
      <c r="EZ17" s="16">
        <f t="shared" si="12"/>
        <v>295.48032776991869</v>
      </c>
      <c r="FA17" s="16">
        <f t="shared" si="12"/>
        <v>295.48032776991869</v>
      </c>
      <c r="FB17" s="16">
        <f t="shared" si="12"/>
        <v>295.48032776991869</v>
      </c>
      <c r="FC17" s="16">
        <f t="shared" si="12"/>
        <v>295.48032776991869</v>
      </c>
      <c r="FD17" s="16">
        <f t="shared" si="12"/>
        <v>295.48032776991869</v>
      </c>
      <c r="FE17" s="16">
        <f t="shared" si="12"/>
        <v>295.48032776991869</v>
      </c>
      <c r="FF17" s="16">
        <f t="shared" si="12"/>
        <v>295.48032776991869</v>
      </c>
      <c r="FG17" s="16">
        <f t="shared" si="12"/>
        <v>295.48032776991869</v>
      </c>
      <c r="FH17" s="16">
        <f t="shared" si="12"/>
        <v>295.48032776991869</v>
      </c>
      <c r="FI17" s="16">
        <f t="shared" si="12"/>
        <v>295.48032776991869</v>
      </c>
      <c r="FJ17" s="16">
        <f t="shared" si="12"/>
        <v>295.48032776991869</v>
      </c>
      <c r="FK17" s="16">
        <f t="shared" si="12"/>
        <v>295.48032776991869</v>
      </c>
      <c r="FL17" s="16">
        <f t="shared" si="12"/>
        <v>295.48032776991869</v>
      </c>
      <c r="FM17" s="16">
        <f t="shared" si="12"/>
        <v>295.48032776991869</v>
      </c>
      <c r="FN17" s="16">
        <f t="shared" si="12"/>
        <v>295.48032776991869</v>
      </c>
      <c r="FO17" s="16">
        <f t="shared" si="12"/>
        <v>295.48032776991869</v>
      </c>
      <c r="FP17" s="16">
        <f t="shared" si="12"/>
        <v>295.48032776991869</v>
      </c>
      <c r="FQ17" s="16">
        <f t="shared" si="12"/>
        <v>295.48032776991869</v>
      </c>
      <c r="FR17" s="16">
        <f t="shared" si="12"/>
        <v>295.48032776991869</v>
      </c>
      <c r="FS17" s="16">
        <f t="shared" si="12"/>
        <v>295.48032776991869</v>
      </c>
      <c r="FT17" s="16">
        <f t="shared" si="12"/>
        <v>295.48032776991869</v>
      </c>
      <c r="FU17" s="16">
        <f t="shared" si="12"/>
        <v>295.48032776991869</v>
      </c>
      <c r="FV17" s="16">
        <f t="shared" si="12"/>
        <v>295.48032776991869</v>
      </c>
      <c r="FW17" s="16">
        <f t="shared" si="12"/>
        <v>295.48032776991869</v>
      </c>
      <c r="FX17" s="16">
        <f t="shared" si="12"/>
        <v>295.48032776991869</v>
      </c>
      <c r="FY17" s="16">
        <f t="shared" si="12"/>
        <v>295.48032776991869</v>
      </c>
      <c r="FZ17" s="16">
        <f t="shared" si="12"/>
        <v>295.48032776991869</v>
      </c>
      <c r="GA17" s="16">
        <f t="shared" si="12"/>
        <v>295.48032776991869</v>
      </c>
      <c r="GB17" s="16">
        <f t="shared" si="12"/>
        <v>295.48032776991869</v>
      </c>
      <c r="GC17" s="16">
        <f t="shared" si="12"/>
        <v>295.48032776991869</v>
      </c>
      <c r="GD17" s="16">
        <f t="shared" si="12"/>
        <v>295.48032776991869</v>
      </c>
      <c r="GE17" s="16">
        <f t="shared" si="12"/>
        <v>295.48032776991869</v>
      </c>
      <c r="GF17" s="16">
        <f t="shared" si="12"/>
        <v>295.48032776991869</v>
      </c>
      <c r="GG17" s="16">
        <f t="shared" si="12"/>
        <v>295.48032776991869</v>
      </c>
      <c r="GH17" s="16">
        <f t="shared" si="12"/>
        <v>295.48032776991869</v>
      </c>
      <c r="GI17" s="16">
        <f t="shared" si="12"/>
        <v>295.48032776991869</v>
      </c>
      <c r="GJ17" s="16">
        <f t="shared" si="12"/>
        <v>295.48032776991869</v>
      </c>
      <c r="GK17" s="16">
        <f t="shared" si="12"/>
        <v>295.48032776991869</v>
      </c>
      <c r="GL17" s="16">
        <f t="shared" si="12"/>
        <v>295.48032776991869</v>
      </c>
      <c r="GM17" s="16">
        <f t="shared" si="12"/>
        <v>295.48032776991869</v>
      </c>
      <c r="GN17" s="16">
        <f t="shared" si="12"/>
        <v>295.48032776991869</v>
      </c>
      <c r="GO17" s="16">
        <f t="shared" si="12"/>
        <v>295.48032776991869</v>
      </c>
      <c r="GP17" s="16">
        <f t="shared" si="12"/>
        <v>295.48032776991869</v>
      </c>
      <c r="GQ17" s="16">
        <f t="shared" si="12"/>
        <v>295.48032776991869</v>
      </c>
      <c r="GR17" s="16">
        <f t="shared" si="12"/>
        <v>295.48032776991869</v>
      </c>
      <c r="GS17" s="16">
        <f t="shared" si="12"/>
        <v>295.48032776991869</v>
      </c>
      <c r="GT17" s="16">
        <f t="shared" si="12"/>
        <v>295.48032776991869</v>
      </c>
      <c r="GU17" s="16">
        <f t="shared" si="12"/>
        <v>295.48032776991869</v>
      </c>
      <c r="GV17" s="16">
        <f t="shared" si="12"/>
        <v>295.48032776991869</v>
      </c>
      <c r="GW17" s="16">
        <f t="shared" si="12"/>
        <v>295.48032776991869</v>
      </c>
      <c r="GX17" s="16">
        <f t="shared" si="12"/>
        <v>295.48032776991869</v>
      </c>
      <c r="GY17" s="16">
        <f t="shared" si="12"/>
        <v>295.48032776991869</v>
      </c>
      <c r="GZ17" s="16">
        <f t="shared" si="12"/>
        <v>295.48032776991869</v>
      </c>
      <c r="HA17" s="16">
        <f t="shared" si="12"/>
        <v>295.48032776991869</v>
      </c>
      <c r="HB17" s="16">
        <f t="shared" si="12"/>
        <v>295.48032776991869</v>
      </c>
      <c r="HC17" s="16">
        <f t="shared" si="12"/>
        <v>295.48032776991869</v>
      </c>
      <c r="HD17" s="16">
        <f t="shared" si="12"/>
        <v>295.48032776991869</v>
      </c>
      <c r="HE17" s="16">
        <f t="shared" si="12"/>
        <v>295.48032776991869</v>
      </c>
      <c r="HF17" s="16">
        <f t="shared" ref="HF17:IT17" si="13">HE17*(1+$AR$23)</f>
        <v>295.48032776991869</v>
      </c>
      <c r="HG17" s="16">
        <f t="shared" si="13"/>
        <v>295.48032776991869</v>
      </c>
      <c r="HH17" s="16">
        <f t="shared" si="13"/>
        <v>295.48032776991869</v>
      </c>
      <c r="HI17" s="16">
        <f t="shared" si="13"/>
        <v>295.48032776991869</v>
      </c>
      <c r="HJ17" s="16">
        <f t="shared" si="13"/>
        <v>295.48032776991869</v>
      </c>
      <c r="HK17" s="16">
        <f t="shared" si="13"/>
        <v>295.48032776991869</v>
      </c>
      <c r="HL17" s="16">
        <f t="shared" si="13"/>
        <v>295.48032776991869</v>
      </c>
      <c r="HM17" s="16">
        <f t="shared" si="13"/>
        <v>295.48032776991869</v>
      </c>
      <c r="HN17" s="16">
        <f t="shared" si="13"/>
        <v>295.48032776991869</v>
      </c>
      <c r="HO17" s="16">
        <f t="shared" si="13"/>
        <v>295.48032776991869</v>
      </c>
      <c r="HP17" s="16">
        <f t="shared" si="13"/>
        <v>295.48032776991869</v>
      </c>
      <c r="HQ17" s="16">
        <f t="shared" si="13"/>
        <v>295.48032776991869</v>
      </c>
      <c r="HR17" s="16">
        <f t="shared" si="13"/>
        <v>295.48032776991869</v>
      </c>
      <c r="HS17" s="16">
        <f t="shared" si="13"/>
        <v>295.48032776991869</v>
      </c>
      <c r="HT17" s="16">
        <f t="shared" si="13"/>
        <v>295.48032776991869</v>
      </c>
      <c r="HU17" s="16">
        <f t="shared" si="13"/>
        <v>295.48032776991869</v>
      </c>
      <c r="HV17" s="16">
        <f t="shared" si="13"/>
        <v>295.48032776991869</v>
      </c>
      <c r="HW17" s="16">
        <f t="shared" si="13"/>
        <v>295.48032776991869</v>
      </c>
      <c r="HX17" s="16">
        <f t="shared" si="13"/>
        <v>295.48032776991869</v>
      </c>
      <c r="HY17" s="16">
        <f t="shared" si="13"/>
        <v>295.48032776991869</v>
      </c>
      <c r="HZ17" s="16">
        <f t="shared" si="13"/>
        <v>295.48032776991869</v>
      </c>
      <c r="IA17" s="16">
        <f t="shared" si="13"/>
        <v>295.48032776991869</v>
      </c>
      <c r="IB17" s="16">
        <f t="shared" si="13"/>
        <v>295.48032776991869</v>
      </c>
      <c r="IC17" s="16">
        <f t="shared" si="13"/>
        <v>295.48032776991869</v>
      </c>
      <c r="ID17" s="16">
        <f t="shared" si="13"/>
        <v>295.48032776991869</v>
      </c>
      <c r="IE17" s="16">
        <f t="shared" si="13"/>
        <v>295.48032776991869</v>
      </c>
      <c r="IF17" s="16">
        <f t="shared" si="13"/>
        <v>295.48032776991869</v>
      </c>
      <c r="IG17" s="16">
        <f t="shared" si="13"/>
        <v>295.48032776991869</v>
      </c>
      <c r="IH17" s="16">
        <f t="shared" si="13"/>
        <v>295.48032776991869</v>
      </c>
      <c r="II17" s="16">
        <f t="shared" si="13"/>
        <v>295.48032776991869</v>
      </c>
      <c r="IJ17" s="16">
        <f t="shared" si="13"/>
        <v>295.48032776991869</v>
      </c>
      <c r="IK17" s="16">
        <f t="shared" si="13"/>
        <v>295.48032776991869</v>
      </c>
      <c r="IL17" s="16">
        <f t="shared" si="13"/>
        <v>295.48032776991869</v>
      </c>
      <c r="IM17" s="16">
        <f t="shared" si="13"/>
        <v>295.48032776991869</v>
      </c>
      <c r="IN17" s="16">
        <f t="shared" si="13"/>
        <v>295.48032776991869</v>
      </c>
      <c r="IO17" s="16">
        <f t="shared" si="13"/>
        <v>295.48032776991869</v>
      </c>
      <c r="IP17" s="16">
        <f t="shared" si="13"/>
        <v>295.48032776991869</v>
      </c>
      <c r="IQ17" s="16">
        <f t="shared" si="13"/>
        <v>295.48032776991869</v>
      </c>
      <c r="IR17" s="16">
        <f t="shared" si="13"/>
        <v>295.48032776991869</v>
      </c>
      <c r="IS17" s="16">
        <f t="shared" si="13"/>
        <v>295.48032776991869</v>
      </c>
      <c r="IT17" s="16">
        <f t="shared" si="13"/>
        <v>295.48032776991869</v>
      </c>
    </row>
    <row r="18" spans="3:254" x14ac:dyDescent="0.25">
      <c r="C18" s="1" t="s">
        <v>35</v>
      </c>
      <c r="D18" s="10">
        <f t="shared" ref="D18:F18" si="14">(D17*$B$11)/D19</f>
        <v>0</v>
      </c>
      <c r="E18" s="10">
        <f t="shared" si="14"/>
        <v>0</v>
      </c>
      <c r="F18" s="10">
        <f t="shared" si="14"/>
        <v>0</v>
      </c>
      <c r="G18" s="10">
        <f>(G17*$B$11)/G19</f>
        <v>0</v>
      </c>
      <c r="H18" s="10">
        <f>(H17*$B$11)/H19</f>
        <v>0</v>
      </c>
      <c r="I18" s="10">
        <f>(I17*$B$11)/I19</f>
        <v>0</v>
      </c>
      <c r="J18" s="9">
        <f>(J17*$B$11)/J19</f>
        <v>0</v>
      </c>
      <c r="K18" s="10">
        <f t="shared" ref="K18:T18" si="15">(K17*$B$11)/K19</f>
        <v>0</v>
      </c>
      <c r="L18" s="10">
        <f t="shared" si="15"/>
        <v>0</v>
      </c>
      <c r="M18" s="10">
        <f t="shared" si="15"/>
        <v>0</v>
      </c>
      <c r="N18" s="10">
        <f t="shared" si="15"/>
        <v>0</v>
      </c>
      <c r="O18" s="10">
        <f t="shared" si="15"/>
        <v>0</v>
      </c>
      <c r="P18" s="10">
        <f t="shared" si="15"/>
        <v>0</v>
      </c>
      <c r="Q18" s="10">
        <f t="shared" si="15"/>
        <v>0</v>
      </c>
      <c r="R18" s="10">
        <f t="shared" si="15"/>
        <v>0</v>
      </c>
      <c r="S18" s="10">
        <f t="shared" si="15"/>
        <v>0</v>
      </c>
      <c r="T18" s="10">
        <f t="shared" si="15"/>
        <v>0</v>
      </c>
    </row>
    <row r="19" spans="3:254" x14ac:dyDescent="0.25">
      <c r="C19" s="1" t="s">
        <v>33</v>
      </c>
      <c r="D19" s="24">
        <v>176.39400000000001</v>
      </c>
      <c r="E19" s="24">
        <v>194.70400000000001</v>
      </c>
      <c r="F19" s="24">
        <v>193.042</v>
      </c>
      <c r="G19" s="7">
        <v>191.36500000000001</v>
      </c>
      <c r="H19" s="7">
        <v>194.70400000000001</v>
      </c>
      <c r="I19" s="7">
        <v>194.70400000000001</v>
      </c>
      <c r="J19" s="8">
        <v>194.70400000000001</v>
      </c>
      <c r="K19" s="7">
        <v>194.70400000000001</v>
      </c>
      <c r="L19" s="7">
        <v>194.70400000000001</v>
      </c>
      <c r="M19" s="7">
        <v>194.70400000000001</v>
      </c>
      <c r="N19" s="7">
        <v>194.70400000000001</v>
      </c>
      <c r="O19" s="7">
        <v>194.70400000000001</v>
      </c>
      <c r="P19" s="7">
        <v>194.70400000000001</v>
      </c>
      <c r="Q19" s="7">
        <v>194.70400000000001</v>
      </c>
      <c r="R19" s="7">
        <v>194.70400000000001</v>
      </c>
      <c r="S19" s="7">
        <v>194.70400000000001</v>
      </c>
      <c r="T19" s="7">
        <v>194.70400000000001</v>
      </c>
    </row>
    <row r="20" spans="3:254" x14ac:dyDescent="0.25">
      <c r="J20" s="5"/>
    </row>
    <row r="21" spans="3:254" x14ac:dyDescent="0.25">
      <c r="C21" s="2" t="s">
        <v>36</v>
      </c>
      <c r="E21" s="12">
        <f t="shared" ref="E21:G21" si="16">(E4-D4)/D4</f>
        <v>0.40507637094956572</v>
      </c>
      <c r="F21" s="12">
        <f t="shared" si="16"/>
        <v>0.50666926609693086</v>
      </c>
      <c r="G21" s="12">
        <f t="shared" si="16"/>
        <v>0.27266890298233654</v>
      </c>
      <c r="H21" s="12">
        <f>(H4-G4)/G4</f>
        <v>-0.30115830115830117</v>
      </c>
      <c r="I21" s="12">
        <f>(I4-H4)/H4</f>
        <v>-5.8931860036832415E-2</v>
      </c>
      <c r="J21" s="13">
        <f t="shared" ref="J21:T21" si="17">(J4-I4)/I4</f>
        <v>0.26</v>
      </c>
      <c r="K21" s="12">
        <f t="shared" si="17"/>
        <v>0.10000000000000013</v>
      </c>
      <c r="L21" s="12">
        <f t="shared" si="17"/>
        <v>0.10000000000000003</v>
      </c>
      <c r="M21" s="12">
        <f t="shared" si="17"/>
        <v>0.10000000000000013</v>
      </c>
      <c r="N21" s="12">
        <f t="shared" si="17"/>
        <v>0.1000000000000001</v>
      </c>
      <c r="O21" s="12">
        <f t="shared" si="17"/>
        <v>0.10000000000000016</v>
      </c>
      <c r="P21" s="12">
        <f t="shared" si="17"/>
        <v>0.10000000000000006</v>
      </c>
      <c r="Q21" s="12">
        <f t="shared" si="17"/>
        <v>0.10000000000000014</v>
      </c>
      <c r="R21" s="12">
        <f t="shared" si="17"/>
        <v>0.1</v>
      </c>
      <c r="S21" s="12">
        <f t="shared" si="17"/>
        <v>0.10000000000000013</v>
      </c>
      <c r="T21" s="12">
        <f t="shared" si="17"/>
        <v>0.10000000000000012</v>
      </c>
    </row>
    <row r="22" spans="3:254" x14ac:dyDescent="0.25">
      <c r="C22" s="1" t="s">
        <v>118</v>
      </c>
      <c r="H22" s="12"/>
      <c r="I22" s="12"/>
      <c r="J22" s="5"/>
      <c r="V22" s="1" t="s">
        <v>121</v>
      </c>
      <c r="W22" s="27">
        <f>Modell!AR22</f>
        <v>0.08</v>
      </c>
    </row>
    <row r="23" spans="3:254" x14ac:dyDescent="0.25">
      <c r="C23" s="1" t="s">
        <v>21</v>
      </c>
      <c r="D23" s="14">
        <f t="shared" ref="D23:F23" si="18">D6/D4</f>
        <v>0.51008165883597145</v>
      </c>
      <c r="E23" s="14">
        <f t="shared" si="18"/>
        <v>0.52941263569889707</v>
      </c>
      <c r="F23" s="14">
        <f t="shared" si="18"/>
        <v>0.53578705644949942</v>
      </c>
      <c r="G23" s="14">
        <f>G6/G4</f>
        <v>0.56241956241956237</v>
      </c>
      <c r="H23" s="14">
        <f>H6/H4</f>
        <v>0.52302025782688766</v>
      </c>
      <c r="I23" s="14">
        <f>I6/I4</f>
        <v>0.47358121330724068</v>
      </c>
      <c r="J23" s="15">
        <f t="shared" ref="J23:T23" si="19">J6/J4</f>
        <v>0.5</v>
      </c>
      <c r="K23" s="14">
        <f t="shared" si="19"/>
        <v>0.5</v>
      </c>
      <c r="L23" s="14">
        <f t="shared" si="19"/>
        <v>0.5</v>
      </c>
      <c r="M23" s="14">
        <f t="shared" si="19"/>
        <v>0.5</v>
      </c>
      <c r="N23" s="14">
        <f t="shared" si="19"/>
        <v>0.5</v>
      </c>
      <c r="O23" s="14">
        <f t="shared" si="19"/>
        <v>0.5</v>
      </c>
      <c r="P23" s="14">
        <f t="shared" si="19"/>
        <v>0.5</v>
      </c>
      <c r="Q23" s="14">
        <f t="shared" si="19"/>
        <v>0.5</v>
      </c>
      <c r="R23" s="14">
        <f t="shared" si="19"/>
        <v>0.5</v>
      </c>
      <c r="S23" s="14">
        <f t="shared" si="19"/>
        <v>0.5</v>
      </c>
      <c r="T23" s="14">
        <f t="shared" si="19"/>
        <v>0.5</v>
      </c>
      <c r="V23" s="1" t="s">
        <v>122</v>
      </c>
      <c r="W23" s="27">
        <v>-0.01</v>
      </c>
    </row>
    <row r="24" spans="3:254" x14ac:dyDescent="0.25">
      <c r="C24" s="1" t="s">
        <v>129</v>
      </c>
      <c r="D24" s="14">
        <f>D9/D4</f>
        <v>0.1149777215277657</v>
      </c>
      <c r="E24" s="14">
        <f t="shared" ref="E24:T24" si="20">E9/E4</f>
        <v>0.19091499122692285</v>
      </c>
      <c r="F24" s="14">
        <f t="shared" si="20"/>
        <v>0.20521417527124061</v>
      </c>
      <c r="G24" s="14">
        <f t="shared" si="20"/>
        <v>0.26512226512226511</v>
      </c>
      <c r="H24" s="14">
        <f t="shared" si="20"/>
        <v>9.0239410681399637E-2</v>
      </c>
      <c r="I24" s="14">
        <f t="shared" si="20"/>
        <v>-9.7847358121330719E-3</v>
      </c>
      <c r="J24" s="15">
        <f t="shared" si="20"/>
        <v>0.10317460317460318</v>
      </c>
      <c r="K24" s="14">
        <f t="shared" si="20"/>
        <v>0.12121212121212123</v>
      </c>
      <c r="L24" s="14">
        <f t="shared" si="20"/>
        <v>0.13842975206611571</v>
      </c>
      <c r="M24" s="14">
        <f t="shared" si="20"/>
        <v>0.15486476333583774</v>
      </c>
      <c r="N24" s="14">
        <f t="shared" si="20"/>
        <v>0.17055272863875423</v>
      </c>
      <c r="O24" s="14">
        <f t="shared" si="20"/>
        <v>0.18552760460971998</v>
      </c>
      <c r="P24" s="14">
        <f t="shared" si="20"/>
        <v>0.19982180440018724</v>
      </c>
      <c r="Q24" s="14">
        <f t="shared" si="20"/>
        <v>0.21346626783654238</v>
      </c>
      <c r="R24" s="14">
        <f t="shared" si="20"/>
        <v>0.22649052838942679</v>
      </c>
      <c r="S24" s="14">
        <f t="shared" si="20"/>
        <v>0.23892277709899834</v>
      </c>
      <c r="T24" s="14">
        <f t="shared" si="20"/>
        <v>0.25078992359449842</v>
      </c>
      <c r="V24" s="1" t="s">
        <v>123</v>
      </c>
      <c r="W24" s="28">
        <f>NPV(W22,J17:IT17)</f>
        <v>2399.2413809726418</v>
      </c>
    </row>
    <row r="25" spans="3:254" x14ac:dyDescent="0.25">
      <c r="V25" s="26" t="s">
        <v>183</v>
      </c>
      <c r="W25" s="29">
        <f>W24*Modell!B11</f>
        <v>23512.565533531892</v>
      </c>
    </row>
    <row r="26" spans="3:254" x14ac:dyDescent="0.25">
      <c r="V26" s="1" t="s">
        <v>125</v>
      </c>
      <c r="W26" s="7">
        <v>192.7816</v>
      </c>
    </row>
    <row r="27" spans="3:254" x14ac:dyDescent="0.25">
      <c r="V27" s="1" t="s">
        <v>126</v>
      </c>
      <c r="W27" s="24">
        <f>W25/W26</f>
        <v>121.96478052641898</v>
      </c>
    </row>
    <row r="28" spans="3:254" x14ac:dyDescent="0.25">
      <c r="V28" s="2" t="s">
        <v>127</v>
      </c>
      <c r="W28" s="12">
        <f>(W27-Modell!B4)/Modell!B4</f>
        <v>-0.3109334433535651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Info</vt:lpstr>
      <vt:lpstr>Modell</vt:lpstr>
      <vt:lpstr>Segmenter</vt:lpstr>
      <vt:lpstr>Nøkkeltall</vt:lpstr>
      <vt:lpstr>Kunder</vt:lpstr>
      <vt:lpstr>Nedsideberegning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hodt</dc:creator>
  <cp:lastModifiedBy>August Hodt</cp:lastModifiedBy>
  <dcterms:created xsi:type="dcterms:W3CDTF">2024-12-29T19:50:36Z</dcterms:created>
  <dcterms:modified xsi:type="dcterms:W3CDTF">2026-09-17T12:42:52Z</dcterms:modified>
</cp:coreProperties>
</file>