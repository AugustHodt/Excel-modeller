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627E5D82-D3E5-DB4E-9A6C-DE82649F9E69}" xr6:coauthVersionLast="47" xr6:coauthVersionMax="47" xr10:uidLastSave="{00000000-0000-0000-0000-000000000000}"/>
  <bookViews>
    <workbookView xWindow="25340" yWindow="500" windowWidth="25440" windowHeight="26500" activeTab="1" xr2:uid="{5AE0DF26-B7DD-1242-A60E-253C73A930AF}"/>
  </bookViews>
  <sheets>
    <sheet name="Info" sheetId="1" r:id="rId1"/>
    <sheet name="Modell" sheetId="2" r:id="rId2"/>
    <sheet name="Segementer" sheetId="4" r:id="rId3"/>
    <sheet name="SOTP" sheetId="6" r:id="rId4"/>
    <sheet name="Nøkkeltall" sheetId="3" r:id="rId5"/>
    <sheet name="Nedsideberegning" sheetId="5" r:id="rId6"/>
  </sheets>
  <definedNames>
    <definedName name="_xlchart.v1.0" hidden="1">SOTP!$B$10:$B$16</definedName>
    <definedName name="_xlchart.v1.1" hidden="1">SOTP!$G$10:$G$16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8" i="2"/>
  <c r="B7" i="2"/>
  <c r="AK4" i="2"/>
  <c r="T46" i="2"/>
  <c r="T7" i="2"/>
  <c r="T10" i="2"/>
  <c r="T21" i="2" s="1"/>
  <c r="T6" i="2"/>
  <c r="W23" i="4"/>
  <c r="T83" i="2"/>
  <c r="T79" i="2"/>
  <c r="T70" i="2"/>
  <c r="T67" i="2"/>
  <c r="T57" i="2"/>
  <c r="T42" i="2"/>
  <c r="T22" i="2"/>
  <c r="T19" i="2"/>
  <c r="T28" i="2"/>
  <c r="T27" i="2"/>
  <c r="T81" i="2" l="1"/>
  <c r="T58" i="2"/>
  <c r="T11" i="2"/>
  <c r="T23" i="2" l="1"/>
  <c r="T13" i="2"/>
  <c r="T61" i="2" l="1"/>
  <c r="T15" i="2"/>
  <c r="T17" i="2" s="1"/>
  <c r="AE57" i="2" l="1"/>
  <c r="AF57" i="2"/>
  <c r="AG57" i="2"/>
  <c r="AH57" i="2"/>
  <c r="AH58" i="2" s="1"/>
  <c r="AI57" i="2"/>
  <c r="AI58" i="2" s="1"/>
  <c r="AE46" i="2"/>
  <c r="AE58" i="2" s="1"/>
  <c r="AF46" i="2"/>
  <c r="AG46" i="2"/>
  <c r="AH46" i="2"/>
  <c r="AI46" i="2"/>
  <c r="AE42" i="2"/>
  <c r="AF42" i="2"/>
  <c r="AG42" i="2"/>
  <c r="AH42" i="2"/>
  <c r="AI42" i="2"/>
  <c r="AJ57" i="2"/>
  <c r="AJ46" i="2"/>
  <c r="AJ42" i="2"/>
  <c r="AP9" i="2"/>
  <c r="AP8" i="2"/>
  <c r="AP7" i="2"/>
  <c r="AK7" i="2"/>
  <c r="AK8" i="2"/>
  <c r="AK9" i="2"/>
  <c r="AG27" i="2"/>
  <c r="AH27" i="2"/>
  <c r="AI27" i="2"/>
  <c r="AJ27" i="2"/>
  <c r="AK5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AJ78" i="2"/>
  <c r="AJ69" i="2"/>
  <c r="AJ66" i="2"/>
  <c r="AJ82" i="2" s="1"/>
  <c r="S65" i="2"/>
  <c r="S66" i="2"/>
  <c r="S42" i="2"/>
  <c r="R42" i="2"/>
  <c r="AF58" i="2" l="1"/>
  <c r="AG58" i="2"/>
  <c r="AJ58" i="2"/>
  <c r="AJ80" i="2"/>
  <c r="N9" i="5"/>
  <c r="N8" i="5"/>
  <c r="N7" i="5"/>
  <c r="N4" i="5"/>
  <c r="Q7" i="4"/>
  <c r="Q14" i="4"/>
  <c r="AL4" i="2" l="1"/>
  <c r="AM4" i="2" s="1"/>
  <c r="AN4" i="2" s="1"/>
  <c r="AO4" i="2" s="1"/>
  <c r="AP4" i="2" s="1"/>
  <c r="AQ4" i="2" s="1"/>
  <c r="AR4" i="2" s="1"/>
  <c r="AS4" i="2" s="1"/>
  <c r="AT4" i="2" s="1"/>
  <c r="N5" i="5"/>
  <c r="F11" i="6"/>
  <c r="G11" i="6" s="1"/>
  <c r="F10" i="6"/>
  <c r="G10" i="6" s="1"/>
  <c r="Q27" i="4"/>
  <c r="Q28" i="4" s="1"/>
  <c r="AA11" i="4"/>
  <c r="V13" i="4"/>
  <c r="Q11" i="4"/>
  <c r="Q12" i="4" s="1"/>
  <c r="V11" i="4"/>
  <c r="G12" i="6" l="1"/>
  <c r="N10" i="5"/>
  <c r="N11" i="5" s="1"/>
  <c r="N13" i="5" s="1"/>
  <c r="N6" i="5"/>
  <c r="Z28" i="4"/>
  <c r="Y12" i="4"/>
  <c r="Z12" i="4"/>
  <c r="AA36" i="4"/>
  <c r="AA35" i="4"/>
  <c r="AA34" i="4"/>
  <c r="AA33" i="4"/>
  <c r="AA31" i="4"/>
  <c r="AA29" i="4"/>
  <c r="Y28" i="4"/>
  <c r="X28" i="4"/>
  <c r="W28" i="4"/>
  <c r="AA25" i="4"/>
  <c r="AA24" i="4"/>
  <c r="Z23" i="4"/>
  <c r="Y23" i="4"/>
  <c r="X23" i="4"/>
  <c r="AA22" i="4"/>
  <c r="AA20" i="4"/>
  <c r="AA19" i="4"/>
  <c r="AA18" i="4"/>
  <c r="AA17" i="4"/>
  <c r="AA15" i="4"/>
  <c r="AA13" i="4"/>
  <c r="X12" i="4"/>
  <c r="W12" i="4"/>
  <c r="AA9" i="4"/>
  <c r="AA8" i="4"/>
  <c r="Z7" i="4"/>
  <c r="Y7" i="4"/>
  <c r="X7" i="4"/>
  <c r="W7" i="4"/>
  <c r="AA6" i="4"/>
  <c r="AA12" i="4" s="1"/>
  <c r="N6" i="2"/>
  <c r="N22" i="2" s="1"/>
  <c r="F14" i="6"/>
  <c r="G14" i="6" s="1"/>
  <c r="F15" i="6"/>
  <c r="G15" i="6" s="1"/>
  <c r="S70" i="2"/>
  <c r="R70" i="2"/>
  <c r="R66" i="2"/>
  <c r="P28" i="4"/>
  <c r="O28" i="4"/>
  <c r="N28" i="4"/>
  <c r="M28" i="4"/>
  <c r="S28" i="4"/>
  <c r="R28" i="4"/>
  <c r="M12" i="4"/>
  <c r="O12" i="4"/>
  <c r="P12" i="4"/>
  <c r="N12" i="4"/>
  <c r="R12" i="4"/>
  <c r="S12" i="4"/>
  <c r="T28" i="4"/>
  <c r="T12" i="4"/>
  <c r="AA30" i="4" l="1"/>
  <c r="AA32" i="4"/>
  <c r="AA10" i="4"/>
  <c r="AA16" i="4"/>
  <c r="AA14" i="4"/>
  <c r="G16" i="6"/>
  <c r="N14" i="5"/>
  <c r="N15" i="5" s="1"/>
  <c r="N17" i="5" s="1"/>
  <c r="AA26" i="4"/>
  <c r="P66" i="2"/>
  <c r="Q66" i="2"/>
  <c r="Q70" i="2" l="1"/>
  <c r="Q65" i="2"/>
  <c r="U23" i="4"/>
  <c r="T23" i="4"/>
  <c r="S23" i="4"/>
  <c r="U7" i="4"/>
  <c r="T7" i="4"/>
  <c r="S7" i="4"/>
  <c r="Q79" i="2" l="1"/>
  <c r="R79" i="2"/>
  <c r="S79" i="2"/>
  <c r="Q67" i="2"/>
  <c r="Q83" i="2" s="1"/>
  <c r="R67" i="2"/>
  <c r="R83" i="2" s="1"/>
  <c r="S67" i="2"/>
  <c r="Q57" i="2"/>
  <c r="R57" i="2"/>
  <c r="S57" i="2"/>
  <c r="Q46" i="2"/>
  <c r="R46" i="2"/>
  <c r="S46" i="2"/>
  <c r="AJ24" i="2" s="1"/>
  <c r="Q42" i="2"/>
  <c r="Q10" i="2"/>
  <c r="Q11" i="2" s="1"/>
  <c r="Q13" i="2" s="1"/>
  <c r="R10" i="2"/>
  <c r="R11" i="2" s="1"/>
  <c r="R13" i="2" s="1"/>
  <c r="S10" i="2"/>
  <c r="S11" i="2" s="1"/>
  <c r="S13" i="2" s="1"/>
  <c r="Q6" i="2"/>
  <c r="R6" i="2"/>
  <c r="S6" i="2"/>
  <c r="O31" i="5"/>
  <c r="O32" i="5"/>
  <c r="O30" i="5"/>
  <c r="I46" i="5"/>
  <c r="H45" i="5"/>
  <c r="G45" i="5"/>
  <c r="M44" i="5"/>
  <c r="E44" i="5"/>
  <c r="M42" i="5"/>
  <c r="L42" i="5"/>
  <c r="K42" i="5"/>
  <c r="J42" i="5"/>
  <c r="I42" i="5"/>
  <c r="H42" i="5"/>
  <c r="G42" i="5"/>
  <c r="F42" i="5"/>
  <c r="E42" i="5"/>
  <c r="M36" i="5"/>
  <c r="M38" i="5" s="1"/>
  <c r="M40" i="5" s="1"/>
  <c r="L36" i="5"/>
  <c r="L38" i="5" s="1"/>
  <c r="L40" i="5" s="1"/>
  <c r="I36" i="5"/>
  <c r="I38" i="5" s="1"/>
  <c r="I40" i="5" s="1"/>
  <c r="D36" i="5"/>
  <c r="D38" i="5" s="1"/>
  <c r="M34" i="5"/>
  <c r="M46" i="5" s="1"/>
  <c r="L34" i="5"/>
  <c r="L46" i="5" s="1"/>
  <c r="J34" i="5"/>
  <c r="J36" i="5" s="1"/>
  <c r="J38" i="5" s="1"/>
  <c r="J40" i="5" s="1"/>
  <c r="I34" i="5"/>
  <c r="D34" i="5"/>
  <c r="D46" i="5" s="1"/>
  <c r="M33" i="5"/>
  <c r="L33" i="5"/>
  <c r="K33" i="5"/>
  <c r="K44" i="5" s="1"/>
  <c r="J33" i="5"/>
  <c r="J44" i="5" s="1"/>
  <c r="I33" i="5"/>
  <c r="G33" i="5"/>
  <c r="G34" i="5" s="1"/>
  <c r="G46" i="5" s="1"/>
  <c r="F33" i="5"/>
  <c r="F34" i="5" s="1"/>
  <c r="D33" i="5"/>
  <c r="P32" i="5"/>
  <c r="Q32" i="5" s="1"/>
  <c r="R32" i="5" s="1"/>
  <c r="S32" i="5" s="1"/>
  <c r="T32" i="5" s="1"/>
  <c r="U32" i="5" s="1"/>
  <c r="V32" i="5" s="1"/>
  <c r="W32" i="5" s="1"/>
  <c r="X32" i="5" s="1"/>
  <c r="N31" i="5"/>
  <c r="P31" i="5" s="1"/>
  <c r="Q31" i="5" s="1"/>
  <c r="R31" i="5" s="1"/>
  <c r="S31" i="5" s="1"/>
  <c r="T31" i="5" s="1"/>
  <c r="U31" i="5" s="1"/>
  <c r="V31" i="5" s="1"/>
  <c r="W31" i="5" s="1"/>
  <c r="X31" i="5" s="1"/>
  <c r="H31" i="5"/>
  <c r="H33" i="5" s="1"/>
  <c r="G31" i="5"/>
  <c r="F31" i="5"/>
  <c r="E31" i="5"/>
  <c r="E33" i="5" s="1"/>
  <c r="E34" i="5" s="1"/>
  <c r="N30" i="5"/>
  <c r="M29" i="5"/>
  <c r="M45" i="5" s="1"/>
  <c r="L29" i="5"/>
  <c r="L45" i="5" s="1"/>
  <c r="K29" i="5"/>
  <c r="K45" i="5" s="1"/>
  <c r="J29" i="5"/>
  <c r="J45" i="5" s="1"/>
  <c r="I29" i="5"/>
  <c r="I45" i="5" s="1"/>
  <c r="H29" i="5"/>
  <c r="G29" i="5"/>
  <c r="F29" i="5"/>
  <c r="F45" i="5" s="1"/>
  <c r="E29" i="5"/>
  <c r="E45" i="5" s="1"/>
  <c r="D29" i="5"/>
  <c r="D45" i="5" s="1"/>
  <c r="N28" i="5"/>
  <c r="N33" i="5" s="1"/>
  <c r="N44" i="5" s="1"/>
  <c r="N27" i="5"/>
  <c r="P9" i="5"/>
  <c r="Q9" i="5"/>
  <c r="R9" i="5"/>
  <c r="S9" i="5"/>
  <c r="T9" i="5"/>
  <c r="U9" i="5"/>
  <c r="V9" i="5" s="1"/>
  <c r="W9" i="5" s="1"/>
  <c r="X9" i="5" s="1"/>
  <c r="O8" i="5"/>
  <c r="P8" i="5" s="1"/>
  <c r="Q8" i="5" s="1"/>
  <c r="R8" i="5" s="1"/>
  <c r="S8" i="5" s="1"/>
  <c r="T8" i="5" s="1"/>
  <c r="U8" i="5" s="1"/>
  <c r="V8" i="5" s="1"/>
  <c r="W8" i="5" s="1"/>
  <c r="X8" i="5" s="1"/>
  <c r="O9" i="5"/>
  <c r="O7" i="5"/>
  <c r="P7" i="5" s="1"/>
  <c r="Q7" i="5" s="1"/>
  <c r="R7" i="5" s="1"/>
  <c r="S7" i="5" s="1"/>
  <c r="T7" i="5" s="1"/>
  <c r="U7" i="5" s="1"/>
  <c r="V7" i="5" s="1"/>
  <c r="W7" i="5" s="1"/>
  <c r="X7" i="5" s="1"/>
  <c r="O4" i="5"/>
  <c r="P4" i="5" s="1"/>
  <c r="Q4" i="5" s="1"/>
  <c r="R4" i="5" s="1"/>
  <c r="S4" i="5" s="1"/>
  <c r="T4" i="5" s="1"/>
  <c r="U4" i="5" s="1"/>
  <c r="V4" i="5" s="1"/>
  <c r="W4" i="5" s="1"/>
  <c r="X4" i="5" s="1"/>
  <c r="S81" i="2" l="1"/>
  <c r="S58" i="2"/>
  <c r="R58" i="2"/>
  <c r="S61" i="2"/>
  <c r="S15" i="2"/>
  <c r="S17" i="2" s="1"/>
  <c r="R81" i="2"/>
  <c r="S83" i="2"/>
  <c r="R61" i="2"/>
  <c r="R15" i="2"/>
  <c r="R17" i="2" s="1"/>
  <c r="Q81" i="2"/>
  <c r="Q58" i="2"/>
  <c r="Q15" i="2"/>
  <c r="Q17" i="2" s="1"/>
  <c r="Q61" i="2"/>
  <c r="P30" i="5"/>
  <c r="Q30" i="5" s="1"/>
  <c r="R30" i="5" s="1"/>
  <c r="S30" i="5" s="1"/>
  <c r="T30" i="5" s="1"/>
  <c r="U30" i="5" s="1"/>
  <c r="V30" i="5" s="1"/>
  <c r="W30" i="5" s="1"/>
  <c r="X30" i="5" s="1"/>
  <c r="F46" i="5"/>
  <c r="F36" i="5"/>
  <c r="F38" i="5" s="1"/>
  <c r="H34" i="5"/>
  <c r="H44" i="5"/>
  <c r="E46" i="5"/>
  <c r="E36" i="5"/>
  <c r="E38" i="5" s="1"/>
  <c r="J46" i="5"/>
  <c r="N29" i="5"/>
  <c r="N45" i="5" s="1"/>
  <c r="O27" i="5"/>
  <c r="N42" i="5"/>
  <c r="L44" i="5"/>
  <c r="K34" i="5"/>
  <c r="F44" i="5"/>
  <c r="N34" i="5"/>
  <c r="I44" i="5"/>
  <c r="G36" i="5"/>
  <c r="G38" i="5" s="1"/>
  <c r="G44" i="5"/>
  <c r="AL9" i="2"/>
  <c r="AM9" i="2" s="1"/>
  <c r="AN9" i="2" s="1"/>
  <c r="AO9" i="2" s="1"/>
  <c r="AQ9" i="2" s="1"/>
  <c r="AR9" i="2" s="1"/>
  <c r="AS9" i="2" s="1"/>
  <c r="AT9" i="2" s="1"/>
  <c r="N46" i="5" l="1"/>
  <c r="N36" i="5"/>
  <c r="K36" i="5"/>
  <c r="K38" i="5" s="1"/>
  <c r="K40" i="5" s="1"/>
  <c r="K46" i="5"/>
  <c r="H46" i="5"/>
  <c r="H36" i="5"/>
  <c r="H38" i="5" s="1"/>
  <c r="P27" i="5"/>
  <c r="O34" i="5"/>
  <c r="O42" i="5"/>
  <c r="O28" i="5"/>
  <c r="O33" i="5" s="1"/>
  <c r="O44" i="5" s="1"/>
  <c r="M19" i="5"/>
  <c r="L19" i="5"/>
  <c r="K19" i="5"/>
  <c r="J19" i="5"/>
  <c r="I19" i="5"/>
  <c r="H19" i="5"/>
  <c r="G19" i="5"/>
  <c r="F19" i="5"/>
  <c r="E19" i="5"/>
  <c r="L13" i="5"/>
  <c r="L15" i="5" s="1"/>
  <c r="D13" i="5"/>
  <c r="D15" i="5" s="1"/>
  <c r="L11" i="5"/>
  <c r="L23" i="5" s="1"/>
  <c r="J11" i="5"/>
  <c r="J23" i="5" s="1"/>
  <c r="I11" i="5"/>
  <c r="I23" i="5" s="1"/>
  <c r="D11" i="5"/>
  <c r="D23" i="5" s="1"/>
  <c r="M10" i="5"/>
  <c r="M21" i="5" s="1"/>
  <c r="L10" i="5"/>
  <c r="L21" i="5" s="1"/>
  <c r="K10" i="5"/>
  <c r="K11" i="5" s="1"/>
  <c r="J10" i="5"/>
  <c r="J21" i="5" s="1"/>
  <c r="I10" i="5"/>
  <c r="G10" i="5"/>
  <c r="G21" i="5" s="1"/>
  <c r="D10" i="5"/>
  <c r="H8" i="5"/>
  <c r="H10" i="5" s="1"/>
  <c r="G8" i="5"/>
  <c r="F8" i="5"/>
  <c r="F10" i="5" s="1"/>
  <c r="E8" i="5"/>
  <c r="E10" i="5" s="1"/>
  <c r="M6" i="5"/>
  <c r="M22" i="5" s="1"/>
  <c r="L6" i="5"/>
  <c r="L22" i="5" s="1"/>
  <c r="K6" i="5"/>
  <c r="K22" i="5" s="1"/>
  <c r="J6" i="5"/>
  <c r="J22" i="5" s="1"/>
  <c r="I6" i="5"/>
  <c r="I22" i="5" s="1"/>
  <c r="H6" i="5"/>
  <c r="H22" i="5" s="1"/>
  <c r="G6" i="5"/>
  <c r="G22" i="5" s="1"/>
  <c r="F6" i="5"/>
  <c r="F22" i="5" s="1"/>
  <c r="E6" i="5"/>
  <c r="E22" i="5" s="1"/>
  <c r="D6" i="5"/>
  <c r="D22" i="5" s="1"/>
  <c r="AB22" i="2"/>
  <c r="Z6" i="2"/>
  <c r="Z22" i="2" s="1"/>
  <c r="AA6" i="2"/>
  <c r="AA22" i="2" s="1"/>
  <c r="AB6" i="2"/>
  <c r="AC6" i="2"/>
  <c r="AC22" i="2" s="1"/>
  <c r="AD6" i="2"/>
  <c r="AD22" i="2" s="1"/>
  <c r="AE6" i="2"/>
  <c r="AE22" i="2" s="1"/>
  <c r="AF6" i="2"/>
  <c r="AF22" i="2" s="1"/>
  <c r="AG6" i="2"/>
  <c r="AG22" i="2" s="1"/>
  <c r="AH6" i="2"/>
  <c r="AH22" i="2" s="1"/>
  <c r="AI6" i="2"/>
  <c r="AI22" i="2" s="1"/>
  <c r="AE10" i="2"/>
  <c r="AF10" i="2"/>
  <c r="AF11" i="2" s="1"/>
  <c r="AG10" i="2"/>
  <c r="AH10" i="2"/>
  <c r="AI10" i="2"/>
  <c r="Z10" i="2"/>
  <c r="Z11" i="2" s="1"/>
  <c r="F22" i="2"/>
  <c r="D6" i="2"/>
  <c r="D22" i="2" s="1"/>
  <c r="E6" i="2"/>
  <c r="E22" i="2" s="1"/>
  <c r="F6" i="2"/>
  <c r="G6" i="2"/>
  <c r="G22" i="2" s="1"/>
  <c r="H6" i="2"/>
  <c r="H22" i="2" s="1"/>
  <c r="I6" i="2"/>
  <c r="I22" i="2" s="1"/>
  <c r="J6" i="2"/>
  <c r="J22" i="2" s="1"/>
  <c r="K6" i="2"/>
  <c r="K22" i="2" s="1"/>
  <c r="L6" i="2"/>
  <c r="L22" i="2" s="1"/>
  <c r="M6" i="2"/>
  <c r="M22" i="2" s="1"/>
  <c r="O6" i="2"/>
  <c r="O22" i="2" s="1"/>
  <c r="D10" i="2"/>
  <c r="D11" i="2" s="1"/>
  <c r="E10" i="2"/>
  <c r="E11" i="2" s="1"/>
  <c r="F10" i="2"/>
  <c r="F11" i="2" s="1"/>
  <c r="G10" i="2"/>
  <c r="G11" i="2" s="1"/>
  <c r="H10" i="2"/>
  <c r="I10" i="2"/>
  <c r="I11" i="2" s="1"/>
  <c r="J10" i="2"/>
  <c r="K10" i="2"/>
  <c r="L10" i="2"/>
  <c r="M10" i="2"/>
  <c r="N10" i="2"/>
  <c r="N11" i="2" s="1"/>
  <c r="O10" i="2"/>
  <c r="O11" i="2" s="1"/>
  <c r="P6" i="2"/>
  <c r="P10" i="2"/>
  <c r="R23" i="2"/>
  <c r="AA8" i="2"/>
  <c r="AA10" i="2" s="1"/>
  <c r="AB8" i="2"/>
  <c r="AB10" i="2" s="1"/>
  <c r="AC8" i="2"/>
  <c r="AC10" i="2" s="1"/>
  <c r="AA19" i="2"/>
  <c r="AB19" i="2"/>
  <c r="AC19" i="2"/>
  <c r="AD19" i="2"/>
  <c r="AE19" i="2"/>
  <c r="AD8" i="2"/>
  <c r="AD10" i="2" s="1"/>
  <c r="Q19" i="2"/>
  <c r="S19" i="2"/>
  <c r="Q22" i="2"/>
  <c r="S22" i="2"/>
  <c r="Q23" i="2"/>
  <c r="S23" i="2"/>
  <c r="R23" i="4"/>
  <c r="V35" i="4"/>
  <c r="V34" i="4"/>
  <c r="V33" i="4"/>
  <c r="V31" i="4"/>
  <c r="V29" i="4"/>
  <c r="V25" i="4"/>
  <c r="V24" i="4"/>
  <c r="V22" i="4"/>
  <c r="V19" i="4"/>
  <c r="V18" i="4"/>
  <c r="V17" i="4"/>
  <c r="V15" i="4"/>
  <c r="V9" i="4"/>
  <c r="V8" i="4"/>
  <c r="V6" i="4"/>
  <c r="L35" i="4"/>
  <c r="L34" i="4"/>
  <c r="L33" i="4"/>
  <c r="L31" i="4"/>
  <c r="L32" i="4" s="1"/>
  <c r="L29" i="4"/>
  <c r="L30" i="4" s="1"/>
  <c r="L25" i="4"/>
  <c r="L24" i="4"/>
  <c r="L22" i="4"/>
  <c r="Q35" i="4"/>
  <c r="Q34" i="4"/>
  <c r="Q33" i="4"/>
  <c r="Q31" i="4"/>
  <c r="Q32" i="4" s="1"/>
  <c r="Q29" i="4"/>
  <c r="Q24" i="4"/>
  <c r="Q22" i="4"/>
  <c r="Q19" i="4"/>
  <c r="Q18" i="4"/>
  <c r="Q17" i="4"/>
  <c r="Q15" i="4"/>
  <c r="Q13" i="4"/>
  <c r="Q8" i="4"/>
  <c r="Q6" i="4"/>
  <c r="L18" i="4"/>
  <c r="L19" i="4"/>
  <c r="L17" i="4"/>
  <c r="L15" i="4"/>
  <c r="L16" i="4" s="1"/>
  <c r="L13" i="4"/>
  <c r="L14" i="4" s="1"/>
  <c r="L9" i="4"/>
  <c r="L10" i="4" s="1"/>
  <c r="L8" i="4"/>
  <c r="L6" i="4"/>
  <c r="P22" i="2" l="1"/>
  <c r="V12" i="4"/>
  <c r="AA7" i="4"/>
  <c r="V28" i="4"/>
  <c r="AA23" i="4"/>
  <c r="AE21" i="2"/>
  <c r="AE11" i="2"/>
  <c r="P21" i="2"/>
  <c r="P11" i="2"/>
  <c r="V14" i="4"/>
  <c r="V30" i="4"/>
  <c r="V32" i="4"/>
  <c r="Q23" i="4"/>
  <c r="L26" i="4"/>
  <c r="V26" i="4"/>
  <c r="V16" i="4"/>
  <c r="V10" i="4"/>
  <c r="V7" i="4"/>
  <c r="Q16" i="4"/>
  <c r="V23" i="4"/>
  <c r="Q30" i="4"/>
  <c r="O46" i="5"/>
  <c r="O36" i="5"/>
  <c r="P42" i="5"/>
  <c r="Q27" i="5"/>
  <c r="P28" i="5"/>
  <c r="P33" i="5" s="1"/>
  <c r="P44" i="5" s="1"/>
  <c r="O29" i="5"/>
  <c r="O45" i="5" s="1"/>
  <c r="N37" i="5"/>
  <c r="N38" i="5" s="1"/>
  <c r="I21" i="5"/>
  <c r="E21" i="5"/>
  <c r="E11" i="5"/>
  <c r="O5" i="5"/>
  <c r="O10" i="5" s="1"/>
  <c r="O21" i="5" s="1"/>
  <c r="O19" i="5"/>
  <c r="F21" i="5"/>
  <c r="F11" i="5"/>
  <c r="K23" i="5"/>
  <c r="K13" i="5"/>
  <c r="K15" i="5" s="1"/>
  <c r="L17" i="5"/>
  <c r="H11" i="5"/>
  <c r="H21" i="5"/>
  <c r="N21" i="5"/>
  <c r="M11" i="5"/>
  <c r="N19" i="5"/>
  <c r="G11" i="5"/>
  <c r="J13" i="5"/>
  <c r="J15" i="5" s="1"/>
  <c r="J17" i="5" s="1"/>
  <c r="I13" i="5"/>
  <c r="I15" i="5" s="1"/>
  <c r="I17" i="5" s="1"/>
  <c r="K21" i="5"/>
  <c r="N22" i="5"/>
  <c r="AC11" i="2"/>
  <c r="AC13" i="2" s="1"/>
  <c r="AC15" i="2" s="1"/>
  <c r="AD11" i="2"/>
  <c r="AD13" i="2" s="1"/>
  <c r="AD15" i="2" s="1"/>
  <c r="R19" i="2"/>
  <c r="R22" i="2"/>
  <c r="Z13" i="2"/>
  <c r="Z15" i="2" s="1"/>
  <c r="Z23" i="2"/>
  <c r="AA21" i="2"/>
  <c r="AA11" i="2"/>
  <c r="AB11" i="2"/>
  <c r="AB21" i="2"/>
  <c r="AD21" i="2"/>
  <c r="AC21" i="2"/>
  <c r="J21" i="2"/>
  <c r="H21" i="2"/>
  <c r="J11" i="2"/>
  <c r="M21" i="2"/>
  <c r="L21" i="2"/>
  <c r="K21" i="2"/>
  <c r="M11" i="2"/>
  <c r="L11" i="2"/>
  <c r="K11" i="2"/>
  <c r="S21" i="2"/>
  <c r="R21" i="2"/>
  <c r="Q21" i="2"/>
  <c r="I21" i="2"/>
  <c r="O21" i="2"/>
  <c r="H11" i="2"/>
  <c r="AF21" i="2"/>
  <c r="N21" i="2"/>
  <c r="P65" i="2"/>
  <c r="P36" i="2"/>
  <c r="P42" i="2" s="1"/>
  <c r="R7" i="4"/>
  <c r="P79" i="2"/>
  <c r="P70" i="2"/>
  <c r="P57" i="2"/>
  <c r="P46" i="2"/>
  <c r="P19" i="2"/>
  <c r="P13" i="2" l="1"/>
  <c r="AD23" i="2"/>
  <c r="AC23" i="2"/>
  <c r="N40" i="5"/>
  <c r="Q42" i="5"/>
  <c r="Q28" i="5"/>
  <c r="Q33" i="5" s="1"/>
  <c r="Q44" i="5" s="1"/>
  <c r="R27" i="5"/>
  <c r="Q34" i="5"/>
  <c r="P34" i="5"/>
  <c r="P29" i="5"/>
  <c r="P45" i="5" s="1"/>
  <c r="O37" i="5"/>
  <c r="O38" i="5" s="1"/>
  <c r="O40" i="5" s="1"/>
  <c r="O11" i="5"/>
  <c r="O6" i="5"/>
  <c r="O22" i="5" s="1"/>
  <c r="E13" i="5"/>
  <c r="E15" i="5" s="1"/>
  <c r="E23" i="5"/>
  <c r="O23" i="5"/>
  <c r="O13" i="5"/>
  <c r="N23" i="5"/>
  <c r="K17" i="5"/>
  <c r="M13" i="5"/>
  <c r="M15" i="5" s="1"/>
  <c r="M23" i="5"/>
  <c r="F13" i="5"/>
  <c r="F15" i="5" s="1"/>
  <c r="F23" i="5"/>
  <c r="P19" i="5"/>
  <c r="P5" i="5"/>
  <c r="P10" i="5" s="1"/>
  <c r="P21" i="5" s="1"/>
  <c r="H23" i="5"/>
  <c r="H13" i="5"/>
  <c r="H15" i="5" s="1"/>
  <c r="G23" i="5"/>
  <c r="G13" i="5"/>
  <c r="G15" i="5" s="1"/>
  <c r="AA23" i="2"/>
  <c r="AA13" i="2"/>
  <c r="AA15" i="2" s="1"/>
  <c r="AB13" i="2"/>
  <c r="AB15" i="2" s="1"/>
  <c r="AB23" i="2"/>
  <c r="P67" i="2"/>
  <c r="P58" i="2"/>
  <c r="P23" i="2"/>
  <c r="P61" i="2"/>
  <c r="P15" i="2"/>
  <c r="P17" i="2" l="1"/>
  <c r="P81" i="2"/>
  <c r="P83" i="2"/>
  <c r="P46" i="5"/>
  <c r="P36" i="5"/>
  <c r="Q46" i="5"/>
  <c r="Q36" i="5"/>
  <c r="R42" i="5"/>
  <c r="R29" i="5"/>
  <c r="R45" i="5" s="1"/>
  <c r="R34" i="5"/>
  <c r="S27" i="5"/>
  <c r="R28" i="5"/>
  <c r="R33" i="5" s="1"/>
  <c r="R44" i="5" s="1"/>
  <c r="Q29" i="5"/>
  <c r="Q45" i="5" s="1"/>
  <c r="O14" i="5"/>
  <c r="O15" i="5" s="1"/>
  <c r="O17" i="5" s="1"/>
  <c r="P11" i="5"/>
  <c r="M17" i="5"/>
  <c r="P6" i="5"/>
  <c r="P22" i="5" s="1"/>
  <c r="Q19" i="5"/>
  <c r="Q5" i="5"/>
  <c r="Q10" i="5" s="1"/>
  <c r="Q21" i="5" s="1"/>
  <c r="AI72" i="2"/>
  <c r="AI73" i="2"/>
  <c r="AI74" i="2"/>
  <c r="AI75" i="2"/>
  <c r="AI76" i="2"/>
  <c r="AI77" i="2"/>
  <c r="AI71" i="2"/>
  <c r="AI68" i="2"/>
  <c r="AI69" i="2" s="1"/>
  <c r="AI62" i="2"/>
  <c r="AI63" i="2"/>
  <c r="AI61" i="2"/>
  <c r="AH65" i="2"/>
  <c r="AH66" i="2" s="1"/>
  <c r="AH82" i="2" s="1"/>
  <c r="AG68" i="2"/>
  <c r="AG69" i="2" s="1"/>
  <c r="AG65" i="2"/>
  <c r="AG66" i="2" s="1"/>
  <c r="AE72" i="2"/>
  <c r="AE78" i="2" s="1"/>
  <c r="AE65" i="2"/>
  <c r="AE66" i="2" s="1"/>
  <c r="AE82" i="2" s="1"/>
  <c r="AF65" i="2"/>
  <c r="AF66" i="2" s="1"/>
  <c r="AF82" i="2" s="1"/>
  <c r="AF19" i="2"/>
  <c r="AE13" i="2"/>
  <c r="AE60" i="2" s="1"/>
  <c r="AF13" i="2"/>
  <c r="AF15" i="2" s="1"/>
  <c r="AF17" i="2" s="1"/>
  <c r="AH78" i="2"/>
  <c r="AG78" i="2"/>
  <c r="AF78" i="2"/>
  <c r="AE69" i="2"/>
  <c r="AF69" i="2"/>
  <c r="AH69" i="2"/>
  <c r="D66" i="2"/>
  <c r="D67" i="2" s="1"/>
  <c r="D83" i="2" s="1"/>
  <c r="E66" i="2"/>
  <c r="E67" i="2" s="1"/>
  <c r="E83" i="2" s="1"/>
  <c r="F66" i="2"/>
  <c r="F67" i="2" s="1"/>
  <c r="F83" i="2" s="1"/>
  <c r="G66" i="2"/>
  <c r="G67" i="2" s="1"/>
  <c r="G83" i="2" s="1"/>
  <c r="H66" i="2"/>
  <c r="H67" i="2" s="1"/>
  <c r="H83" i="2" s="1"/>
  <c r="L66" i="2"/>
  <c r="L67" i="2" s="1"/>
  <c r="L83" i="2" s="1"/>
  <c r="I66" i="2"/>
  <c r="I67" i="2" s="1"/>
  <c r="I83" i="2" s="1"/>
  <c r="M66" i="2"/>
  <c r="M67" i="2" s="1"/>
  <c r="M83" i="2" s="1"/>
  <c r="J66" i="2"/>
  <c r="J67" i="2" s="1"/>
  <c r="J83" i="2" s="1"/>
  <c r="N66" i="2"/>
  <c r="N65" i="2"/>
  <c r="K66" i="2"/>
  <c r="K67" i="2" s="1"/>
  <c r="K83" i="2" s="1"/>
  <c r="D79" i="2"/>
  <c r="E79" i="2"/>
  <c r="F79" i="2"/>
  <c r="G79" i="2"/>
  <c r="H79" i="2"/>
  <c r="I79" i="2"/>
  <c r="J79" i="2"/>
  <c r="K79" i="2"/>
  <c r="L79" i="2"/>
  <c r="M79" i="2"/>
  <c r="N79" i="2"/>
  <c r="D70" i="2"/>
  <c r="E70" i="2"/>
  <c r="F70" i="2"/>
  <c r="G70" i="2"/>
  <c r="H70" i="2"/>
  <c r="I70" i="2"/>
  <c r="J70" i="2"/>
  <c r="K70" i="2"/>
  <c r="L70" i="2"/>
  <c r="M70" i="2"/>
  <c r="N70" i="2"/>
  <c r="O79" i="2"/>
  <c r="O70" i="2"/>
  <c r="O66" i="2"/>
  <c r="O67" i="2" s="1"/>
  <c r="O83" i="2" s="1"/>
  <c r="D57" i="2"/>
  <c r="E57" i="2"/>
  <c r="F57" i="2"/>
  <c r="G57" i="2"/>
  <c r="H57" i="2"/>
  <c r="I57" i="2"/>
  <c r="J57" i="2"/>
  <c r="K57" i="2"/>
  <c r="L57" i="2"/>
  <c r="M57" i="2"/>
  <c r="N57" i="2"/>
  <c r="D46" i="2"/>
  <c r="E46" i="2"/>
  <c r="F46" i="2"/>
  <c r="G46" i="2"/>
  <c r="H46" i="2"/>
  <c r="I46" i="2"/>
  <c r="J46" i="2"/>
  <c r="K46" i="2"/>
  <c r="L46" i="2"/>
  <c r="M46" i="2"/>
  <c r="N46" i="2"/>
  <c r="D42" i="2"/>
  <c r="E42" i="2"/>
  <c r="F42" i="2"/>
  <c r="G42" i="2"/>
  <c r="H42" i="2"/>
  <c r="I42" i="2"/>
  <c r="J42" i="2"/>
  <c r="K42" i="2"/>
  <c r="L42" i="2"/>
  <c r="M42" i="2"/>
  <c r="N42" i="2"/>
  <c r="P23" i="4"/>
  <c r="O23" i="4"/>
  <c r="N23" i="4"/>
  <c r="M23" i="4"/>
  <c r="K23" i="4"/>
  <c r="J23" i="4"/>
  <c r="I7" i="4"/>
  <c r="J7" i="4"/>
  <c r="K7" i="4"/>
  <c r="M7" i="4"/>
  <c r="N7" i="4"/>
  <c r="O7" i="4"/>
  <c r="P7" i="4"/>
  <c r="AG82" i="2" l="1"/>
  <c r="Q37" i="5"/>
  <c r="Q38" i="5" s="1"/>
  <c r="Q40" i="5" s="1"/>
  <c r="S28" i="5"/>
  <c r="S33" i="5" s="1"/>
  <c r="S44" i="5" s="1"/>
  <c r="S34" i="5"/>
  <c r="T27" i="5"/>
  <c r="S42" i="5"/>
  <c r="S29" i="5"/>
  <c r="S45" i="5" s="1"/>
  <c r="P37" i="5"/>
  <c r="P38" i="5" s="1"/>
  <c r="R36" i="5"/>
  <c r="R46" i="5"/>
  <c r="Q6" i="5"/>
  <c r="Q22" i="5" s="1"/>
  <c r="Q11" i="5"/>
  <c r="Q23" i="5" s="1"/>
  <c r="R5" i="5"/>
  <c r="R10" i="5" s="1"/>
  <c r="R21" i="5" s="1"/>
  <c r="R19" i="5"/>
  <c r="R6" i="5"/>
  <c r="R22" i="5" s="1"/>
  <c r="P23" i="5"/>
  <c r="P13" i="5"/>
  <c r="AF23" i="2"/>
  <c r="N67" i="2"/>
  <c r="N83" i="2" s="1"/>
  <c r="AE23" i="2"/>
  <c r="AI64" i="2"/>
  <c r="AI65" i="2"/>
  <c r="AI66" i="2" s="1"/>
  <c r="AI82" i="2" s="1"/>
  <c r="AI78" i="2"/>
  <c r="AH80" i="2"/>
  <c r="AG80" i="2"/>
  <c r="AF60" i="2"/>
  <c r="AE80" i="2"/>
  <c r="AF80" i="2"/>
  <c r="AE15" i="2"/>
  <c r="AE17" i="2" s="1"/>
  <c r="O81" i="2"/>
  <c r="N58" i="2"/>
  <c r="F58" i="2"/>
  <c r="H58" i="2"/>
  <c r="G58" i="2"/>
  <c r="D81" i="2"/>
  <c r="E81" i="2"/>
  <c r="F81" i="2"/>
  <c r="G81" i="2"/>
  <c r="H81" i="2"/>
  <c r="L81" i="2"/>
  <c r="I81" i="2"/>
  <c r="M81" i="2"/>
  <c r="J81" i="2"/>
  <c r="N81" i="2"/>
  <c r="K81" i="2"/>
  <c r="L58" i="2"/>
  <c r="D58" i="2"/>
  <c r="E58" i="2"/>
  <c r="K58" i="2"/>
  <c r="J58" i="2"/>
  <c r="I58" i="2"/>
  <c r="M58" i="2"/>
  <c r="P40" i="5" l="1"/>
  <c r="S36" i="5"/>
  <c r="S46" i="5"/>
  <c r="T28" i="5"/>
  <c r="T33" i="5" s="1"/>
  <c r="T44" i="5" s="1"/>
  <c r="T42" i="5"/>
  <c r="T29" i="5"/>
  <c r="T45" i="5" s="1"/>
  <c r="U27" i="5"/>
  <c r="R37" i="5"/>
  <c r="R38" i="5" s="1"/>
  <c r="Q13" i="5"/>
  <c r="S19" i="5"/>
  <c r="S5" i="5"/>
  <c r="S10" i="5" s="1"/>
  <c r="S21" i="5" s="1"/>
  <c r="S6" i="5"/>
  <c r="S22" i="5" s="1"/>
  <c r="Q14" i="5"/>
  <c r="Q15" i="5" s="1"/>
  <c r="Q17" i="5" s="1"/>
  <c r="R11" i="5"/>
  <c r="P14" i="5"/>
  <c r="P15" i="5"/>
  <c r="AI80" i="2"/>
  <c r="P32" i="4"/>
  <c r="P30" i="4"/>
  <c r="P25" i="4"/>
  <c r="Q25" i="4" s="1"/>
  <c r="Q26" i="4" s="1"/>
  <c r="P16" i="4"/>
  <c r="P14" i="4"/>
  <c r="P9" i="4"/>
  <c r="L19" i="2"/>
  <c r="AG21" i="2"/>
  <c r="O57" i="2"/>
  <c r="O46" i="2"/>
  <c r="O42" i="2"/>
  <c r="H19" i="2"/>
  <c r="I19" i="2"/>
  <c r="J19" i="2"/>
  <c r="K19" i="2"/>
  <c r="M19" i="2"/>
  <c r="N19" i="2"/>
  <c r="O19" i="2"/>
  <c r="D23" i="2"/>
  <c r="E23" i="2"/>
  <c r="F23" i="2"/>
  <c r="G23" i="2"/>
  <c r="H23" i="2"/>
  <c r="I23" i="2"/>
  <c r="J13" i="2"/>
  <c r="K13" i="2"/>
  <c r="L13" i="2"/>
  <c r="M23" i="2"/>
  <c r="N23" i="2"/>
  <c r="O23" i="2"/>
  <c r="B6" i="2"/>
  <c r="P10" i="4" l="1"/>
  <c r="Q9" i="4"/>
  <c r="Q10" i="4" s="1"/>
  <c r="R40" i="5"/>
  <c r="V27" i="5"/>
  <c r="U28" i="5"/>
  <c r="U33" i="5" s="1"/>
  <c r="U44" i="5" s="1"/>
  <c r="U42" i="5"/>
  <c r="U34" i="5"/>
  <c r="S37" i="5"/>
  <c r="S38" i="5" s="1"/>
  <c r="S40" i="5" s="1"/>
  <c r="T34" i="5"/>
  <c r="R23" i="5"/>
  <c r="R13" i="5"/>
  <c r="P17" i="5"/>
  <c r="T19" i="5"/>
  <c r="T5" i="5"/>
  <c r="T10" i="5" s="1"/>
  <c r="T21" i="5" s="1"/>
  <c r="T6" i="5"/>
  <c r="T22" i="5" s="1"/>
  <c r="S11" i="5"/>
  <c r="AH11" i="2"/>
  <c r="AH23" i="2" s="1"/>
  <c r="AG19" i="2"/>
  <c r="AG11" i="2"/>
  <c r="AI21" i="2"/>
  <c r="AH21" i="2"/>
  <c r="AI11" i="2"/>
  <c r="AI23" i="2" s="1"/>
  <c r="K23" i="2"/>
  <c r="AL8" i="2"/>
  <c r="AM8" i="2" s="1"/>
  <c r="AN8" i="2" s="1"/>
  <c r="AO8" i="2" s="1"/>
  <c r="AQ8" i="2" s="1"/>
  <c r="AR8" i="2" s="1"/>
  <c r="AS8" i="2" s="1"/>
  <c r="AT8" i="2" s="1"/>
  <c r="K15" i="2"/>
  <c r="K17" i="2" s="1"/>
  <c r="K61" i="2"/>
  <c r="L15" i="2"/>
  <c r="L17" i="2" s="1"/>
  <c r="L61" i="2"/>
  <c r="J15" i="2"/>
  <c r="J17" i="2" s="1"/>
  <c r="J61" i="2"/>
  <c r="O13" i="2"/>
  <c r="AI19" i="2"/>
  <c r="AH19" i="2"/>
  <c r="D13" i="2"/>
  <c r="E13" i="2"/>
  <c r="F13" i="2"/>
  <c r="G13" i="2"/>
  <c r="H13" i="2"/>
  <c r="L23" i="2"/>
  <c r="I13" i="2"/>
  <c r="M13" i="2"/>
  <c r="J23" i="2"/>
  <c r="N13" i="2"/>
  <c r="O58" i="2"/>
  <c r="B9" i="2"/>
  <c r="U46" i="5" l="1"/>
  <c r="U36" i="5"/>
  <c r="W27" i="5"/>
  <c r="V42" i="5"/>
  <c r="V28" i="5"/>
  <c r="V33" i="5" s="1"/>
  <c r="V44" i="5" s="1"/>
  <c r="U29" i="5"/>
  <c r="U45" i="5" s="1"/>
  <c r="T46" i="5"/>
  <c r="T36" i="5"/>
  <c r="U19" i="5"/>
  <c r="U5" i="5"/>
  <c r="U10" i="5" s="1"/>
  <c r="U21" i="5" s="1"/>
  <c r="S23" i="5"/>
  <c r="S13" i="5"/>
  <c r="R14" i="5"/>
  <c r="R15" i="5" s="1"/>
  <c r="T11" i="5"/>
  <c r="AJ10" i="2"/>
  <c r="AJ21" i="2" s="1"/>
  <c r="AL7" i="2"/>
  <c r="AM7" i="2" s="1"/>
  <c r="AN7" i="2" s="1"/>
  <c r="AO7" i="2" s="1"/>
  <c r="AQ7" i="2" s="1"/>
  <c r="AR7" i="2" s="1"/>
  <c r="AS7" i="2" s="1"/>
  <c r="AT7" i="2" s="1"/>
  <c r="AH13" i="2"/>
  <c r="AI13" i="2"/>
  <c r="H15" i="2"/>
  <c r="H17" i="2" s="1"/>
  <c r="H61" i="2"/>
  <c r="E15" i="2"/>
  <c r="E17" i="2" s="1"/>
  <c r="E61" i="2"/>
  <c r="M15" i="2"/>
  <c r="M17" i="2" s="1"/>
  <c r="M61" i="2"/>
  <c r="O15" i="2"/>
  <c r="O17" i="2" s="1"/>
  <c r="O61" i="2"/>
  <c r="G15" i="2"/>
  <c r="G17" i="2" s="1"/>
  <c r="G61" i="2"/>
  <c r="F15" i="2"/>
  <c r="F17" i="2" s="1"/>
  <c r="F61" i="2"/>
  <c r="N15" i="2"/>
  <c r="N17" i="2" s="1"/>
  <c r="N61" i="2"/>
  <c r="D15" i="2"/>
  <c r="D17" i="2" s="1"/>
  <c r="D61" i="2"/>
  <c r="I15" i="2"/>
  <c r="I17" i="2" s="1"/>
  <c r="I61" i="2"/>
  <c r="AJ19" i="2"/>
  <c r="AG23" i="2"/>
  <c r="AG13" i="2"/>
  <c r="AJ6" i="2" l="1"/>
  <c r="AJ22" i="2" s="1"/>
  <c r="V34" i="5"/>
  <c r="X27" i="5"/>
  <c r="W42" i="5"/>
  <c r="W28" i="5"/>
  <c r="W33" i="5" s="1"/>
  <c r="W44" i="5" s="1"/>
  <c r="W29" i="5"/>
  <c r="W45" i="5" s="1"/>
  <c r="V29" i="5"/>
  <c r="V45" i="5" s="1"/>
  <c r="T37" i="5"/>
  <c r="T38" i="5" s="1"/>
  <c r="U37" i="5"/>
  <c r="U38" i="5" s="1"/>
  <c r="U40" i="5" s="1"/>
  <c r="R17" i="5"/>
  <c r="U11" i="5"/>
  <c r="S14" i="5"/>
  <c r="S15" i="5" s="1"/>
  <c r="S17" i="5" s="1"/>
  <c r="T13" i="5"/>
  <c r="T23" i="5"/>
  <c r="U6" i="5"/>
  <c r="U22" i="5" s="1"/>
  <c r="V19" i="5"/>
  <c r="V5" i="5"/>
  <c r="V10" i="5" s="1"/>
  <c r="V21" i="5" s="1"/>
  <c r="AK6" i="2"/>
  <c r="AK26" i="2" s="1"/>
  <c r="AK10" i="2"/>
  <c r="AK21" i="2" s="1"/>
  <c r="AJ11" i="2"/>
  <c r="AH60" i="2"/>
  <c r="AH15" i="2"/>
  <c r="AG15" i="2"/>
  <c r="AG60" i="2"/>
  <c r="AI15" i="2"/>
  <c r="AI60" i="2"/>
  <c r="AL5" i="2"/>
  <c r="AK19" i="2"/>
  <c r="B13" i="2" l="1"/>
  <c r="F8" i="3"/>
  <c r="AK22" i="2"/>
  <c r="AK27" i="2"/>
  <c r="AH17" i="2"/>
  <c r="AH24" i="2"/>
  <c r="AL10" i="2"/>
  <c r="AL21" i="2" s="1"/>
  <c r="AL6" i="2"/>
  <c r="AG17" i="2"/>
  <c r="AG24" i="2"/>
  <c r="AI17" i="2"/>
  <c r="AI24" i="2"/>
  <c r="X42" i="5"/>
  <c r="X28" i="5"/>
  <c r="X33" i="5" s="1"/>
  <c r="X44" i="5" s="1"/>
  <c r="T40" i="5"/>
  <c r="W34" i="5"/>
  <c r="V46" i="5"/>
  <c r="V36" i="5"/>
  <c r="T14" i="5"/>
  <c r="T15" i="5" s="1"/>
  <c r="V6" i="5"/>
  <c r="V22" i="5" s="1"/>
  <c r="V11" i="5"/>
  <c r="U13" i="5"/>
  <c r="U23" i="5"/>
  <c r="W19" i="5"/>
  <c r="W5" i="5"/>
  <c r="W10" i="5" s="1"/>
  <c r="W21" i="5" s="1"/>
  <c r="AJ23" i="2"/>
  <c r="AJ13" i="2"/>
  <c r="AJ60" i="2" s="1"/>
  <c r="AK11" i="2"/>
  <c r="AM5" i="2"/>
  <c r="AL19" i="2"/>
  <c r="AK13" i="2" l="1"/>
  <c r="AK14" i="2" s="1"/>
  <c r="AL22" i="2"/>
  <c r="AL26" i="2"/>
  <c r="AJ15" i="2"/>
  <c r="AJ17" i="2" s="1"/>
  <c r="W46" i="5"/>
  <c r="W36" i="5"/>
  <c r="X29" i="5"/>
  <c r="X45" i="5" s="1"/>
  <c r="X34" i="5"/>
  <c r="V37" i="5"/>
  <c r="V38" i="5"/>
  <c r="V40" i="5" s="1"/>
  <c r="W6" i="5"/>
  <c r="W22" i="5" s="1"/>
  <c r="T17" i="5"/>
  <c r="U14" i="5"/>
  <c r="U15" i="5" s="1"/>
  <c r="U17" i="5" s="1"/>
  <c r="X19" i="5"/>
  <c r="X5" i="5"/>
  <c r="X10" i="5" s="1"/>
  <c r="X21" i="5" s="1"/>
  <c r="V13" i="5"/>
  <c r="V23" i="5"/>
  <c r="W11" i="5"/>
  <c r="F9" i="3"/>
  <c r="AK23" i="2"/>
  <c r="AM6" i="2"/>
  <c r="AM10" i="2"/>
  <c r="AM21" i="2" s="1"/>
  <c r="AK15" i="2"/>
  <c r="AK17" i="2" s="1"/>
  <c r="AL11" i="2"/>
  <c r="AN5" i="2"/>
  <c r="AM19" i="2"/>
  <c r="AL27" i="2" l="1"/>
  <c r="G8" i="3"/>
  <c r="AL13" i="2"/>
  <c r="AL14" i="2" s="1"/>
  <c r="AL15" i="2" s="1"/>
  <c r="AL17" i="2" s="1"/>
  <c r="F10" i="3"/>
  <c r="AM22" i="2"/>
  <c r="AM26" i="2"/>
  <c r="X46" i="5"/>
  <c r="X36" i="5"/>
  <c r="W37" i="5"/>
  <c r="W38" i="5"/>
  <c r="W40" i="5" s="1"/>
  <c r="X11" i="5"/>
  <c r="W23" i="5"/>
  <c r="W13" i="5"/>
  <c r="X6" i="5"/>
  <c r="X22" i="5" s="1"/>
  <c r="V14" i="5"/>
  <c r="V15" i="5" s="1"/>
  <c r="V17" i="5" s="1"/>
  <c r="AN10" i="2"/>
  <c r="AN21" i="2" s="1"/>
  <c r="AN6" i="2"/>
  <c r="G9" i="3"/>
  <c r="AL23" i="2"/>
  <c r="AM11" i="2"/>
  <c r="AO5" i="2"/>
  <c r="AN19" i="2"/>
  <c r="G10" i="3" l="1"/>
  <c r="AM27" i="2"/>
  <c r="H8" i="3"/>
  <c r="AN22" i="2"/>
  <c r="AN26" i="2"/>
  <c r="AN27" i="2" s="1"/>
  <c r="AM13" i="2"/>
  <c r="AM14" i="2" s="1"/>
  <c r="H9" i="3"/>
  <c r="X37" i="5"/>
  <c r="X38" i="5"/>
  <c r="W14" i="5"/>
  <c r="W15" i="5" s="1"/>
  <c r="W17" i="5" s="1"/>
  <c r="X23" i="5"/>
  <c r="X13" i="5"/>
  <c r="AO6" i="2"/>
  <c r="AO10" i="2"/>
  <c r="AO11" i="2" s="1"/>
  <c r="AM23" i="2"/>
  <c r="AN11" i="2"/>
  <c r="AN23" i="2" s="1"/>
  <c r="AP5" i="2"/>
  <c r="AO19" i="2"/>
  <c r="AO22" i="2" l="1"/>
  <c r="AO26" i="2"/>
  <c r="AO27" i="2" s="1"/>
  <c r="AM15" i="2"/>
  <c r="AM17" i="2" s="1"/>
  <c r="Y38" i="5"/>
  <c r="Z38" i="5" s="1"/>
  <c r="AA38" i="5" s="1"/>
  <c r="AB38" i="5" s="1"/>
  <c r="AC38" i="5" s="1"/>
  <c r="AD38" i="5" s="1"/>
  <c r="AE38" i="5" s="1"/>
  <c r="AF38" i="5" s="1"/>
  <c r="AG38" i="5" s="1"/>
  <c r="AH38" i="5" s="1"/>
  <c r="AI38" i="5" s="1"/>
  <c r="AJ38" i="5" s="1"/>
  <c r="AK38" i="5" s="1"/>
  <c r="AL38" i="5" s="1"/>
  <c r="AM38" i="5" s="1"/>
  <c r="AN38" i="5" s="1"/>
  <c r="AO38" i="5" s="1"/>
  <c r="AP38" i="5" s="1"/>
  <c r="AQ38" i="5" s="1"/>
  <c r="AR38" i="5" s="1"/>
  <c r="AS38" i="5" s="1"/>
  <c r="AT38" i="5" s="1"/>
  <c r="AU38" i="5" s="1"/>
  <c r="AV38" i="5" s="1"/>
  <c r="AW38" i="5" s="1"/>
  <c r="AX38" i="5" s="1"/>
  <c r="AY38" i="5" s="1"/>
  <c r="AZ38" i="5" s="1"/>
  <c r="BA38" i="5" s="1"/>
  <c r="BB38" i="5" s="1"/>
  <c r="BC38" i="5" s="1"/>
  <c r="BD38" i="5" s="1"/>
  <c r="BE38" i="5" s="1"/>
  <c r="BF38" i="5" s="1"/>
  <c r="BG38" i="5" s="1"/>
  <c r="BH38" i="5" s="1"/>
  <c r="BI38" i="5" s="1"/>
  <c r="BJ38" i="5" s="1"/>
  <c r="BK38" i="5" s="1"/>
  <c r="BL38" i="5" s="1"/>
  <c r="BM38" i="5" s="1"/>
  <c r="BN38" i="5" s="1"/>
  <c r="BO38" i="5" s="1"/>
  <c r="BP38" i="5" s="1"/>
  <c r="BQ38" i="5" s="1"/>
  <c r="BR38" i="5" s="1"/>
  <c r="BS38" i="5" s="1"/>
  <c r="BT38" i="5" s="1"/>
  <c r="BU38" i="5" s="1"/>
  <c r="BV38" i="5" s="1"/>
  <c r="BW38" i="5" s="1"/>
  <c r="BX38" i="5" s="1"/>
  <c r="BY38" i="5" s="1"/>
  <c r="BZ38" i="5" s="1"/>
  <c r="CA38" i="5" s="1"/>
  <c r="CB38" i="5" s="1"/>
  <c r="CC38" i="5" s="1"/>
  <c r="CD38" i="5" s="1"/>
  <c r="CE38" i="5" s="1"/>
  <c r="CF38" i="5" s="1"/>
  <c r="CG38" i="5" s="1"/>
  <c r="CH38" i="5" s="1"/>
  <c r="CI38" i="5" s="1"/>
  <c r="CJ38" i="5" s="1"/>
  <c r="CK38" i="5" s="1"/>
  <c r="CL38" i="5" s="1"/>
  <c r="CM38" i="5" s="1"/>
  <c r="CN38" i="5" s="1"/>
  <c r="CO38" i="5" s="1"/>
  <c r="CP38" i="5" s="1"/>
  <c r="CQ38" i="5" s="1"/>
  <c r="CR38" i="5" s="1"/>
  <c r="CS38" i="5" s="1"/>
  <c r="CT38" i="5" s="1"/>
  <c r="CU38" i="5" s="1"/>
  <c r="CV38" i="5" s="1"/>
  <c r="CW38" i="5" s="1"/>
  <c r="CX38" i="5" s="1"/>
  <c r="CY38" i="5" s="1"/>
  <c r="CZ38" i="5" s="1"/>
  <c r="DA38" i="5" s="1"/>
  <c r="DB38" i="5" s="1"/>
  <c r="DC38" i="5" s="1"/>
  <c r="DD38" i="5" s="1"/>
  <c r="DE38" i="5" s="1"/>
  <c r="DF38" i="5" s="1"/>
  <c r="DG38" i="5" s="1"/>
  <c r="DH38" i="5" s="1"/>
  <c r="DI38" i="5" s="1"/>
  <c r="DJ38" i="5" s="1"/>
  <c r="DK38" i="5" s="1"/>
  <c r="DL38" i="5" s="1"/>
  <c r="DM38" i="5" s="1"/>
  <c r="DN38" i="5" s="1"/>
  <c r="DO38" i="5" s="1"/>
  <c r="AA43" i="5" s="1"/>
  <c r="AA45" i="5" s="1"/>
  <c r="X40" i="5"/>
  <c r="AO21" i="2"/>
  <c r="X14" i="5"/>
  <c r="X15" i="5"/>
  <c r="Y15" i="5" s="1"/>
  <c r="Z15" i="5" s="1"/>
  <c r="AA15" i="5" s="1"/>
  <c r="AB15" i="5" s="1"/>
  <c r="AC15" i="5" s="1"/>
  <c r="AD15" i="5" s="1"/>
  <c r="AE15" i="5" s="1"/>
  <c r="AF15" i="5" s="1"/>
  <c r="AG15" i="5" s="1"/>
  <c r="AH15" i="5" s="1"/>
  <c r="AI15" i="5" s="1"/>
  <c r="AJ15" i="5" s="1"/>
  <c r="AK15" i="5" s="1"/>
  <c r="AL15" i="5" s="1"/>
  <c r="AM15" i="5" s="1"/>
  <c r="AN15" i="5" s="1"/>
  <c r="AO15" i="5" s="1"/>
  <c r="AP15" i="5" s="1"/>
  <c r="AQ15" i="5" s="1"/>
  <c r="AR15" i="5" s="1"/>
  <c r="AS15" i="5" s="1"/>
  <c r="AT15" i="5" s="1"/>
  <c r="AU15" i="5" s="1"/>
  <c r="AV15" i="5" s="1"/>
  <c r="AW15" i="5" s="1"/>
  <c r="AX15" i="5" s="1"/>
  <c r="AY15" i="5" s="1"/>
  <c r="AZ15" i="5" s="1"/>
  <c r="BA15" i="5" s="1"/>
  <c r="BB15" i="5" s="1"/>
  <c r="BC15" i="5" s="1"/>
  <c r="BD15" i="5" s="1"/>
  <c r="BE15" i="5" s="1"/>
  <c r="BF15" i="5" s="1"/>
  <c r="BG15" i="5" s="1"/>
  <c r="BH15" i="5" s="1"/>
  <c r="BI15" i="5" s="1"/>
  <c r="BJ15" i="5" s="1"/>
  <c r="BK15" i="5" s="1"/>
  <c r="BL15" i="5" s="1"/>
  <c r="BM15" i="5" s="1"/>
  <c r="BN15" i="5" s="1"/>
  <c r="BO15" i="5" s="1"/>
  <c r="BP15" i="5" s="1"/>
  <c r="BQ15" i="5" s="1"/>
  <c r="BR15" i="5" s="1"/>
  <c r="BS15" i="5" s="1"/>
  <c r="BT15" i="5" s="1"/>
  <c r="BU15" i="5" s="1"/>
  <c r="BV15" i="5" s="1"/>
  <c r="BW15" i="5" s="1"/>
  <c r="BX15" i="5" s="1"/>
  <c r="BY15" i="5" s="1"/>
  <c r="BZ15" i="5" s="1"/>
  <c r="CA15" i="5" s="1"/>
  <c r="CB15" i="5" s="1"/>
  <c r="CC15" i="5" s="1"/>
  <c r="CD15" i="5" s="1"/>
  <c r="CE15" i="5" s="1"/>
  <c r="CF15" i="5" s="1"/>
  <c r="CG15" i="5" s="1"/>
  <c r="CH15" i="5" s="1"/>
  <c r="CI15" i="5" s="1"/>
  <c r="CJ15" i="5" s="1"/>
  <c r="CK15" i="5" s="1"/>
  <c r="CL15" i="5" s="1"/>
  <c r="CM15" i="5" s="1"/>
  <c r="CN15" i="5" s="1"/>
  <c r="CO15" i="5" s="1"/>
  <c r="CP15" i="5" s="1"/>
  <c r="CQ15" i="5" s="1"/>
  <c r="CR15" i="5" s="1"/>
  <c r="CS15" i="5" s="1"/>
  <c r="CT15" i="5" s="1"/>
  <c r="CU15" i="5" s="1"/>
  <c r="CV15" i="5" s="1"/>
  <c r="CW15" i="5" s="1"/>
  <c r="CX15" i="5" s="1"/>
  <c r="CY15" i="5" s="1"/>
  <c r="CZ15" i="5" s="1"/>
  <c r="DA15" i="5" s="1"/>
  <c r="DB15" i="5" s="1"/>
  <c r="DC15" i="5" s="1"/>
  <c r="DD15" i="5" s="1"/>
  <c r="DE15" i="5" s="1"/>
  <c r="DF15" i="5" s="1"/>
  <c r="DG15" i="5" s="1"/>
  <c r="DH15" i="5" s="1"/>
  <c r="DI15" i="5" s="1"/>
  <c r="DJ15" i="5" s="1"/>
  <c r="DK15" i="5" s="1"/>
  <c r="DL15" i="5" s="1"/>
  <c r="DM15" i="5" s="1"/>
  <c r="DN15" i="5" s="1"/>
  <c r="DO15" i="5" s="1"/>
  <c r="AN13" i="2"/>
  <c r="AN14" i="2" s="1"/>
  <c r="AN15" i="2" s="1"/>
  <c r="AN17" i="2" s="1"/>
  <c r="AP10" i="2"/>
  <c r="AP21" i="2" s="1"/>
  <c r="AP6" i="2"/>
  <c r="AO13" i="2"/>
  <c r="AO14" i="2" s="1"/>
  <c r="AO15" i="2" s="1"/>
  <c r="AO17" i="2" s="1"/>
  <c r="AO23" i="2"/>
  <c r="AQ5" i="2"/>
  <c r="AP19" i="2"/>
  <c r="H10" i="3" l="1"/>
  <c r="AP22" i="2"/>
  <c r="AP26" i="2"/>
  <c r="AP27" i="2" s="1"/>
  <c r="AA46" i="5"/>
  <c r="A29" i="5" s="1"/>
  <c r="A28" i="5"/>
  <c r="X17" i="5"/>
  <c r="AA20" i="5"/>
  <c r="AA22" i="5" s="1"/>
  <c r="AQ10" i="2"/>
  <c r="AQ21" i="2" s="1"/>
  <c r="AQ6" i="2"/>
  <c r="AP11" i="2"/>
  <c r="AP13" i="2" s="1"/>
  <c r="AP14" i="2" s="1"/>
  <c r="AP15" i="2" s="1"/>
  <c r="AP17" i="2" s="1"/>
  <c r="AR5" i="2"/>
  <c r="AQ19" i="2"/>
  <c r="AQ22" i="2" l="1"/>
  <c r="AQ26" i="2"/>
  <c r="AQ27" i="2" s="1"/>
  <c r="AA23" i="5"/>
  <c r="A6" i="5" s="1"/>
  <c r="A5" i="5"/>
  <c r="AP23" i="2"/>
  <c r="AR10" i="2"/>
  <c r="AR21" i="2" s="1"/>
  <c r="AR6" i="2"/>
  <c r="AQ11" i="2"/>
  <c r="AQ13" i="2" s="1"/>
  <c r="AQ14" i="2" s="1"/>
  <c r="AQ15" i="2" s="1"/>
  <c r="AS5" i="2"/>
  <c r="AR19" i="2"/>
  <c r="AR22" i="2" l="1"/>
  <c r="AR26" i="2"/>
  <c r="AR27" i="2" s="1"/>
  <c r="AQ23" i="2"/>
  <c r="AS10" i="2"/>
  <c r="AS21" i="2" s="1"/>
  <c r="AS6" i="2"/>
  <c r="AQ17" i="2"/>
  <c r="AR11" i="2"/>
  <c r="AR13" i="2" s="1"/>
  <c r="AR14" i="2" s="1"/>
  <c r="AR15" i="2" s="1"/>
  <c r="AR17" i="2" s="1"/>
  <c r="AT5" i="2"/>
  <c r="AS19" i="2"/>
  <c r="AS22" i="2" l="1"/>
  <c r="AS26" i="2"/>
  <c r="AS27" i="2" s="1"/>
  <c r="AR23" i="2"/>
  <c r="AT10" i="2"/>
  <c r="AT11" i="2" s="1"/>
  <c r="AT6" i="2"/>
  <c r="AS11" i="2"/>
  <c r="AS13" i="2" s="1"/>
  <c r="AS14" i="2" s="1"/>
  <c r="AS15" i="2" s="1"/>
  <c r="AS17" i="2" s="1"/>
  <c r="AT19" i="2"/>
  <c r="AT22" i="2" l="1"/>
  <c r="AT26" i="2"/>
  <c r="AT27" i="2" s="1"/>
  <c r="AS23" i="2"/>
  <c r="AT21" i="2"/>
  <c r="AT13" i="2"/>
  <c r="AT14" i="2" s="1"/>
  <c r="AT15" i="2" s="1"/>
  <c r="AT23" i="2"/>
  <c r="AT17" i="2" l="1"/>
  <c r="AU15" i="2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BW15" i="2" s="1"/>
  <c r="BX15" i="2" s="1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CI15" i="2" s="1"/>
  <c r="CJ15" i="2" s="1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CU15" i="2" s="1"/>
  <c r="CV15" i="2" s="1"/>
  <c r="CW15" i="2" s="1"/>
  <c r="CX15" i="2" s="1"/>
  <c r="CY15" i="2" s="1"/>
  <c r="CZ15" i="2" s="1"/>
  <c r="DA15" i="2" s="1"/>
  <c r="DB15" i="2" s="1"/>
  <c r="DC15" i="2" s="1"/>
  <c r="DD15" i="2" s="1"/>
  <c r="DE15" i="2" s="1"/>
  <c r="DF15" i="2" s="1"/>
  <c r="DG15" i="2" s="1"/>
  <c r="DH15" i="2" s="1"/>
  <c r="DI15" i="2" s="1"/>
  <c r="DJ15" i="2" s="1"/>
  <c r="DK15" i="2" s="1"/>
  <c r="DL15" i="2" s="1"/>
  <c r="DM15" i="2" s="1"/>
  <c r="DN15" i="2" s="1"/>
  <c r="DO15" i="2" s="1"/>
  <c r="DP15" i="2" s="1"/>
  <c r="DQ15" i="2" s="1"/>
  <c r="DR15" i="2" s="1"/>
  <c r="DS15" i="2" s="1"/>
  <c r="DT15" i="2" s="1"/>
  <c r="DU15" i="2" s="1"/>
  <c r="DV15" i="2" s="1"/>
  <c r="DW15" i="2" s="1"/>
  <c r="DX15" i="2" s="1"/>
  <c r="DY15" i="2" s="1"/>
  <c r="DZ15" i="2" s="1"/>
  <c r="EA15" i="2" s="1"/>
  <c r="EB15" i="2" s="1"/>
  <c r="EC15" i="2" s="1"/>
  <c r="ED15" i="2" s="1"/>
  <c r="EE15" i="2" s="1"/>
  <c r="EF15" i="2" s="1"/>
  <c r="EG15" i="2" s="1"/>
  <c r="EH15" i="2" s="1"/>
  <c r="EI15" i="2" s="1"/>
  <c r="EJ15" i="2" s="1"/>
  <c r="EK15" i="2" s="1"/>
  <c r="AW19" i="2" s="1"/>
  <c r="AW21" i="2" l="1"/>
  <c r="AW2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tc={93E22D53-01EB-0F46-9B53-EA72878E4341}</author>
  </authors>
  <commentList>
    <comment ref="AG68" authorId="0" shapeId="0" xr:uid="{93E22D53-01EB-0F46-9B53-EA72878E4341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Kjøpte Elbutiken for 152,954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tc={9A889ED9-63AD-674B-A8E7-6590522B6D42}</author>
    <author>tc={4241726F-8C02-7245-BD29-6BDCB4E661F3}</author>
  </authors>
  <commentList>
    <comment ref="X22" authorId="0" shapeId="0" xr:uid="{9A889ED9-63AD-674B-A8E7-6590522B6D42}">
      <text>
        <t>[Kommentartråd]
Din versjon av Excel lar deg lese denne kommentartråden. Eventuelle endringer i den vil imidlertid bli fjernet hvis filen åpnes i en nyere versjon av Excel. Finn ut mer: https://go.microsoft.com/fwlink/?linkid=870924
Kommentar:
    Åpner butikk nr 2 i stockholm 22.mai</t>
      </text>
    </comment>
    <comment ref="AA27" authorId="1" shapeId="0" xr:uid="{4241726F-8C02-7245-BD29-6BDCB4E661F3}">
      <text>
        <t>[Kommentartråd]
Din versjon av Excel lar deg lese denne kommentartråden. Eventuelle endringer i den vil imidlertid bli fjernet hvis filen åpnes i en nyere versjon av Excel. Finn ut mer: https://go.microsoft.com/fwlink/?linkid=870924
Kommentar:
    Forutsetter at de åpner en butikk til</t>
      </text>
    </comment>
  </commentList>
</comments>
</file>

<file path=xl/sharedStrings.xml><?xml version="1.0" encoding="utf-8"?>
<sst xmlns="http://schemas.openxmlformats.org/spreadsheetml/2006/main" count="305" uniqueCount="163">
  <si>
    <t>Kapitalstruktur</t>
  </si>
  <si>
    <t>Price</t>
  </si>
  <si>
    <t>S/O</t>
  </si>
  <si>
    <t>MC NOKm</t>
  </si>
  <si>
    <t>Cash NOKm</t>
  </si>
  <si>
    <t>Debt NOKm</t>
  </si>
  <si>
    <t>EV NOKm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</si>
  <si>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</si>
  <si>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</si>
  <si>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</si>
  <si>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</si>
  <si>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</si>
  <si>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</si>
  <si>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</si>
  <si>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</si>
  <si>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</si>
  <si>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</si>
  <si>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</si>
  <si>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</si>
  <si>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NOK million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</si>
  <si>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</si>
  <si>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</si>
  <si>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</si>
  <si>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</si>
  <si>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</si>
  <si>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</si>
  <si>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</si>
  <si>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</si>
  <si>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</si>
  <si>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</si>
  <si>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</si>
  <si>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</si>
  <si>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</si>
  <si>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</si>
  <si>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Revenue y/y</t>
  </si>
  <si>
    <t>Balanse NOKm</t>
  </si>
  <si>
    <t>Cash flow NOKm</t>
  </si>
  <si>
    <t>Revenue</t>
  </si>
  <si>
    <t>COGS</t>
  </si>
  <si>
    <t>Employee benefits exp</t>
  </si>
  <si>
    <t>D/A</t>
  </si>
  <si>
    <t>Other opex</t>
  </si>
  <si>
    <t>Operating profit (EBIT)</t>
  </si>
  <si>
    <t>Net financials</t>
  </si>
  <si>
    <t>PTP</t>
  </si>
  <si>
    <t>Tax</t>
  </si>
  <si>
    <t>Net income</t>
  </si>
  <si>
    <t>Shares</t>
  </si>
  <si>
    <t>EPS</t>
  </si>
  <si>
    <t>Q125</t>
  </si>
  <si>
    <t>Q225</t>
  </si>
  <si>
    <t>Q325</t>
  </si>
  <si>
    <t>Q425</t>
  </si>
  <si>
    <t>EBIT margin</t>
  </si>
  <si>
    <t>Goodwill</t>
  </si>
  <si>
    <t>Deferred tax assets</t>
  </si>
  <si>
    <t>Other non-current assets</t>
  </si>
  <si>
    <t>PP&amp;E</t>
  </si>
  <si>
    <t>Inventories</t>
  </si>
  <si>
    <t>Trade receivables</t>
  </si>
  <si>
    <t>Other current assets</t>
  </si>
  <si>
    <t>cash</t>
  </si>
  <si>
    <t>Total assets</t>
  </si>
  <si>
    <t>Total paid-in equity</t>
  </si>
  <si>
    <t>Retained earnings</t>
  </si>
  <si>
    <t>Non-controlling interests</t>
  </si>
  <si>
    <t>Total Equity</t>
  </si>
  <si>
    <t>Non-current lease lia</t>
  </si>
  <si>
    <t>Other non-current lia</t>
  </si>
  <si>
    <t>Current lease lia</t>
  </si>
  <si>
    <t>Non-current lia to financials</t>
  </si>
  <si>
    <t>Trade creditors</t>
  </si>
  <si>
    <t>Taxes payable</t>
  </si>
  <si>
    <t>Public duties payable</t>
  </si>
  <si>
    <t>Other currrent liabilties</t>
  </si>
  <si>
    <t>Total Debt</t>
  </si>
  <si>
    <t>Total E/D</t>
  </si>
  <si>
    <t>CFFI</t>
  </si>
  <si>
    <t>CFFF</t>
  </si>
  <si>
    <t>CFFO</t>
  </si>
  <si>
    <t>EV/EBIT</t>
  </si>
  <si>
    <t>P/E</t>
  </si>
  <si>
    <t>NOKm</t>
  </si>
  <si>
    <t>Norge</t>
  </si>
  <si>
    <t>Gross Profit</t>
  </si>
  <si>
    <t>Gross margin</t>
  </si>
  <si>
    <t>Opex</t>
  </si>
  <si>
    <t>Opex to sales %</t>
  </si>
  <si>
    <t>EBIT</t>
  </si>
  <si>
    <t>EBIT %</t>
  </si>
  <si>
    <t>Net profit</t>
  </si>
  <si>
    <t>Sverige</t>
  </si>
  <si>
    <t>Revenue Y/Y</t>
  </si>
  <si>
    <t>Discount</t>
  </si>
  <si>
    <t>TV</t>
  </si>
  <si>
    <t>NPV</t>
  </si>
  <si>
    <t>NPV/Share</t>
  </si>
  <si>
    <t>Opp-/nedside</t>
  </si>
  <si>
    <t>De har 29 butikker i Norge og 1 i Sverige gjennom oppkjøpet av Elbutik AB</t>
  </si>
  <si>
    <t xml:space="preserve">Namron er Elimp sitt eget varemerke og ble etablert i 2007. </t>
  </si>
  <si>
    <t>Namron har raskt blitt en markedaleder innenfor lys, varme kabler, elektromateriell og smarthusløsninger</t>
  </si>
  <si>
    <t>SpotOn er Elimp sin unike tjeneste som gjør det enkelt å få jobben gjort trygt og effektivt. Spoton lar kunden bestille produjter og tjenseter, inkludert montering, til en fast pris</t>
  </si>
  <si>
    <t>Spoton leverer fagmessig arbeid utføert av sertifiserte elektrikere</t>
  </si>
  <si>
    <t>Spoton ble integrert inn i Elimp fra Q424</t>
  </si>
  <si>
    <t>Dividends payable</t>
  </si>
  <si>
    <t xml:space="preserve">Press releases: </t>
  </si>
  <si>
    <t>14.02.24: hentet 150m til 7,5kr</t>
  </si>
  <si>
    <t>19.03.24: Kjørte en rep-emi og fikk inn 30m</t>
  </si>
  <si>
    <t xml:space="preserve">Elektroimportøren er Norges 4 største el-grossist. </t>
  </si>
  <si>
    <t>Model PTP</t>
  </si>
  <si>
    <t>Reported PTP</t>
  </si>
  <si>
    <t>Taxes paid</t>
  </si>
  <si>
    <t>Interest</t>
  </si>
  <si>
    <t>WC</t>
  </si>
  <si>
    <t>Capex</t>
  </si>
  <si>
    <t>Repayment of borrowings</t>
  </si>
  <si>
    <t>Proceeds for issue of shares</t>
  </si>
  <si>
    <t>Net interest paid</t>
  </si>
  <si>
    <t>Lease payments</t>
  </si>
  <si>
    <t>Dividend</t>
  </si>
  <si>
    <t>CIC</t>
  </si>
  <si>
    <t>FCF</t>
  </si>
  <si>
    <t>FY 2021</t>
  </si>
  <si>
    <t>FY 2020</t>
  </si>
  <si>
    <t>Like-for-like y/y</t>
  </si>
  <si>
    <t>Total opex</t>
  </si>
  <si>
    <t>Opex y/y</t>
  </si>
  <si>
    <t>ROE</t>
  </si>
  <si>
    <t>FY 2017</t>
  </si>
  <si>
    <t>FY 2018</t>
  </si>
  <si>
    <t>FY 2019</t>
  </si>
  <si>
    <t>FY 2015</t>
  </si>
  <si>
    <t>FY 2016</t>
  </si>
  <si>
    <t>Nedside</t>
  </si>
  <si>
    <t>Gross profit</t>
  </si>
  <si>
    <t>Change in liabilities to banks</t>
  </si>
  <si>
    <t>Change in non-controling interest share purchase</t>
  </si>
  <si>
    <t>Current liabilties to fiancials</t>
  </si>
  <si>
    <t>Nullvekst og flate marginer</t>
  </si>
  <si>
    <t>Stores</t>
  </si>
  <si>
    <t>EBITDA</t>
  </si>
  <si>
    <t>EBITDA %</t>
  </si>
  <si>
    <t>Trademark and intangible assets</t>
  </si>
  <si>
    <t>Right-of-use assets</t>
  </si>
  <si>
    <t>Q126</t>
  </si>
  <si>
    <t>Q226</t>
  </si>
  <si>
    <t>Q326</t>
  </si>
  <si>
    <t>Q426</t>
  </si>
  <si>
    <t>EV/EBITDA (x)</t>
  </si>
  <si>
    <t>EV</t>
  </si>
  <si>
    <t>Per share</t>
  </si>
  <si>
    <t>SOTP 26E valuation</t>
  </si>
  <si>
    <t>EBITDA 26E</t>
  </si>
  <si>
    <t>ELIMP</t>
  </si>
  <si>
    <t>Enterprise value</t>
  </si>
  <si>
    <t>Debt</t>
  </si>
  <si>
    <t>Cash</t>
  </si>
  <si>
    <t>12.02.26: Styret og CEO Andreas Niss har blitt enig om at Niss skal gå av som CEO etter 12 år i jobben.  Niss vil være i rollen sin frem til 15.mai 26</t>
  </si>
  <si>
    <t>EBITDA LTM</t>
  </si>
  <si>
    <t>EV/EBITDA</t>
  </si>
  <si>
    <t>NIBD/EBITDA</t>
  </si>
  <si>
    <t>NIBD/EBITDA ex lease</t>
  </si>
  <si>
    <t>Covenant ex 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</si>
</sst>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kr&quot;\ #,##0.00_);[Red]\(&quot;kr&quot;\ #,##0.00\)"/>
    <numFmt numFmtId="164" formatCode="#,##0.0"/>
    <numFmt numFmtId="165" formatCode="0.0"/>
    <numFmt numFmtId="166" formatCode="0.0\ %"/>
  </numFmts>
  <fonts count="11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16"/>
      <color rgb="FF1A1A1A"/>
      <name val="Helvetica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2" fontId="2" fillId="0" borderId="1" xfId="0" applyNumberFormat="1" applyFont="1" applyBorder="1"/>
    <xf numFmtId="165" fontId="2" fillId="0" borderId="1" xfId="0" applyNumberFormat="1" applyFont="1" applyBorder="1"/>
    <xf numFmtId="165" fontId="2" fillId="0" borderId="0" xfId="0" applyNumberFormat="1" applyFont="1"/>
    <xf numFmtId="2" fontId="2" fillId="0" borderId="0" xfId="0" applyNumberFormat="1" applyFont="1"/>
    <xf numFmtId="166" fontId="2" fillId="0" borderId="0" xfId="0" applyNumberFormat="1" applyFont="1"/>
    <xf numFmtId="166" fontId="2" fillId="0" borderId="1" xfId="0" applyNumberFormat="1" applyFont="1" applyBorder="1"/>
    <xf numFmtId="166" fontId="1" fillId="0" borderId="0" xfId="0" applyNumberFormat="1" applyFont="1"/>
    <xf numFmtId="166" fontId="1" fillId="0" borderId="1" xfId="0" applyNumberFormat="1" applyFont="1" applyBorder="1"/>
    <xf numFmtId="0" fontId="4" fillId="0" borderId="0" xfId="0" applyFont="1"/>
    <xf numFmtId="10" fontId="1" fillId="0" borderId="0" xfId="0" applyNumberFormat="1" applyFont="1"/>
    <xf numFmtId="166" fontId="4" fillId="0" borderId="0" xfId="0" applyNumberFormat="1" applyFont="1"/>
    <xf numFmtId="0" fontId="2" fillId="0" borderId="3" xfId="0" applyFont="1" applyBorder="1"/>
    <xf numFmtId="10" fontId="2" fillId="0" borderId="0" xfId="0" applyNumberFormat="1" applyFont="1"/>
    <xf numFmtId="3" fontId="1" fillId="0" borderId="0" xfId="0" applyNumberFormat="1" applyFont="1"/>
    <xf numFmtId="3" fontId="2" fillId="0" borderId="0" xfId="0" applyNumberFormat="1" applyFont="1"/>
    <xf numFmtId="0" fontId="5" fillId="0" borderId="2" xfId="0" applyFont="1" applyBorder="1"/>
    <xf numFmtId="165" fontId="6" fillId="0" borderId="2" xfId="0" applyNumberFormat="1" applyFont="1" applyBorder="1"/>
    <xf numFmtId="10" fontId="3" fillId="0" borderId="0" xfId="0" applyNumberFormat="1" applyFont="1"/>
    <xf numFmtId="9" fontId="2" fillId="0" borderId="0" xfId="0" applyNumberFormat="1" applyFont="1"/>
    <xf numFmtId="1" fontId="1" fillId="0" borderId="0" xfId="0" applyNumberFormat="1" applyFont="1"/>
    <xf numFmtId="8" fontId="2" fillId="0" borderId="3" xfId="0" applyNumberFormat="1" applyFont="1" applyBorder="1"/>
    <xf numFmtId="8" fontId="1" fillId="0" borderId="0" xfId="0" applyNumberFormat="1" applyFont="1"/>
    <xf numFmtId="0" fontId="7" fillId="0" borderId="0" xfId="0" applyFont="1"/>
    <xf numFmtId="3" fontId="4" fillId="0" borderId="0" xfId="0" applyNumberFormat="1" applyFont="1"/>
    <xf numFmtId="1" fontId="2" fillId="0" borderId="0" xfId="0" applyNumberFormat="1" applyFont="1"/>
    <xf numFmtId="3" fontId="1" fillId="0" borderId="1" xfId="0" applyNumberFormat="1" applyFont="1" applyBorder="1"/>
    <xf numFmtId="3" fontId="2" fillId="0" borderId="1" xfId="0" applyNumberFormat="1" applyFont="1" applyBorder="1"/>
    <xf numFmtId="10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0" fontId="1" fillId="0" borderId="5" xfId="0" applyFont="1" applyBorder="1"/>
    <xf numFmtId="166" fontId="3" fillId="0" borderId="5" xfId="0" applyNumberFormat="1" applyFont="1" applyBorder="1"/>
    <xf numFmtId="0" fontId="2" fillId="0" borderId="5" xfId="0" applyFont="1" applyBorder="1"/>
    <xf numFmtId="166" fontId="4" fillId="0" borderId="5" xfId="0" applyNumberFormat="1" applyFont="1" applyBorder="1"/>
    <xf numFmtId="0" fontId="2" fillId="0" borderId="4" xfId="0" applyFont="1" applyBorder="1"/>
    <xf numFmtId="0" fontId="2" fillId="0" borderId="6" xfId="0" applyFont="1" applyBorder="1"/>
    <xf numFmtId="10" fontId="2" fillId="0" borderId="3" xfId="0" applyNumberFormat="1" applyFont="1" applyBorder="1"/>
    <xf numFmtId="10" fontId="2" fillId="0" borderId="6" xfId="0" applyNumberFormat="1" applyFont="1" applyBorder="1"/>
    <xf numFmtId="166" fontId="2" fillId="0" borderId="3" xfId="0" applyNumberFormat="1" applyFont="1" applyBorder="1"/>
    <xf numFmtId="10" fontId="4" fillId="0" borderId="0" xfId="0" applyNumberFormat="1" applyFont="1"/>
    <xf numFmtId="0" fontId="2" fillId="0" borderId="7" xfId="0" applyFont="1" applyBorder="1"/>
    <xf numFmtId="166" fontId="4" fillId="0" borderId="1" xfId="0" applyNumberFormat="1" applyFont="1" applyBorder="1"/>
    <xf numFmtId="10" fontId="3" fillId="0" borderId="5" xfId="0" applyNumberFormat="1" applyFont="1" applyBorder="1"/>
    <xf numFmtId="3" fontId="1" fillId="0" borderId="5" xfId="0" applyNumberFormat="1" applyFont="1" applyBorder="1"/>
    <xf numFmtId="0" fontId="9" fillId="0" borderId="0" xfId="0" applyFont="1"/>
    <xf numFmtId="0" fontId="10" fillId="0" borderId="0" xfId="0" applyFont="1"/>
    <xf numFmtId="0" fontId="10" fillId="0" borderId="2" xfId="0" applyFont="1" applyBorder="1"/>
    <xf numFmtId="3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3" fontId="9" fillId="0" borderId="0" xfId="0" applyNumberFormat="1" applyFont="1"/>
    <xf numFmtId="164" fontId="9" fillId="0" borderId="0" xfId="0" applyNumberFormat="1" applyFont="1"/>
    <xf numFmtId="1" fontId="9" fillId="0" borderId="2" xfId="0" applyNumberFormat="1" applyFont="1" applyBorder="1"/>
    <xf numFmtId="1" fontId="10" fillId="0" borderId="2" xfId="0" applyNumberFormat="1" applyFont="1" applyBorder="1"/>
    <xf numFmtId="0" fontId="9" fillId="0" borderId="2" xfId="0" applyFont="1" applyBorder="1"/>
    <xf numFmtId="0" fontId="10" fillId="2" borderId="2" xfId="0" applyFont="1" applyFill="1" applyBorder="1"/>
    <xf numFmtId="3" fontId="2" fillId="0" borderId="3" xfId="0" applyNumberFormat="1" applyFont="1" applyBorder="1"/>
    <xf numFmtId="3" fontId="2" fillId="0" borderId="4" xfId="0" applyNumberFormat="1" applyFont="1" applyBorder="1"/>
    <xf numFmtId="3" fontId="1" fillId="0" borderId="4" xfId="0" applyNumberFormat="1" applyFont="1" applyBorder="1"/>
    <xf numFmtId="3" fontId="10" fillId="0" borderId="2" xfId="0" applyNumberFormat="1" applyFont="1" applyBorder="1"/>
    <xf numFmtId="10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SOTP ELimp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SOTP ELimp</a:t>
          </a:r>
        </a:p>
      </cx:txPr>
    </cx:title>
    <cx:plotArea>
      <cx:plotAreaRegion>
        <cx:series layoutId="waterfall" uniqueId="{162008E3-B735-1B49-AEE0-10096CA53FC7}">
          <cx:dataPt idx="2"/>
          <cx:dataPt idx="4">
            <cx:spPr>
              <a:solidFill>
                <a:srgbClr val="FF0000"/>
              </a:solidFill>
            </cx:spPr>
          </cx:dataPt>
          <cx:dataPt idx="6"/>
          <cx:dataLabels pos="outEnd">
            <cx:visibility seriesName="0" categoryName="0" value="1"/>
          </cx:dataLabels>
          <cx:dataId val="0"/>
          <cx:layoutPr>
            <cx:subtotals>
              <cx:idx val="2"/>
              <cx:idx val="6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/>
            </a:pPr>
            <a:endParaRPr lang="nb-NO" sz="105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NOK/aksje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nb-NO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NOK/aksje</a:t>
              </a:r>
            </a:p>
          </cx:txPr>
        </cx:title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12700</xdr:rowOff>
    </xdr:from>
    <xdr:to>
      <xdr:col>10</xdr:col>
      <xdr:colOff>489496</xdr:colOff>
      <xdr:row>28</xdr:row>
      <xdr:rowOff>38100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5B546504-AFB7-5D1A-D907-FF988DA7A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5700"/>
          <a:ext cx="8744496" cy="4419600"/>
        </a:xfrm>
        <a:prstGeom prst="rect">
          <a:avLst/>
        </a:prstGeom>
      </xdr:spPr>
    </xdr:pic>
    <xdr:clientData/>
  </xdr:twoCellAnchor>
  <xdr:twoCellAnchor editAs="oneCell">
    <xdr:from>
      <xdr:col>15</xdr:col>
      <xdr:colOff>228599</xdr:colOff>
      <xdr:row>0</xdr:row>
      <xdr:rowOff>88900</xdr:rowOff>
    </xdr:from>
    <xdr:to>
      <xdr:col>28</xdr:col>
      <xdr:colOff>94496</xdr:colOff>
      <xdr:row>14</xdr:row>
      <xdr:rowOff>165100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A042803D-21A2-737F-CCEE-D99D87854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11099" y="88900"/>
          <a:ext cx="10597397" cy="345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69850</xdr:colOff>
      <xdr:row>17</xdr:row>
      <xdr:rowOff>95250</xdr:rowOff>
    </xdr:from>
    <xdr:to>
      <xdr:col>7</xdr:col>
      <xdr:colOff>596900</xdr:colOff>
      <xdr:row>33</xdr:row>
      <xdr:rowOff>228600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1D7B62B0-CD30-16BF-2A34-454B162F9A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5350" y="4629150"/>
              <a:ext cx="6965950" cy="4400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EFB05843-9F5D-6946-9763-F386379D49EF}" userId="a530012ce760c12d" providerId="Windows Live"/>
  <person displayName="(Student) Hodt, August" id="{8C78BB2F-88A9-5A4E-8A1E-29C3C3D0953E}" userId="S::s2511823@bi.no::44d2ca7c-c877-4b52-8217-c5df9fee6d96" providerId="AD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G68" dT="2025-03-30T19:01:34.72" personId="{EFB05843-9F5D-6946-9763-F386379D49EF}" id="{93E22D53-01EB-0F46-9B53-EA72878E4341}">
    <text xml:space="preserve">Kjøpte Elbutiken for 152,954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X22" dT="2026-04-16T07:08:57.72" personId="{8C78BB2F-88A9-5A4E-8A1E-29C3C3D0953E}" id="{9A889ED9-63AD-674B-A8E7-6590522B6D42}">
    <text>Åpner butikk nr 2 i stockholm 22.mai</text>
  </threadedComment>
  <threadedComment ref="AA27" dT="2026-01-06T11:55:29.57" personId="{EFB05843-9F5D-6946-9763-F386379D49EF}" id="{4241726F-8C02-7245-BD29-6BDCB4E661F3}">
    <text>Forutsetter at de åpner en butikk til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C47A9E-8B05-4848-B24C-A8DB857E592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a25b086-d859-4a10-ab50-3768eff15ca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1:A33"/>
  <sheetViews>
    <sheetView showGridLines="0" zoomScale="85" zoomScaleNormal="85" workbookViewId="0">
      <selection activeCell="U19" sqref="U19"/>
    </sheetView>
  </sheetViews>
  <sheetFormatPr baseColWidth="10" defaultRowHeight="19" x14ac:dyDescent="0.25"/>
  <cols>
    <col min="1" max="16384" width="10.83203125" style="2"/>
  </cols>
  <sheetData>
    <row r="1" spans="1:1" x14ac:dyDescent="0.25">
      <c r="A1" s="2" t="s">
        <v>108</v>
      </c>
    </row>
    <row r="2" spans="1:1" x14ac:dyDescent="0.25">
      <c r="A2" s="2" t="s">
        <v>98</v>
      </c>
    </row>
    <row r="5" spans="1:1" x14ac:dyDescent="0.25">
      <c r="A5" s="2" t="s">
        <v>99</v>
      </c>
    </row>
    <row r="6" spans="1:1" x14ac:dyDescent="0.25">
      <c r="A6" s="2" t="s">
        <v>100</v>
      </c>
    </row>
    <row r="8" spans="1:1" x14ac:dyDescent="0.25">
      <c r="A8" s="2" t="s">
        <v>101</v>
      </c>
    </row>
    <row r="9" spans="1:1" x14ac:dyDescent="0.25">
      <c r="A9" s="2" t="s">
        <v>102</v>
      </c>
    </row>
    <row r="10" spans="1:1" x14ac:dyDescent="0.25">
      <c r="A10" s="2" t="s">
        <v>103</v>
      </c>
    </row>
    <row r="17" spans="1:1" ht="21" x14ac:dyDescent="0.25">
      <c r="A17" s="31"/>
    </row>
    <row r="18" spans="1:1" ht="21" x14ac:dyDescent="0.25">
      <c r="A18" s="31"/>
    </row>
    <row r="30" spans="1:1" x14ac:dyDescent="0.25">
      <c r="A30" s="1" t="s">
        <v>105</v>
      </c>
    </row>
    <row r="31" spans="1:1" x14ac:dyDescent="0.25">
      <c r="A31" s="2" t="s">
        <v>157</v>
      </c>
    </row>
    <row r="32" spans="1:1" x14ac:dyDescent="0.25">
      <c r="A32" s="2" t="s">
        <v>107</v>
      </c>
    </row>
    <row r="33" spans="1:1" x14ac:dyDescent="0.25">
      <c r="A33" s="2" t="s">
        <v>106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3:EK83"/>
  <sheetViews>
    <sheetView showGridLines="0" tabSelected="1" zoomScaleNormal="100" workbookViewId="0">
      <pane xSplit="3" ySplit="3" topLeftCell="AI4" activePane="bottomRight" state="frozen"/>
      <selection pane="topRight" activeCell="D1" sqref="D1"/>
      <selection pane="bottomLeft" activeCell="A4" sqref="A4"/>
      <selection pane="bottomRight" activeCell="B5" sqref="B5"/>
    </sheetView>
  </sheetViews>
  <sheetFormatPr baseColWidth="10" defaultRowHeight="19" x14ac:dyDescent="0.25"/>
  <cols>
    <col min="1" max="1" width="16.33203125" style="2" bestFit="1" customWidth="1"/>
    <col min="2" max="2" width="10.83203125" style="4"/>
    <col min="3" max="3" width="45.6640625" style="2" customWidth="1"/>
    <col min="4" max="36" width="10.83203125" style="2"/>
    <col min="37" max="37" width="10.83203125" style="4"/>
    <col min="38" max="47" width="10.83203125" style="2"/>
    <col min="48" max="48" width="14.83203125" style="2" bestFit="1" customWidth="1"/>
    <col min="49" max="49" width="12.1640625" style="2" bestFit="1" customWidth="1"/>
    <col min="50" max="16384" width="10.83203125" style="2"/>
  </cols>
  <sheetData>
    <row r="3" spans="1:141" x14ac:dyDescent="0.25">
      <c r="A3" s="1" t="s">
        <v>0</v>
      </c>
      <c r="C3" s="2" t="s">
        <v>19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13</v>
      </c>
      <c r="K3" s="7" t="s">
        <v>14</v>
      </c>
      <c r="L3" s="7" t="s">
        <v>15</v>
      </c>
      <c r="M3" s="7" t="s">
        <v>16</v>
      </c>
      <c r="N3" s="7" t="s">
        <v>17</v>
      </c>
      <c r="O3" s="7" t="s">
        <v>18</v>
      </c>
      <c r="P3" s="7" t="s">
        <v>49</v>
      </c>
      <c r="Q3" s="7" t="s">
        <v>50</v>
      </c>
      <c r="R3" s="7" t="s">
        <v>51</v>
      </c>
      <c r="S3" s="7" t="s">
        <v>52</v>
      </c>
      <c r="T3" s="7" t="s">
        <v>144</v>
      </c>
      <c r="U3" s="7" t="s">
        <v>145</v>
      </c>
      <c r="V3" s="7" t="s">
        <v>146</v>
      </c>
      <c r="W3" s="7" t="s">
        <v>147</v>
      </c>
      <c r="X3" s="7"/>
      <c r="Y3" s="7"/>
      <c r="Z3" s="7" t="s">
        <v>131</v>
      </c>
      <c r="AA3" s="7" t="s">
        <v>132</v>
      </c>
      <c r="AB3" s="7" t="s">
        <v>128</v>
      </c>
      <c r="AC3" s="7" t="s">
        <v>129</v>
      </c>
      <c r="AD3" s="7" t="s">
        <v>130</v>
      </c>
      <c r="AE3" s="7" t="s">
        <v>123</v>
      </c>
      <c r="AF3" s="7" t="s">
        <v>122</v>
      </c>
      <c r="AG3" s="7" t="s">
        <v>20</v>
      </c>
      <c r="AH3" s="7" t="s">
        <v>21</v>
      </c>
      <c r="AI3" s="7" t="s">
        <v>22</v>
      </c>
      <c r="AJ3" s="7" t="s">
        <v>23</v>
      </c>
      <c r="AK3" s="8" t="s">
        <v>24</v>
      </c>
      <c r="AL3" s="7" t="s">
        <v>25</v>
      </c>
      <c r="AM3" s="7" t="s">
        <v>26</v>
      </c>
      <c r="AN3" s="7" t="s">
        <v>27</v>
      </c>
      <c r="AO3" s="7" t="s">
        <v>28</v>
      </c>
      <c r="AP3" s="7" t="s">
        <v>29</v>
      </c>
      <c r="AQ3" s="7" t="s">
        <v>30</v>
      </c>
      <c r="AR3" s="7" t="s">
        <v>31</v>
      </c>
      <c r="AS3" s="7" t="s">
        <v>32</v>
      </c>
      <c r="AT3" s="7" t="s">
        <v>33</v>
      </c>
    </row>
    <row r="4" spans="1:141" x14ac:dyDescent="0.25">
      <c r="A4" s="2" t="s">
        <v>1</v>
      </c>
      <c r="B4" s="4">
        <v>15.1</v>
      </c>
      <c r="C4" s="1" t="s">
        <v>37</v>
      </c>
      <c r="D4" s="1">
        <v>367</v>
      </c>
      <c r="E4" s="1">
        <v>358</v>
      </c>
      <c r="F4" s="1">
        <v>398</v>
      </c>
      <c r="G4" s="1">
        <v>502</v>
      </c>
      <c r="H4" s="1">
        <v>383</v>
      </c>
      <c r="I4" s="1">
        <v>326</v>
      </c>
      <c r="J4" s="1">
        <v>401</v>
      </c>
      <c r="K4" s="1">
        <v>495</v>
      </c>
      <c r="L4" s="1">
        <v>350</v>
      </c>
      <c r="M4" s="1">
        <v>349</v>
      </c>
      <c r="N4" s="1">
        <v>407</v>
      </c>
      <c r="O4" s="1">
        <v>520</v>
      </c>
      <c r="P4" s="1">
        <v>396</v>
      </c>
      <c r="Q4" s="28">
        <v>367.2</v>
      </c>
      <c r="R4" s="28">
        <v>436.4</v>
      </c>
      <c r="S4" s="28">
        <v>588.79999999999995</v>
      </c>
      <c r="T4" s="28">
        <v>430.6</v>
      </c>
      <c r="V4" s="1"/>
      <c r="W4" s="1"/>
      <c r="X4" s="1"/>
      <c r="Y4" s="1"/>
      <c r="Z4" s="22">
        <v>277.82900000000001</v>
      </c>
      <c r="AA4" s="22">
        <v>417.45100000000002</v>
      </c>
      <c r="AB4" s="22">
        <v>593.77549399999998</v>
      </c>
      <c r="AC4" s="22">
        <v>786.56741899999997</v>
      </c>
      <c r="AD4" s="22">
        <v>964.15984700000001</v>
      </c>
      <c r="AE4" s="22">
        <v>1315.894</v>
      </c>
      <c r="AF4" s="22">
        <v>1485.33</v>
      </c>
      <c r="AG4" s="22">
        <v>1625</v>
      </c>
      <c r="AH4" s="22">
        <v>1605</v>
      </c>
      <c r="AI4" s="22">
        <v>1626</v>
      </c>
      <c r="AJ4" s="22">
        <v>1788.4</v>
      </c>
      <c r="AK4" s="34">
        <f>AJ4*1.09</f>
        <v>1949.3560000000002</v>
      </c>
      <c r="AL4" s="22">
        <f t="shared" ref="AL4:AT4" si="0">AK4*1.07</f>
        <v>2085.8109200000004</v>
      </c>
      <c r="AM4" s="22">
        <f t="shared" si="0"/>
        <v>2231.8176844000004</v>
      </c>
      <c r="AN4" s="22">
        <f t="shared" si="0"/>
        <v>2388.0449223080004</v>
      </c>
      <c r="AO4" s="22">
        <f t="shared" si="0"/>
        <v>2555.2080668695608</v>
      </c>
      <c r="AP4" s="22">
        <f t="shared" si="0"/>
        <v>2734.0726315504303</v>
      </c>
      <c r="AQ4" s="22">
        <f t="shared" si="0"/>
        <v>2925.4577157589606</v>
      </c>
      <c r="AR4" s="22">
        <f t="shared" si="0"/>
        <v>3130.2397558620878</v>
      </c>
      <c r="AS4" s="22">
        <f t="shared" si="0"/>
        <v>3349.3565387724343</v>
      </c>
      <c r="AT4" s="22">
        <f t="shared" si="0"/>
        <v>3583.8114964865049</v>
      </c>
    </row>
    <row r="5" spans="1:141" x14ac:dyDescent="0.25">
      <c r="A5" s="2" t="s">
        <v>2</v>
      </c>
      <c r="B5" s="10">
        <v>50.782200000000003</v>
      </c>
      <c r="C5" s="2" t="s">
        <v>38</v>
      </c>
      <c r="D5" s="2">
        <v>-230</v>
      </c>
      <c r="E5" s="2">
        <v>-232</v>
      </c>
      <c r="F5" s="2">
        <v>-248</v>
      </c>
      <c r="G5" s="2">
        <v>-308</v>
      </c>
      <c r="H5" s="2">
        <v>-246</v>
      </c>
      <c r="I5" s="2">
        <v>-213</v>
      </c>
      <c r="J5" s="2">
        <v>-259</v>
      </c>
      <c r="K5" s="2">
        <v>-332</v>
      </c>
      <c r="L5" s="2">
        <v>-229</v>
      </c>
      <c r="M5" s="2">
        <v>-236</v>
      </c>
      <c r="N5" s="2">
        <v>-271</v>
      </c>
      <c r="O5" s="2">
        <v>-338</v>
      </c>
      <c r="P5" s="2">
        <v>-253</v>
      </c>
      <c r="Q5" s="33">
        <v>-238.3</v>
      </c>
      <c r="R5" s="33">
        <v>-276.2</v>
      </c>
      <c r="S5" s="33">
        <v>-383</v>
      </c>
      <c r="T5" s="33">
        <v>-272.8</v>
      </c>
      <c r="Z5" s="23">
        <v>-153.393</v>
      </c>
      <c r="AA5" s="23">
        <v>-231.15700000000001</v>
      </c>
      <c r="AB5" s="23">
        <v>-336.04035399999998</v>
      </c>
      <c r="AC5" s="23">
        <v>-464.256078</v>
      </c>
      <c r="AD5" s="23">
        <v>-589.66905999999994</v>
      </c>
      <c r="AE5" s="23">
        <v>-798.38900000000001</v>
      </c>
      <c r="AF5" s="23">
        <v>-912.30499999999995</v>
      </c>
      <c r="AG5" s="23">
        <v>-1018</v>
      </c>
      <c r="AH5" s="23">
        <v>-1050</v>
      </c>
      <c r="AI5" s="23">
        <v>-1074</v>
      </c>
      <c r="AJ5" s="23">
        <v>-1150.5</v>
      </c>
      <c r="AK5" s="35">
        <f>AK4*-0.635</f>
        <v>-1237.8410600000002</v>
      </c>
      <c r="AL5" s="23">
        <f>AL4*-0.63</f>
        <v>-1314.0608796000001</v>
      </c>
      <c r="AM5" s="23">
        <f t="shared" ref="AM5:AT5" si="1">AM4*-0.63</f>
        <v>-1406.0451411720003</v>
      </c>
      <c r="AN5" s="23">
        <f t="shared" si="1"/>
        <v>-1504.4683010540402</v>
      </c>
      <c r="AO5" s="23">
        <f t="shared" si="1"/>
        <v>-1609.7810821278233</v>
      </c>
      <c r="AP5" s="23">
        <f t="shared" si="1"/>
        <v>-1722.465757876771</v>
      </c>
      <c r="AQ5" s="23">
        <f t="shared" si="1"/>
        <v>-1843.0383609281453</v>
      </c>
      <c r="AR5" s="23">
        <f t="shared" si="1"/>
        <v>-1972.0510461931153</v>
      </c>
      <c r="AS5" s="23">
        <f t="shared" si="1"/>
        <v>-2110.0946194266335</v>
      </c>
      <c r="AT5" s="23">
        <f t="shared" si="1"/>
        <v>-2257.8012427864983</v>
      </c>
    </row>
    <row r="6" spans="1:141" x14ac:dyDescent="0.25">
      <c r="A6" s="2" t="s">
        <v>3</v>
      </c>
      <c r="B6" s="5">
        <f>B4*B5</f>
        <v>766.81122000000005</v>
      </c>
      <c r="C6" s="2" t="s">
        <v>134</v>
      </c>
      <c r="D6" s="2">
        <f t="shared" ref="D6:O6" si="2">SUM(D4:D5)</f>
        <v>137</v>
      </c>
      <c r="E6" s="2">
        <f t="shared" si="2"/>
        <v>126</v>
      </c>
      <c r="F6" s="2">
        <f t="shared" si="2"/>
        <v>150</v>
      </c>
      <c r="G6" s="2">
        <f t="shared" si="2"/>
        <v>194</v>
      </c>
      <c r="H6" s="2">
        <f t="shared" si="2"/>
        <v>137</v>
      </c>
      <c r="I6" s="2">
        <f t="shared" si="2"/>
        <v>113</v>
      </c>
      <c r="J6" s="2">
        <f t="shared" si="2"/>
        <v>142</v>
      </c>
      <c r="K6" s="2">
        <f t="shared" si="2"/>
        <v>163</v>
      </c>
      <c r="L6" s="2">
        <f t="shared" si="2"/>
        <v>121</v>
      </c>
      <c r="M6" s="2">
        <f t="shared" si="2"/>
        <v>113</v>
      </c>
      <c r="N6" s="2">
        <f>SUM(N4:N5)</f>
        <v>136</v>
      </c>
      <c r="O6" s="2">
        <f t="shared" si="2"/>
        <v>182</v>
      </c>
      <c r="P6" s="2">
        <f>SUM(P4:P5)</f>
        <v>143</v>
      </c>
      <c r="Q6" s="33">
        <f t="shared" ref="Q6:S6" si="3">SUM(Q4:Q5)</f>
        <v>128.89999999999998</v>
      </c>
      <c r="R6" s="33">
        <f t="shared" si="3"/>
        <v>160.19999999999999</v>
      </c>
      <c r="S6" s="33">
        <f t="shared" si="3"/>
        <v>205.79999999999995</v>
      </c>
      <c r="T6" s="33">
        <f t="shared" ref="T6" si="4">SUM(T4:T5)</f>
        <v>157.80000000000001</v>
      </c>
      <c r="Z6" s="23">
        <f t="shared" ref="Z6:AI6" si="5">SUM(Z4:Z5)</f>
        <v>124.43600000000001</v>
      </c>
      <c r="AA6" s="23">
        <f t="shared" si="5"/>
        <v>186.29400000000001</v>
      </c>
      <c r="AB6" s="23">
        <f t="shared" si="5"/>
        <v>257.73514</v>
      </c>
      <c r="AC6" s="23">
        <f t="shared" si="5"/>
        <v>322.31134099999997</v>
      </c>
      <c r="AD6" s="23">
        <f t="shared" si="5"/>
        <v>374.49078700000007</v>
      </c>
      <c r="AE6" s="23">
        <f t="shared" si="5"/>
        <v>517.505</v>
      </c>
      <c r="AF6" s="23">
        <f t="shared" si="5"/>
        <v>573.02499999999998</v>
      </c>
      <c r="AG6" s="23">
        <f t="shared" si="5"/>
        <v>607</v>
      </c>
      <c r="AH6" s="23">
        <f t="shared" si="5"/>
        <v>555</v>
      </c>
      <c r="AI6" s="23">
        <f t="shared" si="5"/>
        <v>552</v>
      </c>
      <c r="AJ6" s="23">
        <f>SUM(AJ4:AJ5)</f>
        <v>637.90000000000009</v>
      </c>
      <c r="AK6" s="35">
        <f t="shared" ref="AK6:AT6" si="6">SUM(AK4:AK5)</f>
        <v>711.51494000000002</v>
      </c>
      <c r="AL6" s="23">
        <f>SUM(AL4:AL5)</f>
        <v>771.75004040000022</v>
      </c>
      <c r="AM6" s="23">
        <f t="shared" si="6"/>
        <v>825.77254322800013</v>
      </c>
      <c r="AN6" s="23">
        <f t="shared" si="6"/>
        <v>883.57662125396018</v>
      </c>
      <c r="AO6" s="23">
        <f t="shared" si="6"/>
        <v>945.42698474173744</v>
      </c>
      <c r="AP6" s="23">
        <f t="shared" si="6"/>
        <v>1011.6068736736593</v>
      </c>
      <c r="AQ6" s="23">
        <f t="shared" si="6"/>
        <v>1082.4193548308153</v>
      </c>
      <c r="AR6" s="23">
        <f t="shared" si="6"/>
        <v>1158.1887096689725</v>
      </c>
      <c r="AS6" s="23">
        <f t="shared" si="6"/>
        <v>1239.2619193458008</v>
      </c>
      <c r="AT6" s="23">
        <f t="shared" si="6"/>
        <v>1326.0102537000066</v>
      </c>
    </row>
    <row r="7" spans="1:141" x14ac:dyDescent="0.25">
      <c r="A7" s="2" t="s">
        <v>4</v>
      </c>
      <c r="B7" s="5">
        <f>T41</f>
        <v>136.6</v>
      </c>
      <c r="C7" s="2" t="s">
        <v>39</v>
      </c>
      <c r="D7" s="2">
        <v>-63</v>
      </c>
      <c r="E7" s="2">
        <v>-47</v>
      </c>
      <c r="F7" s="33">
        <v>-70.543000000000006</v>
      </c>
      <c r="G7" s="2">
        <v>-74</v>
      </c>
      <c r="H7" s="2">
        <v>-68</v>
      </c>
      <c r="I7" s="2">
        <v>-52</v>
      </c>
      <c r="J7" s="2">
        <v>-75</v>
      </c>
      <c r="K7" s="2">
        <v>-77</v>
      </c>
      <c r="L7" s="2">
        <v>-65</v>
      </c>
      <c r="M7" s="2">
        <v>-48</v>
      </c>
      <c r="N7" s="2">
        <v>-74</v>
      </c>
      <c r="O7" s="2">
        <v>-79</v>
      </c>
      <c r="P7" s="2">
        <v>-73</v>
      </c>
      <c r="Q7" s="33">
        <v>-54.5</v>
      </c>
      <c r="R7" s="33">
        <v>-79.3</v>
      </c>
      <c r="S7" s="33">
        <v>-89</v>
      </c>
      <c r="T7" s="33">
        <f>-81.4+1.9</f>
        <v>-79.5</v>
      </c>
      <c r="Z7" s="23">
        <v>-50.323999999999998</v>
      </c>
      <c r="AA7" s="23">
        <v>-80.599999999999994</v>
      </c>
      <c r="AB7" s="23">
        <v>-117.86964</v>
      </c>
      <c r="AC7" s="23">
        <v>-144.492603</v>
      </c>
      <c r="AD7" s="23">
        <v>-176.14433700000001</v>
      </c>
      <c r="AE7" s="23">
        <v>-219.29400000000001</v>
      </c>
      <c r="AF7" s="23">
        <v>-243.321</v>
      </c>
      <c r="AG7" s="23">
        <v>-255</v>
      </c>
      <c r="AH7" s="23">
        <v>-272</v>
      </c>
      <c r="AI7" s="23">
        <v>-266</v>
      </c>
      <c r="AJ7" s="23">
        <v>-295.8</v>
      </c>
      <c r="AK7" s="35">
        <f>AJ7*1.05</f>
        <v>-310.59000000000003</v>
      </c>
      <c r="AL7" s="23">
        <f>AK7*1.07</f>
        <v>-332.33130000000006</v>
      </c>
      <c r="AM7" s="23">
        <f t="shared" ref="AM7:AO7" si="7">AL7*1.07</f>
        <v>-355.59449100000006</v>
      </c>
      <c r="AN7" s="23">
        <f t="shared" si="7"/>
        <v>-380.48610537000008</v>
      </c>
      <c r="AO7" s="23">
        <f t="shared" si="7"/>
        <v>-407.12013274590009</v>
      </c>
      <c r="AP7" s="23">
        <f>AO7*1.07</f>
        <v>-435.61854203811311</v>
      </c>
      <c r="AQ7" s="23">
        <f>AP7*1.07</f>
        <v>-466.11183998078104</v>
      </c>
      <c r="AR7" s="23">
        <f t="shared" ref="AR7:AT7" si="8">AQ7*1.07</f>
        <v>-498.73966877943576</v>
      </c>
      <c r="AS7" s="23">
        <f t="shared" si="8"/>
        <v>-533.6514455939963</v>
      </c>
      <c r="AT7" s="23">
        <f t="shared" si="8"/>
        <v>-571.00704678557611</v>
      </c>
    </row>
    <row r="8" spans="1:141" x14ac:dyDescent="0.25">
      <c r="A8" s="2" t="s">
        <v>5</v>
      </c>
      <c r="B8" s="5">
        <f>T48+T51+T47+T50</f>
        <v>631.20000000000005</v>
      </c>
      <c r="C8" s="2" t="s">
        <v>40</v>
      </c>
      <c r="D8" s="2">
        <v>-22</v>
      </c>
      <c r="E8" s="2">
        <v>-23</v>
      </c>
      <c r="F8" s="33">
        <v>-23.71</v>
      </c>
      <c r="G8" s="2">
        <v>-23</v>
      </c>
      <c r="H8" s="2">
        <v>-25</v>
      </c>
      <c r="I8" s="2">
        <v>-26</v>
      </c>
      <c r="J8" s="2">
        <v>-26</v>
      </c>
      <c r="K8" s="2">
        <v>-19</v>
      </c>
      <c r="L8" s="2">
        <v>-28</v>
      </c>
      <c r="M8" s="2">
        <v>-25</v>
      </c>
      <c r="N8" s="2">
        <v>-29</v>
      </c>
      <c r="O8" s="2">
        <v>-29</v>
      </c>
      <c r="P8" s="2">
        <v>-29</v>
      </c>
      <c r="Q8" s="33">
        <v>-29.5</v>
      </c>
      <c r="R8" s="33">
        <v>-29.7</v>
      </c>
      <c r="S8" s="33">
        <v>-27.8</v>
      </c>
      <c r="T8" s="33">
        <v>-30.7</v>
      </c>
      <c r="Z8" s="23">
        <v>-13.54</v>
      </c>
      <c r="AA8" s="23">
        <f>-16.943</f>
        <v>-16.943000000000001</v>
      </c>
      <c r="AB8" s="23">
        <f>-21.263035-3.145</f>
        <v>-24.408034999999998</v>
      </c>
      <c r="AC8" s="23">
        <f>-27.230979-2.46</f>
        <v>-29.690979000000002</v>
      </c>
      <c r="AD8" s="23">
        <f>-28.105644-0.736</f>
        <v>-28.841644000000002</v>
      </c>
      <c r="AE8" s="23">
        <v>-70.739999999999995</v>
      </c>
      <c r="AF8" s="23">
        <v>-77.325000000000003</v>
      </c>
      <c r="AG8" s="23">
        <v>-92</v>
      </c>
      <c r="AH8" s="23">
        <v>-96</v>
      </c>
      <c r="AI8" s="23">
        <v>-111</v>
      </c>
      <c r="AJ8" s="23">
        <v>-116</v>
      </c>
      <c r="AK8" s="35">
        <f t="shared" ref="AK8:AK9" si="9">AJ8*1.06</f>
        <v>-122.96000000000001</v>
      </c>
      <c r="AL8" s="23">
        <f t="shared" ref="AL8:AO9" si="10">AK8*1.07</f>
        <v>-131.56720000000001</v>
      </c>
      <c r="AM8" s="23">
        <f t="shared" si="10"/>
        <v>-140.77690400000003</v>
      </c>
      <c r="AN8" s="23">
        <f t="shared" si="10"/>
        <v>-150.63128728000004</v>
      </c>
      <c r="AO8" s="23">
        <f t="shared" si="10"/>
        <v>-161.17547738960005</v>
      </c>
      <c r="AP8" s="23">
        <f>AO8*1.07</f>
        <v>-172.45776080687207</v>
      </c>
      <c r="AQ8" s="23">
        <f t="shared" ref="AQ8:AT9" si="11">AP8*1.07</f>
        <v>-184.52980406335314</v>
      </c>
      <c r="AR8" s="23">
        <f t="shared" si="11"/>
        <v>-197.44689034778787</v>
      </c>
      <c r="AS8" s="23">
        <f t="shared" si="11"/>
        <v>-211.26817267213303</v>
      </c>
      <c r="AT8" s="23">
        <f t="shared" si="11"/>
        <v>-226.05694475918236</v>
      </c>
    </row>
    <row r="9" spans="1:141" x14ac:dyDescent="0.25">
      <c r="A9" s="3" t="s">
        <v>6</v>
      </c>
      <c r="B9" s="6">
        <f>B6-B7+B8</f>
        <v>1261.41122</v>
      </c>
      <c r="C9" s="2" t="s">
        <v>41</v>
      </c>
      <c r="D9" s="2">
        <v>-30</v>
      </c>
      <c r="E9" s="2">
        <v>-29</v>
      </c>
      <c r="F9" s="2">
        <v>-34</v>
      </c>
      <c r="G9" s="2">
        <v>-50</v>
      </c>
      <c r="H9" s="2">
        <v>-37</v>
      </c>
      <c r="I9" s="2">
        <v>-30</v>
      </c>
      <c r="J9" s="2">
        <v>-38</v>
      </c>
      <c r="K9" s="2">
        <v>-40</v>
      </c>
      <c r="L9" s="2">
        <v>-32</v>
      </c>
      <c r="M9" s="2">
        <v>-35</v>
      </c>
      <c r="N9" s="2">
        <v>-33</v>
      </c>
      <c r="O9" s="2">
        <v>-38</v>
      </c>
      <c r="P9" s="2">
        <v>-34</v>
      </c>
      <c r="Q9" s="33">
        <v>-34.700000000000003</v>
      </c>
      <c r="R9" s="33">
        <v>-32.799999999999997</v>
      </c>
      <c r="S9" s="33">
        <v>-47.1</v>
      </c>
      <c r="T9" s="33">
        <v>-40.299999999999997</v>
      </c>
      <c r="Z9" s="23">
        <v>-38.485999999999997</v>
      </c>
      <c r="AA9" s="23">
        <v>-56.4</v>
      </c>
      <c r="AB9" s="23">
        <v>-75.756888000000004</v>
      </c>
      <c r="AC9" s="23">
        <v>-106.93600000000001</v>
      </c>
      <c r="AD9" s="23">
        <v>-121.107907</v>
      </c>
      <c r="AE9" s="23">
        <v>-94.081000000000003</v>
      </c>
      <c r="AF9" s="23">
        <v>-107.446</v>
      </c>
      <c r="AG9" s="23">
        <v>-146</v>
      </c>
      <c r="AH9" s="23">
        <v>-145</v>
      </c>
      <c r="AI9" s="23">
        <v>-138</v>
      </c>
      <c r="AJ9" s="23">
        <v>-148.6</v>
      </c>
      <c r="AK9" s="35">
        <f t="shared" si="9"/>
        <v>-157.51599999999999</v>
      </c>
      <c r="AL9" s="23">
        <f t="shared" si="10"/>
        <v>-168.54212000000001</v>
      </c>
      <c r="AM9" s="23">
        <f t="shared" si="10"/>
        <v>-180.34006840000004</v>
      </c>
      <c r="AN9" s="23">
        <f t="shared" si="10"/>
        <v>-192.96387318800004</v>
      </c>
      <c r="AO9" s="23">
        <f t="shared" si="10"/>
        <v>-206.47134431116004</v>
      </c>
      <c r="AP9" s="23">
        <f>AO9*1.07</f>
        <v>-220.92433841294127</v>
      </c>
      <c r="AQ9" s="23">
        <f t="shared" si="11"/>
        <v>-236.38904210184717</v>
      </c>
      <c r="AR9" s="23">
        <f t="shared" si="11"/>
        <v>-252.93627504897648</v>
      </c>
      <c r="AS9" s="23">
        <f t="shared" si="11"/>
        <v>-270.64181430240484</v>
      </c>
      <c r="AT9" s="23">
        <f t="shared" si="11"/>
        <v>-289.58674130357321</v>
      </c>
    </row>
    <row r="10" spans="1:141" x14ac:dyDescent="0.25">
      <c r="C10" s="2" t="s">
        <v>125</v>
      </c>
      <c r="D10" s="2">
        <f t="shared" ref="D10:O10" si="12">D5+D7+D8+D9</f>
        <v>-345</v>
      </c>
      <c r="E10" s="2">
        <f t="shared" si="12"/>
        <v>-331</v>
      </c>
      <c r="F10" s="33">
        <f t="shared" si="12"/>
        <v>-376.25299999999999</v>
      </c>
      <c r="G10" s="2">
        <f t="shared" si="12"/>
        <v>-455</v>
      </c>
      <c r="H10" s="2">
        <f t="shared" si="12"/>
        <v>-376</v>
      </c>
      <c r="I10" s="2">
        <f t="shared" si="12"/>
        <v>-321</v>
      </c>
      <c r="J10" s="2">
        <f t="shared" si="12"/>
        <v>-398</v>
      </c>
      <c r="K10" s="2">
        <f t="shared" si="12"/>
        <v>-468</v>
      </c>
      <c r="L10" s="2">
        <f t="shared" si="12"/>
        <v>-354</v>
      </c>
      <c r="M10" s="2">
        <f t="shared" si="12"/>
        <v>-344</v>
      </c>
      <c r="N10" s="2">
        <f t="shared" si="12"/>
        <v>-407</v>
      </c>
      <c r="O10" s="2">
        <f t="shared" si="12"/>
        <v>-484</v>
      </c>
      <c r="P10" s="2">
        <f>P5+P7+P8+P9</f>
        <v>-389</v>
      </c>
      <c r="Q10" s="33">
        <f t="shared" ref="Q10:S10" si="13">Q5+Q7+Q8+Q9</f>
        <v>-357</v>
      </c>
      <c r="R10" s="33">
        <f t="shared" si="13"/>
        <v>-418</v>
      </c>
      <c r="S10" s="33">
        <f t="shared" si="13"/>
        <v>-546.9</v>
      </c>
      <c r="T10" s="33">
        <f t="shared" ref="T10" si="14">T5+T7+T8+T9</f>
        <v>-423.3</v>
      </c>
      <c r="Z10" s="23">
        <f>Z5+Z7+Z8+Z9</f>
        <v>-255.74299999999997</v>
      </c>
      <c r="AA10" s="23">
        <f t="shared" ref="AA10:AT10" si="15">AA5+AA7+AA8+AA9</f>
        <v>-385.09999999999997</v>
      </c>
      <c r="AB10" s="23">
        <f t="shared" si="15"/>
        <v>-554.07491699999991</v>
      </c>
      <c r="AC10" s="23">
        <f t="shared" si="15"/>
        <v>-745.37566000000004</v>
      </c>
      <c r="AD10" s="23">
        <f t="shared" si="15"/>
        <v>-915.76294799999982</v>
      </c>
      <c r="AE10" s="23">
        <f t="shared" si="15"/>
        <v>-1182.5039999999999</v>
      </c>
      <c r="AF10" s="23">
        <f t="shared" si="15"/>
        <v>-1340.3969999999999</v>
      </c>
      <c r="AG10" s="23">
        <f t="shared" si="15"/>
        <v>-1511</v>
      </c>
      <c r="AH10" s="23">
        <f t="shared" si="15"/>
        <v>-1563</v>
      </c>
      <c r="AI10" s="23">
        <f t="shared" si="15"/>
        <v>-1589</v>
      </c>
      <c r="AJ10" s="23">
        <f t="shared" si="15"/>
        <v>-1710.8999999999999</v>
      </c>
      <c r="AK10" s="35">
        <f t="shared" si="15"/>
        <v>-1828.9070600000005</v>
      </c>
      <c r="AL10" s="23">
        <f t="shared" si="15"/>
        <v>-1946.5014996000002</v>
      </c>
      <c r="AM10" s="23">
        <f t="shared" si="15"/>
        <v>-2082.7566045720005</v>
      </c>
      <c r="AN10" s="23">
        <f t="shared" si="15"/>
        <v>-2228.5495668920403</v>
      </c>
      <c r="AO10" s="23">
        <f t="shared" si="15"/>
        <v>-2384.5480365744834</v>
      </c>
      <c r="AP10" s="23">
        <f t="shared" si="15"/>
        <v>-2551.4663991346974</v>
      </c>
      <c r="AQ10" s="23">
        <f t="shared" si="15"/>
        <v>-2730.069047074127</v>
      </c>
      <c r="AR10" s="23">
        <f t="shared" si="15"/>
        <v>-2921.1738803693152</v>
      </c>
      <c r="AS10" s="23">
        <f t="shared" si="15"/>
        <v>-3125.6560519951677</v>
      </c>
      <c r="AT10" s="23">
        <f t="shared" si="15"/>
        <v>-3344.45197563483</v>
      </c>
    </row>
    <row r="11" spans="1:141" x14ac:dyDescent="0.25">
      <c r="C11" s="1" t="s">
        <v>42</v>
      </c>
      <c r="D11" s="1">
        <f t="shared" ref="D11:P11" si="16">D4+D10</f>
        <v>22</v>
      </c>
      <c r="E11" s="1">
        <f t="shared" si="16"/>
        <v>27</v>
      </c>
      <c r="F11" s="28">
        <f t="shared" si="16"/>
        <v>21.747000000000014</v>
      </c>
      <c r="G11" s="1">
        <f t="shared" si="16"/>
        <v>47</v>
      </c>
      <c r="H11" s="1">
        <f t="shared" si="16"/>
        <v>7</v>
      </c>
      <c r="I11" s="1">
        <f t="shared" si="16"/>
        <v>5</v>
      </c>
      <c r="J11" s="1">
        <f t="shared" si="16"/>
        <v>3</v>
      </c>
      <c r="K11" s="1">
        <f t="shared" si="16"/>
        <v>27</v>
      </c>
      <c r="L11" s="1">
        <f t="shared" si="16"/>
        <v>-4</v>
      </c>
      <c r="M11" s="1">
        <f t="shared" si="16"/>
        <v>5</v>
      </c>
      <c r="N11" s="1">
        <f t="shared" si="16"/>
        <v>0</v>
      </c>
      <c r="O11" s="1">
        <f t="shared" si="16"/>
        <v>36</v>
      </c>
      <c r="P11" s="1">
        <f t="shared" si="16"/>
        <v>7</v>
      </c>
      <c r="Q11" s="28">
        <f t="shared" ref="Q11:S11" si="17">Q4+Q10</f>
        <v>10.199999999999989</v>
      </c>
      <c r="R11" s="28">
        <f t="shared" si="17"/>
        <v>18.399999999999977</v>
      </c>
      <c r="S11" s="28">
        <f t="shared" si="17"/>
        <v>41.899999999999977</v>
      </c>
      <c r="T11" s="28">
        <f t="shared" ref="T11" si="18">T4+T10</f>
        <v>7.3000000000000114</v>
      </c>
      <c r="Z11" s="22">
        <f t="shared" ref="Z11:AT11" si="19">Z4+Z10</f>
        <v>22.086000000000041</v>
      </c>
      <c r="AA11" s="22">
        <f t="shared" si="19"/>
        <v>32.351000000000056</v>
      </c>
      <c r="AB11" s="22">
        <f t="shared" si="19"/>
        <v>39.700577000000067</v>
      </c>
      <c r="AC11" s="22">
        <f t="shared" si="19"/>
        <v>41.191758999999934</v>
      </c>
      <c r="AD11" s="22">
        <f t="shared" si="19"/>
        <v>48.39689900000019</v>
      </c>
      <c r="AE11" s="22">
        <f t="shared" si="19"/>
        <v>133.3900000000001</v>
      </c>
      <c r="AF11" s="22">
        <f t="shared" si="19"/>
        <v>144.93299999999999</v>
      </c>
      <c r="AG11" s="22">
        <f t="shared" si="19"/>
        <v>114</v>
      </c>
      <c r="AH11" s="22">
        <f t="shared" si="19"/>
        <v>42</v>
      </c>
      <c r="AI11" s="22">
        <f t="shared" si="19"/>
        <v>37</v>
      </c>
      <c r="AJ11" s="22">
        <f t="shared" si="19"/>
        <v>77.500000000000227</v>
      </c>
      <c r="AK11" s="34">
        <f t="shared" si="19"/>
        <v>120.44893999999977</v>
      </c>
      <c r="AL11" s="22">
        <f t="shared" si="19"/>
        <v>139.30942040000014</v>
      </c>
      <c r="AM11" s="22">
        <f t="shared" si="19"/>
        <v>149.06107982799995</v>
      </c>
      <c r="AN11" s="22">
        <f t="shared" si="19"/>
        <v>159.49535541596015</v>
      </c>
      <c r="AO11" s="22">
        <f t="shared" si="19"/>
        <v>170.66003029507738</v>
      </c>
      <c r="AP11" s="22">
        <f t="shared" si="19"/>
        <v>182.60623241573285</v>
      </c>
      <c r="AQ11" s="22">
        <f t="shared" si="19"/>
        <v>195.38866868483365</v>
      </c>
      <c r="AR11" s="22">
        <f t="shared" si="19"/>
        <v>209.06587549277265</v>
      </c>
      <c r="AS11" s="22">
        <f t="shared" si="19"/>
        <v>223.70048677726663</v>
      </c>
      <c r="AT11" s="22">
        <f t="shared" si="19"/>
        <v>239.35952085167492</v>
      </c>
    </row>
    <row r="12" spans="1:141" x14ac:dyDescent="0.25">
      <c r="C12" s="2" t="s">
        <v>43</v>
      </c>
      <c r="D12" s="2">
        <v>-8</v>
      </c>
      <c r="E12" s="2">
        <v>-8</v>
      </c>
      <c r="F12" s="2">
        <v>-7</v>
      </c>
      <c r="G12" s="2">
        <v>-23</v>
      </c>
      <c r="H12" s="2">
        <v>-12</v>
      </c>
      <c r="I12" s="2">
        <v>-14</v>
      </c>
      <c r="J12" s="2">
        <v>-12</v>
      </c>
      <c r="K12" s="2">
        <v>-18</v>
      </c>
      <c r="L12" s="2">
        <v>-8</v>
      </c>
      <c r="M12" s="2">
        <v>-12</v>
      </c>
      <c r="N12" s="2">
        <v>30</v>
      </c>
      <c r="O12" s="2">
        <v>-5</v>
      </c>
      <c r="P12" s="2">
        <v>-16</v>
      </c>
      <c r="Q12" s="33">
        <v>-9.9</v>
      </c>
      <c r="R12" s="33">
        <v>-9.1999999999999993</v>
      </c>
      <c r="S12" s="33">
        <v>-2.6</v>
      </c>
      <c r="T12" s="33">
        <v>-13.7</v>
      </c>
      <c r="Z12" s="23">
        <v>-8.4960000000000004</v>
      </c>
      <c r="AA12" s="23">
        <v>-9.4</v>
      </c>
      <c r="AB12" s="23">
        <v>-15.442</v>
      </c>
      <c r="AC12" s="23">
        <v>-18.718</v>
      </c>
      <c r="AD12" s="23">
        <v>-15</v>
      </c>
      <c r="AE12" s="23">
        <v>-29.196000000000002</v>
      </c>
      <c r="AF12" s="23">
        <v>-20.353999999999999</v>
      </c>
      <c r="AG12" s="23">
        <v>-46</v>
      </c>
      <c r="AH12" s="23">
        <v>-56</v>
      </c>
      <c r="AI12" s="23">
        <v>5</v>
      </c>
      <c r="AJ12" s="23">
        <v>-37.700000000000003</v>
      </c>
      <c r="AK12" s="35">
        <v>-30</v>
      </c>
      <c r="AL12" s="23">
        <v>-30</v>
      </c>
      <c r="AM12" s="23">
        <v>-30</v>
      </c>
      <c r="AN12" s="23">
        <v>-30</v>
      </c>
      <c r="AO12" s="23">
        <v>-30</v>
      </c>
      <c r="AP12" s="23">
        <v>-30</v>
      </c>
      <c r="AQ12" s="23">
        <v>-30</v>
      </c>
      <c r="AR12" s="23">
        <v>-30</v>
      </c>
      <c r="AS12" s="23">
        <v>-30</v>
      </c>
      <c r="AT12" s="23">
        <v>-30</v>
      </c>
    </row>
    <row r="13" spans="1:141" x14ac:dyDescent="0.25">
      <c r="A13" s="2" t="s">
        <v>160</v>
      </c>
      <c r="B13" s="10">
        <f>(B8-B7)/AK26</f>
        <v>2.0319713811661972</v>
      </c>
      <c r="C13" s="2" t="s">
        <v>44</v>
      </c>
      <c r="D13" s="2">
        <f t="shared" ref="D13:N13" si="20">SUM(D11:D12)</f>
        <v>14</v>
      </c>
      <c r="E13" s="2">
        <f t="shared" si="20"/>
        <v>19</v>
      </c>
      <c r="F13" s="33">
        <f t="shared" si="20"/>
        <v>14.747000000000014</v>
      </c>
      <c r="G13" s="2">
        <f t="shared" si="20"/>
        <v>24</v>
      </c>
      <c r="H13" s="2">
        <f t="shared" si="20"/>
        <v>-5</v>
      </c>
      <c r="I13" s="2">
        <f t="shared" si="20"/>
        <v>-9</v>
      </c>
      <c r="J13" s="2">
        <f t="shared" si="20"/>
        <v>-9</v>
      </c>
      <c r="K13" s="2">
        <f t="shared" si="20"/>
        <v>9</v>
      </c>
      <c r="L13" s="2">
        <f t="shared" si="20"/>
        <v>-12</v>
      </c>
      <c r="M13" s="2">
        <f t="shared" si="20"/>
        <v>-7</v>
      </c>
      <c r="N13" s="2">
        <f t="shared" si="20"/>
        <v>30</v>
      </c>
      <c r="O13" s="2">
        <f>SUM(O11:O12)</f>
        <v>31</v>
      </c>
      <c r="P13" s="2">
        <f>SUM(P11:P12)</f>
        <v>-9</v>
      </c>
      <c r="Q13" s="33">
        <f t="shared" ref="Q13:S13" si="21">SUM(Q11:Q12)</f>
        <v>0.29999999999998828</v>
      </c>
      <c r="R13" s="33">
        <f t="shared" si="21"/>
        <v>9.199999999999978</v>
      </c>
      <c r="S13" s="33">
        <f t="shared" si="21"/>
        <v>39.299999999999976</v>
      </c>
      <c r="T13" s="33">
        <f t="shared" ref="T13" si="22">SUM(T11:T12)</f>
        <v>-6.3999999999999879</v>
      </c>
      <c r="Z13" s="23">
        <f t="shared" ref="Z13" si="23">SUM(Z11:Z12)</f>
        <v>13.590000000000041</v>
      </c>
      <c r="AA13" s="23">
        <f t="shared" ref="AA13:AB13" si="24">SUM(AA11:AA12)</f>
        <v>22.951000000000057</v>
      </c>
      <c r="AB13" s="23">
        <f t="shared" si="24"/>
        <v>24.258577000000066</v>
      </c>
      <c r="AC13" s="23">
        <f t="shared" ref="AC13:AD13" si="25">SUM(AC11:AC12)</f>
        <v>22.473758999999934</v>
      </c>
      <c r="AD13" s="23">
        <f t="shared" si="25"/>
        <v>33.39689900000019</v>
      </c>
      <c r="AE13" s="23">
        <f t="shared" ref="AE13:AF13" si="26">SUM(AE11:AE12)</f>
        <v>104.1940000000001</v>
      </c>
      <c r="AF13" s="23">
        <f t="shared" si="26"/>
        <v>124.57899999999999</v>
      </c>
      <c r="AG13" s="23">
        <f t="shared" ref="AG13:AH13" si="27">SUM(AG11:AG12)</f>
        <v>68</v>
      </c>
      <c r="AH13" s="23">
        <f t="shared" si="27"/>
        <v>-14</v>
      </c>
      <c r="AI13" s="23">
        <f>SUM(AI11:AI12)</f>
        <v>42</v>
      </c>
      <c r="AJ13" s="23">
        <f t="shared" ref="AJ13:AT13" si="28">SUM(AJ11:AJ12)</f>
        <v>39.800000000000225</v>
      </c>
      <c r="AK13" s="35">
        <f t="shared" si="28"/>
        <v>90.448939999999766</v>
      </c>
      <c r="AL13" s="23">
        <f t="shared" si="28"/>
        <v>109.30942040000014</v>
      </c>
      <c r="AM13" s="23">
        <f t="shared" si="28"/>
        <v>119.06107982799995</v>
      </c>
      <c r="AN13" s="23">
        <f t="shared" si="28"/>
        <v>129.49535541596015</v>
      </c>
      <c r="AO13" s="23">
        <f t="shared" si="28"/>
        <v>140.66003029507738</v>
      </c>
      <c r="AP13" s="23">
        <f t="shared" si="28"/>
        <v>152.60623241573285</v>
      </c>
      <c r="AQ13" s="23">
        <f t="shared" si="28"/>
        <v>165.38866868483365</v>
      </c>
      <c r="AR13" s="23">
        <f t="shared" si="28"/>
        <v>179.06587549277265</v>
      </c>
      <c r="AS13" s="23">
        <f t="shared" si="28"/>
        <v>193.70048677726663</v>
      </c>
      <c r="AT13" s="23">
        <f t="shared" si="28"/>
        <v>209.35952085167492</v>
      </c>
    </row>
    <row r="14" spans="1:141" x14ac:dyDescent="0.25">
      <c r="C14" s="2" t="s">
        <v>45</v>
      </c>
      <c r="D14" s="2">
        <v>-3</v>
      </c>
      <c r="E14" s="2">
        <v>-4</v>
      </c>
      <c r="F14" s="2">
        <v>-3</v>
      </c>
      <c r="G14" s="2">
        <v>-7</v>
      </c>
      <c r="H14" s="2">
        <v>1</v>
      </c>
      <c r="I14" s="2">
        <v>2</v>
      </c>
      <c r="J14" s="2">
        <v>3</v>
      </c>
      <c r="K14" s="2">
        <v>-2</v>
      </c>
      <c r="L14" s="2">
        <v>1</v>
      </c>
      <c r="M14" s="2">
        <v>2</v>
      </c>
      <c r="N14" s="2">
        <v>2</v>
      </c>
      <c r="O14" s="2">
        <v>-9</v>
      </c>
      <c r="P14" s="2">
        <v>2</v>
      </c>
      <c r="Q14" s="33">
        <v>-0.1</v>
      </c>
      <c r="R14" s="33">
        <v>-2.1</v>
      </c>
      <c r="S14" s="33">
        <v>-7.4</v>
      </c>
      <c r="T14" s="33">
        <v>1.3</v>
      </c>
      <c r="Z14" s="23">
        <v>-6.7</v>
      </c>
      <c r="AA14" s="23">
        <v>-9</v>
      </c>
      <c r="AB14" s="23">
        <v>-9.5</v>
      </c>
      <c r="AC14" s="23">
        <v>-7.9</v>
      </c>
      <c r="AD14" s="23">
        <v>-9.6</v>
      </c>
      <c r="AE14" s="23">
        <v>-22.919</v>
      </c>
      <c r="AF14" s="23">
        <v>-27.327999999999999</v>
      </c>
      <c r="AG14" s="23">
        <v>-17</v>
      </c>
      <c r="AH14" s="23">
        <v>4</v>
      </c>
      <c r="AI14" s="23">
        <v>-4</v>
      </c>
      <c r="AJ14" s="23">
        <v>-7.6</v>
      </c>
      <c r="AK14" s="35">
        <f t="shared" ref="AK14:AT14" si="29">AK13*-0.22</f>
        <v>-19.898766799999947</v>
      </c>
      <c r="AL14" s="23">
        <f t="shared" si="29"/>
        <v>-24.048072488000031</v>
      </c>
      <c r="AM14" s="23">
        <f t="shared" si="29"/>
        <v>-26.193437562159989</v>
      </c>
      <c r="AN14" s="23">
        <f t="shared" si="29"/>
        <v>-28.488978191511233</v>
      </c>
      <c r="AO14" s="23">
        <f t="shared" si="29"/>
        <v>-30.945206664917023</v>
      </c>
      <c r="AP14" s="23">
        <f t="shared" si="29"/>
        <v>-33.573371131461229</v>
      </c>
      <c r="AQ14" s="23">
        <f t="shared" si="29"/>
        <v>-36.385507110663404</v>
      </c>
      <c r="AR14" s="23">
        <f t="shared" si="29"/>
        <v>-39.394492608409983</v>
      </c>
      <c r="AS14" s="23">
        <f t="shared" si="29"/>
        <v>-42.614107090998658</v>
      </c>
      <c r="AT14" s="23">
        <f t="shared" si="29"/>
        <v>-46.059094587368484</v>
      </c>
    </row>
    <row r="15" spans="1:141" x14ac:dyDescent="0.25">
      <c r="A15" s="2" t="s">
        <v>161</v>
      </c>
      <c r="B15" s="9">
        <f>(T48+T51)/T28</f>
        <v>0.92024539877300604</v>
      </c>
      <c r="C15" s="1" t="s">
        <v>46</v>
      </c>
      <c r="D15" s="1">
        <f t="shared" ref="D15:N15" si="30">SUM(D13:D14)</f>
        <v>11</v>
      </c>
      <c r="E15" s="1">
        <f t="shared" si="30"/>
        <v>15</v>
      </c>
      <c r="F15" s="1">
        <f t="shared" si="30"/>
        <v>11.747000000000014</v>
      </c>
      <c r="G15" s="1">
        <f t="shared" si="30"/>
        <v>17</v>
      </c>
      <c r="H15" s="1">
        <f t="shared" si="30"/>
        <v>-4</v>
      </c>
      <c r="I15" s="1">
        <f t="shared" si="30"/>
        <v>-7</v>
      </c>
      <c r="J15" s="1">
        <f t="shared" si="30"/>
        <v>-6</v>
      </c>
      <c r="K15" s="1">
        <f t="shared" si="30"/>
        <v>7</v>
      </c>
      <c r="L15" s="1">
        <f t="shared" si="30"/>
        <v>-11</v>
      </c>
      <c r="M15" s="1">
        <f t="shared" si="30"/>
        <v>-5</v>
      </c>
      <c r="N15" s="1">
        <f t="shared" si="30"/>
        <v>32</v>
      </c>
      <c r="O15" s="1">
        <f>SUM(O13:O14)</f>
        <v>22</v>
      </c>
      <c r="P15" s="1">
        <f>SUM(P13:P14)</f>
        <v>-7</v>
      </c>
      <c r="Q15" s="28">
        <f t="shared" ref="Q15:S15" si="31">SUM(Q13:Q14)</f>
        <v>0.19999999999998827</v>
      </c>
      <c r="R15" s="28">
        <f t="shared" si="31"/>
        <v>7.0999999999999783</v>
      </c>
      <c r="S15" s="28">
        <f t="shared" si="31"/>
        <v>31.899999999999977</v>
      </c>
      <c r="T15" s="28">
        <f t="shared" ref="T15" si="32">SUM(T13:T14)</f>
        <v>-5.0999999999999881</v>
      </c>
      <c r="Z15" s="22">
        <f t="shared" ref="Z15" si="33">SUM(Z13:Z14)</f>
        <v>6.8900000000000405</v>
      </c>
      <c r="AA15" s="22">
        <f t="shared" ref="AA15:AB15" si="34">SUM(AA13:AA14)</f>
        <v>13.951000000000057</v>
      </c>
      <c r="AB15" s="22">
        <f t="shared" si="34"/>
        <v>14.758577000000066</v>
      </c>
      <c r="AC15" s="22">
        <f t="shared" ref="AC15:AD15" si="35">SUM(AC13:AC14)</f>
        <v>14.573758999999933</v>
      </c>
      <c r="AD15" s="22">
        <f t="shared" si="35"/>
        <v>23.796899000000188</v>
      </c>
      <c r="AE15" s="22">
        <f t="shared" ref="AE15:AF15" si="36">SUM(AE13:AE14)</f>
        <v>81.275000000000105</v>
      </c>
      <c r="AF15" s="22">
        <f t="shared" si="36"/>
        <v>97.250999999999991</v>
      </c>
      <c r="AG15" s="22">
        <f>SUM(AG13:AG14)</f>
        <v>51</v>
      </c>
      <c r="AH15" s="22">
        <f>SUM(AH13:AH14)</f>
        <v>-10</v>
      </c>
      <c r="AI15" s="22">
        <f>SUM(AI13:AI14)</f>
        <v>38</v>
      </c>
      <c r="AJ15" s="22">
        <f t="shared" ref="AJ15:AT15" si="37">SUM(AJ13:AJ14)</f>
        <v>32.200000000000223</v>
      </c>
      <c r="AK15" s="34">
        <f t="shared" si="37"/>
        <v>70.550173199999819</v>
      </c>
      <c r="AL15" s="22">
        <f t="shared" si="37"/>
        <v>85.261347912000105</v>
      </c>
      <c r="AM15" s="22">
        <f t="shared" si="37"/>
        <v>92.867642265839962</v>
      </c>
      <c r="AN15" s="22">
        <f t="shared" si="37"/>
        <v>101.00637722444891</v>
      </c>
      <c r="AO15" s="22">
        <f t="shared" si="37"/>
        <v>109.71482363016035</v>
      </c>
      <c r="AP15" s="22">
        <f t="shared" si="37"/>
        <v>119.03286128427162</v>
      </c>
      <c r="AQ15" s="22">
        <f t="shared" si="37"/>
        <v>129.00316157417024</v>
      </c>
      <c r="AR15" s="22">
        <f t="shared" si="37"/>
        <v>139.67138288436266</v>
      </c>
      <c r="AS15" s="22">
        <f t="shared" si="37"/>
        <v>151.08637968626797</v>
      </c>
      <c r="AT15" s="22">
        <f t="shared" si="37"/>
        <v>163.30042626430642</v>
      </c>
      <c r="AU15" s="28">
        <f t="shared" ref="AU15:BZ15" si="38">AT15*(1+$AW$18)</f>
        <v>161.66742200166337</v>
      </c>
      <c r="AV15" s="28">
        <f t="shared" si="38"/>
        <v>160.05074778164672</v>
      </c>
      <c r="AW15" s="28">
        <f t="shared" si="38"/>
        <v>158.45024030383024</v>
      </c>
      <c r="AX15" s="28">
        <f t="shared" si="38"/>
        <v>156.86573790079194</v>
      </c>
      <c r="AY15" s="28">
        <f t="shared" si="38"/>
        <v>155.29708052178401</v>
      </c>
      <c r="AZ15" s="28">
        <f t="shared" si="38"/>
        <v>153.74410971656616</v>
      </c>
      <c r="BA15" s="28">
        <f t="shared" si="38"/>
        <v>152.20666861940049</v>
      </c>
      <c r="BB15" s="28">
        <f t="shared" si="38"/>
        <v>150.68460193320649</v>
      </c>
      <c r="BC15" s="28">
        <f t="shared" si="38"/>
        <v>149.17775591387442</v>
      </c>
      <c r="BD15" s="28">
        <f t="shared" si="38"/>
        <v>147.68597835473568</v>
      </c>
      <c r="BE15" s="28">
        <f t="shared" si="38"/>
        <v>146.20911857118833</v>
      </c>
      <c r="BF15" s="28">
        <f t="shared" si="38"/>
        <v>144.74702738547643</v>
      </c>
      <c r="BG15" s="28">
        <f t="shared" si="38"/>
        <v>143.29955711162165</v>
      </c>
      <c r="BH15" s="28">
        <f t="shared" si="38"/>
        <v>141.86656154050544</v>
      </c>
      <c r="BI15" s="28">
        <f t="shared" si="38"/>
        <v>140.4478959251004</v>
      </c>
      <c r="BJ15" s="28">
        <f t="shared" si="38"/>
        <v>139.04341696584939</v>
      </c>
      <c r="BK15" s="28">
        <f t="shared" si="38"/>
        <v>137.65298279619088</v>
      </c>
      <c r="BL15" s="28">
        <f t="shared" si="38"/>
        <v>136.27645296822897</v>
      </c>
      <c r="BM15" s="28">
        <f t="shared" si="38"/>
        <v>134.91368843854667</v>
      </c>
      <c r="BN15" s="28">
        <f t="shared" si="38"/>
        <v>133.5645515541612</v>
      </c>
      <c r="BO15" s="28">
        <f t="shared" si="38"/>
        <v>132.22890603861958</v>
      </c>
      <c r="BP15" s="28">
        <f t="shared" si="38"/>
        <v>130.90661697823339</v>
      </c>
      <c r="BQ15" s="28">
        <f t="shared" si="38"/>
        <v>129.59755080845105</v>
      </c>
      <c r="BR15" s="28">
        <f t="shared" si="38"/>
        <v>128.30157530036652</v>
      </c>
      <c r="BS15" s="28">
        <f t="shared" si="38"/>
        <v>127.01855954736286</v>
      </c>
      <c r="BT15" s="28">
        <f t="shared" si="38"/>
        <v>125.74837395188922</v>
      </c>
      <c r="BU15" s="28">
        <f t="shared" si="38"/>
        <v>124.49089021237033</v>
      </c>
      <c r="BV15" s="28">
        <f t="shared" si="38"/>
        <v>123.24598131024662</v>
      </c>
      <c r="BW15" s="28">
        <f t="shared" si="38"/>
        <v>122.01352149714415</v>
      </c>
      <c r="BX15" s="28">
        <f t="shared" si="38"/>
        <v>120.7933862821727</v>
      </c>
      <c r="BY15" s="28">
        <f t="shared" si="38"/>
        <v>119.58545241935097</v>
      </c>
      <c r="BZ15" s="28">
        <f t="shared" si="38"/>
        <v>118.38959789515746</v>
      </c>
      <c r="CA15" s="28">
        <f t="shared" ref="CA15:DF15" si="39">BZ15*(1+$AW$18)</f>
        <v>117.20570191620588</v>
      </c>
      <c r="CB15" s="28">
        <f t="shared" si="39"/>
        <v>116.03364489704383</v>
      </c>
      <c r="CC15" s="28">
        <f t="shared" si="39"/>
        <v>114.87330844807339</v>
      </c>
      <c r="CD15" s="28">
        <f t="shared" si="39"/>
        <v>113.72457536359265</v>
      </c>
      <c r="CE15" s="28">
        <f t="shared" si="39"/>
        <v>112.58732960995673</v>
      </c>
      <c r="CF15" s="28">
        <f t="shared" si="39"/>
        <v>111.46145631385716</v>
      </c>
      <c r="CG15" s="28">
        <f t="shared" si="39"/>
        <v>110.34684175071858</v>
      </c>
      <c r="CH15" s="28">
        <f t="shared" si="39"/>
        <v>109.24337333321139</v>
      </c>
      <c r="CI15" s="28">
        <f t="shared" si="39"/>
        <v>108.15093959987928</v>
      </c>
      <c r="CJ15" s="28">
        <f t="shared" si="39"/>
        <v>107.06943020388049</v>
      </c>
      <c r="CK15" s="28">
        <f t="shared" si="39"/>
        <v>105.99873590184168</v>
      </c>
      <c r="CL15" s="28">
        <f t="shared" si="39"/>
        <v>104.93874854282326</v>
      </c>
      <c r="CM15" s="28">
        <f t="shared" si="39"/>
        <v>103.88936105739504</v>
      </c>
      <c r="CN15" s="28">
        <f t="shared" si="39"/>
        <v>102.85046744682109</v>
      </c>
      <c r="CO15" s="28">
        <f t="shared" si="39"/>
        <v>101.82196277235288</v>
      </c>
      <c r="CP15" s="28">
        <f t="shared" si="39"/>
        <v>100.80374314462935</v>
      </c>
      <c r="CQ15" s="28">
        <f t="shared" si="39"/>
        <v>99.795705713183054</v>
      </c>
      <c r="CR15" s="28">
        <f t="shared" si="39"/>
        <v>98.797748656051226</v>
      </c>
      <c r="CS15" s="28">
        <f t="shared" si="39"/>
        <v>97.809771169490716</v>
      </c>
      <c r="CT15" s="28">
        <f t="shared" si="39"/>
        <v>96.831673457795802</v>
      </c>
      <c r="CU15" s="28">
        <f t="shared" si="39"/>
        <v>95.863356723217848</v>
      </c>
      <c r="CV15" s="28">
        <f t="shared" si="39"/>
        <v>94.904723155985664</v>
      </c>
      <c r="CW15" s="28">
        <f t="shared" si="39"/>
        <v>93.955675924425805</v>
      </c>
      <c r="CX15" s="28">
        <f t="shared" si="39"/>
        <v>93.01611916518155</v>
      </c>
      <c r="CY15" s="28">
        <f t="shared" si="39"/>
        <v>92.08595797352973</v>
      </c>
      <c r="CZ15" s="28">
        <f t="shared" si="39"/>
        <v>91.165098393794437</v>
      </c>
      <c r="DA15" s="28">
        <f t="shared" si="39"/>
        <v>90.253447409856491</v>
      </c>
      <c r="DB15" s="28">
        <f t="shared" si="39"/>
        <v>89.350912935757933</v>
      </c>
      <c r="DC15" s="28">
        <f t="shared" si="39"/>
        <v>88.45740380640035</v>
      </c>
      <c r="DD15" s="28">
        <f t="shared" si="39"/>
        <v>87.572829768336348</v>
      </c>
      <c r="DE15" s="28">
        <f t="shared" si="39"/>
        <v>86.697101470652981</v>
      </c>
      <c r="DF15" s="28">
        <f t="shared" si="39"/>
        <v>85.830130455946446</v>
      </c>
      <c r="DG15" s="28">
        <f t="shared" ref="DG15:EK15" si="40">DF15*(1+$AW$18)</f>
        <v>84.971829151386984</v>
      </c>
      <c r="DH15" s="28">
        <f t="shared" si="40"/>
        <v>84.122110859873118</v>
      </c>
      <c r="DI15" s="28">
        <f t="shared" si="40"/>
        <v>83.280889751274387</v>
      </c>
      <c r="DJ15" s="28">
        <f t="shared" si="40"/>
        <v>82.448080853761638</v>
      </c>
      <c r="DK15" s="28">
        <f t="shared" si="40"/>
        <v>81.623600045224023</v>
      </c>
      <c r="DL15" s="28">
        <f t="shared" si="40"/>
        <v>80.807364044771788</v>
      </c>
      <c r="DM15" s="28">
        <f t="shared" si="40"/>
        <v>79.999290404324071</v>
      </c>
      <c r="DN15" s="28">
        <f t="shared" si="40"/>
        <v>79.199297500280835</v>
      </c>
      <c r="DO15" s="28">
        <f t="shared" si="40"/>
        <v>78.407304525278022</v>
      </c>
      <c r="DP15" s="28">
        <f t="shared" si="40"/>
        <v>77.62323148002524</v>
      </c>
      <c r="DQ15" s="28">
        <f t="shared" si="40"/>
        <v>76.846999165224986</v>
      </c>
      <c r="DR15" s="28">
        <f t="shared" si="40"/>
        <v>76.078529173572733</v>
      </c>
      <c r="DS15" s="28">
        <f t="shared" si="40"/>
        <v>75.317743881837004</v>
      </c>
      <c r="DT15" s="28">
        <f t="shared" si="40"/>
        <v>74.564566443018634</v>
      </c>
      <c r="DU15" s="28">
        <f t="shared" si="40"/>
        <v>73.818920778588449</v>
      </c>
      <c r="DV15" s="28">
        <f t="shared" si="40"/>
        <v>73.08073157080257</v>
      </c>
      <c r="DW15" s="28">
        <f t="shared" si="40"/>
        <v>72.34992425509455</v>
      </c>
      <c r="DX15" s="28">
        <f t="shared" si="40"/>
        <v>71.626425012543606</v>
      </c>
      <c r="DY15" s="28">
        <f t="shared" si="40"/>
        <v>70.910160762418172</v>
      </c>
      <c r="DZ15" s="28">
        <f t="shared" si="40"/>
        <v>70.201059154793995</v>
      </c>
      <c r="EA15" s="28">
        <f t="shared" si="40"/>
        <v>69.499048563246049</v>
      </c>
      <c r="EB15" s="28">
        <f t="shared" si="40"/>
        <v>68.80405807761359</v>
      </c>
      <c r="EC15" s="28">
        <f t="shared" si="40"/>
        <v>68.116017496837458</v>
      </c>
      <c r="ED15" s="28">
        <f t="shared" si="40"/>
        <v>67.434857321869089</v>
      </c>
      <c r="EE15" s="28">
        <f t="shared" si="40"/>
        <v>66.760508748650395</v>
      </c>
      <c r="EF15" s="28">
        <f t="shared" si="40"/>
        <v>66.092903661163888</v>
      </c>
      <c r="EG15" s="28">
        <f t="shared" si="40"/>
        <v>65.431974624552254</v>
      </c>
      <c r="EH15" s="28">
        <f t="shared" si="40"/>
        <v>64.777654878306734</v>
      </c>
      <c r="EI15" s="28">
        <f t="shared" si="40"/>
        <v>64.129878329523663</v>
      </c>
      <c r="EJ15" s="28">
        <f t="shared" si="40"/>
        <v>63.488579546228429</v>
      </c>
      <c r="EK15" s="28">
        <f t="shared" si="40"/>
        <v>62.853693750766148</v>
      </c>
    </row>
    <row r="16" spans="1:141" x14ac:dyDescent="0.25">
      <c r="C16" s="2" t="s">
        <v>47</v>
      </c>
      <c r="D16" s="11">
        <v>22.7822</v>
      </c>
      <c r="E16" s="11">
        <v>22.7822</v>
      </c>
      <c r="F16" s="11">
        <v>25.7822</v>
      </c>
      <c r="G16" s="11">
        <v>20.7822</v>
      </c>
      <c r="H16" s="11">
        <v>22.7822</v>
      </c>
      <c r="I16" s="11">
        <v>22.7822</v>
      </c>
      <c r="J16" s="11">
        <v>25.7822</v>
      </c>
      <c r="K16" s="11">
        <v>25.7822</v>
      </c>
      <c r="L16" s="11">
        <v>50.8</v>
      </c>
      <c r="M16" s="11">
        <v>50.782200000000003</v>
      </c>
      <c r="N16" s="11">
        <v>50.782200000000003</v>
      </c>
      <c r="O16" s="11">
        <v>50.782200000000003</v>
      </c>
      <c r="P16" s="11">
        <v>50.782200000000003</v>
      </c>
      <c r="Q16" s="11">
        <v>50.782200000000003</v>
      </c>
      <c r="R16" s="11">
        <v>50.782200000000003</v>
      </c>
      <c r="S16" s="11">
        <v>50.782200000000003</v>
      </c>
      <c r="T16" s="11">
        <v>50.782200000000003</v>
      </c>
      <c r="AE16" s="11">
        <v>21.3</v>
      </c>
      <c r="AF16" s="11">
        <v>21.3</v>
      </c>
      <c r="AG16" s="11">
        <v>50.782200000000003</v>
      </c>
      <c r="AH16" s="11">
        <v>50.782200000000003</v>
      </c>
      <c r="AI16" s="11">
        <v>50.782200000000003</v>
      </c>
      <c r="AJ16" s="11">
        <v>50.782200000000003</v>
      </c>
      <c r="AK16" s="10">
        <v>50.782200000000003</v>
      </c>
      <c r="AL16" s="11">
        <v>50.782200000000003</v>
      </c>
      <c r="AM16" s="11">
        <v>50.782200000000003</v>
      </c>
      <c r="AN16" s="11">
        <v>50.782200000000003</v>
      </c>
      <c r="AO16" s="11">
        <v>50.782200000000003</v>
      </c>
      <c r="AP16" s="11">
        <v>50.782200000000003</v>
      </c>
      <c r="AQ16" s="11">
        <v>50.782200000000003</v>
      </c>
      <c r="AR16" s="11">
        <v>50.782200000000003</v>
      </c>
      <c r="AS16" s="11">
        <v>50.782200000000003</v>
      </c>
      <c r="AT16" s="11">
        <v>50.782200000000003</v>
      </c>
    </row>
    <row r="17" spans="1:49" x14ac:dyDescent="0.25">
      <c r="A17" s="2" t="s">
        <v>162</v>
      </c>
      <c r="B17" s="4">
        <v>3.5</v>
      </c>
      <c r="C17" s="2" t="s">
        <v>48</v>
      </c>
      <c r="D17" s="12">
        <f t="shared" ref="D17:N17" si="41">D15/D16</f>
        <v>0.48283308899052768</v>
      </c>
      <c r="E17" s="12">
        <f t="shared" si="41"/>
        <v>0.65840875771435592</v>
      </c>
      <c r="F17" s="12">
        <f t="shared" si="41"/>
        <v>0.45562442305156325</v>
      </c>
      <c r="G17" s="12">
        <f t="shared" si="41"/>
        <v>0.81800771814341122</v>
      </c>
      <c r="H17" s="12">
        <f t="shared" si="41"/>
        <v>-0.17557566872382827</v>
      </c>
      <c r="I17" s="12">
        <f t="shared" si="41"/>
        <v>-0.30725742026669944</v>
      </c>
      <c r="J17" s="12">
        <f t="shared" si="41"/>
        <v>-0.23271869739587778</v>
      </c>
      <c r="K17" s="12">
        <f t="shared" si="41"/>
        <v>0.2715051469618574</v>
      </c>
      <c r="L17" s="12">
        <f t="shared" si="41"/>
        <v>-0.21653543307086615</v>
      </c>
      <c r="M17" s="12">
        <f t="shared" si="41"/>
        <v>-9.8459696507831485E-2</v>
      </c>
      <c r="N17" s="12">
        <f t="shared" si="41"/>
        <v>0.63014205765012143</v>
      </c>
      <c r="O17" s="12">
        <f>O15/O16</f>
        <v>0.43322266463445852</v>
      </c>
      <c r="P17" s="12">
        <f>P15/P16</f>
        <v>-0.13784357511096407</v>
      </c>
      <c r="Q17" s="12">
        <f t="shared" ref="Q17:S17" si="42">Q15/Q16</f>
        <v>3.9383878603130281E-3</v>
      </c>
      <c r="R17" s="12">
        <f t="shared" si="42"/>
        <v>0.13981276904112028</v>
      </c>
      <c r="S17" s="12">
        <f t="shared" si="42"/>
        <v>0.62817286371996439</v>
      </c>
      <c r="T17" s="12">
        <f t="shared" ref="T17" si="43">T15/T16</f>
        <v>-0.10042889043798787</v>
      </c>
      <c r="AE17" s="12">
        <f>AE15/AE16</f>
        <v>3.8157276995305214</v>
      </c>
      <c r="AF17" s="12">
        <f>AF15/AF16</f>
        <v>4.5657746478873236</v>
      </c>
      <c r="AG17" s="12">
        <f t="shared" ref="AG17" si="44">AG15/AG16</f>
        <v>1.0042889043798811</v>
      </c>
      <c r="AH17" s="12">
        <f t="shared" ref="AH17:AT17" si="45">AH15/AH16</f>
        <v>-0.19691939301566297</v>
      </c>
      <c r="AI17" s="12">
        <f t="shared" ref="AI17" si="46">AI15/AI16</f>
        <v>0.74829369345951924</v>
      </c>
      <c r="AJ17" s="12">
        <f t="shared" si="45"/>
        <v>0.63408044551043907</v>
      </c>
      <c r="AK17" s="9">
        <f t="shared" si="45"/>
        <v>1.3892697283693856</v>
      </c>
      <c r="AL17" s="12">
        <f t="shared" si="45"/>
        <v>1.6789612878528324</v>
      </c>
      <c r="AM17" s="12">
        <f t="shared" si="45"/>
        <v>1.8287439745784932</v>
      </c>
      <c r="AN17" s="12">
        <f t="shared" si="45"/>
        <v>1.9890114493749562</v>
      </c>
      <c r="AO17" s="12">
        <f t="shared" si="45"/>
        <v>2.1604976474071691</v>
      </c>
      <c r="AP17" s="12">
        <f t="shared" si="45"/>
        <v>2.3439878793016375</v>
      </c>
      <c r="AQ17" s="12">
        <f t="shared" si="45"/>
        <v>2.54032242742871</v>
      </c>
      <c r="AR17" s="12">
        <f t="shared" si="45"/>
        <v>2.750400393924695</v>
      </c>
      <c r="AS17" s="12">
        <f t="shared" si="45"/>
        <v>2.9751838180753878</v>
      </c>
      <c r="AT17" s="12">
        <f t="shared" si="45"/>
        <v>3.2157020819166244</v>
      </c>
      <c r="AV17" s="2" t="s">
        <v>93</v>
      </c>
      <c r="AW17" s="27">
        <v>0.08</v>
      </c>
    </row>
    <row r="18" spans="1:49" x14ac:dyDescent="0.25">
      <c r="AV18" s="2" t="s">
        <v>94</v>
      </c>
      <c r="AW18" s="27">
        <v>-0.01</v>
      </c>
    </row>
    <row r="19" spans="1:49" x14ac:dyDescent="0.25">
      <c r="C19" s="1" t="s">
        <v>34</v>
      </c>
      <c r="D19" s="15">
        <v>6.3E-2</v>
      </c>
      <c r="E19" s="15">
        <v>0.11600000000000001</v>
      </c>
      <c r="F19" s="15">
        <v>0.106</v>
      </c>
      <c r="G19" s="15">
        <v>9.4E-2</v>
      </c>
      <c r="H19" s="15">
        <f t="shared" ref="H19:T19" si="47">(H4-D4)/D4</f>
        <v>4.3596730245231606E-2</v>
      </c>
      <c r="I19" s="15">
        <f t="shared" si="47"/>
        <v>-8.9385474860335198E-2</v>
      </c>
      <c r="J19" s="15">
        <f t="shared" si="47"/>
        <v>7.537688442211055E-3</v>
      </c>
      <c r="K19" s="15">
        <f t="shared" si="47"/>
        <v>-1.3944223107569721E-2</v>
      </c>
      <c r="L19" s="15">
        <f t="shared" si="47"/>
        <v>-8.6161879895561358E-2</v>
      </c>
      <c r="M19" s="15">
        <f t="shared" si="47"/>
        <v>7.0552147239263799E-2</v>
      </c>
      <c r="N19" s="15">
        <f t="shared" si="47"/>
        <v>1.4962593516209476E-2</v>
      </c>
      <c r="O19" s="15">
        <f t="shared" si="47"/>
        <v>5.0505050505050504E-2</v>
      </c>
      <c r="P19" s="15">
        <f t="shared" si="47"/>
        <v>0.13142857142857142</v>
      </c>
      <c r="Q19" s="15">
        <f t="shared" si="47"/>
        <v>5.2148997134670458E-2</v>
      </c>
      <c r="R19" s="15">
        <f t="shared" si="47"/>
        <v>7.2235872235872176E-2</v>
      </c>
      <c r="S19" s="15">
        <f t="shared" si="47"/>
        <v>0.13230769230769221</v>
      </c>
      <c r="T19" s="15">
        <f t="shared" si="47"/>
        <v>8.7373737373737437E-2</v>
      </c>
      <c r="AA19" s="15">
        <f t="shared" ref="AA19:AT19" si="48">(AA4-Z4)/Z4</f>
        <v>0.50254653041979058</v>
      </c>
      <c r="AB19" s="15">
        <f t="shared" si="48"/>
        <v>0.42238369054092562</v>
      </c>
      <c r="AC19" s="15">
        <f t="shared" si="48"/>
        <v>0.32468824824892489</v>
      </c>
      <c r="AD19" s="15">
        <f t="shared" si="48"/>
        <v>0.22578157156036494</v>
      </c>
      <c r="AE19" s="15">
        <f t="shared" si="48"/>
        <v>0.36480896201436608</v>
      </c>
      <c r="AF19" s="15">
        <f t="shared" si="48"/>
        <v>0.12876113121573615</v>
      </c>
      <c r="AG19" s="15">
        <f t="shared" si="48"/>
        <v>9.4032975837019431E-2</v>
      </c>
      <c r="AH19" s="15">
        <f t="shared" si="48"/>
        <v>-1.2307692307692308E-2</v>
      </c>
      <c r="AI19" s="15">
        <f t="shared" si="48"/>
        <v>1.3084112149532711E-2</v>
      </c>
      <c r="AJ19" s="15">
        <f t="shared" si="48"/>
        <v>9.9876998769987763E-2</v>
      </c>
      <c r="AK19" s="16">
        <f t="shared" si="48"/>
        <v>9.0000000000000066E-2</v>
      </c>
      <c r="AL19" s="15">
        <f t="shared" si="48"/>
        <v>7.0000000000000062E-2</v>
      </c>
      <c r="AM19" s="15">
        <f t="shared" si="48"/>
        <v>7.0000000000000021E-2</v>
      </c>
      <c r="AN19" s="15">
        <f t="shared" si="48"/>
        <v>6.9999999999999993E-2</v>
      </c>
      <c r="AO19" s="15">
        <f t="shared" si="48"/>
        <v>7.0000000000000132E-2</v>
      </c>
      <c r="AP19" s="15">
        <f t="shared" si="48"/>
        <v>7.0000000000000104E-2</v>
      </c>
      <c r="AQ19" s="15">
        <f t="shared" si="48"/>
        <v>7.0000000000000076E-2</v>
      </c>
      <c r="AR19" s="15">
        <f t="shared" si="48"/>
        <v>6.9999999999999993E-2</v>
      </c>
      <c r="AS19" s="15">
        <f t="shared" si="48"/>
        <v>7.0000000000000118E-2</v>
      </c>
      <c r="AT19" s="15">
        <f t="shared" si="48"/>
        <v>7.0000000000000062E-2</v>
      </c>
      <c r="AV19" s="20" t="s">
        <v>95</v>
      </c>
      <c r="AW19" s="29">
        <f>NPV(AW17,AJ15:EK15)</f>
        <v>1483.3727047360946</v>
      </c>
    </row>
    <row r="20" spans="1:49" x14ac:dyDescent="0.25">
      <c r="C20" s="1" t="s">
        <v>124</v>
      </c>
      <c r="D20" s="15">
        <v>-1.2E-2</v>
      </c>
      <c r="E20" s="15">
        <v>-2.4E-2</v>
      </c>
      <c r="F20" s="15">
        <v>-1.4E-2</v>
      </c>
      <c r="G20" s="15">
        <v>-2.5000000000000001E-2</v>
      </c>
      <c r="H20" s="15">
        <v>-3.2000000000000001E-2</v>
      </c>
      <c r="I20" s="15">
        <v>-0.107</v>
      </c>
      <c r="J20" s="15">
        <v>-3.3000000000000002E-2</v>
      </c>
      <c r="K20" s="15">
        <v>-4.1000000000000002E-2</v>
      </c>
      <c r="L20" s="15">
        <v>-0.10199999999999999</v>
      </c>
      <c r="M20" s="15">
        <v>4.3999999999999997E-2</v>
      </c>
      <c r="N20" s="15">
        <v>1.0999999999999999E-2</v>
      </c>
      <c r="O20" s="15">
        <v>1.7999999999999999E-2</v>
      </c>
      <c r="P20" s="15">
        <v>8.7999999999999995E-2</v>
      </c>
      <c r="Q20" s="15">
        <v>1.2999999999999999E-2</v>
      </c>
      <c r="R20" s="15">
        <v>3.5999999999999997E-2</v>
      </c>
      <c r="S20" s="15">
        <v>7.5999999999999998E-2</v>
      </c>
      <c r="T20" s="15">
        <v>4.9000000000000002E-2</v>
      </c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15"/>
      <c r="AF20" s="15"/>
      <c r="AG20" s="15"/>
      <c r="AH20" s="15"/>
      <c r="AI20" s="15"/>
      <c r="AJ20" s="18"/>
      <c r="AK20" s="36"/>
      <c r="AL20" s="18"/>
      <c r="AM20" s="18"/>
      <c r="AN20" s="18"/>
      <c r="AO20" s="18"/>
      <c r="AP20" s="18"/>
      <c r="AQ20" s="18"/>
      <c r="AR20" s="18"/>
      <c r="AS20" s="18"/>
      <c r="AT20" s="18"/>
      <c r="AV20" s="2" t="s">
        <v>2</v>
      </c>
      <c r="AW20" s="11">
        <v>50.782200000000003</v>
      </c>
    </row>
    <row r="21" spans="1:49" x14ac:dyDescent="0.25">
      <c r="C21" s="2" t="s">
        <v>126</v>
      </c>
      <c r="H21" s="13">
        <f t="shared" ref="H21:O21" si="49">(H10-D10)/D10</f>
        <v>8.9855072463768115E-2</v>
      </c>
      <c r="I21" s="13">
        <f t="shared" si="49"/>
        <v>-3.0211480362537766E-2</v>
      </c>
      <c r="J21" s="13">
        <f t="shared" si="49"/>
        <v>5.7798874693357968E-2</v>
      </c>
      <c r="K21" s="13">
        <f t="shared" si="49"/>
        <v>2.8571428571428571E-2</v>
      </c>
      <c r="L21" s="13">
        <f t="shared" si="49"/>
        <v>-5.8510638297872342E-2</v>
      </c>
      <c r="M21" s="13">
        <f t="shared" si="49"/>
        <v>7.1651090342679122E-2</v>
      </c>
      <c r="N21" s="13">
        <f t="shared" si="49"/>
        <v>2.2613065326633167E-2</v>
      </c>
      <c r="O21" s="13">
        <f t="shared" si="49"/>
        <v>3.4188034188034191E-2</v>
      </c>
      <c r="P21" s="13">
        <f>(P10-L10)/L10</f>
        <v>9.8870056497175146E-2</v>
      </c>
      <c r="Q21" s="13">
        <f t="shared" ref="Q21:T21" si="50">(Q10-M10)/M10</f>
        <v>3.7790697674418602E-2</v>
      </c>
      <c r="R21" s="13">
        <f t="shared" si="50"/>
        <v>2.7027027027027029E-2</v>
      </c>
      <c r="S21" s="13">
        <f t="shared" si="50"/>
        <v>0.12995867768595037</v>
      </c>
      <c r="T21" s="13">
        <f t="shared" si="50"/>
        <v>8.8174807197943475E-2</v>
      </c>
      <c r="AA21" s="13">
        <f t="shared" ref="AA21" si="51">(AA10-Z10)/Z10</f>
        <v>0.50580856563033993</v>
      </c>
      <c r="AB21" s="13">
        <f t="shared" ref="AB21" si="52">(AB10-AA10)/AA10</f>
        <v>0.43878191898208246</v>
      </c>
      <c r="AC21" s="13">
        <f t="shared" ref="AC21" si="53">(AC10-AB10)/AB10</f>
        <v>0.34526151090864154</v>
      </c>
      <c r="AD21" s="13">
        <f t="shared" ref="AD21" si="54">(AD10-AC10)/AC10</f>
        <v>0.22859250327546216</v>
      </c>
      <c r="AE21" s="13">
        <f t="shared" ref="AE21" si="55">(AE10-AD10)/AD10</f>
        <v>0.29127740162730426</v>
      </c>
      <c r="AF21" s="13">
        <f t="shared" ref="AF21:AI21" si="56">(AF10-AE10)/AE10</f>
        <v>0.13352428406161843</v>
      </c>
      <c r="AG21" s="13">
        <f t="shared" si="56"/>
        <v>0.12727796317061293</v>
      </c>
      <c r="AH21" s="13">
        <f t="shared" si="56"/>
        <v>3.4414295168762411E-2</v>
      </c>
      <c r="AI21" s="13">
        <f t="shared" si="56"/>
        <v>1.6634676903390915E-2</v>
      </c>
      <c r="AJ21" s="13">
        <f>(AJ10-AI10)/AI10</f>
        <v>7.6714915040906148E-2</v>
      </c>
      <c r="AK21" s="14">
        <f t="shared" ref="AK21:AT21" si="57">(AK10-AJ10)/AJ10</f>
        <v>6.8973674674148458E-2</v>
      </c>
      <c r="AL21" s="13">
        <f t="shared" si="57"/>
        <v>6.4297657421695187E-2</v>
      </c>
      <c r="AM21" s="13">
        <f t="shared" si="57"/>
        <v>7.0000000000000118E-2</v>
      </c>
      <c r="AN21" s="13">
        <f t="shared" si="57"/>
        <v>6.9999999999999896E-2</v>
      </c>
      <c r="AO21" s="13">
        <f t="shared" si="57"/>
        <v>7.0000000000000132E-2</v>
      </c>
      <c r="AP21" s="13">
        <f t="shared" si="57"/>
        <v>7.000000000000009E-2</v>
      </c>
      <c r="AQ21" s="13">
        <f t="shared" si="57"/>
        <v>7.000000000000027E-2</v>
      </c>
      <c r="AR21" s="13">
        <f t="shared" si="57"/>
        <v>6.9999999999999743E-2</v>
      </c>
      <c r="AS21" s="13">
        <f t="shared" si="57"/>
        <v>7.0000000000000159E-2</v>
      </c>
      <c r="AT21" s="13">
        <f t="shared" si="57"/>
        <v>7.0000000000000187E-2</v>
      </c>
      <c r="AV21" s="1" t="s">
        <v>96</v>
      </c>
      <c r="AW21" s="30">
        <f>AW19/AW20</f>
        <v>29.210485263263397</v>
      </c>
    </row>
    <row r="22" spans="1:49" x14ac:dyDescent="0.25">
      <c r="C22" s="2" t="s">
        <v>85</v>
      </c>
      <c r="D22" s="13">
        <f t="shared" ref="D22:O22" si="58">D6/D4</f>
        <v>0.37329700272479566</v>
      </c>
      <c r="E22" s="13">
        <f t="shared" si="58"/>
        <v>0.35195530726256985</v>
      </c>
      <c r="F22" s="13">
        <f t="shared" si="58"/>
        <v>0.37688442211055279</v>
      </c>
      <c r="G22" s="13">
        <f t="shared" si="58"/>
        <v>0.38645418326693226</v>
      </c>
      <c r="H22" s="13">
        <f t="shared" si="58"/>
        <v>0.35770234986945171</v>
      </c>
      <c r="I22" s="13">
        <f t="shared" si="58"/>
        <v>0.34662576687116564</v>
      </c>
      <c r="J22" s="13">
        <f t="shared" si="58"/>
        <v>0.35411471321695759</v>
      </c>
      <c r="K22" s="13">
        <f t="shared" si="58"/>
        <v>0.3292929292929293</v>
      </c>
      <c r="L22" s="13">
        <f t="shared" si="58"/>
        <v>0.3457142857142857</v>
      </c>
      <c r="M22" s="13">
        <f t="shared" si="58"/>
        <v>0.32378223495702008</v>
      </c>
      <c r="N22" s="13">
        <f>N6/N4</f>
        <v>0.33415233415233414</v>
      </c>
      <c r="O22" s="13">
        <f t="shared" si="58"/>
        <v>0.35</v>
      </c>
      <c r="P22" s="13">
        <f>P6/P4</f>
        <v>0.3611111111111111</v>
      </c>
      <c r="Q22" s="13">
        <f>(Q4+Q5)/Q4</f>
        <v>0.35103485838779952</v>
      </c>
      <c r="R22" s="13">
        <f>(R4+R5)/R4</f>
        <v>0.36709440879926675</v>
      </c>
      <c r="S22" s="13">
        <f>(S4+S5)/S4</f>
        <v>0.34952445652173908</v>
      </c>
      <c r="T22" s="13">
        <f>(T4+T5)/T4</f>
        <v>0.36646539712029724</v>
      </c>
      <c r="Z22" s="13">
        <f t="shared" ref="Z22:AI22" si="59">Z6/Z4</f>
        <v>0.44788700963542322</v>
      </c>
      <c r="AA22" s="13">
        <f t="shared" si="59"/>
        <v>0.4462655497291898</v>
      </c>
      <c r="AB22" s="13">
        <f t="shared" si="59"/>
        <v>0.43406159837239766</v>
      </c>
      <c r="AC22" s="13">
        <f t="shared" si="59"/>
        <v>0.40976950381414157</v>
      </c>
      <c r="AD22" s="13">
        <f t="shared" si="59"/>
        <v>0.38841151512919214</v>
      </c>
      <c r="AE22" s="13">
        <f t="shared" si="59"/>
        <v>0.3932725584279585</v>
      </c>
      <c r="AF22" s="13">
        <f t="shared" si="59"/>
        <v>0.38578968983323569</v>
      </c>
      <c r="AG22" s="13">
        <f t="shared" si="59"/>
        <v>0.37353846153846154</v>
      </c>
      <c r="AH22" s="13">
        <f t="shared" si="59"/>
        <v>0.34579439252336447</v>
      </c>
      <c r="AI22" s="13">
        <f t="shared" si="59"/>
        <v>0.33948339483394835</v>
      </c>
      <c r="AJ22" s="13">
        <f>AJ6/AJ4</f>
        <v>0.35668754193692692</v>
      </c>
      <c r="AK22" s="14">
        <f t="shared" ref="AK22:AT22" si="60">AK6/AK4</f>
        <v>0.36499999999999999</v>
      </c>
      <c r="AL22" s="13">
        <f t="shared" si="60"/>
        <v>0.37000000000000005</v>
      </c>
      <c r="AM22" s="13">
        <f t="shared" si="60"/>
        <v>0.37</v>
      </c>
      <c r="AN22" s="13">
        <f t="shared" si="60"/>
        <v>0.37</v>
      </c>
      <c r="AO22" s="13">
        <f t="shared" si="60"/>
        <v>0.37</v>
      </c>
      <c r="AP22" s="13">
        <f t="shared" si="60"/>
        <v>0.37</v>
      </c>
      <c r="AQ22" s="13">
        <f t="shared" si="60"/>
        <v>0.37</v>
      </c>
      <c r="AR22" s="13">
        <f t="shared" si="60"/>
        <v>0.37</v>
      </c>
      <c r="AS22" s="13">
        <f t="shared" si="60"/>
        <v>0.37000000000000005</v>
      </c>
      <c r="AT22" s="13">
        <f t="shared" si="60"/>
        <v>0.36999999999999994</v>
      </c>
      <c r="AV22" s="1" t="s">
        <v>97</v>
      </c>
      <c r="AW22" s="15">
        <f>(AW21-B4)/B4</f>
        <v>0.9344692227326753</v>
      </c>
    </row>
    <row r="23" spans="1:49" x14ac:dyDescent="0.25">
      <c r="C23" s="2" t="s">
        <v>53</v>
      </c>
      <c r="D23" s="13">
        <f t="shared" ref="D23:S23" si="61">D11/D4</f>
        <v>5.9945504087193457E-2</v>
      </c>
      <c r="E23" s="13">
        <f t="shared" si="61"/>
        <v>7.5418994413407825E-2</v>
      </c>
      <c r="F23" s="13">
        <f t="shared" si="61"/>
        <v>5.4640703517587978E-2</v>
      </c>
      <c r="G23" s="13">
        <f t="shared" si="61"/>
        <v>9.3625498007968128E-2</v>
      </c>
      <c r="H23" s="13">
        <f t="shared" si="61"/>
        <v>1.8276762402088774E-2</v>
      </c>
      <c r="I23" s="13">
        <f t="shared" si="61"/>
        <v>1.5337423312883436E-2</v>
      </c>
      <c r="J23" s="13">
        <f t="shared" si="61"/>
        <v>7.481296758104738E-3</v>
      </c>
      <c r="K23" s="13">
        <f t="shared" si="61"/>
        <v>5.4545454545454543E-2</v>
      </c>
      <c r="L23" s="13">
        <f t="shared" si="61"/>
        <v>-1.1428571428571429E-2</v>
      </c>
      <c r="M23" s="13">
        <f t="shared" si="61"/>
        <v>1.4326647564469915E-2</v>
      </c>
      <c r="N23" s="13">
        <f t="shared" si="61"/>
        <v>0</v>
      </c>
      <c r="O23" s="13">
        <f t="shared" si="61"/>
        <v>6.9230769230769235E-2</v>
      </c>
      <c r="P23" s="13">
        <f t="shared" si="61"/>
        <v>1.7676767676767676E-2</v>
      </c>
      <c r="Q23" s="13">
        <f t="shared" si="61"/>
        <v>2.7777777777777748E-2</v>
      </c>
      <c r="R23" s="13">
        <f t="shared" si="61"/>
        <v>4.21631530705774E-2</v>
      </c>
      <c r="S23" s="13">
        <f t="shared" si="61"/>
        <v>7.1161684782608661E-2</v>
      </c>
      <c r="T23" s="13">
        <f t="shared" ref="T23" si="62">T11/T4</f>
        <v>1.6953088713423155E-2</v>
      </c>
      <c r="Z23" s="13">
        <f t="shared" ref="Z23:AT23" si="63">Z11/Z4</f>
        <v>7.9494941132855254E-2</v>
      </c>
      <c r="AA23" s="13">
        <f t="shared" si="63"/>
        <v>7.749652054971734E-2</v>
      </c>
      <c r="AB23" s="13">
        <f t="shared" si="63"/>
        <v>6.6861258844744559E-2</v>
      </c>
      <c r="AC23" s="13">
        <f t="shared" si="63"/>
        <v>5.2369012502919261E-2</v>
      </c>
      <c r="AD23" s="13">
        <f t="shared" si="63"/>
        <v>5.0195928766986073E-2</v>
      </c>
      <c r="AE23" s="13">
        <f t="shared" si="63"/>
        <v>0.10136834729849069</v>
      </c>
      <c r="AF23" s="13">
        <f t="shared" si="63"/>
        <v>9.7576296176607222E-2</v>
      </c>
      <c r="AG23" s="13">
        <f t="shared" si="63"/>
        <v>7.015384615384615E-2</v>
      </c>
      <c r="AH23" s="13">
        <f t="shared" si="63"/>
        <v>2.6168224299065422E-2</v>
      </c>
      <c r="AI23" s="13">
        <f t="shared" si="63"/>
        <v>2.2755227552275523E-2</v>
      </c>
      <c r="AJ23" s="13">
        <f t="shared" si="63"/>
        <v>4.3334824424066332E-2</v>
      </c>
      <c r="AK23" s="14">
        <f t="shared" si="63"/>
        <v>6.1789093423674155E-2</v>
      </c>
      <c r="AL23" s="13">
        <f t="shared" si="63"/>
        <v>6.6789093423674339E-2</v>
      </c>
      <c r="AM23" s="13">
        <f t="shared" si="63"/>
        <v>6.6789093423674242E-2</v>
      </c>
      <c r="AN23" s="13">
        <f t="shared" si="63"/>
        <v>6.6789093423674326E-2</v>
      </c>
      <c r="AO23" s="13">
        <f t="shared" si="63"/>
        <v>6.6789093423674326E-2</v>
      </c>
      <c r="AP23" s="13">
        <f t="shared" si="63"/>
        <v>6.6789093423674339E-2</v>
      </c>
      <c r="AQ23" s="13">
        <f t="shared" si="63"/>
        <v>6.6789093423674173E-2</v>
      </c>
      <c r="AR23" s="13">
        <f t="shared" si="63"/>
        <v>6.6789093423674381E-2</v>
      </c>
      <c r="AS23" s="13">
        <f t="shared" si="63"/>
        <v>6.6789093423674339E-2</v>
      </c>
      <c r="AT23" s="13">
        <f t="shared" si="63"/>
        <v>6.6789093423674228E-2</v>
      </c>
    </row>
    <row r="24" spans="1:49" x14ac:dyDescent="0.25">
      <c r="C24" s="2" t="s">
        <v>127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>
        <v>0.379</v>
      </c>
      <c r="AA24" s="21">
        <v>0.38100000000000001</v>
      </c>
      <c r="AB24" s="21">
        <v>0.13100000000000001</v>
      </c>
      <c r="AC24" s="21">
        <v>0.14099999999999999</v>
      </c>
      <c r="AD24" s="21">
        <v>0.17699999999999999</v>
      </c>
      <c r="AE24" s="21"/>
      <c r="AF24" s="21"/>
      <c r="AG24" s="21">
        <f>AG15/G46</f>
        <v>0.15407854984894259</v>
      </c>
      <c r="AH24" s="21">
        <f>AH15/K46</f>
        <v>-2.3255813953488372E-2</v>
      </c>
      <c r="AI24" s="21">
        <f>AI15/O46</f>
        <v>5.6886227544910177E-2</v>
      </c>
      <c r="AJ24" s="21">
        <f>AJ15/S46</f>
        <v>4.4815588030619656E-2</v>
      </c>
      <c r="AK24" s="14"/>
      <c r="AL24" s="13"/>
      <c r="AM24" s="13"/>
      <c r="AN24" s="13"/>
      <c r="AO24" s="13"/>
      <c r="AP24" s="13"/>
      <c r="AQ24" s="13"/>
      <c r="AR24" s="13"/>
      <c r="AS24" s="13"/>
      <c r="AT24" s="13"/>
    </row>
    <row r="25" spans="1:49" x14ac:dyDescent="0.25"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14"/>
      <c r="AL25" s="13"/>
      <c r="AM25" s="13"/>
      <c r="AN25" s="13"/>
      <c r="AO25" s="13"/>
      <c r="AP25" s="13"/>
      <c r="AQ25" s="13"/>
      <c r="AR25" s="13"/>
      <c r="AS25" s="13"/>
      <c r="AT25" s="13"/>
    </row>
    <row r="26" spans="1:49" x14ac:dyDescent="0.25">
      <c r="C26" s="2" t="s">
        <v>140</v>
      </c>
      <c r="D26" s="2">
        <v>43</v>
      </c>
      <c r="E26" s="2">
        <v>49</v>
      </c>
      <c r="F26" s="2">
        <v>45</v>
      </c>
      <c r="G26" s="2">
        <v>70</v>
      </c>
      <c r="H26" s="2">
        <v>32</v>
      </c>
      <c r="I26" s="2">
        <v>31</v>
      </c>
      <c r="J26" s="2">
        <v>28</v>
      </c>
      <c r="K26" s="2">
        <v>46</v>
      </c>
      <c r="L26" s="2">
        <v>24</v>
      </c>
      <c r="M26" s="2">
        <v>30.3</v>
      </c>
      <c r="N26" s="2">
        <v>30</v>
      </c>
      <c r="O26" s="2">
        <v>65.8</v>
      </c>
      <c r="P26" s="2">
        <v>36</v>
      </c>
      <c r="Q26" s="2">
        <v>39.700000000000003</v>
      </c>
      <c r="R26" s="2">
        <v>48.2</v>
      </c>
      <c r="S26" s="2">
        <v>69.7</v>
      </c>
      <c r="T26" s="2">
        <v>38</v>
      </c>
      <c r="AG26" s="2">
        <v>206</v>
      </c>
      <c r="AH26" s="2">
        <v>136</v>
      </c>
      <c r="AI26" s="33">
        <v>150.1</v>
      </c>
      <c r="AJ26" s="33">
        <v>193.4</v>
      </c>
      <c r="AK26" s="35">
        <f>SUM(AK6:AK7)+AK9</f>
        <v>243.40894</v>
      </c>
      <c r="AL26" s="23">
        <f t="shared" ref="AL26:AT26" si="64">SUM(AL6:AL7)+AL9</f>
        <v>270.87662040000015</v>
      </c>
      <c r="AM26" s="23">
        <f t="shared" si="64"/>
        <v>289.83798382800001</v>
      </c>
      <c r="AN26" s="23">
        <f t="shared" si="64"/>
        <v>310.12664269596007</v>
      </c>
      <c r="AO26" s="23">
        <f t="shared" si="64"/>
        <v>331.8355076846774</v>
      </c>
      <c r="AP26" s="23">
        <f t="shared" si="64"/>
        <v>355.06399322260489</v>
      </c>
      <c r="AQ26" s="23">
        <f t="shared" si="64"/>
        <v>379.91847274818713</v>
      </c>
      <c r="AR26" s="23">
        <f t="shared" si="64"/>
        <v>406.51276584056023</v>
      </c>
      <c r="AS26" s="23">
        <f t="shared" si="64"/>
        <v>434.96865944939969</v>
      </c>
      <c r="AT26" s="23">
        <f t="shared" si="64"/>
        <v>465.4164656108573</v>
      </c>
    </row>
    <row r="27" spans="1:49" s="47" customFormat="1" x14ac:dyDescent="0.25">
      <c r="B27" s="68"/>
      <c r="C27" s="47" t="s">
        <v>141</v>
      </c>
      <c r="D27" s="47">
        <f t="shared" ref="D27:R27" si="65">D26/D4</f>
        <v>0.11716621253405994</v>
      </c>
      <c r="E27" s="47">
        <f t="shared" si="65"/>
        <v>0.13687150837988826</v>
      </c>
      <c r="F27" s="47">
        <f t="shared" si="65"/>
        <v>0.11306532663316583</v>
      </c>
      <c r="G27" s="47">
        <f t="shared" si="65"/>
        <v>0.1394422310756972</v>
      </c>
      <c r="H27" s="47">
        <f t="shared" si="65"/>
        <v>8.3550913838120106E-2</v>
      </c>
      <c r="I27" s="47">
        <f t="shared" si="65"/>
        <v>9.5092024539877307E-2</v>
      </c>
      <c r="J27" s="47">
        <f t="shared" si="65"/>
        <v>6.9825436408977551E-2</v>
      </c>
      <c r="K27" s="47">
        <f t="shared" si="65"/>
        <v>9.2929292929292931E-2</v>
      </c>
      <c r="L27" s="47">
        <f t="shared" si="65"/>
        <v>6.8571428571428575E-2</v>
      </c>
      <c r="M27" s="47">
        <f t="shared" si="65"/>
        <v>8.681948424068768E-2</v>
      </c>
      <c r="N27" s="47">
        <f t="shared" si="65"/>
        <v>7.3710073710073709E-2</v>
      </c>
      <c r="O27" s="47">
        <f t="shared" si="65"/>
        <v>0.12653846153846154</v>
      </c>
      <c r="P27" s="47">
        <f t="shared" si="65"/>
        <v>9.0909090909090912E-2</v>
      </c>
      <c r="Q27" s="47">
        <f t="shared" si="65"/>
        <v>0.10811546840958607</v>
      </c>
      <c r="R27" s="47">
        <f t="shared" si="65"/>
        <v>0.11044912923923007</v>
      </c>
      <c r="S27" s="47">
        <f>S26/S4</f>
        <v>0.11837635869565219</v>
      </c>
      <c r="T27" s="47">
        <f>T26/T4</f>
        <v>8.8248954946586147E-2</v>
      </c>
      <c r="AG27" s="47">
        <f t="shared" ref="AG27:AJ27" si="66">AG26/AG4</f>
        <v>0.12676923076923077</v>
      </c>
      <c r="AH27" s="47">
        <f t="shared" si="66"/>
        <v>8.4735202492211836E-2</v>
      </c>
      <c r="AI27" s="47">
        <f t="shared" si="66"/>
        <v>9.2312423124231241E-2</v>
      </c>
      <c r="AJ27" s="47">
        <f t="shared" si="66"/>
        <v>0.10814135540147618</v>
      </c>
      <c r="AK27" s="68">
        <f>AK26/AK4</f>
        <v>0.12486633534356986</v>
      </c>
      <c r="AL27" s="47">
        <f t="shared" ref="AL27:AT27" si="67">AL26/AL4</f>
        <v>0.12986633534356992</v>
      </c>
      <c r="AM27" s="47">
        <f t="shared" si="67"/>
        <v>0.12986633534356987</v>
      </c>
      <c r="AN27" s="47">
        <f t="shared" si="67"/>
        <v>0.12986633534356989</v>
      </c>
      <c r="AO27" s="47">
        <f t="shared" si="67"/>
        <v>0.12986633534356992</v>
      </c>
      <c r="AP27" s="47">
        <f t="shared" si="67"/>
        <v>0.12986633534356992</v>
      </c>
      <c r="AQ27" s="47">
        <f t="shared" si="67"/>
        <v>0.12986633534356989</v>
      </c>
      <c r="AR27" s="47">
        <f t="shared" si="67"/>
        <v>0.12986633534356989</v>
      </c>
      <c r="AS27" s="47">
        <f t="shared" si="67"/>
        <v>0.12986633534356995</v>
      </c>
      <c r="AT27" s="47">
        <f t="shared" si="67"/>
        <v>0.12986633534356984</v>
      </c>
    </row>
    <row r="28" spans="1:49" x14ac:dyDescent="0.25">
      <c r="C28" s="2" t="s">
        <v>158</v>
      </c>
      <c r="G28" s="2">
        <f>SUM(D26:G26)</f>
        <v>207</v>
      </c>
      <c r="H28" s="2">
        <f>SUM(E26:H26)</f>
        <v>196</v>
      </c>
      <c r="I28" s="2">
        <f t="shared" ref="I28:R28" si="68">SUM(F26:I26)</f>
        <v>178</v>
      </c>
      <c r="J28" s="2">
        <f t="shared" si="68"/>
        <v>161</v>
      </c>
      <c r="K28" s="2">
        <f t="shared" si="68"/>
        <v>137</v>
      </c>
      <c r="L28" s="2">
        <f t="shared" si="68"/>
        <v>129</v>
      </c>
      <c r="M28" s="2">
        <f t="shared" si="68"/>
        <v>128.30000000000001</v>
      </c>
      <c r="N28" s="2">
        <f t="shared" si="68"/>
        <v>130.30000000000001</v>
      </c>
      <c r="O28" s="2">
        <f t="shared" si="68"/>
        <v>150.1</v>
      </c>
      <c r="P28" s="2">
        <f t="shared" si="68"/>
        <v>162.1</v>
      </c>
      <c r="Q28" s="2">
        <f t="shared" si="68"/>
        <v>171.5</v>
      </c>
      <c r="R28" s="2">
        <f t="shared" si="68"/>
        <v>189.7</v>
      </c>
      <c r="S28" s="2">
        <f>SUM(P26:S26)</f>
        <v>193.60000000000002</v>
      </c>
      <c r="T28" s="2">
        <f>SUM(Q26:T26)</f>
        <v>195.60000000000002</v>
      </c>
    </row>
    <row r="30" spans="1:49" x14ac:dyDescent="0.25">
      <c r="C30" s="3" t="s">
        <v>35</v>
      </c>
    </row>
    <row r="31" spans="1:49" x14ac:dyDescent="0.25">
      <c r="AG31" s="1"/>
    </row>
    <row r="32" spans="1:49" x14ac:dyDescent="0.25">
      <c r="C32" s="2" t="s">
        <v>54</v>
      </c>
      <c r="D32" s="23">
        <v>413.17899999999997</v>
      </c>
      <c r="E32" s="23">
        <v>395.15300000000002</v>
      </c>
      <c r="F32" s="23">
        <v>395.15300000000002</v>
      </c>
      <c r="G32" s="23">
        <v>432</v>
      </c>
      <c r="H32" s="23">
        <v>432</v>
      </c>
      <c r="I32" s="23">
        <v>432</v>
      </c>
      <c r="J32" s="23">
        <v>432</v>
      </c>
      <c r="K32" s="23">
        <v>432</v>
      </c>
      <c r="L32" s="23">
        <v>452</v>
      </c>
      <c r="M32" s="23">
        <v>449</v>
      </c>
      <c r="N32" s="23">
        <v>459</v>
      </c>
      <c r="O32" s="23">
        <v>456</v>
      </c>
      <c r="P32" s="23">
        <v>462</v>
      </c>
      <c r="Q32" s="23">
        <v>464.6</v>
      </c>
      <c r="R32" s="23">
        <v>464.3</v>
      </c>
      <c r="S32" s="23">
        <v>473.2</v>
      </c>
      <c r="T32" s="2">
        <v>454.8</v>
      </c>
      <c r="Z32" s="23"/>
      <c r="AA32" s="23"/>
      <c r="AB32" s="23"/>
      <c r="AC32" s="23"/>
      <c r="AD32" s="23"/>
      <c r="AE32" s="23">
        <v>185.084</v>
      </c>
      <c r="AF32" s="23">
        <v>185.077</v>
      </c>
      <c r="AG32" s="23">
        <v>432.40600000000001</v>
      </c>
      <c r="AH32" s="23">
        <v>451.78399999999999</v>
      </c>
      <c r="AI32" s="23">
        <v>456.07400000000001</v>
      </c>
      <c r="AJ32" s="23">
        <v>473.214</v>
      </c>
    </row>
    <row r="33" spans="3:36" x14ac:dyDescent="0.25">
      <c r="C33" s="2" t="s">
        <v>142</v>
      </c>
      <c r="D33" s="23">
        <v>6.6689999999999996</v>
      </c>
      <c r="E33" s="23">
        <v>6.53</v>
      </c>
      <c r="F33" s="23">
        <v>6.6289999999999996</v>
      </c>
      <c r="G33" s="23">
        <v>22</v>
      </c>
      <c r="H33" s="23">
        <v>22</v>
      </c>
      <c r="I33" s="23">
        <v>22</v>
      </c>
      <c r="J33" s="23">
        <v>22</v>
      </c>
      <c r="K33" s="23">
        <v>21</v>
      </c>
      <c r="L33" s="23">
        <v>20</v>
      </c>
      <c r="M33" s="23">
        <v>20</v>
      </c>
      <c r="N33" s="23">
        <v>18</v>
      </c>
      <c r="O33" s="23">
        <v>58</v>
      </c>
      <c r="P33" s="23">
        <v>57</v>
      </c>
      <c r="Q33" s="23">
        <v>55</v>
      </c>
      <c r="R33" s="23">
        <v>53.4</v>
      </c>
      <c r="S33" s="23">
        <v>52</v>
      </c>
      <c r="T33" s="2">
        <v>54.8</v>
      </c>
      <c r="Z33" s="23"/>
      <c r="AA33" s="23"/>
      <c r="AB33" s="23"/>
      <c r="AC33" s="23"/>
      <c r="AD33" s="23"/>
      <c r="AE33" s="23">
        <v>7.3559999999999999</v>
      </c>
      <c r="AF33" s="23">
        <v>6.8070000000000004</v>
      </c>
      <c r="AG33" s="23">
        <v>22.414999999999999</v>
      </c>
      <c r="AH33" s="23">
        <v>21.501999999999999</v>
      </c>
      <c r="AI33" s="23">
        <v>58.146000000000001</v>
      </c>
      <c r="AJ33" s="23">
        <v>52.036999999999999</v>
      </c>
    </row>
    <row r="34" spans="3:36" x14ac:dyDescent="0.25">
      <c r="C34" s="2" t="s">
        <v>143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382.9</v>
      </c>
      <c r="S34" s="23">
        <v>393.9</v>
      </c>
      <c r="T34" s="2">
        <v>405.6</v>
      </c>
      <c r="U34" s="1"/>
      <c r="V34" s="1"/>
      <c r="W34" s="1"/>
      <c r="X34" s="1"/>
      <c r="Y34" s="1"/>
      <c r="Z34" s="22"/>
      <c r="AA34" s="22"/>
      <c r="AB34" s="22"/>
      <c r="AC34" s="22"/>
      <c r="AD34" s="22"/>
      <c r="AE34" s="23">
        <v>0</v>
      </c>
      <c r="AF34" s="23">
        <v>0</v>
      </c>
      <c r="AG34" s="23">
        <v>331.447</v>
      </c>
      <c r="AH34" s="23">
        <v>363.92</v>
      </c>
      <c r="AI34" s="23">
        <v>409.2</v>
      </c>
      <c r="AJ34" s="23">
        <v>393.90800000000002</v>
      </c>
    </row>
    <row r="35" spans="3:36" x14ac:dyDescent="0.25">
      <c r="C35" s="2" t="s">
        <v>55</v>
      </c>
      <c r="D35" s="23">
        <v>5.234</v>
      </c>
      <c r="E35" s="23">
        <v>5.6289999999999996</v>
      </c>
      <c r="F35" s="23">
        <v>5.5469999999999997</v>
      </c>
      <c r="G35" s="23">
        <v>8</v>
      </c>
      <c r="H35" s="23">
        <v>9</v>
      </c>
      <c r="I35" s="23">
        <v>11</v>
      </c>
      <c r="J35" s="23">
        <v>14</v>
      </c>
      <c r="K35" s="23">
        <v>16</v>
      </c>
      <c r="L35" s="23">
        <v>18</v>
      </c>
      <c r="M35" s="23">
        <v>21</v>
      </c>
      <c r="N35" s="23">
        <v>22</v>
      </c>
      <c r="O35" s="23">
        <v>21</v>
      </c>
      <c r="P35" s="23">
        <v>27</v>
      </c>
      <c r="Q35" s="23">
        <v>27.9</v>
      </c>
      <c r="R35" s="23">
        <v>27.6</v>
      </c>
      <c r="S35" s="23">
        <v>30.9</v>
      </c>
      <c r="T35" s="2">
        <v>31</v>
      </c>
      <c r="Z35" s="23"/>
      <c r="AA35" s="23"/>
      <c r="AB35" s="23"/>
      <c r="AC35" s="23"/>
      <c r="AD35" s="23"/>
      <c r="AE35" s="22">
        <v>0</v>
      </c>
      <c r="AF35" s="22">
        <v>0</v>
      </c>
      <c r="AG35" s="23">
        <v>8.4450000000000003</v>
      </c>
      <c r="AH35" s="23">
        <v>18.616</v>
      </c>
      <c r="AI35" s="23">
        <v>24.51</v>
      </c>
      <c r="AJ35" s="23">
        <v>30.879000000000001</v>
      </c>
    </row>
    <row r="36" spans="3:36" x14ac:dyDescent="0.25">
      <c r="C36" s="2" t="s">
        <v>56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2</v>
      </c>
      <c r="P36" s="23">
        <f>2+406</f>
        <v>408</v>
      </c>
      <c r="Q36" s="23">
        <v>1.5</v>
      </c>
      <c r="R36" s="23">
        <v>1.2</v>
      </c>
      <c r="S36" s="23">
        <v>1</v>
      </c>
      <c r="T36" s="2">
        <v>0.9</v>
      </c>
      <c r="Z36" s="23"/>
      <c r="AA36" s="23"/>
      <c r="AB36" s="23"/>
      <c r="AC36" s="23"/>
      <c r="AD36" s="23"/>
      <c r="AE36" s="23">
        <v>0</v>
      </c>
      <c r="AF36" s="23">
        <v>0</v>
      </c>
      <c r="AG36" s="23">
        <v>0</v>
      </c>
      <c r="AH36" s="23">
        <v>0</v>
      </c>
      <c r="AI36" s="23">
        <v>1.95</v>
      </c>
      <c r="AJ36" s="23">
        <v>1.0109999999999999</v>
      </c>
    </row>
    <row r="37" spans="3:36" x14ac:dyDescent="0.25">
      <c r="C37" s="2" t="s">
        <v>57</v>
      </c>
      <c r="D37" s="23">
        <v>488.154</v>
      </c>
      <c r="E37" s="23">
        <v>473.09699999999998</v>
      </c>
      <c r="F37" s="23">
        <v>470.25400000000002</v>
      </c>
      <c r="G37" s="23">
        <v>463</v>
      </c>
      <c r="H37" s="23">
        <v>471</v>
      </c>
      <c r="I37" s="23">
        <v>473</v>
      </c>
      <c r="J37" s="23">
        <v>450</v>
      </c>
      <c r="K37" s="23">
        <v>497</v>
      </c>
      <c r="L37" s="23">
        <v>545</v>
      </c>
      <c r="M37" s="23">
        <v>525</v>
      </c>
      <c r="N37" s="23">
        <v>528</v>
      </c>
      <c r="O37" s="23">
        <v>489</v>
      </c>
      <c r="P37" s="23">
        <v>81</v>
      </c>
      <c r="Q37" s="23">
        <v>78.900000000000006</v>
      </c>
      <c r="R37" s="23">
        <v>77.3</v>
      </c>
      <c r="S37" s="23">
        <v>78</v>
      </c>
      <c r="T37" s="2">
        <v>82.2</v>
      </c>
      <c r="Z37" s="23"/>
      <c r="AA37" s="23"/>
      <c r="AB37" s="23"/>
      <c r="AC37" s="23"/>
      <c r="AD37" s="23"/>
      <c r="AE37" s="23">
        <v>435.37400000000002</v>
      </c>
      <c r="AF37" s="23">
        <v>457.71199999999999</v>
      </c>
      <c r="AG37" s="23">
        <v>131.666</v>
      </c>
      <c r="AH37" s="23">
        <v>129.42400000000001</v>
      </c>
      <c r="AI37" s="23">
        <v>79.448999999999998</v>
      </c>
      <c r="AJ37" s="23">
        <v>78.013000000000005</v>
      </c>
    </row>
    <row r="38" spans="3:36" x14ac:dyDescent="0.25">
      <c r="C38" s="2" t="s">
        <v>58</v>
      </c>
      <c r="D38" s="23">
        <v>326.13799999999998</v>
      </c>
      <c r="E38" s="23">
        <v>311.60000000000002</v>
      </c>
      <c r="F38" s="23">
        <v>310.25</v>
      </c>
      <c r="G38" s="23">
        <v>319</v>
      </c>
      <c r="H38" s="23">
        <v>335</v>
      </c>
      <c r="I38" s="23">
        <v>356</v>
      </c>
      <c r="J38" s="23">
        <v>410</v>
      </c>
      <c r="K38" s="23">
        <v>357</v>
      </c>
      <c r="L38" s="23">
        <v>338</v>
      </c>
      <c r="M38" s="23">
        <v>324</v>
      </c>
      <c r="N38" s="23">
        <v>354</v>
      </c>
      <c r="O38" s="23">
        <v>339</v>
      </c>
      <c r="P38" s="23">
        <v>369</v>
      </c>
      <c r="Q38" s="23">
        <v>376.2</v>
      </c>
      <c r="R38" s="23">
        <v>416.9</v>
      </c>
      <c r="S38" s="23">
        <v>356.2</v>
      </c>
      <c r="T38" s="2">
        <v>355.4</v>
      </c>
      <c r="Z38" s="23"/>
      <c r="AA38" s="23"/>
      <c r="AB38" s="23"/>
      <c r="AC38" s="23"/>
      <c r="AD38" s="23"/>
      <c r="AE38" s="23">
        <v>208.16</v>
      </c>
      <c r="AF38" s="23">
        <v>263.89800000000002</v>
      </c>
      <c r="AG38" s="23">
        <v>319.27300000000002</v>
      </c>
      <c r="AH38" s="23">
        <v>356.58800000000002</v>
      </c>
      <c r="AI38" s="23">
        <v>338.911</v>
      </c>
      <c r="AJ38" s="23">
        <v>356.22899999999998</v>
      </c>
    </row>
    <row r="39" spans="3:36" x14ac:dyDescent="0.25">
      <c r="C39" s="2" t="s">
        <v>59</v>
      </c>
      <c r="D39" s="23">
        <v>80.141999999999996</v>
      </c>
      <c r="E39" s="23">
        <v>86.049000000000007</v>
      </c>
      <c r="F39" s="23">
        <v>100.39700000000001</v>
      </c>
      <c r="G39" s="23">
        <v>70</v>
      </c>
      <c r="H39" s="23">
        <v>80</v>
      </c>
      <c r="I39" s="23">
        <v>79</v>
      </c>
      <c r="J39" s="23">
        <v>96</v>
      </c>
      <c r="K39" s="23">
        <v>66</v>
      </c>
      <c r="L39" s="23">
        <v>70</v>
      </c>
      <c r="M39" s="23">
        <v>82</v>
      </c>
      <c r="N39" s="23">
        <v>86</v>
      </c>
      <c r="O39" s="23">
        <v>53</v>
      </c>
      <c r="P39" s="23">
        <v>75</v>
      </c>
      <c r="Q39" s="23">
        <v>80.900000000000006</v>
      </c>
      <c r="R39" s="23">
        <v>94.9</v>
      </c>
      <c r="S39" s="23">
        <v>59.7</v>
      </c>
      <c r="T39" s="2">
        <v>73.400000000000006</v>
      </c>
      <c r="Z39" s="23"/>
      <c r="AA39" s="23"/>
      <c r="AB39" s="23"/>
      <c r="AC39" s="23"/>
      <c r="AD39" s="23"/>
      <c r="AE39" s="23">
        <v>54.387</v>
      </c>
      <c r="AF39" s="23">
        <v>64.239000000000004</v>
      </c>
      <c r="AG39" s="23">
        <v>70.055000000000007</v>
      </c>
      <c r="AH39" s="23">
        <v>74.504000000000005</v>
      </c>
      <c r="AI39" s="23">
        <v>52.706000000000003</v>
      </c>
      <c r="AJ39" s="23">
        <v>59.652999999999999</v>
      </c>
    </row>
    <row r="40" spans="3:36" x14ac:dyDescent="0.25">
      <c r="C40" s="2" t="s">
        <v>60</v>
      </c>
      <c r="D40" s="23">
        <v>34.896999999999998</v>
      </c>
      <c r="E40" s="23">
        <v>49.655000000000001</v>
      </c>
      <c r="F40" s="23">
        <v>45.223999999999997</v>
      </c>
      <c r="G40" s="23">
        <v>40</v>
      </c>
      <c r="H40" s="23">
        <v>37</v>
      </c>
      <c r="I40" s="23">
        <v>32</v>
      </c>
      <c r="J40" s="23">
        <v>52</v>
      </c>
      <c r="K40" s="23">
        <v>23</v>
      </c>
      <c r="L40" s="23">
        <v>32</v>
      </c>
      <c r="M40" s="23">
        <v>31</v>
      </c>
      <c r="N40" s="23">
        <v>21</v>
      </c>
      <c r="O40" s="23">
        <v>16</v>
      </c>
      <c r="P40" s="23">
        <v>21</v>
      </c>
      <c r="Q40" s="23">
        <v>20.399999999999999</v>
      </c>
      <c r="R40" s="23">
        <v>24</v>
      </c>
      <c r="S40" s="23">
        <v>22.7</v>
      </c>
      <c r="T40" s="2">
        <v>25.6</v>
      </c>
      <c r="Z40" s="23"/>
      <c r="AA40" s="23"/>
      <c r="AB40" s="23"/>
      <c r="AC40" s="23"/>
      <c r="AD40" s="23"/>
      <c r="AE40" s="23">
        <v>28.495000000000001</v>
      </c>
      <c r="AF40" s="23">
        <v>40.572000000000003</v>
      </c>
      <c r="AG40" s="23">
        <v>39.558999999999997</v>
      </c>
      <c r="AH40" s="23">
        <v>26.596</v>
      </c>
      <c r="AI40" s="23">
        <v>15.624000000000001</v>
      </c>
      <c r="AJ40" s="23">
        <v>22.677</v>
      </c>
    </row>
    <row r="41" spans="3:36" x14ac:dyDescent="0.25">
      <c r="C41" s="2" t="s">
        <v>61</v>
      </c>
      <c r="D41" s="23">
        <v>23.9</v>
      </c>
      <c r="E41" s="23">
        <v>0</v>
      </c>
      <c r="F41" s="23">
        <v>0</v>
      </c>
      <c r="G41" s="23">
        <v>3</v>
      </c>
      <c r="H41" s="23">
        <v>0</v>
      </c>
      <c r="I41" s="23">
        <v>22</v>
      </c>
      <c r="J41" s="23">
        <v>0</v>
      </c>
      <c r="K41" s="23">
        <v>0</v>
      </c>
      <c r="L41" s="23">
        <v>58</v>
      </c>
      <c r="M41" s="23">
        <v>85</v>
      </c>
      <c r="N41" s="23">
        <v>97</v>
      </c>
      <c r="O41" s="23">
        <v>139</v>
      </c>
      <c r="P41" s="23">
        <v>95</v>
      </c>
      <c r="Q41" s="23">
        <v>54.7</v>
      </c>
      <c r="R41" s="23">
        <v>81.7</v>
      </c>
      <c r="S41" s="23">
        <v>150.4</v>
      </c>
      <c r="T41" s="2">
        <v>136.6</v>
      </c>
      <c r="Z41" s="23"/>
      <c r="AA41" s="23"/>
      <c r="AB41" s="23"/>
      <c r="AC41" s="23"/>
      <c r="AD41" s="23"/>
      <c r="AE41" s="23">
        <v>94.08</v>
      </c>
      <c r="AF41" s="23">
        <v>76.435000000000002</v>
      </c>
      <c r="AG41" s="23">
        <v>2.9140000000000001</v>
      </c>
      <c r="AH41" s="23">
        <v>8.7579999999999991</v>
      </c>
      <c r="AI41" s="23">
        <v>139.465</v>
      </c>
      <c r="AJ41" s="23">
        <v>150.39500000000001</v>
      </c>
    </row>
    <row r="42" spans="3:36" x14ac:dyDescent="0.25">
      <c r="C42" s="1" t="s">
        <v>62</v>
      </c>
      <c r="D42" s="22">
        <f t="shared" ref="D42:R42" si="69">SUM(D32:D41)</f>
        <v>1378.3129999999999</v>
      </c>
      <c r="E42" s="22">
        <f t="shared" si="69"/>
        <v>1327.713</v>
      </c>
      <c r="F42" s="22">
        <f t="shared" si="69"/>
        <v>1333.454</v>
      </c>
      <c r="G42" s="22">
        <f t="shared" si="69"/>
        <v>1357</v>
      </c>
      <c r="H42" s="22">
        <f t="shared" si="69"/>
        <v>1386</v>
      </c>
      <c r="I42" s="22">
        <f t="shared" si="69"/>
        <v>1427</v>
      </c>
      <c r="J42" s="22">
        <f t="shared" si="69"/>
        <v>1476</v>
      </c>
      <c r="K42" s="22">
        <f t="shared" si="69"/>
        <v>1412</v>
      </c>
      <c r="L42" s="22">
        <f t="shared" si="69"/>
        <v>1533</v>
      </c>
      <c r="M42" s="22">
        <f t="shared" si="69"/>
        <v>1537</v>
      </c>
      <c r="N42" s="22">
        <f t="shared" si="69"/>
        <v>1585</v>
      </c>
      <c r="O42" s="22">
        <f t="shared" si="69"/>
        <v>1573</v>
      </c>
      <c r="P42" s="22">
        <f t="shared" si="69"/>
        <v>1595</v>
      </c>
      <c r="Q42" s="22">
        <f t="shared" si="69"/>
        <v>1160.1000000000001</v>
      </c>
      <c r="R42" s="22">
        <f t="shared" si="69"/>
        <v>1624.2</v>
      </c>
      <c r="S42" s="22">
        <f>SUM(S32:S41)</f>
        <v>1618.0000000000002</v>
      </c>
      <c r="T42" s="22">
        <f>SUM(T32:T41)</f>
        <v>1620.2999999999997</v>
      </c>
      <c r="Z42" s="23"/>
      <c r="AA42" s="23"/>
      <c r="AB42" s="23"/>
      <c r="AC42" s="23"/>
      <c r="AD42" s="23"/>
      <c r="AE42" s="22">
        <f t="shared" ref="AE42:AI42" si="70">SUM(AE32:AE41)</f>
        <v>1012.9360000000001</v>
      </c>
      <c r="AF42" s="22">
        <f t="shared" si="70"/>
        <v>1094.74</v>
      </c>
      <c r="AG42" s="22">
        <f t="shared" si="70"/>
        <v>1358.18</v>
      </c>
      <c r="AH42" s="22">
        <f t="shared" si="70"/>
        <v>1451.692</v>
      </c>
      <c r="AI42" s="22">
        <f t="shared" si="70"/>
        <v>1576.0350000000001</v>
      </c>
      <c r="AJ42" s="22">
        <f t="shared" ref="AJ42" si="71">SUM(AJ32:AJ41)</f>
        <v>1618.0159999999998</v>
      </c>
    </row>
    <row r="43" spans="3:36" x14ac:dyDescent="0.25">
      <c r="C43" s="2" t="s">
        <v>63</v>
      </c>
      <c r="D43" s="23">
        <v>13</v>
      </c>
      <c r="E43" s="23">
        <v>13.010999999999999</v>
      </c>
      <c r="F43" s="23">
        <v>13.010999999999999</v>
      </c>
      <c r="G43" s="23">
        <v>78</v>
      </c>
      <c r="H43" s="23">
        <v>78</v>
      </c>
      <c r="I43" s="23">
        <v>196</v>
      </c>
      <c r="J43" s="23">
        <v>196</v>
      </c>
      <c r="K43" s="23">
        <v>196</v>
      </c>
      <c r="L43" s="23">
        <v>341</v>
      </c>
      <c r="M43" s="23">
        <v>369</v>
      </c>
      <c r="N43" s="23">
        <v>369</v>
      </c>
      <c r="O43" s="23">
        <v>369</v>
      </c>
      <c r="P43" s="23">
        <v>369</v>
      </c>
      <c r="Q43" s="23">
        <v>369.5</v>
      </c>
      <c r="R43" s="23">
        <v>369.5</v>
      </c>
      <c r="S43" s="23">
        <v>369.5</v>
      </c>
      <c r="T43" s="2">
        <v>369.5</v>
      </c>
      <c r="Z43" s="23"/>
      <c r="AA43" s="23"/>
      <c r="AB43" s="23"/>
      <c r="AC43" s="23"/>
      <c r="AD43" s="23"/>
      <c r="AE43" s="23">
        <v>13.010999999999999</v>
      </c>
      <c r="AF43" s="23">
        <v>13.010999999999999</v>
      </c>
      <c r="AG43" s="23">
        <v>77.840999999999994</v>
      </c>
      <c r="AH43" s="23">
        <v>194.66200000000001</v>
      </c>
      <c r="AI43" s="23">
        <v>369.49900000000002</v>
      </c>
      <c r="AJ43" s="23">
        <v>370.505</v>
      </c>
    </row>
    <row r="44" spans="3:36" x14ac:dyDescent="0.25">
      <c r="C44" s="2" t="s">
        <v>64</v>
      </c>
      <c r="D44" s="23">
        <v>275.15899999999999</v>
      </c>
      <c r="E44" s="23">
        <v>289.01</v>
      </c>
      <c r="F44" s="23">
        <v>299.75400000000002</v>
      </c>
      <c r="G44" s="23">
        <v>253</v>
      </c>
      <c r="H44" s="23">
        <v>239</v>
      </c>
      <c r="I44" s="23">
        <v>229</v>
      </c>
      <c r="J44" s="23">
        <v>223</v>
      </c>
      <c r="K44" s="23">
        <v>234</v>
      </c>
      <c r="L44" s="23">
        <v>242</v>
      </c>
      <c r="M44" s="23">
        <v>234</v>
      </c>
      <c r="N44" s="23">
        <v>278</v>
      </c>
      <c r="O44" s="23">
        <v>298</v>
      </c>
      <c r="P44" s="23">
        <v>297</v>
      </c>
      <c r="Q44" s="23">
        <v>300</v>
      </c>
      <c r="R44" s="23">
        <v>0.9</v>
      </c>
      <c r="S44" s="23">
        <v>1</v>
      </c>
      <c r="T44" s="2">
        <v>1.2</v>
      </c>
      <c r="Z44" s="23"/>
      <c r="AA44" s="23"/>
      <c r="AB44" s="23"/>
      <c r="AC44" s="23"/>
      <c r="AD44" s="23"/>
      <c r="AE44" s="23">
        <v>213.923</v>
      </c>
      <c r="AF44" s="23">
        <v>261.16399999999999</v>
      </c>
      <c r="AG44" s="23">
        <v>253.59200000000001</v>
      </c>
      <c r="AH44" s="23">
        <v>252.20500000000001</v>
      </c>
      <c r="AI44" s="23">
        <v>298.24900000000002</v>
      </c>
      <c r="AJ44" s="23">
        <v>348.34100000000001</v>
      </c>
    </row>
    <row r="45" spans="3:36" x14ac:dyDescent="0.25">
      <c r="C45" s="2" t="s">
        <v>65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2</v>
      </c>
      <c r="M45" s="23">
        <v>2</v>
      </c>
      <c r="N45" s="23">
        <v>1</v>
      </c>
      <c r="O45" s="23">
        <v>1</v>
      </c>
      <c r="P45" s="23">
        <v>2</v>
      </c>
      <c r="Q45" s="23">
        <v>0</v>
      </c>
      <c r="R45" s="23">
        <v>307</v>
      </c>
      <c r="S45" s="23">
        <v>348</v>
      </c>
      <c r="T45" s="2">
        <v>323.89999999999998</v>
      </c>
      <c r="Z45" s="23"/>
      <c r="AA45" s="23"/>
      <c r="AB45" s="23"/>
      <c r="AC45" s="23"/>
      <c r="AD45" s="23"/>
      <c r="AE45" s="23">
        <v>0</v>
      </c>
      <c r="AF45" s="23">
        <v>0</v>
      </c>
      <c r="AG45" s="23">
        <v>0</v>
      </c>
      <c r="AH45" s="23">
        <v>2.1219999999999999</v>
      </c>
      <c r="AI45" s="23">
        <v>2.0920000000000001</v>
      </c>
      <c r="AJ45" s="23">
        <v>0</v>
      </c>
    </row>
    <row r="46" spans="3:36" x14ac:dyDescent="0.25">
      <c r="C46" s="17" t="s">
        <v>66</v>
      </c>
      <c r="D46" s="32">
        <f t="shared" ref="D46:N46" si="72">SUM(D43:D45)</f>
        <v>288.15899999999999</v>
      </c>
      <c r="E46" s="32">
        <f t="shared" si="72"/>
        <v>302.02100000000002</v>
      </c>
      <c r="F46" s="32">
        <f t="shared" si="72"/>
        <v>312.76500000000004</v>
      </c>
      <c r="G46" s="32">
        <f t="shared" si="72"/>
        <v>331</v>
      </c>
      <c r="H46" s="32">
        <f t="shared" si="72"/>
        <v>317</v>
      </c>
      <c r="I46" s="32">
        <f t="shared" si="72"/>
        <v>425</v>
      </c>
      <c r="J46" s="32">
        <f t="shared" si="72"/>
        <v>419</v>
      </c>
      <c r="K46" s="32">
        <f t="shared" si="72"/>
        <v>430</v>
      </c>
      <c r="L46" s="32">
        <f t="shared" si="72"/>
        <v>585</v>
      </c>
      <c r="M46" s="32">
        <f t="shared" si="72"/>
        <v>605</v>
      </c>
      <c r="N46" s="32">
        <f t="shared" si="72"/>
        <v>648</v>
      </c>
      <c r="O46" s="32">
        <f>SUM(O43:O45)</f>
        <v>668</v>
      </c>
      <c r="P46" s="32">
        <f>SUM(P43:P45)</f>
        <v>668</v>
      </c>
      <c r="Q46" s="32">
        <f t="shared" ref="Q46:R46" si="73">SUM(Q43:Q45)</f>
        <v>669.5</v>
      </c>
      <c r="R46" s="32">
        <f t="shared" si="73"/>
        <v>677.4</v>
      </c>
      <c r="S46" s="32">
        <f>SUM(S43:S45)</f>
        <v>718.5</v>
      </c>
      <c r="T46" s="32">
        <f>SUM(T43:T45)</f>
        <v>694.59999999999991</v>
      </c>
      <c r="Z46" s="23"/>
      <c r="AA46" s="23"/>
      <c r="AB46" s="23"/>
      <c r="AC46" s="23"/>
      <c r="AD46" s="23"/>
      <c r="AE46" s="32">
        <f t="shared" ref="AE46:AI46" si="74">SUM(AE43:AE45)</f>
        <v>226.934</v>
      </c>
      <c r="AF46" s="32">
        <f t="shared" si="74"/>
        <v>274.17500000000001</v>
      </c>
      <c r="AG46" s="32">
        <f t="shared" si="74"/>
        <v>331.43299999999999</v>
      </c>
      <c r="AH46" s="32">
        <f t="shared" si="74"/>
        <v>448.98900000000003</v>
      </c>
      <c r="AI46" s="32">
        <f t="shared" si="74"/>
        <v>669.84</v>
      </c>
      <c r="AJ46" s="32">
        <f t="shared" ref="AJ46" si="75">SUM(AJ43:AJ45)</f>
        <v>718.846</v>
      </c>
    </row>
    <row r="47" spans="3:36" x14ac:dyDescent="0.25">
      <c r="C47" s="2" t="s">
        <v>67</v>
      </c>
      <c r="D47" s="23">
        <v>321.76100000000002</v>
      </c>
      <c r="E47" s="23">
        <v>318.81299999999999</v>
      </c>
      <c r="F47" s="23">
        <v>363.89100000000002</v>
      </c>
      <c r="G47" s="23">
        <v>306</v>
      </c>
      <c r="H47" s="23">
        <v>328</v>
      </c>
      <c r="I47" s="23">
        <v>355</v>
      </c>
      <c r="J47" s="23">
        <v>356</v>
      </c>
      <c r="K47" s="23">
        <v>340</v>
      </c>
      <c r="L47" s="23">
        <v>386</v>
      </c>
      <c r="M47" s="23">
        <v>369</v>
      </c>
      <c r="N47" s="23">
        <v>372</v>
      </c>
      <c r="O47" s="23">
        <v>368</v>
      </c>
      <c r="P47" s="23">
        <v>363</v>
      </c>
      <c r="Q47" s="23">
        <v>352</v>
      </c>
      <c r="R47" s="23">
        <v>340</v>
      </c>
      <c r="S47" s="23">
        <v>349.9</v>
      </c>
      <c r="T47" s="2">
        <v>359.6</v>
      </c>
      <c r="Z47" s="23"/>
      <c r="AA47" s="23"/>
      <c r="AB47" s="23"/>
      <c r="AC47" s="23"/>
      <c r="AD47" s="23"/>
      <c r="AE47" s="23">
        <v>278.34399999999999</v>
      </c>
      <c r="AF47" s="23">
        <v>293.49700000000001</v>
      </c>
      <c r="AG47" s="23">
        <v>306.34399999999999</v>
      </c>
      <c r="AH47" s="23">
        <v>342.892</v>
      </c>
      <c r="AI47" s="23">
        <v>368.20400000000001</v>
      </c>
      <c r="AJ47" s="23">
        <v>349.89299999999997</v>
      </c>
    </row>
    <row r="48" spans="3:36" x14ac:dyDescent="0.25">
      <c r="C48" s="2" t="s">
        <v>70</v>
      </c>
      <c r="D48" s="23">
        <v>355</v>
      </c>
      <c r="E48" s="23">
        <v>335</v>
      </c>
      <c r="F48" s="23">
        <v>335</v>
      </c>
      <c r="G48" s="23">
        <v>295</v>
      </c>
      <c r="H48" s="23">
        <v>295</v>
      </c>
      <c r="I48" s="23">
        <v>295</v>
      </c>
      <c r="J48" s="23">
        <v>295</v>
      </c>
      <c r="K48" s="23">
        <v>255</v>
      </c>
      <c r="L48" s="23">
        <v>220</v>
      </c>
      <c r="M48" s="23">
        <v>220</v>
      </c>
      <c r="N48" s="23">
        <v>220</v>
      </c>
      <c r="O48" s="23">
        <v>180</v>
      </c>
      <c r="P48" s="23">
        <v>180</v>
      </c>
      <c r="Q48" s="23">
        <v>180</v>
      </c>
      <c r="R48" s="23">
        <v>180</v>
      </c>
      <c r="S48" s="23">
        <v>140</v>
      </c>
      <c r="T48" s="2">
        <v>180</v>
      </c>
      <c r="Z48" s="23"/>
      <c r="AA48" s="23"/>
      <c r="AB48" s="23"/>
      <c r="AC48" s="23"/>
      <c r="AD48" s="23"/>
      <c r="AE48" s="23">
        <v>185</v>
      </c>
      <c r="AF48" s="23">
        <v>165</v>
      </c>
      <c r="AG48" s="23">
        <v>295</v>
      </c>
      <c r="AH48" s="23">
        <v>255</v>
      </c>
      <c r="AI48" s="23">
        <v>180</v>
      </c>
      <c r="AJ48" s="23">
        <v>140</v>
      </c>
    </row>
    <row r="49" spans="3:36" x14ac:dyDescent="0.25">
      <c r="C49" s="2" t="s">
        <v>68</v>
      </c>
      <c r="D49" s="23">
        <v>-3.4540000000000002</v>
      </c>
      <c r="E49" s="23">
        <v>25.335999999999999</v>
      </c>
      <c r="F49" s="23">
        <v>-1.9790000000000001</v>
      </c>
      <c r="G49" s="23">
        <v>42</v>
      </c>
      <c r="H49" s="23">
        <v>42</v>
      </c>
      <c r="I49" s="23">
        <v>41</v>
      </c>
      <c r="J49" s="23">
        <v>41</v>
      </c>
      <c r="K49" s="23">
        <v>43</v>
      </c>
      <c r="L49" s="23">
        <v>44</v>
      </c>
      <c r="M49" s="23">
        <v>44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">
        <v>0</v>
      </c>
      <c r="Z49" s="23"/>
      <c r="AA49" s="23"/>
      <c r="AB49" s="23"/>
      <c r="AC49" s="23"/>
      <c r="AD49" s="23"/>
      <c r="AE49" s="23">
        <v>-6.2919999999999998</v>
      </c>
      <c r="AF49" s="23">
        <v>-6.2889999999999997</v>
      </c>
      <c r="AG49" s="23">
        <v>42.055999999999997</v>
      </c>
      <c r="AH49" s="23">
        <v>43.557000000000002</v>
      </c>
      <c r="AI49" s="23">
        <v>0</v>
      </c>
      <c r="AJ49" s="23">
        <v>0</v>
      </c>
    </row>
    <row r="50" spans="3:36" x14ac:dyDescent="0.25">
      <c r="C50" s="2" t="s">
        <v>69</v>
      </c>
      <c r="D50" s="23">
        <v>61</v>
      </c>
      <c r="E50" s="23">
        <v>30</v>
      </c>
      <c r="F50" s="23">
        <v>15.003</v>
      </c>
      <c r="G50" s="23">
        <v>72</v>
      </c>
      <c r="H50" s="23">
        <v>57</v>
      </c>
      <c r="I50" s="23">
        <v>36</v>
      </c>
      <c r="J50" s="23">
        <v>18</v>
      </c>
      <c r="K50" s="23">
        <v>72</v>
      </c>
      <c r="L50" s="23">
        <v>79</v>
      </c>
      <c r="M50" s="23">
        <v>78</v>
      </c>
      <c r="N50" s="23">
        <v>79</v>
      </c>
      <c r="O50" s="23">
        <v>85</v>
      </c>
      <c r="P50" s="23">
        <v>87</v>
      </c>
      <c r="Q50" s="23">
        <v>87.4</v>
      </c>
      <c r="R50" s="23">
        <v>88</v>
      </c>
      <c r="S50" s="23">
        <v>89.2</v>
      </c>
      <c r="T50" s="2">
        <v>91.6</v>
      </c>
      <c r="Z50" s="23"/>
      <c r="AA50" s="23"/>
      <c r="AB50" s="23"/>
      <c r="AC50" s="23"/>
      <c r="AD50" s="23"/>
      <c r="AE50" s="23">
        <v>52.545999999999999</v>
      </c>
      <c r="AF50" s="23">
        <v>61.052</v>
      </c>
      <c r="AG50" s="23">
        <v>71.745999999999995</v>
      </c>
      <c r="AH50" s="23">
        <v>68.27</v>
      </c>
      <c r="AI50" s="23">
        <v>84.665999999999997</v>
      </c>
      <c r="AJ50" s="23">
        <v>89.180999999999997</v>
      </c>
    </row>
    <row r="51" spans="3:36" x14ac:dyDescent="0.25">
      <c r="C51" s="2" t="s">
        <v>137</v>
      </c>
      <c r="D51" s="23">
        <v>20</v>
      </c>
      <c r="E51" s="23">
        <v>85.73</v>
      </c>
      <c r="F51" s="23">
        <v>40.462000000000003</v>
      </c>
      <c r="G51" s="23">
        <v>44</v>
      </c>
      <c r="H51" s="23">
        <v>108</v>
      </c>
      <c r="I51" s="23">
        <v>40</v>
      </c>
      <c r="J51" s="23">
        <v>57</v>
      </c>
      <c r="K51" s="23">
        <v>43</v>
      </c>
      <c r="L51" s="23">
        <v>0</v>
      </c>
      <c r="M51" s="23">
        <v>0</v>
      </c>
      <c r="N51" s="23">
        <v>0</v>
      </c>
      <c r="O51" s="23">
        <v>40</v>
      </c>
      <c r="P51" s="23">
        <v>40</v>
      </c>
      <c r="Q51" s="23">
        <v>40</v>
      </c>
      <c r="R51" s="23">
        <v>40</v>
      </c>
      <c r="S51" s="23">
        <v>40</v>
      </c>
      <c r="T51" s="2">
        <v>0</v>
      </c>
      <c r="Z51" s="23"/>
      <c r="AA51" s="23"/>
      <c r="AB51" s="23"/>
      <c r="AC51" s="23"/>
      <c r="AD51" s="23"/>
      <c r="AE51" s="23">
        <v>20</v>
      </c>
      <c r="AF51" s="23">
        <v>20</v>
      </c>
      <c r="AG51" s="23">
        <v>43.877000000000002</v>
      </c>
      <c r="AH51" s="23">
        <v>51.607999999999997</v>
      </c>
      <c r="AI51" s="23">
        <v>40</v>
      </c>
      <c r="AJ51" s="23">
        <v>40</v>
      </c>
    </row>
    <row r="52" spans="3:36" x14ac:dyDescent="0.25">
      <c r="C52" s="2" t="s">
        <v>71</v>
      </c>
      <c r="D52" s="23">
        <v>136.619</v>
      </c>
      <c r="E52" s="23">
        <v>116.565</v>
      </c>
      <c r="F52" s="23">
        <v>140.92099999999999</v>
      </c>
      <c r="G52" s="23">
        <v>154</v>
      </c>
      <c r="H52" s="23">
        <v>127</v>
      </c>
      <c r="I52" s="23">
        <v>155</v>
      </c>
      <c r="J52" s="23">
        <v>196</v>
      </c>
      <c r="K52" s="23">
        <v>126</v>
      </c>
      <c r="L52" s="23">
        <v>121</v>
      </c>
      <c r="M52" s="23">
        <v>151</v>
      </c>
      <c r="N52" s="23">
        <v>168</v>
      </c>
      <c r="O52" s="23">
        <v>122</v>
      </c>
      <c r="P52" s="23">
        <v>145</v>
      </c>
      <c r="Q52" s="23">
        <v>141.6</v>
      </c>
      <c r="R52" s="23">
        <v>181</v>
      </c>
      <c r="S52" s="23">
        <v>144.80000000000001</v>
      </c>
      <c r="T52" s="2">
        <v>166.5</v>
      </c>
      <c r="Z52" s="23"/>
      <c r="AA52" s="23"/>
      <c r="AB52" s="23"/>
      <c r="AC52" s="23"/>
      <c r="AD52" s="23"/>
      <c r="AE52" s="23">
        <v>120.798</v>
      </c>
      <c r="AF52" s="23">
        <v>149.66999999999999</v>
      </c>
      <c r="AG52" s="23">
        <v>153.95099999999999</v>
      </c>
      <c r="AH52" s="23">
        <v>135.61000000000001</v>
      </c>
      <c r="AI52" s="23">
        <v>121.83799999999999</v>
      </c>
      <c r="AJ52" s="23">
        <v>144.833</v>
      </c>
    </row>
    <row r="53" spans="3:36" x14ac:dyDescent="0.25">
      <c r="C53" s="2" t="s">
        <v>72</v>
      </c>
      <c r="D53" s="23">
        <v>22.241</v>
      </c>
      <c r="E53" s="23">
        <v>11.74</v>
      </c>
      <c r="F53" s="23">
        <v>26.654</v>
      </c>
      <c r="G53" s="23">
        <v>21</v>
      </c>
      <c r="H53" s="23">
        <v>5</v>
      </c>
      <c r="I53" s="23">
        <v>-7</v>
      </c>
      <c r="J53" s="23">
        <v>-7</v>
      </c>
      <c r="K53" s="23">
        <v>3</v>
      </c>
      <c r="L53" s="23">
        <v>0</v>
      </c>
      <c r="M53" s="23">
        <v>-2</v>
      </c>
      <c r="N53" s="23">
        <v>-4</v>
      </c>
      <c r="O53" s="23">
        <v>4</v>
      </c>
      <c r="P53" s="23">
        <v>4</v>
      </c>
      <c r="Q53" s="23">
        <v>0.5</v>
      </c>
      <c r="R53" s="23">
        <v>2.2999999999999998</v>
      </c>
      <c r="S53" s="23">
        <v>12.6</v>
      </c>
      <c r="T53" s="2">
        <v>9.9</v>
      </c>
      <c r="Z53" s="23"/>
      <c r="AA53" s="23"/>
      <c r="AB53" s="23"/>
      <c r="AC53" s="23"/>
      <c r="AD53" s="23"/>
      <c r="AE53" s="23">
        <v>26.518000000000001</v>
      </c>
      <c r="AF53" s="23">
        <v>28.408000000000001</v>
      </c>
      <c r="AG53" s="23">
        <v>21.317</v>
      </c>
      <c r="AH53" s="23">
        <v>5.4320000000000004</v>
      </c>
      <c r="AI53" s="23">
        <v>6.7450000000000001</v>
      </c>
      <c r="AJ53" s="23">
        <v>12.545999999999999</v>
      </c>
    </row>
    <row r="54" spans="3:36" x14ac:dyDescent="0.25">
      <c r="C54" s="2" t="s">
        <v>104</v>
      </c>
      <c r="D54" s="23">
        <v>60</v>
      </c>
      <c r="E54" s="23">
        <v>30</v>
      </c>
      <c r="F54" s="23">
        <v>0</v>
      </c>
      <c r="G54" s="23">
        <v>0</v>
      </c>
      <c r="H54" s="23">
        <v>11</v>
      </c>
      <c r="I54" s="23">
        <v>11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39.200000000000003</v>
      </c>
      <c r="R54" s="23">
        <v>0</v>
      </c>
      <c r="S54" s="23">
        <v>59.6</v>
      </c>
      <c r="T54" s="2">
        <v>0</v>
      </c>
      <c r="Z54" s="23"/>
      <c r="AA54" s="23"/>
      <c r="AB54" s="23"/>
      <c r="AC54" s="23"/>
      <c r="AD54" s="23"/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0.10199999999999999</v>
      </c>
    </row>
    <row r="55" spans="3:36" x14ac:dyDescent="0.25">
      <c r="C55" s="2" t="s">
        <v>73</v>
      </c>
      <c r="D55" s="23">
        <v>48</v>
      </c>
      <c r="E55" s="23">
        <v>42.162999999999997</v>
      </c>
      <c r="F55" s="23">
        <v>55.57</v>
      </c>
      <c r="G55" s="23">
        <v>46</v>
      </c>
      <c r="H55" s="23">
        <v>47</v>
      </c>
      <c r="I55" s="23">
        <v>41</v>
      </c>
      <c r="J55" s="23">
        <v>51</v>
      </c>
      <c r="K55" s="23">
        <v>55</v>
      </c>
      <c r="L55" s="23">
        <v>47</v>
      </c>
      <c r="M55" s="23">
        <v>34</v>
      </c>
      <c r="N55" s="23">
        <v>50</v>
      </c>
      <c r="O55" s="23">
        <v>61</v>
      </c>
      <c r="P55" s="23">
        <v>46</v>
      </c>
      <c r="Q55" s="23">
        <v>43.8</v>
      </c>
      <c r="R55" s="23">
        <v>58.1</v>
      </c>
      <c r="S55" s="23">
        <v>63</v>
      </c>
      <c r="T55" s="2">
        <v>46.8</v>
      </c>
      <c r="Z55" s="23"/>
      <c r="AA55" s="23"/>
      <c r="AB55" s="23"/>
      <c r="AC55" s="23"/>
      <c r="AD55" s="23"/>
      <c r="AE55" s="23">
        <v>50.558999999999997</v>
      </c>
      <c r="AF55" s="23">
        <v>45.076000000000001</v>
      </c>
      <c r="AG55" s="23">
        <v>45.645000000000003</v>
      </c>
      <c r="AH55" s="23">
        <v>53.71</v>
      </c>
      <c r="AI55" s="23">
        <v>60.546999999999997</v>
      </c>
      <c r="AJ55" s="23">
        <v>59.573999999999998</v>
      </c>
    </row>
    <row r="56" spans="3:36" x14ac:dyDescent="0.25">
      <c r="C56" s="2" t="s">
        <v>74</v>
      </c>
      <c r="D56" s="23">
        <v>69</v>
      </c>
      <c r="E56" s="23">
        <v>30.341999999999999</v>
      </c>
      <c r="F56" s="23">
        <v>45.167000000000002</v>
      </c>
      <c r="G56" s="23">
        <v>47</v>
      </c>
      <c r="H56" s="23">
        <v>50</v>
      </c>
      <c r="I56" s="23">
        <v>35</v>
      </c>
      <c r="J56" s="23">
        <v>50</v>
      </c>
      <c r="K56" s="23">
        <v>47</v>
      </c>
      <c r="L56" s="23">
        <v>50</v>
      </c>
      <c r="M56" s="23">
        <v>37</v>
      </c>
      <c r="N56" s="23">
        <v>51</v>
      </c>
      <c r="O56" s="23">
        <v>44</v>
      </c>
      <c r="P56" s="23">
        <v>59</v>
      </c>
      <c r="Q56" s="23">
        <v>0</v>
      </c>
      <c r="R56" s="23">
        <v>57.5</v>
      </c>
      <c r="S56" s="23">
        <v>0</v>
      </c>
      <c r="T56" s="2">
        <v>71.400000000000006</v>
      </c>
      <c r="Z56" s="23"/>
      <c r="AA56" s="23"/>
      <c r="AB56" s="23"/>
      <c r="AC56" s="23"/>
      <c r="AD56" s="23"/>
      <c r="AE56" s="23">
        <v>58.529000000000003</v>
      </c>
      <c r="AF56" s="23">
        <v>64.150999999999996</v>
      </c>
      <c r="AG56" s="23">
        <v>46.811</v>
      </c>
      <c r="AH56" s="23">
        <v>46.622999999999998</v>
      </c>
      <c r="AI56" s="23">
        <v>44.198</v>
      </c>
      <c r="AJ56" s="23">
        <v>63.040999999999997</v>
      </c>
    </row>
    <row r="57" spans="3:36" x14ac:dyDescent="0.25">
      <c r="C57" s="17" t="s">
        <v>75</v>
      </c>
      <c r="D57" s="32">
        <f t="shared" ref="D57:O57" si="76">SUM(D47:D56)</f>
        <v>1090.1669999999999</v>
      </c>
      <c r="E57" s="32">
        <f t="shared" si="76"/>
        <v>1025.6890000000001</v>
      </c>
      <c r="F57" s="32">
        <f t="shared" si="76"/>
        <v>1020.6890000000001</v>
      </c>
      <c r="G57" s="32">
        <f t="shared" si="76"/>
        <v>1027</v>
      </c>
      <c r="H57" s="32">
        <f t="shared" si="76"/>
        <v>1070</v>
      </c>
      <c r="I57" s="32">
        <f t="shared" si="76"/>
        <v>1002</v>
      </c>
      <c r="J57" s="32">
        <f t="shared" si="76"/>
        <v>1057</v>
      </c>
      <c r="K57" s="32">
        <f t="shared" si="76"/>
        <v>984</v>
      </c>
      <c r="L57" s="32">
        <f t="shared" si="76"/>
        <v>947</v>
      </c>
      <c r="M57" s="32">
        <f t="shared" si="76"/>
        <v>931</v>
      </c>
      <c r="N57" s="32">
        <f t="shared" si="76"/>
        <v>936</v>
      </c>
      <c r="O57" s="32">
        <f t="shared" si="76"/>
        <v>904</v>
      </c>
      <c r="P57" s="32">
        <f t="shared" ref="P57:Q57" si="77">SUM(P47:P56)</f>
        <v>924</v>
      </c>
      <c r="Q57" s="32">
        <f t="shared" si="77"/>
        <v>884.5</v>
      </c>
      <c r="R57" s="32">
        <f>SUM(R47:R56)</f>
        <v>946.9</v>
      </c>
      <c r="S57" s="32">
        <f>SUM(S47:S56)</f>
        <v>899.10000000000014</v>
      </c>
      <c r="T57" s="32">
        <f>SUM(T47:T56)</f>
        <v>925.8</v>
      </c>
      <c r="Z57" s="23"/>
      <c r="AA57" s="23"/>
      <c r="AB57" s="23"/>
      <c r="AC57" s="23"/>
      <c r="AD57" s="23"/>
      <c r="AE57" s="32">
        <f t="shared" ref="AE57:AI57" si="78">SUM(AE47:AE56)</f>
        <v>786.00199999999995</v>
      </c>
      <c r="AF57" s="32">
        <f t="shared" si="78"/>
        <v>820.56499999999994</v>
      </c>
      <c r="AG57" s="32">
        <f t="shared" si="78"/>
        <v>1026.7470000000001</v>
      </c>
      <c r="AH57" s="32">
        <f t="shared" si="78"/>
        <v>1002.7020000000001</v>
      </c>
      <c r="AI57" s="32">
        <f t="shared" si="78"/>
        <v>906.19799999999987</v>
      </c>
      <c r="AJ57" s="32">
        <f>SUM(AJ47:AJ56)</f>
        <v>899.16999999999985</v>
      </c>
    </row>
    <row r="58" spans="3:36" x14ac:dyDescent="0.25">
      <c r="C58" s="1" t="s">
        <v>76</v>
      </c>
      <c r="D58" s="22">
        <f t="shared" ref="D58:O58" si="79">D46+D57</f>
        <v>1378.326</v>
      </c>
      <c r="E58" s="22">
        <f t="shared" si="79"/>
        <v>1327.71</v>
      </c>
      <c r="F58" s="22">
        <f t="shared" si="79"/>
        <v>1333.4540000000002</v>
      </c>
      <c r="G58" s="22">
        <f t="shared" si="79"/>
        <v>1358</v>
      </c>
      <c r="H58" s="22">
        <f t="shared" si="79"/>
        <v>1387</v>
      </c>
      <c r="I58" s="22">
        <f t="shared" si="79"/>
        <v>1427</v>
      </c>
      <c r="J58" s="22">
        <f t="shared" si="79"/>
        <v>1476</v>
      </c>
      <c r="K58" s="22">
        <f t="shared" si="79"/>
        <v>1414</v>
      </c>
      <c r="L58" s="22">
        <f t="shared" si="79"/>
        <v>1532</v>
      </c>
      <c r="M58" s="22">
        <f t="shared" si="79"/>
        <v>1536</v>
      </c>
      <c r="N58" s="22">
        <f t="shared" si="79"/>
        <v>1584</v>
      </c>
      <c r="O58" s="22">
        <f t="shared" si="79"/>
        <v>1572</v>
      </c>
      <c r="P58" s="22">
        <f t="shared" ref="P58:R58" si="80">P46+P57</f>
        <v>1592</v>
      </c>
      <c r="Q58" s="22">
        <f t="shared" si="80"/>
        <v>1554</v>
      </c>
      <c r="R58" s="22">
        <f t="shared" si="80"/>
        <v>1624.3</v>
      </c>
      <c r="S58" s="22">
        <f>S46+S57</f>
        <v>1617.6000000000001</v>
      </c>
      <c r="T58" s="22">
        <f>T46+T57</f>
        <v>1620.3999999999999</v>
      </c>
      <c r="Z58" s="23"/>
      <c r="AA58" s="23"/>
      <c r="AB58" s="23"/>
      <c r="AC58" s="23"/>
      <c r="AD58" s="23"/>
      <c r="AE58" s="22">
        <f t="shared" ref="AE58:AI58" si="81">AE46+AE57</f>
        <v>1012.9359999999999</v>
      </c>
      <c r="AF58" s="22">
        <f t="shared" si="81"/>
        <v>1094.74</v>
      </c>
      <c r="AG58" s="22">
        <f t="shared" si="81"/>
        <v>1358.18</v>
      </c>
      <c r="AH58" s="22">
        <f t="shared" si="81"/>
        <v>1451.6910000000003</v>
      </c>
      <c r="AI58" s="22">
        <f t="shared" si="81"/>
        <v>1576.038</v>
      </c>
      <c r="AJ58" s="22">
        <f t="shared" ref="AJ58" si="82">AJ46+AJ57</f>
        <v>1618.0159999999998</v>
      </c>
    </row>
    <row r="60" spans="3:36" x14ac:dyDescent="0.25">
      <c r="C60" s="3" t="s">
        <v>36</v>
      </c>
      <c r="AE60" s="23">
        <f t="shared" ref="AE60:AJ60" si="83">AE13</f>
        <v>104.1940000000001</v>
      </c>
      <c r="AF60" s="23">
        <f t="shared" si="83"/>
        <v>124.57899999999999</v>
      </c>
      <c r="AG60" s="23">
        <f t="shared" si="83"/>
        <v>68</v>
      </c>
      <c r="AH60" s="23">
        <f t="shared" si="83"/>
        <v>-14</v>
      </c>
      <c r="AI60" s="23">
        <f t="shared" si="83"/>
        <v>42</v>
      </c>
      <c r="AJ60" s="23">
        <f t="shared" si="83"/>
        <v>39.800000000000225</v>
      </c>
    </row>
    <row r="61" spans="3:36" x14ac:dyDescent="0.25">
      <c r="C61" s="2" t="s">
        <v>109</v>
      </c>
      <c r="D61" s="33">
        <f t="shared" ref="D61:T61" si="84">D13</f>
        <v>14</v>
      </c>
      <c r="E61" s="33">
        <f t="shared" si="84"/>
        <v>19</v>
      </c>
      <c r="F61" s="33">
        <f t="shared" si="84"/>
        <v>14.747000000000014</v>
      </c>
      <c r="G61" s="2">
        <f t="shared" si="84"/>
        <v>24</v>
      </c>
      <c r="H61" s="2">
        <f t="shared" si="84"/>
        <v>-5</v>
      </c>
      <c r="I61" s="2">
        <f t="shared" si="84"/>
        <v>-9</v>
      </c>
      <c r="J61" s="2">
        <f t="shared" si="84"/>
        <v>-9</v>
      </c>
      <c r="K61" s="2">
        <f t="shared" si="84"/>
        <v>9</v>
      </c>
      <c r="L61" s="2">
        <f t="shared" si="84"/>
        <v>-12</v>
      </c>
      <c r="M61" s="2">
        <f t="shared" si="84"/>
        <v>-7</v>
      </c>
      <c r="N61" s="2">
        <f t="shared" si="84"/>
        <v>30</v>
      </c>
      <c r="O61" s="2">
        <f t="shared" si="84"/>
        <v>31</v>
      </c>
      <c r="P61" s="2">
        <f t="shared" si="84"/>
        <v>-9</v>
      </c>
      <c r="Q61" s="33">
        <f t="shared" si="84"/>
        <v>0.29999999999998828</v>
      </c>
      <c r="R61" s="23">
        <f t="shared" si="84"/>
        <v>9.199999999999978</v>
      </c>
      <c r="S61" s="23">
        <f t="shared" si="84"/>
        <v>39.299999999999976</v>
      </c>
      <c r="T61" s="23">
        <f t="shared" si="84"/>
        <v>-6.3999999999999879</v>
      </c>
      <c r="AE61" s="23">
        <v>103</v>
      </c>
      <c r="AF61" s="23">
        <v>125</v>
      </c>
      <c r="AG61" s="23">
        <v>67</v>
      </c>
      <c r="AH61" s="23">
        <v>-16</v>
      </c>
      <c r="AI61" s="23">
        <f>SUM(L62:O62)</f>
        <v>44</v>
      </c>
      <c r="AJ61" s="23">
        <v>40</v>
      </c>
    </row>
    <row r="62" spans="3:36" x14ac:dyDescent="0.25">
      <c r="C62" s="2" t="s">
        <v>110</v>
      </c>
      <c r="D62" s="33">
        <v>12</v>
      </c>
      <c r="E62" s="33">
        <v>18</v>
      </c>
      <c r="F62" s="33">
        <v>14</v>
      </c>
      <c r="G62" s="2">
        <v>25</v>
      </c>
      <c r="H62" s="2">
        <v>-5</v>
      </c>
      <c r="I62" s="2">
        <v>-10</v>
      </c>
      <c r="J62" s="2">
        <v>-9</v>
      </c>
      <c r="K62" s="2">
        <v>9</v>
      </c>
      <c r="L62" s="2">
        <v>-12</v>
      </c>
      <c r="M62" s="2">
        <v>-7</v>
      </c>
      <c r="N62" s="2">
        <v>31</v>
      </c>
      <c r="O62" s="2">
        <v>32</v>
      </c>
      <c r="P62" s="2">
        <v>-10</v>
      </c>
      <c r="Q62" s="33">
        <v>0.2</v>
      </c>
      <c r="R62" s="23">
        <v>9.4</v>
      </c>
      <c r="S62" s="23">
        <v>39</v>
      </c>
      <c r="T62" s="2">
        <v>-6.4</v>
      </c>
      <c r="AE62" s="23">
        <v>-7.99</v>
      </c>
      <c r="AF62" s="23">
        <v>-26.518000000000001</v>
      </c>
      <c r="AG62" s="23">
        <v>-28.408999999999999</v>
      </c>
      <c r="AH62" s="23">
        <v>-21.867999999999999</v>
      </c>
      <c r="AI62" s="23">
        <f>SUM(L63:O63)</f>
        <v>-5</v>
      </c>
      <c r="AJ62" s="23">
        <v>-7.7</v>
      </c>
    </row>
    <row r="63" spans="3:36" x14ac:dyDescent="0.25">
      <c r="C63" s="2" t="s">
        <v>111</v>
      </c>
      <c r="D63" s="33">
        <v>-13.26</v>
      </c>
      <c r="E63" s="33">
        <v>-13.26</v>
      </c>
      <c r="F63" s="33">
        <v>12.109</v>
      </c>
      <c r="G63" s="2">
        <v>-14</v>
      </c>
      <c r="H63" s="2">
        <v>-17</v>
      </c>
      <c r="I63" s="2">
        <v>-8</v>
      </c>
      <c r="J63" s="2">
        <v>0</v>
      </c>
      <c r="K63" s="2">
        <v>5</v>
      </c>
      <c r="L63" s="2">
        <v>-3</v>
      </c>
      <c r="M63" s="2">
        <v>-3</v>
      </c>
      <c r="N63" s="2">
        <v>0</v>
      </c>
      <c r="O63" s="2">
        <v>1</v>
      </c>
      <c r="P63" s="2">
        <v>-3</v>
      </c>
      <c r="Q63" s="33">
        <v>-4.8</v>
      </c>
      <c r="R63" s="23">
        <v>0</v>
      </c>
      <c r="S63" s="23">
        <v>0.1</v>
      </c>
      <c r="T63" s="2">
        <v>-2.5</v>
      </c>
      <c r="AE63" s="23">
        <v>72.103999999999999</v>
      </c>
      <c r="AF63" s="23">
        <v>77.325000000000003</v>
      </c>
      <c r="AG63" s="23">
        <v>88.622</v>
      </c>
      <c r="AH63" s="23">
        <v>95.295000000000002</v>
      </c>
      <c r="AI63" s="23">
        <f>SUM(L64:O64)</f>
        <v>111</v>
      </c>
      <c r="AJ63" s="23">
        <v>116</v>
      </c>
    </row>
    <row r="64" spans="3:36" x14ac:dyDescent="0.25">
      <c r="C64" s="2" t="s">
        <v>40</v>
      </c>
      <c r="D64" s="33">
        <v>22.491</v>
      </c>
      <c r="E64" s="33">
        <v>23.132000000000001</v>
      </c>
      <c r="F64" s="33">
        <v>23.71</v>
      </c>
      <c r="G64" s="2">
        <v>23</v>
      </c>
      <c r="H64" s="2">
        <v>25</v>
      </c>
      <c r="I64" s="2">
        <v>26</v>
      </c>
      <c r="J64" s="2">
        <v>26</v>
      </c>
      <c r="K64" s="2">
        <v>19</v>
      </c>
      <c r="L64" s="2">
        <v>28</v>
      </c>
      <c r="M64" s="2">
        <v>25</v>
      </c>
      <c r="N64" s="2">
        <v>29</v>
      </c>
      <c r="O64" s="2">
        <v>29</v>
      </c>
      <c r="P64" s="2">
        <v>29</v>
      </c>
      <c r="Q64" s="33">
        <v>29.5</v>
      </c>
      <c r="R64" s="23">
        <v>29.7</v>
      </c>
      <c r="S64" s="23">
        <v>27.8</v>
      </c>
      <c r="T64" s="2">
        <v>30.7</v>
      </c>
      <c r="AE64" s="23">
        <v>25.712</v>
      </c>
      <c r="AF64" s="23">
        <v>24.704000000000001</v>
      </c>
      <c r="AG64" s="23">
        <v>46.712000000000003</v>
      </c>
      <c r="AH64" s="23">
        <v>56.034999999999997</v>
      </c>
      <c r="AI64" s="23">
        <f>SUM(L65:O65)</f>
        <v>-5</v>
      </c>
      <c r="AJ64" s="23">
        <v>8.6999999999999993</v>
      </c>
    </row>
    <row r="65" spans="3:36" x14ac:dyDescent="0.25">
      <c r="C65" s="2" t="s">
        <v>112</v>
      </c>
      <c r="D65" s="33">
        <v>8.4039999999999999</v>
      </c>
      <c r="E65" s="33">
        <v>8</v>
      </c>
      <c r="F65" s="33">
        <v>7.375</v>
      </c>
      <c r="G65" s="2">
        <v>23</v>
      </c>
      <c r="H65" s="2">
        <v>12</v>
      </c>
      <c r="I65" s="2">
        <v>14</v>
      </c>
      <c r="J65" s="2">
        <v>12</v>
      </c>
      <c r="K65" s="2">
        <v>18</v>
      </c>
      <c r="L65" s="2">
        <v>8</v>
      </c>
      <c r="M65" s="2">
        <v>12</v>
      </c>
      <c r="N65" s="2">
        <f>-30</f>
        <v>-30</v>
      </c>
      <c r="O65" s="2">
        <v>5</v>
      </c>
      <c r="P65" s="2">
        <f>9-10+1</f>
        <v>0</v>
      </c>
      <c r="Q65" s="33">
        <f>9.4-10</f>
        <v>-0.59999999999999964</v>
      </c>
      <c r="R65" s="23">
        <v>9.3000000000000007</v>
      </c>
      <c r="S65" s="23">
        <f>8.5-9.9+1.4</f>
        <v>0</v>
      </c>
      <c r="T65" s="2">
        <v>8.6</v>
      </c>
      <c r="AE65" s="23">
        <f>-3.605-13.815+29.849+41.92</f>
        <v>54.349000000000004</v>
      </c>
      <c r="AF65" s="23">
        <f>-55.737-9.853+28.872-11.807</f>
        <v>-48.525000000000006</v>
      </c>
      <c r="AG65" s="23">
        <f>-37.464-6.595-5.279-10.913</f>
        <v>-60.250999999999991</v>
      </c>
      <c r="AH65" s="23">
        <f>-37.315-4.449-18.341+22.323</f>
        <v>-37.781999999999996</v>
      </c>
      <c r="AI65" s="23">
        <f>SUM(L66:O66)</f>
        <v>38</v>
      </c>
      <c r="AJ65" s="23">
        <v>0.9</v>
      </c>
    </row>
    <row r="66" spans="3:36" x14ac:dyDescent="0.25">
      <c r="C66" s="2" t="s">
        <v>113</v>
      </c>
      <c r="D66" s="33">
        <f>-49.924-17.389-17+11.619</f>
        <v>-72.694000000000003</v>
      </c>
      <c r="E66" s="33">
        <f>15.148-5.9-20-53.427</f>
        <v>-64.179000000000002</v>
      </c>
      <c r="F66" s="33">
        <f>1.35-14.348+24.356+31.772</f>
        <v>43.129999999999995</v>
      </c>
      <c r="G66" s="2">
        <f>-21+32+17-8</f>
        <v>20</v>
      </c>
      <c r="H66" s="2">
        <f>-16-10-27+8</f>
        <v>-45</v>
      </c>
      <c r="I66" s="2">
        <f>-21+1+28-26</f>
        <v>-18</v>
      </c>
      <c r="J66" s="2">
        <f>-54-17+41+5</f>
        <v>-25</v>
      </c>
      <c r="K66" s="2">
        <f>53+30-70+31</f>
        <v>44</v>
      </c>
      <c r="L66" s="2">
        <f>19+4-14-7</f>
        <v>2</v>
      </c>
      <c r="M66" s="2">
        <f>13-11+29-26</f>
        <v>5</v>
      </c>
      <c r="N66" s="2">
        <f>-30-4+17+39</f>
        <v>22</v>
      </c>
      <c r="O66" s="2">
        <f>16+33-47+7</f>
        <v>9</v>
      </c>
      <c r="P66" s="2">
        <f>-30-22+24-4</f>
        <v>-32</v>
      </c>
      <c r="Q66" s="33">
        <f>-7.7-6-3.8-21.8</f>
        <v>-39.299999999999997</v>
      </c>
      <c r="R66" s="23">
        <f>-40.7-14+39.3+29.4-10</f>
        <v>3.9999999999999929</v>
      </c>
      <c r="S66" s="23">
        <f>60.7+35.3-36.1+8.3</f>
        <v>68.2</v>
      </c>
      <c r="T66" s="2">
        <v>2.2999999999999998</v>
      </c>
      <c r="AE66" s="22">
        <f t="shared" ref="AE66:AH66" si="85">SUM(AE61:AE65)</f>
        <v>247.17500000000001</v>
      </c>
      <c r="AF66" s="22">
        <f>SUM(AF61:AF65)</f>
        <v>151.98600000000002</v>
      </c>
      <c r="AG66" s="22">
        <f t="shared" si="85"/>
        <v>113.67400000000002</v>
      </c>
      <c r="AH66" s="22">
        <f t="shared" si="85"/>
        <v>75.680000000000007</v>
      </c>
      <c r="AI66" s="22">
        <f>SUM(AI61:AI65)</f>
        <v>183</v>
      </c>
      <c r="AJ66" s="22">
        <f>SUM(AJ61:AJ65)</f>
        <v>157.9</v>
      </c>
    </row>
    <row r="67" spans="3:36" x14ac:dyDescent="0.25">
      <c r="C67" s="1" t="s">
        <v>79</v>
      </c>
      <c r="D67" s="28">
        <f t="shared" ref="D67:N67" si="86">SUM(D62:D66)</f>
        <v>-43.058999999999997</v>
      </c>
      <c r="E67" s="28">
        <f t="shared" si="86"/>
        <v>-28.307000000000002</v>
      </c>
      <c r="F67" s="28">
        <f t="shared" si="86"/>
        <v>100.324</v>
      </c>
      <c r="G67" s="1">
        <f t="shared" si="86"/>
        <v>77</v>
      </c>
      <c r="H67" s="1">
        <f t="shared" si="86"/>
        <v>-30</v>
      </c>
      <c r="I67" s="1">
        <f t="shared" si="86"/>
        <v>4</v>
      </c>
      <c r="J67" s="1">
        <f t="shared" si="86"/>
        <v>4</v>
      </c>
      <c r="K67" s="1">
        <f t="shared" si="86"/>
        <v>95</v>
      </c>
      <c r="L67" s="1">
        <f t="shared" si="86"/>
        <v>23</v>
      </c>
      <c r="M67" s="1">
        <f t="shared" si="86"/>
        <v>32</v>
      </c>
      <c r="N67" s="1">
        <f t="shared" si="86"/>
        <v>52</v>
      </c>
      <c r="O67" s="1">
        <f>SUM(O62:O66)</f>
        <v>76</v>
      </c>
      <c r="P67" s="1">
        <f>SUM(P62:P66)</f>
        <v>-16</v>
      </c>
      <c r="Q67" s="28">
        <f t="shared" ref="Q67:R67" si="87">SUM(Q62:Q66)</f>
        <v>-15</v>
      </c>
      <c r="R67" s="22">
        <f t="shared" si="87"/>
        <v>52.4</v>
      </c>
      <c r="S67" s="22">
        <f>SUM(S62:S66)</f>
        <v>135.10000000000002</v>
      </c>
      <c r="T67" s="22">
        <f>SUM(T62:T66)</f>
        <v>32.699999999999996</v>
      </c>
      <c r="AE67" s="23"/>
      <c r="AF67" s="23"/>
      <c r="AG67" s="23"/>
      <c r="AH67" s="23"/>
      <c r="AI67" s="23"/>
      <c r="AJ67" s="23"/>
    </row>
    <row r="68" spans="3:36" x14ac:dyDescent="0.25">
      <c r="D68" s="33"/>
      <c r="E68" s="33"/>
      <c r="F68" s="33"/>
      <c r="Q68" s="33"/>
      <c r="R68" s="23"/>
      <c r="S68" s="23"/>
      <c r="AE68" s="23">
        <v>-31</v>
      </c>
      <c r="AF68" s="23">
        <v>-34.920999999999999</v>
      </c>
      <c r="AG68" s="23">
        <f>-35.366-152.954</f>
        <v>-188.32</v>
      </c>
      <c r="AH68" s="23">
        <v>-27.407</v>
      </c>
      <c r="AI68" s="23">
        <f>SUM(L69:O69)</f>
        <v>-20</v>
      </c>
      <c r="AJ68" s="23">
        <v>-20</v>
      </c>
    </row>
    <row r="69" spans="3:36" x14ac:dyDescent="0.25">
      <c r="C69" s="2" t="s">
        <v>114</v>
      </c>
      <c r="D69" s="33">
        <v>-179.47800000000001</v>
      </c>
      <c r="E69" s="33">
        <v>11.5</v>
      </c>
      <c r="F69" s="33">
        <v>-5</v>
      </c>
      <c r="G69" s="2">
        <v>-8</v>
      </c>
      <c r="H69" s="2">
        <v>-12</v>
      </c>
      <c r="I69" s="2">
        <v>-6</v>
      </c>
      <c r="J69" s="2">
        <v>-5</v>
      </c>
      <c r="K69" s="2">
        <v>-7</v>
      </c>
      <c r="L69" s="2">
        <v>-3</v>
      </c>
      <c r="M69" s="2">
        <v>-3</v>
      </c>
      <c r="N69" s="2">
        <v>-7</v>
      </c>
      <c r="O69" s="2">
        <v>-7</v>
      </c>
      <c r="P69" s="2">
        <v>-7</v>
      </c>
      <c r="Q69" s="33">
        <v>-3.9</v>
      </c>
      <c r="R69" s="23">
        <v>-4.4000000000000004</v>
      </c>
      <c r="S69" s="23">
        <v>-4.5999999999999996</v>
      </c>
      <c r="T69" s="2">
        <v>-15.1</v>
      </c>
      <c r="AE69" s="22">
        <f t="shared" ref="AE69:AH69" si="88">SUM(AE68)</f>
        <v>-31</v>
      </c>
      <c r="AF69" s="22">
        <f t="shared" si="88"/>
        <v>-34.920999999999999</v>
      </c>
      <c r="AG69" s="22">
        <f t="shared" si="88"/>
        <v>-188.32</v>
      </c>
      <c r="AH69" s="22">
        <f t="shared" si="88"/>
        <v>-27.407</v>
      </c>
      <c r="AI69" s="22">
        <f>SUM(AI68)</f>
        <v>-20</v>
      </c>
      <c r="AJ69" s="22">
        <f>SUM(AJ68)</f>
        <v>-20</v>
      </c>
    </row>
    <row r="70" spans="3:36" x14ac:dyDescent="0.25">
      <c r="C70" s="1" t="s">
        <v>77</v>
      </c>
      <c r="D70" s="28">
        <f t="shared" ref="D70:N70" si="89">SUM(D69)</f>
        <v>-179.47800000000001</v>
      </c>
      <c r="E70" s="28">
        <f t="shared" si="89"/>
        <v>11.5</v>
      </c>
      <c r="F70" s="28">
        <f t="shared" si="89"/>
        <v>-5</v>
      </c>
      <c r="G70" s="1">
        <f t="shared" si="89"/>
        <v>-8</v>
      </c>
      <c r="H70" s="1">
        <f t="shared" si="89"/>
        <v>-12</v>
      </c>
      <c r="I70" s="1">
        <f t="shared" si="89"/>
        <v>-6</v>
      </c>
      <c r="J70" s="1">
        <f t="shared" si="89"/>
        <v>-5</v>
      </c>
      <c r="K70" s="1">
        <f t="shared" si="89"/>
        <v>-7</v>
      </c>
      <c r="L70" s="1">
        <f t="shared" si="89"/>
        <v>-3</v>
      </c>
      <c r="M70" s="1">
        <f t="shared" si="89"/>
        <v>-3</v>
      </c>
      <c r="N70" s="1">
        <f t="shared" si="89"/>
        <v>-7</v>
      </c>
      <c r="O70" s="1">
        <f t="shared" ref="O70:T70" si="90">SUM(O69)</f>
        <v>-7</v>
      </c>
      <c r="P70" s="1">
        <f t="shared" si="90"/>
        <v>-7</v>
      </c>
      <c r="Q70" s="28">
        <f t="shared" si="90"/>
        <v>-3.9</v>
      </c>
      <c r="R70" s="22">
        <f t="shared" si="90"/>
        <v>-4.4000000000000004</v>
      </c>
      <c r="S70" s="22">
        <f t="shared" si="90"/>
        <v>-4.5999999999999996</v>
      </c>
      <c r="T70" s="22">
        <f t="shared" si="90"/>
        <v>-15.1</v>
      </c>
      <c r="AE70" s="23"/>
      <c r="AF70" s="23"/>
      <c r="AG70" s="23"/>
      <c r="AH70" s="23"/>
      <c r="AI70" s="23"/>
      <c r="AJ70" s="23"/>
    </row>
    <row r="71" spans="3:36" x14ac:dyDescent="0.25">
      <c r="D71" s="33"/>
      <c r="E71" s="33"/>
      <c r="F71" s="33"/>
      <c r="Q71" s="33"/>
      <c r="R71" s="23"/>
      <c r="S71" s="23"/>
      <c r="AE71" s="23">
        <v>-205</v>
      </c>
      <c r="AF71" s="23">
        <v>-20</v>
      </c>
      <c r="AG71" s="23">
        <v>190</v>
      </c>
      <c r="AH71" s="23">
        <v>-40</v>
      </c>
      <c r="AI71" s="23">
        <f t="shared" ref="AI71:AI77" si="91">SUM(L72:O72)</f>
        <v>-75</v>
      </c>
      <c r="AJ71" s="23">
        <v>-40</v>
      </c>
    </row>
    <row r="72" spans="3:36" x14ac:dyDescent="0.25">
      <c r="C72" s="2" t="s">
        <v>115</v>
      </c>
      <c r="D72" s="33">
        <v>190</v>
      </c>
      <c r="E72" s="33">
        <v>0</v>
      </c>
      <c r="F72" s="33">
        <v>0</v>
      </c>
      <c r="G72" s="2">
        <v>-40</v>
      </c>
      <c r="H72" s="2">
        <v>0</v>
      </c>
      <c r="I72" s="2">
        <v>0</v>
      </c>
      <c r="J72" s="2">
        <v>0</v>
      </c>
      <c r="K72" s="2">
        <v>-40</v>
      </c>
      <c r="L72" s="2">
        <v>-75</v>
      </c>
      <c r="M72" s="2">
        <v>0</v>
      </c>
      <c r="N72" s="2">
        <v>0</v>
      </c>
      <c r="O72" s="2">
        <v>0</v>
      </c>
      <c r="P72" s="2">
        <v>0</v>
      </c>
      <c r="Q72" s="33">
        <v>0</v>
      </c>
      <c r="R72" s="23">
        <v>0</v>
      </c>
      <c r="S72" s="23">
        <v>-40</v>
      </c>
      <c r="T72" s="2">
        <v>0</v>
      </c>
      <c r="AE72" s="23">
        <f>205-32.201</f>
        <v>172.79900000000001</v>
      </c>
      <c r="AF72" s="23">
        <v>0</v>
      </c>
      <c r="AG72" s="23">
        <v>-40</v>
      </c>
      <c r="AH72" s="23">
        <v>7.7309999999999999</v>
      </c>
      <c r="AI72" s="23">
        <f t="shared" si="91"/>
        <v>-12</v>
      </c>
      <c r="AJ72" s="23">
        <v>0</v>
      </c>
    </row>
    <row r="73" spans="3:36" x14ac:dyDescent="0.25">
      <c r="C73" s="2" t="s">
        <v>135</v>
      </c>
      <c r="D73" s="33">
        <v>-4.2629999999999999</v>
      </c>
      <c r="E73" s="33">
        <v>45.73</v>
      </c>
      <c r="F73" s="33">
        <v>-45.27</v>
      </c>
      <c r="G73" s="2">
        <v>0</v>
      </c>
      <c r="H73" s="2">
        <v>64</v>
      </c>
      <c r="I73" s="2">
        <v>-68</v>
      </c>
      <c r="J73" s="2">
        <v>17</v>
      </c>
      <c r="K73" s="2">
        <v>-5</v>
      </c>
      <c r="L73" s="2">
        <v>-12</v>
      </c>
      <c r="M73" s="2">
        <v>0</v>
      </c>
      <c r="N73" s="2">
        <v>0</v>
      </c>
      <c r="O73" s="2">
        <v>0</v>
      </c>
      <c r="P73" s="2">
        <v>0</v>
      </c>
      <c r="Q73" s="33">
        <v>0</v>
      </c>
      <c r="R73" s="23">
        <v>0</v>
      </c>
      <c r="S73" s="23">
        <v>0</v>
      </c>
      <c r="T73" s="2">
        <v>0</v>
      </c>
      <c r="AE73" s="23">
        <v>0</v>
      </c>
      <c r="AF73" s="23">
        <v>0</v>
      </c>
      <c r="AG73" s="23">
        <v>0</v>
      </c>
      <c r="AH73" s="23">
        <v>116.821</v>
      </c>
      <c r="AI73" s="23">
        <f t="shared" si="91"/>
        <v>174</v>
      </c>
      <c r="AJ73" s="23">
        <v>0</v>
      </c>
    </row>
    <row r="74" spans="3:36" x14ac:dyDescent="0.25">
      <c r="C74" s="2" t="s">
        <v>116</v>
      </c>
      <c r="D74" s="33">
        <v>0</v>
      </c>
      <c r="E74" s="33">
        <v>-6.5590000000000002</v>
      </c>
      <c r="F74" s="33">
        <v>-4</v>
      </c>
      <c r="G74" s="2">
        <v>-8</v>
      </c>
      <c r="H74" s="2">
        <v>0</v>
      </c>
      <c r="I74" s="2">
        <v>117</v>
      </c>
      <c r="J74" s="2">
        <v>0</v>
      </c>
      <c r="K74" s="2">
        <v>0</v>
      </c>
      <c r="L74" s="2">
        <v>146</v>
      </c>
      <c r="M74" s="2">
        <v>28</v>
      </c>
      <c r="N74" s="2">
        <v>0</v>
      </c>
      <c r="O74" s="2">
        <v>0</v>
      </c>
      <c r="P74" s="2">
        <v>0</v>
      </c>
      <c r="Q74" s="33">
        <v>0</v>
      </c>
      <c r="R74" s="23">
        <v>0</v>
      </c>
      <c r="S74" s="23">
        <v>0</v>
      </c>
      <c r="T74" s="2">
        <v>0</v>
      </c>
      <c r="AE74" s="23">
        <v>-51.204000000000001</v>
      </c>
      <c r="AF74" s="23">
        <v>0</v>
      </c>
      <c r="AG74" s="23">
        <v>0</v>
      </c>
      <c r="AH74" s="23">
        <v>3.2</v>
      </c>
      <c r="AI74" s="23">
        <f t="shared" si="91"/>
        <v>0</v>
      </c>
      <c r="AJ74" s="23">
        <v>-1.9</v>
      </c>
    </row>
    <row r="75" spans="3:36" x14ac:dyDescent="0.25">
      <c r="C75" s="2" t="s">
        <v>136</v>
      </c>
      <c r="D75" s="33">
        <v>0</v>
      </c>
      <c r="E75" s="33">
        <v>0</v>
      </c>
      <c r="F75" s="33">
        <v>0</v>
      </c>
      <c r="G75" s="2">
        <v>-20</v>
      </c>
      <c r="H75" s="2">
        <v>0</v>
      </c>
      <c r="I75" s="2">
        <v>0</v>
      </c>
      <c r="J75" s="2">
        <v>0</v>
      </c>
      <c r="K75" s="2">
        <v>3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33">
        <v>-1.9</v>
      </c>
      <c r="R75" s="23">
        <v>0</v>
      </c>
      <c r="S75" s="23">
        <v>0</v>
      </c>
      <c r="T75" s="2">
        <v>0</v>
      </c>
      <c r="AE75" s="23">
        <v>-9.8759999999999994</v>
      </c>
      <c r="AF75" s="23">
        <v>-5.4610000000000003</v>
      </c>
      <c r="AG75" s="23">
        <v>-26.972999999999999</v>
      </c>
      <c r="AH75" s="23">
        <v>-56.034999999999997</v>
      </c>
      <c r="AI75" s="23">
        <f t="shared" si="91"/>
        <v>-38</v>
      </c>
      <c r="AJ75" s="23">
        <v>0</v>
      </c>
    </row>
    <row r="76" spans="3:36" x14ac:dyDescent="0.25">
      <c r="C76" s="2" t="s">
        <v>117</v>
      </c>
      <c r="D76" s="33">
        <v>0</v>
      </c>
      <c r="E76" s="2">
        <v>0</v>
      </c>
      <c r="F76" s="33">
        <v>0</v>
      </c>
      <c r="G76" s="2">
        <v>0</v>
      </c>
      <c r="H76" s="2">
        <v>-8</v>
      </c>
      <c r="I76" s="2">
        <v>-10</v>
      </c>
      <c r="J76" s="2">
        <v>-8</v>
      </c>
      <c r="K76" s="2">
        <v>-16</v>
      </c>
      <c r="L76" s="2">
        <v>-8</v>
      </c>
      <c r="M76" s="2">
        <v>-12</v>
      </c>
      <c r="N76" s="2">
        <v>-13</v>
      </c>
      <c r="O76" s="2">
        <v>-5</v>
      </c>
      <c r="P76" s="2">
        <v>0</v>
      </c>
      <c r="Q76" s="33">
        <v>0</v>
      </c>
      <c r="R76" s="23">
        <v>0</v>
      </c>
      <c r="S76" s="23">
        <v>0</v>
      </c>
      <c r="T76" s="2">
        <v>-8.6</v>
      </c>
      <c r="AE76" s="23">
        <v>-30</v>
      </c>
      <c r="AF76" s="23">
        <v>-59.036000000000001</v>
      </c>
      <c r="AG76" s="23">
        <v>-62.051000000000002</v>
      </c>
      <c r="AH76" s="23">
        <v>-63.420999999999999</v>
      </c>
      <c r="AI76" s="23">
        <f t="shared" si="91"/>
        <v>-80</v>
      </c>
      <c r="AJ76" s="23">
        <v>-86.1</v>
      </c>
    </row>
    <row r="77" spans="3:36" x14ac:dyDescent="0.25">
      <c r="C77" s="2" t="s">
        <v>118</v>
      </c>
      <c r="D77" s="33">
        <v>-15.47</v>
      </c>
      <c r="E77" s="33">
        <v>-15.88</v>
      </c>
      <c r="F77" s="33">
        <v>-15.814</v>
      </c>
      <c r="G77" s="2">
        <v>0</v>
      </c>
      <c r="H77" s="2">
        <v>-18</v>
      </c>
      <c r="I77" s="2">
        <v>-18</v>
      </c>
      <c r="J77" s="2">
        <v>-18</v>
      </c>
      <c r="K77" s="2">
        <v>-21</v>
      </c>
      <c r="L77" s="2">
        <v>-22</v>
      </c>
      <c r="M77" s="2">
        <v>-19</v>
      </c>
      <c r="N77" s="2">
        <v>-19</v>
      </c>
      <c r="O77" s="2">
        <v>-20</v>
      </c>
      <c r="P77" s="2">
        <v>-21</v>
      </c>
      <c r="Q77" s="33">
        <v>-21</v>
      </c>
      <c r="R77" s="23">
        <v>-21.8</v>
      </c>
      <c r="S77" s="23">
        <v>-22.3</v>
      </c>
      <c r="T77" s="2">
        <v>-22.4</v>
      </c>
      <c r="AE77" s="23">
        <v>0</v>
      </c>
      <c r="AF77" s="23">
        <v>-50</v>
      </c>
      <c r="AG77" s="23">
        <v>-60</v>
      </c>
      <c r="AH77" s="23">
        <v>-10.791</v>
      </c>
      <c r="AI77" s="23">
        <f t="shared" si="91"/>
        <v>0</v>
      </c>
      <c r="AJ77" s="23">
        <v>0</v>
      </c>
    </row>
    <row r="78" spans="3:36" x14ac:dyDescent="0.25">
      <c r="C78" s="2" t="s">
        <v>119</v>
      </c>
      <c r="D78" s="33">
        <v>0</v>
      </c>
      <c r="E78" s="33">
        <v>-30</v>
      </c>
      <c r="F78" s="33">
        <v>-30</v>
      </c>
      <c r="G78" s="2">
        <v>0</v>
      </c>
      <c r="H78" s="2">
        <v>0</v>
      </c>
      <c r="I78" s="2">
        <v>0</v>
      </c>
      <c r="J78" s="2">
        <v>-11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33">
        <v>0</v>
      </c>
      <c r="R78" s="23">
        <v>0</v>
      </c>
      <c r="S78" s="23">
        <v>0</v>
      </c>
      <c r="T78" s="1">
        <v>0</v>
      </c>
      <c r="U78" s="1"/>
      <c r="AE78" s="22">
        <f t="shared" ref="AE78:AJ78" si="92">SUM(AE71:AE77)</f>
        <v>-123.28100000000001</v>
      </c>
      <c r="AF78" s="22">
        <f t="shared" si="92"/>
        <v>-134.49700000000001</v>
      </c>
      <c r="AG78" s="22">
        <f t="shared" si="92"/>
        <v>0.97599999999999909</v>
      </c>
      <c r="AH78" s="22">
        <f t="shared" si="92"/>
        <v>-42.495000000000005</v>
      </c>
      <c r="AI78" s="22">
        <f t="shared" si="92"/>
        <v>-31</v>
      </c>
      <c r="AJ78" s="22">
        <f t="shared" si="92"/>
        <v>-128</v>
      </c>
    </row>
    <row r="79" spans="3:36" x14ac:dyDescent="0.25">
      <c r="C79" s="1" t="s">
        <v>78</v>
      </c>
      <c r="D79" s="28">
        <f t="shared" ref="D79:N79" si="93">SUM(D72:D78)</f>
        <v>170.267</v>
      </c>
      <c r="E79" s="28">
        <f t="shared" si="93"/>
        <v>-6.7090000000000032</v>
      </c>
      <c r="F79" s="28">
        <f t="shared" si="93"/>
        <v>-95.084000000000003</v>
      </c>
      <c r="G79" s="1">
        <f t="shared" si="93"/>
        <v>-68</v>
      </c>
      <c r="H79" s="1">
        <f t="shared" si="93"/>
        <v>38</v>
      </c>
      <c r="I79" s="1">
        <f t="shared" si="93"/>
        <v>21</v>
      </c>
      <c r="J79" s="1">
        <f t="shared" si="93"/>
        <v>-20</v>
      </c>
      <c r="K79" s="1">
        <f t="shared" si="93"/>
        <v>-79</v>
      </c>
      <c r="L79" s="1">
        <f t="shared" si="93"/>
        <v>29</v>
      </c>
      <c r="M79" s="1">
        <f t="shared" si="93"/>
        <v>-3</v>
      </c>
      <c r="N79" s="1">
        <f t="shared" si="93"/>
        <v>-32</v>
      </c>
      <c r="O79" s="1">
        <f>SUM(O72:O78)</f>
        <v>-25</v>
      </c>
      <c r="P79" s="1">
        <f>SUM(P72:P78)</f>
        <v>-21</v>
      </c>
      <c r="Q79" s="28">
        <f t="shared" ref="Q79:R79" si="94">SUM(Q72:Q78)</f>
        <v>-22.9</v>
      </c>
      <c r="R79" s="22">
        <f t="shared" si="94"/>
        <v>-21.8</v>
      </c>
      <c r="S79" s="22">
        <f>SUM(S72:S78)</f>
        <v>-62.3</v>
      </c>
      <c r="T79" s="22">
        <f>SUM(T72:T78)</f>
        <v>-31</v>
      </c>
      <c r="AE79" s="23"/>
      <c r="AF79" s="23"/>
      <c r="AG79" s="23"/>
      <c r="AH79" s="23"/>
      <c r="AI79" s="23"/>
      <c r="AJ79" s="23"/>
    </row>
    <row r="80" spans="3:36" x14ac:dyDescent="0.25">
      <c r="D80" s="33"/>
      <c r="E80" s="33"/>
      <c r="F80" s="33"/>
      <c r="Q80" s="33"/>
      <c r="R80" s="23"/>
      <c r="S80" s="23"/>
      <c r="AE80" s="23">
        <f t="shared" ref="AE80:AH80" si="95">AE78+AE69+AE66</f>
        <v>92.894000000000005</v>
      </c>
      <c r="AF80" s="23">
        <f t="shared" si="95"/>
        <v>-17.431999999999988</v>
      </c>
      <c r="AG80" s="23">
        <f t="shared" si="95"/>
        <v>-73.669999999999973</v>
      </c>
      <c r="AH80" s="23">
        <f t="shared" si="95"/>
        <v>5.7780000000000058</v>
      </c>
      <c r="AI80" s="23">
        <f>AI78+AI69+AI66</f>
        <v>132</v>
      </c>
      <c r="AJ80" s="23">
        <f>AJ78+AJ69+AJ66</f>
        <v>9.9000000000000057</v>
      </c>
    </row>
    <row r="81" spans="3:36" x14ac:dyDescent="0.25">
      <c r="C81" s="2" t="s">
        <v>120</v>
      </c>
      <c r="D81" s="33">
        <f t="shared" ref="D81:N81" si="96">D67+D70+D79</f>
        <v>-52.27000000000001</v>
      </c>
      <c r="E81" s="33">
        <f t="shared" si="96"/>
        <v>-23.516000000000005</v>
      </c>
      <c r="F81" s="33">
        <f t="shared" si="96"/>
        <v>0.23999999999999488</v>
      </c>
      <c r="G81" s="2">
        <f t="shared" si="96"/>
        <v>1</v>
      </c>
      <c r="H81" s="2">
        <f t="shared" si="96"/>
        <v>-4</v>
      </c>
      <c r="I81" s="2">
        <f t="shared" si="96"/>
        <v>19</v>
      </c>
      <c r="J81" s="2">
        <f t="shared" si="96"/>
        <v>-21</v>
      </c>
      <c r="K81" s="2">
        <f t="shared" si="96"/>
        <v>9</v>
      </c>
      <c r="L81" s="2">
        <f t="shared" si="96"/>
        <v>49</v>
      </c>
      <c r="M81" s="2">
        <f t="shared" si="96"/>
        <v>26</v>
      </c>
      <c r="N81" s="2">
        <f t="shared" si="96"/>
        <v>13</v>
      </c>
      <c r="O81" s="2">
        <f>O67+O70+O79</f>
        <v>44</v>
      </c>
      <c r="P81" s="2">
        <f>P67+P70+P79</f>
        <v>-44</v>
      </c>
      <c r="Q81" s="33">
        <f t="shared" ref="Q81:R81" si="97">Q67+Q70+Q79</f>
        <v>-41.8</v>
      </c>
      <c r="R81" s="23">
        <f t="shared" si="97"/>
        <v>26.2</v>
      </c>
      <c r="S81" s="23">
        <f>S67+S70+S79</f>
        <v>68.200000000000031</v>
      </c>
      <c r="T81" s="23">
        <f>T67+T70+T79</f>
        <v>-13.400000000000006</v>
      </c>
      <c r="AE81" s="23"/>
      <c r="AF81" s="23"/>
      <c r="AG81" s="23"/>
      <c r="AH81" s="23"/>
      <c r="AI81" s="23"/>
      <c r="AJ81" s="23"/>
    </row>
    <row r="82" spans="3:36" x14ac:dyDescent="0.25">
      <c r="D82" s="33"/>
      <c r="E82" s="33"/>
      <c r="F82" s="33"/>
      <c r="Q82" s="33"/>
      <c r="R82" s="23"/>
      <c r="S82" s="23"/>
      <c r="T82" s="23"/>
      <c r="AE82" s="23">
        <f t="shared" ref="AE82:AH82" si="98">AE66+AE68</f>
        <v>216.17500000000001</v>
      </c>
      <c r="AF82" s="23">
        <f t="shared" si="98"/>
        <v>117.06500000000003</v>
      </c>
      <c r="AG82" s="23">
        <f t="shared" si="98"/>
        <v>-74.645999999999972</v>
      </c>
      <c r="AH82" s="23">
        <f t="shared" si="98"/>
        <v>48.27300000000001</v>
      </c>
      <c r="AI82" s="23">
        <f>AI66+AI68</f>
        <v>163</v>
      </c>
      <c r="AJ82" s="23">
        <f>AJ66+AJ68</f>
        <v>137.9</v>
      </c>
    </row>
    <row r="83" spans="3:36" x14ac:dyDescent="0.25">
      <c r="C83" s="2" t="s">
        <v>121</v>
      </c>
      <c r="D83" s="33">
        <f t="shared" ref="D83:P83" si="99">D67+D69</f>
        <v>-222.53700000000001</v>
      </c>
      <c r="E83" s="33">
        <f t="shared" si="99"/>
        <v>-16.807000000000002</v>
      </c>
      <c r="F83" s="33">
        <f t="shared" si="99"/>
        <v>95.323999999999998</v>
      </c>
      <c r="G83" s="33">
        <f t="shared" si="99"/>
        <v>69</v>
      </c>
      <c r="H83" s="33">
        <f t="shared" si="99"/>
        <v>-42</v>
      </c>
      <c r="I83" s="33">
        <f t="shared" si="99"/>
        <v>-2</v>
      </c>
      <c r="J83" s="33">
        <f t="shared" si="99"/>
        <v>-1</v>
      </c>
      <c r="K83" s="33">
        <f>K67+K69</f>
        <v>88</v>
      </c>
      <c r="L83" s="33">
        <f t="shared" si="99"/>
        <v>20</v>
      </c>
      <c r="M83" s="33">
        <f t="shared" si="99"/>
        <v>29</v>
      </c>
      <c r="N83" s="33">
        <f t="shared" si="99"/>
        <v>45</v>
      </c>
      <c r="O83" s="33">
        <f t="shared" si="99"/>
        <v>69</v>
      </c>
      <c r="P83" s="33">
        <f t="shared" si="99"/>
        <v>-23</v>
      </c>
      <c r="Q83" s="33">
        <f>Q67+Q69</f>
        <v>-18.899999999999999</v>
      </c>
      <c r="R83" s="23">
        <f t="shared" ref="R83" si="100">R67-R69</f>
        <v>56.8</v>
      </c>
      <c r="S83" s="23">
        <f>S67-S69</f>
        <v>139.70000000000002</v>
      </c>
      <c r="T83" s="23">
        <f>T67-T69</f>
        <v>47.8</v>
      </c>
      <c r="AE83" s="23"/>
      <c r="AF83" s="23"/>
      <c r="AG83" s="23"/>
      <c r="AH83" s="23"/>
      <c r="AI83" s="23"/>
      <c r="AJ83" s="23"/>
    </row>
  </sheetData>
  <phoneticPr fontId="8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E7F3-DAD7-B84C-B5BC-B13AC4EABC5F}">
  <dimension ref="A4:AA36"/>
  <sheetViews>
    <sheetView showGridLines="0" workbookViewId="0">
      <pane xSplit="2" ySplit="4" topLeftCell="L5" activePane="bottomRight" state="frozen"/>
      <selection pane="topRight" activeCell="C1" sqref="C1"/>
      <selection pane="bottomLeft" activeCell="A5" sqref="A5"/>
      <selection pane="bottomRight" activeCell="W36" sqref="W36"/>
    </sheetView>
  </sheetViews>
  <sheetFormatPr baseColWidth="10" defaultRowHeight="19" x14ac:dyDescent="0.25"/>
  <cols>
    <col min="1" max="1" width="3.83203125" style="2" customWidth="1"/>
    <col min="2" max="2" width="13.5" style="2" bestFit="1" customWidth="1"/>
    <col min="3" max="16384" width="10.83203125" style="2"/>
  </cols>
  <sheetData>
    <row r="4" spans="1:27" x14ac:dyDescent="0.25">
      <c r="B4" s="2" t="s">
        <v>82</v>
      </c>
      <c r="C4" s="7" t="s">
        <v>7</v>
      </c>
      <c r="D4" s="7" t="s">
        <v>8</v>
      </c>
      <c r="E4" s="7" t="s">
        <v>9</v>
      </c>
      <c r="F4" s="7" t="s">
        <v>10</v>
      </c>
      <c r="G4" s="37">
        <v>2022</v>
      </c>
      <c r="H4" s="7" t="s">
        <v>11</v>
      </c>
      <c r="I4" s="7" t="s">
        <v>12</v>
      </c>
      <c r="J4" s="7" t="s">
        <v>13</v>
      </c>
      <c r="K4" s="7" t="s">
        <v>14</v>
      </c>
      <c r="L4" s="37">
        <v>2023</v>
      </c>
      <c r="M4" s="7" t="s">
        <v>15</v>
      </c>
      <c r="N4" s="7" t="s">
        <v>16</v>
      </c>
      <c r="O4" s="7" t="s">
        <v>17</v>
      </c>
      <c r="P4" s="7" t="s">
        <v>18</v>
      </c>
      <c r="Q4" s="37">
        <v>2024</v>
      </c>
      <c r="R4" s="7" t="s">
        <v>49</v>
      </c>
      <c r="S4" s="7" t="s">
        <v>50</v>
      </c>
      <c r="T4" s="7" t="s">
        <v>51</v>
      </c>
      <c r="U4" s="7" t="s">
        <v>52</v>
      </c>
      <c r="V4" s="38">
        <v>2025</v>
      </c>
      <c r="W4" s="7" t="s">
        <v>144</v>
      </c>
      <c r="X4" s="7" t="s">
        <v>145</v>
      </c>
      <c r="Y4" s="7" t="s">
        <v>146</v>
      </c>
      <c r="Z4" s="7" t="s">
        <v>147</v>
      </c>
      <c r="AA4" s="38">
        <v>2026</v>
      </c>
    </row>
    <row r="5" spans="1:27" x14ac:dyDescent="0.25">
      <c r="B5" s="1" t="s">
        <v>83</v>
      </c>
      <c r="G5" s="38"/>
      <c r="L5" s="38"/>
      <c r="Q5" s="38"/>
      <c r="V5" s="40"/>
      <c r="AA5" s="40"/>
    </row>
    <row r="6" spans="1:27" x14ac:dyDescent="0.25">
      <c r="A6" s="1"/>
      <c r="B6" s="1" t="s">
        <v>37</v>
      </c>
      <c r="C6" s="1"/>
      <c r="D6" s="1">
        <v>358</v>
      </c>
      <c r="E6" s="1">
        <v>370</v>
      </c>
      <c r="F6" s="1">
        <v>464</v>
      </c>
      <c r="G6" s="38"/>
      <c r="H6" s="1">
        <v>352</v>
      </c>
      <c r="I6" s="22">
        <v>296</v>
      </c>
      <c r="J6" s="22">
        <v>362</v>
      </c>
      <c r="K6" s="22">
        <v>451</v>
      </c>
      <c r="L6" s="51">
        <f>SUM(H6:K6)</f>
        <v>1461</v>
      </c>
      <c r="M6" s="22">
        <v>317</v>
      </c>
      <c r="N6" s="22">
        <v>315</v>
      </c>
      <c r="O6" s="22">
        <v>366</v>
      </c>
      <c r="P6" s="22">
        <v>469</v>
      </c>
      <c r="Q6" s="51">
        <f>SUM(M6:P6)</f>
        <v>1467</v>
      </c>
      <c r="R6" s="22">
        <v>356</v>
      </c>
      <c r="S6" s="22">
        <v>325.2</v>
      </c>
      <c r="T6" s="22">
        <v>388.3</v>
      </c>
      <c r="U6" s="22">
        <v>525.20000000000005</v>
      </c>
      <c r="V6" s="51">
        <f>SUM(R6:U6)</f>
        <v>1594.7</v>
      </c>
      <c r="W6" s="22">
        <v>383.9</v>
      </c>
      <c r="X6" s="22"/>
      <c r="Y6" s="22"/>
      <c r="Z6" s="22"/>
      <c r="AA6" s="51">
        <f>SUM(W6:Z6)</f>
        <v>383.9</v>
      </c>
    </row>
    <row r="7" spans="1:27" x14ac:dyDescent="0.25">
      <c r="A7" s="1"/>
      <c r="B7" s="17" t="s">
        <v>92</v>
      </c>
      <c r="C7" s="1"/>
      <c r="D7" s="1"/>
      <c r="E7" s="1"/>
      <c r="F7" s="1"/>
      <c r="G7" s="38"/>
      <c r="H7" s="26"/>
      <c r="I7" s="19">
        <f>(I6-D6)/D6</f>
        <v>-0.17318435754189945</v>
      </c>
      <c r="J7" s="19">
        <f>(J6-E6)/E6</f>
        <v>-2.1621621621621623E-2</v>
      </c>
      <c r="K7" s="19">
        <f>(K6-F6)/F6</f>
        <v>-2.8017241379310345E-2</v>
      </c>
      <c r="L7" s="39"/>
      <c r="M7" s="19">
        <f t="shared" ref="M7:R7" si="0">(M6-H6)/H6</f>
        <v>-9.9431818181818177E-2</v>
      </c>
      <c r="N7" s="19">
        <f t="shared" si="0"/>
        <v>6.4189189189189186E-2</v>
      </c>
      <c r="O7" s="19">
        <f t="shared" si="0"/>
        <v>1.1049723756906077E-2</v>
      </c>
      <c r="P7" s="19">
        <f t="shared" si="0"/>
        <v>3.9911308203991129E-2</v>
      </c>
      <c r="Q7" s="39">
        <f>(Q6-L6)/L6</f>
        <v>4.1067761806981521E-3</v>
      </c>
      <c r="R7" s="19">
        <f t="shared" si="0"/>
        <v>0.12302839116719243</v>
      </c>
      <c r="S7" s="19">
        <f t="shared" ref="S7" si="1">(S6-N6)/N6</f>
        <v>3.2380952380952344E-2</v>
      </c>
      <c r="T7" s="19">
        <f t="shared" ref="T7" si="2">(T6-O6)/O6</f>
        <v>6.0928961748633909E-2</v>
      </c>
      <c r="U7" s="19">
        <f t="shared" ref="U7" si="3">(U6-P6)/P6</f>
        <v>0.11982942430703634</v>
      </c>
      <c r="V7" s="39">
        <f>(V6-Q6)/Q6</f>
        <v>8.7048398091342905E-2</v>
      </c>
      <c r="W7" s="19">
        <f t="shared" ref="W7" si="4">(W6-R6)/R6</f>
        <v>7.8370786516853863E-2</v>
      </c>
      <c r="X7" s="19">
        <f t="shared" ref="X7" si="5">(X6-S6)/S6</f>
        <v>-1</v>
      </c>
      <c r="Y7" s="19">
        <f t="shared" ref="Y7" si="6">(Y6-T6)/T6</f>
        <v>-1</v>
      </c>
      <c r="Z7" s="19">
        <f t="shared" ref="Z7" si="7">(Z6-U6)/U6</f>
        <v>-1</v>
      </c>
      <c r="AA7" s="39">
        <f>(AA6-V6)/V6</f>
        <v>-0.75926506552956674</v>
      </c>
    </row>
    <row r="8" spans="1:27" x14ac:dyDescent="0.25">
      <c r="B8" s="2" t="s">
        <v>38</v>
      </c>
      <c r="E8" s="2">
        <v>-227</v>
      </c>
      <c r="F8" s="2">
        <v>-286</v>
      </c>
      <c r="G8" s="38"/>
      <c r="H8" s="23">
        <v>-222</v>
      </c>
      <c r="I8" s="23">
        <v>-190</v>
      </c>
      <c r="J8" s="23">
        <v>-229</v>
      </c>
      <c r="K8" s="23">
        <v>-296</v>
      </c>
      <c r="L8" s="51">
        <f>SUM(H8:K8)</f>
        <v>-937</v>
      </c>
      <c r="M8" s="23">
        <v>-203</v>
      </c>
      <c r="N8" s="23">
        <v>-208</v>
      </c>
      <c r="O8" s="23">
        <v>-225</v>
      </c>
      <c r="P8" s="23">
        <v>-299</v>
      </c>
      <c r="Q8" s="51">
        <f>SUM(M8:P8)</f>
        <v>-935</v>
      </c>
      <c r="R8" s="23">
        <v>-224</v>
      </c>
      <c r="S8" s="23">
        <v>-208.8</v>
      </c>
      <c r="T8" s="23">
        <v>-243</v>
      </c>
      <c r="U8" s="23">
        <v>-337.1</v>
      </c>
      <c r="V8" s="51">
        <f>SUM(R8:U8)</f>
        <v>-1012.9</v>
      </c>
      <c r="W8" s="23">
        <v>-238.6</v>
      </c>
      <c r="X8" s="23"/>
      <c r="Y8" s="23"/>
      <c r="Z8" s="23"/>
      <c r="AA8" s="51">
        <f>SUM(W8:Z8)</f>
        <v>-238.6</v>
      </c>
    </row>
    <row r="9" spans="1:27" x14ac:dyDescent="0.25">
      <c r="B9" s="2" t="s">
        <v>84</v>
      </c>
      <c r="E9" s="2">
        <v>143</v>
      </c>
      <c r="F9" s="2">
        <v>177</v>
      </c>
      <c r="G9" s="38"/>
      <c r="H9" s="23">
        <v>130</v>
      </c>
      <c r="I9" s="23">
        <v>106</v>
      </c>
      <c r="J9" s="23">
        <v>133</v>
      </c>
      <c r="K9" s="23">
        <v>155</v>
      </c>
      <c r="L9" s="51">
        <f>SUM(H9:K9)</f>
        <v>524</v>
      </c>
      <c r="M9" s="23">
        <v>115</v>
      </c>
      <c r="N9" s="23">
        <v>107</v>
      </c>
      <c r="O9" s="23">
        <v>141</v>
      </c>
      <c r="P9" s="23">
        <f>SUM(P6:P8)</f>
        <v>170.03991130820401</v>
      </c>
      <c r="Q9" s="51">
        <f>SUM(M9:P9)</f>
        <v>533.03991130820395</v>
      </c>
      <c r="R9" s="23">
        <v>132</v>
      </c>
      <c r="S9" s="23">
        <v>116.4</v>
      </c>
      <c r="T9" s="23">
        <v>145.19999999999999</v>
      </c>
      <c r="U9" s="23">
        <v>188.1</v>
      </c>
      <c r="V9" s="51">
        <f>SUM(R9:U9)</f>
        <v>581.70000000000005</v>
      </c>
      <c r="W9" s="23">
        <v>145.30000000000001</v>
      </c>
      <c r="X9" s="23"/>
      <c r="Y9" s="23"/>
      <c r="Z9" s="23"/>
      <c r="AA9" s="51">
        <f>SUM(W9:Z9)</f>
        <v>145.30000000000001</v>
      </c>
    </row>
    <row r="10" spans="1:27" x14ac:dyDescent="0.25">
      <c r="B10" s="17" t="s">
        <v>85</v>
      </c>
      <c r="C10" s="19"/>
      <c r="D10" s="19"/>
      <c r="E10" s="19">
        <v>0.38600000000000001</v>
      </c>
      <c r="F10" s="19">
        <v>0.38200000000000001</v>
      </c>
      <c r="G10" s="39"/>
      <c r="H10" s="19">
        <v>0.36799999999999999</v>
      </c>
      <c r="I10" s="19">
        <v>0.35899999999999999</v>
      </c>
      <c r="J10" s="19">
        <v>0.36799999999999999</v>
      </c>
      <c r="K10" s="19">
        <v>0.34399999999999997</v>
      </c>
      <c r="L10" s="39">
        <f>L9/L6</f>
        <v>0.35865845311430528</v>
      </c>
      <c r="M10" s="19">
        <v>0.36099999999999999</v>
      </c>
      <c r="N10" s="19">
        <v>0.33900000000000002</v>
      </c>
      <c r="O10" s="19">
        <v>0.38600000000000001</v>
      </c>
      <c r="P10" s="19">
        <f>P9/P6</f>
        <v>0.36255844628614931</v>
      </c>
      <c r="Q10" s="50">
        <f>Q9/Q6</f>
        <v>0.36335372277314515</v>
      </c>
      <c r="R10" s="19">
        <v>0.37</v>
      </c>
      <c r="S10" s="47">
        <v>0.35799999999999998</v>
      </c>
      <c r="T10" s="47">
        <v>0.374</v>
      </c>
      <c r="U10" s="47">
        <v>0.35799999999999998</v>
      </c>
      <c r="V10" s="39">
        <f>V9/V6</f>
        <v>0.36477080328588452</v>
      </c>
      <c r="W10" s="19">
        <v>0.379</v>
      </c>
      <c r="X10" s="47"/>
      <c r="Y10" s="47"/>
      <c r="Z10" s="47"/>
      <c r="AA10" s="39">
        <f>AA9/AA6</f>
        <v>0.37848398020317797</v>
      </c>
    </row>
    <row r="11" spans="1:27" x14ac:dyDescent="0.25">
      <c r="B11" s="1" t="s">
        <v>140</v>
      </c>
      <c r="G11" s="38"/>
      <c r="L11" s="38"/>
      <c r="M11" s="23">
        <v>27</v>
      </c>
      <c r="N11" s="23">
        <v>36</v>
      </c>
      <c r="O11" s="23">
        <v>30</v>
      </c>
      <c r="P11" s="23">
        <v>65</v>
      </c>
      <c r="Q11" s="51">
        <f>SUM(M11:P11)</f>
        <v>158</v>
      </c>
      <c r="R11" s="23">
        <v>35</v>
      </c>
      <c r="S11" s="23">
        <v>38</v>
      </c>
      <c r="T11" s="23">
        <v>43</v>
      </c>
      <c r="U11" s="23">
        <v>66</v>
      </c>
      <c r="V11" s="51">
        <f>SUM(R11:U11)</f>
        <v>182</v>
      </c>
      <c r="W11" s="23">
        <v>36</v>
      </c>
      <c r="X11" s="23"/>
      <c r="Y11" s="23"/>
      <c r="Z11" s="23"/>
      <c r="AA11" s="51">
        <f>SUM(W11:Z11)</f>
        <v>36</v>
      </c>
    </row>
    <row r="12" spans="1:27" x14ac:dyDescent="0.25">
      <c r="B12" s="47" t="s">
        <v>141</v>
      </c>
      <c r="C12" s="47"/>
      <c r="D12" s="47"/>
      <c r="E12" s="47"/>
      <c r="F12" s="47"/>
      <c r="G12" s="50"/>
      <c r="H12" s="47"/>
      <c r="I12" s="47"/>
      <c r="J12" s="47"/>
      <c r="K12" s="47"/>
      <c r="L12" s="50"/>
      <c r="M12" s="47">
        <f t="shared" ref="M12:N12" si="8">M11/M6</f>
        <v>8.5173501577287064E-2</v>
      </c>
      <c r="N12" s="47">
        <f t="shared" si="8"/>
        <v>0.11428571428571428</v>
      </c>
      <c r="O12" s="47">
        <f t="shared" ref="O12" si="9">O11/O6</f>
        <v>8.1967213114754092E-2</v>
      </c>
      <c r="P12" s="47">
        <f t="shared" ref="P12" si="10">P11/P6</f>
        <v>0.13859275053304904</v>
      </c>
      <c r="Q12" s="50">
        <f>Q11/Q6</f>
        <v>0.10770279481935924</v>
      </c>
      <c r="R12" s="47">
        <f t="shared" ref="R12:S12" si="11">R11/R6</f>
        <v>9.8314606741573038E-2</v>
      </c>
      <c r="S12" s="47">
        <f t="shared" si="11"/>
        <v>0.11685116851168512</v>
      </c>
      <c r="T12" s="47">
        <f>T11/T6</f>
        <v>0.1107391192377028</v>
      </c>
      <c r="U12" s="47">
        <v>0.126</v>
      </c>
      <c r="V12" s="50">
        <f>V11/V6</f>
        <v>0.11412804916285195</v>
      </c>
      <c r="W12" s="47">
        <f t="shared" ref="W12:X12" si="12">W11/W6</f>
        <v>9.3774420421984903E-2</v>
      </c>
      <c r="X12" s="47" t="e">
        <f t="shared" si="12"/>
        <v>#DIV/0!</v>
      </c>
      <c r="Y12" s="47" t="e">
        <f>Y11/Y6</f>
        <v>#DIV/0!</v>
      </c>
      <c r="Z12" s="47" t="e">
        <f>Z11/Z6</f>
        <v>#DIV/0!</v>
      </c>
      <c r="AA12" s="50">
        <f>AA11/AA6</f>
        <v>9.3774420421984903E-2</v>
      </c>
    </row>
    <row r="13" spans="1:27" x14ac:dyDescent="0.25">
      <c r="B13" s="2" t="s">
        <v>86</v>
      </c>
      <c r="E13" s="2">
        <v>-97</v>
      </c>
      <c r="F13" s="2">
        <v>-106</v>
      </c>
      <c r="G13" s="38"/>
      <c r="H13" s="23">
        <v>-97</v>
      </c>
      <c r="I13" s="23">
        <v>-71</v>
      </c>
      <c r="J13" s="23">
        <v>-100</v>
      </c>
      <c r="K13" s="23">
        <v>-102</v>
      </c>
      <c r="L13" s="51">
        <f>SUM(H13:K13)</f>
        <v>-370</v>
      </c>
      <c r="M13" s="23">
        <v>-87</v>
      </c>
      <c r="N13" s="23">
        <v>-71</v>
      </c>
      <c r="O13" s="23">
        <v>-97</v>
      </c>
      <c r="P13" s="23">
        <v>-104</v>
      </c>
      <c r="Q13" s="51">
        <f>SUM(M13:P13)</f>
        <v>-359</v>
      </c>
      <c r="R13" s="23">
        <v>-96</v>
      </c>
      <c r="S13" s="23">
        <v>-78</v>
      </c>
      <c r="T13" s="23">
        <v>-101.7</v>
      </c>
      <c r="U13" s="23">
        <v>-111.2</v>
      </c>
      <c r="V13" s="51">
        <f>SUM(R13:U13)</f>
        <v>-386.9</v>
      </c>
      <c r="W13" s="23">
        <v>-103.5</v>
      </c>
      <c r="X13" s="23"/>
      <c r="Y13" s="23"/>
      <c r="Z13" s="23"/>
      <c r="AA13" s="51">
        <f>SUM(W13:Z13)</f>
        <v>-103.5</v>
      </c>
    </row>
    <row r="14" spans="1:27" x14ac:dyDescent="0.25">
      <c r="B14" s="17" t="s">
        <v>87</v>
      </c>
      <c r="C14" s="19"/>
      <c r="D14" s="19"/>
      <c r="E14" s="19">
        <v>-0.26600000000000001</v>
      </c>
      <c r="F14" s="19">
        <v>-0.22800000000000001</v>
      </c>
      <c r="G14" s="39"/>
      <c r="H14" s="19">
        <v>-0.27500000000000002</v>
      </c>
      <c r="I14" s="19">
        <v>-0.24</v>
      </c>
      <c r="J14" s="19">
        <v>-0.27700000000000002</v>
      </c>
      <c r="K14" s="19">
        <v>-0.22600000000000001</v>
      </c>
      <c r="L14" s="39">
        <f>L13/L6</f>
        <v>-0.25325119780971939</v>
      </c>
      <c r="M14" s="19">
        <v>-0.27400000000000002</v>
      </c>
      <c r="N14" s="19">
        <v>-0.22500000000000001</v>
      </c>
      <c r="O14" s="19">
        <v>-0.26600000000000001</v>
      </c>
      <c r="P14" s="19">
        <f>P13/P6</f>
        <v>-0.22174840085287847</v>
      </c>
      <c r="Q14" s="39">
        <f>Q13/Q6</f>
        <v>-0.2447171097477846</v>
      </c>
      <c r="R14" s="19">
        <v>-0.26900000000000002</v>
      </c>
      <c r="S14" s="19">
        <v>0.24</v>
      </c>
      <c r="T14" s="19">
        <v>-0.26200000000000001</v>
      </c>
      <c r="U14" s="19">
        <v>-0.21199999999999999</v>
      </c>
      <c r="V14" s="39">
        <f>V13/V6</f>
        <v>-0.24261616605004074</v>
      </c>
      <c r="W14" s="19">
        <v>-0.27</v>
      </c>
      <c r="X14" s="19"/>
      <c r="Y14" s="19"/>
      <c r="Z14" s="19"/>
      <c r="AA14" s="39">
        <f>AA13/AA6</f>
        <v>-0.26960145871320657</v>
      </c>
    </row>
    <row r="15" spans="1:27" x14ac:dyDescent="0.25">
      <c r="B15" s="1" t="s">
        <v>88</v>
      </c>
      <c r="E15" s="2">
        <v>22</v>
      </c>
      <c r="F15" s="2">
        <v>51</v>
      </c>
      <c r="G15" s="38"/>
      <c r="H15" s="23">
        <v>9</v>
      </c>
      <c r="I15" s="23">
        <v>12</v>
      </c>
      <c r="J15" s="23">
        <v>9</v>
      </c>
      <c r="K15" s="23">
        <v>35</v>
      </c>
      <c r="L15" s="51">
        <f>SUM(H15:K15)</f>
        <v>65</v>
      </c>
      <c r="M15" s="23">
        <v>4</v>
      </c>
      <c r="N15" s="23">
        <v>13</v>
      </c>
      <c r="O15" s="23">
        <v>5</v>
      </c>
      <c r="P15" s="23">
        <v>40</v>
      </c>
      <c r="Q15" s="51">
        <f>SUM(M15:P15)</f>
        <v>62</v>
      </c>
      <c r="R15" s="23">
        <v>9</v>
      </c>
      <c r="S15" s="23">
        <v>12.2</v>
      </c>
      <c r="T15" s="23">
        <v>17</v>
      </c>
      <c r="U15" s="23">
        <v>42.5</v>
      </c>
      <c r="V15" s="51">
        <f>SUM(R15:U15)</f>
        <v>80.7</v>
      </c>
      <c r="W15" s="23">
        <v>9.6</v>
      </c>
      <c r="X15" s="23"/>
      <c r="Y15" s="23"/>
      <c r="Z15" s="23"/>
      <c r="AA15" s="51">
        <f>SUM(W15:Z15)</f>
        <v>9.6</v>
      </c>
    </row>
    <row r="16" spans="1:27" x14ac:dyDescent="0.25">
      <c r="B16" s="17" t="s">
        <v>89</v>
      </c>
      <c r="C16" s="19"/>
      <c r="D16" s="19"/>
      <c r="E16" s="19">
        <v>5.8000000000000003E-2</v>
      </c>
      <c r="F16" s="19">
        <v>0.109</v>
      </c>
      <c r="G16" s="39"/>
      <c r="H16" s="19">
        <v>2.5999999999999999E-2</v>
      </c>
      <c r="I16" s="19">
        <v>3.9E-2</v>
      </c>
      <c r="J16" s="19">
        <v>2.5000000000000001E-2</v>
      </c>
      <c r="K16" s="19">
        <v>7.8E-2</v>
      </c>
      <c r="L16" s="39">
        <f>L15/L6</f>
        <v>4.4490075290896644E-2</v>
      </c>
      <c r="M16" s="19">
        <v>1.2E-2</v>
      </c>
      <c r="N16" s="19">
        <v>0.04</v>
      </c>
      <c r="O16" s="19">
        <v>1.2999999999999999E-2</v>
      </c>
      <c r="P16" s="19">
        <f>P15/P6</f>
        <v>8.5287846481876331E-2</v>
      </c>
      <c r="Q16" s="39">
        <f>Q15/Q6</f>
        <v>4.2263122017723247E-2</v>
      </c>
      <c r="R16" s="19">
        <v>2.7E-2</v>
      </c>
      <c r="S16" s="19">
        <v>3.6999999999999998E-2</v>
      </c>
      <c r="T16" s="19">
        <v>4.3999999999999997E-2</v>
      </c>
      <c r="U16" s="19">
        <v>8.1000000000000003E-2</v>
      </c>
      <c r="V16" s="39">
        <f>V15/V6</f>
        <v>5.0605129491440394E-2</v>
      </c>
      <c r="W16" s="19">
        <v>2.5000000000000001E-2</v>
      </c>
      <c r="X16" s="19"/>
      <c r="Y16" s="19"/>
      <c r="Z16" s="19"/>
      <c r="AA16" s="39">
        <f>AA15/AA6</f>
        <v>2.5006512112529303E-2</v>
      </c>
    </row>
    <row r="17" spans="2:27" x14ac:dyDescent="0.25">
      <c r="B17" s="2" t="s">
        <v>43</v>
      </c>
      <c r="E17" s="2">
        <v>-7</v>
      </c>
      <c r="G17" s="38"/>
      <c r="H17" s="23">
        <v>-12</v>
      </c>
      <c r="I17" s="23">
        <v>-14</v>
      </c>
      <c r="J17" s="23">
        <v>-12</v>
      </c>
      <c r="K17" s="23">
        <v>-15</v>
      </c>
      <c r="L17" s="51">
        <f>SUM(H17:K17)</f>
        <v>-53</v>
      </c>
      <c r="M17" s="23">
        <v>-7</v>
      </c>
      <c r="N17" s="23">
        <v>-11</v>
      </c>
      <c r="O17" s="23">
        <v>-13</v>
      </c>
      <c r="P17" s="23">
        <v>-4</v>
      </c>
      <c r="Q17" s="51">
        <f>SUM(M17:P17)</f>
        <v>-35</v>
      </c>
      <c r="R17" s="23">
        <v>-15</v>
      </c>
      <c r="S17" s="23">
        <v>-8.8000000000000007</v>
      </c>
      <c r="T17" s="23">
        <v>-8</v>
      </c>
      <c r="U17" s="23">
        <v>-2.5</v>
      </c>
      <c r="V17" s="51">
        <f>SUM(R17:U17)</f>
        <v>-34.299999999999997</v>
      </c>
      <c r="W17" s="23">
        <v>-12.3</v>
      </c>
      <c r="X17" s="23"/>
      <c r="Y17" s="23"/>
      <c r="Z17" s="23"/>
      <c r="AA17" s="51">
        <f>SUM(W17:Z17)</f>
        <v>-12.3</v>
      </c>
    </row>
    <row r="18" spans="2:27" x14ac:dyDescent="0.25">
      <c r="B18" s="2" t="s">
        <v>44</v>
      </c>
      <c r="E18" s="2">
        <v>14</v>
      </c>
      <c r="G18" s="38"/>
      <c r="H18" s="23">
        <v>-2</v>
      </c>
      <c r="I18" s="23">
        <v>-2</v>
      </c>
      <c r="J18" s="23">
        <v>-3</v>
      </c>
      <c r="K18" s="23">
        <v>20</v>
      </c>
      <c r="L18" s="51">
        <f>SUM(H18:K18)</f>
        <v>13</v>
      </c>
      <c r="M18" s="23">
        <v>-3</v>
      </c>
      <c r="N18" s="23">
        <v>2</v>
      </c>
      <c r="O18" s="23">
        <v>-8</v>
      </c>
      <c r="P18" s="23">
        <v>36</v>
      </c>
      <c r="Q18" s="51">
        <f>SUM(M18:P18)</f>
        <v>27</v>
      </c>
      <c r="R18" s="23">
        <v>-6</v>
      </c>
      <c r="S18" s="23">
        <v>3.4</v>
      </c>
      <c r="T18" s="23">
        <v>9</v>
      </c>
      <c r="U18" s="23">
        <v>40</v>
      </c>
      <c r="V18" s="51">
        <f>SUM(R18:U18)</f>
        <v>46.4</v>
      </c>
      <c r="W18" s="23">
        <v>-2.6</v>
      </c>
      <c r="X18" s="23"/>
      <c r="Y18" s="23"/>
      <c r="Z18" s="23"/>
      <c r="AA18" s="51">
        <f>SUM(W18:Z18)</f>
        <v>-2.6</v>
      </c>
    </row>
    <row r="19" spans="2:27" x14ac:dyDescent="0.25">
      <c r="B19" s="1" t="s">
        <v>90</v>
      </c>
      <c r="C19" s="1"/>
      <c r="D19" s="1"/>
      <c r="E19" s="1">
        <v>11</v>
      </c>
      <c r="F19" s="1"/>
      <c r="G19" s="38"/>
      <c r="H19" s="22">
        <v>-2</v>
      </c>
      <c r="I19" s="22">
        <v>-2</v>
      </c>
      <c r="J19" s="22">
        <v>-1</v>
      </c>
      <c r="K19" s="22">
        <v>16</v>
      </c>
      <c r="L19" s="51">
        <f>SUM(H19:K19)</f>
        <v>11</v>
      </c>
      <c r="M19" s="22">
        <v>-3</v>
      </c>
      <c r="N19" s="22">
        <v>2</v>
      </c>
      <c r="O19" s="22">
        <v>-7</v>
      </c>
      <c r="P19" s="22">
        <v>25</v>
      </c>
      <c r="Q19" s="51">
        <f>SUM(M19:P19)</f>
        <v>17</v>
      </c>
      <c r="R19" s="22">
        <v>-5</v>
      </c>
      <c r="S19" s="22">
        <v>2.7</v>
      </c>
      <c r="T19" s="22">
        <v>7</v>
      </c>
      <c r="U19" s="22">
        <v>30.9</v>
      </c>
      <c r="V19" s="51">
        <f>SUM(R19:U19)</f>
        <v>35.6</v>
      </c>
      <c r="W19" s="22">
        <v>-2.1</v>
      </c>
      <c r="X19" s="22"/>
      <c r="Y19" s="22"/>
      <c r="Z19" s="22"/>
      <c r="AA19" s="51">
        <f>SUM(W19:Z19)</f>
        <v>-2.1</v>
      </c>
    </row>
    <row r="20" spans="2:27" x14ac:dyDescent="0.25">
      <c r="B20" s="20" t="s">
        <v>139</v>
      </c>
      <c r="C20" s="20">
        <v>26</v>
      </c>
      <c r="D20" s="20">
        <v>26</v>
      </c>
      <c r="E20" s="20">
        <v>27</v>
      </c>
      <c r="F20" s="20">
        <v>27</v>
      </c>
      <c r="G20" s="42">
        <v>27</v>
      </c>
      <c r="H20" s="64">
        <v>27</v>
      </c>
      <c r="I20" s="64">
        <v>27</v>
      </c>
      <c r="J20" s="64">
        <v>27</v>
      </c>
      <c r="K20" s="64">
        <v>27</v>
      </c>
      <c r="L20" s="65">
        <v>27</v>
      </c>
      <c r="M20" s="64">
        <v>27</v>
      </c>
      <c r="N20" s="64">
        <v>27</v>
      </c>
      <c r="O20" s="64">
        <v>27</v>
      </c>
      <c r="P20" s="64">
        <v>29</v>
      </c>
      <c r="Q20" s="66">
        <v>29</v>
      </c>
      <c r="R20" s="64">
        <v>30</v>
      </c>
      <c r="S20" s="64">
        <v>30</v>
      </c>
      <c r="T20" s="64">
        <v>30</v>
      </c>
      <c r="U20" s="64">
        <v>31</v>
      </c>
      <c r="V20" s="66">
        <v>31</v>
      </c>
      <c r="W20" s="64">
        <v>32</v>
      </c>
      <c r="X20" s="64"/>
      <c r="Y20" s="64"/>
      <c r="Z20" s="64"/>
      <c r="AA20" s="66">
        <f>SUM(W20:Z20)</f>
        <v>32</v>
      </c>
    </row>
    <row r="21" spans="2:27" x14ac:dyDescent="0.25">
      <c r="B21" s="1" t="s">
        <v>91</v>
      </c>
      <c r="G21" s="40"/>
      <c r="L21" s="40"/>
      <c r="Q21" s="40"/>
      <c r="U21" s="48"/>
      <c r="V21" s="40"/>
      <c r="Z21" s="48"/>
      <c r="AA21" s="40"/>
    </row>
    <row r="22" spans="2:27" x14ac:dyDescent="0.25">
      <c r="B22" s="1" t="s">
        <v>37</v>
      </c>
      <c r="C22" s="1"/>
      <c r="D22" s="1"/>
      <c r="E22" s="1">
        <v>28</v>
      </c>
      <c r="F22" s="1">
        <v>38</v>
      </c>
      <c r="G22" s="40"/>
      <c r="H22" s="22">
        <v>31</v>
      </c>
      <c r="I22" s="22">
        <v>30</v>
      </c>
      <c r="J22" s="22">
        <v>39</v>
      </c>
      <c r="K22" s="22">
        <v>43</v>
      </c>
      <c r="L22" s="51">
        <f>SUM(H22:K22)</f>
        <v>143</v>
      </c>
      <c r="M22" s="22">
        <v>33</v>
      </c>
      <c r="N22" s="22">
        <v>34</v>
      </c>
      <c r="O22" s="22">
        <v>42</v>
      </c>
      <c r="P22" s="22">
        <v>52</v>
      </c>
      <c r="Q22" s="51">
        <f>SUM(M22:P22)</f>
        <v>161</v>
      </c>
      <c r="R22" s="22">
        <v>40</v>
      </c>
      <c r="S22" s="22">
        <v>42</v>
      </c>
      <c r="T22" s="22">
        <v>48</v>
      </c>
      <c r="U22" s="22">
        <v>61.8</v>
      </c>
      <c r="V22" s="51">
        <f>SUM(R22:U22)</f>
        <v>191.8</v>
      </c>
      <c r="W22" s="22">
        <v>46.7</v>
      </c>
      <c r="X22" s="22"/>
      <c r="Y22" s="22"/>
      <c r="Z22" s="22"/>
      <c r="AA22" s="51">
        <f>SUM(W22:Z22)</f>
        <v>46.7</v>
      </c>
    </row>
    <row r="23" spans="2:27" x14ac:dyDescent="0.25">
      <c r="B23" s="17" t="s">
        <v>92</v>
      </c>
      <c r="C23" s="1"/>
      <c r="D23" s="1"/>
      <c r="E23" s="1"/>
      <c r="F23" s="1"/>
      <c r="G23" s="40"/>
      <c r="H23" s="26"/>
      <c r="I23" s="19"/>
      <c r="J23" s="19">
        <f t="shared" ref="J23" si="13">(J22-E22)/E22</f>
        <v>0.39285714285714285</v>
      </c>
      <c r="K23" s="19">
        <f t="shared" ref="K23" si="14">(K22-F22)/F22</f>
        <v>0.13157894736842105</v>
      </c>
      <c r="L23" s="39"/>
      <c r="M23" s="19">
        <f t="shared" ref="M23" si="15">(M22-H22)/H22</f>
        <v>6.4516129032258063E-2</v>
      </c>
      <c r="N23" s="19">
        <f t="shared" ref="N23" si="16">(N22-I22)/I22</f>
        <v>0.13333333333333333</v>
      </c>
      <c r="O23" s="19">
        <f t="shared" ref="O23" si="17">(O22-J22)/J22</f>
        <v>7.6923076923076927E-2</v>
      </c>
      <c r="P23" s="19">
        <f>(P22-K22)/K22</f>
        <v>0.20930232558139536</v>
      </c>
      <c r="Q23" s="39">
        <f>(Q22-L22)/L22</f>
        <v>0.12587412587412589</v>
      </c>
      <c r="R23" s="19">
        <f>(R22-M22)/M22</f>
        <v>0.21212121212121213</v>
      </c>
      <c r="S23" s="19">
        <f t="shared" ref="S23:U23" si="18">(S22-N22)/N22</f>
        <v>0.23529411764705882</v>
      </c>
      <c r="T23" s="19">
        <f t="shared" si="18"/>
        <v>0.14285714285714285</v>
      </c>
      <c r="U23" s="49">
        <f t="shared" si="18"/>
        <v>0.1884615384615384</v>
      </c>
      <c r="V23" s="39">
        <f>(V22-Q22)/Q22</f>
        <v>0.19130434782608702</v>
      </c>
      <c r="W23" s="19">
        <f>(W22-R22)/R22</f>
        <v>0.16750000000000007</v>
      </c>
      <c r="X23" s="19">
        <f t="shared" ref="X23" si="19">(X22-S22)/S22</f>
        <v>-1</v>
      </c>
      <c r="Y23" s="19">
        <f t="shared" ref="Y23" si="20">(Y22-T22)/T22</f>
        <v>-1</v>
      </c>
      <c r="Z23" s="49">
        <f t="shared" ref="Z23" si="21">(Z22-U22)/U22</f>
        <v>-1</v>
      </c>
      <c r="AA23" s="39">
        <f>(AA22-V22)/V22</f>
        <v>-0.75651720542231493</v>
      </c>
    </row>
    <row r="24" spans="2:27" x14ac:dyDescent="0.25">
      <c r="B24" s="2" t="s">
        <v>38</v>
      </c>
      <c r="E24" s="2">
        <v>-21</v>
      </c>
      <c r="F24" s="2">
        <v>-28</v>
      </c>
      <c r="G24" s="40"/>
      <c r="H24" s="23">
        <v>-24</v>
      </c>
      <c r="I24" s="23">
        <v>-23</v>
      </c>
      <c r="J24" s="23">
        <v>-30</v>
      </c>
      <c r="K24" s="23">
        <v>-36</v>
      </c>
      <c r="L24" s="51">
        <f>SUM(H24:K24)</f>
        <v>-113</v>
      </c>
      <c r="M24" s="23">
        <v>-26</v>
      </c>
      <c r="N24" s="23">
        <v>-28</v>
      </c>
      <c r="O24" s="23">
        <v>-33</v>
      </c>
      <c r="P24" s="23">
        <v>-40</v>
      </c>
      <c r="Q24" s="51">
        <f>SUM(M24:P24)</f>
        <v>-127</v>
      </c>
      <c r="R24" s="23">
        <v>-29</v>
      </c>
      <c r="S24" s="23">
        <v>-30.3</v>
      </c>
      <c r="T24" s="23">
        <v>-34.200000000000003</v>
      </c>
      <c r="U24" s="23">
        <v>-43.7</v>
      </c>
      <c r="V24" s="51">
        <f>SUM(R24:U24)</f>
        <v>-137.19999999999999</v>
      </c>
      <c r="W24" s="23">
        <v>-34.200000000000003</v>
      </c>
      <c r="X24" s="23"/>
      <c r="Y24" s="23"/>
      <c r="Z24" s="23"/>
      <c r="AA24" s="51">
        <f>SUM(W24:Z24)</f>
        <v>-34.200000000000003</v>
      </c>
    </row>
    <row r="25" spans="2:27" x14ac:dyDescent="0.25">
      <c r="B25" s="2" t="s">
        <v>84</v>
      </c>
      <c r="E25" s="2">
        <v>7</v>
      </c>
      <c r="F25" s="2">
        <v>10</v>
      </c>
      <c r="G25" s="40"/>
      <c r="H25" s="23">
        <v>7</v>
      </c>
      <c r="I25" s="23">
        <v>6</v>
      </c>
      <c r="J25" s="23">
        <v>8</v>
      </c>
      <c r="K25" s="23">
        <v>7</v>
      </c>
      <c r="L25" s="51">
        <f>SUM(H25:K25)</f>
        <v>28</v>
      </c>
      <c r="M25" s="23">
        <v>7</v>
      </c>
      <c r="N25" s="23">
        <v>6</v>
      </c>
      <c r="O25" s="23">
        <v>9</v>
      </c>
      <c r="P25" s="23">
        <f>SUM(P22:P24)</f>
        <v>12.209302325581397</v>
      </c>
      <c r="Q25" s="51">
        <f>SUM(M25:P25)</f>
        <v>34.209302325581397</v>
      </c>
      <c r="R25" s="23">
        <v>11</v>
      </c>
      <c r="S25" s="23">
        <v>11.7</v>
      </c>
      <c r="T25" s="23">
        <v>14</v>
      </c>
      <c r="U25" s="23">
        <v>18.100000000000001</v>
      </c>
      <c r="V25" s="51">
        <f>SUM(R25:U25)</f>
        <v>54.800000000000004</v>
      </c>
      <c r="W25" s="23">
        <v>12.5</v>
      </c>
      <c r="X25" s="23"/>
      <c r="Y25" s="23"/>
      <c r="Z25" s="23"/>
      <c r="AA25" s="51">
        <f>SUM(W25:Z25)</f>
        <v>12.5</v>
      </c>
    </row>
    <row r="26" spans="2:27" x14ac:dyDescent="0.25">
      <c r="B26" s="17" t="s">
        <v>85</v>
      </c>
      <c r="C26" s="19"/>
      <c r="D26" s="19"/>
      <c r="E26" s="19">
        <v>0.245</v>
      </c>
      <c r="F26" s="19">
        <v>0.26</v>
      </c>
      <c r="G26" s="41"/>
      <c r="H26" s="19">
        <v>0.23</v>
      </c>
      <c r="I26" s="19">
        <v>0.218</v>
      </c>
      <c r="J26" s="19">
        <v>0.21099999999999999</v>
      </c>
      <c r="K26" s="19">
        <v>0.161</v>
      </c>
      <c r="L26" s="39">
        <f>L25/L22</f>
        <v>0.19580419580419581</v>
      </c>
      <c r="M26" s="19">
        <v>0.216</v>
      </c>
      <c r="N26" s="19">
        <v>0.185</v>
      </c>
      <c r="O26" s="19">
        <v>0.20899999999999999</v>
      </c>
      <c r="P26" s="19">
        <v>0.224</v>
      </c>
      <c r="Q26" s="39">
        <f>Q25/Q22</f>
        <v>0.21248013866820745</v>
      </c>
      <c r="R26" s="19">
        <v>0.26900000000000002</v>
      </c>
      <c r="S26" s="19">
        <v>0.27900000000000003</v>
      </c>
      <c r="T26" s="19">
        <v>0.29099999999999998</v>
      </c>
      <c r="U26" s="49">
        <v>0.29399999999999998</v>
      </c>
      <c r="V26" s="39">
        <f>V25/V22</f>
        <v>0.2857142857142857</v>
      </c>
      <c r="W26" s="19">
        <v>0.26800000000000002</v>
      </c>
      <c r="X26" s="19"/>
      <c r="Y26" s="19"/>
      <c r="Z26" s="49"/>
      <c r="AA26" s="39">
        <f>AA25/AA22</f>
        <v>0.26766595289079226</v>
      </c>
    </row>
    <row r="27" spans="2:27" x14ac:dyDescent="0.25">
      <c r="B27" s="1" t="s">
        <v>140</v>
      </c>
      <c r="G27" s="38"/>
      <c r="L27" s="38"/>
      <c r="M27" s="23">
        <v>-3</v>
      </c>
      <c r="N27" s="23">
        <v>-6</v>
      </c>
      <c r="O27" s="23">
        <v>0</v>
      </c>
      <c r="P27" s="23">
        <v>1</v>
      </c>
      <c r="Q27" s="51">
        <f>SUM(M27:P27)</f>
        <v>-8</v>
      </c>
      <c r="R27" s="23">
        <v>1</v>
      </c>
      <c r="S27" s="23">
        <v>2</v>
      </c>
      <c r="T27" s="23">
        <v>0.8</v>
      </c>
      <c r="U27" s="23">
        <v>3.7</v>
      </c>
      <c r="V27" s="51">
        <v>12.7</v>
      </c>
      <c r="W27" s="23">
        <v>2</v>
      </c>
      <c r="X27" s="23"/>
      <c r="Y27" s="23"/>
      <c r="Z27" s="23"/>
      <c r="AA27" s="51">
        <v>35</v>
      </c>
    </row>
    <row r="28" spans="2:27" x14ac:dyDescent="0.25">
      <c r="B28" s="47" t="s">
        <v>141</v>
      </c>
      <c r="C28" s="47"/>
      <c r="D28" s="47"/>
      <c r="E28" s="47"/>
      <c r="F28" s="47"/>
      <c r="G28" s="50"/>
      <c r="H28" s="47"/>
      <c r="I28" s="47"/>
      <c r="J28" s="47"/>
      <c r="K28" s="47"/>
      <c r="L28" s="50"/>
      <c r="M28" s="47">
        <f t="shared" ref="M28:P28" si="22">M27/M22</f>
        <v>-9.0909090909090912E-2</v>
      </c>
      <c r="N28" s="47">
        <f t="shared" si="22"/>
        <v>-0.17647058823529413</v>
      </c>
      <c r="O28" s="47">
        <f t="shared" si="22"/>
        <v>0</v>
      </c>
      <c r="P28" s="47">
        <f t="shared" si="22"/>
        <v>1.9230769230769232E-2</v>
      </c>
      <c r="Q28" s="50">
        <f>Q27/Q22</f>
        <v>-4.9689440993788817E-2</v>
      </c>
      <c r="R28" s="47">
        <f t="shared" ref="R28:S28" si="23">R27/R22</f>
        <v>2.5000000000000001E-2</v>
      </c>
      <c r="S28" s="47">
        <f t="shared" si="23"/>
        <v>4.7619047619047616E-2</v>
      </c>
      <c r="T28" s="47">
        <f>T27/T22</f>
        <v>1.6666666666666666E-2</v>
      </c>
      <c r="U28" s="47">
        <v>0.06</v>
      </c>
      <c r="V28" s="50">
        <f>V27/V22</f>
        <v>6.6214807090719488E-2</v>
      </c>
      <c r="W28" s="47">
        <f t="shared" ref="W28:X28" si="24">W27/W22</f>
        <v>4.2826552462526764E-2</v>
      </c>
      <c r="X28" s="47" t="e">
        <f t="shared" si="24"/>
        <v>#DIV/0!</v>
      </c>
      <c r="Y28" s="47" t="e">
        <f>Y27/Y22</f>
        <v>#DIV/0!</v>
      </c>
      <c r="Z28" s="47" t="e">
        <f>Z27/Z22</f>
        <v>#DIV/0!</v>
      </c>
      <c r="AA28" s="50"/>
    </row>
    <row r="29" spans="2:27" x14ac:dyDescent="0.25">
      <c r="B29" s="2" t="s">
        <v>86</v>
      </c>
      <c r="E29" s="2">
        <v>-6</v>
      </c>
      <c r="F29" s="2">
        <v>-12</v>
      </c>
      <c r="G29" s="40"/>
      <c r="H29" s="23">
        <v>-8</v>
      </c>
      <c r="I29" s="23">
        <v>-11</v>
      </c>
      <c r="J29" s="23">
        <v>-12</v>
      </c>
      <c r="K29" s="23">
        <v>-15</v>
      </c>
      <c r="L29" s="51">
        <f>SUM(H29:K29)</f>
        <v>-46</v>
      </c>
      <c r="M29" s="23">
        <v>-9</v>
      </c>
      <c r="N29" s="23">
        <v>-9</v>
      </c>
      <c r="O29" s="23">
        <v>-8</v>
      </c>
      <c r="P29" s="23">
        <v>-10</v>
      </c>
      <c r="Q29" s="51">
        <f>SUM(M29:P29)</f>
        <v>-36</v>
      </c>
      <c r="R29" s="23">
        <v>-9</v>
      </c>
      <c r="S29" s="23">
        <v>-9.3000000000000007</v>
      </c>
      <c r="T29" s="23">
        <v>-8</v>
      </c>
      <c r="U29" s="35">
        <v>-12</v>
      </c>
      <c r="V29" s="51">
        <f>SUM(R29:U29)</f>
        <v>-38.299999999999997</v>
      </c>
      <c r="W29" s="23">
        <v>-10.199999999999999</v>
      </c>
      <c r="X29" s="23"/>
      <c r="Y29" s="23"/>
      <c r="Z29" s="35"/>
      <c r="AA29" s="51">
        <f>SUM(W29:Z29)</f>
        <v>-10.199999999999999</v>
      </c>
    </row>
    <row r="30" spans="2:27" x14ac:dyDescent="0.25">
      <c r="B30" s="17" t="s">
        <v>87</v>
      </c>
      <c r="C30" s="19"/>
      <c r="D30" s="19"/>
      <c r="E30" s="19">
        <v>-0.22600000000000001</v>
      </c>
      <c r="F30" s="19">
        <v>-0.314</v>
      </c>
      <c r="G30" s="41"/>
      <c r="H30" s="19">
        <v>-0.27300000000000002</v>
      </c>
      <c r="I30" s="19">
        <v>-0.377</v>
      </c>
      <c r="J30" s="19">
        <v>-0.30199999999999999</v>
      </c>
      <c r="K30" s="19">
        <v>-0.33900000000000002</v>
      </c>
      <c r="L30" s="39">
        <f>L29/L22</f>
        <v>-0.32167832167832167</v>
      </c>
      <c r="M30" s="19">
        <v>-0.28299999999999997</v>
      </c>
      <c r="N30" s="19">
        <v>-0.26300000000000001</v>
      </c>
      <c r="O30" s="19">
        <v>-0.19500000000000001</v>
      </c>
      <c r="P30" s="19">
        <f>P29/P22</f>
        <v>-0.19230769230769232</v>
      </c>
      <c r="Q30" s="39">
        <f>Q29/Q22</f>
        <v>-0.2236024844720497</v>
      </c>
      <c r="R30" s="19">
        <v>-0.23499999999999999</v>
      </c>
      <c r="S30" s="19">
        <v>-0.222</v>
      </c>
      <c r="T30" s="19">
        <v>-0.16700000000000001</v>
      </c>
      <c r="U30" s="49">
        <v>-0.19400000000000001</v>
      </c>
      <c r="V30" s="39">
        <f>V29/V22</f>
        <v>-0.19968717413972886</v>
      </c>
      <c r="W30" s="19">
        <v>-0.219</v>
      </c>
      <c r="X30" s="19"/>
      <c r="Y30" s="19"/>
      <c r="Z30" s="49"/>
      <c r="AA30" s="39">
        <f>AA29/AA22</f>
        <v>-0.21841541755888649</v>
      </c>
    </row>
    <row r="31" spans="2:27" x14ac:dyDescent="0.25">
      <c r="B31" s="1" t="s">
        <v>88</v>
      </c>
      <c r="E31" s="2">
        <v>1</v>
      </c>
      <c r="F31" s="2">
        <v>-4</v>
      </c>
      <c r="G31" s="40"/>
      <c r="H31" s="23">
        <v>-2</v>
      </c>
      <c r="I31" s="23">
        <v>-7</v>
      </c>
      <c r="J31" s="23">
        <v>-7</v>
      </c>
      <c r="K31" s="23">
        <v>-9</v>
      </c>
      <c r="L31" s="51">
        <f>SUM(H31:K31)</f>
        <v>-25</v>
      </c>
      <c r="M31" s="23">
        <v>-7</v>
      </c>
      <c r="N31" s="23">
        <v>-8</v>
      </c>
      <c r="O31" s="23">
        <v>-4</v>
      </c>
      <c r="P31" s="23">
        <v>-3</v>
      </c>
      <c r="Q31" s="51">
        <f>SUM(M31:P31)</f>
        <v>-22</v>
      </c>
      <c r="R31" s="23">
        <v>-3</v>
      </c>
      <c r="S31" s="23">
        <v>-1.9</v>
      </c>
      <c r="T31" s="23">
        <v>1.7</v>
      </c>
      <c r="U31" s="35">
        <v>2.1</v>
      </c>
      <c r="V31" s="51">
        <f>SUM(R31:U31)</f>
        <v>-1.1000000000000001</v>
      </c>
      <c r="W31" s="23">
        <v>-2.2000000000000002</v>
      </c>
      <c r="X31" s="23"/>
      <c r="Y31" s="23"/>
      <c r="Z31" s="35"/>
      <c r="AA31" s="51">
        <f>SUM(W31:Z31)</f>
        <v>-2.2000000000000002</v>
      </c>
    </row>
    <row r="32" spans="2:27" x14ac:dyDescent="0.25">
      <c r="B32" s="17" t="s">
        <v>89</v>
      </c>
      <c r="C32" s="19"/>
      <c r="D32" s="19"/>
      <c r="E32" s="19">
        <v>1.9E-2</v>
      </c>
      <c r="F32" s="19">
        <v>-9.8000000000000004E-2</v>
      </c>
      <c r="G32" s="41"/>
      <c r="H32" s="19">
        <v>-7.0000000000000007E-2</v>
      </c>
      <c r="I32" s="19">
        <v>-0.24099999999999999</v>
      </c>
      <c r="J32" s="19">
        <v>-0.16900000000000001</v>
      </c>
      <c r="K32" s="19">
        <v>-0.218</v>
      </c>
      <c r="L32" s="39">
        <f>L31/L22</f>
        <v>-0.17482517482517482</v>
      </c>
      <c r="M32" s="19">
        <v>-0.219</v>
      </c>
      <c r="N32" s="19">
        <v>-0.222</v>
      </c>
      <c r="O32" s="19">
        <v>-8.5000000000000006E-2</v>
      </c>
      <c r="P32" s="19">
        <f>P31/P22</f>
        <v>-5.7692307692307696E-2</v>
      </c>
      <c r="Q32" s="39">
        <f>Q31/Q22</f>
        <v>-0.13664596273291926</v>
      </c>
      <c r="R32" s="19">
        <v>-7.1999999999999995E-2</v>
      </c>
      <c r="S32" s="19">
        <v>-4.4999999999999998E-2</v>
      </c>
      <c r="T32" s="19">
        <v>3.5000000000000003E-2</v>
      </c>
      <c r="U32" s="49">
        <v>3.3000000000000002E-2</v>
      </c>
      <c r="V32" s="39">
        <f>V31/V22</f>
        <v>-5.7351407716371219E-3</v>
      </c>
      <c r="W32" s="19">
        <v>-4.7E-2</v>
      </c>
      <c r="X32" s="19"/>
      <c r="Y32" s="19"/>
      <c r="Z32" s="49"/>
      <c r="AA32" s="39">
        <f>AA31/AA22</f>
        <v>-4.7109207708779445E-2</v>
      </c>
    </row>
    <row r="33" spans="2:27" x14ac:dyDescent="0.25">
      <c r="B33" s="2" t="s">
        <v>43</v>
      </c>
      <c r="E33" s="2">
        <v>0</v>
      </c>
      <c r="G33" s="40"/>
      <c r="H33" s="23">
        <v>-1</v>
      </c>
      <c r="I33" s="23">
        <v>-1</v>
      </c>
      <c r="J33" s="23">
        <v>0</v>
      </c>
      <c r="K33" s="23">
        <v>-2</v>
      </c>
      <c r="L33" s="51">
        <f>SUM(H33:K33)</f>
        <v>-4</v>
      </c>
      <c r="M33" s="23">
        <v>-1</v>
      </c>
      <c r="N33" s="23">
        <v>-1</v>
      </c>
      <c r="O33" s="23">
        <v>-1</v>
      </c>
      <c r="P33" s="23">
        <v>-1</v>
      </c>
      <c r="Q33" s="51">
        <f>SUM(M33:P33)</f>
        <v>-4</v>
      </c>
      <c r="R33" s="23">
        <v>-1</v>
      </c>
      <c r="S33" s="23">
        <v>-1.2</v>
      </c>
      <c r="T33" s="23">
        <v>-1.2</v>
      </c>
      <c r="U33" s="23">
        <v>-0.1</v>
      </c>
      <c r="V33" s="51">
        <f>SUM(R33:U33)</f>
        <v>-3.5000000000000004</v>
      </c>
      <c r="W33" s="23">
        <v>-1.5</v>
      </c>
      <c r="X33" s="23"/>
      <c r="Y33" s="23"/>
      <c r="Z33" s="23"/>
      <c r="AA33" s="51">
        <f>SUM(W33:Z33)</f>
        <v>-1.5</v>
      </c>
    </row>
    <row r="34" spans="2:27" x14ac:dyDescent="0.25">
      <c r="B34" s="2" t="s">
        <v>44</v>
      </c>
      <c r="E34" s="2">
        <v>1</v>
      </c>
      <c r="G34" s="40"/>
      <c r="H34" s="23">
        <v>-8</v>
      </c>
      <c r="I34" s="23">
        <v>-8</v>
      </c>
      <c r="J34" s="23">
        <v>-6</v>
      </c>
      <c r="K34" s="23">
        <v>-12</v>
      </c>
      <c r="L34" s="51">
        <f>SUM(H34:K34)</f>
        <v>-34</v>
      </c>
      <c r="M34" s="23">
        <v>-8</v>
      </c>
      <c r="N34" s="23">
        <v>-9</v>
      </c>
      <c r="O34" s="23">
        <v>-5</v>
      </c>
      <c r="P34" s="23">
        <v>-4</v>
      </c>
      <c r="Q34" s="51">
        <f>SUM(M34:P34)</f>
        <v>-26</v>
      </c>
      <c r="R34" s="23">
        <v>-4</v>
      </c>
      <c r="S34" s="23">
        <v>-3.1</v>
      </c>
      <c r="T34" s="23">
        <v>0.5</v>
      </c>
      <c r="U34" s="23">
        <v>-0.5</v>
      </c>
      <c r="V34" s="51">
        <f>SUM(R34:U34)</f>
        <v>-7.1</v>
      </c>
      <c r="W34" s="23">
        <v>-3.7</v>
      </c>
      <c r="X34" s="23"/>
      <c r="Y34" s="23"/>
      <c r="Z34" s="23"/>
      <c r="AA34" s="51">
        <f>SUM(W34:Z34)</f>
        <v>-3.7</v>
      </c>
    </row>
    <row r="35" spans="2:27" x14ac:dyDescent="0.25">
      <c r="B35" s="1" t="s">
        <v>90</v>
      </c>
      <c r="C35" s="1"/>
      <c r="D35" s="1"/>
      <c r="E35" s="1">
        <v>1</v>
      </c>
      <c r="F35" s="1"/>
      <c r="G35" s="40"/>
      <c r="H35" s="22">
        <v>-7</v>
      </c>
      <c r="I35" s="22">
        <v>-2</v>
      </c>
      <c r="J35" s="22">
        <v>-6</v>
      </c>
      <c r="K35" s="22">
        <v>-9</v>
      </c>
      <c r="L35" s="51">
        <f>SUM(H35:K35)</f>
        <v>-24</v>
      </c>
      <c r="M35" s="22">
        <v>-7</v>
      </c>
      <c r="N35" s="22">
        <v>-6</v>
      </c>
      <c r="O35" s="22">
        <v>-4</v>
      </c>
      <c r="P35" s="22">
        <v>-3</v>
      </c>
      <c r="Q35" s="51">
        <f>SUM(M35:P35)</f>
        <v>-20</v>
      </c>
      <c r="R35" s="22">
        <v>-3</v>
      </c>
      <c r="S35" s="22">
        <v>-2.4</v>
      </c>
      <c r="T35" s="22">
        <v>0.4</v>
      </c>
      <c r="U35" s="22">
        <v>1.1000000000000001</v>
      </c>
      <c r="V35" s="51">
        <f>SUM(R35:U35)</f>
        <v>-3.9</v>
      </c>
      <c r="W35" s="22">
        <v>-2.9</v>
      </c>
      <c r="X35" s="22"/>
      <c r="Y35" s="22"/>
      <c r="Z35" s="22"/>
      <c r="AA35" s="51">
        <f>SUM(W35:Z35)</f>
        <v>-2.9</v>
      </c>
    </row>
    <row r="36" spans="2:27" x14ac:dyDescent="0.25">
      <c r="B36" s="20" t="s">
        <v>139</v>
      </c>
      <c r="C36" s="20">
        <v>0</v>
      </c>
      <c r="D36" s="20">
        <v>0</v>
      </c>
      <c r="E36" s="20">
        <v>0</v>
      </c>
      <c r="F36" s="20">
        <v>0</v>
      </c>
      <c r="G36" s="42"/>
      <c r="H36" s="64">
        <v>0</v>
      </c>
      <c r="I36" s="64">
        <v>1</v>
      </c>
      <c r="J36" s="64">
        <v>1</v>
      </c>
      <c r="K36" s="64">
        <v>1</v>
      </c>
      <c r="L36" s="65">
        <v>1</v>
      </c>
      <c r="M36" s="64">
        <v>1</v>
      </c>
      <c r="N36" s="64">
        <v>1</v>
      </c>
      <c r="O36" s="64">
        <v>1</v>
      </c>
      <c r="P36" s="64">
        <v>1</v>
      </c>
      <c r="Q36" s="65">
        <v>1</v>
      </c>
      <c r="R36" s="64">
        <v>1</v>
      </c>
      <c r="S36" s="64">
        <v>1</v>
      </c>
      <c r="T36" s="64">
        <v>1</v>
      </c>
      <c r="U36" s="64">
        <v>1</v>
      </c>
      <c r="V36" s="65">
        <v>1</v>
      </c>
      <c r="W36" s="64">
        <v>1</v>
      </c>
      <c r="X36" s="64">
        <v>2</v>
      </c>
      <c r="Y36" s="64"/>
      <c r="Z36" s="64"/>
      <c r="AA36" s="65">
        <f>SUM(W36:Z36)</f>
        <v>3</v>
      </c>
    </row>
  </sheetData>
  <pageMargins left="0.7" right="0.7" top="0.75" bottom="0.75" header="0.3" footer="0.3"/>
  <ignoredErrors>
    <ignoredError sqref="Q10 Q7 Q12 Q16 Q14 V7 V10 V14 V12 V16 V26 Q26 Q30 Q28 Q32 V28 V30 V32 V23" formula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271A-2561-B246-9A88-606DF6790339}">
  <dimension ref="B6:Q40"/>
  <sheetViews>
    <sheetView showGridLines="0" workbookViewId="0">
      <selection activeCell="J9" sqref="J9"/>
    </sheetView>
  </sheetViews>
  <sheetFormatPr baseColWidth="10" defaultRowHeight="21" x14ac:dyDescent="0.25"/>
  <cols>
    <col min="1" max="1" width="10.83203125" style="53"/>
    <col min="2" max="2" width="20.1640625" style="53" customWidth="1"/>
    <col min="3" max="3" width="13.83203125" style="53" bestFit="1" customWidth="1"/>
    <col min="4" max="4" width="16.6640625" style="53" bestFit="1" customWidth="1"/>
    <col min="5" max="6" width="10.83203125" style="53"/>
    <col min="7" max="7" width="12.1640625" style="53" customWidth="1"/>
    <col min="8" max="16384" width="10.83203125" style="53"/>
  </cols>
  <sheetData>
    <row r="6" spans="2:7" x14ac:dyDescent="0.25">
      <c r="B6" s="52" t="s">
        <v>151</v>
      </c>
    </row>
    <row r="8" spans="2:7" x14ac:dyDescent="0.25">
      <c r="B8" s="53" t="s">
        <v>82</v>
      </c>
    </row>
    <row r="9" spans="2:7" x14ac:dyDescent="0.25">
      <c r="B9" s="54"/>
      <c r="C9" s="54" t="s">
        <v>152</v>
      </c>
      <c r="D9" s="54" t="s">
        <v>148</v>
      </c>
      <c r="E9" s="54"/>
      <c r="F9" s="54" t="s">
        <v>149</v>
      </c>
      <c r="G9" s="54" t="s">
        <v>150</v>
      </c>
    </row>
    <row r="10" spans="2:7" x14ac:dyDescent="0.25">
      <c r="B10" s="54" t="s">
        <v>83</v>
      </c>
      <c r="C10" s="54">
        <v>210</v>
      </c>
      <c r="D10" s="54">
        <v>6.5</v>
      </c>
      <c r="E10" s="54"/>
      <c r="F10" s="67">
        <f>C10*D10</f>
        <v>1365</v>
      </c>
      <c r="G10" s="60">
        <f>F10/Modell!$B$5</f>
        <v>26.879497146637995</v>
      </c>
    </row>
    <row r="11" spans="2:7" x14ac:dyDescent="0.25">
      <c r="B11" s="54" t="s">
        <v>91</v>
      </c>
      <c r="C11" s="54">
        <v>35</v>
      </c>
      <c r="D11" s="54">
        <v>5</v>
      </c>
      <c r="E11" s="54"/>
      <c r="F11" s="67">
        <f>C11*D11</f>
        <v>175</v>
      </c>
      <c r="G11" s="60">
        <f>F11/Modell!$B$5</f>
        <v>3.446089377774102</v>
      </c>
    </row>
    <row r="12" spans="2:7" x14ac:dyDescent="0.25">
      <c r="B12" s="62" t="s">
        <v>154</v>
      </c>
      <c r="C12" s="62"/>
      <c r="D12" s="62"/>
      <c r="E12" s="62"/>
      <c r="F12" s="62"/>
      <c r="G12" s="60">
        <f>SUM(G10:G11)</f>
        <v>30.325586524412095</v>
      </c>
    </row>
    <row r="13" spans="2:7" x14ac:dyDescent="0.25">
      <c r="B13" s="63"/>
      <c r="C13" s="63"/>
      <c r="D13" s="63"/>
      <c r="E13" s="63"/>
      <c r="F13" s="63"/>
      <c r="G13" s="63"/>
    </row>
    <row r="14" spans="2:7" x14ac:dyDescent="0.25">
      <c r="B14" s="54" t="s">
        <v>155</v>
      </c>
      <c r="C14" s="54"/>
      <c r="D14" s="54"/>
      <c r="E14" s="54"/>
      <c r="F14" s="61">
        <f>Modell!B8</f>
        <v>631.20000000000005</v>
      </c>
      <c r="G14" s="60">
        <f>-F14/Modell!$B$5</f>
        <v>-12.429552087148647</v>
      </c>
    </row>
    <row r="15" spans="2:7" x14ac:dyDescent="0.25">
      <c r="B15" s="54" t="s">
        <v>156</v>
      </c>
      <c r="C15" s="54"/>
      <c r="D15" s="54"/>
      <c r="E15" s="54"/>
      <c r="F15" s="61">
        <f>Modell!B7</f>
        <v>136.6</v>
      </c>
      <c r="G15" s="60">
        <f>F15/Modell!$B$5</f>
        <v>2.6899189085939557</v>
      </c>
    </row>
    <row r="16" spans="2:7" x14ac:dyDescent="0.25">
      <c r="B16" s="62" t="s">
        <v>153</v>
      </c>
      <c r="C16" s="54"/>
      <c r="D16" s="54"/>
      <c r="E16" s="54"/>
      <c r="F16" s="54"/>
      <c r="G16" s="60">
        <f>SUM(G12:G15)</f>
        <v>20.585953345857405</v>
      </c>
    </row>
    <row r="30" spans="9:17" x14ac:dyDescent="0.25">
      <c r="I30" s="52"/>
    </row>
    <row r="31" spans="9:17" x14ac:dyDescent="0.25">
      <c r="I31" s="52"/>
    </row>
    <row r="32" spans="9:17" x14ac:dyDescent="0.25">
      <c r="I32" s="52"/>
      <c r="J32" s="52"/>
      <c r="K32" s="52"/>
      <c r="L32" s="52"/>
      <c r="M32" s="52"/>
      <c r="N32" s="52"/>
      <c r="O32" s="52"/>
      <c r="P32" s="52"/>
      <c r="Q32" s="52"/>
    </row>
    <row r="34" spans="9:17" x14ac:dyDescent="0.25">
      <c r="J34" s="55"/>
      <c r="K34" s="55"/>
      <c r="L34" s="55"/>
      <c r="M34" s="55"/>
      <c r="P34" s="55"/>
      <c r="Q34" s="56"/>
    </row>
    <row r="35" spans="9:17" x14ac:dyDescent="0.25">
      <c r="J35" s="55"/>
      <c r="M35" s="55"/>
      <c r="P35" s="55"/>
      <c r="Q35" s="56"/>
    </row>
    <row r="36" spans="9:17" x14ac:dyDescent="0.25">
      <c r="J36" s="55"/>
      <c r="K36" s="55"/>
      <c r="L36" s="55"/>
      <c r="M36" s="55"/>
      <c r="P36" s="55"/>
      <c r="Q36" s="56"/>
    </row>
    <row r="38" spans="9:17" x14ac:dyDescent="0.25">
      <c r="J38" s="57"/>
      <c r="Q38" s="56"/>
    </row>
    <row r="39" spans="9:17" x14ac:dyDescent="0.25">
      <c r="Q39" s="56"/>
    </row>
    <row r="40" spans="9:17" x14ac:dyDescent="0.25">
      <c r="I40" s="52"/>
      <c r="J40" s="58"/>
      <c r="K40" s="59"/>
      <c r="L40" s="58"/>
      <c r="M40" s="58"/>
      <c r="N40" s="59"/>
      <c r="O40" s="58"/>
      <c r="P40" s="58"/>
      <c r="Q40" s="5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E7:H10"/>
  <sheetViews>
    <sheetView showGridLines="0" topLeftCell="D1" workbookViewId="0">
      <selection activeCell="E27" sqref="E27"/>
    </sheetView>
  </sheetViews>
  <sheetFormatPr baseColWidth="10" defaultRowHeight="16" x14ac:dyDescent="0.2"/>
  <cols>
    <col min="5" max="5" width="58.1640625" customWidth="1"/>
    <col min="6" max="8" width="28.33203125" bestFit="1" customWidth="1"/>
    <col min="9" max="9" width="27.83203125" bestFit="1" customWidth="1"/>
  </cols>
  <sheetData>
    <row r="7" spans="5:8" ht="92" x14ac:dyDescent="1">
      <c r="E7" s="24"/>
      <c r="F7" s="24">
        <v>2026</v>
      </c>
      <c r="G7" s="24">
        <v>2027</v>
      </c>
      <c r="H7" s="24">
        <v>2028</v>
      </c>
    </row>
    <row r="8" spans="5:8" ht="92" x14ac:dyDescent="1">
      <c r="E8" s="24" t="s">
        <v>159</v>
      </c>
      <c r="F8" s="25">
        <f>Modell!$B$9/Modell!AK26</f>
        <v>5.1822715303718914</v>
      </c>
      <c r="G8" s="25">
        <f>Modell!$B$9/Modell!AL26</f>
        <v>4.6567740624395331</v>
      </c>
      <c r="H8" s="25">
        <f>Modell!$B$9/Modell!AM26</f>
        <v>4.3521252919995659</v>
      </c>
    </row>
    <row r="9" spans="5:8" ht="92" x14ac:dyDescent="1">
      <c r="E9" s="24" t="s">
        <v>80</v>
      </c>
      <c r="F9" s="25">
        <f>Modell!$B$9/Modell!AK11</f>
        <v>10.4725804975951</v>
      </c>
      <c r="G9" s="25">
        <f>Modell!$B$9/Modell!AL11</f>
        <v>9.0547445849541326</v>
      </c>
      <c r="H9" s="25">
        <f>Modell!$B$9/Modell!AM11</f>
        <v>8.4623781167795737</v>
      </c>
    </row>
    <row r="10" spans="5:8" ht="92" x14ac:dyDescent="1">
      <c r="E10" s="24" t="s">
        <v>81</v>
      </c>
      <c r="F10" s="25">
        <f>Modell!$B$4/Modell!AK17</f>
        <v>10.86901966670157</v>
      </c>
      <c r="G10" s="25">
        <f>Modell!$B$4/Modell!AL17</f>
        <v>8.9936558449843034</v>
      </c>
      <c r="H10" s="25">
        <f>Modell!$B$4/Modell!AM17</f>
        <v>8.2570333572693766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E610-3F34-C949-8567-F58DE99BBDC9}">
  <dimension ref="A3:DO46"/>
  <sheetViews>
    <sheetView showGridLines="0" workbookViewId="0">
      <pane xSplit="3" ySplit="3" topLeftCell="I4" activePane="bottomRight" state="frozen"/>
      <selection pane="topRight" activeCell="D1" sqref="D1"/>
      <selection pane="bottomLeft" activeCell="A4" sqref="A4"/>
      <selection pane="bottomRight" activeCell="S12" sqref="S12"/>
    </sheetView>
  </sheetViews>
  <sheetFormatPr baseColWidth="10" defaultRowHeight="19" x14ac:dyDescent="0.25"/>
  <cols>
    <col min="1" max="1" width="10.83203125" style="2"/>
    <col min="2" max="2" width="17.6640625" style="4" customWidth="1"/>
    <col min="3" max="3" width="31.5" style="2" customWidth="1"/>
    <col min="4" max="25" width="10.83203125" style="2"/>
    <col min="26" max="26" width="14.83203125" style="2" bestFit="1" customWidth="1"/>
    <col min="27" max="27" width="12.1640625" style="2" bestFit="1" customWidth="1"/>
    <col min="28" max="16384" width="10.83203125" style="2"/>
  </cols>
  <sheetData>
    <row r="3" spans="1:119" x14ac:dyDescent="0.25">
      <c r="A3" s="1" t="s">
        <v>133</v>
      </c>
      <c r="D3" s="7" t="s">
        <v>131</v>
      </c>
      <c r="E3" s="7" t="s">
        <v>132</v>
      </c>
      <c r="F3" s="7" t="s">
        <v>128</v>
      </c>
      <c r="G3" s="7" t="s">
        <v>129</v>
      </c>
      <c r="H3" s="7" t="s">
        <v>130</v>
      </c>
      <c r="I3" s="7" t="s">
        <v>123</v>
      </c>
      <c r="J3" s="7" t="s">
        <v>122</v>
      </c>
      <c r="K3" s="7" t="s">
        <v>20</v>
      </c>
      <c r="L3" s="7" t="s">
        <v>21</v>
      </c>
      <c r="M3" s="7" t="s">
        <v>22</v>
      </c>
      <c r="N3" s="8" t="s">
        <v>23</v>
      </c>
      <c r="O3" s="7" t="s">
        <v>24</v>
      </c>
      <c r="P3" s="7" t="s">
        <v>25</v>
      </c>
      <c r="Q3" s="7" t="s">
        <v>26</v>
      </c>
      <c r="R3" s="7" t="s">
        <v>27</v>
      </c>
      <c r="S3" s="7" t="s">
        <v>28</v>
      </c>
      <c r="T3" s="7" t="s">
        <v>29</v>
      </c>
      <c r="U3" s="7" t="s">
        <v>30</v>
      </c>
      <c r="V3" s="7" t="s">
        <v>31</v>
      </c>
      <c r="W3" s="7" t="s">
        <v>32</v>
      </c>
      <c r="X3" s="7" t="s">
        <v>33</v>
      </c>
    </row>
    <row r="4" spans="1:119" x14ac:dyDescent="0.25">
      <c r="A4" s="1" t="s">
        <v>138</v>
      </c>
      <c r="C4" s="1" t="s">
        <v>37</v>
      </c>
      <c r="D4" s="22">
        <v>277.82900000000001</v>
      </c>
      <c r="E4" s="22">
        <v>417.45100000000002</v>
      </c>
      <c r="F4" s="22">
        <v>593.77549399999998</v>
      </c>
      <c r="G4" s="22">
        <v>786.56741899999997</v>
      </c>
      <c r="H4" s="22">
        <v>964.15984700000001</v>
      </c>
      <c r="I4" s="22">
        <v>1315.894</v>
      </c>
      <c r="J4" s="22">
        <v>1485.33</v>
      </c>
      <c r="K4" s="22">
        <v>1625</v>
      </c>
      <c r="L4" s="22">
        <v>1605</v>
      </c>
      <c r="M4" s="22">
        <v>1626</v>
      </c>
      <c r="N4" s="34">
        <f>M4*1.08</f>
        <v>1756.0800000000002</v>
      </c>
      <c r="O4" s="22">
        <f>N4*1</f>
        <v>1756.0800000000002</v>
      </c>
      <c r="P4" s="22">
        <f t="shared" ref="P4:X4" si="0">O4*1</f>
        <v>1756.0800000000002</v>
      </c>
      <c r="Q4" s="22">
        <f t="shared" si="0"/>
        <v>1756.0800000000002</v>
      </c>
      <c r="R4" s="22">
        <f t="shared" si="0"/>
        <v>1756.0800000000002</v>
      </c>
      <c r="S4" s="22">
        <f t="shared" si="0"/>
        <v>1756.0800000000002</v>
      </c>
      <c r="T4" s="22">
        <f t="shared" si="0"/>
        <v>1756.0800000000002</v>
      </c>
      <c r="U4" s="22">
        <f t="shared" si="0"/>
        <v>1756.0800000000002</v>
      </c>
      <c r="V4" s="22">
        <f t="shared" si="0"/>
        <v>1756.0800000000002</v>
      </c>
      <c r="W4" s="22">
        <f t="shared" si="0"/>
        <v>1756.0800000000002</v>
      </c>
      <c r="X4" s="22">
        <f t="shared" si="0"/>
        <v>1756.0800000000002</v>
      </c>
    </row>
    <row r="5" spans="1:119" x14ac:dyDescent="0.25">
      <c r="A5" s="30">
        <f>AA22</f>
        <v>7.0522333475713062</v>
      </c>
      <c r="C5" s="2" t="s">
        <v>38</v>
      </c>
      <c r="D5" s="23">
        <v>-153.393</v>
      </c>
      <c r="E5" s="23">
        <v>-231.15700000000001</v>
      </c>
      <c r="F5" s="23">
        <v>-336.04035399999998</v>
      </c>
      <c r="G5" s="23">
        <v>-464.256078</v>
      </c>
      <c r="H5" s="23">
        <v>-589.66905999999994</v>
      </c>
      <c r="I5" s="23">
        <v>-798.38900000000001</v>
      </c>
      <c r="J5" s="23">
        <v>-912.30499999999995</v>
      </c>
      <c r="K5" s="23">
        <v>-1018</v>
      </c>
      <c r="L5" s="23">
        <v>-1050</v>
      </c>
      <c r="M5" s="23">
        <v>-1074</v>
      </c>
      <c r="N5" s="35">
        <f>N4*-0.65</f>
        <v>-1141.4520000000002</v>
      </c>
      <c r="O5" s="23">
        <f t="shared" ref="O5:X5" si="1">O4*-0.65</f>
        <v>-1141.4520000000002</v>
      </c>
      <c r="P5" s="23">
        <f t="shared" si="1"/>
        <v>-1141.4520000000002</v>
      </c>
      <c r="Q5" s="23">
        <f t="shared" si="1"/>
        <v>-1141.4520000000002</v>
      </c>
      <c r="R5" s="23">
        <f t="shared" si="1"/>
        <v>-1141.4520000000002</v>
      </c>
      <c r="S5" s="23">
        <f t="shared" si="1"/>
        <v>-1141.4520000000002</v>
      </c>
      <c r="T5" s="23">
        <f t="shared" si="1"/>
        <v>-1141.4520000000002</v>
      </c>
      <c r="U5" s="23">
        <f t="shared" si="1"/>
        <v>-1141.4520000000002</v>
      </c>
      <c r="V5" s="23">
        <f t="shared" si="1"/>
        <v>-1141.4520000000002</v>
      </c>
      <c r="W5" s="23">
        <f t="shared" si="1"/>
        <v>-1141.4520000000002</v>
      </c>
      <c r="X5" s="23">
        <f t="shared" si="1"/>
        <v>-1141.4520000000002</v>
      </c>
    </row>
    <row r="6" spans="1:119" x14ac:dyDescent="0.25">
      <c r="A6" s="15">
        <f>AA23</f>
        <v>-0.53296467896878763</v>
      </c>
      <c r="C6" s="2" t="s">
        <v>134</v>
      </c>
      <c r="D6" s="23">
        <f t="shared" ref="D6:M6" si="2">SUM(D4:D5)</f>
        <v>124.43600000000001</v>
      </c>
      <c r="E6" s="23">
        <f t="shared" si="2"/>
        <v>186.29400000000001</v>
      </c>
      <c r="F6" s="23">
        <f t="shared" si="2"/>
        <v>257.73514</v>
      </c>
      <c r="G6" s="23">
        <f t="shared" si="2"/>
        <v>322.31134099999997</v>
      </c>
      <c r="H6" s="23">
        <f t="shared" si="2"/>
        <v>374.49078700000007</v>
      </c>
      <c r="I6" s="23">
        <f t="shared" si="2"/>
        <v>517.505</v>
      </c>
      <c r="J6" s="23">
        <f t="shared" si="2"/>
        <v>573.02499999999998</v>
      </c>
      <c r="K6" s="23">
        <f t="shared" si="2"/>
        <v>607</v>
      </c>
      <c r="L6" s="23">
        <f t="shared" si="2"/>
        <v>555</v>
      </c>
      <c r="M6" s="23">
        <f t="shared" si="2"/>
        <v>552</v>
      </c>
      <c r="N6" s="35">
        <f>SUM(N4:N5)</f>
        <v>614.62799999999993</v>
      </c>
      <c r="O6" s="23">
        <f t="shared" ref="O6:X6" si="3">SUM(O4:O5)</f>
        <v>614.62799999999993</v>
      </c>
      <c r="P6" s="23">
        <f t="shared" si="3"/>
        <v>614.62799999999993</v>
      </c>
      <c r="Q6" s="23">
        <f t="shared" si="3"/>
        <v>614.62799999999993</v>
      </c>
      <c r="R6" s="23">
        <f t="shared" si="3"/>
        <v>614.62799999999993</v>
      </c>
      <c r="S6" s="23">
        <f t="shared" si="3"/>
        <v>614.62799999999993</v>
      </c>
      <c r="T6" s="23">
        <f t="shared" si="3"/>
        <v>614.62799999999993</v>
      </c>
      <c r="U6" s="23">
        <f t="shared" si="3"/>
        <v>614.62799999999993</v>
      </c>
      <c r="V6" s="23">
        <f t="shared" si="3"/>
        <v>614.62799999999993</v>
      </c>
      <c r="W6" s="23">
        <f t="shared" si="3"/>
        <v>614.62799999999993</v>
      </c>
      <c r="X6" s="23">
        <f t="shared" si="3"/>
        <v>614.62799999999993</v>
      </c>
    </row>
    <row r="7" spans="1:119" x14ac:dyDescent="0.25">
      <c r="C7" s="2" t="s">
        <v>39</v>
      </c>
      <c r="D7" s="23">
        <v>-50.323999999999998</v>
      </c>
      <c r="E7" s="23">
        <v>-80.599999999999994</v>
      </c>
      <c r="F7" s="23">
        <v>-117.86964</v>
      </c>
      <c r="G7" s="23">
        <v>-144.492603</v>
      </c>
      <c r="H7" s="23">
        <v>-176.14433700000001</v>
      </c>
      <c r="I7" s="23">
        <v>-219.29400000000001</v>
      </c>
      <c r="J7" s="23">
        <v>-243.321</v>
      </c>
      <c r="K7" s="23">
        <v>-255</v>
      </c>
      <c r="L7" s="23">
        <v>-272</v>
      </c>
      <c r="M7" s="23">
        <v>-266</v>
      </c>
      <c r="N7" s="35">
        <f>M7*1.06</f>
        <v>-281.96000000000004</v>
      </c>
      <c r="O7" s="23">
        <f>N7*1</f>
        <v>-281.96000000000004</v>
      </c>
      <c r="P7" s="23">
        <f t="shared" ref="P7:X7" si="4">O7*1</f>
        <v>-281.96000000000004</v>
      </c>
      <c r="Q7" s="23">
        <f t="shared" si="4"/>
        <v>-281.96000000000004</v>
      </c>
      <c r="R7" s="23">
        <f t="shared" si="4"/>
        <v>-281.96000000000004</v>
      </c>
      <c r="S7" s="23">
        <f t="shared" si="4"/>
        <v>-281.96000000000004</v>
      </c>
      <c r="T7" s="23">
        <f t="shared" si="4"/>
        <v>-281.96000000000004</v>
      </c>
      <c r="U7" s="23">
        <f t="shared" si="4"/>
        <v>-281.96000000000004</v>
      </c>
      <c r="V7" s="23">
        <f t="shared" si="4"/>
        <v>-281.96000000000004</v>
      </c>
      <c r="W7" s="23">
        <f t="shared" si="4"/>
        <v>-281.96000000000004</v>
      </c>
      <c r="X7" s="23">
        <f t="shared" si="4"/>
        <v>-281.96000000000004</v>
      </c>
    </row>
    <row r="8" spans="1:119" x14ac:dyDescent="0.25">
      <c r="C8" s="2" t="s">
        <v>40</v>
      </c>
      <c r="D8" s="23">
        <v>-13.54</v>
      </c>
      <c r="E8" s="23">
        <f>-16.943</f>
        <v>-16.943000000000001</v>
      </c>
      <c r="F8" s="23">
        <f>-21.263035-3.145</f>
        <v>-24.408034999999998</v>
      </c>
      <c r="G8" s="23">
        <f>-27.230979-2.46</f>
        <v>-29.690979000000002</v>
      </c>
      <c r="H8" s="23">
        <f>-28.105644-0.736</f>
        <v>-28.841644000000002</v>
      </c>
      <c r="I8" s="23">
        <v>-70.739999999999995</v>
      </c>
      <c r="J8" s="23">
        <v>-77.325000000000003</v>
      </c>
      <c r="K8" s="23">
        <v>-92</v>
      </c>
      <c r="L8" s="23">
        <v>-96</v>
      </c>
      <c r="M8" s="23">
        <v>-111</v>
      </c>
      <c r="N8" s="35">
        <f t="shared" ref="N8:N9" si="5">M8*1.06</f>
        <v>-117.66000000000001</v>
      </c>
      <c r="O8" s="23">
        <f t="shared" ref="O8:X9" si="6">N8*1</f>
        <v>-117.66000000000001</v>
      </c>
      <c r="P8" s="23">
        <f t="shared" si="6"/>
        <v>-117.66000000000001</v>
      </c>
      <c r="Q8" s="23">
        <f t="shared" si="6"/>
        <v>-117.66000000000001</v>
      </c>
      <c r="R8" s="23">
        <f t="shared" si="6"/>
        <v>-117.66000000000001</v>
      </c>
      <c r="S8" s="23">
        <f t="shared" si="6"/>
        <v>-117.66000000000001</v>
      </c>
      <c r="T8" s="23">
        <f t="shared" si="6"/>
        <v>-117.66000000000001</v>
      </c>
      <c r="U8" s="23">
        <f t="shared" si="6"/>
        <v>-117.66000000000001</v>
      </c>
      <c r="V8" s="23">
        <f t="shared" si="6"/>
        <v>-117.66000000000001</v>
      </c>
      <c r="W8" s="23">
        <f t="shared" si="6"/>
        <v>-117.66000000000001</v>
      </c>
      <c r="X8" s="23">
        <f t="shared" si="6"/>
        <v>-117.66000000000001</v>
      </c>
    </row>
    <row r="9" spans="1:119" x14ac:dyDescent="0.25">
      <c r="C9" s="2" t="s">
        <v>41</v>
      </c>
      <c r="D9" s="23">
        <v>-38.485999999999997</v>
      </c>
      <c r="E9" s="23">
        <v>-56.4</v>
      </c>
      <c r="F9" s="23">
        <v>-75.756888000000004</v>
      </c>
      <c r="G9" s="23">
        <v>-106.93600000000001</v>
      </c>
      <c r="H9" s="23">
        <v>-121.107907</v>
      </c>
      <c r="I9" s="23">
        <v>-94.081000000000003</v>
      </c>
      <c r="J9" s="23">
        <v>-107.446</v>
      </c>
      <c r="K9" s="23">
        <v>-146</v>
      </c>
      <c r="L9" s="23">
        <v>-145</v>
      </c>
      <c r="M9" s="23">
        <v>-138</v>
      </c>
      <c r="N9" s="35">
        <f t="shared" si="5"/>
        <v>-146.28</v>
      </c>
      <c r="O9" s="23">
        <f t="shared" si="6"/>
        <v>-146.28</v>
      </c>
      <c r="P9" s="23">
        <f t="shared" si="6"/>
        <v>-146.28</v>
      </c>
      <c r="Q9" s="23">
        <f t="shared" si="6"/>
        <v>-146.28</v>
      </c>
      <c r="R9" s="23">
        <f t="shared" si="6"/>
        <v>-146.28</v>
      </c>
      <c r="S9" s="23">
        <f t="shared" si="6"/>
        <v>-146.28</v>
      </c>
      <c r="T9" s="23">
        <f t="shared" si="6"/>
        <v>-146.28</v>
      </c>
      <c r="U9" s="23">
        <f t="shared" si="6"/>
        <v>-146.28</v>
      </c>
      <c r="V9" s="23">
        <f t="shared" si="6"/>
        <v>-146.28</v>
      </c>
      <c r="W9" s="23">
        <f t="shared" si="6"/>
        <v>-146.28</v>
      </c>
      <c r="X9" s="23">
        <f t="shared" si="6"/>
        <v>-146.28</v>
      </c>
    </row>
    <row r="10" spans="1:119" x14ac:dyDescent="0.25">
      <c r="C10" s="2" t="s">
        <v>125</v>
      </c>
      <c r="D10" s="23">
        <f>D5+D7+D8+D9</f>
        <v>-255.74299999999997</v>
      </c>
      <c r="E10" s="23">
        <f t="shared" ref="E10:X10" si="7">E5+E7+E8+E9</f>
        <v>-385.09999999999997</v>
      </c>
      <c r="F10" s="23">
        <f t="shared" si="7"/>
        <v>-554.07491699999991</v>
      </c>
      <c r="G10" s="23">
        <f t="shared" si="7"/>
        <v>-745.37566000000004</v>
      </c>
      <c r="H10" s="23">
        <f t="shared" si="7"/>
        <v>-915.76294799999982</v>
      </c>
      <c r="I10" s="23">
        <f t="shared" si="7"/>
        <v>-1182.5039999999999</v>
      </c>
      <c r="J10" s="23">
        <f t="shared" si="7"/>
        <v>-1340.3969999999999</v>
      </c>
      <c r="K10" s="23">
        <f t="shared" si="7"/>
        <v>-1511</v>
      </c>
      <c r="L10" s="23">
        <f t="shared" si="7"/>
        <v>-1563</v>
      </c>
      <c r="M10" s="23">
        <f t="shared" si="7"/>
        <v>-1589</v>
      </c>
      <c r="N10" s="35">
        <f t="shared" si="7"/>
        <v>-1687.3520000000003</v>
      </c>
      <c r="O10" s="23">
        <f t="shared" si="7"/>
        <v>-1687.3520000000003</v>
      </c>
      <c r="P10" s="23">
        <f t="shared" si="7"/>
        <v>-1687.3520000000003</v>
      </c>
      <c r="Q10" s="23">
        <f t="shared" si="7"/>
        <v>-1687.3520000000003</v>
      </c>
      <c r="R10" s="23">
        <f t="shared" si="7"/>
        <v>-1687.3520000000003</v>
      </c>
      <c r="S10" s="23">
        <f t="shared" si="7"/>
        <v>-1687.3520000000003</v>
      </c>
      <c r="T10" s="23">
        <f t="shared" si="7"/>
        <v>-1687.3520000000003</v>
      </c>
      <c r="U10" s="23">
        <f t="shared" si="7"/>
        <v>-1687.3520000000003</v>
      </c>
      <c r="V10" s="23">
        <f t="shared" si="7"/>
        <v>-1687.3520000000003</v>
      </c>
      <c r="W10" s="23">
        <f t="shared" si="7"/>
        <v>-1687.3520000000003</v>
      </c>
      <c r="X10" s="23">
        <f t="shared" si="7"/>
        <v>-1687.3520000000003</v>
      </c>
    </row>
    <row r="11" spans="1:119" x14ac:dyDescent="0.25">
      <c r="C11" s="1" t="s">
        <v>42</v>
      </c>
      <c r="D11" s="22">
        <f t="shared" ref="D11:X11" si="8">D4+D10</f>
        <v>22.086000000000041</v>
      </c>
      <c r="E11" s="22">
        <f t="shared" si="8"/>
        <v>32.351000000000056</v>
      </c>
      <c r="F11" s="22">
        <f t="shared" si="8"/>
        <v>39.700577000000067</v>
      </c>
      <c r="G11" s="22">
        <f t="shared" si="8"/>
        <v>41.191758999999934</v>
      </c>
      <c r="H11" s="22">
        <f t="shared" si="8"/>
        <v>48.39689900000019</v>
      </c>
      <c r="I11" s="22">
        <f t="shared" si="8"/>
        <v>133.3900000000001</v>
      </c>
      <c r="J11" s="22">
        <f t="shared" si="8"/>
        <v>144.93299999999999</v>
      </c>
      <c r="K11" s="22">
        <f t="shared" si="8"/>
        <v>114</v>
      </c>
      <c r="L11" s="22">
        <f t="shared" si="8"/>
        <v>42</v>
      </c>
      <c r="M11" s="22">
        <f t="shared" si="8"/>
        <v>37</v>
      </c>
      <c r="N11" s="34">
        <f t="shared" si="8"/>
        <v>68.727999999999838</v>
      </c>
      <c r="O11" s="22">
        <f t="shared" si="8"/>
        <v>68.727999999999838</v>
      </c>
      <c r="P11" s="22">
        <f t="shared" si="8"/>
        <v>68.727999999999838</v>
      </c>
      <c r="Q11" s="22">
        <f t="shared" si="8"/>
        <v>68.727999999999838</v>
      </c>
      <c r="R11" s="22">
        <f t="shared" si="8"/>
        <v>68.727999999999838</v>
      </c>
      <c r="S11" s="22">
        <f t="shared" si="8"/>
        <v>68.727999999999838</v>
      </c>
      <c r="T11" s="22">
        <f t="shared" si="8"/>
        <v>68.727999999999838</v>
      </c>
      <c r="U11" s="22">
        <f t="shared" si="8"/>
        <v>68.727999999999838</v>
      </c>
      <c r="V11" s="22">
        <f t="shared" si="8"/>
        <v>68.727999999999838</v>
      </c>
      <c r="W11" s="22">
        <f t="shared" si="8"/>
        <v>68.727999999999838</v>
      </c>
      <c r="X11" s="22">
        <f t="shared" si="8"/>
        <v>68.727999999999838</v>
      </c>
    </row>
    <row r="12" spans="1:119" x14ac:dyDescent="0.25">
      <c r="C12" s="2" t="s">
        <v>43</v>
      </c>
      <c r="D12" s="23">
        <v>-8.4960000000000004</v>
      </c>
      <c r="E12" s="23">
        <v>-9.4</v>
      </c>
      <c r="F12" s="23">
        <v>-15.442</v>
      </c>
      <c r="G12" s="23">
        <v>-18.718</v>
      </c>
      <c r="H12" s="23">
        <v>-15</v>
      </c>
      <c r="I12" s="23">
        <v>-29.196000000000002</v>
      </c>
      <c r="J12" s="23">
        <v>-20.353999999999999</v>
      </c>
      <c r="K12" s="23">
        <v>-46</v>
      </c>
      <c r="L12" s="23">
        <v>-56</v>
      </c>
      <c r="M12" s="23">
        <v>5</v>
      </c>
      <c r="N12" s="35">
        <v>-30</v>
      </c>
      <c r="O12" s="23">
        <v>-30</v>
      </c>
      <c r="P12" s="23">
        <v>-30</v>
      </c>
      <c r="Q12" s="23">
        <v>-30</v>
      </c>
      <c r="R12" s="23">
        <v>-30</v>
      </c>
      <c r="S12" s="23">
        <v>-30</v>
      </c>
      <c r="T12" s="23">
        <v>-30</v>
      </c>
      <c r="U12" s="23">
        <v>-30</v>
      </c>
      <c r="V12" s="23">
        <v>-30</v>
      </c>
      <c r="W12" s="23">
        <v>-30</v>
      </c>
      <c r="X12" s="23">
        <v>-30</v>
      </c>
    </row>
    <row r="13" spans="1:119" x14ac:dyDescent="0.25">
      <c r="C13" s="2" t="s">
        <v>44</v>
      </c>
      <c r="D13" s="23">
        <f t="shared" ref="D13:L13" si="9">SUM(D11:D12)</f>
        <v>13.590000000000041</v>
      </c>
      <c r="E13" s="23">
        <f t="shared" si="9"/>
        <v>22.951000000000057</v>
      </c>
      <c r="F13" s="23">
        <f t="shared" si="9"/>
        <v>24.258577000000066</v>
      </c>
      <c r="G13" s="23">
        <f t="shared" si="9"/>
        <v>22.473758999999934</v>
      </c>
      <c r="H13" s="23">
        <f t="shared" si="9"/>
        <v>33.39689900000019</v>
      </c>
      <c r="I13" s="23">
        <f t="shared" si="9"/>
        <v>104.1940000000001</v>
      </c>
      <c r="J13" s="23">
        <f t="shared" si="9"/>
        <v>124.57899999999999</v>
      </c>
      <c r="K13" s="23">
        <f t="shared" si="9"/>
        <v>68</v>
      </c>
      <c r="L13" s="23">
        <f t="shared" si="9"/>
        <v>-14</v>
      </c>
      <c r="M13" s="23">
        <f>SUM(M11:M12)</f>
        <v>42</v>
      </c>
      <c r="N13" s="35">
        <f t="shared" ref="N13" si="10">SUM(N11:N12)</f>
        <v>38.727999999999838</v>
      </c>
      <c r="O13" s="23">
        <f t="shared" ref="O13:X13" si="11">SUM(O11:O12)</f>
        <v>38.727999999999838</v>
      </c>
      <c r="P13" s="23">
        <f t="shared" si="11"/>
        <v>38.727999999999838</v>
      </c>
      <c r="Q13" s="23">
        <f t="shared" si="11"/>
        <v>38.727999999999838</v>
      </c>
      <c r="R13" s="23">
        <f t="shared" si="11"/>
        <v>38.727999999999838</v>
      </c>
      <c r="S13" s="23">
        <f t="shared" si="11"/>
        <v>38.727999999999838</v>
      </c>
      <c r="T13" s="23">
        <f t="shared" si="11"/>
        <v>38.727999999999838</v>
      </c>
      <c r="U13" s="23">
        <f t="shared" si="11"/>
        <v>38.727999999999838</v>
      </c>
      <c r="V13" s="23">
        <f t="shared" si="11"/>
        <v>38.727999999999838</v>
      </c>
      <c r="W13" s="23">
        <f t="shared" si="11"/>
        <v>38.727999999999838</v>
      </c>
      <c r="X13" s="23">
        <f t="shared" si="11"/>
        <v>38.727999999999838</v>
      </c>
    </row>
    <row r="14" spans="1:119" x14ac:dyDescent="0.25">
      <c r="C14" s="2" t="s">
        <v>45</v>
      </c>
      <c r="D14" s="23">
        <v>-6.7</v>
      </c>
      <c r="E14" s="23">
        <v>-9</v>
      </c>
      <c r="F14" s="23">
        <v>-9.5</v>
      </c>
      <c r="G14" s="23">
        <v>-7.9</v>
      </c>
      <c r="H14" s="23">
        <v>-9.6</v>
      </c>
      <c r="I14" s="23">
        <v>-22.919</v>
      </c>
      <c r="J14" s="23">
        <v>-27.327999999999999</v>
      </c>
      <c r="K14" s="23">
        <v>-17</v>
      </c>
      <c r="L14" s="23">
        <v>4</v>
      </c>
      <c r="M14" s="23">
        <v>-4</v>
      </c>
      <c r="N14" s="35">
        <f>N13*-0.22</f>
        <v>-8.5201599999999651</v>
      </c>
      <c r="O14" s="23">
        <f t="shared" ref="O14:X14" si="12">O13*-0.22</f>
        <v>-8.5201599999999651</v>
      </c>
      <c r="P14" s="23">
        <f t="shared" si="12"/>
        <v>-8.5201599999999651</v>
      </c>
      <c r="Q14" s="23">
        <f t="shared" si="12"/>
        <v>-8.5201599999999651</v>
      </c>
      <c r="R14" s="23">
        <f t="shared" si="12"/>
        <v>-8.5201599999999651</v>
      </c>
      <c r="S14" s="23">
        <f t="shared" si="12"/>
        <v>-8.5201599999999651</v>
      </c>
      <c r="T14" s="23">
        <f t="shared" si="12"/>
        <v>-8.5201599999999651</v>
      </c>
      <c r="U14" s="23">
        <f t="shared" si="12"/>
        <v>-8.5201599999999651</v>
      </c>
      <c r="V14" s="23">
        <f t="shared" si="12"/>
        <v>-8.5201599999999651</v>
      </c>
      <c r="W14" s="23">
        <f t="shared" si="12"/>
        <v>-8.5201599999999651</v>
      </c>
      <c r="X14" s="23">
        <f t="shared" si="12"/>
        <v>-8.5201599999999651</v>
      </c>
    </row>
    <row r="15" spans="1:119" x14ac:dyDescent="0.25">
      <c r="C15" s="1" t="s">
        <v>46</v>
      </c>
      <c r="D15" s="22">
        <f t="shared" ref="D15:J15" si="13">SUM(D13:D14)</f>
        <v>6.8900000000000405</v>
      </c>
      <c r="E15" s="22">
        <f t="shared" si="13"/>
        <v>13.951000000000057</v>
      </c>
      <c r="F15" s="22">
        <f t="shared" si="13"/>
        <v>14.758577000000066</v>
      </c>
      <c r="G15" s="22">
        <f t="shared" si="13"/>
        <v>14.573758999999933</v>
      </c>
      <c r="H15" s="22">
        <f t="shared" si="13"/>
        <v>23.796899000000188</v>
      </c>
      <c r="I15" s="22">
        <f t="shared" si="13"/>
        <v>81.275000000000105</v>
      </c>
      <c r="J15" s="22">
        <f t="shared" si="13"/>
        <v>97.250999999999991</v>
      </c>
      <c r="K15" s="22">
        <f>SUM(K13:K14)</f>
        <v>51</v>
      </c>
      <c r="L15" s="22">
        <f>SUM(L13:L14)</f>
        <v>-10</v>
      </c>
      <c r="M15" s="22">
        <f>SUM(M13:M14)</f>
        <v>38</v>
      </c>
      <c r="N15" s="34">
        <f t="shared" ref="N15" si="14">SUM(N13:N14)</f>
        <v>30.207839999999873</v>
      </c>
      <c r="O15" s="22">
        <f t="shared" ref="O15:X15" si="15">SUM(O13:O14)</f>
        <v>30.207839999999873</v>
      </c>
      <c r="P15" s="22">
        <f t="shared" si="15"/>
        <v>30.207839999999873</v>
      </c>
      <c r="Q15" s="22">
        <f t="shared" si="15"/>
        <v>30.207839999999873</v>
      </c>
      <c r="R15" s="22">
        <f t="shared" si="15"/>
        <v>30.207839999999873</v>
      </c>
      <c r="S15" s="22">
        <f t="shared" si="15"/>
        <v>30.207839999999873</v>
      </c>
      <c r="T15" s="22">
        <f t="shared" si="15"/>
        <v>30.207839999999873</v>
      </c>
      <c r="U15" s="22">
        <f t="shared" si="15"/>
        <v>30.207839999999873</v>
      </c>
      <c r="V15" s="22">
        <f t="shared" si="15"/>
        <v>30.207839999999873</v>
      </c>
      <c r="W15" s="22">
        <f t="shared" si="15"/>
        <v>30.207839999999873</v>
      </c>
      <c r="X15" s="22">
        <f t="shared" si="15"/>
        <v>30.207839999999873</v>
      </c>
      <c r="Y15" s="28">
        <f t="shared" ref="Y15:BD15" si="16">X15*(1+$AA$19)</f>
        <v>29.905761599999874</v>
      </c>
      <c r="Z15" s="28">
        <f t="shared" si="16"/>
        <v>29.606703983999875</v>
      </c>
      <c r="AA15" s="28">
        <f t="shared" si="16"/>
        <v>29.310636944159874</v>
      </c>
      <c r="AB15" s="28">
        <f t="shared" si="16"/>
        <v>29.017530574718275</v>
      </c>
      <c r="AC15" s="28">
        <f t="shared" si="16"/>
        <v>28.727355268971092</v>
      </c>
      <c r="AD15" s="28">
        <f t="shared" si="16"/>
        <v>28.44008171628138</v>
      </c>
      <c r="AE15" s="28">
        <f t="shared" si="16"/>
        <v>28.155680899118565</v>
      </c>
      <c r="AF15" s="28">
        <f t="shared" si="16"/>
        <v>27.874124090127378</v>
      </c>
      <c r="AG15" s="28">
        <f t="shared" si="16"/>
        <v>27.595382849226105</v>
      </c>
      <c r="AH15" s="28">
        <f t="shared" si="16"/>
        <v>27.319429020733843</v>
      </c>
      <c r="AI15" s="28">
        <f t="shared" si="16"/>
        <v>27.046234730526503</v>
      </c>
      <c r="AJ15" s="28">
        <f t="shared" si="16"/>
        <v>26.775772383221238</v>
      </c>
      <c r="AK15" s="28">
        <f t="shared" si="16"/>
        <v>26.508014659389026</v>
      </c>
      <c r="AL15" s="28">
        <f t="shared" si="16"/>
        <v>26.242934512795134</v>
      </c>
      <c r="AM15" s="28">
        <f t="shared" si="16"/>
        <v>25.980505167667182</v>
      </c>
      <c r="AN15" s="28">
        <f t="shared" si="16"/>
        <v>25.72070011599051</v>
      </c>
      <c r="AO15" s="28">
        <f t="shared" si="16"/>
        <v>25.463493114830605</v>
      </c>
      <c r="AP15" s="28">
        <f t="shared" si="16"/>
        <v>25.208858183682299</v>
      </c>
      <c r="AQ15" s="28">
        <f t="shared" si="16"/>
        <v>24.956769601845476</v>
      </c>
      <c r="AR15" s="28">
        <f t="shared" si="16"/>
        <v>24.70720190582702</v>
      </c>
      <c r="AS15" s="28">
        <f t="shared" si="16"/>
        <v>24.460129886768751</v>
      </c>
      <c r="AT15" s="28">
        <f t="shared" si="16"/>
        <v>24.215528587901062</v>
      </c>
      <c r="AU15" s="28">
        <f t="shared" si="16"/>
        <v>23.973373302022051</v>
      </c>
      <c r="AV15" s="28">
        <f t="shared" si="16"/>
        <v>23.733639569001831</v>
      </c>
      <c r="AW15" s="28">
        <f t="shared" si="16"/>
        <v>23.496303173311812</v>
      </c>
      <c r="AX15" s="28">
        <f t="shared" si="16"/>
        <v>23.261340141578692</v>
      </c>
      <c r="AY15" s="28">
        <f t="shared" si="16"/>
        <v>23.028726740162906</v>
      </c>
      <c r="AZ15" s="28">
        <f t="shared" si="16"/>
        <v>22.798439472761277</v>
      </c>
      <c r="BA15" s="28">
        <f t="shared" si="16"/>
        <v>22.570455078033664</v>
      </c>
      <c r="BB15" s="28">
        <f t="shared" si="16"/>
        <v>22.344750527253328</v>
      </c>
      <c r="BC15" s="28">
        <f t="shared" si="16"/>
        <v>22.121303021980793</v>
      </c>
      <c r="BD15" s="28">
        <f t="shared" si="16"/>
        <v>21.900089991760986</v>
      </c>
      <c r="BE15" s="28">
        <f t="shared" ref="BE15:CJ15" si="17">BD15*(1+$AA$19)</f>
        <v>21.681089091843376</v>
      </c>
      <c r="BF15" s="28">
        <f t="shared" si="17"/>
        <v>21.464278200924941</v>
      </c>
      <c r="BG15" s="28">
        <f t="shared" si="17"/>
        <v>21.249635418915691</v>
      </c>
      <c r="BH15" s="28">
        <f t="shared" si="17"/>
        <v>21.037139064726535</v>
      </c>
      <c r="BI15" s="28">
        <f t="shared" si="17"/>
        <v>20.826767674079271</v>
      </c>
      <c r="BJ15" s="28">
        <f t="shared" si="17"/>
        <v>20.618499997338478</v>
      </c>
      <c r="BK15" s="28">
        <f t="shared" si="17"/>
        <v>20.412314997365094</v>
      </c>
      <c r="BL15" s="28">
        <f t="shared" si="17"/>
        <v>20.208191847391443</v>
      </c>
      <c r="BM15" s="28">
        <f t="shared" si="17"/>
        <v>20.006109928917528</v>
      </c>
      <c r="BN15" s="28">
        <f t="shared" si="17"/>
        <v>19.806048829628352</v>
      </c>
      <c r="BO15" s="28">
        <f t="shared" si="17"/>
        <v>19.607988341332067</v>
      </c>
      <c r="BP15" s="28">
        <f t="shared" si="17"/>
        <v>19.411908457918745</v>
      </c>
      <c r="BQ15" s="28">
        <f t="shared" si="17"/>
        <v>19.217789373339556</v>
      </c>
      <c r="BR15" s="28">
        <f t="shared" si="17"/>
        <v>19.025611479606162</v>
      </c>
      <c r="BS15" s="28">
        <f t="shared" si="17"/>
        <v>18.835355364810102</v>
      </c>
      <c r="BT15" s="28">
        <f t="shared" si="17"/>
        <v>18.647001811161999</v>
      </c>
      <c r="BU15" s="28">
        <f t="shared" si="17"/>
        <v>18.460531793050379</v>
      </c>
      <c r="BV15" s="28">
        <f t="shared" si="17"/>
        <v>18.275926475119874</v>
      </c>
      <c r="BW15" s="28">
        <f t="shared" si="17"/>
        <v>18.093167210368676</v>
      </c>
      <c r="BX15" s="28">
        <f t="shared" si="17"/>
        <v>17.912235538264991</v>
      </c>
      <c r="BY15" s="28">
        <f t="shared" si="17"/>
        <v>17.733113182882342</v>
      </c>
      <c r="BZ15" s="28">
        <f t="shared" si="17"/>
        <v>17.555782051053519</v>
      </c>
      <c r="CA15" s="28">
        <f t="shared" si="17"/>
        <v>17.380224230542986</v>
      </c>
      <c r="CB15" s="28">
        <f t="shared" si="17"/>
        <v>17.206421988237555</v>
      </c>
      <c r="CC15" s="28">
        <f t="shared" si="17"/>
        <v>17.034357768355179</v>
      </c>
      <c r="CD15" s="28">
        <f t="shared" si="17"/>
        <v>16.864014190671625</v>
      </c>
      <c r="CE15" s="28">
        <f t="shared" si="17"/>
        <v>16.695374048764908</v>
      </c>
      <c r="CF15" s="28">
        <f t="shared" si="17"/>
        <v>16.528420308277258</v>
      </c>
      <c r="CG15" s="28">
        <f t="shared" si="17"/>
        <v>16.363136105194485</v>
      </c>
      <c r="CH15" s="28">
        <f t="shared" si="17"/>
        <v>16.199504744142541</v>
      </c>
      <c r="CI15" s="28">
        <f t="shared" si="17"/>
        <v>16.037509696701115</v>
      </c>
      <c r="CJ15" s="28">
        <f t="shared" si="17"/>
        <v>15.877134599734104</v>
      </c>
      <c r="CK15" s="28">
        <f t="shared" ref="CK15:DO15" si="18">CJ15*(1+$AA$19)</f>
        <v>15.718363253736763</v>
      </c>
      <c r="CL15" s="28">
        <f t="shared" si="18"/>
        <v>15.561179621199395</v>
      </c>
      <c r="CM15" s="28">
        <f t="shared" si="18"/>
        <v>15.405567824987401</v>
      </c>
      <c r="CN15" s="28">
        <f t="shared" si="18"/>
        <v>15.251512146737527</v>
      </c>
      <c r="CO15" s="28">
        <f t="shared" si="18"/>
        <v>15.098997025270151</v>
      </c>
      <c r="CP15" s="28">
        <f t="shared" si="18"/>
        <v>14.948007055017449</v>
      </c>
      <c r="CQ15" s="28">
        <f t="shared" si="18"/>
        <v>14.798526984467275</v>
      </c>
      <c r="CR15" s="28">
        <f t="shared" si="18"/>
        <v>14.650541714622602</v>
      </c>
      <c r="CS15" s="28">
        <f t="shared" si="18"/>
        <v>14.504036297476375</v>
      </c>
      <c r="CT15" s="28">
        <f t="shared" si="18"/>
        <v>14.35899593450161</v>
      </c>
      <c r="CU15" s="28">
        <f t="shared" si="18"/>
        <v>14.215405975156594</v>
      </c>
      <c r="CV15" s="28">
        <f t="shared" si="18"/>
        <v>14.073251915405027</v>
      </c>
      <c r="CW15" s="28">
        <f t="shared" si="18"/>
        <v>13.932519396250976</v>
      </c>
      <c r="CX15" s="28">
        <f t="shared" si="18"/>
        <v>13.793194202288467</v>
      </c>
      <c r="CY15" s="28">
        <f t="shared" si="18"/>
        <v>13.655262260265582</v>
      </c>
      <c r="CZ15" s="28">
        <f t="shared" si="18"/>
        <v>13.518709637662926</v>
      </c>
      <c r="DA15" s="28">
        <f t="shared" si="18"/>
        <v>13.383522541286297</v>
      </c>
      <c r="DB15" s="28">
        <f t="shared" si="18"/>
        <v>13.249687315873434</v>
      </c>
      <c r="DC15" s="28">
        <f t="shared" si="18"/>
        <v>13.117190442714699</v>
      </c>
      <c r="DD15" s="28">
        <f t="shared" si="18"/>
        <v>12.986018538287553</v>
      </c>
      <c r="DE15" s="28">
        <f t="shared" si="18"/>
        <v>12.856158352904677</v>
      </c>
      <c r="DF15" s="28">
        <f t="shared" si="18"/>
        <v>12.72759676937563</v>
      </c>
      <c r="DG15" s="28">
        <f t="shared" si="18"/>
        <v>12.600320801681873</v>
      </c>
      <c r="DH15" s="28">
        <f t="shared" si="18"/>
        <v>12.474317593665054</v>
      </c>
      <c r="DI15" s="28">
        <f t="shared" si="18"/>
        <v>12.349574417728403</v>
      </c>
      <c r="DJ15" s="28">
        <f t="shared" si="18"/>
        <v>12.22607867355112</v>
      </c>
      <c r="DK15" s="28">
        <f t="shared" si="18"/>
        <v>12.103817886815609</v>
      </c>
      <c r="DL15" s="28">
        <f t="shared" si="18"/>
        <v>11.982779707947453</v>
      </c>
      <c r="DM15" s="28">
        <f t="shared" si="18"/>
        <v>11.862951910867977</v>
      </c>
      <c r="DN15" s="28">
        <f t="shared" si="18"/>
        <v>11.744322391759297</v>
      </c>
      <c r="DO15" s="28">
        <f t="shared" si="18"/>
        <v>11.626879167841704</v>
      </c>
    </row>
    <row r="16" spans="1:119" x14ac:dyDescent="0.25">
      <c r="C16" s="2" t="s">
        <v>47</v>
      </c>
      <c r="I16" s="11">
        <v>21.3</v>
      </c>
      <c r="J16" s="11">
        <v>21.3</v>
      </c>
      <c r="K16" s="11">
        <v>50.782200000000003</v>
      </c>
      <c r="L16" s="11">
        <v>50.782200000000003</v>
      </c>
      <c r="M16" s="11">
        <v>50.782200000000003</v>
      </c>
      <c r="N16" s="10">
        <v>50.782200000000003</v>
      </c>
      <c r="O16" s="11">
        <v>50.782200000000003</v>
      </c>
      <c r="P16" s="11">
        <v>50.782200000000003</v>
      </c>
      <c r="Q16" s="11">
        <v>50.782200000000003</v>
      </c>
      <c r="R16" s="11">
        <v>50.782200000000003</v>
      </c>
      <c r="S16" s="11">
        <v>50.782200000000003</v>
      </c>
      <c r="T16" s="11">
        <v>50.782200000000003</v>
      </c>
      <c r="U16" s="11">
        <v>50.782200000000003</v>
      </c>
      <c r="V16" s="11">
        <v>50.782200000000003</v>
      </c>
      <c r="W16" s="11">
        <v>50.782200000000003</v>
      </c>
      <c r="X16" s="11">
        <v>50.782200000000003</v>
      </c>
    </row>
    <row r="17" spans="1:27" x14ac:dyDescent="0.25">
      <c r="C17" s="2" t="s">
        <v>48</v>
      </c>
      <c r="I17" s="12">
        <f>I15/I16</f>
        <v>3.8157276995305214</v>
      </c>
      <c r="J17" s="12">
        <f>J15/J16</f>
        <v>4.5657746478873236</v>
      </c>
      <c r="K17" s="12">
        <f t="shared" ref="K17:X17" si="19">K15/K16</f>
        <v>1.0042889043798811</v>
      </c>
      <c r="L17" s="12">
        <f t="shared" si="19"/>
        <v>-0.19691939301566297</v>
      </c>
      <c r="M17" s="12">
        <f t="shared" si="19"/>
        <v>0.74829369345951924</v>
      </c>
      <c r="N17" s="9">
        <f t="shared" si="19"/>
        <v>0.59485095171142388</v>
      </c>
      <c r="O17" s="12">
        <f t="shared" si="19"/>
        <v>0.59485095171142388</v>
      </c>
      <c r="P17" s="12">
        <f t="shared" si="19"/>
        <v>0.59485095171142388</v>
      </c>
      <c r="Q17" s="12">
        <f t="shared" si="19"/>
        <v>0.59485095171142388</v>
      </c>
      <c r="R17" s="12">
        <f t="shared" si="19"/>
        <v>0.59485095171142388</v>
      </c>
      <c r="S17" s="12">
        <f t="shared" si="19"/>
        <v>0.59485095171142388</v>
      </c>
      <c r="T17" s="12">
        <f t="shared" si="19"/>
        <v>0.59485095171142388</v>
      </c>
      <c r="U17" s="12">
        <f t="shared" si="19"/>
        <v>0.59485095171142388</v>
      </c>
      <c r="V17" s="12">
        <f t="shared" si="19"/>
        <v>0.59485095171142388</v>
      </c>
      <c r="W17" s="12">
        <f t="shared" si="19"/>
        <v>0.59485095171142388</v>
      </c>
      <c r="X17" s="12">
        <f t="shared" si="19"/>
        <v>0.59485095171142388</v>
      </c>
    </row>
    <row r="18" spans="1:27" x14ac:dyDescent="0.25">
      <c r="N18" s="4"/>
      <c r="Z18" s="2" t="s">
        <v>93</v>
      </c>
      <c r="AA18" s="27">
        <v>0.08</v>
      </c>
    </row>
    <row r="19" spans="1:27" x14ac:dyDescent="0.25">
      <c r="C19" s="1" t="s">
        <v>34</v>
      </c>
      <c r="E19" s="15">
        <f t="shared" ref="E19:X19" si="20">(E4-D4)/D4</f>
        <v>0.50254653041979058</v>
      </c>
      <c r="F19" s="15">
        <f t="shared" si="20"/>
        <v>0.42238369054092562</v>
      </c>
      <c r="G19" s="15">
        <f t="shared" si="20"/>
        <v>0.32468824824892489</v>
      </c>
      <c r="H19" s="15">
        <f t="shared" si="20"/>
        <v>0.22578157156036494</v>
      </c>
      <c r="I19" s="15">
        <f t="shared" si="20"/>
        <v>0.36480896201436608</v>
      </c>
      <c r="J19" s="15">
        <f t="shared" si="20"/>
        <v>0.12876113121573615</v>
      </c>
      <c r="K19" s="15">
        <f t="shared" si="20"/>
        <v>9.4032975837019431E-2</v>
      </c>
      <c r="L19" s="15">
        <f t="shared" si="20"/>
        <v>-1.2307692307692308E-2</v>
      </c>
      <c r="M19" s="15">
        <f t="shared" si="20"/>
        <v>1.3084112149532711E-2</v>
      </c>
      <c r="N19" s="16">
        <f t="shared" si="20"/>
        <v>8.0000000000000099E-2</v>
      </c>
      <c r="O19" s="15">
        <f t="shared" si="20"/>
        <v>0</v>
      </c>
      <c r="P19" s="15">
        <f t="shared" si="20"/>
        <v>0</v>
      </c>
      <c r="Q19" s="15">
        <f t="shared" si="20"/>
        <v>0</v>
      </c>
      <c r="R19" s="15">
        <f t="shared" si="20"/>
        <v>0</v>
      </c>
      <c r="S19" s="15">
        <f t="shared" si="20"/>
        <v>0</v>
      </c>
      <c r="T19" s="15">
        <f t="shared" si="20"/>
        <v>0</v>
      </c>
      <c r="U19" s="15">
        <f t="shared" si="20"/>
        <v>0</v>
      </c>
      <c r="V19" s="15">
        <f t="shared" si="20"/>
        <v>0</v>
      </c>
      <c r="W19" s="15">
        <f t="shared" si="20"/>
        <v>0</v>
      </c>
      <c r="X19" s="15">
        <f t="shared" si="20"/>
        <v>0</v>
      </c>
      <c r="Z19" s="2" t="s">
        <v>94</v>
      </c>
      <c r="AA19" s="27">
        <v>-0.01</v>
      </c>
    </row>
    <row r="20" spans="1:27" x14ac:dyDescent="0.25">
      <c r="C20" s="1" t="s">
        <v>124</v>
      </c>
      <c r="D20" s="21"/>
      <c r="E20" s="21"/>
      <c r="F20" s="21"/>
      <c r="G20" s="21"/>
      <c r="H20" s="21"/>
      <c r="I20" s="15"/>
      <c r="J20" s="15"/>
      <c r="K20" s="15"/>
      <c r="L20" s="15"/>
      <c r="M20" s="15"/>
      <c r="N20" s="36"/>
      <c r="O20" s="18"/>
      <c r="P20" s="18"/>
      <c r="Q20" s="18"/>
      <c r="R20" s="18"/>
      <c r="S20" s="18"/>
      <c r="T20" s="18"/>
      <c r="U20" s="18"/>
      <c r="V20" s="18"/>
      <c r="W20" s="18"/>
      <c r="X20" s="18"/>
      <c r="Z20" s="20" t="s">
        <v>95</v>
      </c>
      <c r="AA20" s="29">
        <f>NPV(AA18,N15:DO15)</f>
        <v>358.12792430303563</v>
      </c>
    </row>
    <row r="21" spans="1:27" x14ac:dyDescent="0.25">
      <c r="C21" s="2" t="s">
        <v>126</v>
      </c>
      <c r="E21" s="13">
        <f t="shared" ref="E21:M21" si="21">(E10-D10)/D10</f>
        <v>0.50580856563033993</v>
      </c>
      <c r="F21" s="13">
        <f t="shared" si="21"/>
        <v>0.43878191898208246</v>
      </c>
      <c r="G21" s="13">
        <f t="shared" si="21"/>
        <v>0.34526151090864154</v>
      </c>
      <c r="H21" s="13">
        <f t="shared" si="21"/>
        <v>0.22859250327546216</v>
      </c>
      <c r="I21" s="13">
        <f t="shared" si="21"/>
        <v>0.29127740162730426</v>
      </c>
      <c r="J21" s="13">
        <f t="shared" si="21"/>
        <v>0.13352428406161843</v>
      </c>
      <c r="K21" s="13">
        <f t="shared" si="21"/>
        <v>0.12727796317061293</v>
      </c>
      <c r="L21" s="13">
        <f t="shared" si="21"/>
        <v>3.4414295168762411E-2</v>
      </c>
      <c r="M21" s="13">
        <f t="shared" si="21"/>
        <v>1.6634676903390915E-2</v>
      </c>
      <c r="N21" s="14">
        <f>(N10-M10)/M10</f>
        <v>6.1895531780994537E-2</v>
      </c>
      <c r="O21" s="13">
        <f t="shared" ref="O21:X21" si="22">(O10-N10)/N10</f>
        <v>0</v>
      </c>
      <c r="P21" s="13">
        <f t="shared" si="22"/>
        <v>0</v>
      </c>
      <c r="Q21" s="13">
        <f t="shared" si="22"/>
        <v>0</v>
      </c>
      <c r="R21" s="13">
        <f t="shared" si="22"/>
        <v>0</v>
      </c>
      <c r="S21" s="13">
        <f t="shared" si="22"/>
        <v>0</v>
      </c>
      <c r="T21" s="13">
        <f t="shared" si="22"/>
        <v>0</v>
      </c>
      <c r="U21" s="13">
        <f t="shared" si="22"/>
        <v>0</v>
      </c>
      <c r="V21" s="13">
        <f t="shared" si="22"/>
        <v>0</v>
      </c>
      <c r="W21" s="13">
        <f t="shared" si="22"/>
        <v>0</v>
      </c>
      <c r="X21" s="13">
        <f t="shared" si="22"/>
        <v>0</v>
      </c>
      <c r="Z21" s="2" t="s">
        <v>2</v>
      </c>
      <c r="AA21" s="11">
        <v>50.782200000000003</v>
      </c>
    </row>
    <row r="22" spans="1:27" x14ac:dyDescent="0.25">
      <c r="C22" s="2" t="s">
        <v>85</v>
      </c>
      <c r="D22" s="13">
        <f t="shared" ref="D22:M22" si="23">D6/D4</f>
        <v>0.44788700963542322</v>
      </c>
      <c r="E22" s="13">
        <f t="shared" si="23"/>
        <v>0.4462655497291898</v>
      </c>
      <c r="F22" s="13">
        <f t="shared" si="23"/>
        <v>0.43406159837239766</v>
      </c>
      <c r="G22" s="13">
        <f t="shared" si="23"/>
        <v>0.40976950381414157</v>
      </c>
      <c r="H22" s="13">
        <f t="shared" si="23"/>
        <v>0.38841151512919214</v>
      </c>
      <c r="I22" s="13">
        <f t="shared" si="23"/>
        <v>0.3932725584279585</v>
      </c>
      <c r="J22" s="13">
        <f t="shared" si="23"/>
        <v>0.38578968983323569</v>
      </c>
      <c r="K22" s="13">
        <f t="shared" si="23"/>
        <v>0.37353846153846154</v>
      </c>
      <c r="L22" s="13">
        <f t="shared" si="23"/>
        <v>0.34579439252336447</v>
      </c>
      <c r="M22" s="13">
        <f t="shared" si="23"/>
        <v>0.33948339483394835</v>
      </c>
      <c r="N22" s="14">
        <f>N6/N4</f>
        <v>0.34999999999999992</v>
      </c>
      <c r="O22" s="13">
        <f t="shared" ref="O22:X22" si="24">O6/O4</f>
        <v>0.34999999999999992</v>
      </c>
      <c r="P22" s="13">
        <f t="shared" si="24"/>
        <v>0.34999999999999992</v>
      </c>
      <c r="Q22" s="13">
        <f t="shared" si="24"/>
        <v>0.34999999999999992</v>
      </c>
      <c r="R22" s="13">
        <f t="shared" si="24"/>
        <v>0.34999999999999992</v>
      </c>
      <c r="S22" s="13">
        <f t="shared" si="24"/>
        <v>0.34999999999999992</v>
      </c>
      <c r="T22" s="13">
        <f t="shared" si="24"/>
        <v>0.34999999999999992</v>
      </c>
      <c r="U22" s="13">
        <f t="shared" si="24"/>
        <v>0.34999999999999992</v>
      </c>
      <c r="V22" s="13">
        <f t="shared" si="24"/>
        <v>0.34999999999999992</v>
      </c>
      <c r="W22" s="13">
        <f t="shared" si="24"/>
        <v>0.34999999999999992</v>
      </c>
      <c r="X22" s="13">
        <f t="shared" si="24"/>
        <v>0.34999999999999992</v>
      </c>
      <c r="Z22" s="1" t="s">
        <v>96</v>
      </c>
      <c r="AA22" s="30">
        <f>AA20/AA21</f>
        <v>7.0522333475713062</v>
      </c>
    </row>
    <row r="23" spans="1:27" x14ac:dyDescent="0.25">
      <c r="C23" s="2" t="s">
        <v>53</v>
      </c>
      <c r="D23" s="13">
        <f t="shared" ref="D23:X23" si="25">D11/D4</f>
        <v>7.9494941132855254E-2</v>
      </c>
      <c r="E23" s="13">
        <f t="shared" si="25"/>
        <v>7.749652054971734E-2</v>
      </c>
      <c r="F23" s="13">
        <f t="shared" si="25"/>
        <v>6.6861258844744559E-2</v>
      </c>
      <c r="G23" s="13">
        <f t="shared" si="25"/>
        <v>5.2369012502919261E-2</v>
      </c>
      <c r="H23" s="13">
        <f t="shared" si="25"/>
        <v>5.0195928766986073E-2</v>
      </c>
      <c r="I23" s="13">
        <f t="shared" si="25"/>
        <v>0.10136834729849069</v>
      </c>
      <c r="J23" s="13">
        <f t="shared" si="25"/>
        <v>9.7576296176607222E-2</v>
      </c>
      <c r="K23" s="13">
        <f t="shared" si="25"/>
        <v>7.015384615384615E-2</v>
      </c>
      <c r="L23" s="13">
        <f t="shared" si="25"/>
        <v>2.6168224299065422E-2</v>
      </c>
      <c r="M23" s="13">
        <f t="shared" si="25"/>
        <v>2.2755227552275523E-2</v>
      </c>
      <c r="N23" s="14">
        <f t="shared" si="25"/>
        <v>3.913716914946918E-2</v>
      </c>
      <c r="O23" s="13">
        <f t="shared" si="25"/>
        <v>3.913716914946918E-2</v>
      </c>
      <c r="P23" s="13">
        <f t="shared" si="25"/>
        <v>3.913716914946918E-2</v>
      </c>
      <c r="Q23" s="13">
        <f t="shared" si="25"/>
        <v>3.913716914946918E-2</v>
      </c>
      <c r="R23" s="13">
        <f t="shared" si="25"/>
        <v>3.913716914946918E-2</v>
      </c>
      <c r="S23" s="13">
        <f t="shared" si="25"/>
        <v>3.913716914946918E-2</v>
      </c>
      <c r="T23" s="13">
        <f t="shared" si="25"/>
        <v>3.913716914946918E-2</v>
      </c>
      <c r="U23" s="13">
        <f t="shared" si="25"/>
        <v>3.913716914946918E-2</v>
      </c>
      <c r="V23" s="13">
        <f t="shared" si="25"/>
        <v>3.913716914946918E-2</v>
      </c>
      <c r="W23" s="13">
        <f t="shared" si="25"/>
        <v>3.913716914946918E-2</v>
      </c>
      <c r="X23" s="13">
        <f t="shared" si="25"/>
        <v>3.913716914946918E-2</v>
      </c>
      <c r="Z23" s="1" t="s">
        <v>97</v>
      </c>
      <c r="AA23" s="15">
        <f>(AA22-Modell!$B$4)/Modell!$B$4</f>
        <v>-0.53296467896878763</v>
      </c>
    </row>
    <row r="24" spans="1:27" s="20" customFormat="1" x14ac:dyDescent="0.25">
      <c r="B24" s="43"/>
      <c r="C24" s="20" t="s">
        <v>127</v>
      </c>
      <c r="D24" s="44">
        <v>0.379</v>
      </c>
      <c r="E24" s="44">
        <v>0.38100000000000001</v>
      </c>
      <c r="F24" s="44">
        <v>0.13100000000000001</v>
      </c>
      <c r="G24" s="44">
        <v>0.14099999999999999</v>
      </c>
      <c r="H24" s="44">
        <v>0.17699999999999999</v>
      </c>
      <c r="I24" s="44"/>
      <c r="J24" s="44"/>
      <c r="K24" s="44"/>
      <c r="L24" s="44"/>
      <c r="M24" s="44"/>
      <c r="N24" s="45"/>
      <c r="O24" s="46"/>
      <c r="P24" s="46"/>
      <c r="Q24" s="46"/>
      <c r="R24" s="46"/>
      <c r="S24" s="46"/>
      <c r="T24" s="46"/>
      <c r="U24" s="46"/>
      <c r="V24" s="46"/>
      <c r="W24" s="46"/>
      <c r="X24" s="46"/>
    </row>
    <row r="26" spans="1:27" x14ac:dyDescent="0.25">
      <c r="A26" s="1" t="s">
        <v>133</v>
      </c>
      <c r="D26" s="7" t="s">
        <v>131</v>
      </c>
      <c r="E26" s="7" t="s">
        <v>132</v>
      </c>
      <c r="F26" s="7" t="s">
        <v>128</v>
      </c>
      <c r="G26" s="7" t="s">
        <v>129</v>
      </c>
      <c r="H26" s="7" t="s">
        <v>130</v>
      </c>
      <c r="I26" s="7" t="s">
        <v>123</v>
      </c>
      <c r="J26" s="7" t="s">
        <v>122</v>
      </c>
      <c r="K26" s="7" t="s">
        <v>20</v>
      </c>
      <c r="L26" s="7" t="s">
        <v>21</v>
      </c>
      <c r="M26" s="7" t="s">
        <v>22</v>
      </c>
      <c r="N26" s="8" t="s">
        <v>23</v>
      </c>
      <c r="O26" s="7" t="s">
        <v>24</v>
      </c>
      <c r="P26" s="7" t="s">
        <v>25</v>
      </c>
      <c r="Q26" s="7" t="s">
        <v>26</v>
      </c>
      <c r="R26" s="7" t="s">
        <v>27</v>
      </c>
      <c r="S26" s="7" t="s">
        <v>28</v>
      </c>
      <c r="T26" s="7" t="s">
        <v>29</v>
      </c>
      <c r="U26" s="7" t="s">
        <v>30</v>
      </c>
      <c r="V26" s="7" t="s">
        <v>31</v>
      </c>
      <c r="W26" s="7" t="s">
        <v>32</v>
      </c>
      <c r="X26" s="7" t="s">
        <v>33</v>
      </c>
    </row>
    <row r="27" spans="1:27" x14ac:dyDescent="0.25">
      <c r="A27" s="1" t="s">
        <v>138</v>
      </c>
      <c r="C27" s="1" t="s">
        <v>37</v>
      </c>
      <c r="D27" s="22">
        <v>277.82900000000001</v>
      </c>
      <c r="E27" s="22">
        <v>417.45100000000002</v>
      </c>
      <c r="F27" s="22">
        <v>593.77549399999998</v>
      </c>
      <c r="G27" s="22">
        <v>786.56741899999997</v>
      </c>
      <c r="H27" s="22">
        <v>964.15984700000001</v>
      </c>
      <c r="I27" s="22">
        <v>1315.894</v>
      </c>
      <c r="J27" s="22">
        <v>1485.33</v>
      </c>
      <c r="K27" s="22">
        <v>1625</v>
      </c>
      <c r="L27" s="22">
        <v>1605</v>
      </c>
      <c r="M27" s="22">
        <v>1626</v>
      </c>
      <c r="N27" s="34">
        <f>M27*1.1</f>
        <v>1788.6000000000001</v>
      </c>
      <c r="O27" s="22">
        <f>N27*1</f>
        <v>1788.6000000000001</v>
      </c>
      <c r="P27" s="22">
        <f t="shared" ref="P27:X27" si="26">O27*1</f>
        <v>1788.6000000000001</v>
      </c>
      <c r="Q27" s="22">
        <f t="shared" si="26"/>
        <v>1788.6000000000001</v>
      </c>
      <c r="R27" s="22">
        <f t="shared" si="26"/>
        <v>1788.6000000000001</v>
      </c>
      <c r="S27" s="22">
        <f t="shared" si="26"/>
        <v>1788.6000000000001</v>
      </c>
      <c r="T27" s="22">
        <f t="shared" si="26"/>
        <v>1788.6000000000001</v>
      </c>
      <c r="U27" s="22">
        <f t="shared" si="26"/>
        <v>1788.6000000000001</v>
      </c>
      <c r="V27" s="22">
        <f t="shared" si="26"/>
        <v>1788.6000000000001</v>
      </c>
      <c r="W27" s="22">
        <f t="shared" si="26"/>
        <v>1788.6000000000001</v>
      </c>
      <c r="X27" s="22">
        <f t="shared" si="26"/>
        <v>1788.6000000000001</v>
      </c>
    </row>
    <row r="28" spans="1:27" x14ac:dyDescent="0.25">
      <c r="A28" s="30">
        <f>AA45</f>
        <v>8.6115913054159012</v>
      </c>
      <c r="C28" s="2" t="s">
        <v>38</v>
      </c>
      <c r="D28" s="23">
        <v>-153.393</v>
      </c>
      <c r="E28" s="23">
        <v>-231.15700000000001</v>
      </c>
      <c r="F28" s="23">
        <v>-336.04035399999998</v>
      </c>
      <c r="G28" s="23">
        <v>-464.256078</v>
      </c>
      <c r="H28" s="23">
        <v>-589.66905999999994</v>
      </c>
      <c r="I28" s="23">
        <v>-798.38900000000001</v>
      </c>
      <c r="J28" s="23">
        <v>-912.30499999999995</v>
      </c>
      <c r="K28" s="23">
        <v>-1018</v>
      </c>
      <c r="L28" s="23">
        <v>-1050</v>
      </c>
      <c r="M28" s="23">
        <v>-1074</v>
      </c>
      <c r="N28" s="35">
        <f>N27*-0.65</f>
        <v>-1162.5900000000001</v>
      </c>
      <c r="O28" s="23">
        <f t="shared" ref="O28" si="27">O27*-0.65</f>
        <v>-1162.5900000000001</v>
      </c>
      <c r="P28" s="23">
        <f t="shared" ref="P28" si="28">P27*-0.65</f>
        <v>-1162.5900000000001</v>
      </c>
      <c r="Q28" s="23">
        <f t="shared" ref="Q28" si="29">Q27*-0.65</f>
        <v>-1162.5900000000001</v>
      </c>
      <c r="R28" s="23">
        <f t="shared" ref="R28" si="30">R27*-0.65</f>
        <v>-1162.5900000000001</v>
      </c>
      <c r="S28" s="23">
        <f t="shared" ref="S28" si="31">S27*-0.65</f>
        <v>-1162.5900000000001</v>
      </c>
      <c r="T28" s="23">
        <f t="shared" ref="T28" si="32">T27*-0.65</f>
        <v>-1162.5900000000001</v>
      </c>
      <c r="U28" s="23">
        <f t="shared" ref="U28" si="33">U27*-0.65</f>
        <v>-1162.5900000000001</v>
      </c>
      <c r="V28" s="23">
        <f t="shared" ref="V28" si="34">V27*-0.65</f>
        <v>-1162.5900000000001</v>
      </c>
      <c r="W28" s="23">
        <f t="shared" ref="W28" si="35">W27*-0.65</f>
        <v>-1162.5900000000001</v>
      </c>
      <c r="X28" s="23">
        <f t="shared" ref="X28" si="36">X27*-0.65</f>
        <v>-1162.5900000000001</v>
      </c>
    </row>
    <row r="29" spans="1:27" x14ac:dyDescent="0.25">
      <c r="A29" s="15">
        <f>AA46</f>
        <v>-0.429695940038682</v>
      </c>
      <c r="C29" s="2" t="s">
        <v>134</v>
      </c>
      <c r="D29" s="23">
        <f t="shared" ref="D29" si="37">SUM(D27:D28)</f>
        <v>124.43600000000001</v>
      </c>
      <c r="E29" s="23">
        <f t="shared" ref="E29" si="38">SUM(E27:E28)</f>
        <v>186.29400000000001</v>
      </c>
      <c r="F29" s="23">
        <f t="shared" ref="F29" si="39">SUM(F27:F28)</f>
        <v>257.73514</v>
      </c>
      <c r="G29" s="23">
        <f t="shared" ref="G29" si="40">SUM(G27:G28)</f>
        <v>322.31134099999997</v>
      </c>
      <c r="H29" s="23">
        <f t="shared" ref="H29" si="41">SUM(H27:H28)</f>
        <v>374.49078700000007</v>
      </c>
      <c r="I29" s="23">
        <f t="shared" ref="I29" si="42">SUM(I27:I28)</f>
        <v>517.505</v>
      </c>
      <c r="J29" s="23">
        <f t="shared" ref="J29" si="43">SUM(J27:J28)</f>
        <v>573.02499999999998</v>
      </c>
      <c r="K29" s="23">
        <f t="shared" ref="K29" si="44">SUM(K27:K28)</f>
        <v>607</v>
      </c>
      <c r="L29" s="23">
        <f t="shared" ref="L29" si="45">SUM(L27:L28)</f>
        <v>555</v>
      </c>
      <c r="M29" s="23">
        <f t="shared" ref="M29" si="46">SUM(M27:M28)</f>
        <v>552</v>
      </c>
      <c r="N29" s="35">
        <f>SUM(N27:N28)</f>
        <v>626.01</v>
      </c>
      <c r="O29" s="23">
        <f t="shared" ref="O29" si="47">SUM(O27:O28)</f>
        <v>626.01</v>
      </c>
      <c r="P29" s="23">
        <f t="shared" ref="P29" si="48">SUM(P27:P28)</f>
        <v>626.01</v>
      </c>
      <c r="Q29" s="23">
        <f t="shared" ref="Q29" si="49">SUM(Q27:Q28)</f>
        <v>626.01</v>
      </c>
      <c r="R29" s="23">
        <f t="shared" ref="R29" si="50">SUM(R27:R28)</f>
        <v>626.01</v>
      </c>
      <c r="S29" s="23">
        <f t="shared" ref="S29" si="51">SUM(S27:S28)</f>
        <v>626.01</v>
      </c>
      <c r="T29" s="23">
        <f t="shared" ref="T29" si="52">SUM(T27:T28)</f>
        <v>626.01</v>
      </c>
      <c r="U29" s="23">
        <f t="shared" ref="U29" si="53">SUM(U27:U28)</f>
        <v>626.01</v>
      </c>
      <c r="V29" s="23">
        <f t="shared" ref="V29" si="54">SUM(V27:V28)</f>
        <v>626.01</v>
      </c>
      <c r="W29" s="23">
        <f t="shared" ref="W29" si="55">SUM(W27:W28)</f>
        <v>626.01</v>
      </c>
      <c r="X29" s="23">
        <f t="shared" ref="X29" si="56">SUM(X27:X28)</f>
        <v>626.01</v>
      </c>
    </row>
    <row r="30" spans="1:27" x14ac:dyDescent="0.25">
      <c r="C30" s="2" t="s">
        <v>39</v>
      </c>
      <c r="D30" s="23">
        <v>-50.323999999999998</v>
      </c>
      <c r="E30" s="23">
        <v>-80.599999999999994</v>
      </c>
      <c r="F30" s="23">
        <v>-117.86964</v>
      </c>
      <c r="G30" s="23">
        <v>-144.492603</v>
      </c>
      <c r="H30" s="23">
        <v>-176.14433700000001</v>
      </c>
      <c r="I30" s="23">
        <v>-219.29400000000001</v>
      </c>
      <c r="J30" s="23">
        <v>-243.321</v>
      </c>
      <c r="K30" s="23">
        <v>-255</v>
      </c>
      <c r="L30" s="23">
        <v>-272</v>
      </c>
      <c r="M30" s="23">
        <v>-266</v>
      </c>
      <c r="N30" s="35">
        <f>M30*1.02</f>
        <v>-271.32</v>
      </c>
      <c r="O30" s="23">
        <f>N30*1.05</f>
        <v>-284.88600000000002</v>
      </c>
      <c r="P30" s="23">
        <f t="shared" ref="P30:X30" si="57">O30*1</f>
        <v>-284.88600000000002</v>
      </c>
      <c r="Q30" s="23">
        <f t="shared" si="57"/>
        <v>-284.88600000000002</v>
      </c>
      <c r="R30" s="23">
        <f t="shared" si="57"/>
        <v>-284.88600000000002</v>
      </c>
      <c r="S30" s="23">
        <f t="shared" si="57"/>
        <v>-284.88600000000002</v>
      </c>
      <c r="T30" s="23">
        <f t="shared" si="57"/>
        <v>-284.88600000000002</v>
      </c>
      <c r="U30" s="23">
        <f t="shared" si="57"/>
        <v>-284.88600000000002</v>
      </c>
      <c r="V30" s="23">
        <f t="shared" si="57"/>
        <v>-284.88600000000002</v>
      </c>
      <c r="W30" s="23">
        <f t="shared" si="57"/>
        <v>-284.88600000000002</v>
      </c>
      <c r="X30" s="23">
        <f t="shared" si="57"/>
        <v>-284.88600000000002</v>
      </c>
    </row>
    <row r="31" spans="1:27" x14ac:dyDescent="0.25">
      <c r="C31" s="2" t="s">
        <v>40</v>
      </c>
      <c r="D31" s="23">
        <v>-13.54</v>
      </c>
      <c r="E31" s="23">
        <f>-16.943</f>
        <v>-16.943000000000001</v>
      </c>
      <c r="F31" s="23">
        <f>-21.263035-3.145</f>
        <v>-24.408034999999998</v>
      </c>
      <c r="G31" s="23">
        <f>-27.230979-2.46</f>
        <v>-29.690979000000002</v>
      </c>
      <c r="H31" s="23">
        <f>-28.105644-0.736</f>
        <v>-28.841644000000002</v>
      </c>
      <c r="I31" s="23">
        <v>-70.739999999999995</v>
      </c>
      <c r="J31" s="23">
        <v>-77.325000000000003</v>
      </c>
      <c r="K31" s="23">
        <v>-92</v>
      </c>
      <c r="L31" s="23">
        <v>-96</v>
      </c>
      <c r="M31" s="23">
        <v>-111</v>
      </c>
      <c r="N31" s="35">
        <f>M31*1.02</f>
        <v>-113.22</v>
      </c>
      <c r="O31" s="23">
        <f t="shared" ref="O31:O32" si="58">N31*1.05</f>
        <v>-118.881</v>
      </c>
      <c r="P31" s="23">
        <f t="shared" ref="P31:X31" si="59">O31*1</f>
        <v>-118.881</v>
      </c>
      <c r="Q31" s="23">
        <f t="shared" si="59"/>
        <v>-118.881</v>
      </c>
      <c r="R31" s="23">
        <f t="shared" si="59"/>
        <v>-118.881</v>
      </c>
      <c r="S31" s="23">
        <f t="shared" si="59"/>
        <v>-118.881</v>
      </c>
      <c r="T31" s="23">
        <f t="shared" si="59"/>
        <v>-118.881</v>
      </c>
      <c r="U31" s="23">
        <f t="shared" si="59"/>
        <v>-118.881</v>
      </c>
      <c r="V31" s="23">
        <f t="shared" si="59"/>
        <v>-118.881</v>
      </c>
      <c r="W31" s="23">
        <f t="shared" si="59"/>
        <v>-118.881</v>
      </c>
      <c r="X31" s="23">
        <f t="shared" si="59"/>
        <v>-118.881</v>
      </c>
    </row>
    <row r="32" spans="1:27" x14ac:dyDescent="0.25">
      <c r="C32" s="2" t="s">
        <v>41</v>
      </c>
      <c r="D32" s="23">
        <v>-38.485999999999997</v>
      </c>
      <c r="E32" s="23">
        <v>-56.4</v>
      </c>
      <c r="F32" s="23">
        <v>-75.756888000000004</v>
      </c>
      <c r="G32" s="23">
        <v>-106.93600000000001</v>
      </c>
      <c r="H32" s="23">
        <v>-121.107907</v>
      </c>
      <c r="I32" s="23">
        <v>-94.081000000000003</v>
      </c>
      <c r="J32" s="23">
        <v>-107.446</v>
      </c>
      <c r="K32" s="23">
        <v>-146</v>
      </c>
      <c r="L32" s="23">
        <v>-145</v>
      </c>
      <c r="M32" s="23">
        <v>-138</v>
      </c>
      <c r="N32" s="35">
        <v>-140</v>
      </c>
      <c r="O32" s="23">
        <f t="shared" si="58"/>
        <v>-147</v>
      </c>
      <c r="P32" s="23">
        <f t="shared" ref="P32:X32" si="60">O32*1</f>
        <v>-147</v>
      </c>
      <c r="Q32" s="23">
        <f t="shared" si="60"/>
        <v>-147</v>
      </c>
      <c r="R32" s="23">
        <f t="shared" si="60"/>
        <v>-147</v>
      </c>
      <c r="S32" s="23">
        <f t="shared" si="60"/>
        <v>-147</v>
      </c>
      <c r="T32" s="23">
        <f t="shared" si="60"/>
        <v>-147</v>
      </c>
      <c r="U32" s="23">
        <f t="shared" si="60"/>
        <v>-147</v>
      </c>
      <c r="V32" s="23">
        <f t="shared" si="60"/>
        <v>-147</v>
      </c>
      <c r="W32" s="23">
        <f t="shared" si="60"/>
        <v>-147</v>
      </c>
      <c r="X32" s="23">
        <f t="shared" si="60"/>
        <v>-147</v>
      </c>
    </row>
    <row r="33" spans="3:119" x14ac:dyDescent="0.25">
      <c r="C33" s="2" t="s">
        <v>125</v>
      </c>
      <c r="D33" s="23">
        <f>D28+D30+D31+D32</f>
        <v>-255.74299999999997</v>
      </c>
      <c r="E33" s="23">
        <f t="shared" ref="E33" si="61">E28+E30+E31+E32</f>
        <v>-385.09999999999997</v>
      </c>
      <c r="F33" s="23">
        <f t="shared" ref="F33" si="62">F28+F30+F31+F32</f>
        <v>-554.07491699999991</v>
      </c>
      <c r="G33" s="23">
        <f t="shared" ref="G33" si="63">G28+G30+G31+G32</f>
        <v>-745.37566000000004</v>
      </c>
      <c r="H33" s="23">
        <f t="shared" ref="H33" si="64">H28+H30+H31+H32</f>
        <v>-915.76294799999982</v>
      </c>
      <c r="I33" s="23">
        <f t="shared" ref="I33" si="65">I28+I30+I31+I32</f>
        <v>-1182.5039999999999</v>
      </c>
      <c r="J33" s="23">
        <f t="shared" ref="J33" si="66">J28+J30+J31+J32</f>
        <v>-1340.3969999999999</v>
      </c>
      <c r="K33" s="23">
        <f t="shared" ref="K33" si="67">K28+K30+K31+K32</f>
        <v>-1511</v>
      </c>
      <c r="L33" s="23">
        <f t="shared" ref="L33" si="68">L28+L30+L31+L32</f>
        <v>-1563</v>
      </c>
      <c r="M33" s="23">
        <f t="shared" ref="M33" si="69">M28+M30+M31+M32</f>
        <v>-1589</v>
      </c>
      <c r="N33" s="35">
        <f t="shared" ref="N33" si="70">N28+N30+N31+N32</f>
        <v>-1687.13</v>
      </c>
      <c r="O33" s="23">
        <f t="shared" ref="O33" si="71">O28+O30+O31+O32</f>
        <v>-1713.3570000000002</v>
      </c>
      <c r="P33" s="23">
        <f t="shared" ref="P33" si="72">P28+P30+P31+P32</f>
        <v>-1713.3570000000002</v>
      </c>
      <c r="Q33" s="23">
        <f t="shared" ref="Q33" si="73">Q28+Q30+Q31+Q32</f>
        <v>-1713.3570000000002</v>
      </c>
      <c r="R33" s="23">
        <f t="shared" ref="R33" si="74">R28+R30+R31+R32</f>
        <v>-1713.3570000000002</v>
      </c>
      <c r="S33" s="23">
        <f t="shared" ref="S33" si="75">S28+S30+S31+S32</f>
        <v>-1713.3570000000002</v>
      </c>
      <c r="T33" s="23">
        <f t="shared" ref="T33" si="76">T28+T30+T31+T32</f>
        <v>-1713.3570000000002</v>
      </c>
      <c r="U33" s="23">
        <f t="shared" ref="U33" si="77">U28+U30+U31+U32</f>
        <v>-1713.3570000000002</v>
      </c>
      <c r="V33" s="23">
        <f t="shared" ref="V33" si="78">V28+V30+V31+V32</f>
        <v>-1713.3570000000002</v>
      </c>
      <c r="W33" s="23">
        <f t="shared" ref="W33" si="79">W28+W30+W31+W32</f>
        <v>-1713.3570000000002</v>
      </c>
      <c r="X33" s="23">
        <f t="shared" ref="X33" si="80">X28+X30+X31+X32</f>
        <v>-1713.3570000000002</v>
      </c>
    </row>
    <row r="34" spans="3:119" x14ac:dyDescent="0.25">
      <c r="C34" s="1" t="s">
        <v>42</v>
      </c>
      <c r="D34" s="22">
        <f t="shared" ref="D34:X34" si="81">D27+D33</f>
        <v>22.086000000000041</v>
      </c>
      <c r="E34" s="22">
        <f t="shared" si="81"/>
        <v>32.351000000000056</v>
      </c>
      <c r="F34" s="22">
        <f t="shared" si="81"/>
        <v>39.700577000000067</v>
      </c>
      <c r="G34" s="22">
        <f t="shared" si="81"/>
        <v>41.191758999999934</v>
      </c>
      <c r="H34" s="22">
        <f t="shared" si="81"/>
        <v>48.39689900000019</v>
      </c>
      <c r="I34" s="22">
        <f t="shared" si="81"/>
        <v>133.3900000000001</v>
      </c>
      <c r="J34" s="22">
        <f t="shared" si="81"/>
        <v>144.93299999999999</v>
      </c>
      <c r="K34" s="22">
        <f t="shared" si="81"/>
        <v>114</v>
      </c>
      <c r="L34" s="22">
        <f t="shared" si="81"/>
        <v>42</v>
      </c>
      <c r="M34" s="22">
        <f t="shared" si="81"/>
        <v>37</v>
      </c>
      <c r="N34" s="34">
        <f t="shared" si="81"/>
        <v>101.47000000000003</v>
      </c>
      <c r="O34" s="22">
        <f t="shared" si="81"/>
        <v>75.242999999999938</v>
      </c>
      <c r="P34" s="22">
        <f t="shared" si="81"/>
        <v>75.242999999999938</v>
      </c>
      <c r="Q34" s="22">
        <f t="shared" si="81"/>
        <v>75.242999999999938</v>
      </c>
      <c r="R34" s="22">
        <f t="shared" si="81"/>
        <v>75.242999999999938</v>
      </c>
      <c r="S34" s="22">
        <f t="shared" si="81"/>
        <v>75.242999999999938</v>
      </c>
      <c r="T34" s="22">
        <f t="shared" si="81"/>
        <v>75.242999999999938</v>
      </c>
      <c r="U34" s="22">
        <f t="shared" si="81"/>
        <v>75.242999999999938</v>
      </c>
      <c r="V34" s="22">
        <f t="shared" si="81"/>
        <v>75.242999999999938</v>
      </c>
      <c r="W34" s="22">
        <f t="shared" si="81"/>
        <v>75.242999999999938</v>
      </c>
      <c r="X34" s="22">
        <f t="shared" si="81"/>
        <v>75.242999999999938</v>
      </c>
    </row>
    <row r="35" spans="3:119" x14ac:dyDescent="0.25">
      <c r="C35" s="2" t="s">
        <v>43</v>
      </c>
      <c r="D35" s="23">
        <v>-8.4960000000000004</v>
      </c>
      <c r="E35" s="23">
        <v>-9.4</v>
      </c>
      <c r="F35" s="23">
        <v>-15.442</v>
      </c>
      <c r="G35" s="23">
        <v>-18.718</v>
      </c>
      <c r="H35" s="23">
        <v>-15</v>
      </c>
      <c r="I35" s="23">
        <v>-29.196000000000002</v>
      </c>
      <c r="J35" s="23">
        <v>-20.353999999999999</v>
      </c>
      <c r="K35" s="23">
        <v>-46</v>
      </c>
      <c r="L35" s="23">
        <v>-56</v>
      </c>
      <c r="M35" s="23">
        <v>5</v>
      </c>
      <c r="N35" s="35">
        <v>-30</v>
      </c>
      <c r="O35" s="23">
        <v>-30</v>
      </c>
      <c r="P35" s="23">
        <v>-30</v>
      </c>
      <c r="Q35" s="23">
        <v>-30</v>
      </c>
      <c r="R35" s="23">
        <v>-30</v>
      </c>
      <c r="S35" s="23">
        <v>-30</v>
      </c>
      <c r="T35" s="23">
        <v>-30</v>
      </c>
      <c r="U35" s="23">
        <v>-30</v>
      </c>
      <c r="V35" s="23">
        <v>-30</v>
      </c>
      <c r="W35" s="23">
        <v>-30</v>
      </c>
      <c r="X35" s="23">
        <v>-30</v>
      </c>
    </row>
    <row r="36" spans="3:119" x14ac:dyDescent="0.25">
      <c r="C36" s="2" t="s">
        <v>44</v>
      </c>
      <c r="D36" s="23">
        <f t="shared" ref="D36:L36" si="82">SUM(D34:D35)</f>
        <v>13.590000000000041</v>
      </c>
      <c r="E36" s="23">
        <f t="shared" si="82"/>
        <v>22.951000000000057</v>
      </c>
      <c r="F36" s="23">
        <f t="shared" si="82"/>
        <v>24.258577000000066</v>
      </c>
      <c r="G36" s="23">
        <f t="shared" si="82"/>
        <v>22.473758999999934</v>
      </c>
      <c r="H36" s="23">
        <f t="shared" si="82"/>
        <v>33.39689900000019</v>
      </c>
      <c r="I36" s="23">
        <f t="shared" si="82"/>
        <v>104.1940000000001</v>
      </c>
      <c r="J36" s="23">
        <f t="shared" si="82"/>
        <v>124.57899999999999</v>
      </c>
      <c r="K36" s="23">
        <f t="shared" si="82"/>
        <v>68</v>
      </c>
      <c r="L36" s="23">
        <f t="shared" si="82"/>
        <v>-14</v>
      </c>
      <c r="M36" s="23">
        <f>SUM(M34:M35)</f>
        <v>42</v>
      </c>
      <c r="N36" s="35">
        <f t="shared" ref="N36:X36" si="83">SUM(N34:N35)</f>
        <v>71.470000000000027</v>
      </c>
      <c r="O36" s="23">
        <f t="shared" si="83"/>
        <v>45.242999999999938</v>
      </c>
      <c r="P36" s="23">
        <f t="shared" si="83"/>
        <v>45.242999999999938</v>
      </c>
      <c r="Q36" s="23">
        <f t="shared" si="83"/>
        <v>45.242999999999938</v>
      </c>
      <c r="R36" s="23">
        <f t="shared" si="83"/>
        <v>45.242999999999938</v>
      </c>
      <c r="S36" s="23">
        <f t="shared" si="83"/>
        <v>45.242999999999938</v>
      </c>
      <c r="T36" s="23">
        <f t="shared" si="83"/>
        <v>45.242999999999938</v>
      </c>
      <c r="U36" s="23">
        <f t="shared" si="83"/>
        <v>45.242999999999938</v>
      </c>
      <c r="V36" s="23">
        <f t="shared" si="83"/>
        <v>45.242999999999938</v>
      </c>
      <c r="W36" s="23">
        <f t="shared" si="83"/>
        <v>45.242999999999938</v>
      </c>
      <c r="X36" s="23">
        <f t="shared" si="83"/>
        <v>45.242999999999938</v>
      </c>
    </row>
    <row r="37" spans="3:119" x14ac:dyDescent="0.25">
      <c r="C37" s="2" t="s">
        <v>45</v>
      </c>
      <c r="D37" s="23">
        <v>-6.7</v>
      </c>
      <c r="E37" s="23">
        <v>-9</v>
      </c>
      <c r="F37" s="23">
        <v>-9.5</v>
      </c>
      <c r="G37" s="23">
        <v>-7.9</v>
      </c>
      <c r="H37" s="23">
        <v>-9.6</v>
      </c>
      <c r="I37" s="23">
        <v>-22.919</v>
      </c>
      <c r="J37" s="23">
        <v>-27.327999999999999</v>
      </c>
      <c r="K37" s="23">
        <v>-17</v>
      </c>
      <c r="L37" s="23">
        <v>4</v>
      </c>
      <c r="M37" s="23">
        <v>-4</v>
      </c>
      <c r="N37" s="35">
        <f>N36*-0.22</f>
        <v>-15.723400000000007</v>
      </c>
      <c r="O37" s="23">
        <f t="shared" ref="O37:X37" si="84">O36*-0.22</f>
        <v>-9.9534599999999873</v>
      </c>
      <c r="P37" s="23">
        <f t="shared" si="84"/>
        <v>-9.9534599999999873</v>
      </c>
      <c r="Q37" s="23">
        <f t="shared" si="84"/>
        <v>-9.9534599999999873</v>
      </c>
      <c r="R37" s="23">
        <f t="shared" si="84"/>
        <v>-9.9534599999999873</v>
      </c>
      <c r="S37" s="23">
        <f t="shared" si="84"/>
        <v>-9.9534599999999873</v>
      </c>
      <c r="T37" s="23">
        <f t="shared" si="84"/>
        <v>-9.9534599999999873</v>
      </c>
      <c r="U37" s="23">
        <f t="shared" si="84"/>
        <v>-9.9534599999999873</v>
      </c>
      <c r="V37" s="23">
        <f t="shared" si="84"/>
        <v>-9.9534599999999873</v>
      </c>
      <c r="W37" s="23">
        <f t="shared" si="84"/>
        <v>-9.9534599999999873</v>
      </c>
      <c r="X37" s="23">
        <f t="shared" si="84"/>
        <v>-9.9534599999999873</v>
      </c>
    </row>
    <row r="38" spans="3:119" x14ac:dyDescent="0.25">
      <c r="C38" s="1" t="s">
        <v>46</v>
      </c>
      <c r="D38" s="22">
        <f t="shared" ref="D38:J38" si="85">SUM(D36:D37)</f>
        <v>6.8900000000000405</v>
      </c>
      <c r="E38" s="22">
        <f t="shared" si="85"/>
        <v>13.951000000000057</v>
      </c>
      <c r="F38" s="22">
        <f t="shared" si="85"/>
        <v>14.758577000000066</v>
      </c>
      <c r="G38" s="22">
        <f t="shared" si="85"/>
        <v>14.573758999999933</v>
      </c>
      <c r="H38" s="22">
        <f t="shared" si="85"/>
        <v>23.796899000000188</v>
      </c>
      <c r="I38" s="22">
        <f t="shared" si="85"/>
        <v>81.275000000000105</v>
      </c>
      <c r="J38" s="22">
        <f t="shared" si="85"/>
        <v>97.250999999999991</v>
      </c>
      <c r="K38" s="22">
        <f>SUM(K36:K37)</f>
        <v>51</v>
      </c>
      <c r="L38" s="22">
        <f>SUM(L36:L37)</f>
        <v>-10</v>
      </c>
      <c r="M38" s="22">
        <f>SUM(M36:M37)</f>
        <v>38</v>
      </c>
      <c r="N38" s="34">
        <f t="shared" ref="N38:X38" si="86">SUM(N36:N37)</f>
        <v>55.746600000000022</v>
      </c>
      <c r="O38" s="22">
        <f t="shared" si="86"/>
        <v>35.289539999999953</v>
      </c>
      <c r="P38" s="22">
        <f t="shared" si="86"/>
        <v>35.289539999999953</v>
      </c>
      <c r="Q38" s="22">
        <f t="shared" si="86"/>
        <v>35.289539999999953</v>
      </c>
      <c r="R38" s="22">
        <f t="shared" si="86"/>
        <v>35.289539999999953</v>
      </c>
      <c r="S38" s="22">
        <f t="shared" si="86"/>
        <v>35.289539999999953</v>
      </c>
      <c r="T38" s="22">
        <f t="shared" si="86"/>
        <v>35.289539999999953</v>
      </c>
      <c r="U38" s="22">
        <f t="shared" si="86"/>
        <v>35.289539999999953</v>
      </c>
      <c r="V38" s="22">
        <f t="shared" si="86"/>
        <v>35.289539999999953</v>
      </c>
      <c r="W38" s="22">
        <f t="shared" si="86"/>
        <v>35.289539999999953</v>
      </c>
      <c r="X38" s="22">
        <f t="shared" si="86"/>
        <v>35.289539999999953</v>
      </c>
      <c r="Y38" s="28">
        <f t="shared" ref="Y38:BD38" si="87">X38*(1+$AA$19)</f>
        <v>34.936644599999951</v>
      </c>
      <c r="Z38" s="28">
        <f t="shared" si="87"/>
        <v>34.587278153999954</v>
      </c>
      <c r="AA38" s="28">
        <f t="shared" si="87"/>
        <v>34.241405372459951</v>
      </c>
      <c r="AB38" s="28">
        <f t="shared" si="87"/>
        <v>33.898991318735348</v>
      </c>
      <c r="AC38" s="28">
        <f t="shared" si="87"/>
        <v>33.560001405547993</v>
      </c>
      <c r="AD38" s="28">
        <f t="shared" si="87"/>
        <v>33.224401391492513</v>
      </c>
      <c r="AE38" s="28">
        <f t="shared" si="87"/>
        <v>32.89215737757759</v>
      </c>
      <c r="AF38" s="28">
        <f t="shared" si="87"/>
        <v>32.563235803801817</v>
      </c>
      <c r="AG38" s="28">
        <f t="shared" si="87"/>
        <v>32.237603445763796</v>
      </c>
      <c r="AH38" s="28">
        <f t="shared" si="87"/>
        <v>31.915227411306159</v>
      </c>
      <c r="AI38" s="28">
        <f t="shared" si="87"/>
        <v>31.596075137193097</v>
      </c>
      <c r="AJ38" s="28">
        <f t="shared" si="87"/>
        <v>31.280114385821165</v>
      </c>
      <c r="AK38" s="28">
        <f t="shared" si="87"/>
        <v>30.967313241962952</v>
      </c>
      <c r="AL38" s="28">
        <f t="shared" si="87"/>
        <v>30.657640109543323</v>
      </c>
      <c r="AM38" s="28">
        <f t="shared" si="87"/>
        <v>30.351063708447889</v>
      </c>
      <c r="AN38" s="28">
        <f t="shared" si="87"/>
        <v>30.04755307136341</v>
      </c>
      <c r="AO38" s="28">
        <f t="shared" si="87"/>
        <v>29.747077540649776</v>
      </c>
      <c r="AP38" s="28">
        <f t="shared" si="87"/>
        <v>29.449606765243278</v>
      </c>
      <c r="AQ38" s="28">
        <f t="shared" si="87"/>
        <v>29.155110697590846</v>
      </c>
      <c r="AR38" s="28">
        <f t="shared" si="87"/>
        <v>28.863559590614937</v>
      </c>
      <c r="AS38" s="28">
        <f t="shared" si="87"/>
        <v>28.574923994708787</v>
      </c>
      <c r="AT38" s="28">
        <f t="shared" si="87"/>
        <v>28.289174754761699</v>
      </c>
      <c r="AU38" s="28">
        <f t="shared" si="87"/>
        <v>28.006283007214083</v>
      </c>
      <c r="AV38" s="28">
        <f t="shared" si="87"/>
        <v>27.726220177141943</v>
      </c>
      <c r="AW38" s="28">
        <f t="shared" si="87"/>
        <v>27.448957975370522</v>
      </c>
      <c r="AX38" s="28">
        <f t="shared" si="87"/>
        <v>27.174468395616817</v>
      </c>
      <c r="AY38" s="28">
        <f t="shared" si="87"/>
        <v>26.902723711660649</v>
      </c>
      <c r="AZ38" s="28">
        <f t="shared" si="87"/>
        <v>26.633696474544042</v>
      </c>
      <c r="BA38" s="28">
        <f t="shared" si="87"/>
        <v>26.3673595097986</v>
      </c>
      <c r="BB38" s="28">
        <f t="shared" si="87"/>
        <v>26.103685914700613</v>
      </c>
      <c r="BC38" s="28">
        <f t="shared" si="87"/>
        <v>25.842649055553608</v>
      </c>
      <c r="BD38" s="28">
        <f t="shared" si="87"/>
        <v>25.584222564998072</v>
      </c>
      <c r="BE38" s="28">
        <f t="shared" ref="BE38:CJ38" si="88">BD38*(1+$AA$19)</f>
        <v>25.32838033934809</v>
      </c>
      <c r="BF38" s="28">
        <f t="shared" si="88"/>
        <v>25.075096535954611</v>
      </c>
      <c r="BG38" s="28">
        <f t="shared" si="88"/>
        <v>24.824345570595064</v>
      </c>
      <c r="BH38" s="28">
        <f t="shared" si="88"/>
        <v>24.576102114889114</v>
      </c>
      <c r="BI38" s="28">
        <f t="shared" si="88"/>
        <v>24.330341093740223</v>
      </c>
      <c r="BJ38" s="28">
        <f t="shared" si="88"/>
        <v>24.087037682802819</v>
      </c>
      <c r="BK38" s="28">
        <f t="shared" si="88"/>
        <v>23.846167305974792</v>
      </c>
      <c r="BL38" s="28">
        <f t="shared" si="88"/>
        <v>23.607705632915042</v>
      </c>
      <c r="BM38" s="28">
        <f t="shared" si="88"/>
        <v>23.371628576585891</v>
      </c>
      <c r="BN38" s="28">
        <f t="shared" si="88"/>
        <v>23.137912290820033</v>
      </c>
      <c r="BO38" s="28">
        <f t="shared" si="88"/>
        <v>22.906533167911832</v>
      </c>
      <c r="BP38" s="28">
        <f t="shared" si="88"/>
        <v>22.677467836232712</v>
      </c>
      <c r="BQ38" s="28">
        <f t="shared" si="88"/>
        <v>22.450693157870383</v>
      </c>
      <c r="BR38" s="28">
        <f t="shared" si="88"/>
        <v>22.226186226291677</v>
      </c>
      <c r="BS38" s="28">
        <f t="shared" si="88"/>
        <v>22.003924364028759</v>
      </c>
      <c r="BT38" s="28">
        <f t="shared" si="88"/>
        <v>21.783885120388472</v>
      </c>
      <c r="BU38" s="28">
        <f t="shared" si="88"/>
        <v>21.566046269184586</v>
      </c>
      <c r="BV38" s="28">
        <f t="shared" si="88"/>
        <v>21.350385806492739</v>
      </c>
      <c r="BW38" s="28">
        <f t="shared" si="88"/>
        <v>21.13688194842781</v>
      </c>
      <c r="BX38" s="28">
        <f t="shared" si="88"/>
        <v>20.925513128943532</v>
      </c>
      <c r="BY38" s="28">
        <f t="shared" si="88"/>
        <v>20.716257997654097</v>
      </c>
      <c r="BZ38" s="28">
        <f t="shared" si="88"/>
        <v>20.509095417677557</v>
      </c>
      <c r="CA38" s="28">
        <f t="shared" si="88"/>
        <v>20.304004463500782</v>
      </c>
      <c r="CB38" s="28">
        <f t="shared" si="88"/>
        <v>20.100964418865775</v>
      </c>
      <c r="CC38" s="28">
        <f t="shared" si="88"/>
        <v>19.899954774677116</v>
      </c>
      <c r="CD38" s="28">
        <f t="shared" si="88"/>
        <v>19.700955226930343</v>
      </c>
      <c r="CE38" s="28">
        <f t="shared" si="88"/>
        <v>19.50394567466104</v>
      </c>
      <c r="CF38" s="28">
        <f t="shared" si="88"/>
        <v>19.30890621791443</v>
      </c>
      <c r="CG38" s="28">
        <f t="shared" si="88"/>
        <v>19.115817155735286</v>
      </c>
      <c r="CH38" s="28">
        <f t="shared" si="88"/>
        <v>18.924658984177931</v>
      </c>
      <c r="CI38" s="28">
        <f t="shared" si="88"/>
        <v>18.735412394336151</v>
      </c>
      <c r="CJ38" s="28">
        <f t="shared" si="88"/>
        <v>18.54805827039279</v>
      </c>
      <c r="CK38" s="28">
        <f t="shared" ref="CK38:DO38" si="89">CJ38*(1+$AA$19)</f>
        <v>18.362577687688862</v>
      </c>
      <c r="CL38" s="28">
        <f t="shared" si="89"/>
        <v>18.178951910811975</v>
      </c>
      <c r="CM38" s="28">
        <f t="shared" si="89"/>
        <v>17.997162391703856</v>
      </c>
      <c r="CN38" s="28">
        <f t="shared" si="89"/>
        <v>17.817190767786819</v>
      </c>
      <c r="CO38" s="28">
        <f t="shared" si="89"/>
        <v>17.639018860108951</v>
      </c>
      <c r="CP38" s="28">
        <f t="shared" si="89"/>
        <v>17.462628671507861</v>
      </c>
      <c r="CQ38" s="28">
        <f t="shared" si="89"/>
        <v>17.288002384792783</v>
      </c>
      <c r="CR38" s="28">
        <f t="shared" si="89"/>
        <v>17.115122360944856</v>
      </c>
      <c r="CS38" s="28">
        <f t="shared" si="89"/>
        <v>16.943971137335406</v>
      </c>
      <c r="CT38" s="28">
        <f t="shared" si="89"/>
        <v>16.774531425962053</v>
      </c>
      <c r="CU38" s="28">
        <f t="shared" si="89"/>
        <v>16.606786111702434</v>
      </c>
      <c r="CV38" s="28">
        <f t="shared" si="89"/>
        <v>16.440718250585409</v>
      </c>
      <c r="CW38" s="28">
        <f t="shared" si="89"/>
        <v>16.276311068079554</v>
      </c>
      <c r="CX38" s="28">
        <f t="shared" si="89"/>
        <v>16.113547957398758</v>
      </c>
      <c r="CY38" s="28">
        <f t="shared" si="89"/>
        <v>15.952412477824771</v>
      </c>
      <c r="CZ38" s="28">
        <f t="shared" si="89"/>
        <v>15.792888353046523</v>
      </c>
      <c r="DA38" s="28">
        <f t="shared" si="89"/>
        <v>15.634959469516058</v>
      </c>
      <c r="DB38" s="28">
        <f t="shared" si="89"/>
        <v>15.478609874820897</v>
      </c>
      <c r="DC38" s="28">
        <f t="shared" si="89"/>
        <v>15.323823776072688</v>
      </c>
      <c r="DD38" s="28">
        <f t="shared" si="89"/>
        <v>15.170585538311961</v>
      </c>
      <c r="DE38" s="28">
        <f t="shared" si="89"/>
        <v>15.018879682928841</v>
      </c>
      <c r="DF38" s="28">
        <f t="shared" si="89"/>
        <v>14.868690886099552</v>
      </c>
      <c r="DG38" s="28">
        <f t="shared" si="89"/>
        <v>14.720003977238557</v>
      </c>
      <c r="DH38" s="28">
        <f t="shared" si="89"/>
        <v>14.572803937466171</v>
      </c>
      <c r="DI38" s="28">
        <f t="shared" si="89"/>
        <v>14.427075898091509</v>
      </c>
      <c r="DJ38" s="28">
        <f t="shared" si="89"/>
        <v>14.282805139110593</v>
      </c>
      <c r="DK38" s="28">
        <f t="shared" si="89"/>
        <v>14.139977087719487</v>
      </c>
      <c r="DL38" s="28">
        <f t="shared" si="89"/>
        <v>13.998577316842292</v>
      </c>
      <c r="DM38" s="28">
        <f t="shared" si="89"/>
        <v>13.858591543673869</v>
      </c>
      <c r="DN38" s="28">
        <f t="shared" si="89"/>
        <v>13.72000562823713</v>
      </c>
      <c r="DO38" s="28">
        <f t="shared" si="89"/>
        <v>13.58280557195476</v>
      </c>
    </row>
    <row r="39" spans="3:119" x14ac:dyDescent="0.25">
      <c r="C39" s="2" t="s">
        <v>47</v>
      </c>
      <c r="I39" s="11">
        <v>21.3</v>
      </c>
      <c r="J39" s="11">
        <v>21.3</v>
      </c>
      <c r="K39" s="11">
        <v>50.782200000000003</v>
      </c>
      <c r="L39" s="11">
        <v>50.782200000000003</v>
      </c>
      <c r="M39" s="11">
        <v>50.782200000000003</v>
      </c>
      <c r="N39" s="10">
        <v>50.782200000000003</v>
      </c>
      <c r="O39" s="11">
        <v>50.782200000000003</v>
      </c>
      <c r="P39" s="11">
        <v>50.782200000000003</v>
      </c>
      <c r="Q39" s="11">
        <v>50.782200000000003</v>
      </c>
      <c r="R39" s="11">
        <v>50.782200000000003</v>
      </c>
      <c r="S39" s="11">
        <v>50.782200000000003</v>
      </c>
      <c r="T39" s="11">
        <v>50.782200000000003</v>
      </c>
      <c r="U39" s="11">
        <v>50.782200000000003</v>
      </c>
      <c r="V39" s="11">
        <v>50.782200000000003</v>
      </c>
      <c r="W39" s="11">
        <v>50.782200000000003</v>
      </c>
      <c r="X39" s="11">
        <v>50.782200000000003</v>
      </c>
    </row>
    <row r="40" spans="3:119" x14ac:dyDescent="0.25">
      <c r="C40" s="2" t="s">
        <v>48</v>
      </c>
      <c r="I40" s="12">
        <f>I38/I39</f>
        <v>3.8157276995305214</v>
      </c>
      <c r="J40" s="12">
        <f>J38/J39</f>
        <v>4.5657746478873236</v>
      </c>
      <c r="K40" s="12">
        <f t="shared" ref="K40:X40" si="90">K38/K39</f>
        <v>1.0042889043798811</v>
      </c>
      <c r="L40" s="12">
        <f t="shared" si="90"/>
        <v>-0.19691939301566297</v>
      </c>
      <c r="M40" s="12">
        <f t="shared" si="90"/>
        <v>0.74829369345951924</v>
      </c>
      <c r="N40" s="9">
        <f t="shared" si="90"/>
        <v>1.097758663468696</v>
      </c>
      <c r="O40" s="12">
        <f t="shared" si="90"/>
        <v>0.69491947966019496</v>
      </c>
      <c r="P40" s="12">
        <f t="shared" si="90"/>
        <v>0.69491947966019496</v>
      </c>
      <c r="Q40" s="12">
        <f t="shared" si="90"/>
        <v>0.69491947966019496</v>
      </c>
      <c r="R40" s="12">
        <f t="shared" si="90"/>
        <v>0.69491947966019496</v>
      </c>
      <c r="S40" s="12">
        <f t="shared" si="90"/>
        <v>0.69491947966019496</v>
      </c>
      <c r="T40" s="12">
        <f t="shared" si="90"/>
        <v>0.69491947966019496</v>
      </c>
      <c r="U40" s="12">
        <f t="shared" si="90"/>
        <v>0.69491947966019496</v>
      </c>
      <c r="V40" s="12">
        <f t="shared" si="90"/>
        <v>0.69491947966019496</v>
      </c>
      <c r="W40" s="12">
        <f t="shared" si="90"/>
        <v>0.69491947966019496</v>
      </c>
      <c r="X40" s="12">
        <f t="shared" si="90"/>
        <v>0.69491947966019496</v>
      </c>
    </row>
    <row r="41" spans="3:119" x14ac:dyDescent="0.25">
      <c r="N41" s="4"/>
      <c r="Z41" s="2" t="s">
        <v>93</v>
      </c>
      <c r="AA41" s="27">
        <v>0.08</v>
      </c>
    </row>
    <row r="42" spans="3:119" x14ac:dyDescent="0.25">
      <c r="C42" s="1" t="s">
        <v>34</v>
      </c>
      <c r="E42" s="15">
        <f t="shared" ref="E42:X42" si="91">(E27-D27)/D27</f>
        <v>0.50254653041979058</v>
      </c>
      <c r="F42" s="15">
        <f t="shared" si="91"/>
        <v>0.42238369054092562</v>
      </c>
      <c r="G42" s="15">
        <f t="shared" si="91"/>
        <v>0.32468824824892489</v>
      </c>
      <c r="H42" s="15">
        <f t="shared" si="91"/>
        <v>0.22578157156036494</v>
      </c>
      <c r="I42" s="15">
        <f t="shared" si="91"/>
        <v>0.36480896201436608</v>
      </c>
      <c r="J42" s="15">
        <f t="shared" si="91"/>
        <v>0.12876113121573615</v>
      </c>
      <c r="K42" s="15">
        <f t="shared" si="91"/>
        <v>9.4032975837019431E-2</v>
      </c>
      <c r="L42" s="15">
        <f t="shared" si="91"/>
        <v>-1.2307692307692308E-2</v>
      </c>
      <c r="M42" s="15">
        <f t="shared" si="91"/>
        <v>1.3084112149532711E-2</v>
      </c>
      <c r="N42" s="16">
        <f t="shared" si="91"/>
        <v>0.10000000000000009</v>
      </c>
      <c r="O42" s="15">
        <f t="shared" si="91"/>
        <v>0</v>
      </c>
      <c r="P42" s="15">
        <f t="shared" si="91"/>
        <v>0</v>
      </c>
      <c r="Q42" s="15">
        <f t="shared" si="91"/>
        <v>0</v>
      </c>
      <c r="R42" s="15">
        <f t="shared" si="91"/>
        <v>0</v>
      </c>
      <c r="S42" s="15">
        <f t="shared" si="91"/>
        <v>0</v>
      </c>
      <c r="T42" s="15">
        <f t="shared" si="91"/>
        <v>0</v>
      </c>
      <c r="U42" s="15">
        <f t="shared" si="91"/>
        <v>0</v>
      </c>
      <c r="V42" s="15">
        <f t="shared" si="91"/>
        <v>0</v>
      </c>
      <c r="W42" s="15">
        <f t="shared" si="91"/>
        <v>0</v>
      </c>
      <c r="X42" s="15">
        <f t="shared" si="91"/>
        <v>0</v>
      </c>
      <c r="Z42" s="2" t="s">
        <v>94</v>
      </c>
      <c r="AA42" s="27">
        <v>-0.01</v>
      </c>
    </row>
    <row r="43" spans="3:119" x14ac:dyDescent="0.25">
      <c r="C43" s="1" t="s">
        <v>124</v>
      </c>
      <c r="D43" s="21"/>
      <c r="E43" s="21"/>
      <c r="F43" s="21"/>
      <c r="G43" s="21"/>
      <c r="H43" s="21"/>
      <c r="I43" s="15"/>
      <c r="J43" s="15"/>
      <c r="K43" s="15"/>
      <c r="L43" s="15"/>
      <c r="M43" s="15"/>
      <c r="N43" s="36"/>
      <c r="O43" s="18"/>
      <c r="P43" s="18"/>
      <c r="Q43" s="18"/>
      <c r="R43" s="18"/>
      <c r="S43" s="18"/>
      <c r="T43" s="18"/>
      <c r="U43" s="18"/>
      <c r="V43" s="18"/>
      <c r="W43" s="18"/>
      <c r="X43" s="18"/>
      <c r="Z43" s="20" t="s">
        <v>95</v>
      </c>
      <c r="AA43" s="29">
        <f>NPV(AA41,N38:DO38)</f>
        <v>437.31555198989139</v>
      </c>
    </row>
    <row r="44" spans="3:119" x14ac:dyDescent="0.25">
      <c r="C44" s="2" t="s">
        <v>126</v>
      </c>
      <c r="E44" s="13">
        <f t="shared" ref="E44" si="92">(E33-D33)/D33</f>
        <v>0.50580856563033993</v>
      </c>
      <c r="F44" s="13">
        <f t="shared" ref="F44" si="93">(F33-E33)/E33</f>
        <v>0.43878191898208246</v>
      </c>
      <c r="G44" s="13">
        <f t="shared" ref="G44" si="94">(G33-F33)/F33</f>
        <v>0.34526151090864154</v>
      </c>
      <c r="H44" s="13">
        <f t="shared" ref="H44" si="95">(H33-G33)/G33</f>
        <v>0.22859250327546216</v>
      </c>
      <c r="I44" s="13">
        <f t="shared" ref="I44" si="96">(I33-H33)/H33</f>
        <v>0.29127740162730426</v>
      </c>
      <c r="J44" s="13">
        <f t="shared" ref="J44" si="97">(J33-I33)/I33</f>
        <v>0.13352428406161843</v>
      </c>
      <c r="K44" s="13">
        <f t="shared" ref="K44" si="98">(K33-J33)/J33</f>
        <v>0.12727796317061293</v>
      </c>
      <c r="L44" s="13">
        <f t="shared" ref="L44" si="99">(L33-K33)/K33</f>
        <v>3.4414295168762411E-2</v>
      </c>
      <c r="M44" s="13">
        <f t="shared" ref="M44" si="100">(M33-L33)/L33</f>
        <v>1.6634676903390915E-2</v>
      </c>
      <c r="N44" s="14">
        <f>(N33-M33)/M33</f>
        <v>6.1755821271239845E-2</v>
      </c>
      <c r="O44" s="13">
        <f t="shared" ref="O44" si="101">(O33-N33)/N33</f>
        <v>1.5545334384428044E-2</v>
      </c>
      <c r="P44" s="13">
        <f t="shared" ref="P44" si="102">(P33-O33)/O33</f>
        <v>0</v>
      </c>
      <c r="Q44" s="13">
        <f t="shared" ref="Q44" si="103">(Q33-P33)/P33</f>
        <v>0</v>
      </c>
      <c r="R44" s="13">
        <f t="shared" ref="R44" si="104">(R33-Q33)/Q33</f>
        <v>0</v>
      </c>
      <c r="S44" s="13">
        <f t="shared" ref="S44" si="105">(S33-R33)/R33</f>
        <v>0</v>
      </c>
      <c r="T44" s="13">
        <f t="shared" ref="T44" si="106">(T33-S33)/S33</f>
        <v>0</v>
      </c>
      <c r="U44" s="13">
        <f t="shared" ref="U44" si="107">(U33-T33)/T33</f>
        <v>0</v>
      </c>
      <c r="V44" s="13">
        <f t="shared" ref="V44" si="108">(V33-U33)/U33</f>
        <v>0</v>
      </c>
      <c r="W44" s="13">
        <f t="shared" ref="W44" si="109">(W33-V33)/V33</f>
        <v>0</v>
      </c>
      <c r="X44" s="13">
        <f t="shared" ref="X44" si="110">(X33-W33)/W33</f>
        <v>0</v>
      </c>
      <c r="Z44" s="2" t="s">
        <v>2</v>
      </c>
      <c r="AA44" s="11">
        <v>50.782200000000003</v>
      </c>
    </row>
    <row r="45" spans="3:119" x14ac:dyDescent="0.25">
      <c r="C45" s="2" t="s">
        <v>85</v>
      </c>
      <c r="D45" s="13">
        <f t="shared" ref="D45:M45" si="111">D29/D27</f>
        <v>0.44788700963542322</v>
      </c>
      <c r="E45" s="13">
        <f t="shared" si="111"/>
        <v>0.4462655497291898</v>
      </c>
      <c r="F45" s="13">
        <f t="shared" si="111"/>
        <v>0.43406159837239766</v>
      </c>
      <c r="G45" s="13">
        <f t="shared" si="111"/>
        <v>0.40976950381414157</v>
      </c>
      <c r="H45" s="13">
        <f t="shared" si="111"/>
        <v>0.38841151512919214</v>
      </c>
      <c r="I45" s="13">
        <f t="shared" si="111"/>
        <v>0.3932725584279585</v>
      </c>
      <c r="J45" s="13">
        <f t="shared" si="111"/>
        <v>0.38578968983323569</v>
      </c>
      <c r="K45" s="13">
        <f t="shared" si="111"/>
        <v>0.37353846153846154</v>
      </c>
      <c r="L45" s="13">
        <f t="shared" si="111"/>
        <v>0.34579439252336447</v>
      </c>
      <c r="M45" s="13">
        <f t="shared" si="111"/>
        <v>0.33948339483394835</v>
      </c>
      <c r="N45" s="14">
        <f>N29/N27</f>
        <v>0.35</v>
      </c>
      <c r="O45" s="13">
        <f t="shared" ref="O45:X45" si="112">O29/O27</f>
        <v>0.35</v>
      </c>
      <c r="P45" s="13">
        <f t="shared" si="112"/>
        <v>0.35</v>
      </c>
      <c r="Q45" s="13">
        <f t="shared" si="112"/>
        <v>0.35</v>
      </c>
      <c r="R45" s="13">
        <f t="shared" si="112"/>
        <v>0.35</v>
      </c>
      <c r="S45" s="13">
        <f t="shared" si="112"/>
        <v>0.35</v>
      </c>
      <c r="T45" s="13">
        <f t="shared" si="112"/>
        <v>0.35</v>
      </c>
      <c r="U45" s="13">
        <f t="shared" si="112"/>
        <v>0.35</v>
      </c>
      <c r="V45" s="13">
        <f t="shared" si="112"/>
        <v>0.35</v>
      </c>
      <c r="W45" s="13">
        <f t="shared" si="112"/>
        <v>0.35</v>
      </c>
      <c r="X45" s="13">
        <f t="shared" si="112"/>
        <v>0.35</v>
      </c>
      <c r="Z45" s="1" t="s">
        <v>96</v>
      </c>
      <c r="AA45" s="30">
        <f>AA43/AA44</f>
        <v>8.6115913054159012</v>
      </c>
    </row>
    <row r="46" spans="3:119" x14ac:dyDescent="0.25">
      <c r="C46" s="2" t="s">
        <v>53</v>
      </c>
      <c r="D46" s="13">
        <f t="shared" ref="D46:X46" si="113">D34/D27</f>
        <v>7.9494941132855254E-2</v>
      </c>
      <c r="E46" s="13">
        <f t="shared" si="113"/>
        <v>7.749652054971734E-2</v>
      </c>
      <c r="F46" s="13">
        <f t="shared" si="113"/>
        <v>6.6861258844744559E-2</v>
      </c>
      <c r="G46" s="13">
        <f t="shared" si="113"/>
        <v>5.2369012502919261E-2</v>
      </c>
      <c r="H46" s="13">
        <f t="shared" si="113"/>
        <v>5.0195928766986073E-2</v>
      </c>
      <c r="I46" s="13">
        <f t="shared" si="113"/>
        <v>0.10136834729849069</v>
      </c>
      <c r="J46" s="13">
        <f t="shared" si="113"/>
        <v>9.7576296176607222E-2</v>
      </c>
      <c r="K46" s="13">
        <f t="shared" si="113"/>
        <v>7.015384615384615E-2</v>
      </c>
      <c r="L46" s="13">
        <f t="shared" si="113"/>
        <v>2.6168224299065422E-2</v>
      </c>
      <c r="M46" s="13">
        <f t="shared" si="113"/>
        <v>2.2755227552275523E-2</v>
      </c>
      <c r="N46" s="14">
        <f t="shared" si="113"/>
        <v>5.6731521860673165E-2</v>
      </c>
      <c r="O46" s="13">
        <f t="shared" si="113"/>
        <v>4.2068097953706772E-2</v>
      </c>
      <c r="P46" s="13">
        <f t="shared" si="113"/>
        <v>4.2068097953706772E-2</v>
      </c>
      <c r="Q46" s="13">
        <f t="shared" si="113"/>
        <v>4.2068097953706772E-2</v>
      </c>
      <c r="R46" s="13">
        <f t="shared" si="113"/>
        <v>4.2068097953706772E-2</v>
      </c>
      <c r="S46" s="13">
        <f t="shared" si="113"/>
        <v>4.2068097953706772E-2</v>
      </c>
      <c r="T46" s="13">
        <f t="shared" si="113"/>
        <v>4.2068097953706772E-2</v>
      </c>
      <c r="U46" s="13">
        <f t="shared" si="113"/>
        <v>4.2068097953706772E-2</v>
      </c>
      <c r="V46" s="13">
        <f t="shared" si="113"/>
        <v>4.2068097953706772E-2</v>
      </c>
      <c r="W46" s="13">
        <f t="shared" si="113"/>
        <v>4.2068097953706772E-2</v>
      </c>
      <c r="X46" s="13">
        <f t="shared" si="113"/>
        <v>4.2068097953706772E-2</v>
      </c>
      <c r="Z46" s="1" t="s">
        <v>97</v>
      </c>
      <c r="AA46" s="15">
        <f>(AA45-Modell!$B$4)/Modell!$B$4</f>
        <v>-0.429695940038682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Info</vt:lpstr>
      <vt:lpstr>Modell</vt:lpstr>
      <vt:lpstr>Segementer</vt:lpstr>
      <vt:lpstr>SOTP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(Student) Hodt, August</cp:lastModifiedBy>
  <dcterms:created xsi:type="dcterms:W3CDTF">2025-02-09T20:32:11Z</dcterms:created>
  <dcterms:modified xsi:type="dcterms:W3CDTF">2026-05-28T16:56:21Z</dcterms:modified>
</cp:coreProperties>
</file>