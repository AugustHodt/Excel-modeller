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3BDA6ED5-CD08-FC46-9C85-180EC21F23B3}" xr6:coauthVersionLast="47" xr6:coauthVersionMax="47" xr10:uidLastSave="{00000000-0000-0000-0000-000000000000}"/>
  <bookViews>
    <workbookView xWindow="25080" yWindow="500" windowWidth="26120" windowHeight="26740" activeTab="4" xr2:uid="{5AE0DF26-B7DD-1242-A60E-253C73A930AF}"/>
  </bookViews>
  <sheets>
    <sheet name="Info" sheetId="1" r:id="rId1"/>
    <sheet name="Modell" sheetId="2" r:id="rId2"/>
    <sheet name="Segementer" sheetId="4" r:id="rId3"/>
    <sheet name="Segmenter P L" sheetId="12" r:id="rId4"/>
    <sheet name="Kapitalbro" sheetId="11" r:id="rId5"/>
    <sheet name="Kvalitet bok (Gross)" sheetId="7" r:id="rId6"/>
    <sheet name="Kvalitet bok (provisons)" sheetId="9" r:id="rId7"/>
    <sheet name="Net credit losses" sheetId="8" r:id="rId8"/>
    <sheet name="Funding" sheetId="10" r:id="rId9"/>
    <sheet name="Nøkkeltall" sheetId="3" r:id="rId10"/>
    <sheet name="Nedsideberegning" sheetId="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0" i="2" l="1"/>
  <c r="U28" i="2" l="1"/>
  <c r="AD30" i="2"/>
  <c r="AD29" i="2"/>
  <c r="U25" i="2"/>
  <c r="AD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S28" i="2" l="1"/>
  <c r="AD25" i="2"/>
  <c r="T81" i="9"/>
  <c r="T59" i="7"/>
  <c r="D11" i="11"/>
  <c r="D12" i="11"/>
  <c r="D13" i="11"/>
  <c r="AA70" i="12"/>
  <c r="AA69" i="12"/>
  <c r="AA67" i="12"/>
  <c r="AA65" i="12"/>
  <c r="AA64" i="12"/>
  <c r="AA63" i="12"/>
  <c r="AA61" i="12"/>
  <c r="AA60" i="12"/>
  <c r="AA59" i="12"/>
  <c r="AA57" i="12"/>
  <c r="AA58" i="12" s="1"/>
  <c r="AA62" i="12" s="1"/>
  <c r="AA66" i="12" s="1"/>
  <c r="AA68" i="12" s="1"/>
  <c r="AA71" i="12" s="1"/>
  <c r="AA73" i="12" s="1"/>
  <c r="AA56" i="12"/>
  <c r="V70" i="12"/>
  <c r="V69" i="12"/>
  <c r="V67" i="12"/>
  <c r="V65" i="12"/>
  <c r="V64" i="12"/>
  <c r="V63" i="12"/>
  <c r="V61" i="12"/>
  <c r="V60" i="12"/>
  <c r="V59" i="12"/>
  <c r="V58" i="12"/>
  <c r="V62" i="12" s="1"/>
  <c r="V66" i="12" s="1"/>
  <c r="V68" i="12" s="1"/>
  <c r="V71" i="12" s="1"/>
  <c r="V73" i="12" s="1"/>
  <c r="V57" i="12"/>
  <c r="V56" i="12"/>
  <c r="AA45" i="12"/>
  <c r="AA44" i="12"/>
  <c r="AA42" i="12"/>
  <c r="AA40" i="12"/>
  <c r="AA39" i="12"/>
  <c r="AA38" i="12"/>
  <c r="AA36" i="12"/>
  <c r="AA35" i="12"/>
  <c r="AA34" i="12"/>
  <c r="AA32" i="12"/>
  <c r="AA33" i="12" s="1"/>
  <c r="AA37" i="12" s="1"/>
  <c r="AA41" i="12" s="1"/>
  <c r="AA43" i="12" s="1"/>
  <c r="AA46" i="12" s="1"/>
  <c r="AA48" i="12" s="1"/>
  <c r="AA31" i="12"/>
  <c r="V45" i="12"/>
  <c r="V44" i="12"/>
  <c r="V42" i="12"/>
  <c r="V40" i="12"/>
  <c r="V39" i="12"/>
  <c r="V38" i="12"/>
  <c r="V36" i="12"/>
  <c r="V35" i="12"/>
  <c r="V34" i="12"/>
  <c r="V32" i="12"/>
  <c r="V31" i="12"/>
  <c r="V33" i="12" s="1"/>
  <c r="V37" i="12" s="1"/>
  <c r="V41" i="12" s="1"/>
  <c r="V43" i="12" s="1"/>
  <c r="V46" i="12" s="1"/>
  <c r="V48" i="12" s="1"/>
  <c r="AA20" i="12"/>
  <c r="AA19" i="12"/>
  <c r="AA17" i="12"/>
  <c r="AA15" i="12"/>
  <c r="AA14" i="12"/>
  <c r="AA13" i="12"/>
  <c r="AA11" i="12"/>
  <c r="AA10" i="12"/>
  <c r="AA9" i="12"/>
  <c r="AA7" i="12"/>
  <c r="AA6" i="12"/>
  <c r="AA8" i="12" s="1"/>
  <c r="AA12" i="12" s="1"/>
  <c r="AA16" i="12" s="1"/>
  <c r="AA18" i="12" s="1"/>
  <c r="AA21" i="12" s="1"/>
  <c r="AA23" i="12" s="1"/>
  <c r="V20" i="12"/>
  <c r="V19" i="12"/>
  <c r="V17" i="12"/>
  <c r="V15" i="12"/>
  <c r="V14" i="12"/>
  <c r="V13" i="12"/>
  <c r="V11" i="12"/>
  <c r="V10" i="12"/>
  <c r="V9" i="12"/>
  <c r="V7" i="12"/>
  <c r="V6" i="12"/>
  <c r="V8" i="12" s="1"/>
  <c r="V12" i="12" s="1"/>
  <c r="V16" i="12" s="1"/>
  <c r="V18" i="12" s="1"/>
  <c r="Q67" i="12"/>
  <c r="Q65" i="12"/>
  <c r="Q64" i="12"/>
  <c r="Q63" i="12"/>
  <c r="Q61" i="12"/>
  <c r="Q60" i="12"/>
  <c r="Q59" i="12"/>
  <c r="Q57" i="12"/>
  <c r="Q58" i="12" s="1"/>
  <c r="Q62" i="12" s="1"/>
  <c r="Q66" i="12" s="1"/>
  <c r="Q68" i="12" s="1"/>
  <c r="Q56" i="12"/>
  <c r="Q42" i="12"/>
  <c r="Q40" i="12"/>
  <c r="Q39" i="12"/>
  <c r="Q38" i="12"/>
  <c r="Q36" i="12"/>
  <c r="Q35" i="12"/>
  <c r="Q34" i="12"/>
  <c r="Q32" i="12"/>
  <c r="Q31" i="12"/>
  <c r="Q33" i="12" s="1"/>
  <c r="Q37" i="12" s="1"/>
  <c r="Q41" i="12" s="1"/>
  <c r="Q43" i="12" s="1"/>
  <c r="Q17" i="12"/>
  <c r="Q15" i="12"/>
  <c r="Q14" i="12"/>
  <c r="Q13" i="12"/>
  <c r="Q11" i="12"/>
  <c r="Q10" i="12"/>
  <c r="Q9" i="12"/>
  <c r="Q7" i="12"/>
  <c r="Q6" i="12"/>
  <c r="Z73" i="12"/>
  <c r="Y73" i="12"/>
  <c r="X73" i="12"/>
  <c r="T23" i="12"/>
  <c r="Z23" i="12"/>
  <c r="Y23" i="12"/>
  <c r="Z48" i="12"/>
  <c r="Y48" i="12"/>
  <c r="X48" i="12"/>
  <c r="Y8" i="12"/>
  <c r="Y12" i="12" s="1"/>
  <c r="Y16" i="12" s="1"/>
  <c r="Y18" i="12" s="1"/>
  <c r="Y21" i="12" s="1"/>
  <c r="Z8" i="12"/>
  <c r="Z12" i="12" s="1"/>
  <c r="Z16" i="12" s="1"/>
  <c r="Z18" i="12" s="1"/>
  <c r="Z21" i="12" s="1"/>
  <c r="Y58" i="12"/>
  <c r="Y62" i="12" s="1"/>
  <c r="Y66" i="12" s="1"/>
  <c r="Y68" i="12" s="1"/>
  <c r="Y71" i="12" s="1"/>
  <c r="Z58" i="12"/>
  <c r="Z62" i="12" s="1"/>
  <c r="Z66" i="12" s="1"/>
  <c r="Z68" i="12" s="1"/>
  <c r="Z71" i="12" s="1"/>
  <c r="Y33" i="12"/>
  <c r="Y37" i="12" s="1"/>
  <c r="Y41" i="12" s="1"/>
  <c r="Y43" i="12" s="1"/>
  <c r="Y46" i="12" s="1"/>
  <c r="Z33" i="12"/>
  <c r="Z37" i="12" s="1"/>
  <c r="Z41" i="12" s="1"/>
  <c r="Z43" i="12" s="1"/>
  <c r="Z46" i="12" s="1"/>
  <c r="X58" i="12"/>
  <c r="X62" i="12" s="1"/>
  <c r="X66" i="12" s="1"/>
  <c r="X68" i="12" s="1"/>
  <c r="X71" i="12" s="1"/>
  <c r="W58" i="12"/>
  <c r="W62" i="12" s="1"/>
  <c r="W66" i="12" s="1"/>
  <c r="W68" i="12" s="1"/>
  <c r="W71" i="12" s="1"/>
  <c r="W73" i="12" s="1"/>
  <c r="U58" i="12"/>
  <c r="U62" i="12" s="1"/>
  <c r="U66" i="12" s="1"/>
  <c r="U68" i="12" s="1"/>
  <c r="U71" i="12" s="1"/>
  <c r="U73" i="12" s="1"/>
  <c r="T58" i="12"/>
  <c r="T62" i="12" s="1"/>
  <c r="T66" i="12" s="1"/>
  <c r="T68" i="12" s="1"/>
  <c r="T71" i="12" s="1"/>
  <c r="T73" i="12" s="1"/>
  <c r="S58" i="12"/>
  <c r="S62" i="12" s="1"/>
  <c r="S66" i="12" s="1"/>
  <c r="S68" i="12" s="1"/>
  <c r="S71" i="12" s="1"/>
  <c r="S73" i="12" s="1"/>
  <c r="R58" i="12"/>
  <c r="R62" i="12" s="1"/>
  <c r="R66" i="12" s="1"/>
  <c r="R68" i="12" s="1"/>
  <c r="R71" i="12" s="1"/>
  <c r="R73" i="12" s="1"/>
  <c r="P58" i="12"/>
  <c r="P62" i="12" s="1"/>
  <c r="P66" i="12" s="1"/>
  <c r="P68" i="12" s="1"/>
  <c r="O58" i="12"/>
  <c r="O62" i="12" s="1"/>
  <c r="O66" i="12" s="1"/>
  <c r="O68" i="12" s="1"/>
  <c r="N58" i="12"/>
  <c r="N62" i="12" s="1"/>
  <c r="N66" i="12" s="1"/>
  <c r="N68" i="12" s="1"/>
  <c r="M58" i="12"/>
  <c r="M62" i="12" s="1"/>
  <c r="M66" i="12" s="1"/>
  <c r="M68" i="12" s="1"/>
  <c r="L58" i="12"/>
  <c r="L62" i="12" s="1"/>
  <c r="L66" i="12" s="1"/>
  <c r="L68" i="12" s="1"/>
  <c r="K58" i="12"/>
  <c r="K62" i="12" s="1"/>
  <c r="K66" i="12" s="1"/>
  <c r="K68" i="12" s="1"/>
  <c r="J58" i="12"/>
  <c r="J62" i="12" s="1"/>
  <c r="J66" i="12" s="1"/>
  <c r="J68" i="12" s="1"/>
  <c r="I58" i="12"/>
  <c r="I62" i="12" s="1"/>
  <c r="I66" i="12" s="1"/>
  <c r="I68" i="12" s="1"/>
  <c r="H58" i="12"/>
  <c r="H62" i="12" s="1"/>
  <c r="H66" i="12" s="1"/>
  <c r="H68" i="12" s="1"/>
  <c r="G58" i="12"/>
  <c r="G62" i="12" s="1"/>
  <c r="G66" i="12" s="1"/>
  <c r="G68" i="12" s="1"/>
  <c r="F58" i="12"/>
  <c r="F62" i="12" s="1"/>
  <c r="F66" i="12" s="1"/>
  <c r="F68" i="12" s="1"/>
  <c r="E58" i="12"/>
  <c r="E62" i="12" s="1"/>
  <c r="E66" i="12" s="1"/>
  <c r="E68" i="12" s="1"/>
  <c r="D58" i="12"/>
  <c r="D62" i="12" s="1"/>
  <c r="D66" i="12" s="1"/>
  <c r="D68" i="12" s="1"/>
  <c r="C58" i="12"/>
  <c r="C62" i="12" s="1"/>
  <c r="C66" i="12" s="1"/>
  <c r="C68" i="12" s="1"/>
  <c r="X33" i="12"/>
  <c r="X37" i="12" s="1"/>
  <c r="X41" i="12" s="1"/>
  <c r="X43" i="12" s="1"/>
  <c r="X46" i="12" s="1"/>
  <c r="W33" i="12"/>
  <c r="W37" i="12" s="1"/>
  <c r="W41" i="12" s="1"/>
  <c r="W43" i="12" s="1"/>
  <c r="W46" i="12" s="1"/>
  <c r="W48" i="12" s="1"/>
  <c r="U33" i="12"/>
  <c r="U37" i="12" s="1"/>
  <c r="U41" i="12" s="1"/>
  <c r="U43" i="12" s="1"/>
  <c r="U46" i="12" s="1"/>
  <c r="U48" i="12" s="1"/>
  <c r="T33" i="12"/>
  <c r="T37" i="12" s="1"/>
  <c r="T41" i="12" s="1"/>
  <c r="T43" i="12" s="1"/>
  <c r="T46" i="12" s="1"/>
  <c r="T48" i="12" s="1"/>
  <c r="S33" i="12"/>
  <c r="S37" i="12" s="1"/>
  <c r="S41" i="12" s="1"/>
  <c r="S43" i="12" s="1"/>
  <c r="S46" i="12" s="1"/>
  <c r="S48" i="12" s="1"/>
  <c r="R33" i="12"/>
  <c r="R37" i="12" s="1"/>
  <c r="R41" i="12" s="1"/>
  <c r="R43" i="12" s="1"/>
  <c r="R46" i="12" s="1"/>
  <c r="R48" i="12" s="1"/>
  <c r="P33" i="12"/>
  <c r="P37" i="12" s="1"/>
  <c r="P41" i="12" s="1"/>
  <c r="P43" i="12" s="1"/>
  <c r="O33" i="12"/>
  <c r="O37" i="12" s="1"/>
  <c r="O41" i="12" s="1"/>
  <c r="O43" i="12" s="1"/>
  <c r="N33" i="12"/>
  <c r="N37" i="12" s="1"/>
  <c r="N41" i="12" s="1"/>
  <c r="N43" i="12" s="1"/>
  <c r="M33" i="12"/>
  <c r="M37" i="12" s="1"/>
  <c r="M41" i="12" s="1"/>
  <c r="M43" i="12" s="1"/>
  <c r="L33" i="12"/>
  <c r="L37" i="12" s="1"/>
  <c r="L41" i="12" s="1"/>
  <c r="L43" i="12" s="1"/>
  <c r="K33" i="12"/>
  <c r="K37" i="12" s="1"/>
  <c r="K41" i="12" s="1"/>
  <c r="K43" i="12" s="1"/>
  <c r="J33" i="12"/>
  <c r="J37" i="12" s="1"/>
  <c r="J41" i="12" s="1"/>
  <c r="J43" i="12" s="1"/>
  <c r="I33" i="12"/>
  <c r="I37" i="12" s="1"/>
  <c r="I41" i="12" s="1"/>
  <c r="I43" i="12" s="1"/>
  <c r="H33" i="12"/>
  <c r="H37" i="12" s="1"/>
  <c r="H41" i="12" s="1"/>
  <c r="H43" i="12" s="1"/>
  <c r="G33" i="12"/>
  <c r="G37" i="12" s="1"/>
  <c r="G41" i="12" s="1"/>
  <c r="G43" i="12" s="1"/>
  <c r="F33" i="12"/>
  <c r="F37" i="12" s="1"/>
  <c r="F41" i="12" s="1"/>
  <c r="F43" i="12" s="1"/>
  <c r="E33" i="12"/>
  <c r="E37" i="12" s="1"/>
  <c r="E41" i="12" s="1"/>
  <c r="E43" i="12" s="1"/>
  <c r="D33" i="12"/>
  <c r="D37" i="12" s="1"/>
  <c r="D41" i="12" s="1"/>
  <c r="D43" i="12" s="1"/>
  <c r="C33" i="12"/>
  <c r="C37" i="12" s="1"/>
  <c r="C41" i="12" s="1"/>
  <c r="C43" i="12" s="1"/>
  <c r="W8" i="12"/>
  <c r="W12" i="12" s="1"/>
  <c r="W16" i="12" s="1"/>
  <c r="W18" i="12" s="1"/>
  <c r="W21" i="12" s="1"/>
  <c r="W23" i="12" s="1"/>
  <c r="U8" i="12"/>
  <c r="U12" i="12" s="1"/>
  <c r="U16" i="12" s="1"/>
  <c r="U18" i="12" s="1"/>
  <c r="U21" i="12" s="1"/>
  <c r="U23" i="12" s="1"/>
  <c r="T8" i="12"/>
  <c r="T12" i="12" s="1"/>
  <c r="T16" i="12" s="1"/>
  <c r="T18" i="12" s="1"/>
  <c r="T21" i="12" s="1"/>
  <c r="S8" i="12"/>
  <c r="S12" i="12" s="1"/>
  <c r="S16" i="12" s="1"/>
  <c r="S18" i="12" s="1"/>
  <c r="S21" i="12" s="1"/>
  <c r="S23" i="12" s="1"/>
  <c r="R8" i="12"/>
  <c r="R12" i="12" s="1"/>
  <c r="R16" i="12" s="1"/>
  <c r="R18" i="12" s="1"/>
  <c r="R21" i="12" s="1"/>
  <c r="R23" i="12" s="1"/>
  <c r="Q8" i="12"/>
  <c r="Q12" i="12" s="1"/>
  <c r="Q16" i="12" s="1"/>
  <c r="Q18" i="12" s="1"/>
  <c r="P8" i="12"/>
  <c r="P12" i="12" s="1"/>
  <c r="P16" i="12" s="1"/>
  <c r="P18" i="12" s="1"/>
  <c r="O8" i="12"/>
  <c r="O12" i="12" s="1"/>
  <c r="O16" i="12" s="1"/>
  <c r="O18" i="12" s="1"/>
  <c r="N8" i="12"/>
  <c r="N12" i="12" s="1"/>
  <c r="N16" i="12" s="1"/>
  <c r="N18" i="12" s="1"/>
  <c r="M8" i="12"/>
  <c r="M12" i="12" s="1"/>
  <c r="M16" i="12" s="1"/>
  <c r="M18" i="12" s="1"/>
  <c r="L8" i="12"/>
  <c r="L12" i="12" s="1"/>
  <c r="L16" i="12" s="1"/>
  <c r="L18" i="12" s="1"/>
  <c r="K8" i="12"/>
  <c r="K12" i="12" s="1"/>
  <c r="K16" i="12" s="1"/>
  <c r="K18" i="12" s="1"/>
  <c r="J8" i="12"/>
  <c r="J12" i="12" s="1"/>
  <c r="J16" i="12" s="1"/>
  <c r="J18" i="12" s="1"/>
  <c r="I8" i="12"/>
  <c r="I12" i="12" s="1"/>
  <c r="I16" i="12" s="1"/>
  <c r="I18" i="12" s="1"/>
  <c r="H8" i="12"/>
  <c r="H12" i="12" s="1"/>
  <c r="H16" i="12" s="1"/>
  <c r="H18" i="12" s="1"/>
  <c r="G8" i="12"/>
  <c r="G12" i="12" s="1"/>
  <c r="G16" i="12" s="1"/>
  <c r="G18" i="12" s="1"/>
  <c r="F8" i="12"/>
  <c r="F12" i="12" s="1"/>
  <c r="F16" i="12" s="1"/>
  <c r="F18" i="12" s="1"/>
  <c r="E8" i="12"/>
  <c r="E12" i="12" s="1"/>
  <c r="E16" i="12" s="1"/>
  <c r="E18" i="12" s="1"/>
  <c r="D8" i="12"/>
  <c r="D12" i="12" s="1"/>
  <c r="D16" i="12" s="1"/>
  <c r="D18" i="12" s="1"/>
  <c r="C8" i="12"/>
  <c r="C12" i="12" s="1"/>
  <c r="C16" i="12" s="1"/>
  <c r="C18" i="12" s="1"/>
  <c r="X8" i="12"/>
  <c r="X12" i="12" s="1"/>
  <c r="X16" i="12" s="1"/>
  <c r="X18" i="12" s="1"/>
  <c r="X21" i="12" s="1"/>
  <c r="X23" i="12" s="1"/>
  <c r="Z25" i="2"/>
  <c r="V21" i="12" l="1"/>
  <c r="V23" i="12" s="1"/>
  <c r="AD5" i="2"/>
  <c r="L28" i="2"/>
  <c r="M28" i="2"/>
  <c r="N28" i="2"/>
  <c r="O28" i="2"/>
  <c r="P28" i="2"/>
  <c r="Q28" i="2"/>
  <c r="R28" i="2"/>
  <c r="T28" i="2"/>
  <c r="AD6" i="2"/>
  <c r="AD28" i="2" s="1"/>
  <c r="D14" i="11" l="1"/>
  <c r="D16" i="11" s="1"/>
  <c r="D17" i="11" s="1"/>
  <c r="D20" i="11" l="1"/>
  <c r="D18" i="11"/>
  <c r="T44" i="9"/>
  <c r="M16" i="11"/>
  <c r="M14" i="11"/>
  <c r="M13" i="11"/>
  <c r="M12" i="11"/>
  <c r="U36" i="2"/>
  <c r="I11" i="11" l="1"/>
  <c r="I12" i="11" s="1"/>
  <c r="M5" i="11"/>
  <c r="L5" i="11"/>
  <c r="K5" i="11"/>
  <c r="J5" i="11"/>
  <c r="I5" i="11"/>
  <c r="D5" i="11"/>
  <c r="C15" i="11"/>
  <c r="E5" i="11"/>
  <c r="AC36" i="2"/>
  <c r="AB36" i="2"/>
  <c r="AA36" i="2"/>
  <c r="K36" i="2"/>
  <c r="L36" i="2"/>
  <c r="M36" i="2"/>
  <c r="N36" i="2"/>
  <c r="O36" i="2"/>
  <c r="P36" i="2"/>
  <c r="Q36" i="2"/>
  <c r="R36" i="2"/>
  <c r="S36" i="2"/>
  <c r="T36" i="2"/>
  <c r="AE15" i="2"/>
  <c r="AF9" i="2"/>
  <c r="AG9" i="2" s="1"/>
  <c r="AH9" i="2" s="1"/>
  <c r="AI9" i="2" s="1"/>
  <c r="AJ9" i="2" s="1"/>
  <c r="AK9" i="2" s="1"/>
  <c r="AL9" i="2" s="1"/>
  <c r="AM9" i="2" s="1"/>
  <c r="AF7" i="2"/>
  <c r="AG7" i="2" s="1"/>
  <c r="AH7" i="2" s="1"/>
  <c r="AI7" i="2" s="1"/>
  <c r="AJ7" i="2" s="1"/>
  <c r="AK7" i="2" s="1"/>
  <c r="AL7" i="2" s="1"/>
  <c r="AM7" i="2" s="1"/>
  <c r="AE9" i="2"/>
  <c r="AE8" i="2"/>
  <c r="AF8" i="2" s="1"/>
  <c r="AG8" i="2" s="1"/>
  <c r="AH8" i="2" s="1"/>
  <c r="AI8" i="2" s="1"/>
  <c r="AJ8" i="2" s="1"/>
  <c r="AK8" i="2" s="1"/>
  <c r="AL8" i="2" s="1"/>
  <c r="AM8" i="2" s="1"/>
  <c r="AE7" i="2"/>
  <c r="AA35" i="2"/>
  <c r="AB35" i="2"/>
  <c r="AC35" i="2"/>
  <c r="AD47" i="2"/>
  <c r="AE47" i="2" s="1"/>
  <c r="AE5" i="2"/>
  <c r="AF5" i="2" s="1"/>
  <c r="AG5" i="2" s="1"/>
  <c r="AH5" i="2" s="1"/>
  <c r="AI5" i="2" s="1"/>
  <c r="AJ5" i="2" s="1"/>
  <c r="AK5" i="2" s="1"/>
  <c r="AL5" i="2" s="1"/>
  <c r="AM5" i="2" s="1"/>
  <c r="AD13" i="2"/>
  <c r="AE13" i="2" s="1"/>
  <c r="AF13" i="2" s="1"/>
  <c r="AG13" i="2" s="1"/>
  <c r="AH13" i="2" s="1"/>
  <c r="AI13" i="2" s="1"/>
  <c r="AJ13" i="2" s="1"/>
  <c r="AK13" i="2" s="1"/>
  <c r="AL13" i="2" s="1"/>
  <c r="AM13" i="2" s="1"/>
  <c r="AD12" i="2"/>
  <c r="AE12" i="2" s="1"/>
  <c r="AF12" i="2" s="1"/>
  <c r="AG12" i="2" s="1"/>
  <c r="AH12" i="2" s="1"/>
  <c r="AI12" i="2" s="1"/>
  <c r="AJ12" i="2" s="1"/>
  <c r="AK12" i="2" s="1"/>
  <c r="AL12" i="2" s="1"/>
  <c r="AM12" i="2" s="1"/>
  <c r="AD11" i="2"/>
  <c r="AE11" i="2" s="1"/>
  <c r="AF11" i="2" s="1"/>
  <c r="AG11" i="2" s="1"/>
  <c r="AH11" i="2" s="1"/>
  <c r="AI11" i="2" s="1"/>
  <c r="AJ11" i="2" s="1"/>
  <c r="AK11" i="2" s="1"/>
  <c r="AL11" i="2" s="1"/>
  <c r="AM11" i="2" s="1"/>
  <c r="AD4" i="2"/>
  <c r="M35" i="2"/>
  <c r="S38" i="2"/>
  <c r="U38" i="2"/>
  <c r="T38" i="2"/>
  <c r="T35" i="2"/>
  <c r="S35" i="2"/>
  <c r="R35" i="2"/>
  <c r="Q35" i="2"/>
  <c r="P35" i="2"/>
  <c r="O35" i="2"/>
  <c r="N35" i="2"/>
  <c r="K35" i="2"/>
  <c r="U35" i="2"/>
  <c r="T55" i="9"/>
  <c r="AA24" i="4"/>
  <c r="AA17" i="4"/>
  <c r="AA10" i="4"/>
  <c r="Q24" i="4"/>
  <c r="Q17" i="4"/>
  <c r="Q10" i="4"/>
  <c r="Z96" i="2"/>
  <c r="AA96" i="2"/>
  <c r="AB96" i="2"/>
  <c r="AC96" i="2"/>
  <c r="Y96" i="2"/>
  <c r="K69" i="9"/>
  <c r="K67" i="9"/>
  <c r="K65" i="9"/>
  <c r="K62" i="9"/>
  <c r="K60" i="9"/>
  <c r="K58" i="9"/>
  <c r="K55" i="9"/>
  <c r="K53" i="9"/>
  <c r="K51" i="9"/>
  <c r="L69" i="9"/>
  <c r="L67" i="9"/>
  <c r="L65" i="9"/>
  <c r="L62" i="9"/>
  <c r="L60" i="9"/>
  <c r="L58" i="9"/>
  <c r="L55" i="9"/>
  <c r="L53" i="9"/>
  <c r="L51" i="9"/>
  <c r="J69" i="9"/>
  <c r="J67" i="9"/>
  <c r="J65" i="9"/>
  <c r="J62" i="9"/>
  <c r="J60" i="9"/>
  <c r="J58" i="9"/>
  <c r="J55" i="9"/>
  <c r="J53" i="9"/>
  <c r="J51" i="9"/>
  <c r="M69" i="9"/>
  <c r="M67" i="9"/>
  <c r="M65" i="9"/>
  <c r="M62" i="9"/>
  <c r="M60" i="9"/>
  <c r="M58" i="9"/>
  <c r="M55" i="9"/>
  <c r="M53" i="9"/>
  <c r="M51" i="9"/>
  <c r="O69" i="9"/>
  <c r="O67" i="9"/>
  <c r="O65" i="9"/>
  <c r="O62" i="9"/>
  <c r="O60" i="9"/>
  <c r="O58" i="9"/>
  <c r="O55" i="9"/>
  <c r="O53" i="9"/>
  <c r="O51" i="9"/>
  <c r="P69" i="9"/>
  <c r="P67" i="9"/>
  <c r="P65" i="9"/>
  <c r="P62" i="9"/>
  <c r="P60" i="9"/>
  <c r="P58" i="9"/>
  <c r="P55" i="9"/>
  <c r="P53" i="9"/>
  <c r="P51" i="9"/>
  <c r="N69" i="9"/>
  <c r="N67" i="9"/>
  <c r="N65" i="9"/>
  <c r="N62" i="9"/>
  <c r="N60" i="9"/>
  <c r="N58" i="9"/>
  <c r="N55" i="9"/>
  <c r="N53" i="9"/>
  <c r="N51" i="9"/>
  <c r="Q69" i="9"/>
  <c r="Q67" i="9"/>
  <c r="Q65" i="9"/>
  <c r="Q62" i="9"/>
  <c r="Q60" i="9"/>
  <c r="Q58" i="9"/>
  <c r="Q55" i="9"/>
  <c r="Q53" i="9"/>
  <c r="Q51" i="9"/>
  <c r="S76" i="9"/>
  <c r="S74" i="9"/>
  <c r="S72" i="9"/>
  <c r="S69" i="9"/>
  <c r="S67" i="9"/>
  <c r="S65" i="9"/>
  <c r="S62" i="9"/>
  <c r="S60" i="9"/>
  <c r="S58" i="9"/>
  <c r="S55" i="9"/>
  <c r="S53" i="9"/>
  <c r="S51" i="9"/>
  <c r="R69" i="9"/>
  <c r="R67" i="9"/>
  <c r="R65" i="9"/>
  <c r="R62" i="9"/>
  <c r="R60" i="9"/>
  <c r="R58" i="9"/>
  <c r="R55" i="9"/>
  <c r="R53" i="9"/>
  <c r="R51" i="9"/>
  <c r="S8" i="8"/>
  <c r="S19" i="8" s="1"/>
  <c r="R8" i="8"/>
  <c r="Q8" i="8"/>
  <c r="P8" i="8"/>
  <c r="O8" i="8"/>
  <c r="N8" i="8"/>
  <c r="M8" i="8"/>
  <c r="L8" i="8"/>
  <c r="K8" i="8"/>
  <c r="J8" i="8"/>
  <c r="I8" i="8"/>
  <c r="H8" i="8"/>
  <c r="H19" i="8" s="1"/>
  <c r="G8" i="8"/>
  <c r="F8" i="8"/>
  <c r="F19" i="8" s="1"/>
  <c r="E8" i="8"/>
  <c r="E19" i="8" s="1"/>
  <c r="D8" i="8"/>
  <c r="C8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K19" i="8"/>
  <c r="C19" i="8"/>
  <c r="T17" i="8"/>
  <c r="T13" i="8"/>
  <c r="T8" i="8"/>
  <c r="T19" i="8" s="1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80" i="9"/>
  <c r="C79" i="9"/>
  <c r="C78" i="9"/>
  <c r="C81" i="9" s="1"/>
  <c r="C82" i="9" s="1"/>
  <c r="T76" i="9"/>
  <c r="T74" i="9"/>
  <c r="T72" i="9"/>
  <c r="T69" i="9"/>
  <c r="T67" i="9"/>
  <c r="T65" i="9"/>
  <c r="T62" i="9"/>
  <c r="T60" i="9"/>
  <c r="T58" i="9"/>
  <c r="T53" i="9"/>
  <c r="T51" i="9"/>
  <c r="T55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V55" i="7"/>
  <c r="U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7" i="7"/>
  <c r="C56" i="7"/>
  <c r="C55" i="7"/>
  <c r="C58" i="7" s="1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T42" i="9"/>
  <c r="T39" i="9"/>
  <c r="T37" i="9"/>
  <c r="T35" i="9"/>
  <c r="T32" i="9"/>
  <c r="T30" i="9"/>
  <c r="T28" i="9"/>
  <c r="T25" i="9"/>
  <c r="T23" i="9"/>
  <c r="T21" i="9"/>
  <c r="T18" i="9"/>
  <c r="T16" i="9"/>
  <c r="T14" i="9"/>
  <c r="T11" i="9"/>
  <c r="T9" i="9"/>
  <c r="T7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C29" i="7"/>
  <c r="D29" i="7"/>
  <c r="T29" i="7"/>
  <c r="T32" i="7" s="1"/>
  <c r="C26" i="7"/>
  <c r="C30" i="7" s="1"/>
  <c r="C33" i="7" s="1"/>
  <c r="D26" i="7"/>
  <c r="D30" i="7" s="1"/>
  <c r="D33" i="7" s="1"/>
  <c r="E26" i="7"/>
  <c r="E29" i="7" s="1"/>
  <c r="F26" i="7"/>
  <c r="G26" i="7"/>
  <c r="H26" i="7"/>
  <c r="I26" i="7"/>
  <c r="I29" i="7" s="1"/>
  <c r="J26" i="7"/>
  <c r="K26" i="7"/>
  <c r="L26" i="7"/>
  <c r="M26" i="7"/>
  <c r="N26" i="7"/>
  <c r="O26" i="7"/>
  <c r="P26" i="7"/>
  <c r="Q26" i="7"/>
  <c r="R26" i="7"/>
  <c r="R29" i="7" s="1"/>
  <c r="S26" i="7"/>
  <c r="C27" i="7"/>
  <c r="C31" i="7" s="1"/>
  <c r="D27" i="7"/>
  <c r="E27" i="7"/>
  <c r="E31" i="7" s="1"/>
  <c r="F27" i="7"/>
  <c r="G27" i="7"/>
  <c r="H27" i="7"/>
  <c r="I27" i="7"/>
  <c r="I31" i="7" s="1"/>
  <c r="J27" i="7"/>
  <c r="K27" i="7"/>
  <c r="L27" i="7"/>
  <c r="M27" i="7"/>
  <c r="N27" i="7"/>
  <c r="O27" i="7"/>
  <c r="P27" i="7"/>
  <c r="Q27" i="7"/>
  <c r="R27" i="7"/>
  <c r="S27" i="7"/>
  <c r="C28" i="7"/>
  <c r="C32" i="7" s="1"/>
  <c r="D28" i="7"/>
  <c r="D32" i="7" s="1"/>
  <c r="E28" i="7"/>
  <c r="F28" i="7"/>
  <c r="G28" i="7"/>
  <c r="H28" i="7"/>
  <c r="I28" i="7"/>
  <c r="I32" i="7" s="1"/>
  <c r="J28" i="7"/>
  <c r="K28" i="7"/>
  <c r="L28" i="7"/>
  <c r="M28" i="7"/>
  <c r="N28" i="7"/>
  <c r="O28" i="7"/>
  <c r="P28" i="7"/>
  <c r="Q28" i="7"/>
  <c r="R28" i="7"/>
  <c r="S28" i="7"/>
  <c r="T27" i="7"/>
  <c r="T31" i="7" s="1"/>
  <c r="T28" i="7"/>
  <c r="T26" i="7"/>
  <c r="T30" i="7" s="1"/>
  <c r="U40" i="2"/>
  <c r="AA30" i="2"/>
  <c r="AB30" i="2"/>
  <c r="AC30" i="2"/>
  <c r="K21" i="4"/>
  <c r="J21" i="4"/>
  <c r="I21" i="4"/>
  <c r="H21" i="4"/>
  <c r="P21" i="4"/>
  <c r="O21" i="4"/>
  <c r="N21" i="4"/>
  <c r="M21" i="4"/>
  <c r="P14" i="4"/>
  <c r="O14" i="4"/>
  <c r="N14" i="4"/>
  <c r="M14" i="4"/>
  <c r="K14" i="4"/>
  <c r="J14" i="4"/>
  <c r="I14" i="4"/>
  <c r="H14" i="4"/>
  <c r="K7" i="4"/>
  <c r="J7" i="4"/>
  <c r="I7" i="4"/>
  <c r="H7" i="4"/>
  <c r="P7" i="4"/>
  <c r="O7" i="4"/>
  <c r="N7" i="4"/>
  <c r="M7" i="4"/>
  <c r="X21" i="4"/>
  <c r="W21" i="4"/>
  <c r="X14" i="4"/>
  <c r="W14" i="4"/>
  <c r="U21" i="4"/>
  <c r="T21" i="4"/>
  <c r="S21" i="4"/>
  <c r="R21" i="4"/>
  <c r="U14" i="4"/>
  <c r="T14" i="4"/>
  <c r="S14" i="4"/>
  <c r="R14" i="4"/>
  <c r="T7" i="4"/>
  <c r="U7" i="4"/>
  <c r="S7" i="4"/>
  <c r="R7" i="4"/>
  <c r="W7" i="4"/>
  <c r="X7" i="4"/>
  <c r="V24" i="4"/>
  <c r="V17" i="4"/>
  <c r="I14" i="11" l="1"/>
  <c r="I13" i="11"/>
  <c r="J11" i="11"/>
  <c r="AE4" i="2"/>
  <c r="AF4" i="2" s="1"/>
  <c r="AG4" i="2" s="1"/>
  <c r="AH4" i="2" s="1"/>
  <c r="AI4" i="2" s="1"/>
  <c r="AJ4" i="2" s="1"/>
  <c r="AK4" i="2" s="1"/>
  <c r="AL4" i="2" s="1"/>
  <c r="AM4" i="2" s="1"/>
  <c r="AF15" i="2"/>
  <c r="AG15" i="2" s="1"/>
  <c r="AH15" i="2"/>
  <c r="AI15" i="2" s="1"/>
  <c r="AJ15" i="2" s="1"/>
  <c r="AK15" i="2" s="1"/>
  <c r="AL15" i="2" s="1"/>
  <c r="AM15" i="2" s="1"/>
  <c r="G19" i="8"/>
  <c r="J19" i="8"/>
  <c r="K29" i="7"/>
  <c r="K31" i="7"/>
  <c r="K30" i="7"/>
  <c r="K32" i="7"/>
  <c r="L29" i="7"/>
  <c r="L32" i="7" s="1"/>
  <c r="J29" i="7"/>
  <c r="J31" i="7" s="1"/>
  <c r="M29" i="7"/>
  <c r="M31" i="7"/>
  <c r="M19" i="8"/>
  <c r="I19" i="8"/>
  <c r="Q19" i="8"/>
  <c r="N29" i="7"/>
  <c r="Q29" i="7"/>
  <c r="Q32" i="7" s="1"/>
  <c r="Q31" i="7"/>
  <c r="O19" i="8"/>
  <c r="R19" i="8"/>
  <c r="S29" i="7"/>
  <c r="S32" i="7"/>
  <c r="S31" i="7"/>
  <c r="S30" i="7"/>
  <c r="R31" i="7"/>
  <c r="P19" i="8"/>
  <c r="N19" i="8"/>
  <c r="D19" i="8"/>
  <c r="L19" i="8"/>
  <c r="E81" i="9"/>
  <c r="E82" i="9" s="1"/>
  <c r="M81" i="9"/>
  <c r="U81" i="9"/>
  <c r="U82" i="9" s="1"/>
  <c r="F81" i="9"/>
  <c r="F82" i="9" s="1"/>
  <c r="N81" i="9"/>
  <c r="V81" i="9"/>
  <c r="G81" i="9"/>
  <c r="G82" i="9" s="1"/>
  <c r="O81" i="9"/>
  <c r="H81" i="9"/>
  <c r="H82" i="9" s="1"/>
  <c r="P81" i="9"/>
  <c r="I81" i="9"/>
  <c r="I82" i="9" s="1"/>
  <c r="R81" i="9"/>
  <c r="K81" i="9"/>
  <c r="K82" i="9" s="1"/>
  <c r="S81" i="9"/>
  <c r="Q81" i="9"/>
  <c r="Q82" i="9" s="1"/>
  <c r="J81" i="9"/>
  <c r="D81" i="9"/>
  <c r="D82" i="9" s="1"/>
  <c r="L81" i="9"/>
  <c r="T82" i="9"/>
  <c r="R32" i="7"/>
  <c r="I30" i="7"/>
  <c r="I33" i="7" s="1"/>
  <c r="T33" i="7"/>
  <c r="N31" i="7"/>
  <c r="N32" i="7"/>
  <c r="H31" i="7"/>
  <c r="H30" i="7"/>
  <c r="H33" i="7" s="1"/>
  <c r="M32" i="7"/>
  <c r="E32" i="7"/>
  <c r="Q30" i="7"/>
  <c r="H29" i="7"/>
  <c r="H44" i="9" s="1"/>
  <c r="L31" i="7"/>
  <c r="N30" i="7"/>
  <c r="O29" i="7"/>
  <c r="G29" i="7"/>
  <c r="M30" i="7"/>
  <c r="E30" i="7"/>
  <c r="E33" i="7" s="1"/>
  <c r="F29" i="7"/>
  <c r="P29" i="7"/>
  <c r="D31" i="7"/>
  <c r="R30" i="7"/>
  <c r="M58" i="7"/>
  <c r="M61" i="7" s="1"/>
  <c r="J58" i="7"/>
  <c r="J60" i="7" s="1"/>
  <c r="R58" i="7"/>
  <c r="R59" i="7" s="1"/>
  <c r="H58" i="7"/>
  <c r="H61" i="7" s="1"/>
  <c r="I58" i="7"/>
  <c r="I59" i="7" s="1"/>
  <c r="I62" i="7" s="1"/>
  <c r="Q58" i="7"/>
  <c r="Q59" i="7" s="1"/>
  <c r="C60" i="7"/>
  <c r="C61" i="7"/>
  <c r="C59" i="7"/>
  <c r="C62" i="7" s="1"/>
  <c r="P58" i="7"/>
  <c r="P60" i="7" s="1"/>
  <c r="U59" i="7"/>
  <c r="U62" i="7" s="1"/>
  <c r="E58" i="7"/>
  <c r="E61" i="7" s="1"/>
  <c r="I60" i="7"/>
  <c r="F58" i="7"/>
  <c r="F60" i="7" s="1"/>
  <c r="N58" i="7"/>
  <c r="N60" i="7" s="1"/>
  <c r="V58" i="7"/>
  <c r="V60" i="7" s="1"/>
  <c r="U58" i="7"/>
  <c r="U61" i="7" s="1"/>
  <c r="H60" i="7"/>
  <c r="H59" i="7"/>
  <c r="H62" i="7" s="1"/>
  <c r="K58" i="7"/>
  <c r="K60" i="7" s="1"/>
  <c r="S58" i="7"/>
  <c r="D58" i="7"/>
  <c r="D61" i="7" s="1"/>
  <c r="L58" i="7"/>
  <c r="L61" i="7" s="1"/>
  <c r="T58" i="7"/>
  <c r="T61" i="7" s="1"/>
  <c r="G58" i="7"/>
  <c r="G60" i="7" s="1"/>
  <c r="O58" i="7"/>
  <c r="O60" i="7" s="1"/>
  <c r="N43" i="9"/>
  <c r="N44" i="9" s="1"/>
  <c r="F43" i="9"/>
  <c r="L43" i="9"/>
  <c r="L44" i="9" s="1"/>
  <c r="O43" i="9"/>
  <c r="D43" i="9"/>
  <c r="D44" i="9" s="1"/>
  <c r="G43" i="9"/>
  <c r="C43" i="9"/>
  <c r="C44" i="9" s="1"/>
  <c r="K43" i="9"/>
  <c r="K44" i="9" s="1"/>
  <c r="S43" i="9"/>
  <c r="S44" i="9" s="1"/>
  <c r="H43" i="9"/>
  <c r="P43" i="9"/>
  <c r="I43" i="9"/>
  <c r="I44" i="9" s="1"/>
  <c r="T43" i="9"/>
  <c r="Q43" i="9"/>
  <c r="Q44" i="9" s="1"/>
  <c r="E43" i="9"/>
  <c r="E44" i="9" s="1"/>
  <c r="M43" i="9"/>
  <c r="M44" i="9" s="1"/>
  <c r="J43" i="9"/>
  <c r="R43" i="9"/>
  <c r="R44" i="9" s="1"/>
  <c r="AF47" i="2"/>
  <c r="AG47" i="2" s="1"/>
  <c r="AH47" i="2" s="1"/>
  <c r="AI47" i="2" s="1"/>
  <c r="AB40" i="2"/>
  <c r="AA40" i="2"/>
  <c r="Z40" i="2"/>
  <c r="AC40" i="2"/>
  <c r="T40" i="2"/>
  <c r="S40" i="2"/>
  <c r="R40" i="2"/>
  <c r="Q40" i="2"/>
  <c r="P40" i="2"/>
  <c r="O40" i="2"/>
  <c r="U98" i="2"/>
  <c r="U95" i="2"/>
  <c r="U94" i="2"/>
  <c r="U93" i="2"/>
  <c r="U92" i="2"/>
  <c r="U86" i="2"/>
  <c r="U85" i="2"/>
  <c r="U82" i="2"/>
  <c r="U81" i="2"/>
  <c r="U80" i="2"/>
  <c r="U79" i="2"/>
  <c r="U74" i="2"/>
  <c r="B13" i="2" s="1"/>
  <c r="B15" i="2" s="1"/>
  <c r="U67" i="2"/>
  <c r="U57" i="2"/>
  <c r="U6" i="2"/>
  <c r="U10" i="2" s="1"/>
  <c r="U14" i="2" s="1"/>
  <c r="U16" i="2" s="1"/>
  <c r="U18" i="2" s="1"/>
  <c r="J12" i="11" l="1"/>
  <c r="K11" i="11"/>
  <c r="I16" i="11"/>
  <c r="I15" i="11"/>
  <c r="U83" i="2"/>
  <c r="V82" i="9"/>
  <c r="U96" i="2"/>
  <c r="AJ47" i="2"/>
  <c r="U87" i="2"/>
  <c r="U100" i="2" s="1"/>
  <c r="AE30" i="2"/>
  <c r="K33" i="7"/>
  <c r="L30" i="7"/>
  <c r="L33" i="7" s="1"/>
  <c r="L82" i="9"/>
  <c r="J61" i="7"/>
  <c r="J59" i="7"/>
  <c r="J62" i="7" s="1"/>
  <c r="J82" i="9"/>
  <c r="J32" i="7"/>
  <c r="J44" i="9"/>
  <c r="J30" i="7"/>
  <c r="J33" i="7"/>
  <c r="M82" i="9"/>
  <c r="M33" i="7"/>
  <c r="O82" i="9"/>
  <c r="P44" i="9"/>
  <c r="P61" i="7"/>
  <c r="P82" i="9"/>
  <c r="P32" i="7"/>
  <c r="P31" i="7"/>
  <c r="P30" i="7"/>
  <c r="N82" i="9"/>
  <c r="Q60" i="7"/>
  <c r="N33" i="7"/>
  <c r="Q33" i="7"/>
  <c r="S82" i="9"/>
  <c r="R82" i="9"/>
  <c r="S33" i="7"/>
  <c r="R33" i="7"/>
  <c r="G31" i="7"/>
  <c r="G44" i="9"/>
  <c r="G32" i="7"/>
  <c r="O44" i="9"/>
  <c r="O31" i="7"/>
  <c r="O30" i="7"/>
  <c r="G30" i="7"/>
  <c r="G33" i="7" s="1"/>
  <c r="M60" i="7"/>
  <c r="M59" i="7"/>
  <c r="F31" i="7"/>
  <c r="F32" i="7"/>
  <c r="F44" i="9"/>
  <c r="O32" i="7"/>
  <c r="F30" i="7"/>
  <c r="F33" i="7" s="1"/>
  <c r="H32" i="7"/>
  <c r="I61" i="7"/>
  <c r="Q61" i="7"/>
  <c r="Q62" i="7" s="1"/>
  <c r="R60" i="7"/>
  <c r="G59" i="7"/>
  <c r="G62" i="7" s="1"/>
  <c r="U60" i="7"/>
  <c r="R61" i="7"/>
  <c r="E59" i="7"/>
  <c r="E62" i="7" s="1"/>
  <c r="E60" i="7"/>
  <c r="P59" i="7"/>
  <c r="P62" i="7" s="1"/>
  <c r="N59" i="7"/>
  <c r="F59" i="7"/>
  <c r="F62" i="7" s="1"/>
  <c r="V61" i="7"/>
  <c r="T60" i="7"/>
  <c r="D59" i="7"/>
  <c r="D62" i="7" s="1"/>
  <c r="L59" i="7"/>
  <c r="D60" i="7"/>
  <c r="N61" i="7"/>
  <c r="F61" i="7"/>
  <c r="V59" i="7"/>
  <c r="O59" i="7"/>
  <c r="L60" i="7"/>
  <c r="T62" i="7"/>
  <c r="O61" i="7"/>
  <c r="S59" i="7"/>
  <c r="S61" i="7"/>
  <c r="G61" i="7"/>
  <c r="K59" i="7"/>
  <c r="K61" i="7"/>
  <c r="S60" i="7"/>
  <c r="U20" i="2"/>
  <c r="AD40" i="2"/>
  <c r="AE40" i="2"/>
  <c r="U75" i="2"/>
  <c r="U78" i="2"/>
  <c r="V10" i="4"/>
  <c r="K12" i="11" l="1"/>
  <c r="L11" i="11"/>
  <c r="J14" i="11"/>
  <c r="J13" i="11"/>
  <c r="E11" i="11"/>
  <c r="U22" i="2"/>
  <c r="V62" i="7"/>
  <c r="AK47" i="2"/>
  <c r="AK30" i="2"/>
  <c r="AJ40" i="2"/>
  <c r="AJ30" i="2"/>
  <c r="AF30" i="2"/>
  <c r="K62" i="7"/>
  <c r="L62" i="7"/>
  <c r="M62" i="7"/>
  <c r="O62" i="7"/>
  <c r="O33" i="7"/>
  <c r="P33" i="7"/>
  <c r="N62" i="7"/>
  <c r="S62" i="7"/>
  <c r="R62" i="7"/>
  <c r="K38" i="2"/>
  <c r="N38" i="2"/>
  <c r="O38" i="2"/>
  <c r="P38" i="2"/>
  <c r="Q38" i="2"/>
  <c r="R38" i="2"/>
  <c r="J15" i="11" l="1"/>
  <c r="J16" i="11"/>
  <c r="L12" i="11"/>
  <c r="M11" i="11"/>
  <c r="K14" i="11"/>
  <c r="K13" i="11"/>
  <c r="D15" i="11"/>
  <c r="E12" i="11"/>
  <c r="AL47" i="2"/>
  <c r="AL30" i="2"/>
  <c r="AK40" i="2"/>
  <c r="AF40" i="2"/>
  <c r="F5" i="11" s="1"/>
  <c r="F11" i="11" s="1"/>
  <c r="T96" i="2"/>
  <c r="T87" i="2"/>
  <c r="T83" i="2"/>
  <c r="T74" i="2"/>
  <c r="U32" i="2" s="1"/>
  <c r="T67" i="2"/>
  <c r="T57" i="2"/>
  <c r="T6" i="2"/>
  <c r="T10" i="2" s="1"/>
  <c r="S57" i="2"/>
  <c r="S67" i="2"/>
  <c r="B6" i="2"/>
  <c r="Z75" i="2"/>
  <c r="Y75" i="2"/>
  <c r="K20" i="11" l="1"/>
  <c r="L20" i="11"/>
  <c r="M20" i="11"/>
  <c r="F20" i="11"/>
  <c r="G20" i="11"/>
  <c r="H20" i="11"/>
  <c r="I20" i="11"/>
  <c r="J20" i="11"/>
  <c r="K15" i="11"/>
  <c r="K16" i="11"/>
  <c r="L13" i="11"/>
  <c r="L14" i="11"/>
  <c r="E13" i="11"/>
  <c r="E14" i="11"/>
  <c r="F12" i="11"/>
  <c r="AL40" i="2"/>
  <c r="AM47" i="2"/>
  <c r="AM40" i="2" s="1"/>
  <c r="AG40" i="2"/>
  <c r="G5" i="11" s="1"/>
  <c r="G11" i="11" s="1"/>
  <c r="AG30" i="2"/>
  <c r="T14" i="2"/>
  <c r="T16" i="2" s="1"/>
  <c r="T18" i="2" s="1"/>
  <c r="T25" i="2" s="1"/>
  <c r="T75" i="2"/>
  <c r="T100" i="2"/>
  <c r="AC87" i="2"/>
  <c r="AB87" i="2"/>
  <c r="AA87" i="2"/>
  <c r="Z87" i="2"/>
  <c r="Y87" i="2"/>
  <c r="AC83" i="2"/>
  <c r="AB83" i="2"/>
  <c r="AA83" i="2"/>
  <c r="Z83" i="2"/>
  <c r="Y83" i="2"/>
  <c r="AA75" i="2"/>
  <c r="AM6" i="2"/>
  <c r="AL6" i="2"/>
  <c r="AK6" i="2"/>
  <c r="AJ6" i="2"/>
  <c r="AI6" i="2"/>
  <c r="AH6" i="2"/>
  <c r="AG6" i="2"/>
  <c r="AF6" i="2"/>
  <c r="AE6" i="2"/>
  <c r="AE28" i="2" s="1"/>
  <c r="AC6" i="2"/>
  <c r="AA6" i="2"/>
  <c r="Z6" i="2"/>
  <c r="Y6" i="2"/>
  <c r="Y10" i="2" s="1"/>
  <c r="AB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96" i="2"/>
  <c r="D87" i="2"/>
  <c r="D83" i="2"/>
  <c r="AC75" i="2"/>
  <c r="AB75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R67" i="2"/>
  <c r="Q67" i="2"/>
  <c r="P67" i="2"/>
  <c r="N67" i="2"/>
  <c r="M67" i="2"/>
  <c r="L67" i="2"/>
  <c r="K67" i="2"/>
  <c r="J67" i="2"/>
  <c r="I67" i="2"/>
  <c r="H67" i="2"/>
  <c r="G67" i="2"/>
  <c r="F67" i="2"/>
  <c r="E67" i="2"/>
  <c r="D67" i="2"/>
  <c r="R57" i="2"/>
  <c r="Q57" i="2"/>
  <c r="P57" i="2"/>
  <c r="N57" i="2"/>
  <c r="M57" i="2"/>
  <c r="L57" i="2"/>
  <c r="K57" i="2"/>
  <c r="J57" i="2"/>
  <c r="I57" i="2"/>
  <c r="H57" i="2"/>
  <c r="G57" i="2"/>
  <c r="F57" i="2"/>
  <c r="E57" i="2"/>
  <c r="D57" i="2"/>
  <c r="S74" i="2"/>
  <c r="S6" i="2"/>
  <c r="S10" i="2" s="1"/>
  <c r="R6" i="2"/>
  <c r="R10" i="2" s="1"/>
  <c r="Q6" i="2"/>
  <c r="Q10" i="2" s="1"/>
  <c r="P6" i="2"/>
  <c r="P10" i="2" s="1"/>
  <c r="O6" i="2"/>
  <c r="O10" i="2" s="1"/>
  <c r="N6" i="2"/>
  <c r="N10" i="2" s="1"/>
  <c r="N14" i="2" s="1"/>
  <c r="N16" i="2" s="1"/>
  <c r="N18" i="2" s="1"/>
  <c r="M6" i="2"/>
  <c r="M10" i="2" s="1"/>
  <c r="L6" i="2"/>
  <c r="L10" i="2" s="1"/>
  <c r="K6" i="2"/>
  <c r="K10" i="2" s="1"/>
  <c r="J6" i="2"/>
  <c r="J10" i="2" s="1"/>
  <c r="I6" i="2"/>
  <c r="I10" i="2" s="1"/>
  <c r="H6" i="2"/>
  <c r="H10" i="2" s="1"/>
  <c r="G6" i="2"/>
  <c r="G10" i="2" s="1"/>
  <c r="G14" i="2" s="1"/>
  <c r="G16" i="2" s="1"/>
  <c r="G18" i="2" s="1"/>
  <c r="G78" i="2" s="1"/>
  <c r="F6" i="2"/>
  <c r="F10" i="2" s="1"/>
  <c r="F14" i="2" s="1"/>
  <c r="F16" i="2" s="1"/>
  <c r="F18" i="2" s="1"/>
  <c r="F78" i="2" s="1"/>
  <c r="E6" i="2"/>
  <c r="E10" i="2" s="1"/>
  <c r="E14" i="2" s="1"/>
  <c r="E16" i="2" s="1"/>
  <c r="E18" i="2" s="1"/>
  <c r="E78" i="2" s="1"/>
  <c r="D6" i="2"/>
  <c r="D10" i="2" s="1"/>
  <c r="D14" i="2" s="1"/>
  <c r="D16" i="2" s="1"/>
  <c r="D18" i="2" s="1"/>
  <c r="D78" i="2" s="1"/>
  <c r="L15" i="11" l="1"/>
  <c r="L16" i="11"/>
  <c r="M15" i="11"/>
  <c r="F13" i="11"/>
  <c r="F14" i="11"/>
  <c r="E16" i="11"/>
  <c r="E15" i="11"/>
  <c r="G12" i="11"/>
  <c r="AM30" i="2"/>
  <c r="AA10" i="2"/>
  <c r="AA29" i="2" s="1"/>
  <c r="AA28" i="2"/>
  <c r="Y14" i="2"/>
  <c r="Y16" i="2" s="1"/>
  <c r="Y18" i="2" s="1"/>
  <c r="Y25" i="2" s="1"/>
  <c r="Y29" i="2"/>
  <c r="AH10" i="2"/>
  <c r="AH29" i="2" s="1"/>
  <c r="AH28" i="2"/>
  <c r="T78" i="2"/>
  <c r="AC10" i="2"/>
  <c r="AC29" i="2" s="1"/>
  <c r="AC28" i="2"/>
  <c r="AD10" i="2"/>
  <c r="AL10" i="2"/>
  <c r="AL29" i="2" s="1"/>
  <c r="AL28" i="2"/>
  <c r="AE10" i="2"/>
  <c r="AM10" i="2"/>
  <c r="AM29" i="2" s="1"/>
  <c r="AM28" i="2"/>
  <c r="AI10" i="2"/>
  <c r="AI29" i="2" s="1"/>
  <c r="AI28" i="2"/>
  <c r="AJ10" i="2"/>
  <c r="AJ29" i="2" s="1"/>
  <c r="AJ28" i="2"/>
  <c r="AK10" i="2"/>
  <c r="AK29" i="2" s="1"/>
  <c r="AK28" i="2"/>
  <c r="AF10" i="2"/>
  <c r="AF29" i="2" s="1"/>
  <c r="AF28" i="2"/>
  <c r="AI30" i="2"/>
  <c r="AI40" i="2"/>
  <c r="AH40" i="2"/>
  <c r="H5" i="11" s="1"/>
  <c r="H11" i="11" s="1"/>
  <c r="H12" i="11" s="1"/>
  <c r="Z10" i="2"/>
  <c r="Z29" i="2" s="1"/>
  <c r="Z28" i="2"/>
  <c r="AB10" i="2"/>
  <c r="AB29" i="2" s="1"/>
  <c r="AB28" i="2"/>
  <c r="AG10" i="2"/>
  <c r="AG29" i="2" s="1"/>
  <c r="AG28" i="2"/>
  <c r="T20" i="2"/>
  <c r="AH30" i="2"/>
  <c r="N78" i="2"/>
  <c r="N25" i="2"/>
  <c r="M75" i="2"/>
  <c r="E100" i="2"/>
  <c r="G75" i="2"/>
  <c r="K75" i="2"/>
  <c r="D75" i="2"/>
  <c r="L75" i="2"/>
  <c r="F75" i="2"/>
  <c r="N75" i="2"/>
  <c r="G100" i="2"/>
  <c r="E75" i="2"/>
  <c r="D100" i="2"/>
  <c r="F100" i="2"/>
  <c r="AB100" i="2"/>
  <c r="AC100" i="2"/>
  <c r="H100" i="2"/>
  <c r="AA100" i="2"/>
  <c r="J75" i="2"/>
  <c r="P75" i="2"/>
  <c r="I100" i="2"/>
  <c r="K100" i="2"/>
  <c r="H75" i="2"/>
  <c r="J100" i="2"/>
  <c r="I75" i="2"/>
  <c r="O100" i="2"/>
  <c r="S100" i="2"/>
  <c r="N100" i="2"/>
  <c r="R100" i="2"/>
  <c r="M100" i="2"/>
  <c r="Q100" i="2"/>
  <c r="L100" i="2"/>
  <c r="P100" i="2"/>
  <c r="Q75" i="2"/>
  <c r="R75" i="2"/>
  <c r="Y100" i="2"/>
  <c r="Z100" i="2"/>
  <c r="S75" i="2"/>
  <c r="O75" i="2"/>
  <c r="E20" i="2"/>
  <c r="E22" i="2" s="1"/>
  <c r="E25" i="2"/>
  <c r="M14" i="2"/>
  <c r="M16" i="2" s="1"/>
  <c r="M18" i="2" s="1"/>
  <c r="M78" i="2" s="1"/>
  <c r="G20" i="2"/>
  <c r="G22" i="2" s="1"/>
  <c r="G25" i="2"/>
  <c r="R14" i="2"/>
  <c r="R16" i="2" s="1"/>
  <c r="R18" i="2" s="1"/>
  <c r="R78" i="2" s="1"/>
  <c r="F20" i="2"/>
  <c r="F22" i="2" s="1"/>
  <c r="F25" i="2"/>
  <c r="H14" i="2"/>
  <c r="H16" i="2" s="1"/>
  <c r="H18" i="2" s="1"/>
  <c r="H78" i="2" s="1"/>
  <c r="S14" i="2"/>
  <c r="S16" i="2" s="1"/>
  <c r="S18" i="2" s="1"/>
  <c r="S78" i="2" s="1"/>
  <c r="O14" i="2"/>
  <c r="O16" i="2" s="1"/>
  <c r="O18" i="2" s="1"/>
  <c r="O78" i="2" s="1"/>
  <c r="P14" i="2"/>
  <c r="P16" i="2" s="1"/>
  <c r="P18" i="2" s="1"/>
  <c r="P78" i="2" s="1"/>
  <c r="I14" i="2"/>
  <c r="I16" i="2" s="1"/>
  <c r="I18" i="2" s="1"/>
  <c r="I78" i="2" s="1"/>
  <c r="Q14" i="2"/>
  <c r="Q16" i="2" s="1"/>
  <c r="Q18" i="2" s="1"/>
  <c r="Q78" i="2" s="1"/>
  <c r="J14" i="2"/>
  <c r="J16" i="2" s="1"/>
  <c r="J18" i="2" s="1"/>
  <c r="J78" i="2" s="1"/>
  <c r="K14" i="2"/>
  <c r="K16" i="2" s="1"/>
  <c r="K18" i="2" s="1"/>
  <c r="K78" i="2" s="1"/>
  <c r="D20" i="2"/>
  <c r="D22" i="2" s="1"/>
  <c r="D25" i="2"/>
  <c r="L14" i="2"/>
  <c r="L16" i="2" s="1"/>
  <c r="L18" i="2" s="1"/>
  <c r="L78" i="2" s="1"/>
  <c r="N20" i="2"/>
  <c r="AD14" i="2" l="1"/>
  <c r="AD16" i="2" s="1"/>
  <c r="AD18" i="2" s="1"/>
  <c r="H13" i="11"/>
  <c r="H14" i="11"/>
  <c r="F16" i="11"/>
  <c r="F15" i="11"/>
  <c r="G13" i="11"/>
  <c r="G14" i="11"/>
  <c r="T22" i="2"/>
  <c r="T32" i="2"/>
  <c r="N22" i="2"/>
  <c r="N32" i="2"/>
  <c r="AC14" i="2"/>
  <c r="AC16" i="2" s="1"/>
  <c r="AC18" i="2" s="1"/>
  <c r="AC25" i="2" s="1"/>
  <c r="AA14" i="2"/>
  <c r="AA16" i="2" s="1"/>
  <c r="AA18" i="2" s="1"/>
  <c r="AA78" i="2" s="1"/>
  <c r="AE29" i="2"/>
  <c r="AE24" i="2"/>
  <c r="AG14" i="2"/>
  <c r="AD19" i="2"/>
  <c r="AD20" i="2" s="1"/>
  <c r="D7" i="11" s="1"/>
  <c r="AJ24" i="2"/>
  <c r="AI24" i="2"/>
  <c r="AB14" i="2"/>
  <c r="AB16" i="2" s="1"/>
  <c r="AB18" i="2" s="1"/>
  <c r="AB78" i="2" s="1"/>
  <c r="AI14" i="2"/>
  <c r="AI16" i="2" s="1"/>
  <c r="AI18" i="2" s="1"/>
  <c r="AI25" i="2" s="1"/>
  <c r="AM24" i="2"/>
  <c r="Z24" i="2"/>
  <c r="AL24" i="2"/>
  <c r="Y78" i="2"/>
  <c r="AL14" i="2"/>
  <c r="AL16" i="2" s="1"/>
  <c r="AL18" i="2" s="1"/>
  <c r="Y20" i="2"/>
  <c r="Y22" i="2" s="1"/>
  <c r="AB24" i="2"/>
  <c r="AG24" i="2"/>
  <c r="AC24" i="2"/>
  <c r="AM14" i="2"/>
  <c r="AM16" i="2" s="1"/>
  <c r="AM18" i="2" s="1"/>
  <c r="AM19" i="2" s="1"/>
  <c r="Z14" i="2"/>
  <c r="Z16" i="2" s="1"/>
  <c r="Z18" i="2" s="1"/>
  <c r="AJ14" i="2"/>
  <c r="AJ16" i="2" s="1"/>
  <c r="AJ18" i="2" s="1"/>
  <c r="AK14" i="2"/>
  <c r="AK16" i="2" s="1"/>
  <c r="AK18" i="2" s="1"/>
  <c r="AK24" i="2"/>
  <c r="AH24" i="2"/>
  <c r="AF24" i="2"/>
  <c r="AE14" i="2"/>
  <c r="AA24" i="2"/>
  <c r="AH14" i="2"/>
  <c r="AH16" i="2" s="1"/>
  <c r="AH18" i="2" s="1"/>
  <c r="AH19" i="2" s="1"/>
  <c r="AF14" i="2"/>
  <c r="AF16" i="2" s="1"/>
  <c r="AF18" i="2" s="1"/>
  <c r="AF25" i="2" s="1"/>
  <c r="AC78" i="2"/>
  <c r="AC20" i="2"/>
  <c r="S25" i="2"/>
  <c r="S20" i="2"/>
  <c r="H20" i="2"/>
  <c r="H22" i="2" s="1"/>
  <c r="H25" i="2"/>
  <c r="M20" i="2"/>
  <c r="M25" i="2"/>
  <c r="R25" i="2"/>
  <c r="R20" i="2"/>
  <c r="L20" i="2"/>
  <c r="L25" i="2"/>
  <c r="K25" i="2"/>
  <c r="K20" i="2"/>
  <c r="K22" i="2" s="1"/>
  <c r="P25" i="2"/>
  <c r="P20" i="2"/>
  <c r="J25" i="2"/>
  <c r="J20" i="2"/>
  <c r="J22" i="2" s="1"/>
  <c r="O20" i="2"/>
  <c r="O25" i="2"/>
  <c r="Q25" i="2"/>
  <c r="Q20" i="2"/>
  <c r="I25" i="2"/>
  <c r="I20" i="2"/>
  <c r="I22" i="2" s="1"/>
  <c r="G16" i="11" l="1"/>
  <c r="G15" i="11"/>
  <c r="H16" i="11"/>
  <c r="H15" i="11"/>
  <c r="Q22" i="2"/>
  <c r="Q32" i="2"/>
  <c r="S22" i="2"/>
  <c r="S32" i="2"/>
  <c r="O22" i="2"/>
  <c r="O32" i="2"/>
  <c r="R22" i="2"/>
  <c r="R32" i="2"/>
  <c r="AA25" i="2"/>
  <c r="L22" i="2"/>
  <c r="L32" i="2"/>
  <c r="AB25" i="2"/>
  <c r="AE16" i="2"/>
  <c r="AE18" i="2" s="1"/>
  <c r="AG16" i="2"/>
  <c r="AG18" i="2" s="1"/>
  <c r="AA20" i="2"/>
  <c r="P22" i="2"/>
  <c r="P32" i="2"/>
  <c r="M22" i="2"/>
  <c r="M32" i="2"/>
  <c r="AB20" i="2"/>
  <c r="AB32" i="2" s="1"/>
  <c r="AD22" i="2"/>
  <c r="AI19" i="2"/>
  <c r="AI20" i="2"/>
  <c r="AF19" i="2"/>
  <c r="AF20" i="2" s="1"/>
  <c r="AK25" i="2"/>
  <c r="AK19" i="2"/>
  <c r="AK20" i="2" s="1"/>
  <c r="AJ25" i="2"/>
  <c r="AJ19" i="2"/>
  <c r="AJ20" i="2" s="1"/>
  <c r="AL25" i="2"/>
  <c r="AL19" i="2"/>
  <c r="AL20" i="2" s="1"/>
  <c r="Y32" i="2"/>
  <c r="Z20" i="2"/>
  <c r="Z22" i="2" s="1"/>
  <c r="AB22" i="2"/>
  <c r="Z78" i="2"/>
  <c r="AA22" i="2"/>
  <c r="AA32" i="2"/>
  <c r="AC22" i="2"/>
  <c r="AC32" i="2"/>
  <c r="AM25" i="2"/>
  <c r="AM20" i="2"/>
  <c r="M7" i="11" s="1"/>
  <c r="M17" i="11" s="1"/>
  <c r="M18" i="11" s="1"/>
  <c r="AH20" i="2"/>
  <c r="AH25" i="2"/>
  <c r="B9" i="2"/>
  <c r="AL22" i="2" l="1"/>
  <c r="L7" i="11"/>
  <c r="L17" i="11" s="1"/>
  <c r="L18" i="11" s="1"/>
  <c r="AI22" i="2"/>
  <c r="I7" i="11"/>
  <c r="I17" i="11" s="1"/>
  <c r="I18" i="11" s="1"/>
  <c r="AK22" i="2"/>
  <c r="K7" i="11"/>
  <c r="K17" i="11" s="1"/>
  <c r="K18" i="11" s="1"/>
  <c r="AJ22" i="2"/>
  <c r="J7" i="11"/>
  <c r="J17" i="11" s="1"/>
  <c r="J18" i="11" s="1"/>
  <c r="D5" i="3"/>
  <c r="AE19" i="2"/>
  <c r="AE20" i="2" s="1"/>
  <c r="AE25" i="2"/>
  <c r="AG19" i="2"/>
  <c r="AG20" i="2" s="1"/>
  <c r="AG25" i="2"/>
  <c r="AF22" i="2"/>
  <c r="F7" i="11"/>
  <c r="F17" i="11" s="1"/>
  <c r="F18" i="11" s="1"/>
  <c r="AM22" i="2"/>
  <c r="AN20" i="2"/>
  <c r="AO20" i="2" s="1"/>
  <c r="AP20" i="2" s="1"/>
  <c r="AQ20" i="2" s="1"/>
  <c r="AR20" i="2" s="1"/>
  <c r="AS20" i="2" s="1"/>
  <c r="AT20" i="2" s="1"/>
  <c r="AU20" i="2" s="1"/>
  <c r="AV20" i="2" s="1"/>
  <c r="AW20" i="2" s="1"/>
  <c r="AX20" i="2" s="1"/>
  <c r="AY20" i="2" s="1"/>
  <c r="AZ20" i="2" s="1"/>
  <c r="BA20" i="2" s="1"/>
  <c r="BB20" i="2" s="1"/>
  <c r="BC20" i="2" s="1"/>
  <c r="BD20" i="2" s="1"/>
  <c r="BE20" i="2" s="1"/>
  <c r="BF20" i="2" s="1"/>
  <c r="BG20" i="2" s="1"/>
  <c r="BH20" i="2" s="1"/>
  <c r="BI20" i="2" s="1"/>
  <c r="BJ20" i="2" s="1"/>
  <c r="BK20" i="2" s="1"/>
  <c r="BL20" i="2" s="1"/>
  <c r="BM20" i="2" s="1"/>
  <c r="BN20" i="2" s="1"/>
  <c r="BO20" i="2" s="1"/>
  <c r="BP20" i="2" s="1"/>
  <c r="BQ20" i="2" s="1"/>
  <c r="BR20" i="2" s="1"/>
  <c r="BS20" i="2" s="1"/>
  <c r="BT20" i="2" s="1"/>
  <c r="BU20" i="2" s="1"/>
  <c r="BV20" i="2" s="1"/>
  <c r="BW20" i="2" s="1"/>
  <c r="BX20" i="2" s="1"/>
  <c r="BY20" i="2" s="1"/>
  <c r="BZ20" i="2" s="1"/>
  <c r="CA20" i="2" s="1"/>
  <c r="CB20" i="2" s="1"/>
  <c r="CC20" i="2" s="1"/>
  <c r="CD20" i="2" s="1"/>
  <c r="CE20" i="2" s="1"/>
  <c r="CF20" i="2" s="1"/>
  <c r="CG20" i="2" s="1"/>
  <c r="CH20" i="2" s="1"/>
  <c r="CI20" i="2" s="1"/>
  <c r="CJ20" i="2" s="1"/>
  <c r="CK20" i="2" s="1"/>
  <c r="CL20" i="2" s="1"/>
  <c r="CM20" i="2" s="1"/>
  <c r="CN20" i="2" s="1"/>
  <c r="CO20" i="2" s="1"/>
  <c r="CP20" i="2" s="1"/>
  <c r="CQ20" i="2" s="1"/>
  <c r="CR20" i="2" s="1"/>
  <c r="CS20" i="2" s="1"/>
  <c r="CT20" i="2" s="1"/>
  <c r="CU20" i="2" s="1"/>
  <c r="CV20" i="2" s="1"/>
  <c r="CW20" i="2" s="1"/>
  <c r="CX20" i="2" s="1"/>
  <c r="CY20" i="2" s="1"/>
  <c r="CZ20" i="2" s="1"/>
  <c r="DA20" i="2" s="1"/>
  <c r="DB20" i="2" s="1"/>
  <c r="DC20" i="2" s="1"/>
  <c r="DD20" i="2" s="1"/>
  <c r="DE20" i="2" s="1"/>
  <c r="DF20" i="2" s="1"/>
  <c r="DG20" i="2" s="1"/>
  <c r="DH20" i="2" s="1"/>
  <c r="DI20" i="2" s="1"/>
  <c r="DJ20" i="2" s="1"/>
  <c r="DK20" i="2" s="1"/>
  <c r="DL20" i="2" s="1"/>
  <c r="DM20" i="2" s="1"/>
  <c r="DN20" i="2" s="1"/>
  <c r="DO20" i="2" s="1"/>
  <c r="DP20" i="2" s="1"/>
  <c r="DQ20" i="2" s="1"/>
  <c r="DR20" i="2" s="1"/>
  <c r="DS20" i="2" s="1"/>
  <c r="DT20" i="2" s="1"/>
  <c r="DU20" i="2" s="1"/>
  <c r="DV20" i="2" s="1"/>
  <c r="DW20" i="2" s="1"/>
  <c r="DX20" i="2" s="1"/>
  <c r="DY20" i="2" s="1"/>
  <c r="DZ20" i="2" s="1"/>
  <c r="EA20" i="2" s="1"/>
  <c r="EB20" i="2" s="1"/>
  <c r="EC20" i="2" s="1"/>
  <c r="ED20" i="2" s="1"/>
  <c r="EE20" i="2" s="1"/>
  <c r="EF20" i="2" s="1"/>
  <c r="EG20" i="2" s="1"/>
  <c r="EH20" i="2" s="1"/>
  <c r="EI20" i="2" s="1"/>
  <c r="EJ20" i="2" s="1"/>
  <c r="EK20" i="2" s="1"/>
  <c r="EL20" i="2" s="1"/>
  <c r="EM20" i="2" s="1"/>
  <c r="EN20" i="2" s="1"/>
  <c r="EO20" i="2" s="1"/>
  <c r="EP20" i="2" s="1"/>
  <c r="EQ20" i="2" s="1"/>
  <c r="ER20" i="2" s="1"/>
  <c r="ES20" i="2" s="1"/>
  <c r="ET20" i="2" s="1"/>
  <c r="EU20" i="2" s="1"/>
  <c r="EV20" i="2" s="1"/>
  <c r="EW20" i="2" s="1"/>
  <c r="EX20" i="2" s="1"/>
  <c r="EY20" i="2" s="1"/>
  <c r="EZ20" i="2" s="1"/>
  <c r="FA20" i="2" s="1"/>
  <c r="FB20" i="2" s="1"/>
  <c r="FC20" i="2" s="1"/>
  <c r="FD20" i="2" s="1"/>
  <c r="FE20" i="2" s="1"/>
  <c r="FF20" i="2" s="1"/>
  <c r="FG20" i="2" s="1"/>
  <c r="FH20" i="2" s="1"/>
  <c r="FI20" i="2" s="1"/>
  <c r="FJ20" i="2" s="1"/>
  <c r="FK20" i="2" s="1"/>
  <c r="FL20" i="2" s="1"/>
  <c r="FM20" i="2" s="1"/>
  <c r="FN20" i="2" s="1"/>
  <c r="FO20" i="2" s="1"/>
  <c r="FP20" i="2" s="1"/>
  <c r="FQ20" i="2" s="1"/>
  <c r="FR20" i="2" s="1"/>
  <c r="FS20" i="2" s="1"/>
  <c r="FT20" i="2" s="1"/>
  <c r="FU20" i="2" s="1"/>
  <c r="FV20" i="2" s="1"/>
  <c r="FW20" i="2" s="1"/>
  <c r="FX20" i="2" s="1"/>
  <c r="FY20" i="2" s="1"/>
  <c r="FZ20" i="2" s="1"/>
  <c r="GA20" i="2" s="1"/>
  <c r="GB20" i="2" s="1"/>
  <c r="GC20" i="2" s="1"/>
  <c r="GD20" i="2" s="1"/>
  <c r="GE20" i="2" s="1"/>
  <c r="GF20" i="2" s="1"/>
  <c r="GG20" i="2" s="1"/>
  <c r="GH20" i="2" s="1"/>
  <c r="GI20" i="2" s="1"/>
  <c r="GJ20" i="2" s="1"/>
  <c r="GK20" i="2" s="1"/>
  <c r="GL20" i="2" s="1"/>
  <c r="GM20" i="2" s="1"/>
  <c r="GN20" i="2" s="1"/>
  <c r="GO20" i="2" s="1"/>
  <c r="GP20" i="2" s="1"/>
  <c r="GQ20" i="2" s="1"/>
  <c r="GR20" i="2" s="1"/>
  <c r="GS20" i="2" s="1"/>
  <c r="GT20" i="2" s="1"/>
  <c r="GU20" i="2" s="1"/>
  <c r="GV20" i="2" s="1"/>
  <c r="GW20" i="2" s="1"/>
  <c r="GX20" i="2" s="1"/>
  <c r="GY20" i="2" s="1"/>
  <c r="GZ20" i="2" s="1"/>
  <c r="HA20" i="2" s="1"/>
  <c r="HB20" i="2" s="1"/>
  <c r="HC20" i="2" s="1"/>
  <c r="HD20" i="2" s="1"/>
  <c r="HE20" i="2" s="1"/>
  <c r="HF20" i="2" s="1"/>
  <c r="AH22" i="2"/>
  <c r="H7" i="11"/>
  <c r="H17" i="11" s="1"/>
  <c r="H18" i="11" s="1"/>
  <c r="Z32" i="2"/>
  <c r="F5" i="3" l="1"/>
  <c r="AG22" i="2"/>
  <c r="G7" i="11"/>
  <c r="G17" i="11" s="1"/>
  <c r="G18" i="11" s="1"/>
  <c r="AE22" i="2"/>
  <c r="E7" i="11"/>
  <c r="E17" i="11" s="1"/>
  <c r="AP25" i="2"/>
  <c r="AP27" i="2" s="1"/>
  <c r="AP28" i="2" s="1"/>
  <c r="E18" i="11" l="1"/>
  <c r="E20" i="11"/>
  <c r="E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tc={7C579777-88CB-1845-84C0-D46FD4EAFDC0}</author>
    <author>tc={68D79600-3F15-664C-96F6-82E2C5CAFEC6}</author>
    <author>tc={CC53CB68-21B6-2545-B6AE-A1C7D26C697B}</author>
    <author>tc={2429E79B-1F91-6243-9183-076120685F00}</author>
    <author>tc={BAF3DD24-19D8-2141-89D8-D4327B90D20E}</author>
    <author>tc={9D8E06E9-0202-A142-AA06-BE8A3752C589}</author>
  </authors>
  <commentList>
    <comment ref="AE3" authorId="0" shapeId="0" xr:uid="{7C579777-88CB-1845-84C0-D46FD4EAFDC0}">
      <text>
        <t>[Kommentartråd]
Din versjon av Excel lar deg lese denne kommentartråden. Eventuelle endringer i den vil imidlertid bli fjernet hvis filen åpnes i en nyere versjon av Excel. Finn ut mer: https://go.microsoft.com/fwlink/?linkid=870924
Kommentar:
    C/I &lt; 20%
H227</t>
      </text>
    </comment>
    <comment ref="C31" authorId="1" shapeId="0" xr:uid="{68D79600-3F15-664C-96F6-82E2C5CAFEC6}">
      <text>
        <t>[Kommentartråd]
Din versjon av Excel lar deg lese denne kommentartråden. Eventuelle endringer i den vil imidlertid bli fjernet hvis filen åpnes i en nyere versjon av Excel. Finn ut mer: https://go.microsoft.com/fwlink/?linkid=870924
Kommentar:
    Return on equity excluding intangible assets and
Tier 1 capital instruments</t>
      </text>
    </comment>
    <comment ref="C58" authorId="2" shapeId="0" xr:uid="{CC53CB68-21B6-2545-B6AE-A1C7D26C697B}">
      <text>
        <t>[Kommentartråd]
Din versjon av Excel lar deg lese denne kommentartråden. Eventuelle endringer i den vil imidlertid bli fjernet hvis filen åpnes i en nyere versjon av Excel. Finn ut mer: https://go.microsoft.com/fwlink/?linkid=870924
Kommentar:
    Lånte penger fra andre banker med pant i utlånsporteføljen</t>
      </text>
    </comment>
    <comment ref="C59" authorId="3" shapeId="0" xr:uid="{2429E79B-1F91-6243-9183-076120685F00}">
      <text>
        <t>[Kommentartråd]
Din versjon av Excel lar deg lese denne kommentartråden. Eventuelle endringer i den vil imidlertid bli fjernet hvis filen åpnes i en nyere versjon av Excel. Finn ut mer: https://go.microsoft.com/fwlink/?linkid=870924
Kommentar:
    Innskudd fra privatpersoner via Nordax, Bank Norwegian</t>
      </text>
    </comment>
    <comment ref="C64" authorId="4" shapeId="0" xr:uid="{BAF3DD24-19D8-2141-89D8-D4327B90D20E}">
      <text>
        <t>[Kommentartråd]
Din versjon av Excel lar deg lese denne kommentartråden. Eventuelle endringer i den vil imidlertid bli fjernet hvis filen åpnes i en nyere versjon av Excel. Finn ut mer: https://go.microsoft.com/fwlink/?linkid=870924
Kommentar:
    Tier 2, gjeld, men omgjøres til EK om all EK blir spist opp</t>
      </text>
    </comment>
    <comment ref="C66" authorId="5" shapeId="0" xr:uid="{9D8E06E9-0202-A142-AA06-BE8A3752C589}">
      <text>
        <t>[Kommentartråd]
Din versjon av Excel lar deg lese denne kommentartråden. Eventuelle endringer i den vil imidlertid bli fjernet hvis filen åpnes i en nyere versjon av Excel. Finn ut mer: https://go.microsoft.com/fwlink/?linkid=870924
Kommentar:
    Ansvarlig lånekapital som teller som Tier 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tc={8F821FBE-7B24-3849-B896-4E64A5FA4146}</author>
    <author>tc={E35EC160-21A2-B54D-B45E-50A7966D6CB0}</author>
    <author>tc={41171247-649E-874D-86E5-CA45A2C075EE}</author>
  </authors>
  <commentList>
    <comment ref="B8" authorId="0" shapeId="0" xr:uid="{8F821FBE-7B24-3849-B896-4E64A5FA4146}">
      <text>
        <t>[Kommentartråd]
Din versjon av Excel lar deg lese denne kommentartråden. Eventuelle endringer i den vil imidlertid bli fjernet hvis filen åpnes i en nyere versjon av Excel. Finn ut mer: https://go.microsoft.com/fwlink/?linkid=870924
Kommentar:
    Spread mellom utlån og finansieringskost</t>
      </text>
    </comment>
    <comment ref="B15" authorId="1" shapeId="0" xr:uid="{E35EC160-21A2-B54D-B45E-50A7966D6CB0}">
      <text>
        <t>[Kommentartråd]
Din versjon av Excel lar deg lese denne kommentartråden. Eventuelle endringer i den vil imidlertid bli fjernet hvis filen åpnes i en nyere versjon av Excel. Finn ut mer: https://go.microsoft.com/fwlink/?linkid=870924
Kommentar:
    Spread mellom utlån og finansieringskost</t>
      </text>
    </comment>
    <comment ref="B22" authorId="2" shapeId="0" xr:uid="{41171247-649E-874D-86E5-CA45A2C075EE}">
      <text>
        <t>[Kommentartråd]
Din versjon av Excel lar deg lese denne kommentartråden. Eventuelle endringer i den vil imidlertid bli fjernet hvis filen åpnes i en nyere versjon av Excel. Finn ut mer: https://go.microsoft.com/fwlink/?linkid=870924
Kommentar:
    Spread mellom utlån og finansieringskost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tc={60E1B239-6144-9348-AE77-E724BB0F9BB1}</author>
    <author>tc={2DC4CC7C-6D86-6F4A-8262-8E4D3EE125FA}</author>
    <author>tc={9DA7037A-30F2-214C-A929-C6C3B95CF35D}</author>
    <author>tc={AE62A832-84BC-4248-B5DF-EDBF609448B7}</author>
  </authors>
  <commentList>
    <comment ref="B6" authorId="0" shapeId="0" xr:uid="{60E1B239-6144-9348-AE77-E724BB0F9BB1}">
      <text>
        <t>[Kommentartråd]
Din versjon av Excel lar deg lese denne kommentartråden. Eventuelle endringer i den vil imidlertid bli fjernet hvis filen åpnes i en nyere versjon av Excel. Finn ut mer: https://go.microsoft.com/fwlink/?linkid=870924
Kommentar:
    NOBA ønsker å ligge i lave enden av rangen 13-15%</t>
      </text>
    </comment>
    <comment ref="B8" authorId="1" shapeId="0" xr:uid="{2DC4CC7C-6D86-6F4A-8262-8E4D3EE125FA}">
      <text>
        <t>[Kommentartråd]
Din versjon av Excel lar deg lese denne kommentartråden. Eventuelle endringer i den vil imidlertid bli fjernet hvis filen åpnes i en nyere versjon av Excel. Finn ut mer: https://go.microsoft.com/fwlink/?linkid=870924
Kommentar:
    Forutsetter lik som Q226</t>
      </text>
    </comment>
    <comment ref="B16" authorId="2" shapeId="0" xr:uid="{9DA7037A-30F2-214C-A929-C6C3B95CF35D}">
      <text>
        <t>[Kommentartråd]
Din versjon av Excel lar deg lese denne kommentartråden. Eventuelle endringer i den vil imidlertid bli fjernet hvis filen åpnes i en nyere versjon av Excel. Finn ut mer: https://go.microsoft.com/fwlink/?linkid=870924
Kommentar:
    Hvor mye kapital NOBA må ha bak veksten sin</t>
      </text>
    </comment>
    <comment ref="B17" authorId="3" shapeId="0" xr:uid="{AE62A832-84BC-4248-B5DF-EDBF609448B7}">
      <text>
        <t>[Kommentartråd]
Din versjon av Excel lar deg lese denne kommentartråden. Eventuelle endringer i den vil imidlertid bli fjernet hvis filen åpnes i en nyere versjon av Excel. Finn ut mer: https://go.microsoft.com/fwlink/?linkid=870924
Kommentar:
    Positiv: Selvfinansiert vekst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tc={5D4E7B90-BD08-B344-92CC-0EAF647CDAAB}</author>
  </authors>
  <commentList>
    <comment ref="B50" authorId="0" shapeId="0" xr:uid="{5D4E7B90-BD08-B344-92CC-0EAF647CDAAB}">
      <text>
        <t>[Kommentartråd]
Din versjon av Excel lar deg lese denne kommentartråden. Eventuelle endringer i den vil imidlertid bli fjernet hvis filen åpnes i en nyere versjon av Excel. Finn ut mer: https://go.microsoft.com/fwlink/?linkid=870924
Kommentar:
    Oppkjøpet av DBT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tc={366F466A-9910-AF4B-BB69-97F14453B274}</author>
  </authors>
  <commentList>
    <comment ref="B70" authorId="0" shapeId="0" xr:uid="{366F466A-9910-AF4B-BB69-97F14453B274}">
      <text>
        <t>[Kommentartråd]
Din versjon av Excel lar deg lese denne kommentartråden. Eventuelle endringer i den vil imidlertid bli fjernet hvis filen åpnes i en nyere versjon av Excel. Finn ut mer: https://go.microsoft.com/fwlink/?linkid=870924
Kommentar:
    Oppkjøpet av DBT</t>
      </text>
    </comment>
  </commentList>
</comments>
</file>

<file path=xl/sharedStrings.xml><?xml version="1.0" encoding="utf-8"?>
<sst xmlns="http://schemas.openxmlformats.org/spreadsheetml/2006/main" count="540" uniqueCount="245">
  <si>
    <t>Kapitalstruktur</t>
  </si>
  <si>
    <t>Price</t>
  </si>
  <si>
    <t>S/O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</si>
  <si>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</si>
  <si>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</si>
  <si>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</si>
  <si>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</si>
  <si>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</si>
  <si>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</si>
  <si>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</si>
  <si>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</si>
  <si>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</si>
  <si>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</si>
  <si>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</si>
  <si>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</si>
  <si>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</si>
  <si>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</si>
  <si>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</si>
  <si>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</si>
  <si>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</si>
  <si>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</si>
  <si>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</si>
  <si>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</si>
  <si>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</si>
  <si>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</si>
  <si>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</si>
  <si>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</si>
  <si>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P/E</t>
  </si>
  <si>
    <t>Q225</t>
  </si>
  <si>
    <t>Q325</t>
  </si>
  <si>
    <t>Q425</t>
  </si>
  <si>
    <t>Q125</t>
  </si>
  <si>
    <t>Revenue y/y</t>
  </si>
  <si>
    <t>MC NOKm</t>
  </si>
  <si>
    <t>Cash NOKm</t>
  </si>
  <si>
    <t>Debt NOKm</t>
  </si>
  <si>
    <t>EV NOKm</t>
  </si>
  <si>
    <t>ROTE</t>
  </si>
  <si>
    <t>SEKm</t>
  </si>
  <si>
    <t>Balanse SEKm</t>
  </si>
  <si>
    <t>Interest income</t>
  </si>
  <si>
    <t>Total net interest income</t>
  </si>
  <si>
    <t>Commission income</t>
  </si>
  <si>
    <t>Commission expenses</t>
  </si>
  <si>
    <t>Net profit from finanivial transactions</t>
  </si>
  <si>
    <t>Total operating income</t>
  </si>
  <si>
    <t>General adminstrative expenses</t>
  </si>
  <si>
    <t>D/A/I</t>
  </si>
  <si>
    <t>Other operating expenses</t>
  </si>
  <si>
    <t>Profit before credit losses</t>
  </si>
  <si>
    <t>Net credit losses</t>
  </si>
  <si>
    <t>Operating profit before amort of transaction surplus values</t>
  </si>
  <si>
    <t>Amort of transaction surplus values</t>
  </si>
  <si>
    <t xml:space="preserve">Operating profit </t>
  </si>
  <si>
    <t>Tax</t>
  </si>
  <si>
    <t>Net income</t>
  </si>
  <si>
    <t xml:space="preserve">Shares </t>
  </si>
  <si>
    <t>EPS</t>
  </si>
  <si>
    <t>Operating profit margin</t>
  </si>
  <si>
    <t>Common Equity Tier 1 capital ratio (CET1)</t>
  </si>
  <si>
    <t>Total capital ratio</t>
  </si>
  <si>
    <t>Net interest margin</t>
  </si>
  <si>
    <t>C/I ratio</t>
  </si>
  <si>
    <t>Credit loss ratio</t>
  </si>
  <si>
    <t>Cash with central banks</t>
  </si>
  <si>
    <t>Treasury bills eligible for repayment</t>
  </si>
  <si>
    <t>Lending to credit institutions</t>
  </si>
  <si>
    <t>Lending to the public</t>
  </si>
  <si>
    <t>Bonds and other fixed-income securites</t>
  </si>
  <si>
    <t>Other shares</t>
  </si>
  <si>
    <t>Dervatives</t>
  </si>
  <si>
    <t>Intangible assets</t>
  </si>
  <si>
    <t>FY 2021</t>
  </si>
  <si>
    <t>FY 2022</t>
  </si>
  <si>
    <t>FY 2023</t>
  </si>
  <si>
    <t>PP&amp;E</t>
  </si>
  <si>
    <t>Current tax assets</t>
  </si>
  <si>
    <t>Deferred tax assets</t>
  </si>
  <si>
    <t>Other assets</t>
  </si>
  <si>
    <t>Prepaid expenses and accrued income</t>
  </si>
  <si>
    <t>Total assets</t>
  </si>
  <si>
    <t>Liabilities to credit institutions</t>
  </si>
  <si>
    <t>Deposits from the public</t>
  </si>
  <si>
    <t>Current tax liabilities</t>
  </si>
  <si>
    <t>Deferred tax liabilities</t>
  </si>
  <si>
    <t>Other liabilities</t>
  </si>
  <si>
    <t>Accrued expenses and deferred income</t>
  </si>
  <si>
    <t>Subordinated liabilities</t>
  </si>
  <si>
    <t>Total debt</t>
  </si>
  <si>
    <t>Share Capital</t>
  </si>
  <si>
    <t>Other contributed capital</t>
  </si>
  <si>
    <t>Other funds</t>
  </si>
  <si>
    <t>Tier 1 capital instruments</t>
  </si>
  <si>
    <t>Retained earnings</t>
  </si>
  <si>
    <t>Profit for the year</t>
  </si>
  <si>
    <t>Total Equity</t>
  </si>
  <si>
    <t>Total E/D</t>
  </si>
  <si>
    <t>Cash flow SEKm</t>
  </si>
  <si>
    <t>Model OP</t>
  </si>
  <si>
    <t>Reported OP</t>
  </si>
  <si>
    <t>Non-cash</t>
  </si>
  <si>
    <t>Paid income tax</t>
  </si>
  <si>
    <t>Change in operating assets and liabilities</t>
  </si>
  <si>
    <t>CFFO</t>
  </si>
  <si>
    <t xml:space="preserve">Sales of shares </t>
  </si>
  <si>
    <t>CFFI</t>
  </si>
  <si>
    <t>Issued ordinated loans</t>
  </si>
  <si>
    <t>Repayment of subordinated loans</t>
  </si>
  <si>
    <t>Issued Tier 1 capital instruments</t>
  </si>
  <si>
    <t>Paid interest Tier 1 capital instruments</t>
  </si>
  <si>
    <t>Warrants issue</t>
  </si>
  <si>
    <t>Repurchase of warrants</t>
  </si>
  <si>
    <t>CFFF</t>
  </si>
  <si>
    <t>CIC</t>
  </si>
  <si>
    <t>Bok/Aksje</t>
  </si>
  <si>
    <t>FX</t>
  </si>
  <si>
    <t>Q126</t>
  </si>
  <si>
    <t>Q226</t>
  </si>
  <si>
    <t>Q326</t>
  </si>
  <si>
    <t>Q426</t>
  </si>
  <si>
    <t>P/B</t>
  </si>
  <si>
    <t>Press releases:</t>
  </si>
  <si>
    <t>Interest expense</t>
  </si>
  <si>
    <t>Private loans</t>
  </si>
  <si>
    <t>Lending (SEKb)</t>
  </si>
  <si>
    <t>Net interest margin (%)</t>
  </si>
  <si>
    <t>Credit losses (%)</t>
  </si>
  <si>
    <t>Income (SEKm)</t>
  </si>
  <si>
    <t>C/I ratio (%)</t>
  </si>
  <si>
    <t>NOBA er heldigital</t>
  </si>
  <si>
    <t>Credit cards</t>
  </si>
  <si>
    <t>Secured</t>
  </si>
  <si>
    <t>Issued securities</t>
  </si>
  <si>
    <t>Derivatives</t>
  </si>
  <si>
    <t>Loan loss delta y/y</t>
  </si>
  <si>
    <t>Loan growth</t>
  </si>
  <si>
    <t>y/y</t>
  </si>
  <si>
    <t>ROE</t>
  </si>
  <si>
    <t>Sweden</t>
  </si>
  <si>
    <t>Stage 1</t>
  </si>
  <si>
    <t>stage 3</t>
  </si>
  <si>
    <t>stage 2</t>
  </si>
  <si>
    <t>Finland</t>
  </si>
  <si>
    <t>Norway</t>
  </si>
  <si>
    <t>Denmark</t>
  </si>
  <si>
    <t>Germany/Spain</t>
  </si>
  <si>
    <t>Stage 1 total</t>
  </si>
  <si>
    <t>Stage 2 total</t>
  </si>
  <si>
    <t>Stage 3 total</t>
  </si>
  <si>
    <t>Stage 1 %</t>
  </si>
  <si>
    <t>Stage 2 %</t>
  </si>
  <si>
    <t>Stage 3 %</t>
  </si>
  <si>
    <t>SUM</t>
  </si>
  <si>
    <t>Provisons</t>
  </si>
  <si>
    <t>Gross</t>
  </si>
  <si>
    <t>% avsatt bok</t>
  </si>
  <si>
    <t>% avsatt bok total</t>
  </si>
  <si>
    <t>Fordeling av låneboken</t>
  </si>
  <si>
    <t>Credit Cards</t>
  </si>
  <si>
    <t>Corporate loans</t>
  </si>
  <si>
    <t>Provisons stage 1</t>
  </si>
  <si>
    <t>Provisons stage 2</t>
  </si>
  <si>
    <t>Provisons stage 3</t>
  </si>
  <si>
    <t>Total on-balance</t>
  </si>
  <si>
    <t>Total off-balance</t>
  </si>
  <si>
    <t>Write-offs</t>
  </si>
  <si>
    <t>Recoveries</t>
  </si>
  <si>
    <t>Total net credit losses</t>
  </si>
  <si>
    <t>Secured loans</t>
  </si>
  <si>
    <t>Dividends</t>
  </si>
  <si>
    <t>Risk weighted assets</t>
  </si>
  <si>
    <t>NPL = Non perfoming loans</t>
  </si>
  <si>
    <t>Deposits</t>
  </si>
  <si>
    <t>Financing</t>
  </si>
  <si>
    <t>REA</t>
  </si>
  <si>
    <t>Resultat til aksjonærer</t>
  </si>
  <si>
    <t>Beregnet</t>
  </si>
  <si>
    <t>Endring REA</t>
  </si>
  <si>
    <t>Disocunt</t>
  </si>
  <si>
    <t>TV</t>
  </si>
  <si>
    <t>NPV</t>
  </si>
  <si>
    <t>NPV/Share</t>
  </si>
  <si>
    <t>Opp/nedside</t>
  </si>
  <si>
    <t>Forutsetninger</t>
  </si>
  <si>
    <t>Utlånsvekst</t>
  </si>
  <si>
    <t>Utlån til publikum</t>
  </si>
  <si>
    <t>FY2026</t>
  </si>
  <si>
    <t>FY2027</t>
  </si>
  <si>
    <t>FY2028</t>
  </si>
  <si>
    <t>FY2029</t>
  </si>
  <si>
    <t>FY2030</t>
  </si>
  <si>
    <t>Kapitalbro — kan NOBA finansiere veksten selv?</t>
  </si>
  <si>
    <t>REA / utlån</t>
  </si>
  <si>
    <t>FY2025</t>
  </si>
  <si>
    <t>RWA/Book</t>
  </si>
  <si>
    <t>Mål CET1-ratio</t>
  </si>
  <si>
    <t>Nødvendig CET1-kapital</t>
  </si>
  <si>
    <t xml:space="preserve"> </t>
  </si>
  <si>
    <t>CET1-ratio (kontroll)</t>
  </si>
  <si>
    <t>Må holdes tilbake</t>
  </si>
  <si>
    <t>Kan deles ut</t>
  </si>
  <si>
    <t>FY2031</t>
  </si>
  <si>
    <t>FY2032</t>
  </si>
  <si>
    <t>FY2033</t>
  </si>
  <si>
    <t>FY2034</t>
  </si>
  <si>
    <t>FY2035</t>
  </si>
  <si>
    <t>Maks Utbyttekapasistet</t>
  </si>
  <si>
    <t>04.09.26: NOBA har utstedt en subordnated tier 2 bond. Verdien er 350 SEKm med løpetid 10,4 år med mulig først call etter 5,1 år som betaler STIBOR + 2,22%</t>
  </si>
  <si>
    <t>01.07.26: NOBA utsteder senior preferred bonds. Bonds er på 200 SEKm med forfall 2029. Renten er 3 månender STIBOR + 1%</t>
  </si>
  <si>
    <t>23.06.26: NOBA utsteder 2 Senior Preferred bonds med verdi på 500 SEKm. Renten er STIBOR/NIBOR + 1,10%</t>
  </si>
  <si>
    <t>17.06.26: NOBA utsteder AT1 bond på 750 SEKm. Renten er STIBOR + 3,75%</t>
  </si>
  <si>
    <t>03.02.26: NOBA fullfører oppkjøpet av DBT Capital AB.</t>
  </si>
  <si>
    <t>19.12.26: NOBA utsteder Senior preferred Bonds på 300 SEKm, renten er STIBOR + 1,25%</t>
  </si>
  <si>
    <t>18.12.26. NOBA kjøper DBT Capital AB som er spesialisert i utlån til small and medium-sized enterprises. Prisen er 403 SEKm</t>
  </si>
  <si>
    <t>Andelen av beløpet som er avsatt til tap</t>
  </si>
  <si>
    <t>Nordax tilbyr:</t>
  </si>
  <si>
    <t>Boliglån (Secured)</t>
  </si>
  <si>
    <t>Bank Norwegian tilbyr:</t>
  </si>
  <si>
    <t>kredittkort</t>
  </si>
  <si>
    <t>Forbrukslån (Private loan)</t>
  </si>
  <si>
    <t>Grønt lån (Private loan)</t>
  </si>
  <si>
    <t>Rammelån (Secured/Priavte loan)</t>
  </si>
  <si>
    <t>Svensk hypotekspension tilbyr:</t>
  </si>
  <si>
    <t>Pantesikret equity release eller reverese mortgage</t>
  </si>
  <si>
    <t>Øker belåningen på boligen din og får ut EK</t>
  </si>
  <si>
    <t>Ingen amort eller renter, betales tilbake når huset selges eller ved dødsfall</t>
  </si>
  <si>
    <t>Lånet akkumuleres helt til boligen selges eller døsfall og lånet kan ikke voerstige husets verdi. Stiger lånet over husets verdi er det NOBA tap</t>
  </si>
  <si>
    <t>DBT tilbyr:</t>
  </si>
  <si>
    <t>Bedriftslån fr 5-50 SEKm, 4,5% + STIBOR (Private loan)</t>
  </si>
  <si>
    <t>Interest expenses</t>
  </si>
  <si>
    <t>Commision expenses</t>
  </si>
  <si>
    <t>net profit from finaancial trans</t>
  </si>
  <si>
    <t>General admin expenses</t>
  </si>
  <si>
    <t>operating profit</t>
  </si>
  <si>
    <t>Profit attributable to Tier 1 cap</t>
  </si>
  <si>
    <t>Shares</t>
  </si>
  <si>
    <t>NIM</t>
  </si>
  <si>
    <t>C/I</t>
  </si>
  <si>
    <t>Cost of risk</t>
  </si>
  <si>
    <t>Potensial yield%</t>
  </si>
  <si>
    <t>Nordic capital er i styret, Christopher Ekdahl</t>
  </si>
  <si>
    <t>Sampo er i styret, Richard Wennerklint</t>
  </si>
  <si>
    <t>22.09.26: Sampo hat gjort et nedsalg på 14,7 mill aksjer til ish 85,2 SEK, eier nå 10,01%</t>
  </si>
  <si>
    <t xml:space="preserve">10.02.26: Nordic cap og Sampo selger 50 mill aksjer total til 100SEK/aksje. Nordic cap 40 og Sampo 10. </t>
  </si>
  <si>
    <t>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</si>
</sst>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"/>
    <numFmt numFmtId="165" formatCode="0.0"/>
    <numFmt numFmtId="166" formatCode="0.0\ %"/>
    <numFmt numFmtId="167" formatCode="#,##0.000"/>
    <numFmt numFmtId="168" formatCode="0.0%"/>
    <numFmt numFmtId="169" formatCode="#,##0.0000"/>
    <numFmt numFmtId="170" formatCode="[$SEK]\ #,##0.00_);[Red]\([$SEK]\ #,##0.00\)"/>
    <numFmt numFmtId="171" formatCode="#,##0;\(#,##0\);&quot;-&quot;"/>
  </numFmts>
  <fonts count="16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</font>
    <font>
      <i/>
      <sz val="12"/>
      <color theme="1"/>
      <name val="Calibri"/>
      <family val="2"/>
    </font>
    <font>
      <b/>
      <sz val="12"/>
      <color theme="1"/>
      <name val="Calibri"/>
      <family val="2"/>
    </font>
    <font>
      <sz val="14"/>
      <color rgb="FF0000FF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2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165" fontId="2" fillId="0" borderId="1" xfId="0" applyNumberFormat="1" applyFont="1" applyBorder="1"/>
    <xf numFmtId="165" fontId="2" fillId="0" borderId="0" xfId="0" applyNumberFormat="1" applyFont="1"/>
    <xf numFmtId="2" fontId="2" fillId="0" borderId="0" xfId="0" applyNumberFormat="1" applyFont="1"/>
    <xf numFmtId="10" fontId="2" fillId="0" borderId="0" xfId="0" applyNumberFormat="1" applyFont="1"/>
    <xf numFmtId="10" fontId="1" fillId="0" borderId="0" xfId="0" applyNumberFormat="1" applyFont="1"/>
    <xf numFmtId="3" fontId="2" fillId="0" borderId="0" xfId="0" applyNumberFormat="1" applyFont="1"/>
    <xf numFmtId="3" fontId="1" fillId="0" borderId="0" xfId="0" applyNumberFormat="1" applyFont="1"/>
    <xf numFmtId="3" fontId="4" fillId="0" borderId="0" xfId="0" applyNumberFormat="1" applyFont="1"/>
    <xf numFmtId="3" fontId="2" fillId="0" borderId="1" xfId="0" applyNumberFormat="1" applyFont="1" applyBorder="1"/>
    <xf numFmtId="10" fontId="4" fillId="0" borderId="0" xfId="0" applyNumberFormat="1" applyFont="1"/>
    <xf numFmtId="0" fontId="1" fillId="0" borderId="1" xfId="0" applyFont="1" applyBorder="1"/>
    <xf numFmtId="10" fontId="3" fillId="0" borderId="0" xfId="0" applyNumberFormat="1" applyFont="1"/>
    <xf numFmtId="0" fontId="8" fillId="0" borderId="0" xfId="0" applyFont="1"/>
    <xf numFmtId="166" fontId="1" fillId="0" borderId="0" xfId="0" applyNumberFormat="1" applyFont="1"/>
    <xf numFmtId="166" fontId="2" fillId="0" borderId="0" xfId="0" applyNumberFormat="1" applyFont="1"/>
    <xf numFmtId="0" fontId="4" fillId="0" borderId="1" xfId="0" applyFont="1" applyBorder="1"/>
    <xf numFmtId="1" fontId="1" fillId="0" borderId="1" xfId="0" quotePrefix="1" applyNumberFormat="1" applyFont="1" applyBorder="1"/>
    <xf numFmtId="4" fontId="2" fillId="0" borderId="0" xfId="0" applyNumberFormat="1" applyFont="1"/>
    <xf numFmtId="2" fontId="2" fillId="0" borderId="1" xfId="0" applyNumberFormat="1" applyFont="1" applyBorder="1"/>
    <xf numFmtId="3" fontId="3" fillId="0" borderId="0" xfId="0" applyNumberFormat="1" applyFont="1"/>
    <xf numFmtId="167" fontId="2" fillId="0" borderId="0" xfId="0" applyNumberFormat="1" applyFont="1"/>
    <xf numFmtId="4" fontId="1" fillId="0" borderId="0" xfId="0" applyNumberFormat="1" applyFont="1"/>
    <xf numFmtId="166" fontId="2" fillId="0" borderId="3" xfId="0" applyNumberFormat="1" applyFont="1" applyBorder="1"/>
    <xf numFmtId="165" fontId="6" fillId="0" borderId="2" xfId="0" applyNumberFormat="1" applyFont="1" applyBorder="1"/>
    <xf numFmtId="0" fontId="1" fillId="0" borderId="5" xfId="0" applyFont="1" applyBorder="1" applyAlignment="1">
      <alignment horizontal="right"/>
    </xf>
    <xf numFmtId="0" fontId="2" fillId="0" borderId="5" xfId="0" applyFont="1" applyBorder="1"/>
    <xf numFmtId="166" fontId="2" fillId="0" borderId="5" xfId="0" applyNumberFormat="1" applyFont="1" applyBorder="1"/>
    <xf numFmtId="3" fontId="2" fillId="0" borderId="5" xfId="0" applyNumberFormat="1" applyFont="1" applyBorder="1"/>
    <xf numFmtId="166" fontId="2" fillId="0" borderId="4" xfId="0" applyNumberFormat="1" applyFont="1" applyBorder="1"/>
    <xf numFmtId="3" fontId="1" fillId="0" borderId="5" xfId="0" applyNumberFormat="1" applyFont="1" applyBorder="1"/>
    <xf numFmtId="164" fontId="1" fillId="0" borderId="0" xfId="0" applyNumberFormat="1" applyFont="1"/>
    <xf numFmtId="0" fontId="1" fillId="0" borderId="5" xfId="0" applyFont="1" applyBorder="1"/>
    <xf numFmtId="168" fontId="2" fillId="0" borderId="0" xfId="0" applyNumberFormat="1" applyFont="1"/>
    <xf numFmtId="168" fontId="1" fillId="0" borderId="0" xfId="0" applyNumberFormat="1" applyFont="1"/>
    <xf numFmtId="169" fontId="2" fillId="0" borderId="0" xfId="0" applyNumberFormat="1" applyFont="1"/>
    <xf numFmtId="3" fontId="2" fillId="0" borderId="3" xfId="0" applyNumberFormat="1" applyFont="1" applyBorder="1"/>
    <xf numFmtId="0" fontId="2" fillId="0" borderId="6" xfId="0" applyFont="1" applyBorder="1"/>
    <xf numFmtId="0" fontId="1" fillId="0" borderId="6" xfId="0" applyFont="1" applyBorder="1"/>
    <xf numFmtId="3" fontId="1" fillId="0" borderId="6" xfId="0" applyNumberFormat="1" applyFont="1" applyBorder="1"/>
    <xf numFmtId="166" fontId="1" fillId="0" borderId="6" xfId="0" applyNumberFormat="1" applyFont="1" applyBorder="1"/>
    <xf numFmtId="10" fontId="4" fillId="0" borderId="3" xfId="0" applyNumberFormat="1" applyFont="1" applyBorder="1"/>
    <xf numFmtId="166" fontId="4" fillId="0" borderId="0" xfId="0" applyNumberFormat="1" applyFont="1"/>
    <xf numFmtId="0" fontId="10" fillId="0" borderId="0" xfId="0" applyFont="1"/>
    <xf numFmtId="9" fontId="2" fillId="0" borderId="0" xfId="0" applyNumberFormat="1" applyFont="1"/>
    <xf numFmtId="170" fontId="2" fillId="0" borderId="6" xfId="0" applyNumberFormat="1" applyFont="1" applyBorder="1"/>
    <xf numFmtId="0" fontId="11" fillId="0" borderId="0" xfId="0" applyFont="1"/>
    <xf numFmtId="0" fontId="9" fillId="0" borderId="0" xfId="0" applyFont="1"/>
    <xf numFmtId="0" fontId="12" fillId="0" borderId="0" xfId="0" applyFont="1"/>
    <xf numFmtId="0" fontId="13" fillId="2" borderId="0" xfId="0" applyFont="1" applyFill="1"/>
    <xf numFmtId="0" fontId="9" fillId="0" borderId="0" xfId="0" applyFont="1" applyAlignment="1">
      <alignment indent="1"/>
    </xf>
    <xf numFmtId="0" fontId="13" fillId="0" borderId="0" xfId="0" applyFont="1" applyAlignment="1">
      <alignment indent="1"/>
    </xf>
    <xf numFmtId="0" fontId="13" fillId="0" borderId="8" xfId="0" applyFont="1" applyBorder="1" applyAlignment="1">
      <alignment indent="1"/>
    </xf>
    <xf numFmtId="0" fontId="13" fillId="0" borderId="7" xfId="0" applyFont="1" applyBorder="1" applyAlignment="1">
      <alignment indent="1"/>
    </xf>
    <xf numFmtId="49" fontId="13" fillId="0" borderId="6" xfId="0" applyNumberFormat="1" applyFont="1" applyBorder="1" applyAlignment="1">
      <alignment horizontal="left"/>
    </xf>
    <xf numFmtId="0" fontId="9" fillId="0" borderId="0" xfId="0" applyFont="1" applyAlignment="1">
      <alignment horizontal="left"/>
    </xf>
    <xf numFmtId="168" fontId="9" fillId="0" borderId="0" xfId="0" applyNumberFormat="1" applyFont="1" applyAlignment="1">
      <alignment horizontal="left"/>
    </xf>
    <xf numFmtId="171" fontId="9" fillId="0" borderId="0" xfId="0" applyNumberFormat="1" applyFont="1" applyAlignment="1">
      <alignment horizontal="left"/>
    </xf>
    <xf numFmtId="3" fontId="9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/>
    </xf>
    <xf numFmtId="171" fontId="13" fillId="0" borderId="8" xfId="0" applyNumberFormat="1" applyFont="1" applyBorder="1" applyAlignment="1">
      <alignment horizontal="left"/>
    </xf>
    <xf numFmtId="168" fontId="13" fillId="0" borderId="7" xfId="0" applyNumberFormat="1" applyFont="1" applyBorder="1" applyAlignment="1">
      <alignment horizontal="left"/>
    </xf>
    <xf numFmtId="168" fontId="14" fillId="0" borderId="0" xfId="0" applyNumberFormat="1" applyFont="1"/>
    <xf numFmtId="2" fontId="14" fillId="0" borderId="0" xfId="0" applyNumberFormat="1" applyFont="1"/>
    <xf numFmtId="171" fontId="14" fillId="0" borderId="0" xfId="0" applyNumberFormat="1" applyFont="1"/>
    <xf numFmtId="4" fontId="14" fillId="0" borderId="0" xfId="0" applyNumberFormat="1" applyFont="1"/>
    <xf numFmtId="171" fontId="2" fillId="0" borderId="0" xfId="0" applyNumberFormat="1" applyFont="1"/>
    <xf numFmtId="171" fontId="1" fillId="0" borderId="0" xfId="0" applyNumberFormat="1" applyFont="1"/>
    <xf numFmtId="0" fontId="1" fillId="0" borderId="0" xfId="0" applyFont="1" applyAlignment="1">
      <alignment horizontal="center"/>
    </xf>
    <xf numFmtId="10" fontId="3" fillId="0" borderId="3" xfId="0" applyNumberFormat="1" applyFont="1" applyBorder="1"/>
    <xf numFmtId="0" fontId="2" fillId="0" borderId="1" xfId="0" applyFont="1" applyBorder="1" applyAlignment="1">
      <alignment horizontal="right"/>
    </xf>
    <xf numFmtId="3" fontId="1" fillId="0" borderId="1" xfId="0" applyNumberFormat="1" applyFont="1" applyBorder="1"/>
    <xf numFmtId="166" fontId="1" fillId="0" borderId="1" xfId="0" applyNumberFormat="1" applyFont="1" applyBorder="1"/>
    <xf numFmtId="166" fontId="2" fillId="0" borderId="1" xfId="0" applyNumberFormat="1" applyFont="1" applyBorder="1"/>
    <xf numFmtId="168" fontId="2" fillId="0" borderId="1" xfId="0" applyNumberFormat="1" applyFont="1" applyBorder="1"/>
    <xf numFmtId="166" fontId="4" fillId="0" borderId="1" xfId="0" applyNumberFormat="1" applyFont="1" applyBorder="1"/>
    <xf numFmtId="3" fontId="4" fillId="0" borderId="1" xfId="0" applyNumberFormat="1" applyFont="1" applyBorder="1"/>
    <xf numFmtId="4" fontId="1" fillId="0" borderId="1" xfId="0" applyNumberFormat="1" applyFont="1" applyBorder="1"/>
    <xf numFmtId="3" fontId="2" fillId="0" borderId="0" xfId="0" applyNumberFormat="1" applyFont="1" applyAlignment="1">
      <alignment horizontal="right"/>
    </xf>
    <xf numFmtId="3" fontId="1" fillId="0" borderId="5" xfId="0" applyNumberFormat="1" applyFont="1" applyBorder="1" applyAlignment="1">
      <alignment horizontal="right"/>
    </xf>
    <xf numFmtId="3" fontId="8" fillId="0" borderId="0" xfId="0" applyNumberFormat="1" applyFont="1"/>
    <xf numFmtId="4" fontId="8" fillId="0" borderId="0" xfId="0" applyNumberFormat="1" applyFont="1"/>
    <xf numFmtId="3" fontId="15" fillId="0" borderId="0" xfId="0" applyNumberFormat="1" applyFont="1"/>
    <xf numFmtId="166" fontId="4" fillId="0" borderId="5" xfId="0" applyNumberFormat="1" applyFont="1" applyBorder="1"/>
    <xf numFmtId="4" fontId="1" fillId="0" borderId="5" xfId="0" applyNumberFormat="1" applyFont="1" applyBorder="1"/>
    <xf numFmtId="10" fontId="13" fillId="0" borderId="0" xfId="0" applyNumberFormat="1" applyFont="1" applyAlignment="1">
      <alignment indent="1"/>
    </xf>
    <xf numFmtId="10" fontId="9" fillId="0" borderId="0" xfId="0" applyNumberFormat="1" applyFont="1"/>
    <xf numFmtId="10" fontId="13" fillId="0" borderId="0" xfId="0" applyNumberFormat="1" applyFont="1"/>
    <xf numFmtId="166" fontId="1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11545</xdr:colOff>
      <xdr:row>0</xdr:row>
      <xdr:rowOff>34636</xdr:rowOff>
    </xdr:from>
    <xdr:to>
      <xdr:col>4</xdr:col>
      <xdr:colOff>590451</xdr:colOff>
      <xdr:row>21</xdr:row>
      <xdr:rowOff>11546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1A724013-D804-8452-3F4A-F4E2649BB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45" y="34636"/>
          <a:ext cx="3903997" cy="5068455"/>
        </a:xfrm>
        <a:prstGeom prst="rect">
          <a:avLst/>
        </a:prstGeom>
      </xdr:spPr>
    </xdr:pic>
    <xdr:clientData/>
  </xdr:twoCellAnchor>
  <xdr:twoCellAnchor editAs="oneCell">
    <xdr:from>
      <xdr:col>4</xdr:col>
      <xdr:colOff>461819</xdr:colOff>
      <xdr:row>0</xdr:row>
      <xdr:rowOff>0</xdr:rowOff>
    </xdr:from>
    <xdr:to>
      <xdr:col>13</xdr:col>
      <xdr:colOff>716845</xdr:colOff>
      <xdr:row>23</xdr:row>
      <xdr:rowOff>177139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C9710973-F20E-3460-46DA-B042045AD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86910" y="0"/>
          <a:ext cx="7772400" cy="57535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225778</xdr:rowOff>
    </xdr:from>
    <xdr:to>
      <xdr:col>3</xdr:col>
      <xdr:colOff>338665</xdr:colOff>
      <xdr:row>35</xdr:row>
      <xdr:rowOff>187945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3A22975E-86AD-AF96-2236-F82DD14C1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223000"/>
          <a:ext cx="2836332" cy="2361056"/>
        </a:xfrm>
        <a:prstGeom prst="rect">
          <a:avLst/>
        </a:prstGeom>
      </xdr:spPr>
    </xdr:pic>
    <xdr:clientData/>
  </xdr:twoCellAnchor>
  <xdr:twoCellAnchor editAs="oneCell">
    <xdr:from>
      <xdr:col>4</xdr:col>
      <xdr:colOff>42333</xdr:colOff>
      <xdr:row>26</xdr:row>
      <xdr:rowOff>14111</xdr:rowOff>
    </xdr:from>
    <xdr:to>
      <xdr:col>7</xdr:col>
      <xdr:colOff>424461</xdr:colOff>
      <xdr:row>35</xdr:row>
      <xdr:rowOff>211666</xdr:rowOff>
    </xdr:to>
    <xdr:pic>
      <xdr:nvPicPr>
        <xdr:cNvPr id="6" name="Bilde 5">
          <a:extLst>
            <a:ext uri="{FF2B5EF4-FFF2-40B4-BE49-F238E27FC236}">
              <a16:creationId xmlns:a16="http://schemas.microsoft.com/office/drawing/2014/main" id="{4A94A7C6-0DD0-E8BF-967A-F75F45132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72555" y="6251222"/>
          <a:ext cx="2922128" cy="2356555"/>
        </a:xfrm>
        <a:prstGeom prst="rect">
          <a:avLst/>
        </a:prstGeom>
      </xdr:spPr>
    </xdr:pic>
    <xdr:clientData/>
  </xdr:twoCellAnchor>
  <xdr:twoCellAnchor editAs="oneCell">
    <xdr:from>
      <xdr:col>8</xdr:col>
      <xdr:colOff>14111</xdr:colOff>
      <xdr:row>26</xdr:row>
      <xdr:rowOff>42333</xdr:rowOff>
    </xdr:from>
    <xdr:to>
      <xdr:col>11</xdr:col>
      <xdr:colOff>395111</xdr:colOff>
      <xdr:row>35</xdr:row>
      <xdr:rowOff>214427</xdr:rowOff>
    </xdr:to>
    <xdr:pic>
      <xdr:nvPicPr>
        <xdr:cNvPr id="7" name="Bilde 6">
          <a:extLst>
            <a:ext uri="{FF2B5EF4-FFF2-40B4-BE49-F238E27FC236}">
              <a16:creationId xmlns:a16="http://schemas.microsoft.com/office/drawing/2014/main" id="{0D03B1D7-4B74-3A95-4ACF-1732ADA2B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16889" y="6279444"/>
          <a:ext cx="2878666" cy="2331094"/>
        </a:xfrm>
        <a:prstGeom prst="rect">
          <a:avLst/>
        </a:prstGeom>
      </xdr:spPr>
    </xdr:pic>
    <xdr:clientData/>
  </xdr:twoCellAnchor>
  <xdr:twoCellAnchor editAs="oneCell">
    <xdr:from>
      <xdr:col>14</xdr:col>
      <xdr:colOff>53622</xdr:colOff>
      <xdr:row>0</xdr:row>
      <xdr:rowOff>50800</xdr:rowOff>
    </xdr:from>
    <xdr:to>
      <xdr:col>22</xdr:col>
      <xdr:colOff>355600</xdr:colOff>
      <xdr:row>22</xdr:row>
      <xdr:rowOff>178126</xdr:rowOff>
    </xdr:to>
    <xdr:pic>
      <xdr:nvPicPr>
        <xdr:cNvPr id="8" name="Bilde 7">
          <a:extLst>
            <a:ext uri="{FF2B5EF4-FFF2-40B4-BE49-F238E27FC236}">
              <a16:creationId xmlns:a16="http://schemas.microsoft.com/office/drawing/2014/main" id="{B1FEFE1B-EE7E-93CC-7653-3C8A9D53D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61422" y="50800"/>
          <a:ext cx="6905978" cy="54359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25</xdr:row>
      <xdr:rowOff>38099</xdr:rowOff>
    </xdr:from>
    <xdr:to>
      <xdr:col>8</xdr:col>
      <xdr:colOff>131509</xdr:colOff>
      <xdr:row>43</xdr:row>
      <xdr:rowOff>25400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4C68454B-8694-6BCE-71DF-D1C33FBBD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299" y="5118099"/>
          <a:ext cx="6621210" cy="3644901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</xdr:row>
      <xdr:rowOff>101600</xdr:rowOff>
    </xdr:from>
    <xdr:to>
      <xdr:col>10</xdr:col>
      <xdr:colOff>12700</xdr:colOff>
      <xdr:row>22</xdr:row>
      <xdr:rowOff>177800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E3FD0309-8897-4C9F-3717-2B95867CF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" y="711200"/>
          <a:ext cx="8255000" cy="3937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ED9CD82B-6389-4241-9649-653FEDD52C0B}" userId="a530012ce760c12d" providerId="Windows Live"/>
  <person displayName="(Student) Hodt, August" id="{87E5C055-FB23-5444-8A46-0D252F67019F}" userId="S::s2511823@bi.no::44d2ca7c-c877-4b52-8217-c5df9fee6d96" providerId="AD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E3" dT="2026-09-12T06:56:10.56" personId="{ED9CD82B-6389-4241-9649-653FEDD52C0B}" id="{7C579777-88CB-1845-84C0-D46FD4EAFDC0}">
    <text>C/I &lt; 20%
H227</text>
  </threadedComment>
  <threadedComment ref="C31" dT="2026-03-31T14:49:08.64" personId="{ED9CD82B-6389-4241-9649-653FEDD52C0B}" id="{68D79600-3F15-664C-96F6-82E2C5CAFEC6}">
    <text>Return on equity excluding intangible assets and
Tier 1 capital instruments</text>
  </threadedComment>
  <threadedComment ref="C58" dT="2026-06-04T11:54:17.93" personId="{87E5C055-FB23-5444-8A46-0D252F67019F}" id="{CC53CB68-21B6-2545-B6AE-A1C7D26C697B}">
    <text>Lånte penger fra andre banker med pant i utlånsporteføljen</text>
  </threadedComment>
  <threadedComment ref="C59" dT="2026-06-04T11:51:44.82" personId="{87E5C055-FB23-5444-8A46-0D252F67019F}" id="{2429E79B-1F91-6243-9183-076120685F00}">
    <text>Innskudd fra privatpersoner via Nordax, Bank Norwegian</text>
  </threadedComment>
  <threadedComment ref="C64" dT="2026-09-14T16:23:18.09" personId="{ED9CD82B-6389-4241-9649-653FEDD52C0B}" id="{BAF3DD24-19D8-2141-89D8-D4327B90D20E}">
    <text>Tier 2, gjeld, men omgjøres til EK om all EK blir spist opp</text>
  </threadedComment>
  <threadedComment ref="C66" dT="2026-06-04T11:55:01.27" personId="{87E5C055-FB23-5444-8A46-0D252F67019F}" id="{9D8E06E9-0202-A142-AA06-BE8A3752C589}">
    <text>Ansvarlig lånekapital som teller som Tier 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8" dT="2026-06-04T11:28:41.81" personId="{87E5C055-FB23-5444-8A46-0D252F67019F}" id="{8F821FBE-7B24-3849-B896-4E64A5FA4146}">
    <text>Spread mellom utlån og finansieringskost</text>
  </threadedComment>
  <threadedComment ref="B15" dT="2026-06-04T11:28:41.81" personId="{87E5C055-FB23-5444-8A46-0D252F67019F}" id="{E35EC160-21A2-B54D-B45E-50A7966D6CB0}">
    <text>Spread mellom utlån og finansieringskost</text>
  </threadedComment>
  <threadedComment ref="B22" dT="2026-06-04T11:28:41.81" personId="{87E5C055-FB23-5444-8A46-0D252F67019F}" id="{41171247-649E-874D-86E5-CA45A2C075EE}">
    <text>Spread mellom utlån og finansieringskost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6" dT="2026-09-17T13:25:48.56" personId="{ED9CD82B-6389-4241-9649-653FEDD52C0B}" id="{60E1B239-6144-9348-AE77-E724BB0F9BB1}">
    <text>NOBA ønsker å ligge i lave enden av rangen 13-15%</text>
  </threadedComment>
  <threadedComment ref="B8" dT="2026-09-13T19:05:51.34" personId="{ED9CD82B-6389-4241-9649-653FEDD52C0B}" id="{2DC4CC7C-6D86-6F4A-8262-8E4D3EE125FA}">
    <text>Forutsetter lik som Q226</text>
  </threadedComment>
  <threadedComment ref="B16" dT="2026-09-13T19:25:09.67" personId="{ED9CD82B-6389-4241-9649-653FEDD52C0B}" id="{9DA7037A-30F2-214C-A929-C6C3B95CF35D}">
    <text>Hvor mye kapital NOBA må ha bak veksten sin</text>
  </threadedComment>
  <threadedComment ref="B17" dT="2026-09-13T19:29:19.40" personId="{ED9CD82B-6389-4241-9649-653FEDD52C0B}" id="{AE62A832-84BC-4248-B5DF-EDBF609448B7}">
    <text>Positiv: Selvfinansiert vekst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50" dT="2026-09-12T19:13:41.68" personId="{ED9CD82B-6389-4241-9649-653FEDD52C0B}" id="{5D4E7B90-BD08-B344-92CC-0EAF647CDAAB}">
    <text>Oppkjøpet av DBT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70" dT="2026-09-12T19:13:55.24" personId="{ED9CD82B-6389-4241-9649-653FEDD52C0B}" id="{366F466A-9910-AF4B-BB69-97F14453B274}">
    <text>Oppkjøpet av DBT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931E78-DE76-684A-A4FA-2D18EF51D099}">
  <we:reference id="wa200009404" version="1.0.0.5" store="nb-NO" storeType="OMEX"/>
  <we:alternateReferences>
    <we:reference id="wa200009404" version="1.0.0.5" store="nb-NO" storeType="OMEX"/>
  </we:alternateReferences>
  <we:properties>
    <we:property name="claude.fileId" value="&quot;39e0cc94-5910-46c1-826f-3c0e249e4c7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1:X47"/>
  <sheetViews>
    <sheetView showGridLines="0" topLeftCell="A7" zoomScale="90" zoomScaleNormal="90" workbookViewId="0">
      <selection activeCell="N50" sqref="N50"/>
    </sheetView>
  </sheetViews>
  <sheetFormatPr baseColWidth="10" defaultRowHeight="19" x14ac:dyDescent="0.25"/>
  <cols>
    <col min="1" max="6" width="10.83203125" style="2"/>
    <col min="7" max="7" width="11.5" style="2" customWidth="1"/>
    <col min="8" max="16384" width="10.83203125" style="2"/>
  </cols>
  <sheetData>
    <row r="1" spans="1:24" x14ac:dyDescent="0.25">
      <c r="I1" s="1"/>
    </row>
    <row r="3" spans="1:24" x14ac:dyDescent="0.25">
      <c r="X3" s="1" t="s">
        <v>215</v>
      </c>
    </row>
    <row r="4" spans="1:24" x14ac:dyDescent="0.25">
      <c r="X4" s="2" t="s">
        <v>219</v>
      </c>
    </row>
    <row r="5" spans="1:24" x14ac:dyDescent="0.25">
      <c r="A5" s="1"/>
      <c r="G5" s="1"/>
      <c r="X5" s="2" t="s">
        <v>216</v>
      </c>
    </row>
    <row r="6" spans="1:24" x14ac:dyDescent="0.25">
      <c r="A6" s="1"/>
    </row>
    <row r="7" spans="1:24" x14ac:dyDescent="0.25">
      <c r="A7" s="1"/>
      <c r="X7" s="1" t="s">
        <v>217</v>
      </c>
    </row>
    <row r="8" spans="1:24" x14ac:dyDescent="0.25">
      <c r="A8" s="1"/>
      <c r="X8" s="2" t="s">
        <v>218</v>
      </c>
    </row>
    <row r="9" spans="1:24" x14ac:dyDescent="0.25">
      <c r="X9" s="2" t="s">
        <v>219</v>
      </c>
    </row>
    <row r="10" spans="1:24" x14ac:dyDescent="0.25">
      <c r="X10" s="2" t="s">
        <v>220</v>
      </c>
    </row>
    <row r="11" spans="1:24" x14ac:dyDescent="0.25">
      <c r="X11" s="2" t="s">
        <v>221</v>
      </c>
    </row>
    <row r="13" spans="1:24" x14ac:dyDescent="0.25">
      <c r="X13" s="1" t="s">
        <v>222</v>
      </c>
    </row>
    <row r="14" spans="1:24" x14ac:dyDescent="0.25">
      <c r="X14" s="2" t="s">
        <v>223</v>
      </c>
    </row>
    <row r="15" spans="1:24" x14ac:dyDescent="0.25">
      <c r="X15" s="2" t="s">
        <v>224</v>
      </c>
    </row>
    <row r="16" spans="1:24" x14ac:dyDescent="0.25">
      <c r="X16" s="2" t="s">
        <v>225</v>
      </c>
    </row>
    <row r="17" spans="1:24" x14ac:dyDescent="0.25">
      <c r="X17" s="2" t="s">
        <v>226</v>
      </c>
    </row>
    <row r="19" spans="1:24" x14ac:dyDescent="0.25">
      <c r="A19" s="1"/>
      <c r="X19" s="1" t="s">
        <v>227</v>
      </c>
    </row>
    <row r="20" spans="1:24" x14ac:dyDescent="0.25">
      <c r="X20" s="2" t="s">
        <v>228</v>
      </c>
    </row>
    <row r="23" spans="1:24" x14ac:dyDescent="0.25">
      <c r="A23" s="2" t="s">
        <v>129</v>
      </c>
    </row>
    <row r="24" spans="1:24" x14ac:dyDescent="0.25">
      <c r="A24" s="2" t="s">
        <v>171</v>
      </c>
    </row>
    <row r="26" spans="1:24" x14ac:dyDescent="0.25">
      <c r="A26" s="1" t="s">
        <v>123</v>
      </c>
      <c r="E26" s="1" t="s">
        <v>130</v>
      </c>
      <c r="I26" s="1" t="s">
        <v>168</v>
      </c>
    </row>
    <row r="27" spans="1:24" x14ac:dyDescent="0.25">
      <c r="M27" s="2" t="s">
        <v>240</v>
      </c>
    </row>
    <row r="28" spans="1:24" x14ac:dyDescent="0.25">
      <c r="M28" s="2" t="s">
        <v>241</v>
      </c>
    </row>
    <row r="38" spans="1:1" x14ac:dyDescent="0.25">
      <c r="A38" s="1" t="s">
        <v>121</v>
      </c>
    </row>
    <row r="39" spans="1:1" x14ac:dyDescent="0.25">
      <c r="A39" s="2" t="s">
        <v>242</v>
      </c>
    </row>
    <row r="40" spans="1:1" x14ac:dyDescent="0.25">
      <c r="A40" s="2" t="s">
        <v>207</v>
      </c>
    </row>
    <row r="41" spans="1:1" x14ac:dyDescent="0.25">
      <c r="A41" s="2" t="s">
        <v>208</v>
      </c>
    </row>
    <row r="42" spans="1:1" x14ac:dyDescent="0.25">
      <c r="A42" s="2" t="s">
        <v>209</v>
      </c>
    </row>
    <row r="43" spans="1:1" x14ac:dyDescent="0.25">
      <c r="A43" s="2" t="s">
        <v>210</v>
      </c>
    </row>
    <row r="44" spans="1:1" x14ac:dyDescent="0.25">
      <c r="A44" s="2" t="s">
        <v>243</v>
      </c>
    </row>
    <row r="45" spans="1:1" x14ac:dyDescent="0.25">
      <c r="A45" s="2" t="s">
        <v>211</v>
      </c>
    </row>
    <row r="46" spans="1:1" x14ac:dyDescent="0.25">
      <c r="A46" s="2" t="s">
        <v>212</v>
      </c>
    </row>
    <row r="47" spans="1:1" x14ac:dyDescent="0.25">
      <c r="A47" s="2" t="s">
        <v>213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HF131"/>
  <sheetViews>
    <sheetView showGridLines="0" zoomScaleNormal="100" workbookViewId="0">
      <pane xSplit="3" ySplit="3" topLeftCell="S4" activePane="bottomRight" state="frozen"/>
      <selection pane="topRight" activeCell="D1" sqref="D1"/>
      <selection pane="bottomLeft" activeCell="A4" sqref="A4"/>
      <selection pane="bottomRight" activeCell="V8" sqref="V8"/>
    </sheetView>
  </sheetViews>
  <sheetFormatPr baseColWidth="10" defaultRowHeight="19" x14ac:dyDescent="0.25"/>
  <cols>
    <col min="1" max="1" width="16.33203125" style="2" bestFit="1" customWidth="1"/>
    <col min="2" max="2" width="10.83203125" style="3"/>
    <col min="3" max="3" width="43" style="2" customWidth="1"/>
    <col min="4" max="4" width="10.83203125" style="2"/>
    <col min="5" max="5" width="10.33203125" style="2" customWidth="1"/>
    <col min="6" max="6" width="12.5" style="2" customWidth="1"/>
    <col min="7" max="7" width="10.5" style="2" customWidth="1"/>
    <col min="8" max="8" width="12.83203125" style="2" customWidth="1"/>
    <col min="9" max="9" width="9" style="2" customWidth="1"/>
    <col min="10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15" width="10.33203125" style="2" customWidth="1"/>
    <col min="16" max="20" width="10.83203125" style="2"/>
    <col min="21" max="21" width="12" style="2" bestFit="1" customWidth="1"/>
    <col min="22" max="22" width="10.83203125" style="2"/>
    <col min="23" max="23" width="11.33203125" style="2" customWidth="1"/>
    <col min="24" max="24" width="10.83203125" style="2"/>
    <col min="25" max="29" width="10.83203125" style="15"/>
    <col min="30" max="30" width="10.83203125" style="18"/>
    <col min="31" max="40" width="10.83203125" style="15"/>
    <col min="41" max="41" width="14.33203125" style="15" customWidth="1"/>
    <col min="42" max="42" width="14.83203125" style="15" bestFit="1" customWidth="1"/>
    <col min="43" max="16384" width="10.83203125" style="15"/>
  </cols>
  <sheetData>
    <row r="1" spans="1:39" s="2" customFormat="1" x14ac:dyDescent="0.25">
      <c r="B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AD1" s="3"/>
      <c r="AH1" s="1"/>
    </row>
    <row r="2" spans="1:39" s="2" customFormat="1" x14ac:dyDescent="0.25">
      <c r="B2" s="3"/>
      <c r="AD2" s="3"/>
    </row>
    <row r="3" spans="1:39" s="2" customFormat="1" x14ac:dyDescent="0.25">
      <c r="A3" s="1" t="s">
        <v>0</v>
      </c>
      <c r="B3" s="3"/>
      <c r="C3" s="2" t="s">
        <v>38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31</v>
      </c>
      <c r="Q3" s="4" t="s">
        <v>28</v>
      </c>
      <c r="R3" s="4" t="s">
        <v>29</v>
      </c>
      <c r="S3" s="4" t="s">
        <v>30</v>
      </c>
      <c r="T3" s="4" t="s">
        <v>116</v>
      </c>
      <c r="U3" s="4" t="s">
        <v>117</v>
      </c>
      <c r="V3" s="4" t="s">
        <v>118</v>
      </c>
      <c r="W3" s="4" t="s">
        <v>119</v>
      </c>
      <c r="Y3" s="4" t="s">
        <v>72</v>
      </c>
      <c r="Z3" s="4" t="s">
        <v>73</v>
      </c>
      <c r="AA3" s="4" t="s">
        <v>74</v>
      </c>
      <c r="AB3" s="4" t="s">
        <v>15</v>
      </c>
      <c r="AC3" s="4" t="s">
        <v>16</v>
      </c>
      <c r="AD3" s="79" t="s">
        <v>17</v>
      </c>
      <c r="AE3" s="4" t="s">
        <v>18</v>
      </c>
      <c r="AF3" s="4" t="s">
        <v>19</v>
      </c>
      <c r="AG3" s="4" t="s">
        <v>20</v>
      </c>
      <c r="AH3" s="4" t="s">
        <v>21</v>
      </c>
      <c r="AI3" s="4" t="s">
        <v>22</v>
      </c>
      <c r="AJ3" s="4" t="s">
        <v>23</v>
      </c>
      <c r="AK3" s="4" t="s">
        <v>24</v>
      </c>
      <c r="AL3" s="4" t="s">
        <v>25</v>
      </c>
      <c r="AM3" s="4" t="s">
        <v>26</v>
      </c>
    </row>
    <row r="4" spans="1:39" x14ac:dyDescent="0.25">
      <c r="A4" s="2" t="s">
        <v>1</v>
      </c>
      <c r="B4" s="3">
        <v>86</v>
      </c>
      <c r="C4" s="2" t="s">
        <v>40</v>
      </c>
      <c r="D4" s="15"/>
      <c r="E4" s="15"/>
      <c r="F4" s="15"/>
      <c r="G4" s="15">
        <v>2260</v>
      </c>
      <c r="H4" s="15"/>
      <c r="I4" s="15"/>
      <c r="J4" s="15">
        <v>3079</v>
      </c>
      <c r="K4" s="15">
        <v>3249</v>
      </c>
      <c r="L4" s="15">
        <v>3352</v>
      </c>
      <c r="M4" s="15">
        <v>3485</v>
      </c>
      <c r="N4" s="15">
        <v>3601</v>
      </c>
      <c r="O4" s="15">
        <v>3706</v>
      </c>
      <c r="P4" s="15">
        <v>3600</v>
      </c>
      <c r="Q4" s="15">
        <v>3518</v>
      </c>
      <c r="R4" s="15">
        <v>3648</v>
      </c>
      <c r="S4" s="15">
        <v>3654</v>
      </c>
      <c r="T4" s="15">
        <v>3641</v>
      </c>
      <c r="U4" s="15">
        <v>3864</v>
      </c>
      <c r="V4" s="15"/>
      <c r="W4" s="15"/>
      <c r="X4" s="15"/>
      <c r="Y4" s="15">
        <v>3011</v>
      </c>
      <c r="Z4" s="15">
        <v>8025</v>
      </c>
      <c r="AA4" s="15">
        <v>11507</v>
      </c>
      <c r="AB4" s="15">
        <v>14144</v>
      </c>
      <c r="AC4" s="15">
        <v>14420</v>
      </c>
      <c r="AD4" s="18">
        <f>AC4*1.04</f>
        <v>14996.800000000001</v>
      </c>
      <c r="AE4" s="15">
        <f>AD4*1.11</f>
        <v>16646.448000000004</v>
      </c>
      <c r="AF4" s="15">
        <f>AE4*1.1</f>
        <v>18311.092800000006</v>
      </c>
      <c r="AG4" s="15">
        <f t="shared" ref="AG4:AM4" si="0">AF4*1.1</f>
        <v>20142.202080000006</v>
      </c>
      <c r="AH4" s="15">
        <f t="shared" si="0"/>
        <v>22156.422288000009</v>
      </c>
      <c r="AI4" s="15">
        <f t="shared" si="0"/>
        <v>24372.064516800012</v>
      </c>
      <c r="AJ4" s="15">
        <f t="shared" si="0"/>
        <v>26809.270968480014</v>
      </c>
      <c r="AK4" s="15">
        <f t="shared" si="0"/>
        <v>29490.198065328019</v>
      </c>
      <c r="AL4" s="15">
        <f t="shared" si="0"/>
        <v>32439.217871860823</v>
      </c>
      <c r="AM4" s="15">
        <f t="shared" si="0"/>
        <v>35683.139659046908</v>
      </c>
    </row>
    <row r="5" spans="1:39" x14ac:dyDescent="0.25">
      <c r="A5" s="2" t="s">
        <v>2</v>
      </c>
      <c r="B5" s="10">
        <v>500</v>
      </c>
      <c r="C5" s="2" t="s">
        <v>122</v>
      </c>
      <c r="D5" s="15"/>
      <c r="E5" s="15"/>
      <c r="F5" s="15"/>
      <c r="G5" s="15">
        <v>-478</v>
      </c>
      <c r="H5" s="15"/>
      <c r="I5" s="15"/>
      <c r="J5" s="15">
        <v>-1011</v>
      </c>
      <c r="K5" s="15">
        <v>-1120</v>
      </c>
      <c r="L5" s="15">
        <v>-1205</v>
      </c>
      <c r="M5" s="15">
        <v>-1239</v>
      </c>
      <c r="N5" s="15">
        <v>-1234</v>
      </c>
      <c r="O5" s="15">
        <v>-1171</v>
      </c>
      <c r="P5" s="15">
        <v>-1073</v>
      </c>
      <c r="Q5" s="15">
        <v>-969</v>
      </c>
      <c r="R5" s="15">
        <v>-936</v>
      </c>
      <c r="S5" s="15">
        <v>-910</v>
      </c>
      <c r="T5" s="15">
        <v>-919</v>
      </c>
      <c r="U5" s="15">
        <v>-997</v>
      </c>
      <c r="W5" s="15"/>
      <c r="X5" s="15"/>
      <c r="Y5" s="15">
        <v>-479</v>
      </c>
      <c r="Z5" s="15">
        <v>-1278</v>
      </c>
      <c r="AA5" s="15">
        <v>-3514</v>
      </c>
      <c r="AB5" s="15">
        <v>-4849</v>
      </c>
      <c r="AC5" s="15">
        <v>-3888</v>
      </c>
      <c r="AD5" s="18">
        <f>AC5*0.98</f>
        <v>-3810.24</v>
      </c>
      <c r="AE5" s="15">
        <f>AD5*1</f>
        <v>-3810.24</v>
      </c>
      <c r="AF5" s="15">
        <f>AE5*1.03</f>
        <v>-3924.5472</v>
      </c>
      <c r="AG5" s="15">
        <f>AF5*1.04</f>
        <v>-4081.5290880000002</v>
      </c>
      <c r="AH5" s="15">
        <f t="shared" ref="AH5:AI5" si="1">AG5*1.04</f>
        <v>-4244.7902515200003</v>
      </c>
      <c r="AI5" s="15">
        <f t="shared" si="1"/>
        <v>-4414.5818615808003</v>
      </c>
      <c r="AJ5" s="15">
        <f>AI5*1.05</f>
        <v>-4635.3109546598407</v>
      </c>
      <c r="AK5" s="15">
        <f>AJ5*1.1</f>
        <v>-5098.8420501258252</v>
      </c>
      <c r="AL5" s="15">
        <f t="shared" ref="AL5:AM5" si="2">AK5*1.1</f>
        <v>-5608.7262551384083</v>
      </c>
      <c r="AM5" s="15">
        <f t="shared" si="2"/>
        <v>-6169.59888065225</v>
      </c>
    </row>
    <row r="6" spans="1:39" s="16" customFormat="1" x14ac:dyDescent="0.25">
      <c r="A6" s="2" t="s">
        <v>33</v>
      </c>
      <c r="B6" s="8">
        <f>B4*B5</f>
        <v>43000</v>
      </c>
      <c r="C6" s="1" t="s">
        <v>41</v>
      </c>
      <c r="D6" s="16">
        <f t="shared" ref="D6:R6" si="3">SUM(D4:D5)</f>
        <v>0</v>
      </c>
      <c r="E6" s="16">
        <f t="shared" si="3"/>
        <v>0</v>
      </c>
      <c r="F6" s="16">
        <f t="shared" si="3"/>
        <v>0</v>
      </c>
      <c r="G6" s="16">
        <f t="shared" si="3"/>
        <v>1782</v>
      </c>
      <c r="H6" s="16">
        <f t="shared" si="3"/>
        <v>0</v>
      </c>
      <c r="I6" s="16">
        <f t="shared" si="3"/>
        <v>0</v>
      </c>
      <c r="J6" s="16">
        <f t="shared" si="3"/>
        <v>2068</v>
      </c>
      <c r="K6" s="16">
        <f t="shared" si="3"/>
        <v>2129</v>
      </c>
      <c r="L6" s="16">
        <f t="shared" si="3"/>
        <v>2147</v>
      </c>
      <c r="M6" s="16">
        <f t="shared" si="3"/>
        <v>2246</v>
      </c>
      <c r="N6" s="16">
        <f t="shared" si="3"/>
        <v>2367</v>
      </c>
      <c r="O6" s="16">
        <f t="shared" si="3"/>
        <v>2535</v>
      </c>
      <c r="P6" s="16">
        <f t="shared" si="3"/>
        <v>2527</v>
      </c>
      <c r="Q6" s="16">
        <f t="shared" si="3"/>
        <v>2549</v>
      </c>
      <c r="R6" s="16">
        <f t="shared" si="3"/>
        <v>2712</v>
      </c>
      <c r="S6" s="16">
        <f>SUM(S4:S5)</f>
        <v>2744</v>
      </c>
      <c r="T6" s="16">
        <f>SUM(T4:T5)</f>
        <v>2722</v>
      </c>
      <c r="U6" s="16">
        <f>SUM(U4:U5)</f>
        <v>2867</v>
      </c>
      <c r="V6" s="15"/>
      <c r="W6" s="15"/>
      <c r="Y6" s="16">
        <f t="shared" ref="Y6:AA6" si="4">SUM(Y4:Y5)</f>
        <v>2532</v>
      </c>
      <c r="Z6" s="16">
        <f t="shared" si="4"/>
        <v>6747</v>
      </c>
      <c r="AA6" s="16">
        <f t="shared" si="4"/>
        <v>7993</v>
      </c>
      <c r="AB6" s="16">
        <f>SUM(AB4:AB5)</f>
        <v>9295</v>
      </c>
      <c r="AC6" s="16">
        <f t="shared" ref="AC6:AM6" si="5">SUM(AC4:AC5)</f>
        <v>10532</v>
      </c>
      <c r="AD6" s="80">
        <f>SUM(AD4:AD5)</f>
        <v>11186.560000000001</v>
      </c>
      <c r="AE6" s="16">
        <f t="shared" si="5"/>
        <v>12836.208000000004</v>
      </c>
      <c r="AF6" s="16">
        <f t="shared" si="5"/>
        <v>14386.545600000005</v>
      </c>
      <c r="AG6" s="16">
        <f t="shared" si="5"/>
        <v>16060.672992000007</v>
      </c>
      <c r="AH6" s="16">
        <f t="shared" si="5"/>
        <v>17911.632036480009</v>
      </c>
      <c r="AI6" s="16">
        <f t="shared" si="5"/>
        <v>19957.48265521921</v>
      </c>
      <c r="AJ6" s="16">
        <f t="shared" si="5"/>
        <v>22173.960013820171</v>
      </c>
      <c r="AK6" s="16">
        <f t="shared" si="5"/>
        <v>24391.356015202193</v>
      </c>
      <c r="AL6" s="16">
        <f t="shared" si="5"/>
        <v>26830.491616722415</v>
      </c>
      <c r="AM6" s="16">
        <f t="shared" si="5"/>
        <v>29513.540778394658</v>
      </c>
    </row>
    <row r="7" spans="1:39" x14ac:dyDescent="0.25">
      <c r="A7" s="2" t="s">
        <v>34</v>
      </c>
      <c r="B7" s="8"/>
      <c r="C7" s="2" t="s">
        <v>42</v>
      </c>
      <c r="D7" s="15"/>
      <c r="E7" s="15"/>
      <c r="F7" s="15"/>
      <c r="G7" s="15">
        <v>163</v>
      </c>
      <c r="H7" s="15"/>
      <c r="I7" s="15"/>
      <c r="J7" s="15">
        <v>201</v>
      </c>
      <c r="K7" s="15">
        <v>180</v>
      </c>
      <c r="L7" s="15">
        <v>205</v>
      </c>
      <c r="M7" s="15">
        <v>248</v>
      </c>
      <c r="N7" s="15">
        <v>238</v>
      </c>
      <c r="O7" s="15">
        <v>246</v>
      </c>
      <c r="P7" s="15">
        <v>282</v>
      </c>
      <c r="Q7" s="15">
        <v>285</v>
      </c>
      <c r="R7" s="15">
        <v>307</v>
      </c>
      <c r="S7" s="15">
        <v>286</v>
      </c>
      <c r="T7" s="15">
        <v>296</v>
      </c>
      <c r="U7" s="15">
        <v>317</v>
      </c>
      <c r="V7" s="15"/>
      <c r="W7" s="15"/>
      <c r="X7" s="15"/>
      <c r="Y7" s="15">
        <v>166</v>
      </c>
      <c r="Z7" s="15">
        <v>414</v>
      </c>
      <c r="AA7" s="15">
        <v>727</v>
      </c>
      <c r="AB7" s="15">
        <v>937</v>
      </c>
      <c r="AC7" s="15">
        <v>1160</v>
      </c>
      <c r="AD7" s="18">
        <v>900</v>
      </c>
      <c r="AE7" s="15">
        <f>AD7*1.03</f>
        <v>927</v>
      </c>
      <c r="AF7" s="15">
        <f t="shared" ref="AF7:AM7" si="6">AE7*1.03</f>
        <v>954.81000000000006</v>
      </c>
      <c r="AG7" s="15">
        <f t="shared" si="6"/>
        <v>983.4543000000001</v>
      </c>
      <c r="AH7" s="15">
        <f t="shared" si="6"/>
        <v>1012.9579290000001</v>
      </c>
      <c r="AI7" s="15">
        <f t="shared" si="6"/>
        <v>1043.3466668700003</v>
      </c>
      <c r="AJ7" s="15">
        <f t="shared" si="6"/>
        <v>1074.6470668761003</v>
      </c>
      <c r="AK7" s="15">
        <f t="shared" si="6"/>
        <v>1106.8864788823835</v>
      </c>
      <c r="AL7" s="15">
        <f t="shared" si="6"/>
        <v>1140.093073248855</v>
      </c>
      <c r="AM7" s="15">
        <f t="shared" si="6"/>
        <v>1174.2958654463207</v>
      </c>
    </row>
    <row r="8" spans="1:39" x14ac:dyDescent="0.25">
      <c r="A8" s="2" t="s">
        <v>35</v>
      </c>
      <c r="B8" s="8"/>
      <c r="C8" s="2" t="s">
        <v>43</v>
      </c>
      <c r="D8" s="15"/>
      <c r="E8" s="15"/>
      <c r="F8" s="15"/>
      <c r="G8" s="15">
        <v>-46</v>
      </c>
      <c r="H8" s="15"/>
      <c r="I8" s="15"/>
      <c r="J8" s="15">
        <v>-58</v>
      </c>
      <c r="K8" s="15">
        <v>-71</v>
      </c>
      <c r="L8" s="15">
        <v>-68</v>
      </c>
      <c r="M8" s="15">
        <v>-76</v>
      </c>
      <c r="N8" s="15">
        <v>-71</v>
      </c>
      <c r="O8" s="15">
        <v>-77</v>
      </c>
      <c r="P8" s="15">
        <v>-73</v>
      </c>
      <c r="Q8" s="15">
        <v>-87</v>
      </c>
      <c r="R8" s="15">
        <v>-73</v>
      </c>
      <c r="S8" s="15">
        <v>-86</v>
      </c>
      <c r="T8" s="15">
        <v>-89</v>
      </c>
      <c r="U8" s="15">
        <v>-99</v>
      </c>
      <c r="V8" s="15"/>
      <c r="W8" s="15"/>
      <c r="X8" s="15"/>
      <c r="Y8" s="15">
        <v>0</v>
      </c>
      <c r="Z8" s="15">
        <v>0</v>
      </c>
      <c r="AA8" s="15">
        <v>-226</v>
      </c>
      <c r="AB8" s="15">
        <v>-292</v>
      </c>
      <c r="AC8" s="15">
        <v>-319</v>
      </c>
      <c r="AD8" s="18">
        <v>-350</v>
      </c>
      <c r="AE8" s="15">
        <f t="shared" ref="AE8:AM9" si="7">AD8*1.03</f>
        <v>-360.5</v>
      </c>
      <c r="AF8" s="15">
        <f t="shared" si="7"/>
        <v>-371.315</v>
      </c>
      <c r="AG8" s="15">
        <f t="shared" si="7"/>
        <v>-382.45445000000001</v>
      </c>
      <c r="AH8" s="15">
        <f t="shared" si="7"/>
        <v>-393.92808350000001</v>
      </c>
      <c r="AI8" s="15">
        <f t="shared" si="7"/>
        <v>-405.745926005</v>
      </c>
      <c r="AJ8" s="15">
        <f t="shared" si="7"/>
        <v>-417.91830378514999</v>
      </c>
      <c r="AK8" s="15">
        <f t="shared" si="7"/>
        <v>-430.45585289870451</v>
      </c>
      <c r="AL8" s="15">
        <f t="shared" si="7"/>
        <v>-443.36952848566563</v>
      </c>
      <c r="AM8" s="15">
        <f t="shared" si="7"/>
        <v>-456.6706143402356</v>
      </c>
    </row>
    <row r="9" spans="1:39" x14ac:dyDescent="0.25">
      <c r="A9" s="5" t="s">
        <v>36</v>
      </c>
      <c r="B9" s="9">
        <f>B6-B7+B8</f>
        <v>43000</v>
      </c>
      <c r="C9" s="2" t="s">
        <v>44</v>
      </c>
      <c r="D9" s="15"/>
      <c r="E9" s="15"/>
      <c r="F9" s="15"/>
      <c r="G9" s="15">
        <v>26</v>
      </c>
      <c r="H9" s="15"/>
      <c r="I9" s="15"/>
      <c r="J9" s="15">
        <v>5</v>
      </c>
      <c r="K9" s="15">
        <v>17</v>
      </c>
      <c r="L9" s="15">
        <v>-8</v>
      </c>
      <c r="M9" s="15">
        <v>-20</v>
      </c>
      <c r="N9" s="15">
        <v>-13</v>
      </c>
      <c r="O9" s="15">
        <v>-15</v>
      </c>
      <c r="P9" s="15">
        <v>-1</v>
      </c>
      <c r="Q9" s="15">
        <v>-48</v>
      </c>
      <c r="R9" s="15">
        <v>-32</v>
      </c>
      <c r="S9" s="15">
        <v>-16</v>
      </c>
      <c r="T9" s="15">
        <v>12</v>
      </c>
      <c r="U9" s="15">
        <v>-30</v>
      </c>
      <c r="V9" s="15"/>
      <c r="W9" s="15"/>
      <c r="X9" s="15"/>
      <c r="Y9" s="15">
        <v>-68</v>
      </c>
      <c r="Z9" s="15">
        <v>-207</v>
      </c>
      <c r="AA9" s="15">
        <v>9</v>
      </c>
      <c r="AB9" s="15">
        <v>-56</v>
      </c>
      <c r="AC9" s="15">
        <v>-97</v>
      </c>
      <c r="AD9" s="18">
        <v>50</v>
      </c>
      <c r="AE9" s="15">
        <f t="shared" si="7"/>
        <v>51.5</v>
      </c>
      <c r="AF9" s="15">
        <f t="shared" si="7"/>
        <v>53.045000000000002</v>
      </c>
      <c r="AG9" s="15">
        <f t="shared" si="7"/>
        <v>54.63635</v>
      </c>
      <c r="AH9" s="15">
        <f t="shared" si="7"/>
        <v>56.275440500000002</v>
      </c>
      <c r="AI9" s="15">
        <f t="shared" si="7"/>
        <v>57.963703715000001</v>
      </c>
      <c r="AJ9" s="15">
        <f t="shared" si="7"/>
        <v>59.702614826450002</v>
      </c>
      <c r="AK9" s="15">
        <f t="shared" si="7"/>
        <v>61.493693271243501</v>
      </c>
      <c r="AL9" s="15">
        <f t="shared" si="7"/>
        <v>63.338504069380811</v>
      </c>
      <c r="AM9" s="15">
        <f t="shared" si="7"/>
        <v>65.238659191462233</v>
      </c>
    </row>
    <row r="10" spans="1:39" x14ac:dyDescent="0.25">
      <c r="C10" s="1" t="s">
        <v>45</v>
      </c>
      <c r="D10" s="16">
        <f t="shared" ref="D10:R10" si="8">SUM(D6:D9)</f>
        <v>0</v>
      </c>
      <c r="E10" s="16">
        <f t="shared" si="8"/>
        <v>0</v>
      </c>
      <c r="F10" s="16">
        <f t="shared" si="8"/>
        <v>0</v>
      </c>
      <c r="G10" s="16">
        <f t="shared" si="8"/>
        <v>1925</v>
      </c>
      <c r="H10" s="16">
        <f t="shared" si="8"/>
        <v>0</v>
      </c>
      <c r="I10" s="16">
        <f t="shared" si="8"/>
        <v>0</v>
      </c>
      <c r="J10" s="16">
        <f t="shared" si="8"/>
        <v>2216</v>
      </c>
      <c r="K10" s="16">
        <f t="shared" si="8"/>
        <v>2255</v>
      </c>
      <c r="L10" s="16">
        <f t="shared" si="8"/>
        <v>2276</v>
      </c>
      <c r="M10" s="16">
        <f t="shared" si="8"/>
        <v>2398</v>
      </c>
      <c r="N10" s="16">
        <f t="shared" si="8"/>
        <v>2521</v>
      </c>
      <c r="O10" s="16">
        <f t="shared" si="8"/>
        <v>2689</v>
      </c>
      <c r="P10" s="16">
        <f t="shared" si="8"/>
        <v>2735</v>
      </c>
      <c r="Q10" s="16">
        <f t="shared" si="8"/>
        <v>2699</v>
      </c>
      <c r="R10" s="16">
        <f t="shared" si="8"/>
        <v>2914</v>
      </c>
      <c r="S10" s="16">
        <f>SUM(S6:S9)</f>
        <v>2928</v>
      </c>
      <c r="T10" s="16">
        <f>SUM(T6:T9)</f>
        <v>2941</v>
      </c>
      <c r="U10" s="16">
        <f>SUM(U6:U9)</f>
        <v>3055</v>
      </c>
      <c r="V10" s="15"/>
      <c r="W10" s="15"/>
      <c r="X10" s="15"/>
      <c r="Y10" s="16">
        <f t="shared" ref="Y10:AA10" si="9">SUM(Y6:Y9)</f>
        <v>2630</v>
      </c>
      <c r="Z10" s="16">
        <f t="shared" si="9"/>
        <v>6954</v>
      </c>
      <c r="AA10" s="16">
        <f t="shared" si="9"/>
        <v>8503</v>
      </c>
      <c r="AB10" s="16">
        <f>SUM(AB6:AB9)</f>
        <v>9884</v>
      </c>
      <c r="AC10" s="16">
        <f t="shared" ref="AC10:AM10" si="10">SUM(AC6:AC9)</f>
        <v>11276</v>
      </c>
      <c r="AD10" s="80">
        <f t="shared" si="10"/>
        <v>11786.560000000001</v>
      </c>
      <c r="AE10" s="16">
        <f t="shared" si="10"/>
        <v>13454.208000000004</v>
      </c>
      <c r="AF10" s="16">
        <f t="shared" si="10"/>
        <v>15023.085600000004</v>
      </c>
      <c r="AG10" s="16">
        <f t="shared" si="10"/>
        <v>16716.309192000008</v>
      </c>
      <c r="AH10" s="16">
        <f t="shared" si="10"/>
        <v>18586.937322480011</v>
      </c>
      <c r="AI10" s="16">
        <f t="shared" si="10"/>
        <v>20653.047099799205</v>
      </c>
      <c r="AJ10" s="16">
        <f t="shared" si="10"/>
        <v>22890.391391737568</v>
      </c>
      <c r="AK10" s="16">
        <f t="shared" si="10"/>
        <v>25129.280334457118</v>
      </c>
      <c r="AL10" s="16">
        <f t="shared" si="10"/>
        <v>27590.553665554984</v>
      </c>
      <c r="AM10" s="16">
        <f t="shared" si="10"/>
        <v>30296.404688692204</v>
      </c>
    </row>
    <row r="11" spans="1:39" s="16" customFormat="1" x14ac:dyDescent="0.25">
      <c r="A11" s="2"/>
      <c r="B11" s="3"/>
      <c r="C11" s="2" t="s">
        <v>46</v>
      </c>
      <c r="D11" s="15"/>
      <c r="E11" s="15"/>
      <c r="F11" s="15"/>
      <c r="G11" s="15">
        <v>-434</v>
      </c>
      <c r="H11" s="15"/>
      <c r="I11" s="15"/>
      <c r="J11" s="15">
        <v>-374</v>
      </c>
      <c r="K11" s="15">
        <v>-391</v>
      </c>
      <c r="L11" s="15">
        <v>-398</v>
      </c>
      <c r="M11" s="15">
        <v>-430</v>
      </c>
      <c r="N11" s="15">
        <v>-449</v>
      </c>
      <c r="O11" s="15">
        <v>-528</v>
      </c>
      <c r="P11" s="15">
        <v>-411</v>
      </c>
      <c r="Q11" s="15">
        <v>-439</v>
      </c>
      <c r="R11" s="15">
        <v>-560</v>
      </c>
      <c r="S11" s="15">
        <v>-464</v>
      </c>
      <c r="T11" s="15">
        <v>-451</v>
      </c>
      <c r="U11" s="15">
        <v>-458</v>
      </c>
      <c r="V11" s="15"/>
      <c r="W11" s="27"/>
      <c r="Y11" s="15">
        <v>-1319</v>
      </c>
      <c r="Z11" s="15">
        <v>-1876</v>
      </c>
      <c r="AA11" s="15">
        <v>-1509</v>
      </c>
      <c r="AB11" s="15">
        <v>-1805</v>
      </c>
      <c r="AC11" s="15">
        <v>-1874</v>
      </c>
      <c r="AD11" s="18">
        <f>AC11*1.01</f>
        <v>-1892.74</v>
      </c>
      <c r="AE11" s="15">
        <f>AD11</f>
        <v>-1892.74</v>
      </c>
      <c r="AF11" s="15">
        <f>AE11*1.03</f>
        <v>-1949.5222000000001</v>
      </c>
      <c r="AG11" s="15">
        <f>AF11*1.1</f>
        <v>-2144.4744200000005</v>
      </c>
      <c r="AH11" s="15">
        <f t="shared" ref="AH11:AM11" si="11">AG11*1.1</f>
        <v>-2358.9218620000006</v>
      </c>
      <c r="AI11" s="15">
        <f t="shared" si="11"/>
        <v>-2594.8140482000008</v>
      </c>
      <c r="AJ11" s="15">
        <f t="shared" si="11"/>
        <v>-2854.2954530200013</v>
      </c>
      <c r="AK11" s="15">
        <f t="shared" si="11"/>
        <v>-3139.7249983220017</v>
      </c>
      <c r="AL11" s="15">
        <f t="shared" si="11"/>
        <v>-3453.6974981542021</v>
      </c>
      <c r="AM11" s="15">
        <f t="shared" si="11"/>
        <v>-3799.0672479696227</v>
      </c>
    </row>
    <row r="12" spans="1:39" x14ac:dyDescent="0.25">
      <c r="C12" s="2" t="s">
        <v>47</v>
      </c>
      <c r="D12" s="15"/>
      <c r="E12" s="15"/>
      <c r="F12" s="15"/>
      <c r="G12" s="15">
        <v>-226</v>
      </c>
      <c r="H12" s="15"/>
      <c r="I12" s="15"/>
      <c r="J12" s="15">
        <v>-14</v>
      </c>
      <c r="K12" s="15">
        <v>-23</v>
      </c>
      <c r="L12" s="15">
        <v>-15</v>
      </c>
      <c r="M12" s="15">
        <v>-16</v>
      </c>
      <c r="N12" s="15">
        <v>-16</v>
      </c>
      <c r="O12" s="15">
        <v>-17</v>
      </c>
      <c r="P12" s="15">
        <v>-18</v>
      </c>
      <c r="Q12" s="15">
        <v>-18</v>
      </c>
      <c r="R12" s="15">
        <v>-21</v>
      </c>
      <c r="S12" s="15">
        <v>-22</v>
      </c>
      <c r="T12" s="15">
        <v>-24</v>
      </c>
      <c r="U12" s="15">
        <v>-30</v>
      </c>
      <c r="V12" s="15"/>
      <c r="W12" s="15"/>
      <c r="X12" s="15"/>
      <c r="Y12" s="15">
        <v>-62</v>
      </c>
      <c r="Z12" s="15">
        <v>-449</v>
      </c>
      <c r="AA12" s="15">
        <v>-149</v>
      </c>
      <c r="AB12" s="15">
        <v>-64</v>
      </c>
      <c r="AC12" s="15">
        <v>-79</v>
      </c>
      <c r="AD12" s="18">
        <f t="shared" ref="AD12:AD13" si="12">AC12*1.01</f>
        <v>-79.790000000000006</v>
      </c>
      <c r="AE12" s="15">
        <f t="shared" ref="AE12:AE13" si="13">AD12</f>
        <v>-79.790000000000006</v>
      </c>
      <c r="AF12" s="15">
        <f t="shared" ref="AF12:AF13" si="14">AE12*1.03</f>
        <v>-82.183700000000002</v>
      </c>
      <c r="AG12" s="15">
        <f t="shared" ref="AG12:AM13" si="15">AF12*1.1</f>
        <v>-90.402070000000009</v>
      </c>
      <c r="AH12" s="15">
        <f t="shared" si="15"/>
        <v>-99.442277000000018</v>
      </c>
      <c r="AI12" s="15">
        <f t="shared" si="15"/>
        <v>-109.38650470000003</v>
      </c>
      <c r="AJ12" s="15">
        <f t="shared" si="15"/>
        <v>-120.32515517000004</v>
      </c>
      <c r="AK12" s="15">
        <f t="shared" si="15"/>
        <v>-132.35767068700005</v>
      </c>
      <c r="AL12" s="15">
        <f t="shared" si="15"/>
        <v>-145.59343775570008</v>
      </c>
      <c r="AM12" s="15">
        <f t="shared" si="15"/>
        <v>-160.15278153127011</v>
      </c>
    </row>
    <row r="13" spans="1:39" s="16" customFormat="1" x14ac:dyDescent="0.25">
      <c r="A13" s="1" t="s">
        <v>114</v>
      </c>
      <c r="B13" s="26">
        <f>U74/B5</f>
        <v>55.747999999999998</v>
      </c>
      <c r="C13" s="2" t="s">
        <v>48</v>
      </c>
      <c r="D13" s="15"/>
      <c r="E13" s="15"/>
      <c r="F13" s="15"/>
      <c r="G13" s="15">
        <v>-297</v>
      </c>
      <c r="H13" s="15"/>
      <c r="I13" s="15"/>
      <c r="J13" s="15">
        <v>-315</v>
      </c>
      <c r="K13" s="15">
        <v>-420</v>
      </c>
      <c r="L13" s="15">
        <v>-204</v>
      </c>
      <c r="M13" s="15">
        <v>-221</v>
      </c>
      <c r="N13" s="15">
        <v>-230</v>
      </c>
      <c r="O13" s="15">
        <v>-199</v>
      </c>
      <c r="P13" s="15">
        <v>-201</v>
      </c>
      <c r="Q13" s="15">
        <v>-172</v>
      </c>
      <c r="R13" s="15">
        <v>-222</v>
      </c>
      <c r="S13" s="15">
        <v>-210</v>
      </c>
      <c r="T13" s="15">
        <v>-191</v>
      </c>
      <c r="U13" s="15">
        <v>-215</v>
      </c>
      <c r="V13" s="15"/>
      <c r="W13" s="15"/>
      <c r="Y13" s="15">
        <v>-269</v>
      </c>
      <c r="Z13" s="15">
        <v>-875</v>
      </c>
      <c r="AA13" s="15">
        <v>-1287</v>
      </c>
      <c r="AB13" s="15">
        <v>-854</v>
      </c>
      <c r="AC13" s="15">
        <v>-805</v>
      </c>
      <c r="AD13" s="18">
        <f t="shared" si="12"/>
        <v>-813.05</v>
      </c>
      <c r="AE13" s="15">
        <f t="shared" si="13"/>
        <v>-813.05</v>
      </c>
      <c r="AF13" s="15">
        <f t="shared" si="14"/>
        <v>-837.44150000000002</v>
      </c>
      <c r="AG13" s="15">
        <f t="shared" si="15"/>
        <v>-921.18565000000012</v>
      </c>
      <c r="AH13" s="15">
        <f t="shared" si="15"/>
        <v>-1013.3042150000002</v>
      </c>
      <c r="AI13" s="15">
        <f t="shared" si="15"/>
        <v>-1114.6346365000004</v>
      </c>
      <c r="AJ13" s="15">
        <f t="shared" si="15"/>
        <v>-1226.0981001500006</v>
      </c>
      <c r="AK13" s="15">
        <f t="shared" si="15"/>
        <v>-1348.7079101650008</v>
      </c>
      <c r="AL13" s="15">
        <f t="shared" si="15"/>
        <v>-1483.5787011815009</v>
      </c>
      <c r="AM13" s="15">
        <f t="shared" si="15"/>
        <v>-1631.9365712996512</v>
      </c>
    </row>
    <row r="14" spans="1:39" x14ac:dyDescent="0.25">
      <c r="A14" s="15"/>
      <c r="B14" s="18"/>
      <c r="C14" s="1" t="s">
        <v>49</v>
      </c>
      <c r="D14" s="16">
        <f t="shared" ref="D14:R14" si="16">SUM(D10:D13)</f>
        <v>0</v>
      </c>
      <c r="E14" s="16">
        <f t="shared" si="16"/>
        <v>0</v>
      </c>
      <c r="F14" s="16">
        <f t="shared" si="16"/>
        <v>0</v>
      </c>
      <c r="G14" s="16">
        <f t="shared" si="16"/>
        <v>968</v>
      </c>
      <c r="H14" s="16">
        <f t="shared" si="16"/>
        <v>0</v>
      </c>
      <c r="I14" s="16">
        <f t="shared" si="16"/>
        <v>0</v>
      </c>
      <c r="J14" s="16">
        <f t="shared" si="16"/>
        <v>1513</v>
      </c>
      <c r="K14" s="16">
        <f t="shared" si="16"/>
        <v>1421</v>
      </c>
      <c r="L14" s="16">
        <f t="shared" si="16"/>
        <v>1659</v>
      </c>
      <c r="M14" s="16">
        <f t="shared" si="16"/>
        <v>1731</v>
      </c>
      <c r="N14" s="16">
        <f t="shared" si="16"/>
        <v>1826</v>
      </c>
      <c r="O14" s="16">
        <f t="shared" si="16"/>
        <v>1945</v>
      </c>
      <c r="P14" s="16">
        <f t="shared" si="16"/>
        <v>2105</v>
      </c>
      <c r="Q14" s="16">
        <f t="shared" si="16"/>
        <v>2070</v>
      </c>
      <c r="R14" s="16">
        <f t="shared" si="16"/>
        <v>2111</v>
      </c>
      <c r="S14" s="16">
        <f>SUM(S10:S13)</f>
        <v>2232</v>
      </c>
      <c r="T14" s="16">
        <f>SUM(T10:T13)</f>
        <v>2275</v>
      </c>
      <c r="U14" s="16">
        <f>SUM(U10:U13)</f>
        <v>2352</v>
      </c>
      <c r="V14" s="15"/>
      <c r="W14" s="27"/>
      <c r="X14" s="15"/>
      <c r="Y14" s="16">
        <f t="shared" ref="Y14:AA14" si="17">SUM(Y10:Y13)</f>
        <v>980</v>
      </c>
      <c r="Z14" s="16">
        <f t="shared" si="17"/>
        <v>3754</v>
      </c>
      <c r="AA14" s="16">
        <f t="shared" si="17"/>
        <v>5558</v>
      </c>
      <c r="AB14" s="16">
        <f>SUM(AB10:AB13)</f>
        <v>7161</v>
      </c>
      <c r="AC14" s="16">
        <f t="shared" ref="AC14:AM14" si="18">SUM(AC10:AC13)</f>
        <v>8518</v>
      </c>
      <c r="AD14" s="80">
        <f t="shared" si="18"/>
        <v>9000.9800000000014</v>
      </c>
      <c r="AE14" s="16">
        <f t="shared" si="18"/>
        <v>10668.628000000004</v>
      </c>
      <c r="AF14" s="16">
        <f t="shared" si="18"/>
        <v>12153.938200000004</v>
      </c>
      <c r="AG14" s="16">
        <f t="shared" si="18"/>
        <v>13560.247052000008</v>
      </c>
      <c r="AH14" s="16">
        <f t="shared" si="18"/>
        <v>15115.26896848001</v>
      </c>
      <c r="AI14" s="16">
        <f t="shared" si="18"/>
        <v>16834.211910399204</v>
      </c>
      <c r="AJ14" s="16">
        <f t="shared" si="18"/>
        <v>18689.672683397566</v>
      </c>
      <c r="AK14" s="16">
        <f t="shared" si="18"/>
        <v>20508.489755283113</v>
      </c>
      <c r="AL14" s="16">
        <f t="shared" si="18"/>
        <v>22507.684028463584</v>
      </c>
      <c r="AM14" s="16">
        <f t="shared" si="18"/>
        <v>24705.248087891661</v>
      </c>
    </row>
    <row r="15" spans="1:39" x14ac:dyDescent="0.25">
      <c r="A15" s="2" t="s">
        <v>120</v>
      </c>
      <c r="B15" s="28">
        <f>B4/B13</f>
        <v>1.5426562387888356</v>
      </c>
      <c r="C15" s="2" t="s">
        <v>50</v>
      </c>
      <c r="D15" s="15"/>
      <c r="E15" s="15"/>
      <c r="F15" s="15"/>
      <c r="G15" s="15">
        <v>-855</v>
      </c>
      <c r="H15" s="15"/>
      <c r="I15" s="15"/>
      <c r="J15" s="15">
        <v>-1105</v>
      </c>
      <c r="K15" s="15">
        <v>-1139</v>
      </c>
      <c r="L15" s="15">
        <v>-1091</v>
      </c>
      <c r="M15" s="15">
        <v>-932</v>
      </c>
      <c r="N15" s="15">
        <v>-985</v>
      </c>
      <c r="O15" s="15">
        <v>-1141</v>
      </c>
      <c r="P15" s="15">
        <v>-1023</v>
      </c>
      <c r="Q15" s="15">
        <v>-909</v>
      </c>
      <c r="R15" s="15">
        <v>-918</v>
      </c>
      <c r="S15" s="15">
        <v>-930</v>
      </c>
      <c r="T15" s="15">
        <v>-913</v>
      </c>
      <c r="U15" s="15">
        <v>-883</v>
      </c>
      <c r="V15" s="15"/>
      <c r="W15" s="15"/>
      <c r="X15" s="15"/>
      <c r="Y15" s="15">
        <v>-1013</v>
      </c>
      <c r="Z15" s="15">
        <v>-2425</v>
      </c>
      <c r="AA15" s="15">
        <v>-3907</v>
      </c>
      <c r="AB15" s="15">
        <v>-4149</v>
      </c>
      <c r="AC15" s="15">
        <v>-3780</v>
      </c>
      <c r="AD15" s="18">
        <v>-3652</v>
      </c>
      <c r="AE15" s="15">
        <f>AD15*1.15</f>
        <v>-4199.7999999999993</v>
      </c>
      <c r="AF15" s="15">
        <f t="shared" ref="AF15" si="19">AE15*1.15</f>
        <v>-4829.7699999999986</v>
      </c>
      <c r="AG15" s="15">
        <f>AF15*1.12</f>
        <v>-5409.3423999999986</v>
      </c>
      <c r="AH15" s="15">
        <f t="shared" ref="AH15:AJ15" si="20">AG15*1.11</f>
        <v>-6004.3700639999988</v>
      </c>
      <c r="AI15" s="15">
        <f t="shared" si="20"/>
        <v>-6664.850771039999</v>
      </c>
      <c r="AJ15" s="15">
        <f t="shared" si="20"/>
        <v>-7397.9843558543998</v>
      </c>
      <c r="AK15" s="15">
        <f>AJ15*1.1</f>
        <v>-8137.7827914398404</v>
      </c>
      <c r="AL15" s="15">
        <f t="shared" ref="AL15:AM15" si="21">AK15*1.1</f>
        <v>-8951.5610705838244</v>
      </c>
      <c r="AM15" s="15">
        <f t="shared" si="21"/>
        <v>-9846.7171776422074</v>
      </c>
    </row>
    <row r="16" spans="1:39" x14ac:dyDescent="0.25">
      <c r="A16" s="1"/>
      <c r="B16" s="20"/>
      <c r="C16" s="1" t="s">
        <v>51</v>
      </c>
      <c r="D16" s="16">
        <f t="shared" ref="D16:R16" si="22">SUM(D14:D15)</f>
        <v>0</v>
      </c>
      <c r="E16" s="16">
        <f t="shared" si="22"/>
        <v>0</v>
      </c>
      <c r="F16" s="16">
        <f t="shared" si="22"/>
        <v>0</v>
      </c>
      <c r="G16" s="16">
        <f t="shared" si="22"/>
        <v>113</v>
      </c>
      <c r="H16" s="16">
        <f t="shared" si="22"/>
        <v>0</v>
      </c>
      <c r="I16" s="16">
        <f t="shared" si="22"/>
        <v>0</v>
      </c>
      <c r="J16" s="16">
        <f t="shared" si="22"/>
        <v>408</v>
      </c>
      <c r="K16" s="16">
        <f t="shared" si="22"/>
        <v>282</v>
      </c>
      <c r="L16" s="16">
        <f t="shared" si="22"/>
        <v>568</v>
      </c>
      <c r="M16" s="16">
        <f t="shared" si="22"/>
        <v>799</v>
      </c>
      <c r="N16" s="16">
        <f t="shared" si="22"/>
        <v>841</v>
      </c>
      <c r="O16" s="16">
        <f t="shared" si="22"/>
        <v>804</v>
      </c>
      <c r="P16" s="16">
        <f t="shared" si="22"/>
        <v>1082</v>
      </c>
      <c r="Q16" s="16">
        <f t="shared" si="22"/>
        <v>1161</v>
      </c>
      <c r="R16" s="16">
        <f t="shared" si="22"/>
        <v>1193</v>
      </c>
      <c r="S16" s="16">
        <f>SUM(S14:S15)</f>
        <v>1302</v>
      </c>
      <c r="T16" s="16">
        <f>SUM(T14:T15)</f>
        <v>1362</v>
      </c>
      <c r="U16" s="16">
        <f>SUM(U14:U15)</f>
        <v>1469</v>
      </c>
      <c r="V16" s="15"/>
      <c r="W16" s="15"/>
      <c r="X16" s="15"/>
      <c r="Y16" s="16">
        <f t="shared" ref="Y16:AA16" si="23">SUM(Y14:Y15)</f>
        <v>-33</v>
      </c>
      <c r="Z16" s="16">
        <f t="shared" si="23"/>
        <v>1329</v>
      </c>
      <c r="AA16" s="16">
        <f t="shared" si="23"/>
        <v>1651</v>
      </c>
      <c r="AB16" s="16">
        <f>SUM(AB14:AB15)</f>
        <v>3012</v>
      </c>
      <c r="AC16" s="16">
        <f t="shared" ref="AC16:AM16" si="24">SUM(AC14:AC15)</f>
        <v>4738</v>
      </c>
      <c r="AD16" s="80">
        <f t="shared" si="24"/>
        <v>5348.9800000000014</v>
      </c>
      <c r="AE16" s="16">
        <f t="shared" si="24"/>
        <v>6468.828000000005</v>
      </c>
      <c r="AF16" s="16">
        <f t="shared" si="24"/>
        <v>7324.1682000000055</v>
      </c>
      <c r="AG16" s="16">
        <f t="shared" si="24"/>
        <v>8150.9046520000093</v>
      </c>
      <c r="AH16" s="16">
        <f t="shared" si="24"/>
        <v>9110.898904480011</v>
      </c>
      <c r="AI16" s="16">
        <f t="shared" si="24"/>
        <v>10169.361139359205</v>
      </c>
      <c r="AJ16" s="16">
        <f t="shared" si="24"/>
        <v>11291.688327543166</v>
      </c>
      <c r="AK16" s="16">
        <f t="shared" si="24"/>
        <v>12370.706963843273</v>
      </c>
      <c r="AL16" s="16">
        <f t="shared" si="24"/>
        <v>13556.122957879759</v>
      </c>
      <c r="AM16" s="16">
        <f t="shared" si="24"/>
        <v>14858.530910249454</v>
      </c>
    </row>
    <row r="17" spans="1:214" x14ac:dyDescent="0.25">
      <c r="A17" s="27"/>
      <c r="B17" s="18"/>
      <c r="C17" s="2" t="s">
        <v>52</v>
      </c>
      <c r="D17" s="15"/>
      <c r="E17" s="15"/>
      <c r="F17" s="15"/>
      <c r="G17" s="15">
        <v>-36</v>
      </c>
      <c r="H17" s="15"/>
      <c r="I17" s="15"/>
      <c r="J17" s="15">
        <v>-35</v>
      </c>
      <c r="K17" s="15">
        <v>-33</v>
      </c>
      <c r="L17" s="15">
        <v>-33</v>
      </c>
      <c r="M17" s="15">
        <v>-34</v>
      </c>
      <c r="N17" s="15">
        <v>-34</v>
      </c>
      <c r="O17" s="15">
        <v>-33</v>
      </c>
      <c r="P17" s="15">
        <v>-33</v>
      </c>
      <c r="Q17" s="15">
        <v>-31</v>
      </c>
      <c r="R17" s="15">
        <v>-32</v>
      </c>
      <c r="S17" s="15">
        <v>-32</v>
      </c>
      <c r="T17" s="15">
        <v>-32</v>
      </c>
      <c r="U17" s="15">
        <v>-34</v>
      </c>
      <c r="V17" s="15"/>
      <c r="W17" s="15"/>
      <c r="X17" s="15"/>
      <c r="AA17" s="15">
        <v>-136</v>
      </c>
      <c r="AB17" s="15">
        <v>-134</v>
      </c>
      <c r="AC17" s="15">
        <v>-128</v>
      </c>
      <c r="AD17" s="18">
        <v>-128</v>
      </c>
      <c r="AE17" s="15">
        <v>-130</v>
      </c>
      <c r="AF17" s="15">
        <v>-130</v>
      </c>
      <c r="AG17" s="15">
        <v>-130</v>
      </c>
      <c r="AH17" s="15">
        <v>-130</v>
      </c>
      <c r="AI17" s="15">
        <v>-130</v>
      </c>
      <c r="AJ17" s="15">
        <v>-130</v>
      </c>
      <c r="AK17" s="15">
        <v>-130</v>
      </c>
      <c r="AL17" s="15">
        <v>-130</v>
      </c>
      <c r="AM17" s="15">
        <v>-130</v>
      </c>
    </row>
    <row r="18" spans="1:214" x14ac:dyDescent="0.25">
      <c r="C18" s="1" t="s">
        <v>53</v>
      </c>
      <c r="D18" s="16">
        <f t="shared" ref="D18:R18" si="25">SUM(D16:D17)</f>
        <v>0</v>
      </c>
      <c r="E18" s="16">
        <f t="shared" si="25"/>
        <v>0</v>
      </c>
      <c r="F18" s="16">
        <f t="shared" si="25"/>
        <v>0</v>
      </c>
      <c r="G18" s="16">
        <f t="shared" si="25"/>
        <v>77</v>
      </c>
      <c r="H18" s="16">
        <f t="shared" si="25"/>
        <v>0</v>
      </c>
      <c r="I18" s="16">
        <f t="shared" si="25"/>
        <v>0</v>
      </c>
      <c r="J18" s="16">
        <f t="shared" si="25"/>
        <v>373</v>
      </c>
      <c r="K18" s="16">
        <f t="shared" si="25"/>
        <v>249</v>
      </c>
      <c r="L18" s="16">
        <f t="shared" si="25"/>
        <v>535</v>
      </c>
      <c r="M18" s="16">
        <f t="shared" si="25"/>
        <v>765</v>
      </c>
      <c r="N18" s="16">
        <f t="shared" si="25"/>
        <v>807</v>
      </c>
      <c r="O18" s="16">
        <f t="shared" si="25"/>
        <v>771</v>
      </c>
      <c r="P18" s="16">
        <f t="shared" si="25"/>
        <v>1049</v>
      </c>
      <c r="Q18" s="16">
        <f t="shared" si="25"/>
        <v>1130</v>
      </c>
      <c r="R18" s="16">
        <f t="shared" si="25"/>
        <v>1161</v>
      </c>
      <c r="S18" s="16">
        <f>SUM(S16:S17)</f>
        <v>1270</v>
      </c>
      <c r="T18" s="16">
        <f>SUM(T16:T17)</f>
        <v>1330</v>
      </c>
      <c r="U18" s="16">
        <f>SUM(U16:U17)</f>
        <v>1435</v>
      </c>
      <c r="V18" s="15"/>
      <c r="W18" s="15"/>
      <c r="X18" s="15"/>
      <c r="Y18" s="16">
        <f t="shared" ref="Y18:AA18" si="26">SUM(Y16:Y17)</f>
        <v>-33</v>
      </c>
      <c r="Z18" s="16">
        <f t="shared" si="26"/>
        <v>1329</v>
      </c>
      <c r="AA18" s="16">
        <f t="shared" si="26"/>
        <v>1515</v>
      </c>
      <c r="AB18" s="16">
        <f>SUM(AB16:AB17)</f>
        <v>2878</v>
      </c>
      <c r="AC18" s="16">
        <f t="shared" ref="AC18:AM18" si="27">SUM(AC16:AC17)</f>
        <v>4610</v>
      </c>
      <c r="AD18" s="80">
        <f t="shared" si="27"/>
        <v>5220.9800000000014</v>
      </c>
      <c r="AE18" s="16">
        <f t="shared" si="27"/>
        <v>6338.828000000005</v>
      </c>
      <c r="AF18" s="16">
        <f t="shared" si="27"/>
        <v>7194.1682000000055</v>
      </c>
      <c r="AG18" s="16">
        <f t="shared" si="27"/>
        <v>8020.9046520000093</v>
      </c>
      <c r="AH18" s="16">
        <f t="shared" si="27"/>
        <v>8980.898904480011</v>
      </c>
      <c r="AI18" s="16">
        <f t="shared" si="27"/>
        <v>10039.361139359205</v>
      </c>
      <c r="AJ18" s="16">
        <f t="shared" si="27"/>
        <v>11161.688327543166</v>
      </c>
      <c r="AK18" s="16">
        <f t="shared" si="27"/>
        <v>12240.706963843273</v>
      </c>
      <c r="AL18" s="16">
        <f t="shared" si="27"/>
        <v>13426.122957879759</v>
      </c>
      <c r="AM18" s="16">
        <f t="shared" si="27"/>
        <v>14728.530910249454</v>
      </c>
    </row>
    <row r="19" spans="1:214" x14ac:dyDescent="0.25">
      <c r="C19" s="2" t="s">
        <v>54</v>
      </c>
      <c r="D19" s="15"/>
      <c r="E19" s="15"/>
      <c r="F19" s="15"/>
      <c r="G19" s="15">
        <v>-62</v>
      </c>
      <c r="H19" s="15"/>
      <c r="I19" s="15"/>
      <c r="J19" s="15">
        <v>-63</v>
      </c>
      <c r="K19" s="15">
        <v>-62</v>
      </c>
      <c r="L19" s="15">
        <v>-130</v>
      </c>
      <c r="M19" s="15">
        <v>-187</v>
      </c>
      <c r="N19" s="15">
        <v>-211</v>
      </c>
      <c r="O19" s="15">
        <v>-148</v>
      </c>
      <c r="P19" s="15">
        <v>-228</v>
      </c>
      <c r="Q19" s="15">
        <v>-248</v>
      </c>
      <c r="R19" s="15">
        <v>-257</v>
      </c>
      <c r="S19" s="15">
        <v>-266</v>
      </c>
      <c r="T19" s="15">
        <v>-327</v>
      </c>
      <c r="U19" s="15">
        <v>-326</v>
      </c>
      <c r="V19" s="15"/>
      <c r="W19" s="15"/>
      <c r="X19" s="15"/>
      <c r="Y19" s="15">
        <v>10</v>
      </c>
      <c r="Z19" s="15">
        <v>-356</v>
      </c>
      <c r="AA19" s="15">
        <v>-328</v>
      </c>
      <c r="AB19" s="15">
        <v>-676</v>
      </c>
      <c r="AC19" s="15">
        <v>-999</v>
      </c>
      <c r="AD19" s="18">
        <f>AD18*-0.2</f>
        <v>-1044.1960000000004</v>
      </c>
      <c r="AE19" s="15">
        <f t="shared" ref="AE19:AM19" si="28">AE18*-0.2</f>
        <v>-1267.7656000000011</v>
      </c>
      <c r="AF19" s="15">
        <f t="shared" si="28"/>
        <v>-1438.8336400000012</v>
      </c>
      <c r="AG19" s="15">
        <f t="shared" si="28"/>
        <v>-1604.1809304000019</v>
      </c>
      <c r="AH19" s="15">
        <f t="shared" si="28"/>
        <v>-1796.1797808960023</v>
      </c>
      <c r="AI19" s="15">
        <f t="shared" si="28"/>
        <v>-2007.8722278718412</v>
      </c>
      <c r="AJ19" s="15">
        <f t="shared" si="28"/>
        <v>-2232.3376655086336</v>
      </c>
      <c r="AK19" s="15">
        <f t="shared" si="28"/>
        <v>-2448.1413927686549</v>
      </c>
      <c r="AL19" s="15">
        <f t="shared" si="28"/>
        <v>-2685.2245915759522</v>
      </c>
      <c r="AM19" s="15">
        <f t="shared" si="28"/>
        <v>-2945.7061820498911</v>
      </c>
    </row>
    <row r="20" spans="1:214" s="16" customFormat="1" x14ac:dyDescent="0.25">
      <c r="A20" s="2"/>
      <c r="B20" s="3"/>
      <c r="C20" s="1" t="s">
        <v>55</v>
      </c>
      <c r="D20" s="16">
        <f t="shared" ref="D20:R20" si="29">SUM(D18:D19)</f>
        <v>0</v>
      </c>
      <c r="E20" s="16">
        <f t="shared" si="29"/>
        <v>0</v>
      </c>
      <c r="F20" s="16">
        <f t="shared" si="29"/>
        <v>0</v>
      </c>
      <c r="G20" s="16">
        <f t="shared" si="29"/>
        <v>15</v>
      </c>
      <c r="H20" s="16">
        <f t="shared" si="29"/>
        <v>0</v>
      </c>
      <c r="I20" s="16">
        <f t="shared" si="29"/>
        <v>0</v>
      </c>
      <c r="J20" s="16">
        <f t="shared" si="29"/>
        <v>310</v>
      </c>
      <c r="K20" s="16">
        <f t="shared" si="29"/>
        <v>187</v>
      </c>
      <c r="L20" s="16">
        <f t="shared" si="29"/>
        <v>405</v>
      </c>
      <c r="M20" s="16">
        <f t="shared" si="29"/>
        <v>578</v>
      </c>
      <c r="N20" s="16">
        <f t="shared" si="29"/>
        <v>596</v>
      </c>
      <c r="O20" s="16">
        <f t="shared" si="29"/>
        <v>623</v>
      </c>
      <c r="P20" s="16">
        <f t="shared" si="29"/>
        <v>821</v>
      </c>
      <c r="Q20" s="16">
        <f t="shared" si="29"/>
        <v>882</v>
      </c>
      <c r="R20" s="16">
        <f t="shared" si="29"/>
        <v>904</v>
      </c>
      <c r="S20" s="16">
        <f>SUM(S18:S19)</f>
        <v>1004</v>
      </c>
      <c r="T20" s="16">
        <f>SUM(T18:T19)</f>
        <v>1003</v>
      </c>
      <c r="U20" s="16">
        <f>SUM(U18:U19)</f>
        <v>1109</v>
      </c>
      <c r="V20" s="15"/>
      <c r="W20" s="15"/>
      <c r="Y20" s="16">
        <f t="shared" ref="Y20:AA20" si="30">SUM(Y18:Y19)</f>
        <v>-23</v>
      </c>
      <c r="Z20" s="16">
        <f t="shared" si="30"/>
        <v>973</v>
      </c>
      <c r="AA20" s="16">
        <f t="shared" si="30"/>
        <v>1187</v>
      </c>
      <c r="AB20" s="16">
        <f>SUM(AB18:AB19)</f>
        <v>2202</v>
      </c>
      <c r="AC20" s="16">
        <f t="shared" ref="AC20:AM20" si="31">SUM(AC18:AC19)</f>
        <v>3611</v>
      </c>
      <c r="AD20" s="80">
        <f t="shared" si="31"/>
        <v>4176.7840000000015</v>
      </c>
      <c r="AE20" s="16">
        <f t="shared" si="31"/>
        <v>5071.0624000000043</v>
      </c>
      <c r="AF20" s="16">
        <f t="shared" si="31"/>
        <v>5755.3345600000048</v>
      </c>
      <c r="AG20" s="16">
        <f t="shared" si="31"/>
        <v>6416.7237216000076</v>
      </c>
      <c r="AH20" s="16">
        <f t="shared" si="31"/>
        <v>7184.7191235840091</v>
      </c>
      <c r="AI20" s="16">
        <f t="shared" si="31"/>
        <v>8031.488911487364</v>
      </c>
      <c r="AJ20" s="16">
        <f t="shared" si="31"/>
        <v>8929.3506620345324</v>
      </c>
      <c r="AK20" s="16">
        <f t="shared" si="31"/>
        <v>9792.5655710746178</v>
      </c>
      <c r="AL20" s="16">
        <f t="shared" si="31"/>
        <v>10740.898366303807</v>
      </c>
      <c r="AM20" s="16">
        <f t="shared" si="31"/>
        <v>11782.824728199563</v>
      </c>
      <c r="AN20" s="16">
        <f>AM20*(1+$AP$24)</f>
        <v>11664.996480917567</v>
      </c>
      <c r="AO20" s="16">
        <f t="shared" ref="AO20:CZ20" si="32">AN20*(1+$AP$24)</f>
        <v>11548.346516108391</v>
      </c>
      <c r="AP20" s="16">
        <f t="shared" si="32"/>
        <v>11432.863050947308</v>
      </c>
      <c r="AQ20" s="16">
        <f t="shared" si="32"/>
        <v>11318.534420437834</v>
      </c>
      <c r="AR20" s="16">
        <f t="shared" si="32"/>
        <v>11205.349076233457</v>
      </c>
      <c r="AS20" s="16">
        <f t="shared" si="32"/>
        <v>11093.295585471122</v>
      </c>
      <c r="AT20" s="16">
        <f t="shared" si="32"/>
        <v>10982.362629616411</v>
      </c>
      <c r="AU20" s="16">
        <f t="shared" si="32"/>
        <v>10872.539003320248</v>
      </c>
      <c r="AV20" s="16">
        <f t="shared" si="32"/>
        <v>10763.813613287044</v>
      </c>
      <c r="AW20" s="16">
        <f t="shared" si="32"/>
        <v>10656.175477154173</v>
      </c>
      <c r="AX20" s="16">
        <f t="shared" si="32"/>
        <v>10549.613722382632</v>
      </c>
      <c r="AY20" s="16">
        <f t="shared" si="32"/>
        <v>10444.117585158805</v>
      </c>
      <c r="AZ20" s="16">
        <f t="shared" si="32"/>
        <v>10339.676409307216</v>
      </c>
      <c r="BA20" s="16">
        <f t="shared" si="32"/>
        <v>10236.279645214145</v>
      </c>
      <c r="BB20" s="16">
        <f t="shared" si="32"/>
        <v>10133.916848762003</v>
      </c>
      <c r="BC20" s="16">
        <f t="shared" si="32"/>
        <v>10032.577680274382</v>
      </c>
      <c r="BD20" s="16">
        <f t="shared" si="32"/>
        <v>9932.2519034716388</v>
      </c>
      <c r="BE20" s="16">
        <f t="shared" si="32"/>
        <v>9832.9293844369222</v>
      </c>
      <c r="BF20" s="16">
        <f t="shared" si="32"/>
        <v>9734.6000905925521</v>
      </c>
      <c r="BG20" s="16">
        <f t="shared" si="32"/>
        <v>9637.2540896866267</v>
      </c>
      <c r="BH20" s="16">
        <f t="shared" si="32"/>
        <v>9540.8815487897609</v>
      </c>
      <c r="BI20" s="16">
        <f t="shared" si="32"/>
        <v>9445.4727333018636</v>
      </c>
      <c r="BJ20" s="16">
        <f t="shared" si="32"/>
        <v>9351.0180059688446</v>
      </c>
      <c r="BK20" s="16">
        <f t="shared" si="32"/>
        <v>9257.507825909157</v>
      </c>
      <c r="BL20" s="16">
        <f t="shared" si="32"/>
        <v>9164.9327476500657</v>
      </c>
      <c r="BM20" s="16">
        <f t="shared" si="32"/>
        <v>9073.2834201735641</v>
      </c>
      <c r="BN20" s="16">
        <f t="shared" si="32"/>
        <v>8982.5505859718287</v>
      </c>
      <c r="BO20" s="16">
        <f t="shared" si="32"/>
        <v>8892.7250801121099</v>
      </c>
      <c r="BP20" s="16">
        <f t="shared" si="32"/>
        <v>8803.7978293109882</v>
      </c>
      <c r="BQ20" s="16">
        <f t="shared" si="32"/>
        <v>8715.7598510178777</v>
      </c>
      <c r="BR20" s="16">
        <f t="shared" si="32"/>
        <v>8628.6022525076987</v>
      </c>
      <c r="BS20" s="16">
        <f t="shared" si="32"/>
        <v>8542.3162299826217</v>
      </c>
      <c r="BT20" s="16">
        <f t="shared" si="32"/>
        <v>8456.8930676827949</v>
      </c>
      <c r="BU20" s="16">
        <f t="shared" si="32"/>
        <v>8372.3241370059677</v>
      </c>
      <c r="BV20" s="16">
        <f t="shared" si="32"/>
        <v>8288.6008956359074</v>
      </c>
      <c r="BW20" s="16">
        <f t="shared" si="32"/>
        <v>8205.7148866795487</v>
      </c>
      <c r="BX20" s="16">
        <f t="shared" si="32"/>
        <v>8123.6577378127531</v>
      </c>
      <c r="BY20" s="16">
        <f t="shared" si="32"/>
        <v>8042.4211604346256</v>
      </c>
      <c r="BZ20" s="16">
        <f t="shared" si="32"/>
        <v>7961.9969488302795</v>
      </c>
      <c r="CA20" s="16">
        <f t="shared" si="32"/>
        <v>7882.3769793419769</v>
      </c>
      <c r="CB20" s="16">
        <f t="shared" si="32"/>
        <v>7803.5532095485569</v>
      </c>
      <c r="CC20" s="16">
        <f t="shared" si="32"/>
        <v>7725.517677453071</v>
      </c>
      <c r="CD20" s="16">
        <f t="shared" si="32"/>
        <v>7648.2625006785402</v>
      </c>
      <c r="CE20" s="16">
        <f t="shared" si="32"/>
        <v>7571.7798756717548</v>
      </c>
      <c r="CF20" s="16">
        <f t="shared" si="32"/>
        <v>7496.0620769150373</v>
      </c>
      <c r="CG20" s="16">
        <f t="shared" si="32"/>
        <v>7421.1014561458869</v>
      </c>
      <c r="CH20" s="16">
        <f t="shared" si="32"/>
        <v>7346.8904415844281</v>
      </c>
      <c r="CI20" s="16">
        <f t="shared" si="32"/>
        <v>7273.4215371685841</v>
      </c>
      <c r="CJ20" s="16">
        <f t="shared" si="32"/>
        <v>7200.6873217968978</v>
      </c>
      <c r="CK20" s="16">
        <f t="shared" si="32"/>
        <v>7128.6804485789289</v>
      </c>
      <c r="CL20" s="16">
        <f t="shared" si="32"/>
        <v>7057.3936440931393</v>
      </c>
      <c r="CM20" s="16">
        <f t="shared" si="32"/>
        <v>6986.8197076522074</v>
      </c>
      <c r="CN20" s="16">
        <f t="shared" si="32"/>
        <v>6916.9515105756855</v>
      </c>
      <c r="CO20" s="16">
        <f t="shared" si="32"/>
        <v>6847.7819954699289</v>
      </c>
      <c r="CP20" s="16">
        <f t="shared" si="32"/>
        <v>6779.3041755152299</v>
      </c>
      <c r="CQ20" s="16">
        <f t="shared" si="32"/>
        <v>6711.5111337600774</v>
      </c>
      <c r="CR20" s="16">
        <f t="shared" si="32"/>
        <v>6644.3960224224766</v>
      </c>
      <c r="CS20" s="16">
        <f t="shared" si="32"/>
        <v>6577.952062198252</v>
      </c>
      <c r="CT20" s="16">
        <f t="shared" si="32"/>
        <v>6512.1725415762694</v>
      </c>
      <c r="CU20" s="16">
        <f t="shared" si="32"/>
        <v>6447.0508161605067</v>
      </c>
      <c r="CV20" s="16">
        <f t="shared" si="32"/>
        <v>6382.5803079989018</v>
      </c>
      <c r="CW20" s="16">
        <f t="shared" si="32"/>
        <v>6318.754504918913</v>
      </c>
      <c r="CX20" s="16">
        <f t="shared" si="32"/>
        <v>6255.5669598697241</v>
      </c>
      <c r="CY20" s="16">
        <f t="shared" si="32"/>
        <v>6193.0112902710271</v>
      </c>
      <c r="CZ20" s="16">
        <f t="shared" si="32"/>
        <v>6131.0811773683172</v>
      </c>
      <c r="DA20" s="16">
        <f t="shared" ref="DA20:FL20" si="33">CZ20*(1+$AP$24)</f>
        <v>6069.7703655946343</v>
      </c>
      <c r="DB20" s="16">
        <f t="shared" si="33"/>
        <v>6009.0726619386878</v>
      </c>
      <c r="DC20" s="16">
        <f t="shared" si="33"/>
        <v>5948.9819353193006</v>
      </c>
      <c r="DD20" s="16">
        <f t="shared" si="33"/>
        <v>5889.492115966108</v>
      </c>
      <c r="DE20" s="16">
        <f t="shared" si="33"/>
        <v>5830.5971948064471</v>
      </c>
      <c r="DF20" s="16">
        <f t="shared" si="33"/>
        <v>5772.2912228583828</v>
      </c>
      <c r="DG20" s="16">
        <f t="shared" si="33"/>
        <v>5714.5683106297993</v>
      </c>
      <c r="DH20" s="16">
        <f t="shared" si="33"/>
        <v>5657.4226275235014</v>
      </c>
      <c r="DI20" s="16">
        <f t="shared" si="33"/>
        <v>5600.8484012482668</v>
      </c>
      <c r="DJ20" s="16">
        <f t="shared" si="33"/>
        <v>5544.839917235784</v>
      </c>
      <c r="DK20" s="16">
        <f t="shared" si="33"/>
        <v>5489.3915180634258</v>
      </c>
      <c r="DL20" s="16">
        <f t="shared" si="33"/>
        <v>5434.4976028827914</v>
      </c>
      <c r="DM20" s="16">
        <f t="shared" si="33"/>
        <v>5380.1526268539637</v>
      </c>
      <c r="DN20" s="16">
        <f t="shared" si="33"/>
        <v>5326.3511005854243</v>
      </c>
      <c r="DO20" s="16">
        <f t="shared" si="33"/>
        <v>5273.0875895795698</v>
      </c>
      <c r="DP20" s="16">
        <f t="shared" si="33"/>
        <v>5220.3567136837737</v>
      </c>
      <c r="DQ20" s="16">
        <f t="shared" si="33"/>
        <v>5168.1531465469361</v>
      </c>
      <c r="DR20" s="16">
        <f t="shared" si="33"/>
        <v>5116.4716150814666</v>
      </c>
      <c r="DS20" s="16">
        <f t="shared" si="33"/>
        <v>5065.3068989306521</v>
      </c>
      <c r="DT20" s="16">
        <f t="shared" si="33"/>
        <v>5014.653829941346</v>
      </c>
      <c r="DU20" s="16">
        <f t="shared" si="33"/>
        <v>4964.5072916419322</v>
      </c>
      <c r="DV20" s="16">
        <f t="shared" si="33"/>
        <v>4914.8622187255132</v>
      </c>
      <c r="DW20" s="16">
        <f t="shared" si="33"/>
        <v>4865.7135965382577</v>
      </c>
      <c r="DX20" s="16">
        <f t="shared" si="33"/>
        <v>4817.056460572875</v>
      </c>
      <c r="DY20" s="16">
        <f t="shared" si="33"/>
        <v>4768.8858959671461</v>
      </c>
      <c r="DZ20" s="16">
        <f t="shared" si="33"/>
        <v>4721.197037007475</v>
      </c>
      <c r="EA20" s="16">
        <f t="shared" si="33"/>
        <v>4673.9850666374005</v>
      </c>
      <c r="EB20" s="16">
        <f t="shared" si="33"/>
        <v>4627.2452159710265</v>
      </c>
      <c r="EC20" s="16">
        <f t="shared" si="33"/>
        <v>4580.9727638113163</v>
      </c>
      <c r="ED20" s="16">
        <f t="shared" si="33"/>
        <v>4535.1630361732032</v>
      </c>
      <c r="EE20" s="16">
        <f t="shared" si="33"/>
        <v>4489.8114058114716</v>
      </c>
      <c r="EF20" s="16">
        <f t="shared" si="33"/>
        <v>4444.913291753357</v>
      </c>
      <c r="EG20" s="16">
        <f t="shared" si="33"/>
        <v>4400.4641588358236</v>
      </c>
      <c r="EH20" s="16">
        <f t="shared" si="33"/>
        <v>4356.4595172474656</v>
      </c>
      <c r="EI20" s="16">
        <f t="shared" si="33"/>
        <v>4312.894922074991</v>
      </c>
      <c r="EJ20" s="16">
        <f t="shared" si="33"/>
        <v>4269.7659728542412</v>
      </c>
      <c r="EK20" s="16">
        <f t="shared" si="33"/>
        <v>4227.0683131256992</v>
      </c>
      <c r="EL20" s="16">
        <f t="shared" si="33"/>
        <v>4184.7976299944421</v>
      </c>
      <c r="EM20" s="16">
        <f t="shared" si="33"/>
        <v>4142.949653694498</v>
      </c>
      <c r="EN20" s="16">
        <f t="shared" si="33"/>
        <v>4101.5201571575526</v>
      </c>
      <c r="EO20" s="16">
        <f t="shared" si="33"/>
        <v>4060.5049555859769</v>
      </c>
      <c r="EP20" s="16">
        <f t="shared" si="33"/>
        <v>4019.8999060301171</v>
      </c>
      <c r="EQ20" s="16">
        <f t="shared" si="33"/>
        <v>3979.7009069698161</v>
      </c>
      <c r="ER20" s="16">
        <f t="shared" si="33"/>
        <v>3939.903897900118</v>
      </c>
      <c r="ES20" s="16">
        <f t="shared" si="33"/>
        <v>3900.5048589211169</v>
      </c>
      <c r="ET20" s="16">
        <f t="shared" si="33"/>
        <v>3861.4998103319058</v>
      </c>
      <c r="EU20" s="16">
        <f t="shared" si="33"/>
        <v>3822.8848122285867</v>
      </c>
      <c r="EV20" s="16">
        <f t="shared" si="33"/>
        <v>3784.6559641063009</v>
      </c>
      <c r="EW20" s="16">
        <f t="shared" si="33"/>
        <v>3746.809404465238</v>
      </c>
      <c r="EX20" s="16">
        <f t="shared" si="33"/>
        <v>3709.3413104205856</v>
      </c>
      <c r="EY20" s="16">
        <f t="shared" si="33"/>
        <v>3672.2478973163797</v>
      </c>
      <c r="EZ20" s="16">
        <f t="shared" si="33"/>
        <v>3635.5254183432157</v>
      </c>
      <c r="FA20" s="16">
        <f t="shared" si="33"/>
        <v>3599.1701641597833</v>
      </c>
      <c r="FB20" s="16">
        <f t="shared" si="33"/>
        <v>3563.1784625181854</v>
      </c>
      <c r="FC20" s="16">
        <f t="shared" si="33"/>
        <v>3527.5466778930036</v>
      </c>
      <c r="FD20" s="16">
        <f t="shared" si="33"/>
        <v>3492.2712111140736</v>
      </c>
      <c r="FE20" s="16">
        <f t="shared" si="33"/>
        <v>3457.3484990029328</v>
      </c>
      <c r="FF20" s="16">
        <f t="shared" si="33"/>
        <v>3422.7750140129033</v>
      </c>
      <c r="FG20" s="16">
        <f t="shared" si="33"/>
        <v>3388.5472638727742</v>
      </c>
      <c r="FH20" s="16">
        <f t="shared" si="33"/>
        <v>3354.6617912340466</v>
      </c>
      <c r="FI20" s="16">
        <f t="shared" si="33"/>
        <v>3321.1151733217062</v>
      </c>
      <c r="FJ20" s="16">
        <f t="shared" si="33"/>
        <v>3287.9040215884893</v>
      </c>
      <c r="FK20" s="16">
        <f t="shared" si="33"/>
        <v>3255.0249813726045</v>
      </c>
      <c r="FL20" s="16">
        <f t="shared" si="33"/>
        <v>3222.4747315588784</v>
      </c>
      <c r="FM20" s="16">
        <f t="shared" ref="FM20:HF20" si="34">FL20*(1+$AP$24)</f>
        <v>3190.2499842432894</v>
      </c>
      <c r="FN20" s="16">
        <f t="shared" si="34"/>
        <v>3158.3474844008565</v>
      </c>
      <c r="FO20" s="16">
        <f t="shared" si="34"/>
        <v>3126.7640095568481</v>
      </c>
      <c r="FP20" s="16">
        <f t="shared" si="34"/>
        <v>3095.4963694612798</v>
      </c>
      <c r="FQ20" s="16">
        <f t="shared" si="34"/>
        <v>3064.5414057666671</v>
      </c>
      <c r="FR20" s="16">
        <f t="shared" si="34"/>
        <v>3033.8959917090006</v>
      </c>
      <c r="FS20" s="16">
        <f t="shared" si="34"/>
        <v>3003.5570317919105</v>
      </c>
      <c r="FT20" s="16">
        <f t="shared" si="34"/>
        <v>2973.5214614739912</v>
      </c>
      <c r="FU20" s="16">
        <f t="shared" si="34"/>
        <v>2943.7862468592512</v>
      </c>
      <c r="FV20" s="16">
        <f t="shared" si="34"/>
        <v>2914.3483843906588</v>
      </c>
      <c r="FW20" s="16">
        <f t="shared" si="34"/>
        <v>2885.204900546752</v>
      </c>
      <c r="FX20" s="16">
        <f t="shared" si="34"/>
        <v>2856.3528515412845</v>
      </c>
      <c r="FY20" s="16">
        <f t="shared" si="34"/>
        <v>2827.7893230258715</v>
      </c>
      <c r="FZ20" s="16">
        <f t="shared" si="34"/>
        <v>2799.5114297956129</v>
      </c>
      <c r="GA20" s="16">
        <f t="shared" si="34"/>
        <v>2771.5163154976567</v>
      </c>
      <c r="GB20" s="16">
        <f t="shared" si="34"/>
        <v>2743.8011523426803</v>
      </c>
      <c r="GC20" s="16">
        <f t="shared" si="34"/>
        <v>2716.3631408192537</v>
      </c>
      <c r="GD20" s="16">
        <f t="shared" si="34"/>
        <v>2689.1995094110612</v>
      </c>
      <c r="GE20" s="16">
        <f t="shared" si="34"/>
        <v>2662.3075143169503</v>
      </c>
      <c r="GF20" s="16">
        <f t="shared" si="34"/>
        <v>2635.6844391737809</v>
      </c>
      <c r="GG20" s="16">
        <f t="shared" si="34"/>
        <v>2609.327594782043</v>
      </c>
      <c r="GH20" s="16">
        <f t="shared" si="34"/>
        <v>2583.2343188342224</v>
      </c>
      <c r="GI20" s="16">
        <f t="shared" si="34"/>
        <v>2557.4019756458802</v>
      </c>
      <c r="GJ20" s="16">
        <f t="shared" si="34"/>
        <v>2531.8279558894214</v>
      </c>
      <c r="GK20" s="16">
        <f t="shared" si="34"/>
        <v>2506.5096763305273</v>
      </c>
      <c r="GL20" s="16">
        <f t="shared" si="34"/>
        <v>2481.4445795672218</v>
      </c>
      <c r="GM20" s="16">
        <f t="shared" si="34"/>
        <v>2456.6301337715495</v>
      </c>
      <c r="GN20" s="16">
        <f t="shared" si="34"/>
        <v>2432.0638324338338</v>
      </c>
      <c r="GO20" s="16">
        <f t="shared" si="34"/>
        <v>2407.7431941094956</v>
      </c>
      <c r="GP20" s="16">
        <f t="shared" si="34"/>
        <v>2383.6657621684008</v>
      </c>
      <c r="GQ20" s="16">
        <f t="shared" si="34"/>
        <v>2359.8291045467167</v>
      </c>
      <c r="GR20" s="16">
        <f t="shared" si="34"/>
        <v>2336.2308135012495</v>
      </c>
      <c r="GS20" s="16">
        <f t="shared" si="34"/>
        <v>2312.8685053662371</v>
      </c>
      <c r="GT20" s="16">
        <f t="shared" si="34"/>
        <v>2289.7398203125745</v>
      </c>
      <c r="GU20" s="16">
        <f t="shared" si="34"/>
        <v>2266.8424221094488</v>
      </c>
      <c r="GV20" s="16">
        <f t="shared" si="34"/>
        <v>2244.1739978883543</v>
      </c>
      <c r="GW20" s="16">
        <f t="shared" si="34"/>
        <v>2221.7322579094707</v>
      </c>
      <c r="GX20" s="16">
        <f t="shared" si="34"/>
        <v>2199.5149353303759</v>
      </c>
      <c r="GY20" s="16">
        <f t="shared" si="34"/>
        <v>2177.5197859770719</v>
      </c>
      <c r="GZ20" s="16">
        <f t="shared" si="34"/>
        <v>2155.7445881173012</v>
      </c>
      <c r="HA20" s="16">
        <f t="shared" si="34"/>
        <v>2134.1871422361282</v>
      </c>
      <c r="HB20" s="16">
        <f t="shared" si="34"/>
        <v>2112.845270813767</v>
      </c>
      <c r="HC20" s="16">
        <f t="shared" si="34"/>
        <v>2091.7168181056295</v>
      </c>
      <c r="HD20" s="16">
        <f t="shared" si="34"/>
        <v>2070.7996499245733</v>
      </c>
      <c r="HE20" s="16">
        <f t="shared" si="34"/>
        <v>2050.0916534253274</v>
      </c>
      <c r="HF20" s="16">
        <f t="shared" si="34"/>
        <v>2029.5907368910741</v>
      </c>
    </row>
    <row r="21" spans="1:214" s="2" customFormat="1" x14ac:dyDescent="0.25">
      <c r="B21" s="3"/>
      <c r="C21" s="2" t="s">
        <v>56</v>
      </c>
      <c r="D21" s="11"/>
      <c r="E21" s="11"/>
      <c r="F21" s="11"/>
      <c r="G21" s="11"/>
      <c r="H21" s="11"/>
      <c r="I21" s="11"/>
      <c r="J21" s="11">
        <v>500</v>
      </c>
      <c r="K21" s="11">
        <v>500</v>
      </c>
      <c r="L21" s="11">
        <v>500</v>
      </c>
      <c r="M21" s="11">
        <v>500</v>
      </c>
      <c r="N21" s="11">
        <v>500</v>
      </c>
      <c r="O21" s="11">
        <v>500</v>
      </c>
      <c r="P21" s="11">
        <v>500</v>
      </c>
      <c r="Q21" s="11">
        <v>500</v>
      </c>
      <c r="R21" s="11">
        <v>500</v>
      </c>
      <c r="S21" s="11">
        <v>500</v>
      </c>
      <c r="T21" s="11">
        <v>500</v>
      </c>
      <c r="U21" s="11">
        <v>500</v>
      </c>
      <c r="V21" s="15"/>
      <c r="W21" s="15"/>
      <c r="Y21" s="11">
        <v>500</v>
      </c>
      <c r="Z21" s="11">
        <v>500</v>
      </c>
      <c r="AA21" s="11">
        <v>500</v>
      </c>
      <c r="AB21" s="11">
        <v>500</v>
      </c>
      <c r="AC21" s="11">
        <v>500</v>
      </c>
      <c r="AD21" s="10">
        <v>500</v>
      </c>
      <c r="AE21" s="11">
        <v>500</v>
      </c>
      <c r="AF21" s="11">
        <v>500</v>
      </c>
      <c r="AG21" s="11">
        <v>500</v>
      </c>
      <c r="AH21" s="11">
        <v>500</v>
      </c>
      <c r="AI21" s="11">
        <v>500</v>
      </c>
      <c r="AJ21" s="11">
        <v>500</v>
      </c>
      <c r="AK21" s="11">
        <v>500</v>
      </c>
      <c r="AL21" s="11">
        <v>500</v>
      </c>
      <c r="AM21" s="11">
        <v>500</v>
      </c>
    </row>
    <row r="22" spans="1:214" s="2" customFormat="1" x14ac:dyDescent="0.25">
      <c r="B22" s="3"/>
      <c r="C22" s="2" t="s">
        <v>57</v>
      </c>
      <c r="D22" s="12" t="e">
        <f t="shared" ref="D22:R22" si="35">D20/D21</f>
        <v>#DIV/0!</v>
      </c>
      <c r="E22" s="12" t="e">
        <f t="shared" si="35"/>
        <v>#DIV/0!</v>
      </c>
      <c r="F22" s="12" t="e">
        <f t="shared" si="35"/>
        <v>#DIV/0!</v>
      </c>
      <c r="G22" s="12" t="e">
        <f t="shared" si="35"/>
        <v>#DIV/0!</v>
      </c>
      <c r="H22" s="12" t="e">
        <f t="shared" si="35"/>
        <v>#DIV/0!</v>
      </c>
      <c r="I22" s="12" t="e">
        <f t="shared" si="35"/>
        <v>#DIV/0!</v>
      </c>
      <c r="J22" s="12">
        <f t="shared" si="35"/>
        <v>0.62</v>
      </c>
      <c r="K22" s="12">
        <f t="shared" si="35"/>
        <v>0.374</v>
      </c>
      <c r="L22" s="12">
        <f t="shared" si="35"/>
        <v>0.81</v>
      </c>
      <c r="M22" s="12">
        <f t="shared" si="35"/>
        <v>1.1559999999999999</v>
      </c>
      <c r="N22" s="12">
        <f t="shared" si="35"/>
        <v>1.1919999999999999</v>
      </c>
      <c r="O22" s="12">
        <f t="shared" si="35"/>
        <v>1.246</v>
      </c>
      <c r="P22" s="12">
        <f t="shared" si="35"/>
        <v>1.6419999999999999</v>
      </c>
      <c r="Q22" s="12">
        <f t="shared" si="35"/>
        <v>1.764</v>
      </c>
      <c r="R22" s="12">
        <f t="shared" si="35"/>
        <v>1.8080000000000001</v>
      </c>
      <c r="S22" s="12">
        <f>S20/S21</f>
        <v>2.008</v>
      </c>
      <c r="T22" s="12">
        <f>T20/T21</f>
        <v>2.0059999999999998</v>
      </c>
      <c r="U22" s="12">
        <f>U20/U21</f>
        <v>2.218</v>
      </c>
      <c r="V22" s="15"/>
      <c r="W22" s="27"/>
      <c r="Y22" s="12">
        <f t="shared" ref="Y22:AA22" si="36">Y20/Y21</f>
        <v>-4.5999999999999999E-2</v>
      </c>
      <c r="Z22" s="12">
        <f t="shared" si="36"/>
        <v>1.946</v>
      </c>
      <c r="AA22" s="12">
        <f t="shared" si="36"/>
        <v>2.3740000000000001</v>
      </c>
      <c r="AB22" s="12">
        <f>AB20/AB21</f>
        <v>4.4039999999999999</v>
      </c>
      <c r="AC22" s="12">
        <f t="shared" ref="AC22:AM22" si="37">AC20/AC21</f>
        <v>7.2220000000000004</v>
      </c>
      <c r="AD22" s="28">
        <f t="shared" si="37"/>
        <v>8.3535680000000028</v>
      </c>
      <c r="AE22" s="12">
        <f t="shared" si="37"/>
        <v>10.142124800000008</v>
      </c>
      <c r="AF22" s="12">
        <f t="shared" si="37"/>
        <v>11.51066912000001</v>
      </c>
      <c r="AG22" s="12">
        <f t="shared" si="37"/>
        <v>12.833447443200015</v>
      </c>
      <c r="AH22" s="12">
        <f t="shared" si="37"/>
        <v>14.369438247168018</v>
      </c>
      <c r="AI22" s="12">
        <f t="shared" si="37"/>
        <v>16.062977822974727</v>
      </c>
      <c r="AJ22" s="12">
        <f t="shared" si="37"/>
        <v>17.858701324069067</v>
      </c>
      <c r="AK22" s="12">
        <f t="shared" si="37"/>
        <v>19.585131142149237</v>
      </c>
      <c r="AL22" s="12">
        <f t="shared" si="37"/>
        <v>21.481796732607613</v>
      </c>
      <c r="AM22" s="12">
        <f t="shared" si="37"/>
        <v>23.565649456399125</v>
      </c>
    </row>
    <row r="23" spans="1:214" s="2" customFormat="1" x14ac:dyDescent="0.25">
      <c r="B23" s="3"/>
      <c r="AD23" s="3"/>
      <c r="AO23" s="2" t="s">
        <v>178</v>
      </c>
      <c r="AP23" s="53">
        <v>0.1</v>
      </c>
    </row>
    <row r="24" spans="1:214" s="2" customFormat="1" x14ac:dyDescent="0.25">
      <c r="B24" s="3"/>
      <c r="C24" s="14" t="s">
        <v>32</v>
      </c>
      <c r="D24" s="23"/>
      <c r="E24" s="23"/>
      <c r="F24" s="23"/>
      <c r="G24" s="23"/>
      <c r="H24" s="23" t="e">
        <f t="shared" ref="H24:T24" si="38">(H10-D10)/D10</f>
        <v>#DIV/0!</v>
      </c>
      <c r="I24" s="23" t="e">
        <f t="shared" si="38"/>
        <v>#DIV/0!</v>
      </c>
      <c r="J24" s="23" t="e">
        <f t="shared" si="38"/>
        <v>#DIV/0!</v>
      </c>
      <c r="K24" s="23">
        <f t="shared" si="38"/>
        <v>0.17142857142857143</v>
      </c>
      <c r="L24" s="23" t="e">
        <f t="shared" si="38"/>
        <v>#DIV/0!</v>
      </c>
      <c r="M24" s="23" t="e">
        <f t="shared" si="38"/>
        <v>#DIV/0!</v>
      </c>
      <c r="N24" s="23">
        <f t="shared" si="38"/>
        <v>0.13763537906137185</v>
      </c>
      <c r="O24" s="23">
        <f t="shared" si="38"/>
        <v>0.19246119733924613</v>
      </c>
      <c r="P24" s="23">
        <f t="shared" si="38"/>
        <v>0.2016695957820738</v>
      </c>
      <c r="Q24" s="23">
        <f t="shared" si="38"/>
        <v>0.1255212677231026</v>
      </c>
      <c r="R24" s="23">
        <f t="shared" si="38"/>
        <v>0.15589051963506545</v>
      </c>
      <c r="S24" s="23">
        <f t="shared" si="38"/>
        <v>8.8880624767571581E-2</v>
      </c>
      <c r="T24" s="23">
        <f t="shared" si="38"/>
        <v>7.5319926873857398E-2</v>
      </c>
      <c r="U24" s="23">
        <f>(U10-Q10)/Q10</f>
        <v>0.13190070396443127</v>
      </c>
      <c r="Z24" s="23">
        <f t="shared" ref="Z24:AB24" si="39">(Z10-Y10)/Y10</f>
        <v>1.6441064638783269</v>
      </c>
      <c r="AA24" s="23">
        <f t="shared" si="39"/>
        <v>0.22274949669255106</v>
      </c>
      <c r="AB24" s="23">
        <f t="shared" si="39"/>
        <v>0.16241326590615077</v>
      </c>
      <c r="AC24" s="23">
        <f>(AC10-AB10)/AB10</f>
        <v>0.14083367057871307</v>
      </c>
      <c r="AD24" s="81">
        <f>(AD10-AC10)/AC10</f>
        <v>4.5278467541681564E-2</v>
      </c>
      <c r="AE24" s="23">
        <f>(AE10-AD10)/AD10</f>
        <v>0.14148725327831044</v>
      </c>
      <c r="AF24" s="23">
        <f t="shared" ref="AF24:AM24" si="40">(AF10-AE10)/AE10</f>
        <v>0.11660869223963234</v>
      </c>
      <c r="AG24" s="23">
        <f t="shared" si="40"/>
        <v>0.11270811050960153</v>
      </c>
      <c r="AH24" s="23">
        <f t="shared" si="40"/>
        <v>0.11190437488289803</v>
      </c>
      <c r="AI24" s="23">
        <f t="shared" si="40"/>
        <v>0.11115923734354735</v>
      </c>
      <c r="AJ24" s="23">
        <f t="shared" si="40"/>
        <v>0.10832998545575948</v>
      </c>
      <c r="AK24" s="23">
        <f t="shared" si="40"/>
        <v>9.7809115816503298E-2</v>
      </c>
      <c r="AL24" s="23">
        <f t="shared" si="40"/>
        <v>9.7944441636992771E-2</v>
      </c>
      <c r="AM24" s="23">
        <f t="shared" si="40"/>
        <v>9.807164640248954E-2</v>
      </c>
      <c r="AO24" s="2" t="s">
        <v>179</v>
      </c>
      <c r="AP24" s="53">
        <v>-0.01</v>
      </c>
    </row>
    <row r="25" spans="1:214" s="2" customFormat="1" x14ac:dyDescent="0.25">
      <c r="B25" s="3"/>
      <c r="C25" s="13" t="s">
        <v>58</v>
      </c>
      <c r="D25" s="24" t="e">
        <f t="shared" ref="D25:R25" si="41">D18/D10</f>
        <v>#DIV/0!</v>
      </c>
      <c r="E25" s="24" t="e">
        <f t="shared" si="41"/>
        <v>#DIV/0!</v>
      </c>
      <c r="F25" s="24" t="e">
        <f t="shared" si="41"/>
        <v>#DIV/0!</v>
      </c>
      <c r="G25" s="24">
        <f t="shared" si="41"/>
        <v>0.04</v>
      </c>
      <c r="H25" s="24" t="e">
        <f t="shared" si="41"/>
        <v>#DIV/0!</v>
      </c>
      <c r="I25" s="24" t="e">
        <f t="shared" si="41"/>
        <v>#DIV/0!</v>
      </c>
      <c r="J25" s="24">
        <f t="shared" si="41"/>
        <v>0.16832129963898917</v>
      </c>
      <c r="K25" s="24">
        <f t="shared" si="41"/>
        <v>0.11042128603104213</v>
      </c>
      <c r="L25" s="24">
        <f t="shared" si="41"/>
        <v>0.23506151142355008</v>
      </c>
      <c r="M25" s="24">
        <f t="shared" si="41"/>
        <v>0.31901584653878234</v>
      </c>
      <c r="N25" s="24">
        <f>N18/N10</f>
        <v>0.32011106703689013</v>
      </c>
      <c r="O25" s="24">
        <f t="shared" si="41"/>
        <v>0.28672368910375606</v>
      </c>
      <c r="P25" s="24">
        <f t="shared" si="41"/>
        <v>0.38354661791590494</v>
      </c>
      <c r="Q25" s="24">
        <f t="shared" si="41"/>
        <v>0.41867358280844758</v>
      </c>
      <c r="R25" s="24">
        <f t="shared" si="41"/>
        <v>0.39842141386410435</v>
      </c>
      <c r="S25" s="24">
        <f>S18/S10</f>
        <v>0.43374316939890711</v>
      </c>
      <c r="T25" s="24">
        <f>T18/T10</f>
        <v>0.4522271336280177</v>
      </c>
      <c r="U25" s="24">
        <f>U18/U10</f>
        <v>0.469721767594108</v>
      </c>
      <c r="V25" s="1"/>
      <c r="W25" s="1"/>
      <c r="X25" s="1"/>
      <c r="Y25" s="24">
        <f t="shared" ref="Y25:AM25" si="42">Y18/Y10</f>
        <v>-1.2547528517110267E-2</v>
      </c>
      <c r="Z25" s="24">
        <f>Z18/Z10</f>
        <v>0.19111302847282141</v>
      </c>
      <c r="AA25" s="24">
        <f t="shared" si="42"/>
        <v>0.17817240973773962</v>
      </c>
      <c r="AB25" s="24">
        <f t="shared" si="42"/>
        <v>0.29117766086604613</v>
      </c>
      <c r="AC25" s="24">
        <f>AC18/AC10</f>
        <v>0.40883291947499112</v>
      </c>
      <c r="AD25" s="82">
        <f>AD18/AD10</f>
        <v>0.44296045665571643</v>
      </c>
      <c r="AE25" s="24">
        <f>AE18/AE10</f>
        <v>0.47114092483184467</v>
      </c>
      <c r="AF25" s="24">
        <f>AF18/AF10</f>
        <v>0.47887420677413989</v>
      </c>
      <c r="AG25" s="24">
        <f t="shared" si="42"/>
        <v>0.4798250953529028</v>
      </c>
      <c r="AH25" s="24">
        <f t="shared" si="42"/>
        <v>0.48318336413702989</v>
      </c>
      <c r="AI25" s="24">
        <f t="shared" si="42"/>
        <v>0.48609588168018125</v>
      </c>
      <c r="AJ25" s="24">
        <f t="shared" si="42"/>
        <v>0.48761456877369291</v>
      </c>
      <c r="AK25" s="24">
        <f t="shared" si="42"/>
        <v>0.48710933225807063</v>
      </c>
      <c r="AL25" s="24">
        <f t="shared" si="42"/>
        <v>0.48662028028242876</v>
      </c>
      <c r="AM25" s="24">
        <f t="shared" si="42"/>
        <v>0.48614781395981005</v>
      </c>
      <c r="AO25" s="46" t="s">
        <v>180</v>
      </c>
      <c r="AP25" s="54">
        <f>NPV(AP23,AD20:HF20)</f>
        <v>84823.077071347827</v>
      </c>
    </row>
    <row r="26" spans="1:214" s="24" customFormat="1" x14ac:dyDescent="0.25">
      <c r="A26" s="2"/>
      <c r="B26" s="3"/>
      <c r="C26" s="13" t="s">
        <v>59</v>
      </c>
      <c r="L26" s="24">
        <v>0.13200000000000001</v>
      </c>
      <c r="M26" s="24">
        <v>0.13400000000000001</v>
      </c>
      <c r="N26" s="24">
        <v>0.13100000000000001</v>
      </c>
      <c r="O26" s="24">
        <v>0.13200000000000001</v>
      </c>
      <c r="P26" s="24">
        <v>0.13800000000000001</v>
      </c>
      <c r="Q26" s="24">
        <v>0.14000000000000001</v>
      </c>
      <c r="R26" s="24">
        <v>0.14099999999999999</v>
      </c>
      <c r="S26" s="24">
        <v>0.13700000000000001</v>
      </c>
      <c r="T26" s="24">
        <v>0.13300000000000001</v>
      </c>
      <c r="U26" s="24">
        <v>0.13400000000000001</v>
      </c>
      <c r="AD26" s="82"/>
      <c r="AO26" s="24" t="s">
        <v>2</v>
      </c>
      <c r="AP26" s="2">
        <v>500</v>
      </c>
    </row>
    <row r="27" spans="1:214" s="24" customFormat="1" x14ac:dyDescent="0.25">
      <c r="A27" s="2"/>
      <c r="B27" s="3"/>
      <c r="C27" s="13" t="s">
        <v>60</v>
      </c>
      <c r="L27" s="24">
        <v>0.17199999999999999</v>
      </c>
      <c r="M27" s="24">
        <v>0.17199999999999999</v>
      </c>
      <c r="N27" s="24">
        <v>0.17199999999999999</v>
      </c>
      <c r="O27" s="24">
        <v>0.17199999999999999</v>
      </c>
      <c r="P27" s="24">
        <v>0.17899999999999999</v>
      </c>
      <c r="Q27" s="24">
        <v>0.18</v>
      </c>
      <c r="R27" s="24">
        <v>0.17899999999999999</v>
      </c>
      <c r="S27" s="24">
        <v>0.17499999999999999</v>
      </c>
      <c r="T27" s="24">
        <v>0.17</v>
      </c>
      <c r="U27" s="24">
        <v>0.183</v>
      </c>
      <c r="AD27" s="82"/>
      <c r="AO27" s="24" t="s">
        <v>181</v>
      </c>
      <c r="AP27" s="12">
        <f>AP25/AP26</f>
        <v>169.64615414269565</v>
      </c>
    </row>
    <row r="28" spans="1:214" s="24" customFormat="1" x14ac:dyDescent="0.25">
      <c r="A28" s="2"/>
      <c r="B28" s="3"/>
      <c r="C28" s="13" t="s">
        <v>61</v>
      </c>
      <c r="L28" s="24">
        <f t="shared" ref="L28:Q28" si="43">L6*4/AVERAGE(K47:L47)</f>
        <v>7.6485309441322369E-2</v>
      </c>
      <c r="M28" s="24">
        <f t="shared" si="43"/>
        <v>7.7609516322704936E-2</v>
      </c>
      <c r="N28" s="24">
        <f t="shared" si="43"/>
        <v>7.9472533375861937E-2</v>
      </c>
      <c r="O28" s="24">
        <f t="shared" si="43"/>
        <v>8.2557827117070909E-2</v>
      </c>
      <c r="P28" s="24">
        <f t="shared" si="43"/>
        <v>8.1407148494757026E-2</v>
      </c>
      <c r="Q28" s="24">
        <f t="shared" si="43"/>
        <v>8.1097956245600497E-2</v>
      </c>
      <c r="R28" s="24">
        <f>R6*4/AVERAGE(Q47:R47)</f>
        <v>8.3760578170362587E-2</v>
      </c>
      <c r="S28" s="24">
        <f>S6*4/AVERAGE(R47:S47)</f>
        <v>8.3214556482183469E-2</v>
      </c>
      <c r="T28" s="24">
        <f>T6*4/AVERAGE(S47:T47)</f>
        <v>8.0200353565114915E-2</v>
      </c>
      <c r="U28" s="24">
        <f>U6*4/AVERAGE(T47:U47)</f>
        <v>8.1181621579530447E-2</v>
      </c>
      <c r="V28" s="42"/>
      <c r="W28" s="42"/>
      <c r="Z28" s="42">
        <f>Z6/AVERAGE(Y47:Z47)</f>
        <v>8.4635310498817715E-2</v>
      </c>
      <c r="AA28" s="42">
        <f t="shared" ref="AA28:AG28" si="44">AA6/AVERAGE(Z47:AA47)</f>
        <v>8.0381341231012135E-2</v>
      </c>
      <c r="AB28" s="42">
        <f t="shared" si="44"/>
        <v>7.925173403135112E-2</v>
      </c>
      <c r="AC28" s="42">
        <f t="shared" si="44"/>
        <v>8.2028435797483534E-2</v>
      </c>
      <c r="AD28" s="83">
        <f>AD6/AVERAGE(AC47:AD47)</f>
        <v>7.9630995654067324E-2</v>
      </c>
      <c r="AE28" s="42">
        <f>AE6/AVERAGE(AD47:AE47)</f>
        <v>8.1481067919311256E-2</v>
      </c>
      <c r="AF28" s="42">
        <f t="shared" si="44"/>
        <v>8.1537702564681291E-2</v>
      </c>
      <c r="AG28" s="42">
        <f t="shared" si="44"/>
        <v>8.1273256340428174E-2</v>
      </c>
      <c r="AH28" s="42">
        <f>AH6/AVERAGE(AG47:AH47)</f>
        <v>8.0928419214559011E-2</v>
      </c>
      <c r="AI28" s="42">
        <f t="shared" ref="AI28:AM28" si="45">AI6/AVERAGE(AH47:AI47)</f>
        <v>8.127747488095656E-2</v>
      </c>
      <c r="AJ28" s="42">
        <f t="shared" si="45"/>
        <v>8.2094680484222846E-2</v>
      </c>
      <c r="AK28" s="42">
        <f t="shared" si="45"/>
        <v>8.2094680484222846E-2</v>
      </c>
      <c r="AL28" s="42">
        <f t="shared" si="45"/>
        <v>8.2094680484222846E-2</v>
      </c>
      <c r="AM28" s="42">
        <f t="shared" si="45"/>
        <v>8.2094680484222846E-2</v>
      </c>
      <c r="AO28" s="23" t="s">
        <v>182</v>
      </c>
      <c r="AP28" s="23">
        <f>(AP27-B4)/B4</f>
        <v>0.97262969933367038</v>
      </c>
    </row>
    <row r="29" spans="1:214" s="23" customFormat="1" x14ac:dyDescent="0.25">
      <c r="A29" s="1"/>
      <c r="B29" s="20"/>
      <c r="C29" s="14" t="s">
        <v>62</v>
      </c>
      <c r="L29" s="23">
        <v>0.27700000000000002</v>
      </c>
      <c r="M29" s="23">
        <v>0.27800000000000002</v>
      </c>
      <c r="N29" s="23">
        <v>0.27600000000000002</v>
      </c>
      <c r="O29" s="23">
        <v>0.27700000000000002</v>
      </c>
      <c r="P29" s="23">
        <v>0.23</v>
      </c>
      <c r="Q29" s="23">
        <v>0.23300000000000001</v>
      </c>
      <c r="R29" s="23">
        <v>0.27600000000000002</v>
      </c>
      <c r="S29" s="23">
        <v>0.23699999999999999</v>
      </c>
      <c r="T29" s="23">
        <v>0.22600000000000001</v>
      </c>
      <c r="U29" s="23">
        <v>0.23</v>
      </c>
      <c r="W29" s="43"/>
      <c r="Y29" s="23">
        <f>-SUM(Y11:Y13)/Y10</f>
        <v>0.62737642585551334</v>
      </c>
      <c r="Z29" s="23">
        <f t="shared" ref="Z29:AM29" si="46">-SUM(Z11:Z13)/Z10</f>
        <v>0.46016681046879493</v>
      </c>
      <c r="AA29" s="23">
        <f t="shared" si="46"/>
        <v>0.34634834764200872</v>
      </c>
      <c r="AB29" s="23">
        <f>-SUM(AB11:AB13)/AB10</f>
        <v>0.2754957507082153</v>
      </c>
      <c r="AC29" s="23">
        <f>-SUM(AC11:AC13)/AC10</f>
        <v>0.24459028024122029</v>
      </c>
      <c r="AD29" s="81">
        <f>-SUM(AD11:AD13)/AD10</f>
        <v>0.23633528357722691</v>
      </c>
      <c r="AE29" s="23">
        <f>-SUM(AE11:AE13)/AE10</f>
        <v>0.20704154417710793</v>
      </c>
      <c r="AF29" s="23">
        <f t="shared" si="46"/>
        <v>0.19098256352876</v>
      </c>
      <c r="AG29" s="23">
        <f t="shared" si="46"/>
        <v>0.18880137378114603</v>
      </c>
      <c r="AH29" s="23">
        <f t="shared" si="46"/>
        <v>0.18678001080905265</v>
      </c>
      <c r="AI29" s="23">
        <f t="shared" si="46"/>
        <v>0.1849042018326259</v>
      </c>
      <c r="AJ29" s="23">
        <f t="shared" si="46"/>
        <v>0.18351449900748654</v>
      </c>
      <c r="AK29" s="23">
        <f t="shared" si="46"/>
        <v>0.18388073664163004</v>
      </c>
      <c r="AL29" s="23">
        <f t="shared" si="46"/>
        <v>0.18422499594261627</v>
      </c>
      <c r="AM29" s="23">
        <f t="shared" si="46"/>
        <v>0.18454851848765344</v>
      </c>
    </row>
    <row r="30" spans="1:214" s="24" customFormat="1" x14ac:dyDescent="0.25">
      <c r="A30" s="2"/>
      <c r="B30" s="3"/>
      <c r="C30" s="13" t="s">
        <v>63</v>
      </c>
      <c r="L30" s="24">
        <v>3.6999999999999998E-2</v>
      </c>
      <c r="M30" s="24">
        <v>3.2000000000000001E-2</v>
      </c>
      <c r="N30" s="24">
        <v>3.3000000000000002E-2</v>
      </c>
      <c r="O30" s="24">
        <v>3.6999999999999998E-2</v>
      </c>
      <c r="P30" s="24">
        <v>3.3000000000000002E-2</v>
      </c>
      <c r="Q30" s="24">
        <v>2.9000000000000001E-2</v>
      </c>
      <c r="R30" s="24">
        <v>2.8000000000000001E-2</v>
      </c>
      <c r="S30" s="24">
        <v>2.8000000000000001E-2</v>
      </c>
      <c r="T30" s="24">
        <v>2.7E-2</v>
      </c>
      <c r="U30" s="24">
        <v>2.5000000000000001E-2</v>
      </c>
      <c r="Z30" s="24">
        <f>-Z15/AVERAGE(Y47:Z47)</f>
        <v>3.0419538751983541E-2</v>
      </c>
      <c r="AA30" s="24">
        <f t="shared" ref="Z30:AB30" si="47">-AA15/AVERAGE(Z47:AA47)</f>
        <v>3.9290616813407279E-2</v>
      </c>
      <c r="AB30" s="24">
        <f t="shared" si="47"/>
        <v>3.5375518504150168E-2</v>
      </c>
      <c r="AC30" s="24">
        <f>-AC15/AVERAGE(AB47:AC47)</f>
        <v>2.9440513417630817E-2</v>
      </c>
      <c r="AD30" s="82">
        <f>-AD15/AVERAGE(AC47:AD47)</f>
        <v>2.5996588417588059E-2</v>
      </c>
      <c r="AE30" s="24">
        <f t="shared" ref="AE30:AL30" si="48">-AE15/AVERAGE(AD47:AE47)</f>
        <v>2.665928980330665E-2</v>
      </c>
      <c r="AF30" s="24">
        <f t="shared" si="48"/>
        <v>2.737337792303807E-2</v>
      </c>
      <c r="AG30" s="24">
        <f t="shared" si="48"/>
        <v>2.7373377923038074E-2</v>
      </c>
      <c r="AH30" s="24">
        <f t="shared" si="48"/>
        <v>2.7128972763010944E-2</v>
      </c>
      <c r="AI30" s="24">
        <f t="shared" si="48"/>
        <v>2.714281407564513E-2</v>
      </c>
      <c r="AJ30" s="24">
        <f t="shared" si="48"/>
        <v>2.7389566930878271E-2</v>
      </c>
      <c r="AK30" s="24">
        <f t="shared" si="48"/>
        <v>2.7389566930878267E-2</v>
      </c>
      <c r="AL30" s="24">
        <f t="shared" si="48"/>
        <v>2.7389566930878267E-2</v>
      </c>
      <c r="AM30" s="24">
        <f>-AM15/AVERAGE(AL47:AM47)</f>
        <v>2.7389566930878267E-2</v>
      </c>
    </row>
    <row r="31" spans="1:214" s="24" customFormat="1" x14ac:dyDescent="0.25">
      <c r="A31" s="2"/>
      <c r="B31" s="3"/>
      <c r="C31" s="13" t="s">
        <v>37</v>
      </c>
      <c r="L31" s="24">
        <v>0.186</v>
      </c>
      <c r="M31" s="24">
        <v>0.187</v>
      </c>
      <c r="N31" s="24">
        <v>0.185</v>
      </c>
      <c r="O31" s="24">
        <v>0.186</v>
      </c>
      <c r="P31" s="24">
        <v>0.23899999999999999</v>
      </c>
      <c r="Q31" s="24">
        <v>0.245</v>
      </c>
      <c r="R31" s="24">
        <v>0.23699999999999999</v>
      </c>
      <c r="S31" s="24">
        <v>0.249</v>
      </c>
      <c r="T31" s="24">
        <v>0.23400000000000001</v>
      </c>
      <c r="U31" s="24">
        <v>0.26900000000000002</v>
      </c>
      <c r="Y31" s="24">
        <v>-1.0999999999999999E-2</v>
      </c>
      <c r="Z31" s="24">
        <v>0.10199999999999999</v>
      </c>
      <c r="AA31" s="24">
        <v>0.107</v>
      </c>
      <c r="AB31" s="24">
        <v>0.17499999999999999</v>
      </c>
      <c r="AC31" s="24">
        <v>0.24199999999999999</v>
      </c>
      <c r="AD31" s="82"/>
    </row>
    <row r="32" spans="1:214" s="24" customFormat="1" x14ac:dyDescent="0.25">
      <c r="A32" s="2"/>
      <c r="B32" s="3"/>
      <c r="C32" s="13" t="s">
        <v>137</v>
      </c>
      <c r="L32" s="24">
        <f t="shared" ref="L32:T32" si="49">(L20*4)/AVERAGE(K74:L74)</f>
        <v>7.881102381357788E-2</v>
      </c>
      <c r="M32" s="24">
        <f t="shared" si="49"/>
        <v>0.10800205540243846</v>
      </c>
      <c r="N32" s="24">
        <f t="shared" si="49"/>
        <v>0.1089654226752291</v>
      </c>
      <c r="O32" s="24">
        <f t="shared" si="49"/>
        <v>0.11139670548266691</v>
      </c>
      <c r="P32" s="24">
        <f t="shared" si="49"/>
        <v>0.14289133036005655</v>
      </c>
      <c r="Q32" s="24">
        <f t="shared" si="49"/>
        <v>0.14958977294409465</v>
      </c>
      <c r="R32" s="24">
        <f t="shared" si="49"/>
        <v>0.14850407605905666</v>
      </c>
      <c r="S32" s="24">
        <f t="shared" si="49"/>
        <v>0.15727432935187</v>
      </c>
      <c r="T32" s="24">
        <f t="shared" si="49"/>
        <v>0.14877994511607209</v>
      </c>
      <c r="U32" s="24">
        <f>(U20*4)/AVERAGE(T74:U74)</f>
        <v>0.15970334635393227</v>
      </c>
      <c r="Y32" s="24">
        <f t="shared" ref="Y32:AB32" si="50">Y20/Y74</f>
        <v>-1.2135282013401572E-3</v>
      </c>
      <c r="Z32" s="24">
        <f t="shared" si="50"/>
        <v>4.9255846917080084E-2</v>
      </c>
      <c r="AA32" s="24">
        <f t="shared" si="50"/>
        <v>5.9376719523785704E-2</v>
      </c>
      <c r="AB32" s="24">
        <f t="shared" si="50"/>
        <v>9.7098509568745037E-2</v>
      </c>
      <c r="AC32" s="24">
        <f>AC20/AC74</f>
        <v>0.13754618519788214</v>
      </c>
      <c r="AD32" s="82"/>
    </row>
    <row r="33" spans="1:39" s="24" customFormat="1" x14ac:dyDescent="0.25">
      <c r="A33" s="2"/>
      <c r="B33" s="3"/>
      <c r="C33" s="13"/>
      <c r="AD33" s="82"/>
    </row>
    <row r="34" spans="1:39" x14ac:dyDescent="0.25">
      <c r="A34" s="15"/>
      <c r="B34" s="18"/>
      <c r="C34" s="15" t="s">
        <v>170</v>
      </c>
      <c r="D34" s="15"/>
      <c r="E34" s="15"/>
      <c r="F34" s="15"/>
      <c r="G34" s="15">
        <v>71148</v>
      </c>
      <c r="H34" s="15"/>
      <c r="I34" s="15">
        <v>80815</v>
      </c>
      <c r="J34" s="15">
        <v>85086</v>
      </c>
      <c r="K34" s="15">
        <v>87643</v>
      </c>
      <c r="L34" s="15">
        <v>91174</v>
      </c>
      <c r="M34" s="15">
        <v>93145</v>
      </c>
      <c r="N34" s="15">
        <v>96255</v>
      </c>
      <c r="O34" s="15">
        <v>99296</v>
      </c>
      <c r="P34" s="15">
        <v>97219</v>
      </c>
      <c r="Q34" s="15">
        <v>100878</v>
      </c>
      <c r="R34" s="15">
        <v>103581</v>
      </c>
      <c r="S34" s="15">
        <v>104237</v>
      </c>
      <c r="T34" s="15">
        <v>109709</v>
      </c>
      <c r="U34" s="15">
        <v>112782</v>
      </c>
      <c r="V34" s="15"/>
      <c r="W34" s="15"/>
      <c r="X34" s="15"/>
      <c r="Z34" s="15">
        <v>71148</v>
      </c>
      <c r="AA34" s="15">
        <v>87643</v>
      </c>
      <c r="AB34" s="15">
        <v>99296</v>
      </c>
      <c r="AC34" s="15">
        <v>104237</v>
      </c>
    </row>
    <row r="35" spans="1:39" s="51" customFormat="1" x14ac:dyDescent="0.25">
      <c r="A35" s="6"/>
      <c r="B35" s="25"/>
      <c r="C35" s="19" t="s">
        <v>136</v>
      </c>
      <c r="K35" s="51">
        <f t="shared" ref="K35:T35" si="51">(K34-G34)/G34</f>
        <v>0.23184067015235846</v>
      </c>
      <c r="M35" s="51">
        <f>(M34-I34)/I34</f>
        <v>0.15257068613499969</v>
      </c>
      <c r="N35" s="51">
        <f t="shared" si="51"/>
        <v>0.13126718849164376</v>
      </c>
      <c r="O35" s="51">
        <f t="shared" si="51"/>
        <v>0.1329598484762046</v>
      </c>
      <c r="P35" s="51">
        <f t="shared" si="51"/>
        <v>6.6301796564810139E-2</v>
      </c>
      <c r="Q35" s="51">
        <f t="shared" si="51"/>
        <v>8.3021096140426215E-2</v>
      </c>
      <c r="R35" s="51">
        <f t="shared" si="51"/>
        <v>7.6110331930808794E-2</v>
      </c>
      <c r="S35" s="51">
        <f t="shared" si="51"/>
        <v>4.976031260070899E-2</v>
      </c>
      <c r="T35" s="51">
        <f t="shared" si="51"/>
        <v>0.12847282938520249</v>
      </c>
      <c r="U35" s="51">
        <f>(U34-Q34)/Q34</f>
        <v>0.11800392553381311</v>
      </c>
      <c r="AA35" s="51">
        <f>(AA34-Z34)/Z34</f>
        <v>0.23184067015235846</v>
      </c>
      <c r="AB35" s="51">
        <f>(AB34-AA34)/AA34</f>
        <v>0.1329598484762046</v>
      </c>
      <c r="AC35" s="51">
        <f>(AC34-AB34)/AB34</f>
        <v>4.976031260070899E-2</v>
      </c>
      <c r="AD35" s="84"/>
    </row>
    <row r="36" spans="1:39" s="51" customFormat="1" x14ac:dyDescent="0.25">
      <c r="A36" s="6"/>
      <c r="B36" s="25"/>
      <c r="C36" s="19" t="s">
        <v>194</v>
      </c>
      <c r="K36" s="51">
        <f t="shared" ref="K36:T36" si="52">K34/K47</f>
        <v>0.79587907846823036</v>
      </c>
      <c r="L36" s="51">
        <f t="shared" si="52"/>
        <v>0.79666215212547509</v>
      </c>
      <c r="M36" s="51">
        <f t="shared" si="52"/>
        <v>0.79561470193810702</v>
      </c>
      <c r="N36" s="51">
        <f t="shared" si="52"/>
        <v>0.79419627386590541</v>
      </c>
      <c r="O36" s="51">
        <f t="shared" si="52"/>
        <v>0.79789148881460525</v>
      </c>
      <c r="P36" s="51">
        <f t="shared" si="52"/>
        <v>0.78475832230150788</v>
      </c>
      <c r="Q36" s="51">
        <f t="shared" si="52"/>
        <v>0.79079684866538624</v>
      </c>
      <c r="R36" s="51">
        <f t="shared" si="52"/>
        <v>0.78793388052548707</v>
      </c>
      <c r="S36" s="51">
        <f t="shared" si="52"/>
        <v>0.78763950703107877</v>
      </c>
      <c r="T36" s="51">
        <f t="shared" si="52"/>
        <v>0.78825828609201098</v>
      </c>
      <c r="U36" s="51">
        <f>U34/U47</f>
        <v>0.78677065602589502</v>
      </c>
      <c r="AA36" s="51">
        <f t="shared" ref="AA36:AB36" si="53">AA34/AA47</f>
        <v>0.79587907846823036</v>
      </c>
      <c r="AB36" s="51">
        <f t="shared" si="53"/>
        <v>0.79789148881460525</v>
      </c>
      <c r="AC36" s="51">
        <f>AC34/AC47</f>
        <v>0.78763950703107877</v>
      </c>
      <c r="AD36" s="84"/>
    </row>
    <row r="37" spans="1:39" s="24" customFormat="1" x14ac:dyDescent="0.25">
      <c r="A37" s="2"/>
      <c r="B37" s="3"/>
      <c r="C37" s="13"/>
      <c r="AD37" s="82"/>
    </row>
    <row r="38" spans="1:39" s="24" customFormat="1" x14ac:dyDescent="0.25">
      <c r="A38" s="2"/>
      <c r="B38" s="3"/>
      <c r="C38" s="13" t="s">
        <v>134</v>
      </c>
      <c r="K38" s="24">
        <f t="shared" ref="K38:R38" si="54">(K15-G15)/G15</f>
        <v>0.33216374269005849</v>
      </c>
      <c r="N38" s="24">
        <f t="shared" si="54"/>
        <v>-0.10859728506787331</v>
      </c>
      <c r="O38" s="24">
        <f t="shared" si="54"/>
        <v>1.7559262510974539E-3</v>
      </c>
      <c r="P38" s="24">
        <f t="shared" si="54"/>
        <v>-6.2328139321723187E-2</v>
      </c>
      <c r="Q38" s="24">
        <f t="shared" si="54"/>
        <v>-2.4678111587982832E-2</v>
      </c>
      <c r="R38" s="24">
        <f t="shared" si="54"/>
        <v>-6.8020304568527923E-2</v>
      </c>
      <c r="S38" s="24">
        <f>(S15-O15)/O15</f>
        <v>-0.18492550394390886</v>
      </c>
      <c r="T38" s="24">
        <f>(T15-P15)/P15</f>
        <v>-0.10752688172043011</v>
      </c>
      <c r="U38" s="24">
        <f>(U15-Q15)/Q15</f>
        <v>-2.8602860286028604E-2</v>
      </c>
      <c r="AD38" s="82"/>
    </row>
    <row r="39" spans="1:39" s="24" customFormat="1" x14ac:dyDescent="0.25">
      <c r="A39" s="2"/>
      <c r="B39" s="3"/>
      <c r="C39" s="13"/>
      <c r="AD39" s="82"/>
    </row>
    <row r="40" spans="1:39" s="24" customFormat="1" x14ac:dyDescent="0.25">
      <c r="A40" s="2"/>
      <c r="B40" s="3"/>
      <c r="C40" s="13" t="s">
        <v>135</v>
      </c>
      <c r="O40" s="24">
        <f t="shared" ref="O40:T40" si="55">(O47-K47)/K47</f>
        <v>0.13010234196928833</v>
      </c>
      <c r="P40" s="24">
        <f t="shared" si="55"/>
        <v>8.2476298658744382E-2</v>
      </c>
      <c r="Q40" s="24">
        <f t="shared" si="55"/>
        <v>8.9619297361475322E-2</v>
      </c>
      <c r="R40" s="24">
        <f t="shared" si="55"/>
        <v>8.4663113252693933E-2</v>
      </c>
      <c r="S40" s="24">
        <f t="shared" si="55"/>
        <v>6.3424080740550268E-2</v>
      </c>
      <c r="T40" s="24">
        <f t="shared" si="55"/>
        <v>0.12346227115688871</v>
      </c>
      <c r="U40" s="24">
        <f>(U47-Q47)/Q47</f>
        <v>0.12372515972249441</v>
      </c>
      <c r="Z40" s="24">
        <f t="shared" ref="Z40:AB40" si="56">(Z47-Y47)/Y47</f>
        <v>0.25572643284616797</v>
      </c>
      <c r="AA40" s="24">
        <f t="shared" si="56"/>
        <v>0.24071612060029746</v>
      </c>
      <c r="AB40" s="24">
        <f t="shared" si="56"/>
        <v>0.13010234196928833</v>
      </c>
      <c r="AC40" s="24">
        <f>(AC47-AB47)/AB47</f>
        <v>6.3424080740550268E-2</v>
      </c>
      <c r="AD40" s="82">
        <f t="shared" ref="AD40:AM40" si="57">(AD47-AC47)/AC47</f>
        <v>0.123</v>
      </c>
      <c r="AE40" s="24">
        <f t="shared" si="57"/>
        <v>0.12000000000000008</v>
      </c>
      <c r="AF40" s="24">
        <f t="shared" si="57"/>
        <v>0.12000000000000018</v>
      </c>
      <c r="AG40" s="24">
        <f t="shared" si="57"/>
        <v>0.12000000000000008</v>
      </c>
      <c r="AH40" s="24">
        <f t="shared" si="57"/>
        <v>0.12000000000000012</v>
      </c>
      <c r="AI40" s="24">
        <f t="shared" si="57"/>
        <v>0.1000000000000001</v>
      </c>
      <c r="AJ40" s="24">
        <f t="shared" si="57"/>
        <v>0.10000000000000014</v>
      </c>
      <c r="AK40" s="24">
        <f t="shared" si="57"/>
        <v>0.10000000000000012</v>
      </c>
      <c r="AL40" s="24">
        <f t="shared" si="57"/>
        <v>0.10000000000000003</v>
      </c>
      <c r="AM40" s="24">
        <f t="shared" si="57"/>
        <v>0.1000000000000001</v>
      </c>
    </row>
    <row r="41" spans="1:39" s="24" customFormat="1" x14ac:dyDescent="0.25">
      <c r="A41" s="2"/>
      <c r="B41" s="3"/>
      <c r="C41" s="13"/>
      <c r="AD41" s="82"/>
    </row>
    <row r="42" spans="1:39" s="2" customFormat="1" x14ac:dyDescent="0.25">
      <c r="B42" s="3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AD42" s="3"/>
    </row>
    <row r="43" spans="1:39" s="2" customFormat="1" x14ac:dyDescent="0.25">
      <c r="B43" s="3"/>
      <c r="C43" s="1" t="s">
        <v>39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AD43" s="3"/>
    </row>
    <row r="44" spans="1:39" x14ac:dyDescent="0.25">
      <c r="C44" s="2" t="s">
        <v>64</v>
      </c>
      <c r="D44" s="15"/>
      <c r="E44" s="15"/>
      <c r="F44" s="15"/>
      <c r="G44" s="15"/>
      <c r="H44" s="15"/>
      <c r="I44" s="15"/>
      <c r="J44" s="15"/>
      <c r="K44" s="15">
        <v>1173</v>
      </c>
      <c r="L44" s="15">
        <v>1435</v>
      </c>
      <c r="M44" s="15">
        <v>3401</v>
      </c>
      <c r="N44" s="15">
        <v>2325</v>
      </c>
      <c r="O44" s="15">
        <v>9309</v>
      </c>
      <c r="P44" s="15">
        <v>5278</v>
      </c>
      <c r="Q44" s="15">
        <v>500</v>
      </c>
      <c r="R44" s="15">
        <v>400</v>
      </c>
      <c r="S44" s="15">
        <v>1146</v>
      </c>
      <c r="T44" s="15">
        <v>368</v>
      </c>
      <c r="U44" s="15">
        <v>450</v>
      </c>
      <c r="V44" s="15"/>
      <c r="W44" s="15"/>
      <c r="Y44" s="15">
        <v>1924</v>
      </c>
      <c r="Z44" s="15">
        <v>3723</v>
      </c>
      <c r="AA44" s="15">
        <v>1173</v>
      </c>
      <c r="AB44" s="15">
        <v>9309</v>
      </c>
      <c r="AC44" s="15">
        <v>1146</v>
      </c>
    </row>
    <row r="45" spans="1:39" x14ac:dyDescent="0.25">
      <c r="C45" s="2" t="s">
        <v>65</v>
      </c>
      <c r="D45" s="15"/>
      <c r="E45" s="15"/>
      <c r="F45" s="15"/>
      <c r="G45" s="15"/>
      <c r="H45" s="15"/>
      <c r="I45" s="15"/>
      <c r="J45" s="15"/>
      <c r="K45" s="15">
        <v>1200</v>
      </c>
      <c r="L45" s="15">
        <v>4998</v>
      </c>
      <c r="M45" s="15">
        <v>1999</v>
      </c>
      <c r="N45" s="15">
        <v>330</v>
      </c>
      <c r="O45" s="15">
        <v>1643</v>
      </c>
      <c r="P45" s="15">
        <v>1787</v>
      </c>
      <c r="Q45" s="15">
        <v>1584</v>
      </c>
      <c r="R45" s="15">
        <v>1810</v>
      </c>
      <c r="S45" s="15">
        <v>1698</v>
      </c>
      <c r="T45" s="15">
        <v>1584</v>
      </c>
      <c r="U45" s="15">
        <v>1743</v>
      </c>
      <c r="V45" s="15"/>
      <c r="W45" s="15"/>
      <c r="AA45" s="15">
        <v>1200</v>
      </c>
      <c r="AB45" s="15">
        <v>1643</v>
      </c>
      <c r="AC45" s="15">
        <v>1698</v>
      </c>
    </row>
    <row r="46" spans="1:39" x14ac:dyDescent="0.25">
      <c r="C46" s="2" t="s">
        <v>66</v>
      </c>
      <c r="D46" s="15"/>
      <c r="E46" s="15"/>
      <c r="F46" s="15"/>
      <c r="G46" s="15"/>
      <c r="H46" s="15"/>
      <c r="I46" s="15"/>
      <c r="J46" s="15"/>
      <c r="K46" s="15">
        <v>3165</v>
      </c>
      <c r="L46" s="15">
        <v>3415</v>
      </c>
      <c r="M46" s="15">
        <v>2149</v>
      </c>
      <c r="N46" s="15">
        <v>2107</v>
      </c>
      <c r="O46" s="15">
        <v>2768</v>
      </c>
      <c r="P46" s="15">
        <v>2002</v>
      </c>
      <c r="Q46" s="15">
        <v>7564</v>
      </c>
      <c r="R46" s="15">
        <v>6846</v>
      </c>
      <c r="S46" s="15">
        <v>5339</v>
      </c>
      <c r="T46" s="15">
        <v>5729</v>
      </c>
      <c r="U46" s="15">
        <v>6814</v>
      </c>
      <c r="V46" s="15"/>
      <c r="W46" s="15"/>
      <c r="Y46" s="15">
        <v>3080</v>
      </c>
      <c r="Z46" s="15">
        <v>3332</v>
      </c>
      <c r="AA46" s="15">
        <v>3165</v>
      </c>
      <c r="AB46" s="15">
        <v>2768</v>
      </c>
      <c r="AC46" s="15">
        <v>5339</v>
      </c>
    </row>
    <row r="47" spans="1:39" x14ac:dyDescent="0.25">
      <c r="C47" s="2" t="s">
        <v>67</v>
      </c>
      <c r="D47" s="15"/>
      <c r="E47" s="15"/>
      <c r="F47" s="15"/>
      <c r="G47" s="15"/>
      <c r="H47" s="15"/>
      <c r="I47" s="15"/>
      <c r="J47" s="15"/>
      <c r="K47" s="15">
        <v>110121</v>
      </c>
      <c r="L47" s="15">
        <v>114445</v>
      </c>
      <c r="M47" s="15">
        <v>117073</v>
      </c>
      <c r="N47" s="15">
        <v>121198</v>
      </c>
      <c r="O47" s="15">
        <v>124448</v>
      </c>
      <c r="P47" s="15">
        <v>123884</v>
      </c>
      <c r="Q47" s="15">
        <v>127565</v>
      </c>
      <c r="R47" s="15">
        <v>131459</v>
      </c>
      <c r="S47" s="15">
        <v>132341</v>
      </c>
      <c r="T47" s="15">
        <v>139179</v>
      </c>
      <c r="U47" s="15">
        <v>143348</v>
      </c>
      <c r="V47" s="15"/>
      <c r="W47" s="15"/>
      <c r="Y47" s="15">
        <v>70681</v>
      </c>
      <c r="Z47" s="15">
        <v>88756</v>
      </c>
      <c r="AA47" s="15">
        <v>110121</v>
      </c>
      <c r="AB47" s="15">
        <v>124448</v>
      </c>
      <c r="AC47" s="15">
        <v>132341</v>
      </c>
      <c r="AD47" s="18">
        <f>AC47*1.123</f>
        <v>148618.943</v>
      </c>
      <c r="AE47" s="15">
        <f>AD47*1.12</f>
        <v>166453.21616000001</v>
      </c>
      <c r="AF47" s="15">
        <f t="shared" ref="AF47:AH47" si="58">AE47*1.12</f>
        <v>186427.60209920004</v>
      </c>
      <c r="AG47" s="15">
        <f t="shared" si="58"/>
        <v>208798.91435110406</v>
      </c>
      <c r="AH47" s="15">
        <f t="shared" si="58"/>
        <v>233854.78407323657</v>
      </c>
      <c r="AI47" s="15">
        <f>AH47*1.1</f>
        <v>257240.26248056025</v>
      </c>
      <c r="AJ47" s="15">
        <f t="shared" ref="AJ47:AM47" si="59">AI47*1.1</f>
        <v>282964.28872861632</v>
      </c>
      <c r="AK47" s="15">
        <f t="shared" si="59"/>
        <v>311260.71760147798</v>
      </c>
      <c r="AL47" s="15">
        <f t="shared" si="59"/>
        <v>342386.78936162579</v>
      </c>
      <c r="AM47" s="15">
        <f t="shared" si="59"/>
        <v>376625.46829778841</v>
      </c>
    </row>
    <row r="48" spans="1:39" x14ac:dyDescent="0.25">
      <c r="C48" s="2" t="s">
        <v>68</v>
      </c>
      <c r="D48" s="15"/>
      <c r="E48" s="15"/>
      <c r="F48" s="15"/>
      <c r="G48" s="15"/>
      <c r="H48" s="15"/>
      <c r="I48" s="15"/>
      <c r="J48" s="15"/>
      <c r="K48" s="15">
        <v>13172</v>
      </c>
      <c r="L48" s="15">
        <v>14577</v>
      </c>
      <c r="M48" s="15">
        <v>15256</v>
      </c>
      <c r="N48" s="15">
        <v>15893</v>
      </c>
      <c r="O48" s="15">
        <v>12190</v>
      </c>
      <c r="P48" s="15">
        <v>15744</v>
      </c>
      <c r="Q48" s="15">
        <v>16316</v>
      </c>
      <c r="R48" s="15">
        <v>17110</v>
      </c>
      <c r="S48" s="15">
        <v>13557</v>
      </c>
      <c r="T48" s="15">
        <v>14244</v>
      </c>
      <c r="U48" s="15">
        <v>14145</v>
      </c>
      <c r="V48" s="15"/>
      <c r="W48" s="15"/>
      <c r="Y48" s="15">
        <v>23318</v>
      </c>
      <c r="Z48" s="15">
        <v>13608</v>
      </c>
      <c r="AA48" s="15">
        <v>13172</v>
      </c>
      <c r="AB48" s="15">
        <v>12190</v>
      </c>
      <c r="AC48" s="15">
        <v>13557</v>
      </c>
    </row>
    <row r="49" spans="1:31" x14ac:dyDescent="0.25">
      <c r="C49" s="2" t="s">
        <v>69</v>
      </c>
      <c r="D49" s="15"/>
      <c r="E49" s="15"/>
      <c r="F49" s="15"/>
      <c r="G49" s="15"/>
      <c r="H49" s="15"/>
      <c r="I49" s="15"/>
      <c r="J49" s="15"/>
      <c r="K49" s="15">
        <v>150</v>
      </c>
      <c r="L49" s="15">
        <v>152</v>
      </c>
      <c r="M49" s="15">
        <v>153</v>
      </c>
      <c r="N49" s="15">
        <v>113</v>
      </c>
      <c r="O49" s="15">
        <v>102</v>
      </c>
      <c r="P49" s="15">
        <v>93</v>
      </c>
      <c r="Q49" s="15">
        <v>62</v>
      </c>
      <c r="R49" s="15">
        <v>63</v>
      </c>
      <c r="S49" s="15">
        <v>7</v>
      </c>
      <c r="T49" s="15">
        <v>8</v>
      </c>
      <c r="U49" s="15">
        <v>8</v>
      </c>
      <c r="V49" s="15"/>
      <c r="W49" s="15"/>
      <c r="Y49" s="15">
        <v>154</v>
      </c>
      <c r="Z49" s="15">
        <v>168</v>
      </c>
      <c r="AA49" s="15">
        <v>150</v>
      </c>
      <c r="AB49" s="15">
        <v>102</v>
      </c>
      <c r="AC49" s="15">
        <v>7</v>
      </c>
    </row>
    <row r="50" spans="1:31" x14ac:dyDescent="0.25">
      <c r="C50" s="2" t="s">
        <v>70</v>
      </c>
      <c r="D50" s="15"/>
      <c r="E50" s="15"/>
      <c r="F50" s="15"/>
      <c r="G50" s="15"/>
      <c r="H50" s="15"/>
      <c r="I50" s="15"/>
      <c r="J50" s="15"/>
      <c r="K50" s="15">
        <v>324</v>
      </c>
      <c r="L50" s="15">
        <v>509</v>
      </c>
      <c r="M50" s="15">
        <v>262</v>
      </c>
      <c r="N50" s="15">
        <v>393</v>
      </c>
      <c r="O50" s="15">
        <v>255</v>
      </c>
      <c r="P50" s="15">
        <v>338</v>
      </c>
      <c r="Q50" s="15">
        <v>711</v>
      </c>
      <c r="R50" s="15">
        <v>214</v>
      </c>
      <c r="S50" s="15">
        <v>452</v>
      </c>
      <c r="T50" s="15">
        <v>606</v>
      </c>
      <c r="U50" s="15">
        <v>788</v>
      </c>
      <c r="V50" s="15"/>
      <c r="W50" s="15"/>
      <c r="Y50" s="15">
        <v>140</v>
      </c>
      <c r="Z50" s="15">
        <v>419</v>
      </c>
      <c r="AA50" s="15">
        <v>324</v>
      </c>
      <c r="AB50" s="15">
        <v>255</v>
      </c>
      <c r="AC50" s="15">
        <v>452</v>
      </c>
    </row>
    <row r="51" spans="1:31" x14ac:dyDescent="0.25">
      <c r="C51" s="2" t="s">
        <v>71</v>
      </c>
      <c r="D51" s="15"/>
      <c r="E51" s="15"/>
      <c r="F51" s="15"/>
      <c r="G51" s="15"/>
      <c r="H51" s="15"/>
      <c r="I51" s="15"/>
      <c r="J51" s="15"/>
      <c r="K51" s="15">
        <v>8208</v>
      </c>
      <c r="L51" s="15">
        <v>8135</v>
      </c>
      <c r="M51" s="15">
        <v>8178</v>
      </c>
      <c r="N51" s="15">
        <v>7919</v>
      </c>
      <c r="O51" s="15">
        <v>7965</v>
      </c>
      <c r="P51" s="15">
        <v>7851</v>
      </c>
      <c r="Q51" s="15">
        <v>7752</v>
      </c>
      <c r="R51" s="15">
        <v>7781</v>
      </c>
      <c r="S51" s="15">
        <v>7587</v>
      </c>
      <c r="T51" s="15">
        <v>8182</v>
      </c>
      <c r="U51" s="15">
        <v>8212</v>
      </c>
      <c r="V51" s="15"/>
      <c r="W51" s="15"/>
      <c r="Y51" s="15">
        <v>9044</v>
      </c>
      <c r="Z51" s="15">
        <v>8892</v>
      </c>
      <c r="AA51" s="15">
        <v>8208</v>
      </c>
      <c r="AB51" s="15">
        <v>7965</v>
      </c>
      <c r="AC51" s="15">
        <v>7587</v>
      </c>
    </row>
    <row r="52" spans="1:31" x14ac:dyDescent="0.25">
      <c r="C52" s="2" t="s">
        <v>75</v>
      </c>
      <c r="D52" s="15"/>
      <c r="E52" s="15"/>
      <c r="F52" s="15"/>
      <c r="G52" s="15"/>
      <c r="H52" s="15"/>
      <c r="I52" s="15"/>
      <c r="J52" s="15"/>
      <c r="K52" s="15">
        <v>62</v>
      </c>
      <c r="L52" s="15">
        <v>56</v>
      </c>
      <c r="M52" s="15">
        <v>56</v>
      </c>
      <c r="N52" s="15">
        <v>95</v>
      </c>
      <c r="O52" s="15">
        <v>91</v>
      </c>
      <c r="P52" s="15">
        <v>87</v>
      </c>
      <c r="Q52" s="15">
        <v>184</v>
      </c>
      <c r="R52" s="15">
        <v>176</v>
      </c>
      <c r="S52" s="15">
        <v>168</v>
      </c>
      <c r="T52" s="15">
        <v>162</v>
      </c>
      <c r="U52" s="15">
        <v>160</v>
      </c>
      <c r="V52" s="15"/>
      <c r="W52" s="15"/>
      <c r="Y52" s="15">
        <v>93</v>
      </c>
      <c r="Z52" s="15">
        <v>77</v>
      </c>
      <c r="AA52" s="15">
        <v>62</v>
      </c>
      <c r="AB52" s="15">
        <v>91</v>
      </c>
      <c r="AC52" s="15">
        <v>168</v>
      </c>
    </row>
    <row r="53" spans="1:31" x14ac:dyDescent="0.25">
      <c r="C53" s="2" t="s">
        <v>76</v>
      </c>
      <c r="D53" s="15"/>
      <c r="E53" s="15"/>
      <c r="F53" s="15"/>
      <c r="G53" s="15"/>
      <c r="H53" s="15"/>
      <c r="I53" s="15"/>
      <c r="J53" s="15"/>
      <c r="K53" s="15">
        <v>4</v>
      </c>
      <c r="L53" s="15">
        <v>5</v>
      </c>
      <c r="M53" s="15">
        <v>4</v>
      </c>
      <c r="N53" s="15">
        <v>11</v>
      </c>
      <c r="O53" s="15">
        <v>19</v>
      </c>
      <c r="P53" s="15">
        <v>39</v>
      </c>
      <c r="Q53" s="15">
        <v>23</v>
      </c>
      <c r="R53" s="15">
        <v>23</v>
      </c>
      <c r="S53" s="15">
        <v>23</v>
      </c>
      <c r="T53" s="15">
        <v>24</v>
      </c>
      <c r="U53" s="15">
        <v>24</v>
      </c>
      <c r="V53" s="15"/>
      <c r="W53" s="15"/>
      <c r="Y53" s="15">
        <v>2</v>
      </c>
      <c r="Z53" s="15">
        <v>2</v>
      </c>
      <c r="AA53" s="15">
        <v>4</v>
      </c>
      <c r="AB53" s="15">
        <v>19</v>
      </c>
      <c r="AC53" s="15">
        <v>23</v>
      </c>
    </row>
    <row r="54" spans="1:31" x14ac:dyDescent="0.25">
      <c r="C54" s="2" t="s">
        <v>77</v>
      </c>
      <c r="D54" s="15"/>
      <c r="E54" s="15"/>
      <c r="F54" s="15"/>
      <c r="G54" s="15"/>
      <c r="H54" s="15"/>
      <c r="I54" s="15"/>
      <c r="J54" s="15"/>
      <c r="K54" s="15">
        <v>136</v>
      </c>
      <c r="L54" s="15">
        <v>133</v>
      </c>
      <c r="M54" s="15">
        <v>121</v>
      </c>
      <c r="N54" s="15">
        <v>115</v>
      </c>
      <c r="O54" s="15">
        <v>108</v>
      </c>
      <c r="P54" s="15">
        <v>103</v>
      </c>
      <c r="Q54" s="15">
        <v>105</v>
      </c>
      <c r="R54" s="15">
        <v>108</v>
      </c>
      <c r="S54" s="15">
        <v>105</v>
      </c>
      <c r="T54" s="15">
        <v>148</v>
      </c>
      <c r="U54" s="15">
        <v>145</v>
      </c>
      <c r="V54" s="15"/>
      <c r="W54" s="15"/>
      <c r="AA54" s="15">
        <v>136</v>
      </c>
      <c r="AB54" s="15">
        <v>108</v>
      </c>
      <c r="AC54" s="15">
        <v>105</v>
      </c>
    </row>
    <row r="55" spans="1:31" x14ac:dyDescent="0.25">
      <c r="C55" s="2" t="s">
        <v>78</v>
      </c>
      <c r="D55" s="15"/>
      <c r="E55" s="15"/>
      <c r="F55" s="15"/>
      <c r="G55" s="15"/>
      <c r="H55" s="15"/>
      <c r="I55" s="15"/>
      <c r="J55" s="15"/>
      <c r="K55" s="15">
        <v>285</v>
      </c>
      <c r="L55" s="15">
        <v>207</v>
      </c>
      <c r="M55" s="15">
        <v>273</v>
      </c>
      <c r="N55" s="15">
        <v>163</v>
      </c>
      <c r="O55" s="15">
        <v>165</v>
      </c>
      <c r="P55" s="15">
        <v>1147</v>
      </c>
      <c r="Q55" s="15">
        <v>155</v>
      </c>
      <c r="R55" s="15">
        <v>491</v>
      </c>
      <c r="S55" s="15">
        <v>413</v>
      </c>
      <c r="T55" s="15">
        <v>908</v>
      </c>
      <c r="U55" s="15">
        <v>420</v>
      </c>
      <c r="V55" s="15"/>
      <c r="W55" s="15"/>
      <c r="Y55" s="15">
        <v>81</v>
      </c>
      <c r="Z55" s="15">
        <v>282</v>
      </c>
      <c r="AA55" s="15">
        <v>285</v>
      </c>
      <c r="AB55" s="15">
        <v>165</v>
      </c>
      <c r="AC55" s="15">
        <v>413</v>
      </c>
    </row>
    <row r="56" spans="1:31" x14ac:dyDescent="0.25">
      <c r="C56" s="2" t="s">
        <v>79</v>
      </c>
      <c r="D56" s="15"/>
      <c r="E56" s="15"/>
      <c r="F56" s="15"/>
      <c r="G56" s="15"/>
      <c r="H56" s="15"/>
      <c r="I56" s="15"/>
      <c r="J56" s="15"/>
      <c r="K56" s="15">
        <v>65</v>
      </c>
      <c r="L56" s="15">
        <v>68</v>
      </c>
      <c r="M56" s="15">
        <v>101</v>
      </c>
      <c r="N56" s="15">
        <v>88</v>
      </c>
      <c r="O56" s="15">
        <v>80</v>
      </c>
      <c r="P56" s="15">
        <v>84</v>
      </c>
      <c r="Q56" s="15">
        <v>84</v>
      </c>
      <c r="R56" s="15">
        <v>98</v>
      </c>
      <c r="S56" s="15">
        <v>74</v>
      </c>
      <c r="T56" s="15">
        <v>102</v>
      </c>
      <c r="U56" s="15">
        <v>125</v>
      </c>
      <c r="V56" s="15"/>
      <c r="W56" s="15"/>
      <c r="Y56" s="15">
        <v>63</v>
      </c>
      <c r="Z56" s="15">
        <v>66</v>
      </c>
      <c r="AA56" s="15">
        <v>65</v>
      </c>
      <c r="AB56" s="15">
        <v>80</v>
      </c>
      <c r="AC56" s="15">
        <v>74</v>
      </c>
    </row>
    <row r="57" spans="1:31" s="16" customFormat="1" x14ac:dyDescent="0.25">
      <c r="A57" s="1"/>
      <c r="B57" s="20"/>
      <c r="C57" s="1" t="s">
        <v>80</v>
      </c>
      <c r="D57" s="16">
        <f t="shared" ref="D57:S57" si="60">SUM(D44:D56)</f>
        <v>0</v>
      </c>
      <c r="E57" s="16">
        <f t="shared" si="60"/>
        <v>0</v>
      </c>
      <c r="F57" s="16">
        <f t="shared" si="60"/>
        <v>0</v>
      </c>
      <c r="G57" s="16">
        <f t="shared" si="60"/>
        <v>0</v>
      </c>
      <c r="H57" s="16">
        <f t="shared" si="60"/>
        <v>0</v>
      </c>
      <c r="I57" s="16">
        <f t="shared" si="60"/>
        <v>0</v>
      </c>
      <c r="J57" s="16">
        <f t="shared" si="60"/>
        <v>0</v>
      </c>
      <c r="K57" s="16">
        <f t="shared" si="60"/>
        <v>138065</v>
      </c>
      <c r="L57" s="16">
        <f t="shared" si="60"/>
        <v>148135</v>
      </c>
      <c r="M57" s="16">
        <f t="shared" si="60"/>
        <v>149026</v>
      </c>
      <c r="N57" s="16">
        <f t="shared" si="60"/>
        <v>150750</v>
      </c>
      <c r="O57" s="16">
        <v>159143</v>
      </c>
      <c r="P57" s="16">
        <f t="shared" si="60"/>
        <v>158437</v>
      </c>
      <c r="Q57" s="16">
        <f t="shared" si="60"/>
        <v>162605</v>
      </c>
      <c r="R57" s="16">
        <f t="shared" si="60"/>
        <v>166579</v>
      </c>
      <c r="S57" s="16">
        <f t="shared" si="60"/>
        <v>162910</v>
      </c>
      <c r="T57" s="16">
        <f>SUM(T44:T56)</f>
        <v>171244</v>
      </c>
      <c r="U57" s="16">
        <f>SUM(U44:U56)</f>
        <v>176382</v>
      </c>
      <c r="X57" s="1"/>
      <c r="Y57" s="16">
        <v>108580</v>
      </c>
      <c r="Z57" s="16">
        <v>119325</v>
      </c>
      <c r="AA57" s="16">
        <v>138065</v>
      </c>
      <c r="AB57" s="16">
        <v>159143</v>
      </c>
      <c r="AC57" s="16">
        <v>162909</v>
      </c>
      <c r="AD57" s="80"/>
    </row>
    <row r="58" spans="1:31" x14ac:dyDescent="0.25">
      <c r="C58" s="2" t="s">
        <v>81</v>
      </c>
      <c r="D58" s="15"/>
      <c r="E58" s="15"/>
      <c r="F58" s="15"/>
      <c r="G58" s="15"/>
      <c r="H58" s="15"/>
      <c r="I58" s="15"/>
      <c r="J58" s="15"/>
      <c r="K58" s="15">
        <v>10995</v>
      </c>
      <c r="L58" s="15">
        <v>13756</v>
      </c>
      <c r="M58" s="15">
        <v>13712</v>
      </c>
      <c r="N58" s="15">
        <v>14705</v>
      </c>
      <c r="O58" s="15">
        <v>16501</v>
      </c>
      <c r="P58" s="15">
        <v>16333</v>
      </c>
      <c r="Q58" s="15">
        <v>17918</v>
      </c>
      <c r="R58" s="15">
        <v>20943</v>
      </c>
      <c r="S58" s="15">
        <v>19351</v>
      </c>
      <c r="T58" s="15">
        <v>20973</v>
      </c>
      <c r="U58" s="15">
        <v>21776</v>
      </c>
      <c r="V58" s="44"/>
      <c r="W58" s="15"/>
      <c r="Y58" s="15">
        <v>6609</v>
      </c>
      <c r="Z58" s="15">
        <v>9739</v>
      </c>
      <c r="AA58" s="15">
        <v>10995</v>
      </c>
      <c r="AB58" s="15">
        <v>16501</v>
      </c>
      <c r="AC58" s="15">
        <v>19351</v>
      </c>
      <c r="AE58" s="27"/>
    </row>
    <row r="59" spans="1:31" x14ac:dyDescent="0.25">
      <c r="C59" s="2" t="s">
        <v>82</v>
      </c>
      <c r="D59" s="15"/>
      <c r="E59" s="15"/>
      <c r="F59" s="15"/>
      <c r="G59" s="15"/>
      <c r="H59" s="15"/>
      <c r="I59" s="15"/>
      <c r="J59" s="15"/>
      <c r="K59" s="15">
        <v>96788</v>
      </c>
      <c r="L59" s="15">
        <v>105167</v>
      </c>
      <c r="M59" s="15">
        <v>107352</v>
      </c>
      <c r="N59" s="15">
        <v>107837</v>
      </c>
      <c r="O59" s="15">
        <v>113439</v>
      </c>
      <c r="P59" s="15">
        <v>110987</v>
      </c>
      <c r="Q59" s="15">
        <v>113318</v>
      </c>
      <c r="R59" s="15">
        <v>111704</v>
      </c>
      <c r="S59" s="15">
        <v>107870</v>
      </c>
      <c r="T59" s="15">
        <v>112415</v>
      </c>
      <c r="U59" s="15">
        <v>115055</v>
      </c>
      <c r="V59" s="15"/>
      <c r="W59" s="15"/>
      <c r="Y59" s="15">
        <v>67424</v>
      </c>
      <c r="Z59" s="15">
        <v>77104</v>
      </c>
      <c r="AA59" s="15">
        <v>96788</v>
      </c>
      <c r="AB59" s="15">
        <v>113439</v>
      </c>
      <c r="AC59" s="15">
        <v>107870</v>
      </c>
    </row>
    <row r="60" spans="1:31" x14ac:dyDescent="0.25">
      <c r="C60" s="2" t="s">
        <v>132</v>
      </c>
      <c r="D60" s="15"/>
      <c r="E60" s="15"/>
      <c r="F60" s="15"/>
      <c r="G60" s="15"/>
      <c r="H60" s="15"/>
      <c r="I60" s="15"/>
      <c r="J60" s="15"/>
      <c r="K60" s="15">
        <v>5581</v>
      </c>
      <c r="L60" s="15">
        <v>2745</v>
      </c>
      <c r="M60" s="15">
        <v>1605</v>
      </c>
      <c r="N60" s="15">
        <v>1648</v>
      </c>
      <c r="O60" s="15">
        <v>1945</v>
      </c>
      <c r="P60" s="15">
        <v>2626</v>
      </c>
      <c r="Q60" s="15">
        <v>2613</v>
      </c>
      <c r="R60" s="15">
        <v>4086</v>
      </c>
      <c r="S60" s="15">
        <v>4375</v>
      </c>
      <c r="T60" s="15">
        <v>5021</v>
      </c>
      <c r="U60" s="15">
        <v>6688</v>
      </c>
      <c r="V60" s="15"/>
      <c r="W60" s="15"/>
      <c r="Y60" s="15">
        <v>10866</v>
      </c>
      <c r="Z60" s="15">
        <v>8416</v>
      </c>
      <c r="AA60" s="15">
        <v>5581</v>
      </c>
      <c r="AB60" s="15">
        <v>1945</v>
      </c>
      <c r="AC60" s="15">
        <v>4375</v>
      </c>
    </row>
    <row r="61" spans="1:31" x14ac:dyDescent="0.25">
      <c r="C61" s="2" t="s">
        <v>133</v>
      </c>
      <c r="D61" s="15"/>
      <c r="E61" s="15"/>
      <c r="F61" s="15"/>
      <c r="G61" s="15"/>
      <c r="H61" s="15"/>
      <c r="I61" s="15"/>
      <c r="J61" s="15"/>
      <c r="K61" s="15">
        <v>425</v>
      </c>
      <c r="L61" s="15">
        <v>126</v>
      </c>
      <c r="M61" s="15">
        <v>311</v>
      </c>
      <c r="N61" s="15">
        <v>289</v>
      </c>
      <c r="O61" s="15">
        <v>272</v>
      </c>
      <c r="P61" s="15">
        <v>1124</v>
      </c>
      <c r="Q61" s="15">
        <v>135</v>
      </c>
      <c r="R61" s="15">
        <v>329</v>
      </c>
      <c r="S61" s="15">
        <v>409</v>
      </c>
      <c r="T61" s="15">
        <v>909</v>
      </c>
      <c r="U61" s="15">
        <v>652</v>
      </c>
      <c r="V61" s="15"/>
      <c r="W61" s="15"/>
      <c r="Y61" s="15">
        <v>437</v>
      </c>
      <c r="Z61" s="15">
        <v>307</v>
      </c>
      <c r="AA61" s="15">
        <v>425</v>
      </c>
      <c r="AB61" s="15">
        <v>272</v>
      </c>
      <c r="AC61" s="15">
        <v>409</v>
      </c>
    </row>
    <row r="62" spans="1:31" x14ac:dyDescent="0.25">
      <c r="C62" s="2" t="s">
        <v>83</v>
      </c>
      <c r="D62" s="15"/>
      <c r="E62" s="15"/>
      <c r="F62" s="15"/>
      <c r="G62" s="15"/>
      <c r="H62" s="15"/>
      <c r="I62" s="15"/>
      <c r="J62" s="15"/>
      <c r="K62" s="15">
        <v>190</v>
      </c>
      <c r="L62" s="15">
        <v>125</v>
      </c>
      <c r="M62" s="15">
        <v>91</v>
      </c>
      <c r="N62" s="15">
        <v>208</v>
      </c>
      <c r="O62" s="15">
        <v>343</v>
      </c>
      <c r="P62" s="15">
        <v>422</v>
      </c>
      <c r="Q62" s="15">
        <v>311</v>
      </c>
      <c r="R62" s="15">
        <v>498</v>
      </c>
      <c r="S62" s="15">
        <v>683</v>
      </c>
      <c r="T62" s="15">
        <v>636</v>
      </c>
      <c r="U62" s="15">
        <v>449</v>
      </c>
      <c r="V62" s="15"/>
      <c r="W62" s="15"/>
      <c r="Y62" s="15">
        <v>485</v>
      </c>
      <c r="Z62" s="15">
        <v>186</v>
      </c>
      <c r="AA62" s="15">
        <v>190</v>
      </c>
      <c r="AB62" s="15">
        <v>343</v>
      </c>
      <c r="AC62" s="15">
        <v>683</v>
      </c>
    </row>
    <row r="63" spans="1:31" x14ac:dyDescent="0.25">
      <c r="C63" s="2" t="s">
        <v>84</v>
      </c>
      <c r="D63" s="15"/>
      <c r="E63" s="15"/>
      <c r="F63" s="15"/>
      <c r="G63" s="15"/>
      <c r="H63" s="15"/>
      <c r="I63" s="15"/>
      <c r="J63" s="15"/>
      <c r="K63" s="15">
        <v>733</v>
      </c>
      <c r="L63" s="15">
        <v>716</v>
      </c>
      <c r="M63" s="15">
        <v>689</v>
      </c>
      <c r="N63" s="15">
        <v>654</v>
      </c>
      <c r="O63" s="15">
        <v>628</v>
      </c>
      <c r="P63" s="15">
        <v>594</v>
      </c>
      <c r="Q63" s="15">
        <v>572</v>
      </c>
      <c r="R63" s="15">
        <v>561</v>
      </c>
      <c r="S63" s="15">
        <v>527</v>
      </c>
      <c r="T63" s="15">
        <v>547</v>
      </c>
      <c r="U63" s="15">
        <v>522</v>
      </c>
      <c r="V63" s="15"/>
      <c r="W63" s="15"/>
      <c r="Y63" s="15">
        <v>787</v>
      </c>
      <c r="Z63" s="15">
        <v>701</v>
      </c>
      <c r="AA63" s="15">
        <v>733</v>
      </c>
      <c r="AB63" s="15">
        <v>628</v>
      </c>
      <c r="AC63" s="15">
        <v>527</v>
      </c>
    </row>
    <row r="64" spans="1:31" x14ac:dyDescent="0.25">
      <c r="C64" s="2" t="s">
        <v>85</v>
      </c>
      <c r="D64" s="15"/>
      <c r="E64" s="15"/>
      <c r="F64" s="15"/>
      <c r="G64" s="15"/>
      <c r="H64" s="15"/>
      <c r="I64" s="15"/>
      <c r="J64" s="15"/>
      <c r="K64" s="15">
        <v>1240</v>
      </c>
      <c r="L64" s="15">
        <v>1703</v>
      </c>
      <c r="M64" s="15">
        <v>1187</v>
      </c>
      <c r="N64" s="15">
        <v>844</v>
      </c>
      <c r="O64" s="15">
        <v>955</v>
      </c>
      <c r="P64" s="15">
        <v>690</v>
      </c>
      <c r="Q64" s="15">
        <v>1383</v>
      </c>
      <c r="R64" s="15">
        <v>930</v>
      </c>
      <c r="S64" s="15">
        <v>1151</v>
      </c>
      <c r="T64" s="15">
        <v>665</v>
      </c>
      <c r="U64" s="15">
        <v>855</v>
      </c>
      <c r="V64" s="15"/>
      <c r="W64" s="15"/>
      <c r="Y64" s="15">
        <v>810</v>
      </c>
      <c r="Z64" s="15">
        <v>1128</v>
      </c>
      <c r="AA64" s="15">
        <v>1240</v>
      </c>
      <c r="AB64" s="15">
        <v>955</v>
      </c>
      <c r="AC64" s="15">
        <v>1151</v>
      </c>
    </row>
    <row r="65" spans="1:31" x14ac:dyDescent="0.25">
      <c r="C65" s="2" t="s">
        <v>86</v>
      </c>
      <c r="D65" s="15"/>
      <c r="E65" s="15"/>
      <c r="F65" s="15"/>
      <c r="G65" s="15"/>
      <c r="H65" s="15"/>
      <c r="I65" s="15"/>
      <c r="J65" s="15"/>
      <c r="K65" s="15">
        <v>393</v>
      </c>
      <c r="L65" s="15">
        <v>475</v>
      </c>
      <c r="M65" s="15">
        <v>541</v>
      </c>
      <c r="N65" s="15">
        <v>674</v>
      </c>
      <c r="O65" s="15">
        <v>543</v>
      </c>
      <c r="P65" s="15">
        <v>561</v>
      </c>
      <c r="Q65" s="15">
        <v>653</v>
      </c>
      <c r="R65" s="15">
        <v>890</v>
      </c>
      <c r="S65" s="15">
        <v>486</v>
      </c>
      <c r="T65" s="15">
        <v>565</v>
      </c>
      <c r="U65" s="15">
        <v>664</v>
      </c>
      <c r="V65" s="15"/>
      <c r="W65" s="15"/>
      <c r="Y65" s="15">
        <v>476</v>
      </c>
      <c r="Z65" s="15">
        <v>459</v>
      </c>
      <c r="AA65" s="15">
        <v>393</v>
      </c>
      <c r="AB65" s="15">
        <v>543</v>
      </c>
      <c r="AC65" s="15">
        <v>486</v>
      </c>
    </row>
    <row r="66" spans="1:31" x14ac:dyDescent="0.25">
      <c r="C66" s="2" t="s">
        <v>87</v>
      </c>
      <c r="D66" s="15"/>
      <c r="E66" s="15"/>
      <c r="F66" s="15"/>
      <c r="G66" s="15"/>
      <c r="H66" s="15"/>
      <c r="I66" s="15"/>
      <c r="J66" s="15"/>
      <c r="K66" s="15">
        <v>1729</v>
      </c>
      <c r="L66" s="15">
        <v>2199</v>
      </c>
      <c r="M66" s="15">
        <v>1843</v>
      </c>
      <c r="N66" s="15">
        <v>1831</v>
      </c>
      <c r="O66" s="15">
        <v>1840</v>
      </c>
      <c r="P66" s="15">
        <v>1812</v>
      </c>
      <c r="Q66" s="15">
        <v>1821</v>
      </c>
      <c r="R66" s="15">
        <v>1822</v>
      </c>
      <c r="S66" s="15">
        <v>1804</v>
      </c>
      <c r="T66" s="15">
        <v>1836</v>
      </c>
      <c r="U66" s="15">
        <v>1845</v>
      </c>
      <c r="V66" s="15"/>
      <c r="W66" s="15"/>
      <c r="Y66" s="15">
        <v>1733</v>
      </c>
      <c r="Z66" s="15">
        <v>1531</v>
      </c>
      <c r="AA66" s="15">
        <v>1729</v>
      </c>
      <c r="AB66" s="15">
        <v>1840</v>
      </c>
      <c r="AC66" s="15">
        <v>1804</v>
      </c>
    </row>
    <row r="67" spans="1:31" s="17" customFormat="1" x14ac:dyDescent="0.25">
      <c r="A67" s="6"/>
      <c r="B67" s="25"/>
      <c r="C67" s="6" t="s">
        <v>88</v>
      </c>
      <c r="D67" s="17">
        <f t="shared" ref="D67:S67" si="61">SUM(D58:D66)</f>
        <v>0</v>
      </c>
      <c r="E67" s="17">
        <f t="shared" si="61"/>
        <v>0</v>
      </c>
      <c r="F67" s="17">
        <f t="shared" si="61"/>
        <v>0</v>
      </c>
      <c r="G67" s="17">
        <f t="shared" si="61"/>
        <v>0</v>
      </c>
      <c r="H67" s="17">
        <f t="shared" si="61"/>
        <v>0</v>
      </c>
      <c r="I67" s="17">
        <f t="shared" si="61"/>
        <v>0</v>
      </c>
      <c r="J67" s="17">
        <f t="shared" si="61"/>
        <v>0</v>
      </c>
      <c r="K67" s="17">
        <f t="shared" si="61"/>
        <v>118074</v>
      </c>
      <c r="L67" s="17">
        <f t="shared" si="61"/>
        <v>127012</v>
      </c>
      <c r="M67" s="17">
        <f t="shared" si="61"/>
        <v>127331</v>
      </c>
      <c r="N67" s="17">
        <f t="shared" si="61"/>
        <v>128690</v>
      </c>
      <c r="O67" s="17">
        <v>136465</v>
      </c>
      <c r="P67" s="17">
        <f t="shared" si="61"/>
        <v>135149</v>
      </c>
      <c r="Q67" s="17">
        <f t="shared" si="61"/>
        <v>138724</v>
      </c>
      <c r="R67" s="17">
        <f t="shared" si="61"/>
        <v>141763</v>
      </c>
      <c r="S67" s="17">
        <f t="shared" si="61"/>
        <v>136656</v>
      </c>
      <c r="T67" s="17">
        <f>SUM(T58:T66)</f>
        <v>143567</v>
      </c>
      <c r="U67" s="17">
        <f>SUM(U58:U66)</f>
        <v>148506</v>
      </c>
      <c r="X67" s="6"/>
      <c r="Y67" s="17">
        <v>89627</v>
      </c>
      <c r="Z67" s="17">
        <v>99571</v>
      </c>
      <c r="AA67" s="17">
        <v>118074</v>
      </c>
      <c r="AB67" s="17">
        <v>136465</v>
      </c>
      <c r="AC67" s="17">
        <v>136656</v>
      </c>
      <c r="AD67" s="85"/>
    </row>
    <row r="68" spans="1:31" x14ac:dyDescent="0.25">
      <c r="C68" s="2" t="s">
        <v>89</v>
      </c>
      <c r="K68" s="2">
        <v>73</v>
      </c>
      <c r="L68" s="2">
        <v>73</v>
      </c>
      <c r="M68" s="2">
        <v>73</v>
      </c>
      <c r="N68" s="2">
        <v>73</v>
      </c>
      <c r="O68" s="2">
        <v>73</v>
      </c>
      <c r="P68" s="2">
        <v>73</v>
      </c>
      <c r="Q68" s="2">
        <v>73</v>
      </c>
      <c r="R68" s="2">
        <v>73</v>
      </c>
      <c r="S68" s="2">
        <v>73</v>
      </c>
      <c r="T68" s="15">
        <v>73</v>
      </c>
      <c r="U68" s="15">
        <v>73</v>
      </c>
      <c r="V68" s="15"/>
      <c r="W68" s="15"/>
      <c r="Y68" s="15">
        <v>73</v>
      </c>
      <c r="Z68" s="15">
        <v>73</v>
      </c>
      <c r="AA68" s="15">
        <v>73</v>
      </c>
      <c r="AB68" s="15">
        <v>73</v>
      </c>
      <c r="AC68" s="15">
        <v>73</v>
      </c>
    </row>
    <row r="69" spans="1:31" x14ac:dyDescent="0.25">
      <c r="C69" s="2" t="s">
        <v>90</v>
      </c>
      <c r="D69" s="15"/>
      <c r="E69" s="15"/>
      <c r="F69" s="15"/>
      <c r="G69" s="15"/>
      <c r="H69" s="15"/>
      <c r="I69" s="15"/>
      <c r="J69" s="15"/>
      <c r="K69" s="15">
        <v>4476</v>
      </c>
      <c r="L69" s="15">
        <v>4476</v>
      </c>
      <c r="M69" s="15">
        <v>4476</v>
      </c>
      <c r="N69" s="15">
        <v>4476</v>
      </c>
      <c r="O69" s="15">
        <v>4476</v>
      </c>
      <c r="P69" s="15">
        <v>4476</v>
      </c>
      <c r="Q69" s="15">
        <v>4476</v>
      </c>
      <c r="R69" s="15">
        <v>4534</v>
      </c>
      <c r="S69" s="15">
        <v>4533</v>
      </c>
      <c r="T69" s="15">
        <v>4542</v>
      </c>
      <c r="U69" s="15">
        <v>4544</v>
      </c>
      <c r="V69" s="15"/>
      <c r="W69" s="15"/>
      <c r="Y69" s="15">
        <v>4476</v>
      </c>
      <c r="Z69" s="15">
        <v>4476</v>
      </c>
      <c r="AA69" s="15">
        <v>4476</v>
      </c>
      <c r="AB69" s="15">
        <v>4476</v>
      </c>
      <c r="AC69" s="15">
        <v>4533</v>
      </c>
    </row>
    <row r="70" spans="1:31" x14ac:dyDescent="0.25">
      <c r="C70" s="2" t="s">
        <v>91</v>
      </c>
      <c r="D70" s="15"/>
      <c r="E70" s="15"/>
      <c r="F70" s="15"/>
      <c r="G70" s="15"/>
      <c r="H70" s="15"/>
      <c r="I70" s="15"/>
      <c r="J70" s="15"/>
      <c r="K70" s="15">
        <v>-537</v>
      </c>
      <c r="L70" s="15">
        <v>-580</v>
      </c>
      <c r="M70" s="15">
        <v>-518</v>
      </c>
      <c r="N70" s="15">
        <v>-886</v>
      </c>
      <c r="O70" s="15">
        <v>-837</v>
      </c>
      <c r="P70" s="15">
        <v>-997</v>
      </c>
      <c r="Q70" s="15">
        <v>-1245</v>
      </c>
      <c r="R70" s="15">
        <v>-1231</v>
      </c>
      <c r="S70" s="15">
        <v>-1499</v>
      </c>
      <c r="T70" s="15">
        <v>-1027</v>
      </c>
      <c r="U70" s="15">
        <v>-1079</v>
      </c>
      <c r="V70" s="15"/>
      <c r="W70" s="15"/>
      <c r="Y70" s="15">
        <v>147</v>
      </c>
      <c r="Z70" s="15">
        <v>158</v>
      </c>
      <c r="AA70" s="15">
        <v>-537</v>
      </c>
      <c r="AB70" s="15">
        <v>-837</v>
      </c>
      <c r="AC70" s="15">
        <v>-1499</v>
      </c>
    </row>
    <row r="71" spans="1:31" x14ac:dyDescent="0.25">
      <c r="C71" s="2" t="s">
        <v>92</v>
      </c>
      <c r="D71" s="15"/>
      <c r="E71" s="15"/>
      <c r="F71" s="15"/>
      <c r="G71" s="15"/>
      <c r="H71" s="15"/>
      <c r="I71" s="15"/>
      <c r="J71" s="15"/>
      <c r="K71" s="15">
        <v>1354</v>
      </c>
      <c r="L71" s="15">
        <v>2157</v>
      </c>
      <c r="M71" s="15">
        <v>2154</v>
      </c>
      <c r="N71" s="15">
        <v>2159</v>
      </c>
      <c r="O71" s="15">
        <v>2163</v>
      </c>
      <c r="P71" s="15">
        <v>2168</v>
      </c>
      <c r="Q71" s="15">
        <v>2173</v>
      </c>
      <c r="R71" s="15">
        <v>2177</v>
      </c>
      <c r="S71" s="15">
        <v>2928</v>
      </c>
      <c r="T71" s="15">
        <v>2933</v>
      </c>
      <c r="U71" s="15">
        <v>3682</v>
      </c>
      <c r="V71" s="15"/>
      <c r="W71" s="15"/>
      <c r="X71" s="15"/>
      <c r="Y71" s="15">
        <v>1757</v>
      </c>
      <c r="Z71" s="15">
        <v>1470</v>
      </c>
      <c r="AA71" s="15">
        <v>1354</v>
      </c>
      <c r="AB71" s="15">
        <v>2163</v>
      </c>
      <c r="AC71" s="15">
        <v>2928</v>
      </c>
    </row>
    <row r="72" spans="1:31" x14ac:dyDescent="0.25">
      <c r="C72" s="2" t="s">
        <v>93</v>
      </c>
      <c r="D72" s="15"/>
      <c r="E72" s="15"/>
      <c r="F72" s="15"/>
      <c r="G72" s="15"/>
      <c r="H72" s="15"/>
      <c r="I72" s="15"/>
      <c r="J72" s="15"/>
      <c r="K72" s="15">
        <v>13438</v>
      </c>
      <c r="L72" s="15">
        <v>14589</v>
      </c>
      <c r="M72" s="15">
        <v>14526</v>
      </c>
      <c r="N72" s="15">
        <v>14661</v>
      </c>
      <c r="O72" s="15">
        <v>14601</v>
      </c>
      <c r="P72" s="15">
        <v>16747</v>
      </c>
      <c r="Q72" s="15">
        <v>16702</v>
      </c>
      <c r="R72" s="15">
        <v>16658</v>
      </c>
      <c r="S72" s="15">
        <v>16607</v>
      </c>
      <c r="T72" s="15">
        <v>20155</v>
      </c>
      <c r="U72" s="15">
        <v>18542</v>
      </c>
      <c r="V72" s="15"/>
      <c r="W72" s="15"/>
      <c r="Y72" s="15">
        <v>12523</v>
      </c>
      <c r="Z72" s="15">
        <v>12604</v>
      </c>
      <c r="AA72" s="15">
        <v>13438</v>
      </c>
      <c r="AB72" s="15">
        <v>14601</v>
      </c>
      <c r="AC72" s="15">
        <v>16607</v>
      </c>
    </row>
    <row r="73" spans="1:31" x14ac:dyDescent="0.25">
      <c r="C73" s="2" t="s">
        <v>94</v>
      </c>
      <c r="D73" s="15"/>
      <c r="E73" s="15"/>
      <c r="F73" s="15"/>
      <c r="G73" s="15"/>
      <c r="H73" s="15"/>
      <c r="I73" s="15"/>
      <c r="J73" s="15"/>
      <c r="K73" s="15">
        <v>1187</v>
      </c>
      <c r="L73" s="15">
        <v>405</v>
      </c>
      <c r="M73" s="15">
        <v>983</v>
      </c>
      <c r="N73" s="15">
        <v>1580</v>
      </c>
      <c r="O73" s="15">
        <v>2202</v>
      </c>
      <c r="P73" s="15">
        <v>820</v>
      </c>
      <c r="Q73" s="15">
        <v>1703</v>
      </c>
      <c r="R73" s="15">
        <v>2606</v>
      </c>
      <c r="S73" s="15">
        <v>3611</v>
      </c>
      <c r="T73" s="15">
        <v>1003</v>
      </c>
      <c r="U73" s="15">
        <v>2112</v>
      </c>
      <c r="V73" s="15"/>
      <c r="W73" s="15"/>
      <c r="Y73" s="15">
        <v>-23</v>
      </c>
      <c r="Z73" s="15">
        <v>973</v>
      </c>
      <c r="AA73" s="15">
        <v>1187</v>
      </c>
      <c r="AB73" s="15">
        <v>2202</v>
      </c>
      <c r="AC73" s="15">
        <v>3611</v>
      </c>
    </row>
    <row r="74" spans="1:31" s="17" customFormat="1" x14ac:dyDescent="0.25">
      <c r="A74" s="6"/>
      <c r="B74" s="25"/>
      <c r="C74" s="6" t="s">
        <v>95</v>
      </c>
      <c r="D74" s="17">
        <f t="shared" ref="D74:R74" si="62">SUM(D68:D73)</f>
        <v>0</v>
      </c>
      <c r="E74" s="17">
        <f t="shared" si="62"/>
        <v>0</v>
      </c>
      <c r="F74" s="17">
        <f t="shared" si="62"/>
        <v>0</v>
      </c>
      <c r="G74" s="17">
        <f t="shared" si="62"/>
        <v>0</v>
      </c>
      <c r="H74" s="17">
        <f t="shared" si="62"/>
        <v>0</v>
      </c>
      <c r="I74" s="17">
        <f t="shared" si="62"/>
        <v>0</v>
      </c>
      <c r="J74" s="17">
        <f t="shared" si="62"/>
        <v>0</v>
      </c>
      <c r="K74" s="17">
        <f t="shared" si="62"/>
        <v>19991</v>
      </c>
      <c r="L74" s="17">
        <f t="shared" si="62"/>
        <v>21120</v>
      </c>
      <c r="M74" s="17">
        <f t="shared" si="62"/>
        <v>21694</v>
      </c>
      <c r="N74" s="17">
        <f t="shared" si="62"/>
        <v>22063</v>
      </c>
      <c r="O74" s="17">
        <f t="shared" si="62"/>
        <v>22678</v>
      </c>
      <c r="P74" s="17">
        <f t="shared" si="62"/>
        <v>23287</v>
      </c>
      <c r="Q74" s="17">
        <f t="shared" si="62"/>
        <v>23882</v>
      </c>
      <c r="R74" s="17">
        <f t="shared" si="62"/>
        <v>24817</v>
      </c>
      <c r="S74" s="17">
        <f>SUM(S68:S73)</f>
        <v>26253</v>
      </c>
      <c r="T74" s="17">
        <f>SUM(T68:T73)</f>
        <v>27679</v>
      </c>
      <c r="U74" s="17">
        <f>SUM(U68:U73)</f>
        <v>27874</v>
      </c>
      <c r="V74" s="29"/>
      <c r="W74" s="29"/>
      <c r="X74" s="5"/>
      <c r="Y74" s="17">
        <v>18953</v>
      </c>
      <c r="Z74" s="17">
        <v>19754</v>
      </c>
      <c r="AA74" s="17">
        <v>19991</v>
      </c>
      <c r="AB74" s="17">
        <v>22678</v>
      </c>
      <c r="AC74" s="17">
        <v>26253</v>
      </c>
      <c r="AD74" s="85"/>
    </row>
    <row r="75" spans="1:31" s="16" customFormat="1" x14ac:dyDescent="0.25">
      <c r="A75" s="1"/>
      <c r="B75" s="20"/>
      <c r="C75" s="1" t="s">
        <v>96</v>
      </c>
      <c r="D75" s="16">
        <f t="shared" ref="D75:R75" si="63">D67+D74</f>
        <v>0</v>
      </c>
      <c r="E75" s="16">
        <f t="shared" si="63"/>
        <v>0</v>
      </c>
      <c r="F75" s="16">
        <f t="shared" si="63"/>
        <v>0</v>
      </c>
      <c r="G75" s="16">
        <f t="shared" si="63"/>
        <v>0</v>
      </c>
      <c r="H75" s="16">
        <f t="shared" si="63"/>
        <v>0</v>
      </c>
      <c r="I75" s="16">
        <f t="shared" si="63"/>
        <v>0</v>
      </c>
      <c r="J75" s="16">
        <f t="shared" si="63"/>
        <v>0</v>
      </c>
      <c r="K75" s="16">
        <f t="shared" si="63"/>
        <v>138065</v>
      </c>
      <c r="L75" s="16">
        <f t="shared" si="63"/>
        <v>148132</v>
      </c>
      <c r="M75" s="16">
        <f t="shared" si="63"/>
        <v>149025</v>
      </c>
      <c r="N75" s="16">
        <f t="shared" si="63"/>
        <v>150753</v>
      </c>
      <c r="O75" s="16">
        <f t="shared" si="63"/>
        <v>159143</v>
      </c>
      <c r="P75" s="16">
        <f t="shared" si="63"/>
        <v>158436</v>
      </c>
      <c r="Q75" s="16">
        <f t="shared" si="63"/>
        <v>162606</v>
      </c>
      <c r="R75" s="16">
        <f t="shared" si="63"/>
        <v>166580</v>
      </c>
      <c r="S75" s="16">
        <f>S67+S74</f>
        <v>162909</v>
      </c>
      <c r="T75" s="16">
        <f>T67+T74</f>
        <v>171246</v>
      </c>
      <c r="U75" s="16">
        <f>U67+U74</f>
        <v>176380</v>
      </c>
      <c r="X75" s="1"/>
      <c r="Y75" s="16">
        <f>Y67+Y74</f>
        <v>108580</v>
      </c>
      <c r="Z75" s="16">
        <f>Z67+Z74</f>
        <v>119325</v>
      </c>
      <c r="AA75" s="16">
        <f>AA67+AA74</f>
        <v>138065</v>
      </c>
      <c r="AB75" s="16">
        <f>AB67+AB74</f>
        <v>159143</v>
      </c>
      <c r="AC75" s="16">
        <f>AC67+AC74</f>
        <v>162909</v>
      </c>
      <c r="AD75" s="80"/>
    </row>
    <row r="76" spans="1:31" x14ac:dyDescent="0.25"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6"/>
      <c r="U76" s="16"/>
      <c r="V76" s="16"/>
      <c r="W76" s="16"/>
      <c r="X76" s="1"/>
      <c r="Y76" s="16"/>
      <c r="Z76" s="30"/>
      <c r="AA76" s="30"/>
      <c r="AB76" s="30"/>
      <c r="AC76" s="30"/>
    </row>
    <row r="77" spans="1:31" s="16" customFormat="1" x14ac:dyDescent="0.25">
      <c r="A77" s="2"/>
      <c r="B77" s="3"/>
      <c r="C77" s="1" t="s">
        <v>97</v>
      </c>
      <c r="AD77" s="86"/>
      <c r="AE77" s="31"/>
    </row>
    <row r="78" spans="1:31" x14ac:dyDescent="0.25">
      <c r="C78" s="2" t="s">
        <v>98</v>
      </c>
      <c r="D78" s="15">
        <f>D18</f>
        <v>0</v>
      </c>
      <c r="E78" s="15">
        <f t="shared" ref="E78:S78" si="64">E18</f>
        <v>0</v>
      </c>
      <c r="F78" s="15">
        <f t="shared" si="64"/>
        <v>0</v>
      </c>
      <c r="G78" s="15">
        <f t="shared" si="64"/>
        <v>77</v>
      </c>
      <c r="H78" s="15">
        <f t="shared" si="64"/>
        <v>0</v>
      </c>
      <c r="I78" s="15">
        <f t="shared" si="64"/>
        <v>0</v>
      </c>
      <c r="J78" s="15">
        <f t="shared" si="64"/>
        <v>373</v>
      </c>
      <c r="K78" s="15">
        <f t="shared" si="64"/>
        <v>249</v>
      </c>
      <c r="L78" s="15">
        <f t="shared" si="64"/>
        <v>535</v>
      </c>
      <c r="M78" s="15">
        <f t="shared" si="64"/>
        <v>765</v>
      </c>
      <c r="N78" s="15">
        <f t="shared" si="64"/>
        <v>807</v>
      </c>
      <c r="O78" s="15">
        <f t="shared" si="64"/>
        <v>771</v>
      </c>
      <c r="P78" s="15">
        <f t="shared" si="64"/>
        <v>1049</v>
      </c>
      <c r="Q78" s="15">
        <f t="shared" si="64"/>
        <v>1130</v>
      </c>
      <c r="R78" s="15">
        <f t="shared" si="64"/>
        <v>1161</v>
      </c>
      <c r="S78" s="15">
        <f t="shared" si="64"/>
        <v>1270</v>
      </c>
      <c r="T78" s="15">
        <f>T18</f>
        <v>1330</v>
      </c>
      <c r="U78" s="15">
        <f>U18</f>
        <v>1435</v>
      </c>
      <c r="V78" s="15"/>
      <c r="W78" s="15"/>
      <c r="Y78" s="15">
        <f t="shared" ref="Y78:AC78" si="65">Y18</f>
        <v>-33</v>
      </c>
      <c r="Z78" s="15">
        <f t="shared" si="65"/>
        <v>1329</v>
      </c>
      <c r="AA78" s="15">
        <f t="shared" si="65"/>
        <v>1515</v>
      </c>
      <c r="AB78" s="15">
        <f t="shared" si="65"/>
        <v>2878</v>
      </c>
      <c r="AC78" s="15">
        <f t="shared" si="65"/>
        <v>4610</v>
      </c>
    </row>
    <row r="79" spans="1:31" x14ac:dyDescent="0.25">
      <c r="C79" s="2" t="s">
        <v>99</v>
      </c>
      <c r="D79" s="15"/>
      <c r="E79" s="15"/>
      <c r="F79" s="15"/>
      <c r="G79" s="15"/>
      <c r="H79" s="15"/>
      <c r="I79" s="15"/>
      <c r="J79" s="15"/>
      <c r="K79" s="15"/>
      <c r="L79" s="15">
        <v>535</v>
      </c>
      <c r="M79" s="15">
        <v>765</v>
      </c>
      <c r="N79" s="15">
        <v>808</v>
      </c>
      <c r="O79" s="15">
        <v>770</v>
      </c>
      <c r="P79" s="15">
        <v>1048</v>
      </c>
      <c r="Q79" s="15">
        <v>1131</v>
      </c>
      <c r="R79" s="15">
        <v>1161</v>
      </c>
      <c r="S79" s="15">
        <v>1270</v>
      </c>
      <c r="T79" s="15">
        <v>1330</v>
      </c>
      <c r="U79" s="15">
        <f>2766-T79</f>
        <v>1436</v>
      </c>
      <c r="V79" s="15"/>
      <c r="W79" s="15"/>
      <c r="Y79" s="15">
        <v>-33</v>
      </c>
      <c r="Z79" s="15">
        <v>1329</v>
      </c>
      <c r="AA79" s="15">
        <v>1515</v>
      </c>
      <c r="AB79" s="15">
        <v>2878</v>
      </c>
      <c r="AC79" s="15">
        <v>4610</v>
      </c>
    </row>
    <row r="80" spans="1:31" x14ac:dyDescent="0.25">
      <c r="C80" s="2" t="s">
        <v>100</v>
      </c>
      <c r="D80" s="15"/>
      <c r="E80" s="15"/>
      <c r="F80" s="15"/>
      <c r="G80" s="15"/>
      <c r="H80" s="15"/>
      <c r="I80" s="15"/>
      <c r="J80" s="15"/>
      <c r="K80" s="15"/>
      <c r="L80" s="15">
        <v>1260</v>
      </c>
      <c r="M80" s="15">
        <v>1208</v>
      </c>
      <c r="N80" s="15">
        <v>1612</v>
      </c>
      <c r="O80" s="15">
        <v>1379</v>
      </c>
      <c r="P80" s="15">
        <v>1284</v>
      </c>
      <c r="Q80" s="15">
        <v>1427</v>
      </c>
      <c r="R80" s="15">
        <v>1260</v>
      </c>
      <c r="S80" s="15">
        <v>1297</v>
      </c>
      <c r="T80" s="15">
        <v>1260</v>
      </c>
      <c r="U80" s="15">
        <f>2515-T80</f>
        <v>1255</v>
      </c>
      <c r="V80" s="15"/>
      <c r="W80" s="15"/>
      <c r="Y80" s="15">
        <v>1263</v>
      </c>
      <c r="Z80" s="15">
        <v>3502</v>
      </c>
      <c r="AA80" s="15">
        <v>4554</v>
      </c>
      <c r="AB80" s="15">
        <v>5459</v>
      </c>
      <c r="AC80" s="15">
        <v>5268</v>
      </c>
    </row>
    <row r="81" spans="1:30" x14ac:dyDescent="0.25">
      <c r="C81" s="2" t="s">
        <v>101</v>
      </c>
      <c r="D81" s="15"/>
      <c r="E81" s="15"/>
      <c r="F81" s="15"/>
      <c r="G81" s="15"/>
      <c r="H81" s="15"/>
      <c r="I81" s="15"/>
      <c r="J81" s="15"/>
      <c r="K81" s="15"/>
      <c r="L81" s="15">
        <v>-200</v>
      </c>
      <c r="M81" s="15">
        <v>-234</v>
      </c>
      <c r="N81" s="15">
        <v>-69</v>
      </c>
      <c r="O81" s="15">
        <v>-52</v>
      </c>
      <c r="P81" s="15">
        <v>-185</v>
      </c>
      <c r="Q81" s="15">
        <v>-324</v>
      </c>
      <c r="R81" s="15">
        <v>-80</v>
      </c>
      <c r="S81" s="15">
        <v>-80</v>
      </c>
      <c r="T81" s="15">
        <v>-379</v>
      </c>
      <c r="U81" s="15">
        <f>-887-T81</f>
        <v>-508</v>
      </c>
      <c r="V81" s="15"/>
      <c r="W81" s="15"/>
      <c r="Y81" s="15">
        <v>-202</v>
      </c>
      <c r="Z81" s="15">
        <v>-696</v>
      </c>
      <c r="AA81" s="15">
        <v>-335</v>
      </c>
      <c r="AB81" s="15">
        <v>-555</v>
      </c>
      <c r="AC81" s="15">
        <v>-669</v>
      </c>
    </row>
    <row r="82" spans="1:30" x14ac:dyDescent="0.25">
      <c r="C82" s="2" t="s">
        <v>102</v>
      </c>
      <c r="D82" s="15"/>
      <c r="E82" s="15"/>
      <c r="F82" s="15"/>
      <c r="G82" s="15"/>
      <c r="H82" s="15"/>
      <c r="I82" s="15"/>
      <c r="J82" s="15"/>
      <c r="K82" s="15"/>
      <c r="L82" s="15">
        <v>-2418</v>
      </c>
      <c r="M82" s="15">
        <v>-617</v>
      </c>
      <c r="N82" s="15">
        <v>-3474</v>
      </c>
      <c r="O82" s="15">
        <v>5577</v>
      </c>
      <c r="P82" s="15">
        <v>-6814</v>
      </c>
      <c r="Q82" s="15">
        <v>-1267</v>
      </c>
      <c r="R82" s="15">
        <v>-3086</v>
      </c>
      <c r="S82" s="15">
        <v>-4097</v>
      </c>
      <c r="T82" s="15">
        <v>-2345</v>
      </c>
      <c r="U82" s="15">
        <f>-2425-T82</f>
        <v>-80</v>
      </c>
      <c r="V82" s="15"/>
      <c r="W82" s="15"/>
      <c r="Y82" s="15">
        <v>-563</v>
      </c>
      <c r="Z82" s="15">
        <v>-12646</v>
      </c>
      <c r="AA82" s="15">
        <v>-8414</v>
      </c>
      <c r="AB82" s="15">
        <v>-932</v>
      </c>
      <c r="AC82" s="15">
        <v>-15264</v>
      </c>
    </row>
    <row r="83" spans="1:30" s="16" customFormat="1" x14ac:dyDescent="0.25">
      <c r="A83" s="1"/>
      <c r="B83" s="20"/>
      <c r="C83" s="1" t="s">
        <v>103</v>
      </c>
      <c r="D83" s="16">
        <f>SUM(D79:D82)</f>
        <v>0</v>
      </c>
      <c r="E83" s="16">
        <f t="shared" ref="E83:S83" si="66">SUM(E79:E82)</f>
        <v>0</v>
      </c>
      <c r="F83" s="16">
        <f t="shared" si="66"/>
        <v>0</v>
      </c>
      <c r="G83" s="16">
        <f t="shared" si="66"/>
        <v>0</v>
      </c>
      <c r="H83" s="16">
        <f t="shared" si="66"/>
        <v>0</v>
      </c>
      <c r="I83" s="16">
        <f t="shared" si="66"/>
        <v>0</v>
      </c>
      <c r="J83" s="16">
        <f t="shared" si="66"/>
        <v>0</v>
      </c>
      <c r="K83" s="16">
        <f t="shared" si="66"/>
        <v>0</v>
      </c>
      <c r="L83" s="16">
        <f t="shared" si="66"/>
        <v>-823</v>
      </c>
      <c r="M83" s="16">
        <f t="shared" si="66"/>
        <v>1122</v>
      </c>
      <c r="N83" s="16">
        <f t="shared" si="66"/>
        <v>-1123</v>
      </c>
      <c r="O83" s="16">
        <f t="shared" si="66"/>
        <v>7674</v>
      </c>
      <c r="P83" s="16">
        <f t="shared" si="66"/>
        <v>-4667</v>
      </c>
      <c r="Q83" s="16">
        <f t="shared" si="66"/>
        <v>967</v>
      </c>
      <c r="R83" s="16">
        <f t="shared" si="66"/>
        <v>-745</v>
      </c>
      <c r="S83" s="16">
        <f t="shared" si="66"/>
        <v>-1610</v>
      </c>
      <c r="T83" s="16">
        <f>SUM(T79:T82)</f>
        <v>-134</v>
      </c>
      <c r="U83" s="16">
        <f>SUM(U79:U82)</f>
        <v>2103</v>
      </c>
      <c r="X83" s="1"/>
      <c r="Y83" s="16">
        <f t="shared" ref="Y83" si="67">SUM(Y79:Y82)</f>
        <v>465</v>
      </c>
      <c r="Z83" s="16">
        <f t="shared" ref="Z83" si="68">SUM(Z79:Z82)</f>
        <v>-8511</v>
      </c>
      <c r="AA83" s="16">
        <f t="shared" ref="AA83" si="69">SUM(AA79:AA82)</f>
        <v>-2680</v>
      </c>
      <c r="AB83" s="16">
        <f t="shared" ref="AB83" si="70">SUM(AB79:AB82)</f>
        <v>6850</v>
      </c>
      <c r="AC83" s="16">
        <f t="shared" ref="AC83" si="71">SUM(AC79:AC82)</f>
        <v>-6055</v>
      </c>
      <c r="AD83" s="80"/>
    </row>
    <row r="84" spans="1:30" x14ac:dyDescent="0.25"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30" x14ac:dyDescent="0.25">
      <c r="C85" s="2" t="s">
        <v>104</v>
      </c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>
        <v>33</v>
      </c>
      <c r="T85" s="15">
        <v>-397</v>
      </c>
      <c r="U85" s="15">
        <f>-397-T85</f>
        <v>0</v>
      </c>
      <c r="V85" s="15"/>
      <c r="W85" s="15"/>
      <c r="Y85" s="15">
        <v>-14096</v>
      </c>
      <c r="Z85" s="15">
        <v>10301</v>
      </c>
      <c r="AC85" s="15">
        <v>33</v>
      </c>
    </row>
    <row r="86" spans="1:30" x14ac:dyDescent="0.25">
      <c r="C86" s="2" t="s">
        <v>244</v>
      </c>
      <c r="D86" s="15"/>
      <c r="E86" s="15"/>
      <c r="F86" s="15"/>
      <c r="G86" s="15"/>
      <c r="H86" s="15"/>
      <c r="I86" s="15"/>
      <c r="J86" s="15"/>
      <c r="K86" s="15"/>
      <c r="L86" s="15">
        <v>-17</v>
      </c>
      <c r="M86" s="15">
        <v>-21</v>
      </c>
      <c r="N86" s="15">
        <v>-67</v>
      </c>
      <c r="O86" s="15">
        <v>-29</v>
      </c>
      <c r="P86" s="15">
        <v>-52</v>
      </c>
      <c r="Q86" s="15">
        <v>-64</v>
      </c>
      <c r="R86" s="15">
        <v>-39</v>
      </c>
      <c r="S86" s="15">
        <v>-59</v>
      </c>
      <c r="T86" s="15">
        <v>-62</v>
      </c>
      <c r="U86" s="15">
        <f>-132-T86</f>
        <v>-70</v>
      </c>
      <c r="V86" s="15"/>
      <c r="W86" s="15"/>
      <c r="Y86" s="15">
        <v>-10</v>
      </c>
      <c r="Z86" s="15">
        <v>-41</v>
      </c>
      <c r="AA86" s="15">
        <v>-75</v>
      </c>
      <c r="AB86" s="15">
        <v>-134</v>
      </c>
      <c r="AC86" s="15">
        <v>-214</v>
      </c>
    </row>
    <row r="87" spans="1:30" s="16" customFormat="1" x14ac:dyDescent="0.25">
      <c r="A87" s="1"/>
      <c r="B87" s="20"/>
      <c r="C87" s="1" t="s">
        <v>105</v>
      </c>
      <c r="D87" s="16">
        <f>SUM(D85:D86)</f>
        <v>0</v>
      </c>
      <c r="E87" s="16">
        <f t="shared" ref="E87:S87" si="72">SUM(E85:E86)</f>
        <v>0</v>
      </c>
      <c r="F87" s="16">
        <f t="shared" si="72"/>
        <v>0</v>
      </c>
      <c r="G87" s="16">
        <f t="shared" si="72"/>
        <v>0</v>
      </c>
      <c r="H87" s="16">
        <f t="shared" si="72"/>
        <v>0</v>
      </c>
      <c r="I87" s="16">
        <f t="shared" si="72"/>
        <v>0</v>
      </c>
      <c r="J87" s="16">
        <f t="shared" si="72"/>
        <v>0</v>
      </c>
      <c r="K87" s="16">
        <f t="shared" si="72"/>
        <v>0</v>
      </c>
      <c r="L87" s="16">
        <f t="shared" si="72"/>
        <v>-17</v>
      </c>
      <c r="M87" s="16">
        <f t="shared" si="72"/>
        <v>-21</v>
      </c>
      <c r="N87" s="16">
        <f t="shared" si="72"/>
        <v>-67</v>
      </c>
      <c r="O87" s="16">
        <f t="shared" si="72"/>
        <v>-29</v>
      </c>
      <c r="P87" s="16">
        <f t="shared" si="72"/>
        <v>-52</v>
      </c>
      <c r="Q87" s="16">
        <f t="shared" si="72"/>
        <v>-64</v>
      </c>
      <c r="R87" s="16">
        <f t="shared" si="72"/>
        <v>-39</v>
      </c>
      <c r="S87" s="16">
        <f t="shared" si="72"/>
        <v>-26</v>
      </c>
      <c r="T87" s="16">
        <f>SUM(T85:T86)</f>
        <v>-459</v>
      </c>
      <c r="U87" s="16">
        <f>SUM(U85:U86)</f>
        <v>-70</v>
      </c>
      <c r="X87" s="1"/>
      <c r="Y87" s="16">
        <f t="shared" ref="Y87" si="73">SUM(Y85:Y86)</f>
        <v>-14106</v>
      </c>
      <c r="Z87" s="16">
        <f t="shared" ref="Z87" si="74">SUM(Z85:Z86)</f>
        <v>10260</v>
      </c>
      <c r="AA87" s="16">
        <f t="shared" ref="AA87" si="75">SUM(AA85:AA86)</f>
        <v>-75</v>
      </c>
      <c r="AB87" s="16">
        <f t="shared" ref="AB87" si="76">SUM(AB85:AB86)</f>
        <v>-134</v>
      </c>
      <c r="AC87" s="16">
        <f t="shared" ref="AC87" si="77">SUM(AC85:AC86)</f>
        <v>-181</v>
      </c>
      <c r="AD87" s="80"/>
    </row>
    <row r="88" spans="1:30" x14ac:dyDescent="0.25"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30" x14ac:dyDescent="0.25">
      <c r="C89" s="2" t="s">
        <v>169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-1550</v>
      </c>
      <c r="V89" s="15"/>
      <c r="W89" s="15"/>
    </row>
    <row r="90" spans="1:30" x14ac:dyDescent="0.25">
      <c r="C90" s="2" t="s">
        <v>106</v>
      </c>
      <c r="D90" s="15"/>
      <c r="E90" s="15"/>
      <c r="F90" s="15"/>
      <c r="G90" s="15"/>
      <c r="H90" s="15"/>
      <c r="I90" s="15"/>
      <c r="J90" s="15"/>
      <c r="K90" s="15"/>
      <c r="L90" s="15">
        <v>459</v>
      </c>
      <c r="M90" s="15">
        <v>0</v>
      </c>
      <c r="N90" s="15">
        <v>0</v>
      </c>
      <c r="O90" s="15">
        <v>-1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/>
      <c r="W90" s="15"/>
      <c r="Y90" s="15">
        <v>619</v>
      </c>
      <c r="Z90" s="15">
        <v>-241</v>
      </c>
      <c r="AA90" s="15">
        <v>755</v>
      </c>
      <c r="AB90" s="15">
        <v>458</v>
      </c>
      <c r="AC90" s="15">
        <v>0</v>
      </c>
    </row>
    <row r="91" spans="1:30" x14ac:dyDescent="0.25">
      <c r="C91" s="2" t="s">
        <v>107</v>
      </c>
      <c r="D91" s="15"/>
      <c r="E91" s="15"/>
      <c r="F91" s="15"/>
      <c r="G91" s="15"/>
      <c r="H91" s="15"/>
      <c r="I91" s="15"/>
      <c r="J91" s="15"/>
      <c r="K91" s="15"/>
      <c r="L91" s="15">
        <v>0</v>
      </c>
      <c r="M91" s="15">
        <v>-357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/>
      <c r="W91" s="15"/>
      <c r="Y91" s="15">
        <v>5371</v>
      </c>
      <c r="Z91" s="15">
        <v>562</v>
      </c>
      <c r="AA91" s="15">
        <v>-561</v>
      </c>
      <c r="AB91" s="15">
        <v>-357</v>
      </c>
      <c r="AC91" s="15">
        <v>0</v>
      </c>
    </row>
    <row r="92" spans="1:30" x14ac:dyDescent="0.25">
      <c r="C92" s="2" t="s">
        <v>108</v>
      </c>
      <c r="D92" s="15"/>
      <c r="E92" s="15"/>
      <c r="F92" s="15"/>
      <c r="G92" s="15"/>
      <c r="H92" s="15"/>
      <c r="I92" s="15"/>
      <c r="J92" s="15"/>
      <c r="K92" s="15"/>
      <c r="L92" s="15">
        <v>800</v>
      </c>
      <c r="M92" s="15">
        <v>-9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747</v>
      </c>
      <c r="T92" s="15">
        <v>0</v>
      </c>
      <c r="U92" s="15">
        <f>744-T92</f>
        <v>744</v>
      </c>
      <c r="V92" s="15"/>
      <c r="W92" s="15"/>
      <c r="Y92" s="15">
        <v>1310</v>
      </c>
      <c r="Z92" s="15">
        <v>0</v>
      </c>
      <c r="AA92" s="15">
        <v>0</v>
      </c>
      <c r="AB92" s="15">
        <v>791</v>
      </c>
      <c r="AC92" s="15">
        <v>747</v>
      </c>
    </row>
    <row r="93" spans="1:30" x14ac:dyDescent="0.25">
      <c r="C93" s="2" t="s">
        <v>109</v>
      </c>
      <c r="D93" s="15"/>
      <c r="E93" s="15"/>
      <c r="F93" s="15"/>
      <c r="G93" s="15"/>
      <c r="H93" s="15"/>
      <c r="I93" s="15"/>
      <c r="J93" s="15"/>
      <c r="K93" s="15"/>
      <c r="L93" s="15">
        <v>-31</v>
      </c>
      <c r="M93" s="15">
        <v>-59</v>
      </c>
      <c r="N93" s="15">
        <v>-57</v>
      </c>
      <c r="O93" s="15">
        <v>-55</v>
      </c>
      <c r="P93" s="15">
        <v>-51</v>
      </c>
      <c r="Q93" s="15">
        <v>-49</v>
      </c>
      <c r="R93" s="15">
        <v>-48</v>
      </c>
      <c r="S93" s="15">
        <v>-48</v>
      </c>
      <c r="T93" s="15">
        <v>-58</v>
      </c>
      <c r="U93" s="15">
        <f>-117-T93</f>
        <v>-59</v>
      </c>
      <c r="V93" s="15"/>
      <c r="W93" s="15"/>
      <c r="Y93" s="15">
        <v>0</v>
      </c>
      <c r="Z93" s="15">
        <v>-81</v>
      </c>
      <c r="AA93" s="15">
        <v>-121</v>
      </c>
      <c r="AB93" s="15">
        <v>-202</v>
      </c>
      <c r="AC93" s="15">
        <v>-196</v>
      </c>
    </row>
    <row r="94" spans="1:30" x14ac:dyDescent="0.25">
      <c r="C94" s="2" t="s">
        <v>110</v>
      </c>
      <c r="D94" s="15"/>
      <c r="E94" s="15"/>
      <c r="F94" s="15"/>
      <c r="G94" s="15"/>
      <c r="H94" s="15"/>
      <c r="I94" s="15"/>
      <c r="J94" s="15"/>
      <c r="K94" s="15"/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58</v>
      </c>
      <c r="T94" s="15">
        <v>8</v>
      </c>
      <c r="U94" s="15">
        <f>10-T94</f>
        <v>2</v>
      </c>
      <c r="V94" s="15"/>
      <c r="W94" s="15"/>
      <c r="Y94" s="15">
        <v>9450</v>
      </c>
      <c r="Z94" s="15">
        <v>202</v>
      </c>
      <c r="AA94" s="15">
        <v>-129</v>
      </c>
      <c r="AB94" s="15">
        <v>0</v>
      </c>
      <c r="AC94" s="15">
        <v>58</v>
      </c>
    </row>
    <row r="95" spans="1:30" x14ac:dyDescent="0.25">
      <c r="C95" s="2" t="s">
        <v>111</v>
      </c>
      <c r="D95" s="15"/>
      <c r="E95" s="15"/>
      <c r="F95" s="15"/>
      <c r="G95" s="15"/>
      <c r="H95" s="15"/>
      <c r="I95" s="15"/>
      <c r="J95" s="15"/>
      <c r="K95" s="15"/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-1</v>
      </c>
      <c r="T95" s="15">
        <v>0</v>
      </c>
      <c r="U95" s="15">
        <f>0-T95</f>
        <v>0</v>
      </c>
      <c r="V95" s="15"/>
      <c r="W95" s="15"/>
      <c r="Y95" s="15">
        <v>0</v>
      </c>
      <c r="Z95" s="15">
        <v>-311</v>
      </c>
      <c r="AA95" s="15">
        <v>0</v>
      </c>
      <c r="AB95" s="15">
        <v>0</v>
      </c>
      <c r="AC95" s="15">
        <v>-1</v>
      </c>
    </row>
    <row r="96" spans="1:30" s="16" customFormat="1" x14ac:dyDescent="0.25">
      <c r="A96" s="1"/>
      <c r="B96" s="20"/>
      <c r="C96" s="1" t="s">
        <v>112</v>
      </c>
      <c r="D96" s="16">
        <f>SUM(D90:D95)</f>
        <v>0</v>
      </c>
      <c r="E96" s="16">
        <f t="shared" ref="E96:S96" si="78">SUM(E90:E95)</f>
        <v>0</v>
      </c>
      <c r="F96" s="16">
        <f t="shared" si="78"/>
        <v>0</v>
      </c>
      <c r="G96" s="16">
        <f t="shared" si="78"/>
        <v>0</v>
      </c>
      <c r="H96" s="16">
        <f t="shared" si="78"/>
        <v>0</v>
      </c>
      <c r="I96" s="16">
        <f t="shared" si="78"/>
        <v>0</v>
      </c>
      <c r="J96" s="16">
        <f t="shared" si="78"/>
        <v>0</v>
      </c>
      <c r="K96" s="16">
        <f t="shared" si="78"/>
        <v>0</v>
      </c>
      <c r="L96" s="16">
        <f t="shared" si="78"/>
        <v>1228</v>
      </c>
      <c r="M96" s="16">
        <f t="shared" si="78"/>
        <v>-425</v>
      </c>
      <c r="N96" s="16">
        <f t="shared" si="78"/>
        <v>-57</v>
      </c>
      <c r="O96" s="16">
        <f t="shared" si="78"/>
        <v>-56</v>
      </c>
      <c r="P96" s="16">
        <f t="shared" si="78"/>
        <v>-51</v>
      </c>
      <c r="Q96" s="16">
        <f t="shared" si="78"/>
        <v>-49</v>
      </c>
      <c r="R96" s="16">
        <f t="shared" si="78"/>
        <v>-48</v>
      </c>
      <c r="S96" s="16">
        <f t="shared" si="78"/>
        <v>756</v>
      </c>
      <c r="T96" s="16">
        <f>SUM(T90:T95)</f>
        <v>-50</v>
      </c>
      <c r="U96" s="16">
        <f>SUM(U89:U95)</f>
        <v>-863</v>
      </c>
      <c r="X96" s="1"/>
      <c r="Y96" s="16">
        <f>SUM(Y89:Y95)</f>
        <v>16750</v>
      </c>
      <c r="Z96" s="16">
        <f t="shared" ref="Z96:AC96" si="79">SUM(Z89:Z95)</f>
        <v>131</v>
      </c>
      <c r="AA96" s="16">
        <f t="shared" si="79"/>
        <v>-56</v>
      </c>
      <c r="AB96" s="16">
        <f t="shared" si="79"/>
        <v>690</v>
      </c>
      <c r="AC96" s="16">
        <f t="shared" si="79"/>
        <v>608</v>
      </c>
      <c r="AD96" s="80"/>
    </row>
    <row r="97" spans="3:29" x14ac:dyDescent="0.25">
      <c r="T97" s="15"/>
      <c r="U97" s="15"/>
      <c r="V97" s="15"/>
      <c r="W97" s="15"/>
      <c r="Y97" s="2"/>
      <c r="Z97" s="2"/>
      <c r="AC97" s="2"/>
    </row>
    <row r="98" spans="3:29" x14ac:dyDescent="0.25">
      <c r="C98" s="2" t="s">
        <v>115</v>
      </c>
      <c r="L98" s="2">
        <v>124</v>
      </c>
      <c r="M98" s="2">
        <v>24</v>
      </c>
      <c r="N98" s="2">
        <v>-30</v>
      </c>
      <c r="O98" s="2">
        <v>56</v>
      </c>
      <c r="P98" s="2">
        <v>-27</v>
      </c>
      <c r="Q98" s="2">
        <v>-70</v>
      </c>
      <c r="R98" s="2">
        <v>15</v>
      </c>
      <c r="S98" s="2">
        <v>-101</v>
      </c>
      <c r="T98" s="15">
        <v>56</v>
      </c>
      <c r="U98" s="15">
        <f>109-T98</f>
        <v>53</v>
      </c>
      <c r="V98" s="15"/>
      <c r="W98" s="15"/>
      <c r="Y98" s="2">
        <v>1829</v>
      </c>
      <c r="Z98" s="2">
        <v>5004</v>
      </c>
      <c r="AA98" s="2">
        <v>94</v>
      </c>
      <c r="AB98" s="2">
        <v>174</v>
      </c>
      <c r="AC98" s="2">
        <v>-183</v>
      </c>
    </row>
    <row r="99" spans="3:29" x14ac:dyDescent="0.25">
      <c r="T99" s="15"/>
      <c r="U99" s="15"/>
      <c r="V99" s="15"/>
      <c r="W99" s="15"/>
      <c r="Y99" s="2"/>
      <c r="Z99" s="2"/>
      <c r="AA99" s="2"/>
      <c r="AB99" s="2"/>
      <c r="AC99" s="2"/>
    </row>
    <row r="100" spans="3:29" x14ac:dyDescent="0.25">
      <c r="C100" s="2" t="s">
        <v>113</v>
      </c>
      <c r="D100" s="15">
        <f>D83+D87+D96</f>
        <v>0</v>
      </c>
      <c r="E100" s="15">
        <f t="shared" ref="E100:R100" si="80">E83+E87+E96</f>
        <v>0</v>
      </c>
      <c r="F100" s="15">
        <f t="shared" si="80"/>
        <v>0</v>
      </c>
      <c r="G100" s="15">
        <f t="shared" si="80"/>
        <v>0</v>
      </c>
      <c r="H100" s="15">
        <f t="shared" si="80"/>
        <v>0</v>
      </c>
      <c r="I100" s="15">
        <f t="shared" si="80"/>
        <v>0</v>
      </c>
      <c r="J100" s="15">
        <f t="shared" si="80"/>
        <v>0</v>
      </c>
      <c r="K100" s="15">
        <f t="shared" si="80"/>
        <v>0</v>
      </c>
      <c r="L100" s="15">
        <f t="shared" si="80"/>
        <v>388</v>
      </c>
      <c r="M100" s="15">
        <f t="shared" si="80"/>
        <v>676</v>
      </c>
      <c r="N100" s="15">
        <f t="shared" si="80"/>
        <v>-1247</v>
      </c>
      <c r="O100" s="15">
        <f t="shared" si="80"/>
        <v>7589</v>
      </c>
      <c r="P100" s="15">
        <f t="shared" si="80"/>
        <v>-4770</v>
      </c>
      <c r="Q100" s="15">
        <f t="shared" si="80"/>
        <v>854</v>
      </c>
      <c r="R100" s="15">
        <f t="shared" si="80"/>
        <v>-832</v>
      </c>
      <c r="S100" s="15">
        <f>S83+S87+S96</f>
        <v>-880</v>
      </c>
      <c r="T100" s="15">
        <f>T83+T87+T96</f>
        <v>-643</v>
      </c>
      <c r="U100" s="15">
        <f>U83+U87+U96</f>
        <v>1170</v>
      </c>
      <c r="V100" s="15"/>
      <c r="W100" s="15"/>
      <c r="Y100" s="15">
        <f t="shared" ref="Y100:AC100" si="81">Y83+Y87+Y96</f>
        <v>3109</v>
      </c>
      <c r="Z100" s="15">
        <f t="shared" si="81"/>
        <v>1880</v>
      </c>
      <c r="AA100" s="15">
        <f t="shared" si="81"/>
        <v>-2811</v>
      </c>
      <c r="AB100" s="15">
        <f t="shared" si="81"/>
        <v>7406</v>
      </c>
      <c r="AC100" s="15">
        <f t="shared" si="81"/>
        <v>-5628</v>
      </c>
    </row>
    <row r="104" spans="3:29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AB104" s="16"/>
    </row>
    <row r="105" spans="3:29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AB105" s="16"/>
    </row>
    <row r="106" spans="3:29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17"/>
      <c r="Z106" s="17"/>
      <c r="AA106" s="17"/>
      <c r="AB106" s="17"/>
      <c r="AC106" s="17"/>
    </row>
    <row r="117" spans="3:28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AB117" s="16"/>
    </row>
    <row r="130" spans="3:28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AB130" s="16"/>
    </row>
    <row r="131" spans="3:28" x14ac:dyDescent="0.25">
      <c r="Q131" s="1"/>
    </row>
  </sheetData>
  <phoneticPr fontId="7" type="noConversion"/>
  <pageMargins left="0.7" right="0.7" top="0.75" bottom="0.75" header="0.3" footer="0.3"/>
  <ignoredErrors>
    <ignoredError sqref="Z28:AC28 AA30 AB30:AC30 P28:R28 L28:O28 T28" formulaRange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58E0-3BA5-6740-BE74-082DF7085DA4}">
  <dimension ref="A4:AA30"/>
  <sheetViews>
    <sheetView showGridLines="0" workbookViewId="0">
      <pane xSplit="2" ySplit="4" topLeftCell="O5" activePane="bottomRight" state="frozen"/>
      <selection pane="topRight" activeCell="C1" sqref="C1"/>
      <selection pane="bottomLeft" activeCell="A5" sqref="A5"/>
      <selection pane="bottomRight" activeCell="F36" sqref="F36"/>
    </sheetView>
  </sheetViews>
  <sheetFormatPr baseColWidth="10" defaultRowHeight="19" x14ac:dyDescent="0.25"/>
  <cols>
    <col min="1" max="1" width="10.83203125" style="2"/>
    <col min="2" max="2" width="23.33203125" style="2" customWidth="1"/>
    <col min="3" max="3" width="14" style="2" customWidth="1"/>
    <col min="4" max="16384" width="10.83203125" style="2"/>
  </cols>
  <sheetData>
    <row r="4" spans="1:27" x14ac:dyDescent="0.25">
      <c r="B4" s="2" t="s">
        <v>38</v>
      </c>
      <c r="C4" s="4" t="s">
        <v>3</v>
      </c>
      <c r="D4" s="4" t="s">
        <v>4</v>
      </c>
      <c r="E4" s="4" t="s">
        <v>5</v>
      </c>
      <c r="F4" s="4" t="s">
        <v>6</v>
      </c>
      <c r="G4" s="34">
        <v>2022</v>
      </c>
      <c r="H4" s="4" t="s">
        <v>7</v>
      </c>
      <c r="I4" s="4" t="s">
        <v>8</v>
      </c>
      <c r="J4" s="4" t="s">
        <v>9</v>
      </c>
      <c r="K4" s="4" t="s">
        <v>10</v>
      </c>
      <c r="L4" s="34">
        <v>2023</v>
      </c>
      <c r="M4" s="4" t="s">
        <v>11</v>
      </c>
      <c r="N4" s="4" t="s">
        <v>12</v>
      </c>
      <c r="O4" s="4" t="s">
        <v>13</v>
      </c>
      <c r="P4" s="4" t="s">
        <v>14</v>
      </c>
      <c r="Q4" s="34">
        <v>2024</v>
      </c>
      <c r="R4" s="4" t="s">
        <v>31</v>
      </c>
      <c r="S4" s="4" t="s">
        <v>28</v>
      </c>
      <c r="T4" s="4" t="s">
        <v>29</v>
      </c>
      <c r="U4" s="4" t="s">
        <v>30</v>
      </c>
      <c r="V4" s="34">
        <v>2025</v>
      </c>
      <c r="W4" s="4" t="s">
        <v>116</v>
      </c>
      <c r="X4" s="4" t="s">
        <v>117</v>
      </c>
      <c r="Y4" s="4" t="s">
        <v>118</v>
      </c>
      <c r="Z4" s="4" t="s">
        <v>119</v>
      </c>
      <c r="AA4" s="41">
        <v>2026</v>
      </c>
    </row>
    <row r="5" spans="1:27" x14ac:dyDescent="0.25">
      <c r="B5" s="1" t="s">
        <v>123</v>
      </c>
      <c r="G5" s="35"/>
      <c r="H5" s="1"/>
      <c r="L5" s="35"/>
      <c r="N5" s="1"/>
      <c r="Q5" s="35"/>
      <c r="V5" s="35"/>
      <c r="AA5" s="35"/>
    </row>
    <row r="6" spans="1:27" s="1" customFormat="1" x14ac:dyDescent="0.25">
      <c r="B6" s="16" t="s">
        <v>124</v>
      </c>
      <c r="C6" s="16"/>
      <c r="D6" s="16"/>
      <c r="E6" s="16"/>
      <c r="F6" s="16"/>
      <c r="G6" s="39"/>
      <c r="H6" s="16"/>
      <c r="I6" s="16"/>
      <c r="J6" s="16">
        <v>75.099999999999994</v>
      </c>
      <c r="K6" s="16">
        <v>76.2</v>
      </c>
      <c r="L6" s="39"/>
      <c r="M6" s="16">
        <v>79.2</v>
      </c>
      <c r="N6" s="16">
        <v>81</v>
      </c>
      <c r="O6" s="16">
        <v>84.4</v>
      </c>
      <c r="P6" s="16">
        <v>87.4</v>
      </c>
      <c r="Q6" s="39"/>
      <c r="R6" s="40">
        <v>86.8</v>
      </c>
      <c r="S6" s="16">
        <v>89.7</v>
      </c>
      <c r="T6" s="16">
        <v>92.5</v>
      </c>
      <c r="U6" s="1">
        <v>93</v>
      </c>
      <c r="V6" s="41"/>
      <c r="W6" s="1">
        <v>96.9</v>
      </c>
      <c r="X6" s="1">
        <v>99.9</v>
      </c>
      <c r="AA6" s="41"/>
    </row>
    <row r="7" spans="1:27" s="24" customFormat="1" x14ac:dyDescent="0.25">
      <c r="B7" s="24" t="s">
        <v>136</v>
      </c>
      <c r="G7" s="36"/>
      <c r="H7" s="24" t="e">
        <f>(H6-C6)/C6</f>
        <v>#DIV/0!</v>
      </c>
      <c r="I7" s="24" t="e">
        <f>(I6-D6)/D6</f>
        <v>#DIV/0!</v>
      </c>
      <c r="J7" s="24" t="e">
        <f>(J6-E6)/E6</f>
        <v>#DIV/0!</v>
      </c>
      <c r="K7" s="24" t="e">
        <f>(K6-F6)/F6</f>
        <v>#DIV/0!</v>
      </c>
      <c r="L7" s="36"/>
      <c r="M7" s="24" t="e">
        <f>(M6-H6)/H6</f>
        <v>#DIV/0!</v>
      </c>
      <c r="N7" s="24" t="e">
        <f>(N6-I6)/I6</f>
        <v>#DIV/0!</v>
      </c>
      <c r="O7" s="24">
        <f>(O6-J6)/J6</f>
        <v>0.12383488681757672</v>
      </c>
      <c r="P7" s="24">
        <f>(P6-K6)/K6</f>
        <v>0.14698162729658795</v>
      </c>
      <c r="Q7" s="36"/>
      <c r="R7" s="24">
        <f>(R6-M6)/M6</f>
        <v>9.5959595959595884E-2</v>
      </c>
      <c r="S7" s="24">
        <f>(S6-N6)/N6</f>
        <v>0.10740740740740744</v>
      </c>
      <c r="T7" s="24">
        <f>(T6-O6)/O6</f>
        <v>9.5971563981042576E-2</v>
      </c>
      <c r="U7" s="24">
        <f>(U6-P6)/P6</f>
        <v>6.4073226544622358E-2</v>
      </c>
      <c r="V7" s="36"/>
      <c r="W7" s="24">
        <f>(W6-R6)/R6</f>
        <v>0.1163594470046084</v>
      </c>
      <c r="X7" s="24">
        <f>(X6-S6)/S6</f>
        <v>0.11371237458193982</v>
      </c>
      <c r="AA7" s="36"/>
    </row>
    <row r="8" spans="1:27" s="24" customFormat="1" x14ac:dyDescent="0.25">
      <c r="B8" s="24" t="s">
        <v>125</v>
      </c>
      <c r="G8" s="36"/>
      <c r="J8" s="24">
        <v>8.4000000000000005E-2</v>
      </c>
      <c r="K8" s="24">
        <v>8.4000000000000005E-2</v>
      </c>
      <c r="L8" s="36"/>
      <c r="M8" s="24">
        <v>8.2000000000000003E-2</v>
      </c>
      <c r="N8" s="24">
        <v>8.3000000000000004E-2</v>
      </c>
      <c r="O8" s="24">
        <v>8.5000000000000006E-2</v>
      </c>
      <c r="P8" s="24">
        <v>8.6999999999999994E-2</v>
      </c>
      <c r="Q8" s="36"/>
      <c r="R8" s="24">
        <v>8.5999999999999993E-2</v>
      </c>
      <c r="S8" s="24">
        <v>8.5000000000000006E-2</v>
      </c>
      <c r="T8" s="24">
        <v>8.7999999999999995E-2</v>
      </c>
      <c r="U8" s="24">
        <v>8.6999999999999994E-2</v>
      </c>
      <c r="V8" s="36"/>
      <c r="W8" s="24">
        <v>8.4000000000000005E-2</v>
      </c>
      <c r="X8" s="24">
        <v>8.5999999999999993E-2</v>
      </c>
      <c r="AA8" s="36"/>
    </row>
    <row r="9" spans="1:27" s="24" customFormat="1" x14ac:dyDescent="0.25">
      <c r="B9" s="24" t="s">
        <v>126</v>
      </c>
      <c r="G9" s="36"/>
      <c r="J9" s="24">
        <v>4.9000000000000002E-2</v>
      </c>
      <c r="K9" s="24">
        <v>5.0999999999999997E-2</v>
      </c>
      <c r="L9" s="36"/>
      <c r="M9" s="24">
        <v>4.7E-2</v>
      </c>
      <c r="N9" s="24">
        <v>3.7999999999999999E-2</v>
      </c>
      <c r="O9" s="24">
        <v>3.9E-2</v>
      </c>
      <c r="P9" s="24">
        <v>4.5999999999999999E-2</v>
      </c>
      <c r="Q9" s="36"/>
      <c r="R9" s="24">
        <v>0.04</v>
      </c>
      <c r="S9" s="24">
        <v>3.3000000000000002E-2</v>
      </c>
      <c r="T9" s="24">
        <v>3.3000000000000002E-2</v>
      </c>
      <c r="U9" s="24">
        <v>3.3000000000000002E-2</v>
      </c>
      <c r="V9" s="36"/>
      <c r="W9" s="24">
        <v>3.2000000000000001E-2</v>
      </c>
      <c r="X9" s="24">
        <v>2.9000000000000001E-2</v>
      </c>
      <c r="AA9" s="36"/>
    </row>
    <row r="10" spans="1:27" s="15" customFormat="1" x14ac:dyDescent="0.25">
      <c r="B10" s="15" t="s">
        <v>127</v>
      </c>
      <c r="G10" s="37"/>
      <c r="H10" s="16"/>
      <c r="J10" s="15">
        <v>1597</v>
      </c>
      <c r="K10" s="15">
        <v>1651</v>
      </c>
      <c r="L10" s="37"/>
      <c r="M10" s="15">
        <v>1644</v>
      </c>
      <c r="N10" s="15">
        <v>1707</v>
      </c>
      <c r="O10" s="15">
        <v>1798</v>
      </c>
      <c r="P10" s="15">
        <v>1916</v>
      </c>
      <c r="Q10" s="37">
        <f>SUM(M10:P10)</f>
        <v>7065</v>
      </c>
      <c r="R10" s="15">
        <v>1943</v>
      </c>
      <c r="S10" s="15">
        <v>1901</v>
      </c>
      <c r="T10" s="15">
        <v>2056</v>
      </c>
      <c r="U10" s="15">
        <v>2101</v>
      </c>
      <c r="V10" s="37">
        <f>SUM(R10:U10)</f>
        <v>8001</v>
      </c>
      <c r="W10" s="15">
        <v>2104</v>
      </c>
      <c r="X10" s="15">
        <v>2190</v>
      </c>
      <c r="AA10" s="37">
        <f>SUM(W10:Z10)</f>
        <v>4294</v>
      </c>
    </row>
    <row r="11" spans="1:27" s="32" customFormat="1" ht="20" thickBot="1" x14ac:dyDescent="0.3">
      <c r="A11" s="24"/>
      <c r="B11" s="32" t="s">
        <v>128</v>
      </c>
      <c r="G11" s="38"/>
      <c r="J11" s="32">
        <v>0.25</v>
      </c>
      <c r="K11" s="32">
        <v>0.2</v>
      </c>
      <c r="L11" s="38"/>
      <c r="M11" s="32">
        <v>0.22</v>
      </c>
      <c r="N11" s="32">
        <v>0.21</v>
      </c>
      <c r="O11" s="32">
        <v>0.2</v>
      </c>
      <c r="P11" s="32">
        <v>0.21</v>
      </c>
      <c r="Q11" s="38"/>
      <c r="R11" s="32">
        <v>0.2</v>
      </c>
      <c r="S11" s="32">
        <v>0.22</v>
      </c>
      <c r="T11" s="32">
        <v>0.21</v>
      </c>
      <c r="U11" s="32">
        <v>0.21</v>
      </c>
      <c r="V11" s="38"/>
      <c r="W11" s="32">
        <v>0.21</v>
      </c>
      <c r="X11" s="32">
        <v>0.21</v>
      </c>
      <c r="AA11" s="38"/>
    </row>
    <row r="12" spans="1:27" x14ac:dyDescent="0.25">
      <c r="B12" s="1" t="s">
        <v>130</v>
      </c>
      <c r="C12" s="15"/>
      <c r="D12" s="15"/>
      <c r="E12" s="15"/>
      <c r="F12" s="15"/>
      <c r="G12" s="37"/>
      <c r="H12" s="16"/>
      <c r="I12" s="15"/>
      <c r="J12" s="15"/>
      <c r="K12" s="15"/>
      <c r="L12" s="37"/>
      <c r="M12" s="15"/>
      <c r="N12" s="16"/>
      <c r="O12" s="15"/>
      <c r="P12" s="15"/>
      <c r="Q12" s="37"/>
      <c r="R12" s="15"/>
      <c r="S12" s="15"/>
      <c r="T12" s="15"/>
      <c r="V12" s="35"/>
      <c r="AA12" s="35"/>
    </row>
    <row r="13" spans="1:27" s="1" customFormat="1" x14ac:dyDescent="0.25">
      <c r="B13" s="16" t="s">
        <v>124</v>
      </c>
      <c r="C13" s="16"/>
      <c r="D13" s="16"/>
      <c r="E13" s="16"/>
      <c r="F13" s="16"/>
      <c r="G13" s="39"/>
      <c r="H13" s="16"/>
      <c r="I13" s="16"/>
      <c r="J13" s="16">
        <v>14</v>
      </c>
      <c r="K13" s="16">
        <v>15.2</v>
      </c>
      <c r="L13" s="39"/>
      <c r="M13" s="16">
        <v>16.399999999999999</v>
      </c>
      <c r="N13" s="16">
        <v>173</v>
      </c>
      <c r="O13" s="16">
        <v>18</v>
      </c>
      <c r="P13" s="16">
        <v>18.2</v>
      </c>
      <c r="Q13" s="39"/>
      <c r="R13" s="40">
        <v>18.3</v>
      </c>
      <c r="S13" s="16">
        <v>18.8</v>
      </c>
      <c r="T13" s="16">
        <v>19.5</v>
      </c>
      <c r="U13" s="1">
        <v>19.600000000000001</v>
      </c>
      <c r="V13" s="41"/>
      <c r="W13" s="1">
        <v>20.5</v>
      </c>
      <c r="X13" s="1">
        <v>21.1</v>
      </c>
      <c r="AA13" s="41"/>
    </row>
    <row r="14" spans="1:27" x14ac:dyDescent="0.25">
      <c r="B14" s="15" t="s">
        <v>136</v>
      </c>
      <c r="C14" s="15"/>
      <c r="D14" s="15"/>
      <c r="E14" s="15"/>
      <c r="F14" s="15"/>
      <c r="G14" s="37"/>
      <c r="H14" s="24" t="e">
        <f>(H13-C13)/C13</f>
        <v>#DIV/0!</v>
      </c>
      <c r="I14" s="24" t="e">
        <f>(I13-D13)/D13</f>
        <v>#DIV/0!</v>
      </c>
      <c r="J14" s="24" t="e">
        <f>(J13-E13)/E13</f>
        <v>#DIV/0!</v>
      </c>
      <c r="K14" s="24" t="e">
        <f>(K13-F13)/F13</f>
        <v>#DIV/0!</v>
      </c>
      <c r="L14" s="37"/>
      <c r="M14" s="24" t="e">
        <f>(M13-H13)/H13</f>
        <v>#DIV/0!</v>
      </c>
      <c r="N14" s="24" t="e">
        <f>(N13-I13)/I13</f>
        <v>#DIV/0!</v>
      </c>
      <c r="O14" s="24">
        <f>(O13-J13)/J13</f>
        <v>0.2857142857142857</v>
      </c>
      <c r="P14" s="24">
        <f>(P13-K13)/K13</f>
        <v>0.19736842105263158</v>
      </c>
      <c r="Q14" s="37"/>
      <c r="R14" s="24">
        <f>(R13-M13)/M13</f>
        <v>0.11585365853658551</v>
      </c>
      <c r="S14" s="24">
        <f>(S13-N13)/N13</f>
        <v>-0.89132947976878607</v>
      </c>
      <c r="T14" s="24">
        <f>(T13-O13)/O13</f>
        <v>8.3333333333333329E-2</v>
      </c>
      <c r="U14" s="24">
        <f>(U13-P13)/P13</f>
        <v>7.6923076923077038E-2</v>
      </c>
      <c r="V14" s="35"/>
      <c r="W14" s="24">
        <f>(W13-R13)/R13</f>
        <v>0.12021857923497263</v>
      </c>
      <c r="X14" s="24">
        <f>(X13-S13)/S13</f>
        <v>0.12234042553191493</v>
      </c>
      <c r="Y14" s="24"/>
      <c r="Z14" s="24"/>
      <c r="AA14" s="35"/>
    </row>
    <row r="15" spans="1:27" s="19" customFormat="1" x14ac:dyDescent="0.25">
      <c r="A15" s="2"/>
      <c r="B15" s="24" t="s">
        <v>125</v>
      </c>
      <c r="C15" s="24"/>
      <c r="D15" s="24"/>
      <c r="E15" s="24"/>
      <c r="F15" s="24"/>
      <c r="G15" s="36"/>
      <c r="H15" s="24"/>
      <c r="I15" s="24"/>
      <c r="J15" s="24">
        <v>0.104</v>
      </c>
      <c r="K15" s="24">
        <v>9.8000000000000004E-2</v>
      </c>
      <c r="L15" s="36"/>
      <c r="M15" s="24">
        <v>9.6000000000000002E-2</v>
      </c>
      <c r="N15" s="24">
        <v>9.4E-2</v>
      </c>
      <c r="O15" s="24">
        <v>9.7000000000000003E-2</v>
      </c>
      <c r="P15" s="24">
        <v>0.106</v>
      </c>
      <c r="Q15" s="36"/>
      <c r="R15" s="24">
        <v>0.104</v>
      </c>
      <c r="S15" s="24">
        <v>0.104</v>
      </c>
      <c r="T15" s="24">
        <v>0.105</v>
      </c>
      <c r="U15" s="24">
        <v>0.11</v>
      </c>
      <c r="V15" s="36"/>
      <c r="W15" s="24">
        <v>0.105</v>
      </c>
      <c r="X15" s="24">
        <v>0.104</v>
      </c>
      <c r="AA15" s="36"/>
    </row>
    <row r="16" spans="1:27" s="13" customFormat="1" x14ac:dyDescent="0.25">
      <c r="A16" s="2"/>
      <c r="B16" s="24" t="s">
        <v>126</v>
      </c>
      <c r="C16" s="24"/>
      <c r="D16" s="24"/>
      <c r="E16" s="24"/>
      <c r="F16" s="24"/>
      <c r="G16" s="36"/>
      <c r="H16" s="24"/>
      <c r="I16" s="24"/>
      <c r="J16" s="24">
        <v>0.04</v>
      </c>
      <c r="K16" s="24">
        <v>3.5999999999999997E-2</v>
      </c>
      <c r="L16" s="36"/>
      <c r="M16" s="24">
        <v>3.5000000000000003E-2</v>
      </c>
      <c r="N16" s="24">
        <v>0.03</v>
      </c>
      <c r="O16" s="24">
        <v>0.03</v>
      </c>
      <c r="P16" s="24">
        <v>2.9000000000000001E-2</v>
      </c>
      <c r="Q16" s="36"/>
      <c r="R16" s="24">
        <v>2.9000000000000001E-2</v>
      </c>
      <c r="S16" s="24">
        <v>0.03</v>
      </c>
      <c r="T16" s="24">
        <v>2.9000000000000001E-2</v>
      </c>
      <c r="U16" s="24">
        <v>3.7999999999999999E-2</v>
      </c>
      <c r="V16" s="36"/>
      <c r="W16" s="24">
        <v>3.1E-2</v>
      </c>
      <c r="X16" s="24">
        <v>0.03</v>
      </c>
      <c r="AA16" s="36"/>
    </row>
    <row r="17" spans="1:27" x14ac:dyDescent="0.25">
      <c r="B17" s="2" t="s">
        <v>127</v>
      </c>
      <c r="G17" s="35"/>
      <c r="H17" s="1"/>
      <c r="J17" s="2">
        <v>432</v>
      </c>
      <c r="K17" s="2">
        <v>414</v>
      </c>
      <c r="L17" s="35"/>
      <c r="M17" s="2">
        <v>454</v>
      </c>
      <c r="N17" s="2">
        <v>501</v>
      </c>
      <c r="O17" s="2">
        <v>538</v>
      </c>
      <c r="P17" s="2">
        <v>578</v>
      </c>
      <c r="Q17" s="37">
        <f>SUM(M17:P17)</f>
        <v>2071</v>
      </c>
      <c r="R17" s="2">
        <v>602</v>
      </c>
      <c r="S17" s="2">
        <v>610</v>
      </c>
      <c r="T17" s="2">
        <v>662</v>
      </c>
      <c r="U17" s="2">
        <v>636</v>
      </c>
      <c r="V17" s="37">
        <f>SUM(R17:U17)</f>
        <v>2510</v>
      </c>
      <c r="W17" s="2">
        <v>642</v>
      </c>
      <c r="X17" s="2">
        <v>659</v>
      </c>
      <c r="AA17" s="37">
        <f>SUM(W17:Z17)</f>
        <v>1301</v>
      </c>
    </row>
    <row r="18" spans="1:27" s="32" customFormat="1" ht="20" thickBot="1" x14ac:dyDescent="0.3">
      <c r="A18" s="24"/>
      <c r="B18" s="32" t="s">
        <v>128</v>
      </c>
      <c r="G18" s="38"/>
      <c r="J18" s="32">
        <v>0.49</v>
      </c>
      <c r="K18" s="32">
        <v>0.45</v>
      </c>
      <c r="L18" s="38"/>
      <c r="M18" s="32">
        <v>0.33</v>
      </c>
      <c r="N18" s="32">
        <v>0.34</v>
      </c>
      <c r="O18" s="32">
        <v>0.33</v>
      </c>
      <c r="P18" s="32">
        <v>0.31</v>
      </c>
      <c r="Q18" s="38"/>
      <c r="R18" s="32">
        <v>0.25</v>
      </c>
      <c r="S18" s="32">
        <v>0.22</v>
      </c>
      <c r="T18" s="32">
        <v>0.24</v>
      </c>
      <c r="U18" s="32">
        <v>0.28000000000000003</v>
      </c>
      <c r="V18" s="38"/>
      <c r="W18" s="32">
        <v>0.24</v>
      </c>
      <c r="X18" s="32">
        <v>0.27</v>
      </c>
      <c r="AA18" s="38"/>
    </row>
    <row r="19" spans="1:27" x14ac:dyDescent="0.25">
      <c r="B19" s="1" t="s">
        <v>131</v>
      </c>
      <c r="C19" s="15"/>
      <c r="D19" s="15"/>
      <c r="E19" s="15"/>
      <c r="F19" s="15"/>
      <c r="G19" s="37"/>
      <c r="H19" s="16"/>
      <c r="I19" s="15"/>
      <c r="J19" s="15"/>
      <c r="K19" s="15"/>
      <c r="L19" s="37"/>
      <c r="M19" s="15"/>
      <c r="N19" s="16"/>
      <c r="O19" s="15"/>
      <c r="P19" s="15"/>
      <c r="Q19" s="37"/>
      <c r="R19" s="15"/>
      <c r="S19" s="15"/>
      <c r="T19" s="15"/>
      <c r="V19" s="35"/>
      <c r="AA19" s="35"/>
    </row>
    <row r="20" spans="1:27" s="1" customFormat="1" x14ac:dyDescent="0.25">
      <c r="B20" s="16" t="s">
        <v>124</v>
      </c>
      <c r="C20" s="16"/>
      <c r="D20" s="16"/>
      <c r="E20" s="16"/>
      <c r="F20" s="16"/>
      <c r="G20" s="39"/>
      <c r="H20" s="16"/>
      <c r="I20" s="16"/>
      <c r="J20" s="16">
        <v>17.3</v>
      </c>
      <c r="K20" s="16">
        <v>17.5</v>
      </c>
      <c r="L20" s="39"/>
      <c r="M20" s="16">
        <v>17.7</v>
      </c>
      <c r="N20" s="16">
        <v>17.8</v>
      </c>
      <c r="O20" s="16">
        <v>17.8</v>
      </c>
      <c r="P20" s="16">
        <v>18</v>
      </c>
      <c r="Q20" s="39"/>
      <c r="R20" s="40">
        <v>18</v>
      </c>
      <c r="S20" s="16">
        <v>18.399999999999999</v>
      </c>
      <c r="T20" s="16">
        <v>18.8</v>
      </c>
      <c r="U20" s="1">
        <v>19.2</v>
      </c>
      <c r="V20" s="41"/>
      <c r="W20" s="1">
        <v>20.100000000000001</v>
      </c>
      <c r="X20" s="1">
        <v>20.7</v>
      </c>
      <c r="AA20" s="41"/>
    </row>
    <row r="21" spans="1:27" x14ac:dyDescent="0.25">
      <c r="B21" s="15" t="s">
        <v>136</v>
      </c>
      <c r="C21" s="15"/>
      <c r="D21" s="15"/>
      <c r="E21" s="15"/>
      <c r="F21" s="15"/>
      <c r="G21" s="37"/>
      <c r="H21" s="24" t="e">
        <f>(H20-C20)/C20</f>
        <v>#DIV/0!</v>
      </c>
      <c r="I21" s="24" t="e">
        <f>(I20-D20)/D20</f>
        <v>#DIV/0!</v>
      </c>
      <c r="J21" s="24" t="e">
        <f>(J20-E20)/E20</f>
        <v>#DIV/0!</v>
      </c>
      <c r="K21" s="24" t="e">
        <f>(K20-F20)/F20</f>
        <v>#DIV/0!</v>
      </c>
      <c r="L21" s="37"/>
      <c r="M21" s="24" t="e">
        <f>(M20-H20)/H20</f>
        <v>#DIV/0!</v>
      </c>
      <c r="N21" s="24" t="e">
        <f>(N20-I20)/I20</f>
        <v>#DIV/0!</v>
      </c>
      <c r="O21" s="24">
        <f>(O20-J20)/J20</f>
        <v>2.8901734104046242E-2</v>
      </c>
      <c r="P21" s="24">
        <f>(P20-K20)/K20</f>
        <v>2.8571428571428571E-2</v>
      </c>
      <c r="Q21" s="37"/>
      <c r="R21" s="24">
        <f>(R20-M20)/M20</f>
        <v>1.6949152542372923E-2</v>
      </c>
      <c r="S21" s="24">
        <f>(S20-N20)/N20</f>
        <v>3.3707865168539207E-2</v>
      </c>
      <c r="T21" s="24">
        <f>(T20-O20)/O20</f>
        <v>5.6179775280898875E-2</v>
      </c>
      <c r="U21" s="24">
        <f>(U20-P20)/P20</f>
        <v>6.6666666666666624E-2</v>
      </c>
      <c r="V21" s="35"/>
      <c r="W21" s="24">
        <f>(W20-R20)/R20</f>
        <v>0.11666666666666675</v>
      </c>
      <c r="X21" s="24">
        <f>(X20-S20)/S20</f>
        <v>0.12500000000000006</v>
      </c>
      <c r="Y21" s="24"/>
      <c r="Z21" s="24"/>
      <c r="AA21" s="35"/>
    </row>
    <row r="22" spans="1:27" s="19" customFormat="1" x14ac:dyDescent="0.25">
      <c r="A22" s="2"/>
      <c r="B22" s="24" t="s">
        <v>125</v>
      </c>
      <c r="C22" s="24"/>
      <c r="D22" s="24"/>
      <c r="E22" s="24"/>
      <c r="F22" s="24"/>
      <c r="G22" s="36"/>
      <c r="H22" s="24"/>
      <c r="I22" s="24"/>
      <c r="J22" s="24">
        <v>3.7999999999999999E-2</v>
      </c>
      <c r="K22" s="24">
        <v>3.6999999999999998E-2</v>
      </c>
      <c r="L22" s="36"/>
      <c r="M22" s="24">
        <v>3.5999999999999997E-2</v>
      </c>
      <c r="N22" s="24">
        <v>3.9E-2</v>
      </c>
      <c r="O22" s="24">
        <v>3.7999999999999999E-2</v>
      </c>
      <c r="P22" s="24">
        <v>0.04</v>
      </c>
      <c r="Q22" s="36"/>
      <c r="R22" s="24">
        <v>3.7999999999999999E-2</v>
      </c>
      <c r="S22" s="24">
        <v>3.9E-2</v>
      </c>
      <c r="T22" s="24">
        <v>3.9E-2</v>
      </c>
      <c r="U22" s="24">
        <v>3.7999999999999999E-2</v>
      </c>
      <c r="V22" s="36"/>
      <c r="W22" s="24">
        <v>3.4000000000000002E-2</v>
      </c>
      <c r="X22" s="24">
        <v>3.5000000000000003E-2</v>
      </c>
      <c r="AA22" s="36"/>
    </row>
    <row r="23" spans="1:27" s="13" customFormat="1" x14ac:dyDescent="0.25">
      <c r="A23" s="2"/>
      <c r="B23" s="24" t="s">
        <v>126</v>
      </c>
      <c r="C23" s="24"/>
      <c r="D23" s="24"/>
      <c r="E23" s="24"/>
      <c r="F23" s="24"/>
      <c r="G23" s="36"/>
      <c r="H23" s="24"/>
      <c r="I23" s="24"/>
      <c r="J23" s="24">
        <v>6.0000000000000001E-3</v>
      </c>
      <c r="K23" s="24">
        <v>1E-3</v>
      </c>
      <c r="L23" s="36"/>
      <c r="M23" s="24">
        <v>1E-3</v>
      </c>
      <c r="N23" s="24">
        <v>4.0000000000000001E-3</v>
      </c>
      <c r="O23" s="24">
        <v>2E-3</v>
      </c>
      <c r="P23" s="24">
        <v>-1E-3</v>
      </c>
      <c r="Q23" s="36"/>
      <c r="R23" s="24">
        <v>2E-3</v>
      </c>
      <c r="S23" s="24">
        <v>4.0000000000000001E-3</v>
      </c>
      <c r="T23" s="24">
        <v>3.0000000000000001E-3</v>
      </c>
      <c r="U23" s="24">
        <v>4.0000000000000001E-3</v>
      </c>
      <c r="V23" s="36"/>
      <c r="W23" s="24">
        <v>0</v>
      </c>
      <c r="X23" s="24">
        <v>2E-3</v>
      </c>
      <c r="AA23" s="36"/>
    </row>
    <row r="24" spans="1:27" x14ac:dyDescent="0.25">
      <c r="B24" s="2" t="s">
        <v>127</v>
      </c>
      <c r="G24" s="35"/>
      <c r="H24" s="1"/>
      <c r="J24" s="2">
        <v>161</v>
      </c>
      <c r="K24" s="2">
        <v>164</v>
      </c>
      <c r="L24" s="35"/>
      <c r="M24" s="2">
        <v>159</v>
      </c>
      <c r="N24" s="2">
        <v>169</v>
      </c>
      <c r="O24" s="2">
        <v>168</v>
      </c>
      <c r="P24" s="2">
        <v>179</v>
      </c>
      <c r="Q24" s="37">
        <f>SUM(M24:P24)</f>
        <v>675</v>
      </c>
      <c r="R24" s="2">
        <v>173</v>
      </c>
      <c r="S24" s="2">
        <v>175</v>
      </c>
      <c r="T24" s="2">
        <v>181</v>
      </c>
      <c r="U24" s="2">
        <v>179</v>
      </c>
      <c r="V24" s="37">
        <f>SUM(R24:U24)</f>
        <v>708</v>
      </c>
      <c r="W24" s="2">
        <v>168</v>
      </c>
      <c r="X24" s="2">
        <v>174</v>
      </c>
      <c r="AA24" s="37">
        <f>SUM(W24:Z24)</f>
        <v>342</v>
      </c>
    </row>
    <row r="25" spans="1:27" s="32" customFormat="1" ht="20" thickBot="1" x14ac:dyDescent="0.3">
      <c r="A25" s="24"/>
      <c r="B25" s="32" t="s">
        <v>128</v>
      </c>
      <c r="G25" s="38"/>
      <c r="J25" s="32">
        <v>0.31</v>
      </c>
      <c r="K25" s="32">
        <v>0.31</v>
      </c>
      <c r="L25" s="38"/>
      <c r="M25" s="32">
        <v>0.25</v>
      </c>
      <c r="N25" s="32">
        <v>0.24</v>
      </c>
      <c r="O25" s="32">
        <v>0.22</v>
      </c>
      <c r="P25" s="32">
        <v>0.26</v>
      </c>
      <c r="Q25" s="38"/>
      <c r="R25" s="32">
        <v>0.22</v>
      </c>
      <c r="S25" s="32">
        <v>0.24</v>
      </c>
      <c r="T25" s="32">
        <v>0.22</v>
      </c>
      <c r="U25" s="32">
        <v>0.26</v>
      </c>
      <c r="V25" s="38"/>
      <c r="W25" s="32">
        <v>0.27</v>
      </c>
      <c r="X25" s="32">
        <v>0.28999999999999998</v>
      </c>
      <c r="AA25" s="38"/>
    </row>
    <row r="26" spans="1:27" x14ac:dyDescent="0.25">
      <c r="H26" s="22"/>
    </row>
    <row r="27" spans="1:27" x14ac:dyDescent="0.25">
      <c r="B27" s="19"/>
      <c r="C27" s="19"/>
      <c r="D27" s="19"/>
      <c r="E27" s="19"/>
      <c r="F27" s="19"/>
      <c r="G27" s="19"/>
      <c r="H27" s="21"/>
      <c r="I27" s="19"/>
      <c r="J27" s="19"/>
      <c r="K27" s="19"/>
      <c r="L27" s="19"/>
      <c r="M27" s="19"/>
      <c r="N27" s="21"/>
      <c r="O27" s="19"/>
      <c r="P27" s="19"/>
      <c r="Q27" s="19"/>
      <c r="R27" s="19"/>
      <c r="S27" s="19"/>
      <c r="T27" s="19"/>
    </row>
    <row r="28" spans="1:27" x14ac:dyDescent="0.25">
      <c r="B28" s="13"/>
      <c r="C28" s="13"/>
      <c r="D28" s="13"/>
      <c r="E28" s="13"/>
      <c r="F28" s="13"/>
      <c r="G28" s="13"/>
      <c r="H28" s="14"/>
      <c r="I28" s="13"/>
      <c r="J28" s="13"/>
      <c r="K28" s="13"/>
      <c r="L28" s="13"/>
      <c r="M28" s="13"/>
      <c r="N28" s="14"/>
      <c r="O28" s="13"/>
      <c r="P28" s="13"/>
      <c r="Q28" s="13"/>
      <c r="R28" s="13"/>
      <c r="S28" s="13"/>
      <c r="T28" s="13"/>
    </row>
    <row r="29" spans="1:27" x14ac:dyDescent="0.25">
      <c r="B29" s="13"/>
      <c r="C29" s="13"/>
      <c r="D29" s="13"/>
      <c r="E29" s="13"/>
      <c r="F29" s="13"/>
      <c r="G29" s="13"/>
      <c r="H29" s="14"/>
      <c r="I29" s="13"/>
      <c r="J29" s="13"/>
      <c r="K29" s="13"/>
      <c r="L29" s="13"/>
      <c r="M29" s="13"/>
      <c r="N29" s="14"/>
      <c r="O29" s="13"/>
      <c r="P29" s="13"/>
      <c r="Q29" s="13"/>
      <c r="R29" s="13"/>
      <c r="S29" s="13"/>
      <c r="T29" s="13"/>
    </row>
    <row r="30" spans="1:27" x14ac:dyDescent="0.25">
      <c r="H30" s="1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B97C-8DA9-5F4D-9551-FF3F2010F868}">
  <dimension ref="B4:AA78"/>
  <sheetViews>
    <sheetView showGridLines="0" workbookViewId="0">
      <pane xSplit="2" ySplit="4" topLeftCell="N5" activePane="bottomRight" state="frozen"/>
      <selection pane="topRight" activeCell="C1" sqref="C1"/>
      <selection pane="bottomLeft" activeCell="A5" sqref="A5"/>
      <selection pane="bottomRight" activeCell="AB25" sqref="AB25"/>
    </sheetView>
  </sheetViews>
  <sheetFormatPr baseColWidth="10" defaultRowHeight="19" x14ac:dyDescent="0.25"/>
  <cols>
    <col min="1" max="1" width="10.83203125" style="15"/>
    <col min="2" max="2" width="29.5" style="15" customWidth="1"/>
    <col min="3" max="16384" width="10.83203125" style="15"/>
  </cols>
  <sheetData>
    <row r="4" spans="2:27" x14ac:dyDescent="0.25">
      <c r="B4" s="15" t="s">
        <v>38</v>
      </c>
      <c r="C4" s="87" t="s">
        <v>3</v>
      </c>
      <c r="D4" s="87" t="s">
        <v>4</v>
      </c>
      <c r="E4" s="87" t="s">
        <v>5</v>
      </c>
      <c r="F4" s="87" t="s">
        <v>6</v>
      </c>
      <c r="G4" s="88">
        <v>2022</v>
      </c>
      <c r="H4" s="87" t="s">
        <v>7</v>
      </c>
      <c r="I4" s="87" t="s">
        <v>8</v>
      </c>
      <c r="J4" s="87" t="s">
        <v>9</v>
      </c>
      <c r="K4" s="87" t="s">
        <v>10</v>
      </c>
      <c r="L4" s="88">
        <v>2023</v>
      </c>
      <c r="M4" s="87" t="s">
        <v>11</v>
      </c>
      <c r="N4" s="87" t="s">
        <v>12</v>
      </c>
      <c r="O4" s="87" t="s">
        <v>13</v>
      </c>
      <c r="P4" s="87" t="s">
        <v>14</v>
      </c>
      <c r="Q4" s="88">
        <v>2024</v>
      </c>
      <c r="R4" s="87" t="s">
        <v>31</v>
      </c>
      <c r="S4" s="87" t="s">
        <v>28</v>
      </c>
      <c r="T4" s="87" t="s">
        <v>29</v>
      </c>
      <c r="U4" s="87" t="s">
        <v>30</v>
      </c>
      <c r="V4" s="88">
        <v>2025</v>
      </c>
      <c r="W4" s="87" t="s">
        <v>116</v>
      </c>
      <c r="X4" s="87" t="s">
        <v>117</v>
      </c>
      <c r="Y4" s="87" t="s">
        <v>118</v>
      </c>
      <c r="Z4" s="87" t="s">
        <v>119</v>
      </c>
      <c r="AA4" s="39">
        <v>2026</v>
      </c>
    </row>
    <row r="5" spans="2:27" x14ac:dyDescent="0.25">
      <c r="B5" s="16" t="s">
        <v>123</v>
      </c>
      <c r="Q5" s="37"/>
      <c r="V5" s="37"/>
      <c r="AA5" s="37"/>
    </row>
    <row r="6" spans="2:27" x14ac:dyDescent="0.25">
      <c r="B6" s="15" t="s">
        <v>40</v>
      </c>
      <c r="I6" s="15">
        <v>1960</v>
      </c>
      <c r="J6" s="15">
        <v>2234</v>
      </c>
      <c r="M6" s="15">
        <v>2425</v>
      </c>
      <c r="N6" s="15">
        <v>2526</v>
      </c>
      <c r="O6" s="15">
        <v>2618</v>
      </c>
      <c r="P6" s="15">
        <v>2688</v>
      </c>
      <c r="Q6" s="37">
        <f>SUM(M6:P6)</f>
        <v>10257</v>
      </c>
      <c r="R6" s="15">
        <v>2614</v>
      </c>
      <c r="S6" s="15">
        <v>2540</v>
      </c>
      <c r="T6" s="15">
        <v>2651</v>
      </c>
      <c r="U6" s="15">
        <v>2636</v>
      </c>
      <c r="V6" s="37">
        <f>SUM(R6:U6)</f>
        <v>10441</v>
      </c>
      <c r="W6" s="15">
        <v>2624</v>
      </c>
      <c r="X6" s="15">
        <v>2784</v>
      </c>
      <c r="AA6" s="37">
        <f>SUM(W6:Z6)</f>
        <v>5408</v>
      </c>
    </row>
    <row r="7" spans="2:27" x14ac:dyDescent="0.25">
      <c r="B7" s="15" t="s">
        <v>229</v>
      </c>
      <c r="I7" s="15">
        <v>-530</v>
      </c>
      <c r="J7" s="15">
        <v>-701</v>
      </c>
      <c r="M7" s="15">
        <v>-836</v>
      </c>
      <c r="N7" s="15">
        <v>-866</v>
      </c>
      <c r="O7" s="15">
        <v>-868</v>
      </c>
      <c r="P7" s="15">
        <v>-828</v>
      </c>
      <c r="Q7" s="37">
        <f>SUM(M7:P7)</f>
        <v>-3398</v>
      </c>
      <c r="R7" s="15">
        <v>-748</v>
      </c>
      <c r="S7" s="15">
        <v>-666</v>
      </c>
      <c r="T7" s="15">
        <v>-639</v>
      </c>
      <c r="U7" s="15">
        <v>-618</v>
      </c>
      <c r="V7" s="37">
        <f>SUM(R7:U7)</f>
        <v>-2671</v>
      </c>
      <c r="W7" s="15">
        <v>-621</v>
      </c>
      <c r="X7" s="15">
        <v>-668</v>
      </c>
      <c r="AA7" s="37">
        <f>SUM(W7:Z7)</f>
        <v>-1289</v>
      </c>
    </row>
    <row r="8" spans="2:27" s="16" customFormat="1" x14ac:dyDescent="0.25">
      <c r="B8" s="16" t="s">
        <v>41</v>
      </c>
      <c r="C8" s="16">
        <f t="shared" ref="C8:W8" si="0">SUM(C6:C7)</f>
        <v>0</v>
      </c>
      <c r="D8" s="16">
        <f t="shared" si="0"/>
        <v>0</v>
      </c>
      <c r="E8" s="16">
        <f t="shared" si="0"/>
        <v>0</v>
      </c>
      <c r="F8" s="16">
        <f t="shared" si="0"/>
        <v>0</v>
      </c>
      <c r="G8" s="16">
        <f t="shared" si="0"/>
        <v>0</v>
      </c>
      <c r="H8" s="16">
        <f t="shared" si="0"/>
        <v>0</v>
      </c>
      <c r="I8" s="16">
        <f t="shared" si="0"/>
        <v>1430</v>
      </c>
      <c r="J8" s="16">
        <f t="shared" si="0"/>
        <v>1533</v>
      </c>
      <c r="K8" s="16">
        <f t="shared" si="0"/>
        <v>0</v>
      </c>
      <c r="L8" s="16">
        <f t="shared" si="0"/>
        <v>0</v>
      </c>
      <c r="M8" s="16">
        <f t="shared" si="0"/>
        <v>1589</v>
      </c>
      <c r="N8" s="16">
        <f t="shared" si="0"/>
        <v>1660</v>
      </c>
      <c r="O8" s="16">
        <f t="shared" si="0"/>
        <v>1750</v>
      </c>
      <c r="P8" s="16">
        <f t="shared" si="0"/>
        <v>1860</v>
      </c>
      <c r="Q8" s="39">
        <f t="shared" si="0"/>
        <v>6859</v>
      </c>
      <c r="R8" s="16">
        <f t="shared" si="0"/>
        <v>1866</v>
      </c>
      <c r="S8" s="16">
        <f t="shared" si="0"/>
        <v>1874</v>
      </c>
      <c r="T8" s="16">
        <f t="shared" si="0"/>
        <v>2012</v>
      </c>
      <c r="U8" s="16">
        <f t="shared" si="0"/>
        <v>2018</v>
      </c>
      <c r="V8" s="39">
        <f t="shared" si="0"/>
        <v>7770</v>
      </c>
      <c r="W8" s="16">
        <f t="shared" si="0"/>
        <v>2003</v>
      </c>
      <c r="X8" s="16">
        <f>SUM(X6:X7)</f>
        <v>2116</v>
      </c>
      <c r="Y8" s="16">
        <f t="shared" ref="Y8:AA8" si="1">SUM(Y6:Y7)</f>
        <v>0</v>
      </c>
      <c r="Z8" s="16">
        <f t="shared" si="1"/>
        <v>0</v>
      </c>
      <c r="AA8" s="39">
        <f t="shared" si="1"/>
        <v>4119</v>
      </c>
    </row>
    <row r="9" spans="2:27" x14ac:dyDescent="0.25">
      <c r="B9" s="15" t="s">
        <v>42</v>
      </c>
      <c r="I9" s="15">
        <v>52</v>
      </c>
      <c r="J9" s="15">
        <v>58</v>
      </c>
      <c r="M9" s="15">
        <v>65</v>
      </c>
      <c r="N9" s="15">
        <v>71</v>
      </c>
      <c r="O9" s="15">
        <v>64</v>
      </c>
      <c r="P9" s="15">
        <v>73</v>
      </c>
      <c r="Q9" s="37">
        <f>SUM(M9:P9)</f>
        <v>273</v>
      </c>
      <c r="R9" s="15">
        <v>86</v>
      </c>
      <c r="S9" s="15">
        <v>70</v>
      </c>
      <c r="T9" s="15">
        <v>75</v>
      </c>
      <c r="U9" s="15">
        <v>99</v>
      </c>
      <c r="V9" s="37">
        <f>SUM(R9:U9)</f>
        <v>330</v>
      </c>
      <c r="W9" s="15">
        <v>97</v>
      </c>
      <c r="X9" s="15">
        <v>103</v>
      </c>
      <c r="AA9" s="37">
        <f>SUM(W9:Z9)</f>
        <v>200</v>
      </c>
    </row>
    <row r="10" spans="2:27" x14ac:dyDescent="0.25">
      <c r="B10" s="15" t="s">
        <v>230</v>
      </c>
      <c r="I10" s="15">
        <v>0</v>
      </c>
      <c r="J10" s="15">
        <v>0</v>
      </c>
      <c r="M10" s="15">
        <v>-5</v>
      </c>
      <c r="N10" s="15">
        <v>-8</v>
      </c>
      <c r="O10" s="15">
        <v>-6</v>
      </c>
      <c r="P10" s="15">
        <v>-6</v>
      </c>
      <c r="Q10" s="37">
        <f>SUM(M10:P10)</f>
        <v>-25</v>
      </c>
      <c r="R10" s="15">
        <v>-7</v>
      </c>
      <c r="S10" s="15">
        <v>-7</v>
      </c>
      <c r="T10" s="15">
        <v>-6</v>
      </c>
      <c r="U10" s="15">
        <v>-6</v>
      </c>
      <c r="V10" s="37">
        <f>SUM(R10:U10)</f>
        <v>-26</v>
      </c>
      <c r="W10" s="15">
        <v>-5</v>
      </c>
      <c r="X10" s="15">
        <v>-7</v>
      </c>
      <c r="AA10" s="37">
        <f>SUM(W10:Z10)</f>
        <v>-12</v>
      </c>
    </row>
    <row r="11" spans="2:27" x14ac:dyDescent="0.25">
      <c r="B11" s="15" t="s">
        <v>231</v>
      </c>
      <c r="I11" s="15">
        <v>-11</v>
      </c>
      <c r="J11" s="15">
        <v>5</v>
      </c>
      <c r="M11" s="15">
        <v>-6</v>
      </c>
      <c r="N11" s="15">
        <v>-16</v>
      </c>
      <c r="O11" s="15">
        <v>-11</v>
      </c>
      <c r="P11" s="15">
        <v>-11</v>
      </c>
      <c r="Q11" s="37">
        <f>SUM(M11:P11)</f>
        <v>-44</v>
      </c>
      <c r="R11" s="15">
        <v>-1</v>
      </c>
      <c r="S11" s="15">
        <v>-37</v>
      </c>
      <c r="T11" s="15">
        <v>-25</v>
      </c>
      <c r="U11" s="15">
        <v>-10</v>
      </c>
      <c r="V11" s="37">
        <f>SUM(R11:U11)</f>
        <v>-73</v>
      </c>
      <c r="W11" s="15">
        <v>9</v>
      </c>
      <c r="X11" s="15">
        <v>-22</v>
      </c>
      <c r="AA11" s="37">
        <f>SUM(W11:Z11)</f>
        <v>-13</v>
      </c>
    </row>
    <row r="12" spans="2:27" s="16" customFormat="1" x14ac:dyDescent="0.25">
      <c r="B12" s="16" t="s">
        <v>45</v>
      </c>
      <c r="C12" s="16">
        <f t="shared" ref="C12:W12" si="2">SUM(C8:C11)</f>
        <v>0</v>
      </c>
      <c r="D12" s="16">
        <f t="shared" si="2"/>
        <v>0</v>
      </c>
      <c r="E12" s="16">
        <f t="shared" si="2"/>
        <v>0</v>
      </c>
      <c r="F12" s="16">
        <f t="shared" si="2"/>
        <v>0</v>
      </c>
      <c r="G12" s="16">
        <f t="shared" si="2"/>
        <v>0</v>
      </c>
      <c r="H12" s="16">
        <f t="shared" si="2"/>
        <v>0</v>
      </c>
      <c r="I12" s="16">
        <f t="shared" si="2"/>
        <v>1471</v>
      </c>
      <c r="J12" s="16">
        <f t="shared" si="2"/>
        <v>1596</v>
      </c>
      <c r="K12" s="16">
        <f t="shared" si="2"/>
        <v>0</v>
      </c>
      <c r="L12" s="16">
        <f t="shared" si="2"/>
        <v>0</v>
      </c>
      <c r="M12" s="16">
        <f t="shared" si="2"/>
        <v>1643</v>
      </c>
      <c r="N12" s="16">
        <f t="shared" si="2"/>
        <v>1707</v>
      </c>
      <c r="O12" s="16">
        <f t="shared" si="2"/>
        <v>1797</v>
      </c>
      <c r="P12" s="16">
        <f t="shared" si="2"/>
        <v>1916</v>
      </c>
      <c r="Q12" s="39">
        <f t="shared" si="2"/>
        <v>7063</v>
      </c>
      <c r="R12" s="16">
        <f t="shared" si="2"/>
        <v>1944</v>
      </c>
      <c r="S12" s="16">
        <f t="shared" si="2"/>
        <v>1900</v>
      </c>
      <c r="T12" s="16">
        <f t="shared" si="2"/>
        <v>2056</v>
      </c>
      <c r="U12" s="16">
        <f t="shared" si="2"/>
        <v>2101</v>
      </c>
      <c r="V12" s="39">
        <f t="shared" si="2"/>
        <v>8001</v>
      </c>
      <c r="W12" s="16">
        <f t="shared" si="2"/>
        <v>2104</v>
      </c>
      <c r="X12" s="16">
        <f>SUM(X8:X11)</f>
        <v>2190</v>
      </c>
      <c r="Y12" s="16">
        <f t="shared" ref="Y12:AA12" si="3">SUM(Y8:Y11)</f>
        <v>0</v>
      </c>
      <c r="Z12" s="16">
        <f t="shared" si="3"/>
        <v>0</v>
      </c>
      <c r="AA12" s="39">
        <f t="shared" si="3"/>
        <v>4294</v>
      </c>
    </row>
    <row r="13" spans="2:27" x14ac:dyDescent="0.25">
      <c r="B13" s="15" t="s">
        <v>232</v>
      </c>
      <c r="I13" s="15">
        <v>-255</v>
      </c>
      <c r="J13" s="15">
        <v>-240</v>
      </c>
      <c r="M13" s="15">
        <v>-286</v>
      </c>
      <c r="N13" s="15">
        <v>-318</v>
      </c>
      <c r="O13" s="15">
        <v>-240</v>
      </c>
      <c r="P13" s="15">
        <v>-300</v>
      </c>
      <c r="Q13" s="37">
        <f>SUM(M13:P13)</f>
        <v>-1144</v>
      </c>
      <c r="R13" s="15">
        <v>-273</v>
      </c>
      <c r="S13" s="15">
        <v>-301</v>
      </c>
      <c r="T13" s="15">
        <v>-313</v>
      </c>
      <c r="U13" s="15">
        <v>-337</v>
      </c>
      <c r="V13" s="37">
        <f>SUM(R13:U13)</f>
        <v>-1224</v>
      </c>
      <c r="W13" s="15">
        <v>-337</v>
      </c>
      <c r="X13" s="15">
        <v>-335</v>
      </c>
      <c r="AA13" s="37">
        <f>SUM(W13:Z13)</f>
        <v>-672</v>
      </c>
    </row>
    <row r="14" spans="2:27" x14ac:dyDescent="0.25">
      <c r="B14" s="15" t="s">
        <v>47</v>
      </c>
      <c r="I14" s="15">
        <v>-9</v>
      </c>
      <c r="J14" s="15">
        <v>-10</v>
      </c>
      <c r="M14" s="15">
        <v>-11</v>
      </c>
      <c r="N14" s="15">
        <v>-13</v>
      </c>
      <c r="O14" s="15">
        <v>-10</v>
      </c>
      <c r="P14" s="15">
        <v>-12</v>
      </c>
      <c r="Q14" s="37">
        <f>SUM(M14:P14)</f>
        <v>-46</v>
      </c>
      <c r="R14" s="15">
        <v>-13</v>
      </c>
      <c r="S14" s="15">
        <v>-13</v>
      </c>
      <c r="T14" s="15">
        <v>-15</v>
      </c>
      <c r="U14" s="15">
        <v>-16</v>
      </c>
      <c r="V14" s="37">
        <f>SUM(R14:U14)</f>
        <v>-57</v>
      </c>
      <c r="W14" s="15">
        <v>-18</v>
      </c>
      <c r="X14" s="15">
        <v>-20</v>
      </c>
      <c r="AA14" s="37">
        <f>SUM(W14:Z14)</f>
        <v>-38</v>
      </c>
    </row>
    <row r="15" spans="2:27" x14ac:dyDescent="0.25">
      <c r="B15" s="15" t="s">
        <v>48</v>
      </c>
      <c r="I15" s="15">
        <v>-138</v>
      </c>
      <c r="J15" s="15">
        <v>-145</v>
      </c>
      <c r="M15" s="15">
        <v>-115</v>
      </c>
      <c r="N15" s="15">
        <v>-105</v>
      </c>
      <c r="O15" s="15">
        <v>-114</v>
      </c>
      <c r="P15" s="15">
        <v>-95</v>
      </c>
      <c r="Q15" s="37">
        <f>SUM(M15:P15)</f>
        <v>-429</v>
      </c>
      <c r="R15" s="15">
        <v>-97</v>
      </c>
      <c r="S15" s="15">
        <v>-96</v>
      </c>
      <c r="T15" s="15">
        <v>-104</v>
      </c>
      <c r="U15" s="15">
        <v>-92</v>
      </c>
      <c r="V15" s="37">
        <f>SUM(R15:U15)</f>
        <v>-389</v>
      </c>
      <c r="W15" s="15">
        <v>-96</v>
      </c>
      <c r="X15" s="15">
        <v>-98</v>
      </c>
      <c r="AA15" s="37">
        <f>SUM(W15:Z15)</f>
        <v>-194</v>
      </c>
    </row>
    <row r="16" spans="2:27" s="16" customFormat="1" x14ac:dyDescent="0.25">
      <c r="B16" s="16" t="s">
        <v>49</v>
      </c>
      <c r="C16" s="16">
        <f t="shared" ref="C16:W16" si="4">SUM(C12:C15)</f>
        <v>0</v>
      </c>
      <c r="D16" s="16">
        <f t="shared" si="4"/>
        <v>0</v>
      </c>
      <c r="E16" s="16">
        <f t="shared" si="4"/>
        <v>0</v>
      </c>
      <c r="F16" s="16">
        <f t="shared" si="4"/>
        <v>0</v>
      </c>
      <c r="G16" s="16">
        <f t="shared" si="4"/>
        <v>0</v>
      </c>
      <c r="H16" s="16">
        <f t="shared" si="4"/>
        <v>0</v>
      </c>
      <c r="I16" s="16">
        <f t="shared" si="4"/>
        <v>1069</v>
      </c>
      <c r="J16" s="16">
        <f t="shared" si="4"/>
        <v>1201</v>
      </c>
      <c r="K16" s="16">
        <f t="shared" si="4"/>
        <v>0</v>
      </c>
      <c r="L16" s="16">
        <f t="shared" si="4"/>
        <v>0</v>
      </c>
      <c r="M16" s="16">
        <f t="shared" si="4"/>
        <v>1231</v>
      </c>
      <c r="N16" s="16">
        <f t="shared" si="4"/>
        <v>1271</v>
      </c>
      <c r="O16" s="16">
        <f t="shared" si="4"/>
        <v>1433</v>
      </c>
      <c r="P16" s="16">
        <f t="shared" si="4"/>
        <v>1509</v>
      </c>
      <c r="Q16" s="39">
        <f t="shared" si="4"/>
        <v>5444</v>
      </c>
      <c r="R16" s="16">
        <f t="shared" si="4"/>
        <v>1561</v>
      </c>
      <c r="S16" s="16">
        <f t="shared" si="4"/>
        <v>1490</v>
      </c>
      <c r="T16" s="16">
        <f t="shared" si="4"/>
        <v>1624</v>
      </c>
      <c r="U16" s="16">
        <f t="shared" si="4"/>
        <v>1656</v>
      </c>
      <c r="V16" s="39">
        <f t="shared" si="4"/>
        <v>6331</v>
      </c>
      <c r="W16" s="16">
        <f t="shared" si="4"/>
        <v>1653</v>
      </c>
      <c r="X16" s="16">
        <f>SUM(X12:X15)</f>
        <v>1737</v>
      </c>
      <c r="Y16" s="16">
        <f t="shared" ref="Y16:AA16" si="5">SUM(Y12:Y15)</f>
        <v>0</v>
      </c>
      <c r="Z16" s="16">
        <f t="shared" si="5"/>
        <v>0</v>
      </c>
      <c r="AA16" s="39">
        <f t="shared" si="5"/>
        <v>3390</v>
      </c>
    </row>
    <row r="17" spans="2:27" x14ac:dyDescent="0.25">
      <c r="B17" s="15" t="s">
        <v>50</v>
      </c>
      <c r="I17" s="15">
        <v>-679</v>
      </c>
      <c r="J17" s="15">
        <v>-896</v>
      </c>
      <c r="M17" s="15">
        <v>-915</v>
      </c>
      <c r="N17" s="15">
        <v>-759</v>
      </c>
      <c r="O17" s="15">
        <v>-815</v>
      </c>
      <c r="P17" s="15">
        <v>-985</v>
      </c>
      <c r="Q17" s="37">
        <f>SUM(M17:P17)</f>
        <v>-3474</v>
      </c>
      <c r="R17" s="15">
        <v>-865</v>
      </c>
      <c r="S17" s="15">
        <v>-728</v>
      </c>
      <c r="T17" s="15">
        <v>-744</v>
      </c>
      <c r="U17" s="15">
        <v>-763</v>
      </c>
      <c r="V17" s="37">
        <f>SUM(R17:U17)</f>
        <v>-3100</v>
      </c>
      <c r="W17" s="15">
        <v>-748</v>
      </c>
      <c r="X17" s="15">
        <v>-703</v>
      </c>
      <c r="AA17" s="37">
        <f>SUM(W17:Z17)</f>
        <v>-1451</v>
      </c>
    </row>
    <row r="18" spans="2:27" s="16" customFormat="1" x14ac:dyDescent="0.25">
      <c r="B18" s="16" t="s">
        <v>233</v>
      </c>
      <c r="C18" s="16">
        <f t="shared" ref="C18:W18" si="6">SUM(C16:C17)</f>
        <v>0</v>
      </c>
      <c r="D18" s="16">
        <f t="shared" si="6"/>
        <v>0</v>
      </c>
      <c r="E18" s="16">
        <f t="shared" si="6"/>
        <v>0</v>
      </c>
      <c r="F18" s="16">
        <f t="shared" si="6"/>
        <v>0</v>
      </c>
      <c r="G18" s="16">
        <f t="shared" si="6"/>
        <v>0</v>
      </c>
      <c r="H18" s="16">
        <f t="shared" si="6"/>
        <v>0</v>
      </c>
      <c r="I18" s="16">
        <f t="shared" si="6"/>
        <v>390</v>
      </c>
      <c r="J18" s="16">
        <f t="shared" si="6"/>
        <v>305</v>
      </c>
      <c r="K18" s="16">
        <f t="shared" si="6"/>
        <v>0</v>
      </c>
      <c r="L18" s="16">
        <f t="shared" si="6"/>
        <v>0</v>
      </c>
      <c r="M18" s="16">
        <f t="shared" si="6"/>
        <v>316</v>
      </c>
      <c r="N18" s="16">
        <f t="shared" si="6"/>
        <v>512</v>
      </c>
      <c r="O18" s="16">
        <f t="shared" si="6"/>
        <v>618</v>
      </c>
      <c r="P18" s="16">
        <f t="shared" si="6"/>
        <v>524</v>
      </c>
      <c r="Q18" s="39">
        <f t="shared" si="6"/>
        <v>1970</v>
      </c>
      <c r="R18" s="16">
        <f t="shared" si="6"/>
        <v>696</v>
      </c>
      <c r="S18" s="16">
        <f t="shared" si="6"/>
        <v>762</v>
      </c>
      <c r="T18" s="16">
        <f t="shared" si="6"/>
        <v>880</v>
      </c>
      <c r="U18" s="16">
        <f t="shared" si="6"/>
        <v>893</v>
      </c>
      <c r="V18" s="39">
        <f t="shared" si="6"/>
        <v>3231</v>
      </c>
      <c r="W18" s="16">
        <f t="shared" si="6"/>
        <v>905</v>
      </c>
      <c r="X18" s="16">
        <f>SUM(X16:X17)</f>
        <v>1034</v>
      </c>
      <c r="Y18" s="16">
        <f t="shared" ref="Y18:AA18" si="7">SUM(Y16:Y17)</f>
        <v>0</v>
      </c>
      <c r="Z18" s="16">
        <f t="shared" si="7"/>
        <v>0</v>
      </c>
      <c r="AA18" s="39">
        <f t="shared" si="7"/>
        <v>1939</v>
      </c>
    </row>
    <row r="19" spans="2:27" x14ac:dyDescent="0.25">
      <c r="B19" s="15" t="s">
        <v>54</v>
      </c>
      <c r="P19" s="15">
        <v>-101</v>
      </c>
      <c r="Q19" s="37"/>
      <c r="R19" s="15">
        <v>-151</v>
      </c>
      <c r="S19" s="15">
        <v>-168</v>
      </c>
      <c r="T19" s="15">
        <v>-195</v>
      </c>
      <c r="U19" s="15">
        <v>-187</v>
      </c>
      <c r="V19" s="37">
        <f>SUM(R19:U19)</f>
        <v>-701</v>
      </c>
      <c r="W19" s="15">
        <v>-223</v>
      </c>
      <c r="X19" s="15">
        <v>-235</v>
      </c>
      <c r="AA19" s="37">
        <f>SUM(W19:Z19)</f>
        <v>-458</v>
      </c>
    </row>
    <row r="20" spans="2:27" x14ac:dyDescent="0.25">
      <c r="B20" s="15" t="s">
        <v>234</v>
      </c>
      <c r="P20" s="15">
        <v>-41</v>
      </c>
      <c r="Q20" s="37"/>
      <c r="R20" s="15">
        <v>-37</v>
      </c>
      <c r="S20" s="15">
        <v>-37</v>
      </c>
      <c r="T20" s="15">
        <v>-37</v>
      </c>
      <c r="U20" s="15">
        <v>-41</v>
      </c>
      <c r="V20" s="37">
        <f>SUM(R20:U20)</f>
        <v>-152</v>
      </c>
      <c r="W20" s="15">
        <v>-44</v>
      </c>
      <c r="X20" s="15">
        <v>-46</v>
      </c>
      <c r="AA20" s="37">
        <f>SUM(W20:Z20)</f>
        <v>-90</v>
      </c>
    </row>
    <row r="21" spans="2:27" s="16" customFormat="1" x14ac:dyDescent="0.25">
      <c r="B21" s="16" t="s">
        <v>55</v>
      </c>
      <c r="Q21" s="39"/>
      <c r="R21" s="16">
        <f t="shared" ref="R21:W21" si="8">SUM(R18:R20)</f>
        <v>508</v>
      </c>
      <c r="S21" s="16">
        <f t="shared" si="8"/>
        <v>557</v>
      </c>
      <c r="T21" s="16">
        <f t="shared" si="8"/>
        <v>648</v>
      </c>
      <c r="U21" s="16">
        <f t="shared" si="8"/>
        <v>665</v>
      </c>
      <c r="V21" s="39">
        <f t="shared" si="8"/>
        <v>2378</v>
      </c>
      <c r="W21" s="16">
        <f t="shared" si="8"/>
        <v>638</v>
      </c>
      <c r="X21" s="16">
        <f>SUM(X18:X20)</f>
        <v>753</v>
      </c>
      <c r="Y21" s="16">
        <f t="shared" ref="Y21:AA21" si="9">SUM(Y18:Y20)</f>
        <v>0</v>
      </c>
      <c r="Z21" s="16">
        <f t="shared" si="9"/>
        <v>0</v>
      </c>
      <c r="AA21" s="39">
        <f t="shared" si="9"/>
        <v>1391</v>
      </c>
    </row>
    <row r="22" spans="2:27" x14ac:dyDescent="0.25">
      <c r="B22" s="15" t="s">
        <v>235</v>
      </c>
      <c r="Q22" s="37"/>
      <c r="R22" s="15">
        <v>500</v>
      </c>
      <c r="S22" s="15">
        <v>500</v>
      </c>
      <c r="T22" s="15">
        <v>500</v>
      </c>
      <c r="U22" s="15">
        <v>500</v>
      </c>
      <c r="V22" s="37">
        <v>500</v>
      </c>
      <c r="W22" s="15">
        <v>500</v>
      </c>
      <c r="X22" s="15">
        <v>500</v>
      </c>
      <c r="Y22" s="15">
        <v>500</v>
      </c>
      <c r="Z22" s="15">
        <v>500</v>
      </c>
      <c r="AA22" s="37">
        <v>500</v>
      </c>
    </row>
    <row r="23" spans="2:27" s="16" customFormat="1" x14ac:dyDescent="0.25">
      <c r="B23" s="16" t="s">
        <v>57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93"/>
      <c r="R23" s="31">
        <f t="shared" ref="R23:W23" si="10">R21/R22</f>
        <v>1.016</v>
      </c>
      <c r="S23" s="31">
        <f t="shared" si="10"/>
        <v>1.1140000000000001</v>
      </c>
      <c r="T23" s="31">
        <f t="shared" si="10"/>
        <v>1.296</v>
      </c>
      <c r="U23" s="31">
        <f t="shared" si="10"/>
        <v>1.33</v>
      </c>
      <c r="V23" s="93">
        <f t="shared" si="10"/>
        <v>4.7560000000000002</v>
      </c>
      <c r="W23" s="31">
        <f t="shared" si="10"/>
        <v>1.276</v>
      </c>
      <c r="X23" s="31">
        <f>X21/X22</f>
        <v>1.506</v>
      </c>
      <c r="Y23" s="31">
        <f t="shared" ref="Y23:AA23" si="11">Y21/Y22</f>
        <v>0</v>
      </c>
      <c r="Z23" s="31">
        <f t="shared" si="11"/>
        <v>0</v>
      </c>
      <c r="AA23" s="93">
        <f t="shared" si="11"/>
        <v>2.782</v>
      </c>
    </row>
    <row r="24" spans="2:27" s="16" customFormat="1" x14ac:dyDescent="0.25">
      <c r="Q24" s="39"/>
      <c r="V24" s="39"/>
      <c r="AA24" s="39"/>
    </row>
    <row r="25" spans="2:27" s="51" customFormat="1" x14ac:dyDescent="0.25">
      <c r="B25" s="51" t="s">
        <v>236</v>
      </c>
      <c r="J25" s="51">
        <v>8.4000000000000005E-2</v>
      </c>
      <c r="O25" s="51">
        <v>8.5000000000000006E-2</v>
      </c>
      <c r="P25" s="51">
        <v>8.6999999999999994E-2</v>
      </c>
      <c r="Q25" s="92"/>
      <c r="R25" s="51">
        <v>8.5999999999999993E-2</v>
      </c>
      <c r="S25" s="51">
        <v>8.5000000000000006E-2</v>
      </c>
      <c r="T25" s="51">
        <v>8.7999999999999995E-2</v>
      </c>
      <c r="U25" s="51">
        <v>8.6999999999999994E-2</v>
      </c>
      <c r="V25" s="92"/>
      <c r="W25" s="51">
        <v>8.4000000000000005E-2</v>
      </c>
      <c r="X25" s="51">
        <v>8.5999999999999993E-2</v>
      </c>
      <c r="AA25" s="92"/>
    </row>
    <row r="26" spans="2:27" s="51" customFormat="1" x14ac:dyDescent="0.25">
      <c r="B26" s="51" t="s">
        <v>237</v>
      </c>
      <c r="J26" s="51">
        <v>0.247</v>
      </c>
      <c r="O26" s="51">
        <v>0.20200000000000001</v>
      </c>
      <c r="P26" s="51">
        <v>0.21299999999999999</v>
      </c>
      <c r="Q26" s="92"/>
      <c r="R26" s="51">
        <v>0.19700000000000001</v>
      </c>
      <c r="S26" s="51">
        <v>0.216</v>
      </c>
      <c r="T26" s="51">
        <v>0.21</v>
      </c>
      <c r="U26" s="51">
        <v>0.21199999999999999</v>
      </c>
      <c r="V26" s="92"/>
      <c r="W26" s="51">
        <v>0.214</v>
      </c>
      <c r="X26" s="51">
        <v>0.20699999999999999</v>
      </c>
      <c r="AA26" s="92"/>
    </row>
    <row r="27" spans="2:27" s="51" customFormat="1" x14ac:dyDescent="0.25">
      <c r="B27" s="51" t="s">
        <v>238</v>
      </c>
      <c r="J27" s="51">
        <v>4.9000000000000002E-2</v>
      </c>
      <c r="O27" s="51">
        <v>3.9E-2</v>
      </c>
      <c r="P27" s="51">
        <v>4.5999999999999999E-2</v>
      </c>
      <c r="Q27" s="92"/>
      <c r="R27" s="51">
        <v>0.04</v>
      </c>
      <c r="S27" s="51">
        <v>3.3000000000000002E-2</v>
      </c>
      <c r="T27" s="51">
        <v>3.3000000000000002E-2</v>
      </c>
      <c r="U27" s="51">
        <v>3.3000000000000002E-2</v>
      </c>
      <c r="V27" s="92"/>
      <c r="W27" s="51">
        <v>3.2000000000000001E-2</v>
      </c>
      <c r="X27" s="51">
        <v>2.9000000000000001E-2</v>
      </c>
      <c r="AA27" s="92"/>
    </row>
    <row r="28" spans="2:27" s="51" customFormat="1" x14ac:dyDescent="0.25">
      <c r="B28" s="51" t="s">
        <v>37</v>
      </c>
      <c r="J28" s="51">
        <v>0.12</v>
      </c>
      <c r="O28" s="51">
        <v>0.188</v>
      </c>
      <c r="P28" s="51">
        <v>0.16400000000000001</v>
      </c>
      <c r="Q28" s="92"/>
      <c r="R28" s="51">
        <v>0.20499999999999999</v>
      </c>
      <c r="S28" s="51">
        <v>0.21199999999999999</v>
      </c>
      <c r="T28" s="51">
        <v>0.23200000000000001</v>
      </c>
      <c r="U28" s="51">
        <v>0.224</v>
      </c>
      <c r="V28" s="92"/>
      <c r="W28" s="51">
        <v>0.20399999999999999</v>
      </c>
      <c r="X28" s="51">
        <v>0.23899999999999999</v>
      </c>
      <c r="AA28" s="92"/>
    </row>
    <row r="29" spans="2:27" x14ac:dyDescent="0.25">
      <c r="Q29" s="37"/>
      <c r="V29" s="37"/>
      <c r="AA29" s="37"/>
    </row>
    <row r="30" spans="2:27" x14ac:dyDescent="0.25">
      <c r="B30" s="16" t="s">
        <v>130</v>
      </c>
      <c r="Q30" s="37"/>
      <c r="V30" s="37"/>
      <c r="AA30" s="37"/>
    </row>
    <row r="31" spans="2:27" x14ac:dyDescent="0.25">
      <c r="B31" s="15" t="s">
        <v>40</v>
      </c>
      <c r="I31" s="15">
        <v>398</v>
      </c>
      <c r="J31" s="15">
        <v>445</v>
      </c>
      <c r="M31" s="15">
        <v>511</v>
      </c>
      <c r="N31" s="15">
        <v>536</v>
      </c>
      <c r="O31" s="15">
        <v>574</v>
      </c>
      <c r="P31" s="15">
        <v>626</v>
      </c>
      <c r="Q31" s="37">
        <f>SUM(M31:P31)</f>
        <v>2247</v>
      </c>
      <c r="R31" s="15">
        <v>632</v>
      </c>
      <c r="S31" s="15">
        <v>634</v>
      </c>
      <c r="T31" s="15">
        <v>652</v>
      </c>
      <c r="U31" s="15">
        <v>680</v>
      </c>
      <c r="V31" s="37">
        <f>SUM(R31:U31)</f>
        <v>2598</v>
      </c>
      <c r="W31" s="15">
        <v>669</v>
      </c>
      <c r="X31" s="15">
        <v>700</v>
      </c>
      <c r="AA31" s="37">
        <f>SUM(W31:Z31)</f>
        <v>1369</v>
      </c>
    </row>
    <row r="32" spans="2:27" x14ac:dyDescent="0.25">
      <c r="B32" s="15" t="s">
        <v>229</v>
      </c>
      <c r="I32" s="15">
        <v>-71</v>
      </c>
      <c r="J32" s="15">
        <v>-97</v>
      </c>
      <c r="M32" s="15">
        <v>-134</v>
      </c>
      <c r="N32" s="15">
        <v>-140</v>
      </c>
      <c r="O32" s="15">
        <v>-145</v>
      </c>
      <c r="P32" s="15">
        <v>-145</v>
      </c>
      <c r="Q32" s="37">
        <f>SUM(M32:P32)</f>
        <v>-564</v>
      </c>
      <c r="R32" s="15">
        <v>-159</v>
      </c>
      <c r="S32" s="15">
        <v>-151</v>
      </c>
      <c r="T32" s="15">
        <v>-148</v>
      </c>
      <c r="U32" s="15">
        <v>-145</v>
      </c>
      <c r="V32" s="37">
        <f>SUM(R32:U32)</f>
        <v>-603</v>
      </c>
      <c r="W32" s="15">
        <v>-144</v>
      </c>
      <c r="X32" s="15">
        <v>-157</v>
      </c>
      <c r="AA32" s="37">
        <f>SUM(W32:Z32)</f>
        <v>-301</v>
      </c>
    </row>
    <row r="33" spans="2:27" x14ac:dyDescent="0.25">
      <c r="B33" s="16" t="s">
        <v>41</v>
      </c>
      <c r="C33" s="16">
        <f t="shared" ref="C33" si="12">SUM(C31:C32)</f>
        <v>0</v>
      </c>
      <c r="D33" s="16">
        <f t="shared" ref="D33" si="13">SUM(D31:D32)</f>
        <v>0</v>
      </c>
      <c r="E33" s="16">
        <f t="shared" ref="E33" si="14">SUM(E31:E32)</f>
        <v>0</v>
      </c>
      <c r="F33" s="16">
        <f t="shared" ref="F33" si="15">SUM(F31:F32)</f>
        <v>0</v>
      </c>
      <c r="G33" s="16">
        <f t="shared" ref="G33" si="16">SUM(G31:G32)</f>
        <v>0</v>
      </c>
      <c r="H33" s="16">
        <f t="shared" ref="H33" si="17">SUM(H31:H32)</f>
        <v>0</v>
      </c>
      <c r="I33" s="16">
        <f t="shared" ref="I33" si="18">SUM(I31:I32)</f>
        <v>327</v>
      </c>
      <c r="J33" s="16">
        <f t="shared" ref="J33" si="19">SUM(J31:J32)</f>
        <v>348</v>
      </c>
      <c r="K33" s="16">
        <f t="shared" ref="K33" si="20">SUM(K31:K32)</f>
        <v>0</v>
      </c>
      <c r="L33" s="16">
        <f t="shared" ref="L33" si="21">SUM(L31:L32)</f>
        <v>0</v>
      </c>
      <c r="M33" s="16">
        <f t="shared" ref="M33" si="22">SUM(M31:M32)</f>
        <v>377</v>
      </c>
      <c r="N33" s="16">
        <f t="shared" ref="N33" si="23">SUM(N31:N32)</f>
        <v>396</v>
      </c>
      <c r="O33" s="16">
        <f t="shared" ref="O33" si="24">SUM(O31:O32)</f>
        <v>429</v>
      </c>
      <c r="P33" s="16">
        <f t="shared" ref="P33:Q33" si="25">SUM(P31:P32)</f>
        <v>481</v>
      </c>
      <c r="Q33" s="39">
        <f t="shared" si="25"/>
        <v>1683</v>
      </c>
      <c r="R33" s="16">
        <f t="shared" ref="R33" si="26">SUM(R31:R32)</f>
        <v>473</v>
      </c>
      <c r="S33" s="16">
        <f t="shared" ref="S33" si="27">SUM(S31:S32)</f>
        <v>483</v>
      </c>
      <c r="T33" s="16">
        <f t="shared" ref="T33" si="28">SUM(T31:T32)</f>
        <v>504</v>
      </c>
      <c r="U33" s="16">
        <f t="shared" ref="U33:V33" si="29">SUM(U31:U32)</f>
        <v>535</v>
      </c>
      <c r="V33" s="39">
        <f t="shared" si="29"/>
        <v>1995</v>
      </c>
      <c r="W33" s="16">
        <f t="shared" ref="W33" si="30">SUM(W31:W32)</f>
        <v>525</v>
      </c>
      <c r="X33" s="16">
        <f>SUM(X31:X32)</f>
        <v>543</v>
      </c>
      <c r="Y33" s="16">
        <f t="shared" ref="Y33:AA33" si="31">SUM(Y31:Y32)</f>
        <v>0</v>
      </c>
      <c r="Z33" s="16">
        <f t="shared" si="31"/>
        <v>0</v>
      </c>
      <c r="AA33" s="39">
        <f t="shared" si="31"/>
        <v>1068</v>
      </c>
    </row>
    <row r="34" spans="2:27" x14ac:dyDescent="0.25">
      <c r="B34" s="15" t="s">
        <v>42</v>
      </c>
      <c r="I34" s="15">
        <v>141</v>
      </c>
      <c r="J34" s="15">
        <v>141</v>
      </c>
      <c r="M34" s="15">
        <v>139</v>
      </c>
      <c r="N34" s="15">
        <v>175</v>
      </c>
      <c r="O34" s="15">
        <v>173</v>
      </c>
      <c r="P34" s="15">
        <v>169</v>
      </c>
      <c r="Q34" s="37">
        <f>SUM(M34:P34)</f>
        <v>656</v>
      </c>
      <c r="R34" s="15">
        <v>195</v>
      </c>
      <c r="S34" s="15">
        <v>214</v>
      </c>
      <c r="T34" s="15">
        <v>230</v>
      </c>
      <c r="U34" s="15">
        <v>184</v>
      </c>
      <c r="V34" s="37">
        <f>SUM(R34:U34)</f>
        <v>823</v>
      </c>
      <c r="W34" s="15">
        <v>198</v>
      </c>
      <c r="X34" s="15">
        <v>213</v>
      </c>
      <c r="AA34" s="37">
        <f>SUM(W34:Z34)</f>
        <v>411</v>
      </c>
    </row>
    <row r="35" spans="2:27" x14ac:dyDescent="0.25">
      <c r="B35" s="15" t="s">
        <v>230</v>
      </c>
      <c r="I35" s="15">
        <v>-46</v>
      </c>
      <c r="J35" s="15">
        <v>-58</v>
      </c>
      <c r="M35" s="15">
        <v>-61</v>
      </c>
      <c r="N35" s="15">
        <v>-69</v>
      </c>
      <c r="O35" s="15">
        <v>-63</v>
      </c>
      <c r="P35" s="15">
        <v>-70</v>
      </c>
      <c r="Q35" s="37">
        <f>SUM(M35:P35)</f>
        <v>-263</v>
      </c>
      <c r="R35" s="15">
        <v>-66</v>
      </c>
      <c r="S35" s="15">
        <v>-79</v>
      </c>
      <c r="T35" s="15">
        <v>-67</v>
      </c>
      <c r="U35" s="15">
        <v>-80</v>
      </c>
      <c r="V35" s="37">
        <f>SUM(R35:U35)</f>
        <v>-292</v>
      </c>
      <c r="W35" s="15">
        <v>-84</v>
      </c>
      <c r="X35" s="15">
        <v>-91</v>
      </c>
      <c r="AA35" s="37">
        <f>SUM(W35:Z35)</f>
        <v>-175</v>
      </c>
    </row>
    <row r="36" spans="2:27" x14ac:dyDescent="0.25">
      <c r="B36" s="15" t="s">
        <v>231</v>
      </c>
      <c r="I36" s="15">
        <v>-2</v>
      </c>
      <c r="J36" s="15">
        <v>1</v>
      </c>
      <c r="M36" s="15">
        <v>-1</v>
      </c>
      <c r="N36" s="15">
        <v>-1</v>
      </c>
      <c r="O36" s="15">
        <v>-2</v>
      </c>
      <c r="P36" s="15">
        <v>-3</v>
      </c>
      <c r="Q36" s="37">
        <f>SUM(M36:P36)</f>
        <v>-7</v>
      </c>
      <c r="R36" s="15">
        <v>0</v>
      </c>
      <c r="S36" s="15">
        <v>-8</v>
      </c>
      <c r="T36" s="15">
        <v>-5</v>
      </c>
      <c r="U36" s="15">
        <v>-3</v>
      </c>
      <c r="V36" s="37">
        <f>SUM(R36:U36)</f>
        <v>-16</v>
      </c>
      <c r="W36" s="15">
        <v>2</v>
      </c>
      <c r="X36" s="15">
        <v>-5</v>
      </c>
      <c r="AA36" s="37">
        <f>SUM(W36:Z36)</f>
        <v>-3</v>
      </c>
    </row>
    <row r="37" spans="2:27" x14ac:dyDescent="0.25">
      <c r="B37" s="16" t="s">
        <v>45</v>
      </c>
      <c r="C37" s="16">
        <f t="shared" ref="C37" si="32">SUM(C33:C36)</f>
        <v>0</v>
      </c>
      <c r="D37" s="16">
        <f t="shared" ref="D37" si="33">SUM(D33:D36)</f>
        <v>0</v>
      </c>
      <c r="E37" s="16">
        <f t="shared" ref="E37" si="34">SUM(E33:E36)</f>
        <v>0</v>
      </c>
      <c r="F37" s="16">
        <f t="shared" ref="F37" si="35">SUM(F33:F36)</f>
        <v>0</v>
      </c>
      <c r="G37" s="16">
        <f t="shared" ref="G37" si="36">SUM(G33:G36)</f>
        <v>0</v>
      </c>
      <c r="H37" s="16">
        <f t="shared" ref="H37" si="37">SUM(H33:H36)</f>
        <v>0</v>
      </c>
      <c r="I37" s="16">
        <f t="shared" ref="I37" si="38">SUM(I33:I36)</f>
        <v>420</v>
      </c>
      <c r="J37" s="16">
        <f t="shared" ref="J37" si="39">SUM(J33:J36)</f>
        <v>432</v>
      </c>
      <c r="K37" s="16">
        <f t="shared" ref="K37" si="40">SUM(K33:K36)</f>
        <v>0</v>
      </c>
      <c r="L37" s="16">
        <f t="shared" ref="L37" si="41">SUM(L33:L36)</f>
        <v>0</v>
      </c>
      <c r="M37" s="16">
        <f t="shared" ref="M37" si="42">SUM(M33:M36)</f>
        <v>454</v>
      </c>
      <c r="N37" s="16">
        <f t="shared" ref="N37" si="43">SUM(N33:N36)</f>
        <v>501</v>
      </c>
      <c r="O37" s="16">
        <f t="shared" ref="O37" si="44">SUM(O33:O36)</f>
        <v>537</v>
      </c>
      <c r="P37" s="16">
        <f t="shared" ref="P37:Q37" si="45">SUM(P33:P36)</f>
        <v>577</v>
      </c>
      <c r="Q37" s="39">
        <f t="shared" si="45"/>
        <v>2069</v>
      </c>
      <c r="R37" s="16">
        <f t="shared" ref="R37" si="46">SUM(R33:R36)</f>
        <v>602</v>
      </c>
      <c r="S37" s="16">
        <f t="shared" ref="S37" si="47">SUM(S33:S36)</f>
        <v>610</v>
      </c>
      <c r="T37" s="16">
        <f t="shared" ref="T37" si="48">SUM(T33:T36)</f>
        <v>662</v>
      </c>
      <c r="U37" s="16">
        <f t="shared" ref="U37:V37" si="49">SUM(U33:U36)</f>
        <v>636</v>
      </c>
      <c r="V37" s="39">
        <f t="shared" si="49"/>
        <v>2510</v>
      </c>
      <c r="W37" s="16">
        <f t="shared" ref="W37" si="50">SUM(W33:W36)</f>
        <v>641</v>
      </c>
      <c r="X37" s="16">
        <f>SUM(X33:X36)</f>
        <v>660</v>
      </c>
      <c r="Y37" s="16">
        <f t="shared" ref="Y37:AA37" si="51">SUM(Y33:Y36)</f>
        <v>0</v>
      </c>
      <c r="Z37" s="16">
        <f t="shared" si="51"/>
        <v>0</v>
      </c>
      <c r="AA37" s="39">
        <f t="shared" si="51"/>
        <v>1301</v>
      </c>
    </row>
    <row r="38" spans="2:27" x14ac:dyDescent="0.25">
      <c r="B38" s="15" t="s">
        <v>232</v>
      </c>
      <c r="I38" s="15">
        <v>-57</v>
      </c>
      <c r="J38" s="15">
        <v>-53</v>
      </c>
      <c r="M38" s="15">
        <v>-64</v>
      </c>
      <c r="N38" s="15">
        <v>-61</v>
      </c>
      <c r="O38" s="15">
        <v>-61</v>
      </c>
      <c r="P38" s="15">
        <v>-75</v>
      </c>
      <c r="Q38" s="37">
        <f>SUM(M38:P38)</f>
        <v>-261</v>
      </c>
      <c r="R38" s="15">
        <v>-67</v>
      </c>
      <c r="S38" s="15">
        <v>-57</v>
      </c>
      <c r="T38" s="15">
        <v>-54</v>
      </c>
      <c r="U38" s="15">
        <v>-63</v>
      </c>
      <c r="V38" s="37">
        <f>SUM(R38:U38)</f>
        <v>-241</v>
      </c>
      <c r="W38" s="15">
        <v>-61</v>
      </c>
      <c r="X38" s="15">
        <v>-67</v>
      </c>
      <c r="AA38" s="37">
        <f>SUM(W38:Z38)</f>
        <v>-128</v>
      </c>
    </row>
    <row r="39" spans="2:27" x14ac:dyDescent="0.25">
      <c r="B39" s="15" t="s">
        <v>47</v>
      </c>
      <c r="I39" s="15">
        <v>-22</v>
      </c>
      <c r="J39" s="15">
        <v>-4</v>
      </c>
      <c r="M39" s="15">
        <v>-3</v>
      </c>
      <c r="N39" s="15">
        <v>-2</v>
      </c>
      <c r="O39" s="15">
        <v>-6</v>
      </c>
      <c r="P39" s="15">
        <v>-4</v>
      </c>
      <c r="Q39" s="37">
        <f>SUM(M39:P39)</f>
        <v>-15</v>
      </c>
      <c r="R39" s="15">
        <v>-5</v>
      </c>
      <c r="S39" s="15">
        <v>-4</v>
      </c>
      <c r="T39" s="15">
        <v>-5</v>
      </c>
      <c r="U39" s="15">
        <v>-5</v>
      </c>
      <c r="V39" s="37">
        <f>SUM(R39:U39)</f>
        <v>-19</v>
      </c>
      <c r="W39" s="15">
        <v>-5</v>
      </c>
      <c r="X39" s="15">
        <v>-6</v>
      </c>
      <c r="AA39" s="37">
        <f>SUM(W39:Z39)</f>
        <v>-11</v>
      </c>
    </row>
    <row r="40" spans="2:27" x14ac:dyDescent="0.25">
      <c r="B40" s="15" t="s">
        <v>48</v>
      </c>
      <c r="I40" s="15">
        <v>-127</v>
      </c>
      <c r="J40" s="15">
        <v>-155</v>
      </c>
      <c r="M40" s="15">
        <v>-81</v>
      </c>
      <c r="N40" s="15">
        <v>-110</v>
      </c>
      <c r="O40" s="15">
        <v>-112</v>
      </c>
      <c r="P40" s="15">
        <v>-97</v>
      </c>
      <c r="Q40" s="37">
        <f>SUM(M40:P40)</f>
        <v>-400</v>
      </c>
      <c r="R40" s="15">
        <v>-97</v>
      </c>
      <c r="S40" s="15">
        <v>-70</v>
      </c>
      <c r="T40" s="15">
        <v>-111</v>
      </c>
      <c r="U40" s="15">
        <v>-110</v>
      </c>
      <c r="V40" s="37">
        <f>SUM(R40:U40)</f>
        <v>-388</v>
      </c>
      <c r="W40" s="15">
        <v>-86</v>
      </c>
      <c r="X40" s="15">
        <v>-106</v>
      </c>
      <c r="AA40" s="37">
        <f>SUM(W40:Z40)</f>
        <v>-192</v>
      </c>
    </row>
    <row r="41" spans="2:27" x14ac:dyDescent="0.25">
      <c r="B41" s="16" t="s">
        <v>49</v>
      </c>
      <c r="C41" s="16">
        <f t="shared" ref="C41" si="52">SUM(C37:C40)</f>
        <v>0</v>
      </c>
      <c r="D41" s="16">
        <f t="shared" ref="D41" si="53">SUM(D37:D40)</f>
        <v>0</v>
      </c>
      <c r="E41" s="16">
        <f t="shared" ref="E41" si="54">SUM(E37:E40)</f>
        <v>0</v>
      </c>
      <c r="F41" s="16">
        <f t="shared" ref="F41" si="55">SUM(F37:F40)</f>
        <v>0</v>
      </c>
      <c r="G41" s="16">
        <f t="shared" ref="G41" si="56">SUM(G37:G40)</f>
        <v>0</v>
      </c>
      <c r="H41" s="16">
        <f t="shared" ref="H41" si="57">SUM(H37:H40)</f>
        <v>0</v>
      </c>
      <c r="I41" s="16">
        <f t="shared" ref="I41" si="58">SUM(I37:I40)</f>
        <v>214</v>
      </c>
      <c r="J41" s="16">
        <f t="shared" ref="J41" si="59">SUM(J37:J40)</f>
        <v>220</v>
      </c>
      <c r="K41" s="16">
        <f t="shared" ref="K41" si="60">SUM(K37:K40)</f>
        <v>0</v>
      </c>
      <c r="L41" s="16">
        <f t="shared" ref="L41" si="61">SUM(L37:L40)</f>
        <v>0</v>
      </c>
      <c r="M41" s="16">
        <f t="shared" ref="M41" si="62">SUM(M37:M40)</f>
        <v>306</v>
      </c>
      <c r="N41" s="16">
        <f t="shared" ref="N41" si="63">SUM(N37:N40)</f>
        <v>328</v>
      </c>
      <c r="O41" s="16">
        <f t="shared" ref="O41" si="64">SUM(O37:O40)</f>
        <v>358</v>
      </c>
      <c r="P41" s="16">
        <f t="shared" ref="P41:Q41" si="65">SUM(P37:P40)</f>
        <v>401</v>
      </c>
      <c r="Q41" s="39">
        <f t="shared" si="65"/>
        <v>1393</v>
      </c>
      <c r="R41" s="16">
        <f t="shared" ref="R41" si="66">SUM(R37:R40)</f>
        <v>433</v>
      </c>
      <c r="S41" s="16">
        <f t="shared" ref="S41" si="67">SUM(S37:S40)</f>
        <v>479</v>
      </c>
      <c r="T41" s="16">
        <f t="shared" ref="T41" si="68">SUM(T37:T40)</f>
        <v>492</v>
      </c>
      <c r="U41" s="16">
        <f t="shared" ref="U41:V41" si="69">SUM(U37:U40)</f>
        <v>458</v>
      </c>
      <c r="V41" s="39">
        <f t="shared" si="69"/>
        <v>1862</v>
      </c>
      <c r="W41" s="16">
        <f t="shared" ref="W41" si="70">SUM(W37:W40)</f>
        <v>489</v>
      </c>
      <c r="X41" s="16">
        <f>SUM(X37:X40)</f>
        <v>481</v>
      </c>
      <c r="Y41" s="16">
        <f t="shared" ref="Y41:AA41" si="71">SUM(Y37:Y40)</f>
        <v>0</v>
      </c>
      <c r="Z41" s="16">
        <f t="shared" si="71"/>
        <v>0</v>
      </c>
      <c r="AA41" s="39">
        <f t="shared" si="71"/>
        <v>970</v>
      </c>
    </row>
    <row r="42" spans="2:27" x14ac:dyDescent="0.25">
      <c r="B42" s="15" t="s">
        <v>50</v>
      </c>
      <c r="I42" s="15">
        <v>-90</v>
      </c>
      <c r="J42" s="15">
        <v>-135</v>
      </c>
      <c r="M42" s="15">
        <v>-137</v>
      </c>
      <c r="N42" s="15">
        <v>-128</v>
      </c>
      <c r="O42" s="15">
        <v>-131</v>
      </c>
      <c r="P42" s="15">
        <v>-130</v>
      </c>
      <c r="Q42" s="37">
        <f>SUM(M42:P42)</f>
        <v>-526</v>
      </c>
      <c r="R42" s="15">
        <v>-133</v>
      </c>
      <c r="S42" s="15">
        <v>-137</v>
      </c>
      <c r="T42" s="15">
        <v>-140</v>
      </c>
      <c r="U42" s="15">
        <v>-185</v>
      </c>
      <c r="V42" s="37">
        <f>SUM(R42:U42)</f>
        <v>-595</v>
      </c>
      <c r="W42" s="15">
        <v>-155</v>
      </c>
      <c r="X42" s="15">
        <v>-155</v>
      </c>
      <c r="AA42" s="37">
        <f>SUM(W42:Z42)</f>
        <v>-310</v>
      </c>
    </row>
    <row r="43" spans="2:27" x14ac:dyDescent="0.25">
      <c r="B43" s="16" t="s">
        <v>233</v>
      </c>
      <c r="C43" s="16">
        <f t="shared" ref="C43" si="72">SUM(C41:C42)</f>
        <v>0</v>
      </c>
      <c r="D43" s="16">
        <f t="shared" ref="D43" si="73">SUM(D41:D42)</f>
        <v>0</v>
      </c>
      <c r="E43" s="16">
        <f t="shared" ref="E43" si="74">SUM(E41:E42)</f>
        <v>0</v>
      </c>
      <c r="F43" s="16">
        <f t="shared" ref="F43" si="75">SUM(F41:F42)</f>
        <v>0</v>
      </c>
      <c r="G43" s="16">
        <f t="shared" ref="G43" si="76">SUM(G41:G42)</f>
        <v>0</v>
      </c>
      <c r="H43" s="16">
        <f t="shared" ref="H43" si="77">SUM(H41:H42)</f>
        <v>0</v>
      </c>
      <c r="I43" s="16">
        <f t="shared" ref="I43" si="78">SUM(I41:I42)</f>
        <v>124</v>
      </c>
      <c r="J43" s="16">
        <f t="shared" ref="J43" si="79">SUM(J41:J42)</f>
        <v>85</v>
      </c>
      <c r="K43" s="16">
        <f t="shared" ref="K43" si="80">SUM(K41:K42)</f>
        <v>0</v>
      </c>
      <c r="L43" s="16">
        <f t="shared" ref="L43" si="81">SUM(L41:L42)</f>
        <v>0</v>
      </c>
      <c r="M43" s="16">
        <f t="shared" ref="M43" si="82">SUM(M41:M42)</f>
        <v>169</v>
      </c>
      <c r="N43" s="16">
        <f t="shared" ref="N43" si="83">SUM(N41:N42)</f>
        <v>200</v>
      </c>
      <c r="O43" s="16">
        <f t="shared" ref="O43" si="84">SUM(O41:O42)</f>
        <v>227</v>
      </c>
      <c r="P43" s="16">
        <f t="shared" ref="P43:Q43" si="85">SUM(P41:P42)</f>
        <v>271</v>
      </c>
      <c r="Q43" s="39">
        <f t="shared" si="85"/>
        <v>867</v>
      </c>
      <c r="R43" s="16">
        <f t="shared" ref="R43" si="86">SUM(R41:R42)</f>
        <v>300</v>
      </c>
      <c r="S43" s="16">
        <f t="shared" ref="S43" si="87">SUM(S41:S42)</f>
        <v>342</v>
      </c>
      <c r="T43" s="16">
        <f t="shared" ref="T43" si="88">SUM(T41:T42)</f>
        <v>352</v>
      </c>
      <c r="U43" s="16">
        <f t="shared" ref="U43:V43" si="89">SUM(U41:U42)</f>
        <v>273</v>
      </c>
      <c r="V43" s="39">
        <f t="shared" si="89"/>
        <v>1267</v>
      </c>
      <c r="W43" s="16">
        <f t="shared" ref="W43" si="90">SUM(W41:W42)</f>
        <v>334</v>
      </c>
      <c r="X43" s="16">
        <f>SUM(X41:X42)</f>
        <v>326</v>
      </c>
      <c r="Y43" s="16">
        <f t="shared" ref="Y43:AA43" si="91">SUM(Y41:Y42)</f>
        <v>0</v>
      </c>
      <c r="Z43" s="16">
        <f t="shared" si="91"/>
        <v>0</v>
      </c>
      <c r="AA43" s="39">
        <f t="shared" si="91"/>
        <v>660</v>
      </c>
    </row>
    <row r="44" spans="2:27" x14ac:dyDescent="0.25">
      <c r="B44" s="15" t="s">
        <v>54</v>
      </c>
      <c r="P44" s="15">
        <v>-52</v>
      </c>
      <c r="Q44" s="37"/>
      <c r="R44" s="15">
        <v>-65</v>
      </c>
      <c r="S44" s="15">
        <v>-75</v>
      </c>
      <c r="T44" s="15">
        <v>-78</v>
      </c>
      <c r="U44" s="15">
        <v>-57</v>
      </c>
      <c r="V44" s="37">
        <f>SUM(R44:U44)</f>
        <v>-275</v>
      </c>
      <c r="W44" s="15">
        <v>-83</v>
      </c>
      <c r="X44" s="15">
        <v>-74</v>
      </c>
      <c r="AA44" s="37">
        <f>SUM(W44:Z44)</f>
        <v>-157</v>
      </c>
    </row>
    <row r="45" spans="2:27" x14ac:dyDescent="0.25">
      <c r="B45" s="15" t="s">
        <v>234</v>
      </c>
      <c r="P45" s="15">
        <v>-8</v>
      </c>
      <c r="Q45" s="37"/>
      <c r="R45" s="15">
        <v>-8</v>
      </c>
      <c r="S45" s="15">
        <v>-8</v>
      </c>
      <c r="T45" s="15">
        <v>-8</v>
      </c>
      <c r="U45" s="15">
        <v>-9</v>
      </c>
      <c r="V45" s="37">
        <f>SUM(R45:U45)</f>
        <v>-33</v>
      </c>
      <c r="W45" s="15">
        <v>-9</v>
      </c>
      <c r="X45" s="15">
        <v>-9</v>
      </c>
      <c r="AA45" s="37">
        <f>SUM(W45:Z45)</f>
        <v>-18</v>
      </c>
    </row>
    <row r="46" spans="2:27" x14ac:dyDescent="0.25">
      <c r="B46" s="16" t="s">
        <v>55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39"/>
      <c r="R46" s="16">
        <f t="shared" ref="R46" si="92">SUM(R43:R45)</f>
        <v>227</v>
      </c>
      <c r="S46" s="16">
        <f t="shared" ref="S46" si="93">SUM(S43:S45)</f>
        <v>259</v>
      </c>
      <c r="T46" s="16">
        <f t="shared" ref="T46" si="94">SUM(T43:T45)</f>
        <v>266</v>
      </c>
      <c r="U46" s="16">
        <f t="shared" ref="U46:V46" si="95">SUM(U43:U45)</f>
        <v>207</v>
      </c>
      <c r="V46" s="39">
        <f t="shared" si="95"/>
        <v>959</v>
      </c>
      <c r="W46" s="16">
        <f t="shared" ref="W46" si="96">SUM(W43:W45)</f>
        <v>242</v>
      </c>
      <c r="X46" s="16">
        <f>SUM(X43:X45)</f>
        <v>243</v>
      </c>
      <c r="Y46" s="16">
        <f t="shared" ref="Y46:AA46" si="97">SUM(Y43:Y45)</f>
        <v>0</v>
      </c>
      <c r="Z46" s="16">
        <f t="shared" si="97"/>
        <v>0</v>
      </c>
      <c r="AA46" s="39">
        <f t="shared" si="97"/>
        <v>485</v>
      </c>
    </row>
    <row r="47" spans="2:27" x14ac:dyDescent="0.25">
      <c r="B47" s="15" t="s">
        <v>235</v>
      </c>
      <c r="Q47" s="37"/>
      <c r="R47" s="15">
        <v>500</v>
      </c>
      <c r="S47" s="15">
        <v>500</v>
      </c>
      <c r="T47" s="15">
        <v>500</v>
      </c>
      <c r="U47" s="15">
        <v>500</v>
      </c>
      <c r="V47" s="37">
        <v>500</v>
      </c>
      <c r="W47" s="15">
        <v>500</v>
      </c>
      <c r="X47" s="15">
        <v>500</v>
      </c>
      <c r="Y47" s="15">
        <v>500</v>
      </c>
      <c r="Z47" s="15">
        <v>500</v>
      </c>
      <c r="AA47" s="37">
        <v>500</v>
      </c>
    </row>
    <row r="48" spans="2:27" s="16" customFormat="1" x14ac:dyDescent="0.25">
      <c r="B48" s="16" t="s">
        <v>57</v>
      </c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93"/>
      <c r="R48" s="31">
        <f t="shared" ref="R48:W48" si="98">R46/R47</f>
        <v>0.45400000000000001</v>
      </c>
      <c r="S48" s="31">
        <f t="shared" si="98"/>
        <v>0.51800000000000002</v>
      </c>
      <c r="T48" s="31">
        <f t="shared" si="98"/>
        <v>0.53200000000000003</v>
      </c>
      <c r="U48" s="31">
        <f t="shared" si="98"/>
        <v>0.41399999999999998</v>
      </c>
      <c r="V48" s="93">
        <f t="shared" si="98"/>
        <v>1.9179999999999999</v>
      </c>
      <c r="W48" s="31">
        <f t="shared" si="98"/>
        <v>0.48399999999999999</v>
      </c>
      <c r="X48" s="31">
        <f>X46/X47</f>
        <v>0.48599999999999999</v>
      </c>
      <c r="Y48" s="31">
        <f t="shared" ref="Y48:AA48" si="99">Y46/Y47</f>
        <v>0</v>
      </c>
      <c r="Z48" s="31">
        <f t="shared" si="99"/>
        <v>0</v>
      </c>
      <c r="AA48" s="93">
        <f t="shared" si="99"/>
        <v>0.97</v>
      </c>
    </row>
    <row r="49" spans="2:27" x14ac:dyDescent="0.25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39"/>
      <c r="R49" s="16"/>
      <c r="S49" s="16"/>
      <c r="T49" s="16"/>
      <c r="U49" s="16"/>
      <c r="V49" s="39"/>
      <c r="W49" s="16"/>
      <c r="X49" s="16"/>
      <c r="Y49" s="16"/>
      <c r="Z49" s="16"/>
      <c r="AA49" s="39"/>
    </row>
    <row r="50" spans="2:27" x14ac:dyDescent="0.25">
      <c r="B50" s="51" t="s">
        <v>236</v>
      </c>
      <c r="C50" s="51"/>
      <c r="D50" s="51"/>
      <c r="E50" s="51"/>
      <c r="F50" s="51"/>
      <c r="G50" s="51"/>
      <c r="H50" s="51"/>
      <c r="I50" s="51"/>
      <c r="J50" s="51">
        <v>0.104</v>
      </c>
      <c r="K50" s="51"/>
      <c r="L50" s="51"/>
      <c r="M50" s="51"/>
      <c r="N50" s="51"/>
      <c r="O50" s="51">
        <v>9.7000000000000003E-2</v>
      </c>
      <c r="P50" s="51">
        <v>0.106</v>
      </c>
      <c r="Q50" s="92"/>
      <c r="R50" s="51">
        <v>0.104</v>
      </c>
      <c r="S50" s="51">
        <v>0.104</v>
      </c>
      <c r="T50" s="51">
        <v>0.105</v>
      </c>
      <c r="U50" s="51">
        <v>0.11</v>
      </c>
      <c r="V50" s="92"/>
      <c r="W50" s="51">
        <v>0.105</v>
      </c>
      <c r="X50" s="51">
        <v>0.104</v>
      </c>
      <c r="Y50" s="51"/>
      <c r="Z50" s="51"/>
      <c r="AA50" s="92"/>
    </row>
    <row r="51" spans="2:27" x14ac:dyDescent="0.25">
      <c r="B51" s="51" t="s">
        <v>237</v>
      </c>
      <c r="C51" s="51"/>
      <c r="D51" s="51"/>
      <c r="E51" s="51"/>
      <c r="F51" s="51"/>
      <c r="G51" s="51"/>
      <c r="H51" s="51"/>
      <c r="I51" s="51"/>
      <c r="J51" s="51">
        <v>0.49199999999999999</v>
      </c>
      <c r="K51" s="51"/>
      <c r="L51" s="51"/>
      <c r="M51" s="51"/>
      <c r="N51" s="51"/>
      <c r="O51" s="51">
        <v>0.33200000000000002</v>
      </c>
      <c r="P51" s="51">
        <v>0.30599999999999999</v>
      </c>
      <c r="Q51" s="92"/>
      <c r="R51" s="51">
        <v>0.27900000000000003</v>
      </c>
      <c r="S51" s="51">
        <v>0.216</v>
      </c>
      <c r="T51" s="51">
        <v>0.25600000000000001</v>
      </c>
      <c r="U51" s="51">
        <v>0.27900000000000003</v>
      </c>
      <c r="V51" s="92"/>
      <c r="W51" s="51">
        <v>0.23599999999999999</v>
      </c>
      <c r="X51" s="51">
        <v>0.27200000000000002</v>
      </c>
      <c r="Y51" s="51"/>
      <c r="Z51" s="51"/>
      <c r="AA51" s="92"/>
    </row>
    <row r="52" spans="2:27" x14ac:dyDescent="0.25">
      <c r="B52" s="51" t="s">
        <v>238</v>
      </c>
      <c r="C52" s="51"/>
      <c r="D52" s="51"/>
      <c r="E52" s="51"/>
      <c r="F52" s="51"/>
      <c r="G52" s="51"/>
      <c r="H52" s="51"/>
      <c r="I52" s="51"/>
      <c r="J52" s="51">
        <v>0.04</v>
      </c>
      <c r="K52" s="51"/>
      <c r="L52" s="51"/>
      <c r="M52" s="51"/>
      <c r="N52" s="51"/>
      <c r="O52" s="51">
        <v>0.03</v>
      </c>
      <c r="P52" s="51">
        <v>2.9000000000000001E-2</v>
      </c>
      <c r="Q52" s="92"/>
      <c r="R52" s="51">
        <v>2.9000000000000001E-2</v>
      </c>
      <c r="S52" s="51">
        <v>0.03</v>
      </c>
      <c r="T52" s="51">
        <v>2.9000000000000001E-2</v>
      </c>
      <c r="U52" s="51">
        <v>3.7999999999999999E-2</v>
      </c>
      <c r="V52" s="92"/>
      <c r="W52" s="51">
        <v>3.1E-2</v>
      </c>
      <c r="X52" s="51">
        <v>0.03</v>
      </c>
      <c r="Y52" s="51"/>
      <c r="Z52" s="51"/>
      <c r="AA52" s="92"/>
    </row>
    <row r="53" spans="2:27" x14ac:dyDescent="0.25">
      <c r="B53" s="51" t="s">
        <v>37</v>
      </c>
      <c r="C53" s="51"/>
      <c r="D53" s="51"/>
      <c r="E53" s="51"/>
      <c r="F53" s="51"/>
      <c r="G53" s="51"/>
      <c r="H53" s="51"/>
      <c r="I53" s="51"/>
      <c r="J53" s="51">
        <v>0.187</v>
      </c>
      <c r="K53" s="51"/>
      <c r="L53" s="51"/>
      <c r="M53" s="51"/>
      <c r="N53" s="51"/>
      <c r="O53" s="51">
        <v>0.34499999999999997</v>
      </c>
      <c r="P53" s="51">
        <v>0.435</v>
      </c>
      <c r="Q53" s="92"/>
      <c r="R53" s="51">
        <v>0.44700000000000001</v>
      </c>
      <c r="S53" s="51">
        <v>0.47599999999999998</v>
      </c>
      <c r="T53" s="51">
        <v>0.46100000000000002</v>
      </c>
      <c r="U53" s="51">
        <v>0.33700000000000002</v>
      </c>
      <c r="V53" s="92"/>
      <c r="W53" s="51">
        <v>0.38500000000000001</v>
      </c>
      <c r="X53" s="51">
        <v>0.38800000000000001</v>
      </c>
      <c r="Y53" s="51"/>
      <c r="Z53" s="51"/>
      <c r="AA53" s="92"/>
    </row>
    <row r="54" spans="2:27" x14ac:dyDescent="0.25">
      <c r="Q54" s="37"/>
      <c r="V54" s="37"/>
      <c r="AA54" s="37"/>
    </row>
    <row r="55" spans="2:27" x14ac:dyDescent="0.25">
      <c r="B55" s="16" t="s">
        <v>131</v>
      </c>
      <c r="Q55" s="37"/>
      <c r="V55" s="37"/>
      <c r="AA55" s="37"/>
    </row>
    <row r="56" spans="2:27" x14ac:dyDescent="0.25">
      <c r="B56" s="15" t="s">
        <v>40</v>
      </c>
      <c r="I56" s="15">
        <v>321</v>
      </c>
      <c r="J56" s="15">
        <v>358</v>
      </c>
      <c r="M56" s="15">
        <v>381</v>
      </c>
      <c r="N56" s="15">
        <v>391</v>
      </c>
      <c r="O56" s="15">
        <v>379</v>
      </c>
      <c r="P56" s="15">
        <v>365</v>
      </c>
      <c r="Q56" s="37">
        <f>SUM(M56:P56)</f>
        <v>1516</v>
      </c>
      <c r="R56" s="15">
        <v>331</v>
      </c>
      <c r="S56" s="15">
        <v>325</v>
      </c>
      <c r="T56" s="15">
        <v>326</v>
      </c>
      <c r="U56" s="15">
        <v>321</v>
      </c>
      <c r="V56" s="37">
        <f>SUM(R56:U56)</f>
        <v>1303</v>
      </c>
      <c r="W56" s="15">
        <v>312</v>
      </c>
      <c r="X56" s="15">
        <v>338</v>
      </c>
      <c r="AA56" s="37">
        <f>SUM(W56:Z56)</f>
        <v>650</v>
      </c>
    </row>
    <row r="57" spans="2:27" x14ac:dyDescent="0.25">
      <c r="B57" s="15" t="s">
        <v>229</v>
      </c>
      <c r="I57" s="15">
        <v>-163</v>
      </c>
      <c r="J57" s="15">
        <v>-198</v>
      </c>
      <c r="M57" s="15">
        <v>-222</v>
      </c>
      <c r="N57" s="15">
        <v>-221</v>
      </c>
      <c r="O57" s="15">
        <v>-210</v>
      </c>
      <c r="P57" s="15">
        <v>-188</v>
      </c>
      <c r="Q57" s="37">
        <f>SUM(M57:P57)</f>
        <v>-841</v>
      </c>
      <c r="R57" s="15">
        <v>-159</v>
      </c>
      <c r="S57" s="15">
        <v>-148</v>
      </c>
      <c r="T57" s="15">
        <v>-144</v>
      </c>
      <c r="U57" s="15">
        <v>-143</v>
      </c>
      <c r="V57" s="37">
        <f>SUM(R57:U57)</f>
        <v>-594</v>
      </c>
      <c r="W57" s="15">
        <v>-145</v>
      </c>
      <c r="X57" s="15">
        <v>-161</v>
      </c>
      <c r="AA57" s="37">
        <f>SUM(W57:Z57)</f>
        <v>-306</v>
      </c>
    </row>
    <row r="58" spans="2:27" x14ac:dyDescent="0.25">
      <c r="B58" s="16" t="s">
        <v>41</v>
      </c>
      <c r="C58" s="16">
        <f t="shared" ref="C58" si="100">SUM(C56:C57)</f>
        <v>0</v>
      </c>
      <c r="D58" s="16">
        <f t="shared" ref="D58" si="101">SUM(D56:D57)</f>
        <v>0</v>
      </c>
      <c r="E58" s="16">
        <f t="shared" ref="E58" si="102">SUM(E56:E57)</f>
        <v>0</v>
      </c>
      <c r="F58" s="16">
        <f t="shared" ref="F58" si="103">SUM(F56:F57)</f>
        <v>0</v>
      </c>
      <c r="G58" s="16">
        <f t="shared" ref="G58" si="104">SUM(G56:G57)</f>
        <v>0</v>
      </c>
      <c r="H58" s="16">
        <f t="shared" ref="H58" si="105">SUM(H56:H57)</f>
        <v>0</v>
      </c>
      <c r="I58" s="16">
        <f t="shared" ref="I58" si="106">SUM(I56:I57)</f>
        <v>158</v>
      </c>
      <c r="J58" s="16">
        <f t="shared" ref="J58" si="107">SUM(J56:J57)</f>
        <v>160</v>
      </c>
      <c r="K58" s="16">
        <f t="shared" ref="K58" si="108">SUM(K56:K57)</f>
        <v>0</v>
      </c>
      <c r="L58" s="16">
        <f t="shared" ref="L58" si="109">SUM(L56:L57)</f>
        <v>0</v>
      </c>
      <c r="M58" s="16">
        <f t="shared" ref="M58" si="110">SUM(M56:M57)</f>
        <v>159</v>
      </c>
      <c r="N58" s="16">
        <f t="shared" ref="N58" si="111">SUM(N56:N57)</f>
        <v>170</v>
      </c>
      <c r="O58" s="16">
        <f t="shared" ref="O58" si="112">SUM(O56:O57)</f>
        <v>169</v>
      </c>
      <c r="P58" s="16">
        <f t="shared" ref="P58:Q58" si="113">SUM(P56:P57)</f>
        <v>177</v>
      </c>
      <c r="Q58" s="39">
        <f t="shared" si="113"/>
        <v>675</v>
      </c>
      <c r="R58" s="16">
        <f t="shared" ref="R58" si="114">SUM(R56:R57)</f>
        <v>172</v>
      </c>
      <c r="S58" s="16">
        <f t="shared" ref="S58" si="115">SUM(S56:S57)</f>
        <v>177</v>
      </c>
      <c r="T58" s="16">
        <f t="shared" ref="T58" si="116">SUM(T56:T57)</f>
        <v>182</v>
      </c>
      <c r="U58" s="16">
        <f t="shared" ref="U58:V58" si="117">SUM(U56:U57)</f>
        <v>178</v>
      </c>
      <c r="V58" s="39">
        <f t="shared" si="117"/>
        <v>709</v>
      </c>
      <c r="W58" s="16">
        <f t="shared" ref="W58" si="118">SUM(W56:W57)</f>
        <v>167</v>
      </c>
      <c r="X58" s="16">
        <f>SUM(X56:X57)</f>
        <v>177</v>
      </c>
      <c r="Y58" s="16">
        <f t="shared" ref="Y58:AA58" si="119">SUM(Y56:Y57)</f>
        <v>0</v>
      </c>
      <c r="Z58" s="16">
        <f t="shared" si="119"/>
        <v>0</v>
      </c>
      <c r="AA58" s="39">
        <f t="shared" si="119"/>
        <v>344</v>
      </c>
    </row>
    <row r="59" spans="2:27" x14ac:dyDescent="0.25">
      <c r="B59" s="15" t="s">
        <v>42</v>
      </c>
      <c r="I59" s="15">
        <v>1</v>
      </c>
      <c r="J59" s="15">
        <v>1</v>
      </c>
      <c r="M59" s="15">
        <v>1</v>
      </c>
      <c r="N59" s="15">
        <v>1</v>
      </c>
      <c r="O59" s="15">
        <v>1</v>
      </c>
      <c r="P59" s="15">
        <v>3</v>
      </c>
      <c r="Q59" s="37">
        <f>SUM(M59:P59)</f>
        <v>6</v>
      </c>
      <c r="R59" s="15">
        <v>1</v>
      </c>
      <c r="S59" s="15">
        <v>1</v>
      </c>
      <c r="T59" s="15">
        <v>1</v>
      </c>
      <c r="U59" s="15">
        <v>3</v>
      </c>
      <c r="V59" s="37">
        <f>SUM(R59:U59)</f>
        <v>6</v>
      </c>
      <c r="W59" s="15">
        <v>1</v>
      </c>
      <c r="X59" s="15">
        <v>1</v>
      </c>
      <c r="AA59" s="37">
        <f>SUM(W59:Z59)</f>
        <v>2</v>
      </c>
    </row>
    <row r="60" spans="2:27" x14ac:dyDescent="0.25">
      <c r="B60" s="15" t="s">
        <v>230</v>
      </c>
      <c r="I60" s="15">
        <v>0</v>
      </c>
      <c r="J60" s="15">
        <v>0</v>
      </c>
      <c r="M60" s="15">
        <v>0</v>
      </c>
      <c r="N60" s="15">
        <v>-1</v>
      </c>
      <c r="O60" s="15">
        <v>0</v>
      </c>
      <c r="P60" s="15">
        <v>-1</v>
      </c>
      <c r="Q60" s="37">
        <f>SUM(M60:P60)</f>
        <v>-2</v>
      </c>
      <c r="R60" s="15">
        <v>0</v>
      </c>
      <c r="S60" s="15">
        <v>0</v>
      </c>
      <c r="T60" s="15">
        <v>0</v>
      </c>
      <c r="U60" s="15">
        <v>0</v>
      </c>
      <c r="V60" s="37">
        <f>SUM(R60:U60)</f>
        <v>0</v>
      </c>
      <c r="W60" s="15">
        <v>0</v>
      </c>
      <c r="X60" s="15">
        <v>0</v>
      </c>
      <c r="AA60" s="37">
        <f>SUM(W60:Z60)</f>
        <v>0</v>
      </c>
    </row>
    <row r="61" spans="2:27" x14ac:dyDescent="0.25">
      <c r="B61" s="15" t="s">
        <v>231</v>
      </c>
      <c r="I61" s="15">
        <v>-1</v>
      </c>
      <c r="J61" s="15">
        <v>1</v>
      </c>
      <c r="M61" s="15">
        <v>-1</v>
      </c>
      <c r="N61" s="15">
        <v>-2</v>
      </c>
      <c r="O61" s="15">
        <v>-1</v>
      </c>
      <c r="P61" s="15">
        <v>-1</v>
      </c>
      <c r="Q61" s="37">
        <f>SUM(M61:P61)</f>
        <v>-5</v>
      </c>
      <c r="R61" s="15">
        <v>0</v>
      </c>
      <c r="S61" s="15">
        <v>-3</v>
      </c>
      <c r="T61" s="15">
        <v>-2</v>
      </c>
      <c r="U61" s="15">
        <v>-2</v>
      </c>
      <c r="V61" s="37">
        <f>SUM(R61:U61)</f>
        <v>-7</v>
      </c>
      <c r="W61" s="15">
        <v>0</v>
      </c>
      <c r="X61" s="15">
        <v>-3</v>
      </c>
      <c r="AA61" s="37">
        <f>SUM(W61:Z61)</f>
        <v>-3</v>
      </c>
    </row>
    <row r="62" spans="2:27" x14ac:dyDescent="0.25">
      <c r="B62" s="16" t="s">
        <v>45</v>
      </c>
      <c r="C62" s="16">
        <f t="shared" ref="C62" si="120">SUM(C58:C61)</f>
        <v>0</v>
      </c>
      <c r="D62" s="16">
        <f t="shared" ref="D62" si="121">SUM(D58:D61)</f>
        <v>0</v>
      </c>
      <c r="E62" s="16">
        <f t="shared" ref="E62" si="122">SUM(E58:E61)</f>
        <v>0</v>
      </c>
      <c r="F62" s="16">
        <f t="shared" ref="F62" si="123">SUM(F58:F61)</f>
        <v>0</v>
      </c>
      <c r="G62" s="16">
        <f t="shared" ref="G62" si="124">SUM(G58:G61)</f>
        <v>0</v>
      </c>
      <c r="H62" s="16">
        <f t="shared" ref="H62" si="125">SUM(H58:H61)</f>
        <v>0</v>
      </c>
      <c r="I62" s="16">
        <f t="shared" ref="I62" si="126">SUM(I58:I61)</f>
        <v>158</v>
      </c>
      <c r="J62" s="16">
        <f t="shared" ref="J62" si="127">SUM(J58:J61)</f>
        <v>162</v>
      </c>
      <c r="K62" s="16">
        <f t="shared" ref="K62" si="128">SUM(K58:K61)</f>
        <v>0</v>
      </c>
      <c r="L62" s="16">
        <f t="shared" ref="L62" si="129">SUM(L58:L61)</f>
        <v>0</v>
      </c>
      <c r="M62" s="16">
        <f t="shared" ref="M62" si="130">SUM(M58:M61)</f>
        <v>159</v>
      </c>
      <c r="N62" s="16">
        <f t="shared" ref="N62" si="131">SUM(N58:N61)</f>
        <v>168</v>
      </c>
      <c r="O62" s="16">
        <f t="shared" ref="O62" si="132">SUM(O58:O61)</f>
        <v>169</v>
      </c>
      <c r="P62" s="16">
        <f t="shared" ref="P62:Q62" si="133">SUM(P58:P61)</f>
        <v>178</v>
      </c>
      <c r="Q62" s="39">
        <f t="shared" si="133"/>
        <v>674</v>
      </c>
      <c r="R62" s="16">
        <f t="shared" ref="R62" si="134">SUM(R58:R61)</f>
        <v>173</v>
      </c>
      <c r="S62" s="16">
        <f t="shared" ref="S62" si="135">SUM(S58:S61)</f>
        <v>175</v>
      </c>
      <c r="T62" s="16">
        <f t="shared" ref="T62" si="136">SUM(T58:T61)</f>
        <v>181</v>
      </c>
      <c r="U62" s="16">
        <f t="shared" ref="U62:V62" si="137">SUM(U58:U61)</f>
        <v>179</v>
      </c>
      <c r="V62" s="39">
        <f t="shared" si="137"/>
        <v>708</v>
      </c>
      <c r="W62" s="16">
        <f t="shared" ref="W62" si="138">SUM(W58:W61)</f>
        <v>168</v>
      </c>
      <c r="X62" s="16">
        <f>SUM(X58:X61)</f>
        <v>175</v>
      </c>
      <c r="Y62" s="16">
        <f t="shared" ref="Y62:AA62" si="139">SUM(Y58:Y61)</f>
        <v>0</v>
      </c>
      <c r="Z62" s="16">
        <f t="shared" si="139"/>
        <v>0</v>
      </c>
      <c r="AA62" s="39">
        <f t="shared" si="139"/>
        <v>343</v>
      </c>
    </row>
    <row r="63" spans="2:27" x14ac:dyDescent="0.25">
      <c r="B63" s="15" t="s">
        <v>232</v>
      </c>
      <c r="I63" s="15">
        <v>-39</v>
      </c>
      <c r="J63" s="15">
        <v>-35</v>
      </c>
      <c r="M63" s="15">
        <v>-37</v>
      </c>
      <c r="N63" s="15">
        <v>-41</v>
      </c>
      <c r="O63" s="15">
        <v>-33</v>
      </c>
      <c r="P63" s="15">
        <v>-39</v>
      </c>
      <c r="Q63" s="37">
        <f>SUM(M63:P63)</f>
        <v>-150</v>
      </c>
      <c r="R63" s="15">
        <v>-31</v>
      </c>
      <c r="S63" s="15">
        <v>-34</v>
      </c>
      <c r="T63" s="15">
        <v>-31</v>
      </c>
      <c r="U63" s="15">
        <v>-37</v>
      </c>
      <c r="V63" s="37">
        <f>SUM(R63:U63)</f>
        <v>-133</v>
      </c>
      <c r="W63" s="15">
        <v>-36</v>
      </c>
      <c r="X63" s="15">
        <v>-39</v>
      </c>
      <c r="AA63" s="37">
        <f>SUM(W63:Z63)</f>
        <v>-75</v>
      </c>
    </row>
    <row r="64" spans="2:27" x14ac:dyDescent="0.25">
      <c r="B64" s="15" t="s">
        <v>47</v>
      </c>
      <c r="I64" s="15">
        <v>-1</v>
      </c>
      <c r="J64" s="15">
        <v>0</v>
      </c>
      <c r="M64" s="15">
        <v>-1</v>
      </c>
      <c r="N64" s="15">
        <v>-1</v>
      </c>
      <c r="O64" s="15">
        <v>-1</v>
      </c>
      <c r="P64" s="15">
        <v>-1</v>
      </c>
      <c r="Q64" s="37">
        <f>SUM(M64:P64)</f>
        <v>-4</v>
      </c>
      <c r="R64" s="15">
        <v>-1</v>
      </c>
      <c r="S64" s="15">
        <v>-1</v>
      </c>
      <c r="T64" s="15">
        <v>-1</v>
      </c>
      <c r="U64" s="15">
        <v>-1</v>
      </c>
      <c r="V64" s="37">
        <f>SUM(R64:U64)</f>
        <v>-4</v>
      </c>
      <c r="W64" s="15">
        <v>-1</v>
      </c>
      <c r="X64" s="15">
        <v>-2</v>
      </c>
      <c r="AA64" s="37">
        <f>SUM(W64:Z64)</f>
        <v>-3</v>
      </c>
    </row>
    <row r="65" spans="2:27" x14ac:dyDescent="0.25">
      <c r="B65" s="15" t="s">
        <v>48</v>
      </c>
      <c r="I65" s="15">
        <v>-19</v>
      </c>
      <c r="J65" s="15">
        <v>-15</v>
      </c>
      <c r="M65" s="15">
        <v>-8</v>
      </c>
      <c r="N65" s="15">
        <v>-6</v>
      </c>
      <c r="O65" s="15">
        <v>-4</v>
      </c>
      <c r="P65" s="15">
        <v>-7</v>
      </c>
      <c r="Q65" s="37">
        <f>SUM(M65:P65)</f>
        <v>-25</v>
      </c>
      <c r="R65" s="15">
        <v>-7</v>
      </c>
      <c r="S65" s="15">
        <v>-6</v>
      </c>
      <c r="T65" s="15">
        <v>-7</v>
      </c>
      <c r="U65" s="15">
        <v>-8</v>
      </c>
      <c r="V65" s="37">
        <f>SUM(R65:U65)</f>
        <v>-28</v>
      </c>
      <c r="W65" s="15">
        <v>-8</v>
      </c>
      <c r="X65" s="15">
        <v>-9</v>
      </c>
      <c r="AA65" s="37">
        <f>SUM(W65:Z65)</f>
        <v>-17</v>
      </c>
    </row>
    <row r="66" spans="2:27" x14ac:dyDescent="0.25">
      <c r="B66" s="16" t="s">
        <v>49</v>
      </c>
      <c r="C66" s="16">
        <f t="shared" ref="C66" si="140">SUM(C62:C65)</f>
        <v>0</v>
      </c>
      <c r="D66" s="16">
        <f t="shared" ref="D66" si="141">SUM(D62:D65)</f>
        <v>0</v>
      </c>
      <c r="E66" s="16">
        <f t="shared" ref="E66" si="142">SUM(E62:E65)</f>
        <v>0</v>
      </c>
      <c r="F66" s="16">
        <f t="shared" ref="F66" si="143">SUM(F62:F65)</f>
        <v>0</v>
      </c>
      <c r="G66" s="16">
        <f t="shared" ref="G66" si="144">SUM(G62:G65)</f>
        <v>0</v>
      </c>
      <c r="H66" s="16">
        <f t="shared" ref="H66" si="145">SUM(H62:H65)</f>
        <v>0</v>
      </c>
      <c r="I66" s="16">
        <f t="shared" ref="I66" si="146">SUM(I62:I65)</f>
        <v>99</v>
      </c>
      <c r="J66" s="16">
        <f t="shared" ref="J66" si="147">SUM(J62:J65)</f>
        <v>112</v>
      </c>
      <c r="K66" s="16">
        <f t="shared" ref="K66" si="148">SUM(K62:K65)</f>
        <v>0</v>
      </c>
      <c r="L66" s="16">
        <f t="shared" ref="L66" si="149">SUM(L62:L65)</f>
        <v>0</v>
      </c>
      <c r="M66" s="16">
        <f t="shared" ref="M66" si="150">SUM(M62:M65)</f>
        <v>113</v>
      </c>
      <c r="N66" s="16">
        <f t="shared" ref="N66" si="151">SUM(N62:N65)</f>
        <v>120</v>
      </c>
      <c r="O66" s="16">
        <f t="shared" ref="O66" si="152">SUM(O62:O65)</f>
        <v>131</v>
      </c>
      <c r="P66" s="16">
        <f t="shared" ref="P66:Q66" si="153">SUM(P62:P65)</f>
        <v>131</v>
      </c>
      <c r="Q66" s="39">
        <f t="shared" si="153"/>
        <v>495</v>
      </c>
      <c r="R66" s="16">
        <f t="shared" ref="R66" si="154">SUM(R62:R65)</f>
        <v>134</v>
      </c>
      <c r="S66" s="16">
        <f t="shared" ref="S66" si="155">SUM(S62:S65)</f>
        <v>134</v>
      </c>
      <c r="T66" s="16">
        <f t="shared" ref="T66" si="156">SUM(T62:T65)</f>
        <v>142</v>
      </c>
      <c r="U66" s="16">
        <f t="shared" ref="U66:V66" si="157">SUM(U62:U65)</f>
        <v>133</v>
      </c>
      <c r="V66" s="39">
        <f t="shared" si="157"/>
        <v>543</v>
      </c>
      <c r="W66" s="16">
        <f t="shared" ref="W66" si="158">SUM(W62:W65)</f>
        <v>123</v>
      </c>
      <c r="X66" s="16">
        <f>SUM(X62:X65)</f>
        <v>125</v>
      </c>
      <c r="Y66" s="16">
        <f t="shared" ref="Y66:AA66" si="159">SUM(Y62:Y65)</f>
        <v>0</v>
      </c>
      <c r="Z66" s="16">
        <f t="shared" si="159"/>
        <v>0</v>
      </c>
      <c r="AA66" s="39">
        <f t="shared" si="159"/>
        <v>248</v>
      </c>
    </row>
    <row r="67" spans="2:27" x14ac:dyDescent="0.25">
      <c r="B67" s="15" t="s">
        <v>50</v>
      </c>
      <c r="I67" s="15">
        <v>-5</v>
      </c>
      <c r="J67" s="15">
        <v>-23</v>
      </c>
      <c r="M67" s="15">
        <v>-2</v>
      </c>
      <c r="N67" s="15">
        <v>-16</v>
      </c>
      <c r="O67" s="15">
        <v>-8</v>
      </c>
      <c r="P67" s="15">
        <v>3</v>
      </c>
      <c r="Q67" s="37">
        <f>SUM(M67:P67)</f>
        <v>-23</v>
      </c>
      <c r="R67" s="15">
        <v>-8</v>
      </c>
      <c r="S67" s="15">
        <v>-20</v>
      </c>
      <c r="T67" s="15">
        <v>-16</v>
      </c>
      <c r="U67" s="15">
        <v>-20</v>
      </c>
      <c r="V67" s="37">
        <f>SUM(R67:U67)</f>
        <v>-64</v>
      </c>
      <c r="W67" s="15">
        <v>-2</v>
      </c>
      <c r="X67" s="15">
        <v>-12</v>
      </c>
      <c r="AA67" s="37">
        <f>SUM(W67:Z67)</f>
        <v>-14</v>
      </c>
    </row>
    <row r="68" spans="2:27" x14ac:dyDescent="0.25">
      <c r="B68" s="16" t="s">
        <v>233</v>
      </c>
      <c r="C68" s="16">
        <f t="shared" ref="C68" si="160">SUM(C66:C67)</f>
        <v>0</v>
      </c>
      <c r="D68" s="16">
        <f t="shared" ref="D68" si="161">SUM(D66:D67)</f>
        <v>0</v>
      </c>
      <c r="E68" s="16">
        <f t="shared" ref="E68" si="162">SUM(E66:E67)</f>
        <v>0</v>
      </c>
      <c r="F68" s="16">
        <f t="shared" ref="F68" si="163">SUM(F66:F67)</f>
        <v>0</v>
      </c>
      <c r="G68" s="16">
        <f t="shared" ref="G68" si="164">SUM(G66:G67)</f>
        <v>0</v>
      </c>
      <c r="H68" s="16">
        <f t="shared" ref="H68" si="165">SUM(H66:H67)</f>
        <v>0</v>
      </c>
      <c r="I68" s="16">
        <f t="shared" ref="I68" si="166">SUM(I66:I67)</f>
        <v>94</v>
      </c>
      <c r="J68" s="16">
        <f t="shared" ref="J68" si="167">SUM(J66:J67)</f>
        <v>89</v>
      </c>
      <c r="K68" s="16">
        <f t="shared" ref="K68" si="168">SUM(K66:K67)</f>
        <v>0</v>
      </c>
      <c r="L68" s="16">
        <f t="shared" ref="L68" si="169">SUM(L66:L67)</f>
        <v>0</v>
      </c>
      <c r="M68" s="16">
        <f t="shared" ref="M68" si="170">SUM(M66:M67)</f>
        <v>111</v>
      </c>
      <c r="N68" s="16">
        <f t="shared" ref="N68" si="171">SUM(N66:N67)</f>
        <v>104</v>
      </c>
      <c r="O68" s="16">
        <f t="shared" ref="O68" si="172">SUM(O66:O67)</f>
        <v>123</v>
      </c>
      <c r="P68" s="16">
        <f t="shared" ref="P68:Q68" si="173">SUM(P66:P67)</f>
        <v>134</v>
      </c>
      <c r="Q68" s="39">
        <f t="shared" si="173"/>
        <v>472</v>
      </c>
      <c r="R68" s="16">
        <f t="shared" ref="R68" si="174">SUM(R66:R67)</f>
        <v>126</v>
      </c>
      <c r="S68" s="16">
        <f t="shared" ref="S68" si="175">SUM(S66:S67)</f>
        <v>114</v>
      </c>
      <c r="T68" s="16">
        <f t="shared" ref="T68" si="176">SUM(T66:T67)</f>
        <v>126</v>
      </c>
      <c r="U68" s="16">
        <f t="shared" ref="U68:V68" si="177">SUM(U66:U67)</f>
        <v>113</v>
      </c>
      <c r="V68" s="39">
        <f t="shared" si="177"/>
        <v>479</v>
      </c>
      <c r="W68" s="16">
        <f t="shared" ref="W68" si="178">SUM(W66:W67)</f>
        <v>121</v>
      </c>
      <c r="X68" s="16">
        <f>SUM(X66:X67)</f>
        <v>113</v>
      </c>
      <c r="Y68" s="16">
        <f t="shared" ref="Y68:AA68" si="179">SUM(Y66:Y67)</f>
        <v>0</v>
      </c>
      <c r="Z68" s="16">
        <f t="shared" si="179"/>
        <v>0</v>
      </c>
      <c r="AA68" s="39">
        <f t="shared" si="179"/>
        <v>234</v>
      </c>
    </row>
    <row r="69" spans="2:27" x14ac:dyDescent="0.25">
      <c r="B69" s="15" t="s">
        <v>54</v>
      </c>
      <c r="Q69" s="37"/>
      <c r="R69" s="15">
        <v>-27</v>
      </c>
      <c r="S69" s="15">
        <v>-25</v>
      </c>
      <c r="T69" s="15">
        <v>-28</v>
      </c>
      <c r="U69" s="15">
        <v>-24</v>
      </c>
      <c r="V69" s="37">
        <f>SUM(R69:U69)</f>
        <v>-104</v>
      </c>
      <c r="W69" s="15">
        <v>-30</v>
      </c>
      <c r="X69" s="15">
        <v>-25</v>
      </c>
      <c r="AA69" s="37">
        <f>SUM(W69:Z69)</f>
        <v>-55</v>
      </c>
    </row>
    <row r="70" spans="2:27" x14ac:dyDescent="0.25">
      <c r="B70" s="15" t="s">
        <v>234</v>
      </c>
      <c r="Q70" s="37"/>
      <c r="R70" s="15">
        <v>-4</v>
      </c>
      <c r="S70" s="15">
        <v>-3</v>
      </c>
      <c r="T70" s="15">
        <v>-3</v>
      </c>
      <c r="U70" s="15">
        <v>-3</v>
      </c>
      <c r="V70" s="37">
        <f>SUM(R70:U70)</f>
        <v>-13</v>
      </c>
      <c r="W70" s="15">
        <v>-3</v>
      </c>
      <c r="X70" s="15">
        <v>-4</v>
      </c>
      <c r="AA70" s="37">
        <f>SUM(W70:Z70)</f>
        <v>-7</v>
      </c>
    </row>
    <row r="71" spans="2:27" x14ac:dyDescent="0.25">
      <c r="B71" s="16" t="s">
        <v>55</v>
      </c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16"/>
      <c r="Q71" s="39"/>
      <c r="R71" s="16">
        <f t="shared" ref="R71" si="180">SUM(R68:R70)</f>
        <v>95</v>
      </c>
      <c r="S71" s="16">
        <f t="shared" ref="S71" si="181">SUM(S68:S70)</f>
        <v>86</v>
      </c>
      <c r="T71" s="16">
        <f t="shared" ref="T71" si="182">SUM(T68:T70)</f>
        <v>95</v>
      </c>
      <c r="U71" s="16">
        <f t="shared" ref="U71:V71" si="183">SUM(U68:U70)</f>
        <v>86</v>
      </c>
      <c r="V71" s="39">
        <f t="shared" si="183"/>
        <v>362</v>
      </c>
      <c r="W71" s="16">
        <f t="shared" ref="W71" si="184">SUM(W68:W70)</f>
        <v>88</v>
      </c>
      <c r="X71" s="16">
        <f>SUM(X68:X70)</f>
        <v>84</v>
      </c>
      <c r="Y71" s="16">
        <f t="shared" ref="Y71:AA71" si="185">SUM(Y68:Y70)</f>
        <v>0</v>
      </c>
      <c r="Z71" s="16">
        <f t="shared" si="185"/>
        <v>0</v>
      </c>
      <c r="AA71" s="39">
        <f t="shared" si="185"/>
        <v>172</v>
      </c>
    </row>
    <row r="72" spans="2:27" x14ac:dyDescent="0.25">
      <c r="B72" s="15" t="s">
        <v>235</v>
      </c>
      <c r="C72" s="89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Q72" s="37"/>
      <c r="R72" s="15">
        <v>500</v>
      </c>
      <c r="S72" s="15">
        <v>500</v>
      </c>
      <c r="T72" s="15">
        <v>500</v>
      </c>
      <c r="U72" s="15">
        <v>500</v>
      </c>
      <c r="V72" s="37">
        <v>500</v>
      </c>
      <c r="W72" s="15">
        <v>500</v>
      </c>
      <c r="X72" s="15">
        <v>500</v>
      </c>
      <c r="Y72" s="15">
        <v>500</v>
      </c>
      <c r="Z72" s="15">
        <v>500</v>
      </c>
      <c r="AA72" s="37">
        <v>500</v>
      </c>
    </row>
    <row r="73" spans="2:27" s="16" customFormat="1" x14ac:dyDescent="0.25">
      <c r="B73" s="16" t="s">
        <v>57</v>
      </c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31"/>
      <c r="Q73" s="93"/>
      <c r="R73" s="31">
        <f t="shared" ref="R73" si="186">R71/R72</f>
        <v>0.19</v>
      </c>
      <c r="S73" s="31">
        <f t="shared" ref="S73" si="187">S71/S72</f>
        <v>0.17199999999999999</v>
      </c>
      <c r="T73" s="31">
        <f t="shared" ref="T73" si="188">T71/T72</f>
        <v>0.19</v>
      </c>
      <c r="U73" s="31">
        <f t="shared" ref="U73:V73" si="189">U71/U72</f>
        <v>0.17199999999999999</v>
      </c>
      <c r="V73" s="93">
        <f t="shared" si="189"/>
        <v>0.72399999999999998</v>
      </c>
      <c r="W73" s="31">
        <f t="shared" ref="W73" si="190">W71/W72</f>
        <v>0.17599999999999999</v>
      </c>
      <c r="X73" s="31">
        <f>X71/X72</f>
        <v>0.16800000000000001</v>
      </c>
      <c r="Y73" s="31">
        <f t="shared" ref="Y73" si="191">Y71/Y72</f>
        <v>0</v>
      </c>
      <c r="Z73" s="31">
        <f t="shared" ref="Z73:AA73" si="192">Z71/Z72</f>
        <v>0</v>
      </c>
      <c r="AA73" s="93">
        <f t="shared" si="192"/>
        <v>0.34399999999999997</v>
      </c>
    </row>
    <row r="74" spans="2:27" x14ac:dyDescent="0.25"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39"/>
      <c r="R74" s="16"/>
      <c r="S74" s="16"/>
      <c r="T74" s="16"/>
      <c r="U74" s="16"/>
      <c r="V74" s="39"/>
      <c r="W74" s="16"/>
      <c r="X74" s="16"/>
      <c r="Y74" s="16"/>
      <c r="Z74" s="16"/>
      <c r="AA74" s="39"/>
    </row>
    <row r="75" spans="2:27" x14ac:dyDescent="0.25">
      <c r="B75" s="51" t="s">
        <v>236</v>
      </c>
      <c r="C75" s="51"/>
      <c r="D75" s="51"/>
      <c r="E75" s="51"/>
      <c r="F75" s="51"/>
      <c r="G75" s="51"/>
      <c r="H75" s="51"/>
      <c r="I75" s="51"/>
      <c r="J75" s="51">
        <v>3.7999999999999999E-2</v>
      </c>
      <c r="K75" s="51"/>
      <c r="L75" s="51"/>
      <c r="M75" s="51"/>
      <c r="N75" s="51"/>
      <c r="O75" s="51">
        <v>3.7999999999999999E-2</v>
      </c>
      <c r="P75" s="51">
        <v>0.04</v>
      </c>
      <c r="Q75" s="92"/>
      <c r="R75" s="51">
        <v>3.7999999999999999E-2</v>
      </c>
      <c r="S75" s="51">
        <v>3.9E-2</v>
      </c>
      <c r="T75" s="51">
        <v>3.9E-2</v>
      </c>
      <c r="U75" s="51">
        <v>3.7999999999999999E-2</v>
      </c>
      <c r="V75" s="92"/>
      <c r="W75" s="51">
        <v>3.4000000000000002E-2</v>
      </c>
      <c r="X75" s="51">
        <v>3.5000000000000003E-2</v>
      </c>
      <c r="Y75" s="51"/>
      <c r="Z75" s="51"/>
      <c r="AA75" s="92"/>
    </row>
    <row r="76" spans="2:27" x14ac:dyDescent="0.25">
      <c r="B76" s="51" t="s">
        <v>237</v>
      </c>
      <c r="C76" s="51"/>
      <c r="D76" s="51"/>
      <c r="E76" s="51"/>
      <c r="F76" s="51"/>
      <c r="G76" s="51"/>
      <c r="H76" s="51"/>
      <c r="I76" s="51"/>
      <c r="J76" s="51">
        <v>0.312</v>
      </c>
      <c r="K76" s="51"/>
      <c r="L76" s="51"/>
      <c r="M76" s="51"/>
      <c r="N76" s="51"/>
      <c r="O76" s="51">
        <v>0.222</v>
      </c>
      <c r="P76" s="51">
        <v>0.25800000000000001</v>
      </c>
      <c r="Q76" s="92"/>
      <c r="R76" s="51">
        <v>0.222</v>
      </c>
      <c r="S76" s="51">
        <v>0.23699999999999999</v>
      </c>
      <c r="T76" s="51">
        <v>0.216</v>
      </c>
      <c r="U76" s="51">
        <v>0.25700000000000001</v>
      </c>
      <c r="V76" s="92"/>
      <c r="W76" s="51">
        <v>0.27200000000000002</v>
      </c>
      <c r="X76" s="51">
        <v>0.28799999999999998</v>
      </c>
      <c r="Y76" s="51"/>
      <c r="Z76" s="51"/>
      <c r="AA76" s="92"/>
    </row>
    <row r="77" spans="2:27" x14ac:dyDescent="0.25">
      <c r="B77" s="51" t="s">
        <v>238</v>
      </c>
      <c r="C77" s="51"/>
      <c r="D77" s="51"/>
      <c r="E77" s="51"/>
      <c r="F77" s="51"/>
      <c r="G77" s="51"/>
      <c r="H77" s="51"/>
      <c r="I77" s="51"/>
      <c r="J77" s="51">
        <v>6.0000000000000001E-3</v>
      </c>
      <c r="K77" s="51"/>
      <c r="L77" s="51"/>
      <c r="M77" s="51"/>
      <c r="N77" s="51"/>
      <c r="O77" s="51">
        <v>2E-3</v>
      </c>
      <c r="P77" s="51">
        <v>-1E-3</v>
      </c>
      <c r="Q77" s="92"/>
      <c r="R77" s="51">
        <v>2E-3</v>
      </c>
      <c r="S77" s="51">
        <v>4.0000000000000001E-3</v>
      </c>
      <c r="T77" s="51">
        <v>3.0000000000000001E-3</v>
      </c>
      <c r="U77" s="51">
        <v>4.0000000000000001E-3</v>
      </c>
      <c r="V77" s="92"/>
      <c r="W77" s="51">
        <v>0</v>
      </c>
      <c r="X77" s="51">
        <v>2E-3</v>
      </c>
      <c r="Y77" s="51"/>
      <c r="Z77" s="51"/>
      <c r="AA77" s="92"/>
    </row>
    <row r="78" spans="2:27" x14ac:dyDescent="0.25">
      <c r="B78" s="51" t="s">
        <v>37</v>
      </c>
      <c r="C78" s="51"/>
      <c r="D78" s="51"/>
      <c r="E78" s="51"/>
      <c r="F78" s="51"/>
      <c r="G78" s="51"/>
      <c r="H78" s="51"/>
      <c r="I78" s="51"/>
      <c r="J78" s="51">
        <v>0.32500000000000001</v>
      </c>
      <c r="K78" s="51"/>
      <c r="L78" s="51"/>
      <c r="M78" s="51"/>
      <c r="N78" s="51"/>
      <c r="O78" s="51">
        <v>0.38</v>
      </c>
      <c r="P78" s="51">
        <v>0.45300000000000001</v>
      </c>
      <c r="Q78" s="92"/>
      <c r="R78" s="51">
        <v>0.44600000000000001</v>
      </c>
      <c r="S78" s="51">
        <v>0.43</v>
      </c>
      <c r="T78" s="51">
        <v>0.45700000000000002</v>
      </c>
      <c r="U78" s="51">
        <v>0.38800000000000001</v>
      </c>
      <c r="V78" s="92"/>
      <c r="W78" s="51">
        <v>0.36599999999999999</v>
      </c>
      <c r="X78" s="51">
        <v>0.34300000000000003</v>
      </c>
      <c r="Y78" s="51"/>
      <c r="Z78" s="51"/>
      <c r="AA78" s="9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99104-313E-F047-A3AC-70F35D3A0BFC}">
  <dimension ref="A1:M34"/>
  <sheetViews>
    <sheetView showGridLines="0" tabSelected="1" workbookViewId="0">
      <selection activeCell="D26" sqref="D26"/>
    </sheetView>
  </sheetViews>
  <sheetFormatPr baseColWidth="10" defaultRowHeight="16" x14ac:dyDescent="0.2"/>
  <cols>
    <col min="1" max="1" width="10.83203125" style="56"/>
    <col min="2" max="2" width="31.6640625" style="56" customWidth="1"/>
    <col min="3" max="13" width="14.1640625" style="56" customWidth="1"/>
    <col min="14" max="16384" width="10.83203125" style="56"/>
  </cols>
  <sheetData>
    <row r="1" spans="1:13" ht="19" x14ac:dyDescent="0.25">
      <c r="A1" s="55" t="s">
        <v>191</v>
      </c>
    </row>
    <row r="3" spans="1:13" x14ac:dyDescent="0.2">
      <c r="B3" s="57" t="s">
        <v>38</v>
      </c>
    </row>
    <row r="4" spans="1:13" x14ac:dyDescent="0.2">
      <c r="B4" s="58" t="s">
        <v>183</v>
      </c>
      <c r="C4" s="63" t="s">
        <v>193</v>
      </c>
      <c r="D4" s="63" t="s">
        <v>186</v>
      </c>
      <c r="E4" s="63" t="s">
        <v>187</v>
      </c>
      <c r="F4" s="63" t="s">
        <v>188</v>
      </c>
      <c r="G4" s="63" t="s">
        <v>189</v>
      </c>
      <c r="H4" s="63" t="s">
        <v>190</v>
      </c>
      <c r="I4" s="63" t="s">
        <v>201</v>
      </c>
      <c r="J4" s="63" t="s">
        <v>202</v>
      </c>
      <c r="K4" s="63" t="s">
        <v>203</v>
      </c>
      <c r="L4" s="63" t="s">
        <v>204</v>
      </c>
      <c r="M4" s="63" t="s">
        <v>205</v>
      </c>
    </row>
    <row r="5" spans="1:13" x14ac:dyDescent="0.2">
      <c r="B5" s="57" t="s">
        <v>184</v>
      </c>
      <c r="C5" s="64"/>
      <c r="D5" s="65">
        <f>Modell!AD40</f>
        <v>0.123</v>
      </c>
      <c r="E5" s="65">
        <f>Modell!AE40</f>
        <v>0.12000000000000008</v>
      </c>
      <c r="F5" s="65">
        <f>Modell!AF40</f>
        <v>0.12000000000000018</v>
      </c>
      <c r="G5" s="65">
        <f>Modell!AG40</f>
        <v>0.12000000000000008</v>
      </c>
      <c r="H5" s="65">
        <f>Modell!AH40</f>
        <v>0.12000000000000012</v>
      </c>
      <c r="I5" s="65">
        <f>Modell!AI40</f>
        <v>0.1000000000000001</v>
      </c>
      <c r="J5" s="65">
        <f>Modell!AJ40</f>
        <v>0.10000000000000014</v>
      </c>
      <c r="K5" s="65">
        <f>Modell!AK40</f>
        <v>0.10000000000000012</v>
      </c>
      <c r="L5" s="65">
        <f>Modell!AL40</f>
        <v>0.10000000000000003</v>
      </c>
      <c r="M5" s="65">
        <f>Modell!AM40</f>
        <v>0.1000000000000001</v>
      </c>
    </row>
    <row r="6" spans="1:13" x14ac:dyDescent="0.2">
      <c r="B6" s="57" t="s">
        <v>195</v>
      </c>
      <c r="C6" s="64"/>
      <c r="D6" s="65">
        <v>0.13500000000000001</v>
      </c>
      <c r="E6" s="65">
        <v>0.13500000000000001</v>
      </c>
      <c r="F6" s="65">
        <v>0.13500000000000001</v>
      </c>
      <c r="G6" s="65">
        <v>0.13500000000000001</v>
      </c>
      <c r="H6" s="65">
        <v>0.13500000000000001</v>
      </c>
      <c r="I6" s="65">
        <v>0.13500000000000001</v>
      </c>
      <c r="J6" s="65">
        <v>0.13500000000000001</v>
      </c>
      <c r="K6" s="65">
        <v>0.13500000000000001</v>
      </c>
      <c r="L6" s="65">
        <v>0.13500000000000001</v>
      </c>
      <c r="M6" s="65">
        <v>0.13500000000000001</v>
      </c>
    </row>
    <row r="7" spans="1:13" x14ac:dyDescent="0.2">
      <c r="B7" s="57" t="s">
        <v>175</v>
      </c>
      <c r="C7" s="64"/>
      <c r="D7" s="66">
        <f>Modell!AD20</f>
        <v>4176.7840000000015</v>
      </c>
      <c r="E7" s="66">
        <f>Modell!AE20</f>
        <v>5071.0624000000043</v>
      </c>
      <c r="F7" s="66">
        <f>Modell!AF20</f>
        <v>5755.3345600000048</v>
      </c>
      <c r="G7" s="66">
        <f>Modell!AG20</f>
        <v>6416.7237216000076</v>
      </c>
      <c r="H7" s="66">
        <f>Modell!AH20</f>
        <v>7184.7191235840091</v>
      </c>
      <c r="I7" s="67">
        <f>Modell!AI20</f>
        <v>8031.488911487364</v>
      </c>
      <c r="J7" s="67">
        <f>Modell!AJ20</f>
        <v>8929.3506620345324</v>
      </c>
      <c r="K7" s="67">
        <f>Modell!AK20</f>
        <v>9792.5655710746178</v>
      </c>
      <c r="L7" s="67">
        <f>Modell!AL20</f>
        <v>10740.898366303807</v>
      </c>
      <c r="M7" s="67">
        <f>Modell!AM20</f>
        <v>11782.824728199563</v>
      </c>
    </row>
    <row r="8" spans="1:13" x14ac:dyDescent="0.2">
      <c r="B8" s="57" t="s">
        <v>192</v>
      </c>
      <c r="C8" s="64"/>
      <c r="D8" s="65">
        <v>0.78700000000000003</v>
      </c>
      <c r="E8" s="65">
        <v>0.78700000000000003</v>
      </c>
      <c r="F8" s="65">
        <v>0.78700000000000003</v>
      </c>
      <c r="G8" s="65">
        <v>0.78700000000000003</v>
      </c>
      <c r="H8" s="65">
        <v>0.78700000000000003</v>
      </c>
      <c r="I8" s="65">
        <v>0.78700000000000003</v>
      </c>
      <c r="J8" s="65">
        <v>0.78700000000000003</v>
      </c>
      <c r="K8" s="65">
        <v>0.78700000000000003</v>
      </c>
      <c r="L8" s="65">
        <v>0.78700000000000003</v>
      </c>
      <c r="M8" s="65">
        <v>0.78700000000000003</v>
      </c>
    </row>
    <row r="9" spans="1:13" x14ac:dyDescent="0.2"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</row>
    <row r="10" spans="1:13" x14ac:dyDescent="0.2">
      <c r="B10" s="58" t="s">
        <v>176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</row>
    <row r="11" spans="1:13" x14ac:dyDescent="0.2">
      <c r="B11" s="59" t="s">
        <v>185</v>
      </c>
      <c r="C11" s="66">
        <v>132341</v>
      </c>
      <c r="D11" s="66">
        <f>C11*(1+D5)</f>
        <v>148618.943</v>
      </c>
      <c r="E11" s="66">
        <f t="shared" ref="E11:H11" si="0">D11*(1+E5)</f>
        <v>166453.21616000001</v>
      </c>
      <c r="F11" s="66">
        <f t="shared" si="0"/>
        <v>186427.60209920004</v>
      </c>
      <c r="G11" s="66">
        <f t="shared" si="0"/>
        <v>208798.91435110406</v>
      </c>
      <c r="H11" s="66">
        <f t="shared" si="0"/>
        <v>233854.78407323657</v>
      </c>
      <c r="I11" s="66">
        <f t="shared" ref="I11:M11" si="1">H11*(1+I5)</f>
        <v>257240.26248056025</v>
      </c>
      <c r="J11" s="66">
        <f t="shared" si="1"/>
        <v>282964.28872861632</v>
      </c>
      <c r="K11" s="66">
        <f t="shared" si="1"/>
        <v>311260.71760147798</v>
      </c>
      <c r="L11" s="66">
        <f t="shared" si="1"/>
        <v>342386.78936162579</v>
      </c>
      <c r="M11" s="66">
        <f t="shared" si="1"/>
        <v>376625.46829778841</v>
      </c>
    </row>
    <row r="12" spans="1:13" x14ac:dyDescent="0.2">
      <c r="B12" s="59" t="s">
        <v>174</v>
      </c>
      <c r="C12" s="66">
        <v>104237</v>
      </c>
      <c r="D12" s="66">
        <f>D11*D8</f>
        <v>116963.108141</v>
      </c>
      <c r="E12" s="66">
        <f t="shared" ref="E12:H12" si="2">E11*E8</f>
        <v>130998.68111792002</v>
      </c>
      <c r="F12" s="66">
        <f t="shared" si="2"/>
        <v>146718.52285207043</v>
      </c>
      <c r="G12" s="66">
        <f t="shared" si="2"/>
        <v>164324.7455943189</v>
      </c>
      <c r="H12" s="66">
        <f t="shared" si="2"/>
        <v>184043.7150656372</v>
      </c>
      <c r="I12" s="66">
        <f t="shared" ref="I12" si="3">I11*I8</f>
        <v>202448.08657220093</v>
      </c>
      <c r="J12" s="66">
        <f t="shared" ref="J12" si="4">J11*J8</f>
        <v>222692.89522942106</v>
      </c>
      <c r="K12" s="66">
        <f t="shared" ref="K12" si="5">K11*K8</f>
        <v>244962.18475236319</v>
      </c>
      <c r="L12" s="66">
        <f t="shared" ref="L12" si="6">L11*L8</f>
        <v>269458.40322759951</v>
      </c>
      <c r="M12" s="66">
        <f>M11*M8</f>
        <v>296404.2435503595</v>
      </c>
    </row>
    <row r="13" spans="1:13" x14ac:dyDescent="0.2">
      <c r="B13" s="59" t="s">
        <v>177</v>
      </c>
      <c r="C13" s="66"/>
      <c r="D13" s="66">
        <f>D12-C12</f>
        <v>12726.108141000004</v>
      </c>
      <c r="E13" s="66">
        <f t="shared" ref="E13:H13" si="7">E12-D12</f>
        <v>14035.572976920012</v>
      </c>
      <c r="F13" s="66">
        <f t="shared" si="7"/>
        <v>15719.84173415041</v>
      </c>
      <c r="G13" s="66">
        <f t="shared" si="7"/>
        <v>17606.222742248472</v>
      </c>
      <c r="H13" s="66">
        <f t="shared" si="7"/>
        <v>19718.969471318298</v>
      </c>
      <c r="I13" s="66">
        <f t="shared" ref="I13" si="8">I12-H12</f>
        <v>18404.371506563737</v>
      </c>
      <c r="J13" s="66">
        <f t="shared" ref="J13" si="9">J12-I12</f>
        <v>20244.808657220128</v>
      </c>
      <c r="K13" s="66">
        <f t="shared" ref="K13" si="10">K12-J12</f>
        <v>22269.289522942126</v>
      </c>
      <c r="L13" s="66">
        <f t="shared" ref="L13" si="11">L12-K12</f>
        <v>24496.218475236325</v>
      </c>
      <c r="M13" s="66">
        <f>M12-L12</f>
        <v>26945.840322759992</v>
      </c>
    </row>
    <row r="14" spans="1:13" x14ac:dyDescent="0.2">
      <c r="B14" s="59" t="s">
        <v>196</v>
      </c>
      <c r="C14" s="66">
        <v>14246</v>
      </c>
      <c r="D14" s="66">
        <f>D12*D6</f>
        <v>15790.019599035002</v>
      </c>
      <c r="E14" s="66">
        <f t="shared" ref="E14:H14" si="12">E12*E6</f>
        <v>17684.821950919202</v>
      </c>
      <c r="F14" s="66">
        <f t="shared" si="12"/>
        <v>19807.000585029509</v>
      </c>
      <c r="G14" s="66">
        <f t="shared" si="12"/>
        <v>22183.840655233053</v>
      </c>
      <c r="H14" s="66">
        <f t="shared" si="12"/>
        <v>24845.901533861022</v>
      </c>
      <c r="I14" s="66">
        <f t="shared" ref="I14:L14" si="13">I12*I6</f>
        <v>27330.491687247129</v>
      </c>
      <c r="J14" s="66">
        <f t="shared" si="13"/>
        <v>30063.540855971845</v>
      </c>
      <c r="K14" s="66">
        <f t="shared" si="13"/>
        <v>33069.894941569029</v>
      </c>
      <c r="L14" s="66">
        <f t="shared" si="13"/>
        <v>36376.884435725937</v>
      </c>
      <c r="M14" s="66">
        <f>M12*M6</f>
        <v>40014.572879298539</v>
      </c>
    </row>
    <row r="15" spans="1:13" x14ac:dyDescent="0.2">
      <c r="B15" s="60" t="s">
        <v>198</v>
      </c>
      <c r="C15" s="68">
        <f>C14/C12</f>
        <v>0.1366693208745455</v>
      </c>
      <c r="D15" s="68">
        <f>D14/D12</f>
        <v>0.13500000000000001</v>
      </c>
      <c r="E15" s="68">
        <f t="shared" ref="E15:H15" si="14">E14/E12</f>
        <v>0.13500000000000001</v>
      </c>
      <c r="F15" s="68">
        <f t="shared" si="14"/>
        <v>0.13500000000000001</v>
      </c>
      <c r="G15" s="68">
        <f t="shared" si="14"/>
        <v>0.13500000000000001</v>
      </c>
      <c r="H15" s="68">
        <f t="shared" si="14"/>
        <v>0.13500000000000001</v>
      </c>
      <c r="I15" s="68">
        <f t="shared" ref="I15" si="15">I14/I12</f>
        <v>0.13500000000000001</v>
      </c>
      <c r="J15" s="68">
        <f t="shared" ref="J15" si="16">J14/J12</f>
        <v>0.13500000000000001</v>
      </c>
      <c r="K15" s="68">
        <f t="shared" ref="K15" si="17">K14/K12</f>
        <v>0.13500000000000001</v>
      </c>
      <c r="L15" s="68">
        <f t="shared" ref="L15" si="18">L14/L12</f>
        <v>0.13500000000000001</v>
      </c>
      <c r="M15" s="68">
        <f t="shared" ref="M15" si="19">M14/M12</f>
        <v>0.13500000000000001</v>
      </c>
    </row>
    <row r="16" spans="1:13" x14ac:dyDescent="0.2">
      <c r="B16" s="59" t="s">
        <v>199</v>
      </c>
      <c r="C16" s="66"/>
      <c r="D16" s="66">
        <f>D14-C14</f>
        <v>1544.0195990350021</v>
      </c>
      <c r="E16" s="66">
        <f t="shared" ref="E16:H16" si="20">E14-D14</f>
        <v>1894.8023518842001</v>
      </c>
      <c r="F16" s="66">
        <f t="shared" si="20"/>
        <v>2122.178634110307</v>
      </c>
      <c r="G16" s="66">
        <f t="shared" si="20"/>
        <v>2376.8400702035433</v>
      </c>
      <c r="H16" s="66">
        <f t="shared" si="20"/>
        <v>2662.0608786279699</v>
      </c>
      <c r="I16" s="66">
        <f t="shared" ref="I16:L16" si="21">I14-H14</f>
        <v>2484.590153386107</v>
      </c>
      <c r="J16" s="66">
        <f t="shared" si="21"/>
        <v>2733.0491687247159</v>
      </c>
      <c r="K16" s="66">
        <f t="shared" si="21"/>
        <v>3006.3540855971842</v>
      </c>
      <c r="L16" s="66">
        <f t="shared" si="21"/>
        <v>3306.9894941569073</v>
      </c>
      <c r="M16" s="66">
        <f>M14-L14</f>
        <v>3637.6884435726024</v>
      </c>
    </row>
    <row r="17" spans="2:13" x14ac:dyDescent="0.2">
      <c r="B17" s="61" t="s">
        <v>200</v>
      </c>
      <c r="C17" s="69"/>
      <c r="D17" s="69">
        <f>D7-D16</f>
        <v>2632.7644009649994</v>
      </c>
      <c r="E17" s="69">
        <f t="shared" ref="E17:H17" si="22">E7-E16</f>
        <v>3176.2600481158042</v>
      </c>
      <c r="F17" s="69">
        <f t="shared" si="22"/>
        <v>3633.1559258896978</v>
      </c>
      <c r="G17" s="69">
        <f t="shared" si="22"/>
        <v>4039.8836513964643</v>
      </c>
      <c r="H17" s="69">
        <f t="shared" si="22"/>
        <v>4522.6582449560392</v>
      </c>
      <c r="I17" s="69">
        <f t="shared" ref="I17" si="23">I7-I16</f>
        <v>5546.898758101257</v>
      </c>
      <c r="J17" s="69">
        <f t="shared" ref="J17" si="24">J7-J16</f>
        <v>6196.3014933098166</v>
      </c>
      <c r="K17" s="69">
        <f t="shared" ref="K17" si="25">K7-K16</f>
        <v>6786.2114854774336</v>
      </c>
      <c r="L17" s="69">
        <f t="shared" ref="L17" si="26">L7-L16</f>
        <v>7433.9088721468997</v>
      </c>
      <c r="M17" s="69">
        <f>M7-M16</f>
        <v>8145.1362846269603</v>
      </c>
    </row>
    <row r="18" spans="2:13" x14ac:dyDescent="0.2">
      <c r="B18" s="62" t="s">
        <v>206</v>
      </c>
      <c r="C18" s="70"/>
      <c r="D18" s="70">
        <f>D17/D7</f>
        <v>0.63033290707994438</v>
      </c>
      <c r="E18" s="70">
        <f t="shared" ref="E18:H18" si="27">E17/E7</f>
        <v>0.6263500224560048</v>
      </c>
      <c r="F18" s="70">
        <f t="shared" si="27"/>
        <v>0.63126754631092974</v>
      </c>
      <c r="G18" s="70">
        <f t="shared" si="27"/>
        <v>0.62958665927868884</v>
      </c>
      <c r="H18" s="70">
        <f t="shared" si="27"/>
        <v>0.62948295781115604</v>
      </c>
      <c r="I18" s="70">
        <f t="shared" ref="I18" si="28">I17/I7</f>
        <v>0.6906438917157165</v>
      </c>
      <c r="J18" s="70">
        <f t="shared" ref="J18" si="29">J17/J7</f>
        <v>0.69392520551970382</v>
      </c>
      <c r="K18" s="70">
        <f t="shared" ref="K18" si="30">K17/K7</f>
        <v>0.69299627724961232</v>
      </c>
      <c r="L18" s="70">
        <f t="shared" ref="L18" si="31">L17/L7</f>
        <v>0.69211239308142536</v>
      </c>
      <c r="M18" s="70">
        <f t="shared" ref="M18" si="32">M17/M7</f>
        <v>0.69127195494416493</v>
      </c>
    </row>
    <row r="20" spans="2:13" s="95" customFormat="1" x14ac:dyDescent="0.2">
      <c r="B20" s="94" t="s">
        <v>239</v>
      </c>
      <c r="C20" s="96"/>
      <c r="D20" s="97">
        <f>D17/Modell!$B$6</f>
        <v>6.1227079092209286E-2</v>
      </c>
      <c r="E20" s="97">
        <f>E17/Modell!$B$6</f>
        <v>7.3866512746879165E-2</v>
      </c>
      <c r="F20" s="97">
        <f>F17/Modell!$B$6</f>
        <v>8.4491998276504596E-2</v>
      </c>
      <c r="G20" s="97">
        <f>G17/Modell!$B$6</f>
        <v>9.3950782590615442E-2</v>
      </c>
      <c r="H20" s="97">
        <f>H17/Modell!$B$6</f>
        <v>0.10517809871990789</v>
      </c>
      <c r="I20" s="97">
        <f>I17/Modell!$B$6</f>
        <v>0.12899764553723853</v>
      </c>
      <c r="J20" s="97">
        <f>J17/Modell!$B$6</f>
        <v>0.14410003472813526</v>
      </c>
      <c r="K20" s="97">
        <f>K17/Modell!$B$6</f>
        <v>0.15781887175528916</v>
      </c>
      <c r="L20" s="97">
        <f>L17/Modell!$B$6</f>
        <v>0.17288160167783487</v>
      </c>
      <c r="M20" s="97">
        <f>M17/Modell!$B$6</f>
        <v>0.18942177406109209</v>
      </c>
    </row>
    <row r="25" spans="2:13" x14ac:dyDescent="0.2">
      <c r="G25" s="56" t="s">
        <v>197</v>
      </c>
    </row>
    <row r="34" spans="2:3" x14ac:dyDescent="0.2">
      <c r="B34"/>
      <c r="C34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94E57-B20A-A94B-9310-31E181295B22}">
  <dimension ref="A1:W62"/>
  <sheetViews>
    <sheetView showGridLines="0" zoomScaleNormal="100" workbookViewId="0">
      <pane xSplit="2" ySplit="4" topLeftCell="J5" activePane="bottomRight" state="frozen"/>
      <selection pane="topRight" activeCell="C1" sqref="C1"/>
      <selection pane="bottomLeft" activeCell="A5" sqref="A5"/>
      <selection pane="bottomRight" activeCell="X45" sqref="X45"/>
    </sheetView>
  </sheetViews>
  <sheetFormatPr baseColWidth="10" defaultRowHeight="19" x14ac:dyDescent="0.25"/>
  <cols>
    <col min="1" max="1" width="10.83203125" style="2"/>
    <col min="2" max="2" width="17.5" style="2" customWidth="1"/>
    <col min="3" max="16384" width="10.83203125" style="2"/>
  </cols>
  <sheetData>
    <row r="1" spans="1:22" x14ac:dyDescent="0.25">
      <c r="A1" s="1" t="s">
        <v>154</v>
      </c>
    </row>
    <row r="2" spans="1:22" x14ac:dyDescent="0.25">
      <c r="A2" s="2" t="s">
        <v>157</v>
      </c>
    </row>
    <row r="4" spans="1:22" x14ac:dyDescent="0.25">
      <c r="B4" s="2" t="s">
        <v>38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31</v>
      </c>
      <c r="P4" s="4" t="s">
        <v>28</v>
      </c>
      <c r="Q4" s="4" t="s">
        <v>29</v>
      </c>
      <c r="R4" s="4" t="s">
        <v>30</v>
      </c>
      <c r="S4" s="4" t="s">
        <v>116</v>
      </c>
      <c r="T4" s="4" t="s">
        <v>117</v>
      </c>
      <c r="U4" s="4" t="s">
        <v>118</v>
      </c>
      <c r="V4" s="4" t="s">
        <v>119</v>
      </c>
    </row>
    <row r="5" spans="1:22" x14ac:dyDescent="0.25">
      <c r="B5" s="1" t="s">
        <v>138</v>
      </c>
    </row>
    <row r="6" spans="1:22" s="15" customFormat="1" x14ac:dyDescent="0.25">
      <c r="B6" s="15" t="s">
        <v>139</v>
      </c>
      <c r="J6" s="15">
        <v>41662</v>
      </c>
      <c r="K6" s="15">
        <v>41849</v>
      </c>
      <c r="L6" s="15">
        <v>42633</v>
      </c>
      <c r="M6" s="15">
        <v>44048</v>
      </c>
      <c r="N6" s="15">
        <v>45074</v>
      </c>
      <c r="O6" s="15">
        <v>45643</v>
      </c>
      <c r="P6" s="15">
        <v>46963</v>
      </c>
      <c r="Q6" s="15">
        <v>48945</v>
      </c>
      <c r="R6" s="15">
        <v>50413</v>
      </c>
      <c r="S6" s="15">
        <v>52514</v>
      </c>
      <c r="T6" s="15">
        <v>53686</v>
      </c>
    </row>
    <row r="7" spans="1:22" s="15" customFormat="1" x14ac:dyDescent="0.25">
      <c r="B7" s="15" t="s">
        <v>141</v>
      </c>
      <c r="J7" s="15">
        <v>2068</v>
      </c>
      <c r="K7" s="15">
        <v>2382</v>
      </c>
      <c r="L7" s="15">
        <v>2241</v>
      </c>
      <c r="M7" s="15">
        <v>2289</v>
      </c>
      <c r="N7" s="15">
        <v>2351</v>
      </c>
      <c r="O7" s="15">
        <v>2310</v>
      </c>
      <c r="P7" s="15">
        <v>2370</v>
      </c>
      <c r="Q7" s="15">
        <v>2417</v>
      </c>
      <c r="R7" s="15">
        <v>2437</v>
      </c>
      <c r="S7" s="15">
        <v>2589</v>
      </c>
      <c r="T7" s="15">
        <v>2675</v>
      </c>
    </row>
    <row r="8" spans="1:22" s="15" customFormat="1" x14ac:dyDescent="0.25">
      <c r="B8" s="15" t="s">
        <v>140</v>
      </c>
      <c r="J8" s="15">
        <v>4334</v>
      </c>
      <c r="K8" s="15">
        <v>5072</v>
      </c>
      <c r="L8" s="15">
        <v>5516</v>
      </c>
      <c r="M8" s="15">
        <v>6039</v>
      </c>
      <c r="N8" s="15">
        <v>6481</v>
      </c>
      <c r="O8" s="15">
        <v>6289</v>
      </c>
      <c r="P8" s="15">
        <v>6549</v>
      </c>
      <c r="Q8" s="15">
        <v>6889</v>
      </c>
      <c r="R8" s="15">
        <v>7109</v>
      </c>
      <c r="S8" s="15">
        <v>7311</v>
      </c>
      <c r="T8" s="15">
        <v>7527</v>
      </c>
    </row>
    <row r="9" spans="1:22" x14ac:dyDescent="0.25">
      <c r="B9" s="1" t="s">
        <v>142</v>
      </c>
    </row>
    <row r="10" spans="1:22" s="15" customFormat="1" x14ac:dyDescent="0.25">
      <c r="B10" s="15" t="s">
        <v>139</v>
      </c>
      <c r="J10" s="15">
        <v>25283</v>
      </c>
      <c r="K10" s="15">
        <v>26927</v>
      </c>
      <c r="L10" s="15">
        <v>26881</v>
      </c>
      <c r="M10" s="15">
        <v>27812</v>
      </c>
      <c r="N10" s="15">
        <v>28858</v>
      </c>
      <c r="O10" s="15">
        <v>27899</v>
      </c>
      <c r="P10" s="15">
        <v>29280</v>
      </c>
      <c r="Q10" s="15">
        <v>29705</v>
      </c>
      <c r="R10" s="15">
        <v>29529</v>
      </c>
      <c r="S10" s="15">
        <v>30343</v>
      </c>
      <c r="T10" s="15">
        <v>31197</v>
      </c>
    </row>
    <row r="11" spans="1:22" s="15" customFormat="1" x14ac:dyDescent="0.25">
      <c r="B11" s="15" t="s">
        <v>141</v>
      </c>
      <c r="J11" s="15">
        <v>2213</v>
      </c>
      <c r="K11" s="15">
        <v>2263</v>
      </c>
      <c r="L11" s="15">
        <v>2192</v>
      </c>
      <c r="M11" s="15">
        <v>2049</v>
      </c>
      <c r="N11" s="15">
        <v>2274</v>
      </c>
      <c r="O11" s="15">
        <v>2183</v>
      </c>
      <c r="P11" s="15">
        <v>2183</v>
      </c>
      <c r="Q11" s="15">
        <v>1986</v>
      </c>
      <c r="R11" s="15">
        <v>1979</v>
      </c>
      <c r="S11" s="15">
        <v>1970</v>
      </c>
      <c r="T11" s="15">
        <v>1888</v>
      </c>
    </row>
    <row r="12" spans="1:22" s="15" customFormat="1" x14ac:dyDescent="0.25">
      <c r="B12" s="15" t="s">
        <v>140</v>
      </c>
      <c r="J12" s="15">
        <v>4805</v>
      </c>
      <c r="K12" s="15">
        <v>5747</v>
      </c>
      <c r="L12" s="15">
        <v>6406</v>
      </c>
      <c r="M12" s="15">
        <v>7044</v>
      </c>
      <c r="N12" s="15">
        <v>7638</v>
      </c>
      <c r="O12" s="15">
        <v>7469</v>
      </c>
      <c r="P12" s="15">
        <v>8276</v>
      </c>
      <c r="Q12" s="15">
        <v>8736</v>
      </c>
      <c r="R12" s="15">
        <v>8367</v>
      </c>
      <c r="S12" s="15">
        <v>9044</v>
      </c>
      <c r="T12" s="15">
        <v>9712</v>
      </c>
    </row>
    <row r="13" spans="1:22" x14ac:dyDescent="0.25">
      <c r="B13" s="1" t="s">
        <v>143</v>
      </c>
    </row>
    <row r="14" spans="1:22" s="15" customFormat="1" x14ac:dyDescent="0.25">
      <c r="B14" s="15" t="s">
        <v>139</v>
      </c>
      <c r="J14" s="15">
        <v>21864</v>
      </c>
      <c r="K14" s="15">
        <v>22147</v>
      </c>
      <c r="L14" s="15">
        <v>23051</v>
      </c>
      <c r="M14" s="15">
        <v>23552</v>
      </c>
      <c r="N14" s="15">
        <v>24287</v>
      </c>
      <c r="O14" s="15">
        <v>23945</v>
      </c>
      <c r="P14" s="15">
        <v>24108</v>
      </c>
      <c r="Q14" s="15">
        <v>24579</v>
      </c>
      <c r="R14" s="15">
        <v>24184</v>
      </c>
      <c r="S14" s="15">
        <v>26076</v>
      </c>
      <c r="T14" s="15">
        <v>27021</v>
      </c>
    </row>
    <row r="15" spans="1:22" s="15" customFormat="1" x14ac:dyDescent="0.25">
      <c r="B15" s="15" t="s">
        <v>141</v>
      </c>
      <c r="J15" s="15">
        <v>1552</v>
      </c>
      <c r="K15" s="15">
        <v>1630</v>
      </c>
      <c r="L15" s="15">
        <v>1641</v>
      </c>
      <c r="M15" s="15">
        <v>1533</v>
      </c>
      <c r="N15" s="15">
        <v>1627</v>
      </c>
      <c r="O15" s="15">
        <v>1599</v>
      </c>
      <c r="P15" s="15">
        <v>1431</v>
      </c>
      <c r="Q15" s="15">
        <v>1568</v>
      </c>
      <c r="R15" s="15">
        <v>1413</v>
      </c>
      <c r="S15" s="15">
        <v>1559</v>
      </c>
      <c r="T15" s="15">
        <v>1530</v>
      </c>
    </row>
    <row r="16" spans="1:22" s="15" customFormat="1" x14ac:dyDescent="0.25">
      <c r="B16" s="15" t="s">
        <v>140</v>
      </c>
      <c r="J16" s="15">
        <v>3289</v>
      </c>
      <c r="K16" s="15">
        <v>3550</v>
      </c>
      <c r="L16" s="15">
        <v>3683</v>
      </c>
      <c r="M16" s="15">
        <v>3711</v>
      </c>
      <c r="N16" s="15">
        <v>3856</v>
      </c>
      <c r="O16" s="15">
        <v>4023</v>
      </c>
      <c r="P16" s="15">
        <v>3554</v>
      </c>
      <c r="Q16" s="15">
        <v>3592</v>
      </c>
      <c r="R16" s="15">
        <v>3689</v>
      </c>
      <c r="S16" s="15">
        <v>4080</v>
      </c>
      <c r="T16" s="15">
        <v>4199</v>
      </c>
    </row>
    <row r="17" spans="2:20" x14ac:dyDescent="0.25">
      <c r="B17" s="1" t="s">
        <v>144</v>
      </c>
    </row>
    <row r="18" spans="2:20" s="15" customFormat="1" x14ac:dyDescent="0.25">
      <c r="B18" s="15" t="s">
        <v>139</v>
      </c>
      <c r="J18" s="15">
        <v>6634</v>
      </c>
      <c r="K18" s="15">
        <v>6922</v>
      </c>
      <c r="L18" s="15">
        <v>7307</v>
      </c>
      <c r="M18" s="15">
        <v>7820</v>
      </c>
      <c r="N18" s="15">
        <v>7942</v>
      </c>
      <c r="O18" s="15">
        <v>8100</v>
      </c>
      <c r="P18" s="15">
        <v>8760</v>
      </c>
      <c r="Q18" s="15">
        <v>9287</v>
      </c>
      <c r="R18" s="15">
        <v>9184</v>
      </c>
      <c r="S18" s="15">
        <v>9930</v>
      </c>
      <c r="T18" s="15">
        <v>10474</v>
      </c>
    </row>
    <row r="19" spans="2:20" s="15" customFormat="1" x14ac:dyDescent="0.25">
      <c r="B19" s="15" t="s">
        <v>141</v>
      </c>
      <c r="J19" s="15">
        <v>312</v>
      </c>
      <c r="K19" s="15">
        <v>292</v>
      </c>
      <c r="L19" s="15">
        <v>307</v>
      </c>
      <c r="M19" s="15">
        <v>479</v>
      </c>
      <c r="N19" s="15">
        <v>503</v>
      </c>
      <c r="O19" s="15">
        <v>530</v>
      </c>
      <c r="P19" s="15">
        <v>543</v>
      </c>
      <c r="Q19" s="15">
        <v>430</v>
      </c>
      <c r="R19" s="15">
        <v>434</v>
      </c>
      <c r="S19" s="15">
        <v>471</v>
      </c>
      <c r="T19" s="15">
        <v>472</v>
      </c>
    </row>
    <row r="20" spans="2:20" s="15" customFormat="1" x14ac:dyDescent="0.25">
      <c r="B20" s="15" t="s">
        <v>140</v>
      </c>
      <c r="J20" s="15">
        <v>722</v>
      </c>
      <c r="K20" s="15">
        <v>797</v>
      </c>
      <c r="L20" s="15">
        <v>695</v>
      </c>
      <c r="M20" s="15">
        <v>744</v>
      </c>
      <c r="N20" s="15">
        <v>798</v>
      </c>
      <c r="O20" s="15">
        <v>815</v>
      </c>
      <c r="P20" s="15">
        <v>716</v>
      </c>
      <c r="Q20" s="15">
        <v>781</v>
      </c>
      <c r="R20" s="15">
        <v>821</v>
      </c>
      <c r="S20" s="15">
        <v>899</v>
      </c>
      <c r="T20" s="15">
        <v>920</v>
      </c>
    </row>
    <row r="21" spans="2:20" x14ac:dyDescent="0.25">
      <c r="B21" s="1" t="s">
        <v>145</v>
      </c>
    </row>
    <row r="22" spans="2:20" s="15" customFormat="1" x14ac:dyDescent="0.25">
      <c r="B22" s="15" t="s">
        <v>139</v>
      </c>
      <c r="J22" s="15">
        <v>2551</v>
      </c>
      <c r="K22" s="15">
        <v>2836</v>
      </c>
      <c r="L22" s="15">
        <v>2848</v>
      </c>
      <c r="M22" s="15">
        <v>2899</v>
      </c>
      <c r="N22" s="15">
        <v>2151</v>
      </c>
      <c r="O22" s="15">
        <v>2060</v>
      </c>
      <c r="P22" s="15">
        <v>2136</v>
      </c>
      <c r="Q22" s="15">
        <v>2275</v>
      </c>
      <c r="R22" s="15">
        <v>2235</v>
      </c>
      <c r="S22" s="15">
        <v>2283</v>
      </c>
      <c r="T22" s="15">
        <v>2314</v>
      </c>
    </row>
    <row r="23" spans="2:20" s="15" customFormat="1" x14ac:dyDescent="0.25">
      <c r="B23" s="15" t="s">
        <v>141</v>
      </c>
      <c r="J23" s="15">
        <v>101</v>
      </c>
      <c r="K23" s="15">
        <v>98</v>
      </c>
      <c r="L23" s="15">
        <v>95</v>
      </c>
      <c r="M23" s="15">
        <v>108</v>
      </c>
      <c r="N23" s="15">
        <v>83</v>
      </c>
      <c r="O23" s="15">
        <v>86</v>
      </c>
      <c r="P23" s="15">
        <v>84</v>
      </c>
      <c r="Q23" s="15">
        <v>80</v>
      </c>
      <c r="R23" s="15">
        <v>75</v>
      </c>
      <c r="S23" s="15">
        <v>81</v>
      </c>
      <c r="T23" s="15">
        <v>96</v>
      </c>
    </row>
    <row r="24" spans="2:20" s="45" customFormat="1" ht="20" thickBot="1" x14ac:dyDescent="0.3">
      <c r="B24" s="45" t="s">
        <v>140</v>
      </c>
      <c r="J24" s="45">
        <v>542</v>
      </c>
      <c r="K24" s="45">
        <v>580</v>
      </c>
      <c r="L24" s="45">
        <v>563</v>
      </c>
      <c r="M24" s="45">
        <v>554</v>
      </c>
      <c r="N24" s="45">
        <v>538</v>
      </c>
      <c r="O24" s="45">
        <v>491</v>
      </c>
      <c r="P24" s="45">
        <v>468</v>
      </c>
      <c r="Q24" s="45">
        <v>442</v>
      </c>
      <c r="R24" s="45">
        <v>444</v>
      </c>
      <c r="S24" s="45">
        <v>484</v>
      </c>
      <c r="T24" s="45">
        <v>534</v>
      </c>
    </row>
    <row r="26" spans="2:20" x14ac:dyDescent="0.25">
      <c r="B26" s="2" t="s">
        <v>146</v>
      </c>
      <c r="C26" s="15">
        <f t="shared" ref="C26:S26" si="0">C6+C10+C14+C18+C22</f>
        <v>0</v>
      </c>
      <c r="D26" s="15">
        <f t="shared" si="0"/>
        <v>0</v>
      </c>
      <c r="E26" s="15">
        <f t="shared" si="0"/>
        <v>0</v>
      </c>
      <c r="F26" s="15">
        <f t="shared" si="0"/>
        <v>0</v>
      </c>
      <c r="G26" s="15">
        <f t="shared" si="0"/>
        <v>0</v>
      </c>
      <c r="H26" s="15">
        <f t="shared" si="0"/>
        <v>0</v>
      </c>
      <c r="I26" s="15">
        <f t="shared" si="0"/>
        <v>0</v>
      </c>
      <c r="J26" s="15">
        <f t="shared" si="0"/>
        <v>97994</v>
      </c>
      <c r="K26" s="15">
        <f t="shared" si="0"/>
        <v>100681</v>
      </c>
      <c r="L26" s="15">
        <f t="shared" si="0"/>
        <v>102720</v>
      </c>
      <c r="M26" s="15">
        <f t="shared" si="0"/>
        <v>106131</v>
      </c>
      <c r="N26" s="15">
        <f t="shared" si="0"/>
        <v>108312</v>
      </c>
      <c r="O26" s="15">
        <f t="shared" si="0"/>
        <v>107647</v>
      </c>
      <c r="P26" s="15">
        <f t="shared" si="0"/>
        <v>111247</v>
      </c>
      <c r="Q26" s="15">
        <f t="shared" si="0"/>
        <v>114791</v>
      </c>
      <c r="R26" s="15">
        <f t="shared" si="0"/>
        <v>115545</v>
      </c>
      <c r="S26" s="15">
        <f t="shared" si="0"/>
        <v>121146</v>
      </c>
      <c r="T26" s="15">
        <f>T6+T10+T14+T18+T22</f>
        <v>124692</v>
      </c>
    </row>
    <row r="27" spans="2:20" x14ac:dyDescent="0.25">
      <c r="B27" s="2" t="s">
        <v>147</v>
      </c>
      <c r="C27" s="15">
        <f t="shared" ref="C27:S28" si="1">C7+C11+C15+C19+C23</f>
        <v>0</v>
      </c>
      <c r="D27" s="15">
        <f t="shared" si="1"/>
        <v>0</v>
      </c>
      <c r="E27" s="15">
        <f t="shared" si="1"/>
        <v>0</v>
      </c>
      <c r="F27" s="15">
        <f t="shared" si="1"/>
        <v>0</v>
      </c>
      <c r="G27" s="15">
        <f t="shared" si="1"/>
        <v>0</v>
      </c>
      <c r="H27" s="15">
        <f t="shared" si="1"/>
        <v>0</v>
      </c>
      <c r="I27" s="15">
        <f t="shared" si="1"/>
        <v>0</v>
      </c>
      <c r="J27" s="15">
        <f t="shared" si="1"/>
        <v>6246</v>
      </c>
      <c r="K27" s="15">
        <f t="shared" si="1"/>
        <v>6665</v>
      </c>
      <c r="L27" s="15">
        <f t="shared" si="1"/>
        <v>6476</v>
      </c>
      <c r="M27" s="15">
        <f t="shared" si="1"/>
        <v>6458</v>
      </c>
      <c r="N27" s="15">
        <f t="shared" si="1"/>
        <v>6838</v>
      </c>
      <c r="O27" s="15">
        <f t="shared" si="1"/>
        <v>6708</v>
      </c>
      <c r="P27" s="15">
        <f t="shared" si="1"/>
        <v>6611</v>
      </c>
      <c r="Q27" s="15">
        <f t="shared" si="1"/>
        <v>6481</v>
      </c>
      <c r="R27" s="15">
        <f t="shared" si="1"/>
        <v>6338</v>
      </c>
      <c r="S27" s="15">
        <f t="shared" si="1"/>
        <v>6670</v>
      </c>
      <c r="T27" s="15">
        <f>T7+T11+T15+T19+T23</f>
        <v>6661</v>
      </c>
    </row>
    <row r="28" spans="2:20" x14ac:dyDescent="0.25">
      <c r="B28" s="2" t="s">
        <v>148</v>
      </c>
      <c r="C28" s="15">
        <f t="shared" si="1"/>
        <v>0</v>
      </c>
      <c r="D28" s="15">
        <f t="shared" si="1"/>
        <v>0</v>
      </c>
      <c r="E28" s="15">
        <f t="shared" si="1"/>
        <v>0</v>
      </c>
      <c r="F28" s="15">
        <f t="shared" si="1"/>
        <v>0</v>
      </c>
      <c r="G28" s="15">
        <f t="shared" si="1"/>
        <v>0</v>
      </c>
      <c r="H28" s="15">
        <f t="shared" si="1"/>
        <v>0</v>
      </c>
      <c r="I28" s="15">
        <f t="shared" si="1"/>
        <v>0</v>
      </c>
      <c r="J28" s="15">
        <f t="shared" si="1"/>
        <v>13692</v>
      </c>
      <c r="K28" s="15">
        <f t="shared" si="1"/>
        <v>15746</v>
      </c>
      <c r="L28" s="15">
        <f t="shared" si="1"/>
        <v>16863</v>
      </c>
      <c r="M28" s="15">
        <f t="shared" si="1"/>
        <v>18092</v>
      </c>
      <c r="N28" s="15">
        <f t="shared" si="1"/>
        <v>19311</v>
      </c>
      <c r="O28" s="15">
        <f t="shared" si="1"/>
        <v>19087</v>
      </c>
      <c r="P28" s="15">
        <f t="shared" si="1"/>
        <v>19563</v>
      </c>
      <c r="Q28" s="15">
        <f t="shared" si="1"/>
        <v>20440</v>
      </c>
      <c r="R28" s="15">
        <f t="shared" si="1"/>
        <v>20430</v>
      </c>
      <c r="S28" s="15">
        <f t="shared" si="1"/>
        <v>21818</v>
      </c>
      <c r="T28" s="15">
        <f t="shared" ref="T28" si="2">T8+T12+T16+T20+T24</f>
        <v>22892</v>
      </c>
    </row>
    <row r="29" spans="2:20" s="47" customFormat="1" x14ac:dyDescent="0.25">
      <c r="B29" s="47" t="s">
        <v>152</v>
      </c>
      <c r="C29" s="48">
        <f t="shared" ref="C29:S29" si="3">SUM(C26:C28)</f>
        <v>0</v>
      </c>
      <c r="D29" s="48">
        <f t="shared" si="3"/>
        <v>0</v>
      </c>
      <c r="E29" s="48">
        <f t="shared" si="3"/>
        <v>0</v>
      </c>
      <c r="F29" s="48">
        <f t="shared" si="3"/>
        <v>0</v>
      </c>
      <c r="G29" s="48">
        <f t="shared" si="3"/>
        <v>0</v>
      </c>
      <c r="H29" s="48">
        <f t="shared" si="3"/>
        <v>0</v>
      </c>
      <c r="I29" s="48">
        <f t="shared" si="3"/>
        <v>0</v>
      </c>
      <c r="J29" s="48">
        <f t="shared" si="3"/>
        <v>117932</v>
      </c>
      <c r="K29" s="48">
        <f t="shared" si="3"/>
        <v>123092</v>
      </c>
      <c r="L29" s="48">
        <f t="shared" si="3"/>
        <v>126059</v>
      </c>
      <c r="M29" s="48">
        <f t="shared" si="3"/>
        <v>130681</v>
      </c>
      <c r="N29" s="48">
        <f t="shared" si="3"/>
        <v>134461</v>
      </c>
      <c r="O29" s="48">
        <f t="shared" si="3"/>
        <v>133442</v>
      </c>
      <c r="P29" s="48">
        <f t="shared" si="3"/>
        <v>137421</v>
      </c>
      <c r="Q29" s="48">
        <f t="shared" si="3"/>
        <v>141712</v>
      </c>
      <c r="R29" s="48">
        <f t="shared" si="3"/>
        <v>142313</v>
      </c>
      <c r="S29" s="48">
        <f t="shared" si="3"/>
        <v>149634</v>
      </c>
      <c r="T29" s="48">
        <f>SUM(T26:T28)</f>
        <v>154245</v>
      </c>
    </row>
    <row r="30" spans="2:20" s="24" customFormat="1" x14ac:dyDescent="0.25">
      <c r="B30" s="24" t="s">
        <v>149</v>
      </c>
      <c r="C30" s="24" t="e">
        <f t="shared" ref="C30:S30" si="4">C26/C29</f>
        <v>#DIV/0!</v>
      </c>
      <c r="D30" s="24" t="e">
        <f t="shared" si="4"/>
        <v>#DIV/0!</v>
      </c>
      <c r="E30" s="24" t="e">
        <f t="shared" si="4"/>
        <v>#DIV/0!</v>
      </c>
      <c r="F30" s="24" t="e">
        <f t="shared" si="4"/>
        <v>#DIV/0!</v>
      </c>
      <c r="G30" s="24" t="e">
        <f t="shared" si="4"/>
        <v>#DIV/0!</v>
      </c>
      <c r="H30" s="24" t="e">
        <f t="shared" si="4"/>
        <v>#DIV/0!</v>
      </c>
      <c r="I30" s="24" t="e">
        <f t="shared" si="4"/>
        <v>#DIV/0!</v>
      </c>
      <c r="J30" s="24">
        <f t="shared" si="4"/>
        <v>0.83093647186514263</v>
      </c>
      <c r="K30" s="24">
        <f t="shared" si="4"/>
        <v>0.81793292821629349</v>
      </c>
      <c r="L30" s="24">
        <f t="shared" si="4"/>
        <v>0.81485653543182157</v>
      </c>
      <c r="M30" s="24">
        <f t="shared" si="4"/>
        <v>0.81213795425501789</v>
      </c>
      <c r="N30" s="24">
        <f t="shared" si="4"/>
        <v>0.80552725325559082</v>
      </c>
      <c r="O30" s="24">
        <f t="shared" si="4"/>
        <v>0.80669504353951527</v>
      </c>
      <c r="P30" s="24">
        <f t="shared" si="4"/>
        <v>0.80953420510693419</v>
      </c>
      <c r="Q30" s="24">
        <f t="shared" si="4"/>
        <v>0.81003020210003385</v>
      </c>
      <c r="R30" s="24">
        <f t="shared" si="4"/>
        <v>0.81190755588034824</v>
      </c>
      <c r="S30" s="24">
        <f t="shared" si="4"/>
        <v>0.80961546172661292</v>
      </c>
      <c r="T30" s="24">
        <f>T26/T29</f>
        <v>0.80840221725177475</v>
      </c>
    </row>
    <row r="31" spans="2:20" s="24" customFormat="1" x14ac:dyDescent="0.25">
      <c r="B31" s="24" t="s">
        <v>150</v>
      </c>
      <c r="C31" s="24" t="e">
        <f t="shared" ref="C31:S31" si="5">C27/C29</f>
        <v>#DIV/0!</v>
      </c>
      <c r="D31" s="24" t="e">
        <f t="shared" si="5"/>
        <v>#DIV/0!</v>
      </c>
      <c r="E31" s="24" t="e">
        <f t="shared" si="5"/>
        <v>#DIV/0!</v>
      </c>
      <c r="F31" s="24" t="e">
        <f t="shared" si="5"/>
        <v>#DIV/0!</v>
      </c>
      <c r="G31" s="24" t="e">
        <f t="shared" si="5"/>
        <v>#DIV/0!</v>
      </c>
      <c r="H31" s="24" t="e">
        <f t="shared" si="5"/>
        <v>#DIV/0!</v>
      </c>
      <c r="I31" s="24" t="e">
        <f t="shared" si="5"/>
        <v>#DIV/0!</v>
      </c>
      <c r="J31" s="24">
        <f t="shared" si="5"/>
        <v>5.2962724281789504E-2</v>
      </c>
      <c r="K31" s="24">
        <f t="shared" si="5"/>
        <v>5.41464920547233E-2</v>
      </c>
      <c r="L31" s="24">
        <f t="shared" si="5"/>
        <v>5.1372769893462587E-2</v>
      </c>
      <c r="M31" s="24">
        <f t="shared" si="5"/>
        <v>4.94180485303908E-2</v>
      </c>
      <c r="N31" s="24">
        <f t="shared" si="5"/>
        <v>5.08548947278393E-2</v>
      </c>
      <c r="O31" s="24">
        <f t="shared" si="5"/>
        <v>5.0269030739946943E-2</v>
      </c>
      <c r="P31" s="24">
        <f t="shared" si="5"/>
        <v>4.8107640025905792E-2</v>
      </c>
      <c r="Q31" s="24">
        <f t="shared" si="5"/>
        <v>4.5733600541944225E-2</v>
      </c>
      <c r="R31" s="24">
        <f t="shared" si="5"/>
        <v>4.4535636238432187E-2</v>
      </c>
      <c r="S31" s="24">
        <f t="shared" si="5"/>
        <v>4.4575430717617652E-2</v>
      </c>
      <c r="T31" s="24">
        <f>T27/T29</f>
        <v>4.3184544069499821E-2</v>
      </c>
    </row>
    <row r="32" spans="2:20" s="24" customFormat="1" x14ac:dyDescent="0.25">
      <c r="B32" s="24" t="s">
        <v>151</v>
      </c>
      <c r="C32" s="24" t="e">
        <f t="shared" ref="C32:S32" si="6">C28/C29</f>
        <v>#DIV/0!</v>
      </c>
      <c r="D32" s="24" t="e">
        <f t="shared" si="6"/>
        <v>#DIV/0!</v>
      </c>
      <c r="E32" s="24" t="e">
        <f t="shared" si="6"/>
        <v>#DIV/0!</v>
      </c>
      <c r="F32" s="24" t="e">
        <f t="shared" si="6"/>
        <v>#DIV/0!</v>
      </c>
      <c r="G32" s="24" t="e">
        <f t="shared" si="6"/>
        <v>#DIV/0!</v>
      </c>
      <c r="H32" s="24" t="e">
        <f t="shared" si="6"/>
        <v>#DIV/0!</v>
      </c>
      <c r="I32" s="24" t="e">
        <f t="shared" si="6"/>
        <v>#DIV/0!</v>
      </c>
      <c r="J32" s="24">
        <f t="shared" si="6"/>
        <v>0.11610080385306787</v>
      </c>
      <c r="K32" s="24">
        <f t="shared" si="6"/>
        <v>0.12792057972898319</v>
      </c>
      <c r="L32" s="24">
        <f t="shared" si="6"/>
        <v>0.13377069467471581</v>
      </c>
      <c r="M32" s="24">
        <f t="shared" si="6"/>
        <v>0.13844399721459125</v>
      </c>
      <c r="N32" s="24">
        <f t="shared" si="6"/>
        <v>0.14361785201656985</v>
      </c>
      <c r="O32" s="24">
        <f t="shared" si="6"/>
        <v>0.14303592572053775</v>
      </c>
      <c r="P32" s="24">
        <f t="shared" si="6"/>
        <v>0.14235815486716005</v>
      </c>
      <c r="Q32" s="24">
        <f t="shared" si="6"/>
        <v>0.1442361973580219</v>
      </c>
      <c r="R32" s="24">
        <f t="shared" si="6"/>
        <v>0.14355680788121958</v>
      </c>
      <c r="S32" s="24">
        <f t="shared" si="6"/>
        <v>0.14580910755576942</v>
      </c>
      <c r="T32" s="24">
        <f>T28/T29</f>
        <v>0.14841323867872541</v>
      </c>
    </row>
    <row r="33" spans="1:22" s="49" customFormat="1" x14ac:dyDescent="0.25">
      <c r="B33" s="49" t="s">
        <v>152</v>
      </c>
      <c r="C33" s="49" t="e">
        <f t="shared" ref="C33:S33" si="7">SUM(C30:C32)</f>
        <v>#DIV/0!</v>
      </c>
      <c r="D33" s="49" t="e">
        <f t="shared" si="7"/>
        <v>#DIV/0!</v>
      </c>
      <c r="E33" s="49" t="e">
        <f t="shared" si="7"/>
        <v>#DIV/0!</v>
      </c>
      <c r="F33" s="49" t="e">
        <f t="shared" si="7"/>
        <v>#DIV/0!</v>
      </c>
      <c r="G33" s="49" t="e">
        <f t="shared" si="7"/>
        <v>#DIV/0!</v>
      </c>
      <c r="H33" s="49" t="e">
        <f t="shared" si="7"/>
        <v>#DIV/0!</v>
      </c>
      <c r="I33" s="49" t="e">
        <f t="shared" si="7"/>
        <v>#DIV/0!</v>
      </c>
      <c r="J33" s="49">
        <f t="shared" si="7"/>
        <v>1</v>
      </c>
      <c r="K33" s="49">
        <f t="shared" si="7"/>
        <v>1</v>
      </c>
      <c r="L33" s="49">
        <f t="shared" si="7"/>
        <v>1</v>
      </c>
      <c r="M33" s="49">
        <f t="shared" si="7"/>
        <v>0.99999999999999989</v>
      </c>
      <c r="N33" s="49">
        <f t="shared" si="7"/>
        <v>1</v>
      </c>
      <c r="O33" s="49">
        <f t="shared" si="7"/>
        <v>1</v>
      </c>
      <c r="P33" s="49">
        <f t="shared" si="7"/>
        <v>1</v>
      </c>
      <c r="Q33" s="49">
        <f t="shared" si="7"/>
        <v>1</v>
      </c>
      <c r="R33" s="49">
        <f t="shared" si="7"/>
        <v>1</v>
      </c>
      <c r="S33" s="49">
        <f t="shared" si="7"/>
        <v>1</v>
      </c>
      <c r="T33" s="49">
        <f>SUM(T30:T32)</f>
        <v>1</v>
      </c>
    </row>
    <row r="36" spans="1:22" x14ac:dyDescent="0.25">
      <c r="A36" s="1"/>
    </row>
    <row r="37" spans="1:22" x14ac:dyDescent="0.25">
      <c r="B37" s="2" t="s">
        <v>38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x14ac:dyDescent="0.25">
      <c r="B38" s="1" t="s">
        <v>123</v>
      </c>
    </row>
    <row r="39" spans="1:22" x14ac:dyDescent="0.25">
      <c r="B39" s="15" t="s">
        <v>139</v>
      </c>
      <c r="C39" s="15"/>
      <c r="D39" s="15"/>
      <c r="E39" s="15"/>
      <c r="F39" s="15"/>
      <c r="G39" s="15"/>
      <c r="H39" s="15"/>
      <c r="I39" s="15"/>
      <c r="J39" s="15">
        <v>68055</v>
      </c>
      <c r="K39" s="15">
        <v>69874</v>
      </c>
      <c r="L39" s="15">
        <v>71174</v>
      </c>
      <c r="M39" s="15">
        <v>74098</v>
      </c>
      <c r="N39" s="15">
        <v>76267</v>
      </c>
      <c r="O39" s="15">
        <v>75738</v>
      </c>
      <c r="P39" s="15">
        <v>78537</v>
      </c>
      <c r="Q39" s="15">
        <v>81109</v>
      </c>
      <c r="R39" s="15">
        <v>81540</v>
      </c>
      <c r="S39" s="15">
        <v>84651</v>
      </c>
      <c r="T39" s="15">
        <v>87266</v>
      </c>
      <c r="U39" s="15"/>
      <c r="V39" s="15"/>
    </row>
    <row r="40" spans="1:22" x14ac:dyDescent="0.25">
      <c r="B40" s="15" t="s">
        <v>141</v>
      </c>
      <c r="C40" s="15"/>
      <c r="D40" s="15"/>
      <c r="E40" s="15"/>
      <c r="F40" s="15"/>
      <c r="G40" s="15"/>
      <c r="H40" s="15"/>
      <c r="I40" s="15"/>
      <c r="J40" s="15">
        <v>5048</v>
      </c>
      <c r="K40" s="15">
        <v>5392</v>
      </c>
      <c r="L40" s="15">
        <v>5152</v>
      </c>
      <c r="M40" s="15">
        <v>5046</v>
      </c>
      <c r="N40" s="15">
        <v>5328</v>
      </c>
      <c r="O40" s="15">
        <v>5215</v>
      </c>
      <c r="P40" s="15">
        <v>5125</v>
      </c>
      <c r="Q40" s="15">
        <v>4915</v>
      </c>
      <c r="R40" s="15">
        <v>4811</v>
      </c>
      <c r="S40" s="15">
        <v>5030</v>
      </c>
      <c r="T40" s="15">
        <v>4998</v>
      </c>
      <c r="U40" s="15"/>
      <c r="V40" s="15"/>
    </row>
    <row r="41" spans="1:22" x14ac:dyDescent="0.25">
      <c r="B41" s="15" t="s">
        <v>140</v>
      </c>
      <c r="C41" s="15"/>
      <c r="D41" s="15"/>
      <c r="E41" s="15"/>
      <c r="F41" s="15"/>
      <c r="G41" s="15"/>
      <c r="H41" s="15"/>
      <c r="I41" s="15"/>
      <c r="J41" s="15">
        <v>12141</v>
      </c>
      <c r="K41" s="15">
        <v>13854</v>
      </c>
      <c r="L41" s="15">
        <v>14889</v>
      </c>
      <c r="M41" s="15">
        <v>15962</v>
      </c>
      <c r="N41" s="15">
        <v>17098</v>
      </c>
      <c r="O41" s="15">
        <v>16733</v>
      </c>
      <c r="P41" s="15">
        <v>17233</v>
      </c>
      <c r="Q41" s="15">
        <v>18046</v>
      </c>
      <c r="R41" s="15">
        <v>17998</v>
      </c>
      <c r="S41" s="15">
        <v>18979</v>
      </c>
      <c r="T41" s="15">
        <v>19930</v>
      </c>
      <c r="U41" s="15"/>
      <c r="V41" s="15"/>
    </row>
    <row r="42" spans="1:22" x14ac:dyDescent="0.25">
      <c r="B42" s="1" t="s">
        <v>131</v>
      </c>
    </row>
    <row r="43" spans="1:22" x14ac:dyDescent="0.25">
      <c r="B43" s="15" t="s">
        <v>139</v>
      </c>
      <c r="C43" s="15"/>
      <c r="D43" s="15"/>
      <c r="E43" s="15"/>
      <c r="F43" s="15"/>
      <c r="G43" s="15"/>
      <c r="H43" s="15"/>
      <c r="I43" s="15"/>
      <c r="J43" s="15">
        <v>15671</v>
      </c>
      <c r="K43" s="15">
        <v>15456</v>
      </c>
      <c r="L43" s="15">
        <v>15323</v>
      </c>
      <c r="M43" s="15">
        <v>15228</v>
      </c>
      <c r="N43" s="15">
        <v>15240</v>
      </c>
      <c r="O43" s="15">
        <v>15111</v>
      </c>
      <c r="P43" s="15">
        <v>15369</v>
      </c>
      <c r="Q43" s="15">
        <v>15706</v>
      </c>
      <c r="R43" s="15">
        <v>16009</v>
      </c>
      <c r="S43" s="15">
        <v>16644</v>
      </c>
      <c r="T43" s="15">
        <v>17014</v>
      </c>
      <c r="U43" s="15"/>
      <c r="V43" s="15"/>
    </row>
    <row r="44" spans="1:22" x14ac:dyDescent="0.25">
      <c r="B44" s="15" t="s">
        <v>141</v>
      </c>
      <c r="C44" s="15"/>
      <c r="D44" s="15"/>
      <c r="E44" s="15"/>
      <c r="F44" s="15"/>
      <c r="G44" s="15"/>
      <c r="H44" s="15"/>
      <c r="I44" s="15"/>
      <c r="J44" s="15">
        <v>568</v>
      </c>
      <c r="K44" s="15">
        <v>617</v>
      </c>
      <c r="L44" s="15">
        <v>629</v>
      </c>
      <c r="M44" s="15">
        <v>607</v>
      </c>
      <c r="N44" s="15">
        <v>630</v>
      </c>
      <c r="O44" s="15">
        <v>608</v>
      </c>
      <c r="P44" s="15">
        <v>628</v>
      </c>
      <c r="Q44" s="15">
        <v>673</v>
      </c>
      <c r="R44" s="15">
        <v>601</v>
      </c>
      <c r="S44" s="15">
        <v>676</v>
      </c>
      <c r="T44" s="15">
        <v>749</v>
      </c>
      <c r="U44" s="15"/>
      <c r="V44" s="15"/>
    </row>
    <row r="45" spans="1:22" x14ac:dyDescent="0.25">
      <c r="B45" s="15" t="s">
        <v>140</v>
      </c>
      <c r="C45" s="15"/>
      <c r="D45" s="15"/>
      <c r="E45" s="15"/>
      <c r="F45" s="15"/>
      <c r="G45" s="15"/>
      <c r="H45" s="15"/>
      <c r="I45" s="15"/>
      <c r="J45" s="15">
        <v>485</v>
      </c>
      <c r="K45" s="15">
        <v>659</v>
      </c>
      <c r="L45" s="15">
        <v>667</v>
      </c>
      <c r="M45" s="15">
        <v>695</v>
      </c>
      <c r="N45" s="15">
        <v>606</v>
      </c>
      <c r="O45" s="15">
        <v>665</v>
      </c>
      <c r="P45" s="15">
        <v>575</v>
      </c>
      <c r="Q45" s="15">
        <v>508</v>
      </c>
      <c r="R45" s="15">
        <v>524</v>
      </c>
      <c r="S45" s="15">
        <v>587</v>
      </c>
      <c r="T45" s="15">
        <v>559</v>
      </c>
      <c r="U45" s="15"/>
      <c r="V45" s="15"/>
    </row>
    <row r="46" spans="1:22" x14ac:dyDescent="0.25">
      <c r="B46" s="1" t="s">
        <v>158</v>
      </c>
    </row>
    <row r="47" spans="1:22" x14ac:dyDescent="0.25">
      <c r="B47" s="15" t="s">
        <v>139</v>
      </c>
      <c r="C47" s="15"/>
      <c r="D47" s="15"/>
      <c r="E47" s="15"/>
      <c r="F47" s="15"/>
      <c r="G47" s="15"/>
      <c r="H47" s="15"/>
      <c r="I47" s="15"/>
      <c r="J47" s="15">
        <v>14268</v>
      </c>
      <c r="K47" s="15">
        <v>15351</v>
      </c>
      <c r="L47" s="15">
        <v>16222</v>
      </c>
      <c r="M47" s="15">
        <v>16805</v>
      </c>
      <c r="N47" s="15">
        <v>16807</v>
      </c>
      <c r="O47" s="15">
        <v>16797</v>
      </c>
      <c r="P47" s="15">
        <v>17340</v>
      </c>
      <c r="Q47" s="15">
        <v>17975</v>
      </c>
      <c r="R47" s="15">
        <v>17995</v>
      </c>
      <c r="S47" s="15">
        <v>18850</v>
      </c>
      <c r="T47" s="15">
        <v>19414</v>
      </c>
      <c r="U47" s="15"/>
      <c r="V47" s="15"/>
    </row>
    <row r="48" spans="1:22" x14ac:dyDescent="0.25">
      <c r="B48" s="15" t="s">
        <v>141</v>
      </c>
      <c r="C48" s="15"/>
      <c r="D48" s="15"/>
      <c r="E48" s="15"/>
      <c r="F48" s="15"/>
      <c r="G48" s="15"/>
      <c r="H48" s="15"/>
      <c r="I48" s="15"/>
      <c r="J48" s="15">
        <v>630</v>
      </c>
      <c r="K48" s="15">
        <v>656</v>
      </c>
      <c r="L48" s="15">
        <v>695</v>
      </c>
      <c r="M48" s="15">
        <v>806</v>
      </c>
      <c r="N48" s="15">
        <v>881</v>
      </c>
      <c r="O48" s="15">
        <v>886</v>
      </c>
      <c r="P48" s="15">
        <v>858</v>
      </c>
      <c r="Q48" s="15">
        <v>894</v>
      </c>
      <c r="R48" s="15">
        <v>926</v>
      </c>
      <c r="S48" s="15">
        <v>930</v>
      </c>
      <c r="T48" s="15">
        <v>888</v>
      </c>
      <c r="U48" s="15"/>
      <c r="V48" s="15"/>
    </row>
    <row r="49" spans="2:23" x14ac:dyDescent="0.25">
      <c r="B49" s="15" t="s">
        <v>140</v>
      </c>
      <c r="C49" s="15"/>
      <c r="D49" s="15"/>
      <c r="E49" s="15"/>
      <c r="F49" s="15"/>
      <c r="G49" s="15"/>
      <c r="H49" s="15"/>
      <c r="I49" s="15"/>
      <c r="J49" s="15">
        <v>1066</v>
      </c>
      <c r="K49" s="15">
        <v>1233</v>
      </c>
      <c r="L49" s="15">
        <v>1308</v>
      </c>
      <c r="M49" s="15">
        <v>1434</v>
      </c>
      <c r="N49" s="15">
        <v>1606</v>
      </c>
      <c r="O49" s="15">
        <v>1688</v>
      </c>
      <c r="P49" s="15">
        <v>1754</v>
      </c>
      <c r="Q49" s="15">
        <v>1887</v>
      </c>
      <c r="R49" s="15">
        <v>1910</v>
      </c>
      <c r="S49" s="15">
        <v>2072</v>
      </c>
      <c r="T49" s="15">
        <v>2212</v>
      </c>
      <c r="U49" s="15"/>
      <c r="V49" s="15"/>
    </row>
    <row r="50" spans="2:23" x14ac:dyDescent="0.25">
      <c r="B50" s="1" t="s">
        <v>159</v>
      </c>
    </row>
    <row r="51" spans="2:23" x14ac:dyDescent="0.25">
      <c r="B51" s="15" t="s">
        <v>139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>
        <v>1002</v>
      </c>
      <c r="T51" s="15">
        <v>998</v>
      </c>
      <c r="U51" s="15"/>
      <c r="V51" s="15"/>
      <c r="W51" s="15"/>
    </row>
    <row r="52" spans="2:23" x14ac:dyDescent="0.25">
      <c r="B52" s="15" t="s">
        <v>141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>
        <v>35</v>
      </c>
      <c r="T52" s="15">
        <v>26</v>
      </c>
      <c r="U52" s="15"/>
      <c r="V52" s="15"/>
    </row>
    <row r="53" spans="2:23" x14ac:dyDescent="0.25">
      <c r="B53" s="15" t="s">
        <v>140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>
        <v>180</v>
      </c>
      <c r="T53" s="15">
        <v>193</v>
      </c>
      <c r="U53" s="15"/>
      <c r="V53" s="15"/>
    </row>
    <row r="55" spans="2:23" x14ac:dyDescent="0.25">
      <c r="B55" s="2" t="s">
        <v>146</v>
      </c>
      <c r="C55" s="15">
        <f>C39+C43+C47+C51</f>
        <v>0</v>
      </c>
      <c r="D55" s="15">
        <f t="shared" ref="D55:V55" si="8">D39+D43+D47+D51</f>
        <v>0</v>
      </c>
      <c r="E55" s="15">
        <f t="shared" si="8"/>
        <v>0</v>
      </c>
      <c r="F55" s="15">
        <f t="shared" si="8"/>
        <v>0</v>
      </c>
      <c r="G55" s="15">
        <f t="shared" si="8"/>
        <v>0</v>
      </c>
      <c r="H55" s="15">
        <f t="shared" si="8"/>
        <v>0</v>
      </c>
      <c r="I55" s="15">
        <f t="shared" si="8"/>
        <v>0</v>
      </c>
      <c r="J55" s="15">
        <f t="shared" si="8"/>
        <v>97994</v>
      </c>
      <c r="K55" s="15">
        <f t="shared" si="8"/>
        <v>100681</v>
      </c>
      <c r="L55" s="15">
        <f t="shared" si="8"/>
        <v>102719</v>
      </c>
      <c r="M55" s="15">
        <f t="shared" si="8"/>
        <v>106131</v>
      </c>
      <c r="N55" s="15">
        <f t="shared" si="8"/>
        <v>108314</v>
      </c>
      <c r="O55" s="15">
        <f t="shared" si="8"/>
        <v>107646</v>
      </c>
      <c r="P55" s="15">
        <f t="shared" si="8"/>
        <v>111246</v>
      </c>
      <c r="Q55" s="15">
        <f t="shared" si="8"/>
        <v>114790</v>
      </c>
      <c r="R55" s="15">
        <f t="shared" si="8"/>
        <v>115544</v>
      </c>
      <c r="S55" s="15">
        <f t="shared" si="8"/>
        <v>121147</v>
      </c>
      <c r="T55" s="15">
        <f>T39+T43+T47+T51</f>
        <v>124692</v>
      </c>
      <c r="U55" s="2">
        <f t="shared" si="8"/>
        <v>0</v>
      </c>
      <c r="V55" s="2">
        <f t="shared" si="8"/>
        <v>0</v>
      </c>
    </row>
    <row r="56" spans="2:23" x14ac:dyDescent="0.25">
      <c r="B56" s="2" t="s">
        <v>147</v>
      </c>
      <c r="C56" s="15">
        <f>C40+C44+C48+C52</f>
        <v>0</v>
      </c>
      <c r="D56" s="15">
        <f t="shared" ref="D56:V56" si="9">D40+D44+D48+D52</f>
        <v>0</v>
      </c>
      <c r="E56" s="15">
        <f t="shared" si="9"/>
        <v>0</v>
      </c>
      <c r="F56" s="15">
        <f t="shared" si="9"/>
        <v>0</v>
      </c>
      <c r="G56" s="15">
        <f t="shared" si="9"/>
        <v>0</v>
      </c>
      <c r="H56" s="15">
        <f t="shared" si="9"/>
        <v>0</v>
      </c>
      <c r="I56" s="15">
        <f t="shared" si="9"/>
        <v>0</v>
      </c>
      <c r="J56" s="15">
        <f t="shared" si="9"/>
        <v>6246</v>
      </c>
      <c r="K56" s="15">
        <f t="shared" si="9"/>
        <v>6665</v>
      </c>
      <c r="L56" s="15">
        <f t="shared" si="9"/>
        <v>6476</v>
      </c>
      <c r="M56" s="15">
        <f t="shared" si="9"/>
        <v>6459</v>
      </c>
      <c r="N56" s="15">
        <f t="shared" si="9"/>
        <v>6839</v>
      </c>
      <c r="O56" s="15">
        <f t="shared" si="9"/>
        <v>6709</v>
      </c>
      <c r="P56" s="15">
        <f t="shared" si="9"/>
        <v>6611</v>
      </c>
      <c r="Q56" s="15">
        <f t="shared" si="9"/>
        <v>6482</v>
      </c>
      <c r="R56" s="15">
        <f t="shared" si="9"/>
        <v>6338</v>
      </c>
      <c r="S56" s="15">
        <f t="shared" si="9"/>
        <v>6671</v>
      </c>
      <c r="T56" s="15">
        <f t="shared" si="9"/>
        <v>6661</v>
      </c>
      <c r="U56" s="2">
        <f t="shared" si="9"/>
        <v>0</v>
      </c>
      <c r="V56" s="2">
        <f t="shared" si="9"/>
        <v>0</v>
      </c>
    </row>
    <row r="57" spans="2:23" x14ac:dyDescent="0.25">
      <c r="B57" s="2" t="s">
        <v>148</v>
      </c>
      <c r="C57" s="15">
        <f>C41+C45+C49+C53</f>
        <v>0</v>
      </c>
      <c r="D57" s="15">
        <f t="shared" ref="D57:V57" si="10">D41+D45+D49+D53</f>
        <v>0</v>
      </c>
      <c r="E57" s="15">
        <f t="shared" si="10"/>
        <v>0</v>
      </c>
      <c r="F57" s="15">
        <f t="shared" si="10"/>
        <v>0</v>
      </c>
      <c r="G57" s="15">
        <f t="shared" si="10"/>
        <v>0</v>
      </c>
      <c r="H57" s="15">
        <f t="shared" si="10"/>
        <v>0</v>
      </c>
      <c r="I57" s="15">
        <f t="shared" si="10"/>
        <v>0</v>
      </c>
      <c r="J57" s="15">
        <f t="shared" si="10"/>
        <v>13692</v>
      </c>
      <c r="K57" s="15">
        <f t="shared" si="10"/>
        <v>15746</v>
      </c>
      <c r="L57" s="15">
        <f t="shared" si="10"/>
        <v>16864</v>
      </c>
      <c r="M57" s="15">
        <f t="shared" si="10"/>
        <v>18091</v>
      </c>
      <c r="N57" s="15">
        <f t="shared" si="10"/>
        <v>19310</v>
      </c>
      <c r="O57" s="15">
        <f t="shared" si="10"/>
        <v>19086</v>
      </c>
      <c r="P57" s="15">
        <f t="shared" si="10"/>
        <v>19562</v>
      </c>
      <c r="Q57" s="15">
        <f t="shared" si="10"/>
        <v>20441</v>
      </c>
      <c r="R57" s="15">
        <f t="shared" si="10"/>
        <v>20432</v>
      </c>
      <c r="S57" s="15">
        <f t="shared" si="10"/>
        <v>21818</v>
      </c>
      <c r="T57" s="15">
        <f t="shared" si="10"/>
        <v>22894</v>
      </c>
      <c r="U57" s="2">
        <f t="shared" si="10"/>
        <v>0</v>
      </c>
      <c r="V57" s="2">
        <f t="shared" si="10"/>
        <v>0</v>
      </c>
    </row>
    <row r="58" spans="2:23" x14ac:dyDescent="0.25">
      <c r="B58" s="47" t="s">
        <v>152</v>
      </c>
      <c r="C58" s="48">
        <f>SUM(C55:C57)</f>
        <v>0</v>
      </c>
      <c r="D58" s="48">
        <f t="shared" ref="D58:V58" si="11">SUM(D55:D57)</f>
        <v>0</v>
      </c>
      <c r="E58" s="48">
        <f t="shared" si="11"/>
        <v>0</v>
      </c>
      <c r="F58" s="48">
        <f t="shared" si="11"/>
        <v>0</v>
      </c>
      <c r="G58" s="48">
        <f t="shared" si="11"/>
        <v>0</v>
      </c>
      <c r="H58" s="48">
        <f t="shared" si="11"/>
        <v>0</v>
      </c>
      <c r="I58" s="48">
        <f t="shared" si="11"/>
        <v>0</v>
      </c>
      <c r="J58" s="48">
        <f t="shared" si="11"/>
        <v>117932</v>
      </c>
      <c r="K58" s="48">
        <f t="shared" si="11"/>
        <v>123092</v>
      </c>
      <c r="L58" s="48">
        <f t="shared" si="11"/>
        <v>126059</v>
      </c>
      <c r="M58" s="48">
        <f t="shared" si="11"/>
        <v>130681</v>
      </c>
      <c r="N58" s="48">
        <f t="shared" si="11"/>
        <v>134463</v>
      </c>
      <c r="O58" s="48">
        <f t="shared" si="11"/>
        <v>133441</v>
      </c>
      <c r="P58" s="48">
        <f t="shared" si="11"/>
        <v>137419</v>
      </c>
      <c r="Q58" s="48">
        <f t="shared" si="11"/>
        <v>141713</v>
      </c>
      <c r="R58" s="48">
        <f t="shared" si="11"/>
        <v>142314</v>
      </c>
      <c r="S58" s="48">
        <f t="shared" si="11"/>
        <v>149636</v>
      </c>
      <c r="T58" s="48">
        <f t="shared" si="11"/>
        <v>154247</v>
      </c>
      <c r="U58" s="47">
        <f t="shared" si="11"/>
        <v>0</v>
      </c>
      <c r="V58" s="47">
        <f t="shared" si="11"/>
        <v>0</v>
      </c>
    </row>
    <row r="59" spans="2:23" x14ac:dyDescent="0.25">
      <c r="B59" s="24" t="s">
        <v>149</v>
      </c>
      <c r="C59" s="24" t="e">
        <f>C55/C58</f>
        <v>#DIV/0!</v>
      </c>
      <c r="D59" s="24" t="e">
        <f t="shared" ref="D59:V59" si="12">D55/D58</f>
        <v>#DIV/0!</v>
      </c>
      <c r="E59" s="24" t="e">
        <f t="shared" si="12"/>
        <v>#DIV/0!</v>
      </c>
      <c r="F59" s="24" t="e">
        <f t="shared" si="12"/>
        <v>#DIV/0!</v>
      </c>
      <c r="G59" s="24" t="e">
        <f t="shared" si="12"/>
        <v>#DIV/0!</v>
      </c>
      <c r="H59" s="24" t="e">
        <f t="shared" si="12"/>
        <v>#DIV/0!</v>
      </c>
      <c r="I59" s="24" t="e">
        <f t="shared" si="12"/>
        <v>#DIV/0!</v>
      </c>
      <c r="J59" s="24">
        <f t="shared" si="12"/>
        <v>0.83093647186514263</v>
      </c>
      <c r="K59" s="24">
        <f t="shared" si="12"/>
        <v>0.81793292821629349</v>
      </c>
      <c r="L59" s="24">
        <f t="shared" si="12"/>
        <v>0.81484860263844705</v>
      </c>
      <c r="M59" s="24">
        <f t="shared" si="12"/>
        <v>0.81213795425501789</v>
      </c>
      <c r="N59" s="24">
        <f t="shared" si="12"/>
        <v>0.80553014583937588</v>
      </c>
      <c r="O59" s="24">
        <f t="shared" si="12"/>
        <v>0.80669359492210035</v>
      </c>
      <c r="P59" s="24">
        <f t="shared" si="12"/>
        <v>0.80953871007648137</v>
      </c>
      <c r="Q59" s="24">
        <f t="shared" si="12"/>
        <v>0.81001742959361522</v>
      </c>
      <c r="R59" s="24">
        <f t="shared" si="12"/>
        <v>0.8118948241213092</v>
      </c>
      <c r="S59" s="24">
        <f t="shared" si="12"/>
        <v>0.80961132347830733</v>
      </c>
      <c r="T59" s="24">
        <f>T55/T58</f>
        <v>0.80839173533358832</v>
      </c>
      <c r="U59" s="24" t="e">
        <f t="shared" si="12"/>
        <v>#DIV/0!</v>
      </c>
      <c r="V59" s="24" t="e">
        <f t="shared" si="12"/>
        <v>#DIV/0!</v>
      </c>
    </row>
    <row r="60" spans="2:23" x14ac:dyDescent="0.25">
      <c r="B60" s="24" t="s">
        <v>150</v>
      </c>
      <c r="C60" s="24" t="e">
        <f>C56/C58</f>
        <v>#DIV/0!</v>
      </c>
      <c r="D60" s="24" t="e">
        <f t="shared" ref="D60:V60" si="13">D56/D58</f>
        <v>#DIV/0!</v>
      </c>
      <c r="E60" s="24" t="e">
        <f t="shared" si="13"/>
        <v>#DIV/0!</v>
      </c>
      <c r="F60" s="24" t="e">
        <f t="shared" si="13"/>
        <v>#DIV/0!</v>
      </c>
      <c r="G60" s="24" t="e">
        <f t="shared" si="13"/>
        <v>#DIV/0!</v>
      </c>
      <c r="H60" s="24" t="e">
        <f t="shared" si="13"/>
        <v>#DIV/0!</v>
      </c>
      <c r="I60" s="24" t="e">
        <f t="shared" si="13"/>
        <v>#DIV/0!</v>
      </c>
      <c r="J60" s="24">
        <f t="shared" si="13"/>
        <v>5.2962724281789504E-2</v>
      </c>
      <c r="K60" s="24">
        <f t="shared" si="13"/>
        <v>5.41464920547233E-2</v>
      </c>
      <c r="L60" s="24">
        <f t="shared" si="13"/>
        <v>5.1372769893462587E-2</v>
      </c>
      <c r="M60" s="24">
        <f t="shared" si="13"/>
        <v>4.9425700752213406E-2</v>
      </c>
      <c r="N60" s="24">
        <f t="shared" si="13"/>
        <v>5.086157530324327E-2</v>
      </c>
      <c r="O60" s="24">
        <f t="shared" si="13"/>
        <v>5.0276901402117789E-2</v>
      </c>
      <c r="P60" s="24">
        <f t="shared" si="13"/>
        <v>4.8108340185854942E-2</v>
      </c>
      <c r="Q60" s="24">
        <f t="shared" si="13"/>
        <v>4.5740334337710728E-2</v>
      </c>
      <c r="R60" s="24">
        <f t="shared" si="13"/>
        <v>4.4535323299183499E-2</v>
      </c>
      <c r="S60" s="24">
        <f t="shared" si="13"/>
        <v>4.4581517816568203E-2</v>
      </c>
      <c r="T60" s="24">
        <f t="shared" si="13"/>
        <v>4.3183984129350976E-2</v>
      </c>
      <c r="U60" s="24" t="e">
        <f t="shared" si="13"/>
        <v>#DIV/0!</v>
      </c>
      <c r="V60" s="24" t="e">
        <f t="shared" si="13"/>
        <v>#DIV/0!</v>
      </c>
    </row>
    <row r="61" spans="2:23" x14ac:dyDescent="0.25">
      <c r="B61" s="24" t="s">
        <v>151</v>
      </c>
      <c r="C61" s="24" t="e">
        <f>C57/C58</f>
        <v>#DIV/0!</v>
      </c>
      <c r="D61" s="24" t="e">
        <f t="shared" ref="D61:V61" si="14">D57/D58</f>
        <v>#DIV/0!</v>
      </c>
      <c r="E61" s="24" t="e">
        <f t="shared" si="14"/>
        <v>#DIV/0!</v>
      </c>
      <c r="F61" s="24" t="e">
        <f t="shared" si="14"/>
        <v>#DIV/0!</v>
      </c>
      <c r="G61" s="24" t="e">
        <f t="shared" si="14"/>
        <v>#DIV/0!</v>
      </c>
      <c r="H61" s="24" t="e">
        <f t="shared" si="14"/>
        <v>#DIV/0!</v>
      </c>
      <c r="I61" s="24" t="e">
        <f t="shared" si="14"/>
        <v>#DIV/0!</v>
      </c>
      <c r="J61" s="24">
        <f t="shared" si="14"/>
        <v>0.11610080385306787</v>
      </c>
      <c r="K61" s="24">
        <f t="shared" si="14"/>
        <v>0.12792057972898319</v>
      </c>
      <c r="L61" s="24">
        <f t="shared" si="14"/>
        <v>0.13377862746809033</v>
      </c>
      <c r="M61" s="24">
        <f t="shared" si="14"/>
        <v>0.13843634499276866</v>
      </c>
      <c r="N61" s="24">
        <f t="shared" si="14"/>
        <v>0.14360827885738084</v>
      </c>
      <c r="O61" s="24">
        <f t="shared" si="14"/>
        <v>0.14302950367578179</v>
      </c>
      <c r="P61" s="24">
        <f t="shared" si="14"/>
        <v>0.14235294973766363</v>
      </c>
      <c r="Q61" s="24">
        <f t="shared" si="14"/>
        <v>0.14424223606867401</v>
      </c>
      <c r="R61" s="24">
        <f t="shared" si="14"/>
        <v>0.14356985257950727</v>
      </c>
      <c r="S61" s="24">
        <f t="shared" si="14"/>
        <v>0.14580715870512442</v>
      </c>
      <c r="T61" s="24">
        <f t="shared" si="14"/>
        <v>0.14842428053706069</v>
      </c>
      <c r="U61" s="24" t="e">
        <f t="shared" si="14"/>
        <v>#DIV/0!</v>
      </c>
      <c r="V61" s="24" t="e">
        <f t="shared" si="14"/>
        <v>#DIV/0!</v>
      </c>
    </row>
    <row r="62" spans="2:23" x14ac:dyDescent="0.25">
      <c r="B62" s="49" t="s">
        <v>152</v>
      </c>
      <c r="C62" s="49" t="e">
        <f>SUM(C59:C61)</f>
        <v>#DIV/0!</v>
      </c>
      <c r="D62" s="49" t="e">
        <f t="shared" ref="D62:V62" si="15">SUM(D59:D61)</f>
        <v>#DIV/0!</v>
      </c>
      <c r="E62" s="49" t="e">
        <f t="shared" si="15"/>
        <v>#DIV/0!</v>
      </c>
      <c r="F62" s="49" t="e">
        <f t="shared" si="15"/>
        <v>#DIV/0!</v>
      </c>
      <c r="G62" s="49" t="e">
        <f t="shared" si="15"/>
        <v>#DIV/0!</v>
      </c>
      <c r="H62" s="49" t="e">
        <f t="shared" si="15"/>
        <v>#DIV/0!</v>
      </c>
      <c r="I62" s="49" t="e">
        <f t="shared" si="15"/>
        <v>#DIV/0!</v>
      </c>
      <c r="J62" s="49">
        <f t="shared" si="15"/>
        <v>1</v>
      </c>
      <c r="K62" s="49">
        <f t="shared" si="15"/>
        <v>1</v>
      </c>
      <c r="L62" s="49">
        <f t="shared" si="15"/>
        <v>1</v>
      </c>
      <c r="M62" s="49">
        <f t="shared" si="15"/>
        <v>1</v>
      </c>
      <c r="N62" s="49">
        <f t="shared" si="15"/>
        <v>1</v>
      </c>
      <c r="O62" s="49">
        <f t="shared" si="15"/>
        <v>1</v>
      </c>
      <c r="P62" s="49">
        <f t="shared" si="15"/>
        <v>1</v>
      </c>
      <c r="Q62" s="49">
        <f t="shared" si="15"/>
        <v>1</v>
      </c>
      <c r="R62" s="49">
        <f t="shared" si="15"/>
        <v>1</v>
      </c>
      <c r="S62" s="49">
        <f t="shared" si="15"/>
        <v>0.99999999999999989</v>
      </c>
      <c r="T62" s="49">
        <f t="shared" si="15"/>
        <v>1</v>
      </c>
      <c r="U62" s="49" t="e">
        <f t="shared" si="15"/>
        <v>#DIV/0!</v>
      </c>
      <c r="V62" s="49" t="e">
        <f t="shared" si="15"/>
        <v>#DIV/0!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C336F-0535-604A-AD69-88DBD7978E92}">
  <dimension ref="A1:V82"/>
  <sheetViews>
    <sheetView showGridLines="0" workbookViewId="0">
      <pane xSplit="2" ySplit="4" topLeftCell="H5" activePane="bottomRight" state="frozen"/>
      <selection pane="topRight" activeCell="C1" sqref="C1"/>
      <selection pane="bottomLeft" activeCell="A5" sqref="A5"/>
      <selection pane="bottomRight" activeCell="V70" sqref="V70"/>
    </sheetView>
  </sheetViews>
  <sheetFormatPr baseColWidth="10" defaultRowHeight="19" x14ac:dyDescent="0.25"/>
  <cols>
    <col min="1" max="1" width="10.83203125" style="2"/>
    <col min="2" max="2" width="19.5" style="2" customWidth="1"/>
    <col min="3" max="16384" width="10.83203125" style="2"/>
  </cols>
  <sheetData>
    <row r="1" spans="1:22" x14ac:dyDescent="0.25">
      <c r="A1" s="1" t="s">
        <v>153</v>
      </c>
    </row>
    <row r="2" spans="1:22" x14ac:dyDescent="0.25">
      <c r="A2" s="2" t="s">
        <v>214</v>
      </c>
    </row>
    <row r="4" spans="1:22" x14ac:dyDescent="0.25">
      <c r="B4" s="2" t="s">
        <v>38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31</v>
      </c>
      <c r="P4" s="4" t="s">
        <v>28</v>
      </c>
      <c r="Q4" s="4" t="s">
        <v>29</v>
      </c>
      <c r="R4" s="4" t="s">
        <v>30</v>
      </c>
      <c r="S4" s="4" t="s">
        <v>116</v>
      </c>
      <c r="T4" s="4" t="s">
        <v>117</v>
      </c>
      <c r="U4" s="4" t="s">
        <v>118</v>
      </c>
      <c r="V4" s="4" t="s">
        <v>119</v>
      </c>
    </row>
    <row r="5" spans="1:22" x14ac:dyDescent="0.25">
      <c r="B5" s="1" t="s">
        <v>138</v>
      </c>
    </row>
    <row r="6" spans="1:22" s="15" customFormat="1" x14ac:dyDescent="0.25">
      <c r="B6" s="15" t="s">
        <v>139</v>
      </c>
      <c r="J6" s="15">
        <v>-789</v>
      </c>
      <c r="K6" s="15">
        <v>-759</v>
      </c>
      <c r="L6" s="15">
        <v>-779</v>
      </c>
      <c r="M6" s="15">
        <v>-732</v>
      </c>
      <c r="N6" s="15">
        <v>-729</v>
      </c>
      <c r="O6" s="15">
        <v>-717</v>
      </c>
      <c r="P6" s="15">
        <v>-722</v>
      </c>
      <c r="Q6" s="15">
        <v>-718</v>
      </c>
      <c r="R6" s="15">
        <v>-697</v>
      </c>
      <c r="S6" s="15">
        <v>-669</v>
      </c>
      <c r="T6" s="15">
        <v>-688</v>
      </c>
    </row>
    <row r="7" spans="1:22" s="19" customFormat="1" x14ac:dyDescent="0.25">
      <c r="B7" s="19" t="s">
        <v>155</v>
      </c>
      <c r="C7" s="19" t="e">
        <f>-C6/'Kvalitet bok (Gross)'!C6</f>
        <v>#DIV/0!</v>
      </c>
      <c r="D7" s="19" t="e">
        <f>-D6/'Kvalitet bok (Gross)'!D6</f>
        <v>#DIV/0!</v>
      </c>
      <c r="E7" s="19" t="e">
        <f>-E6/'Kvalitet bok (Gross)'!E6</f>
        <v>#DIV/0!</v>
      </c>
      <c r="F7" s="19" t="e">
        <f>-F6/'Kvalitet bok (Gross)'!F6</f>
        <v>#DIV/0!</v>
      </c>
      <c r="G7" s="19" t="e">
        <f>-G6/'Kvalitet bok (Gross)'!G6</f>
        <v>#DIV/0!</v>
      </c>
      <c r="H7" s="19" t="e">
        <f>-H6/'Kvalitet bok (Gross)'!H6</f>
        <v>#DIV/0!</v>
      </c>
      <c r="I7" s="19" t="e">
        <f>-I6/'Kvalitet bok (Gross)'!I6</f>
        <v>#DIV/0!</v>
      </c>
      <c r="J7" s="19">
        <f>-J6/'Kvalitet bok (Gross)'!J6</f>
        <v>1.8938121069559791E-2</v>
      </c>
      <c r="K7" s="19">
        <f>-K6/'Kvalitet bok (Gross)'!K6</f>
        <v>1.8136634089225549E-2</v>
      </c>
      <c r="L7" s="19">
        <f>-L6/'Kvalitet bok (Gross)'!L6</f>
        <v>1.8272230431825111E-2</v>
      </c>
      <c r="M7" s="19">
        <f>-M6/'Kvalitet bok (Gross)'!M6</f>
        <v>1.6618234653105704E-2</v>
      </c>
      <c r="N7" s="19">
        <f>-N6/'Kvalitet bok (Gross)'!N6</f>
        <v>1.6173403736078448E-2</v>
      </c>
      <c r="O7" s="19">
        <f>-O6/'Kvalitet bok (Gross)'!O6</f>
        <v>1.5708871020747979E-2</v>
      </c>
      <c r="P7" s="19">
        <f>-P6/'Kvalitet bok (Gross)'!P6</f>
        <v>1.5373804910248494E-2</v>
      </c>
      <c r="Q7" s="19">
        <f>-Q6/'Kvalitet bok (Gross)'!Q6</f>
        <v>1.4669527020124629E-2</v>
      </c>
      <c r="R7" s="19">
        <f>-R6/'Kvalitet bok (Gross)'!R6</f>
        <v>1.3825798901077104E-2</v>
      </c>
      <c r="S7" s="19">
        <f>-S6/'Kvalitet bok (Gross)'!S6</f>
        <v>1.27394599535362E-2</v>
      </c>
      <c r="T7" s="19">
        <f>-T6/'Kvalitet bok (Gross)'!T6</f>
        <v>1.2815259099206498E-2</v>
      </c>
    </row>
    <row r="8" spans="1:22" s="15" customFormat="1" x14ac:dyDescent="0.25">
      <c r="B8" s="15" t="s">
        <v>141</v>
      </c>
      <c r="J8" s="15">
        <v>-364</v>
      </c>
      <c r="K8" s="15">
        <v>-398</v>
      </c>
      <c r="L8" s="15">
        <v>-384</v>
      </c>
      <c r="M8" s="15">
        <v>-426</v>
      </c>
      <c r="N8" s="15">
        <v>-445</v>
      </c>
      <c r="O8" s="15">
        <v>-448</v>
      </c>
      <c r="P8" s="15">
        <v>-413</v>
      </c>
      <c r="Q8" s="15">
        <v>-416</v>
      </c>
      <c r="R8" s="15">
        <v>-434</v>
      </c>
      <c r="S8" s="15">
        <v>-443</v>
      </c>
      <c r="T8" s="15">
        <v>-436</v>
      </c>
    </row>
    <row r="9" spans="1:22" s="15" customFormat="1" x14ac:dyDescent="0.25">
      <c r="B9" s="19" t="s">
        <v>155</v>
      </c>
      <c r="C9" s="19" t="e">
        <f>-C8/'Kvalitet bok (Gross)'!C7</f>
        <v>#DIV/0!</v>
      </c>
      <c r="D9" s="19" t="e">
        <f>-D8/'Kvalitet bok (Gross)'!D7</f>
        <v>#DIV/0!</v>
      </c>
      <c r="E9" s="19" t="e">
        <f>-E8/'Kvalitet bok (Gross)'!E7</f>
        <v>#DIV/0!</v>
      </c>
      <c r="F9" s="19" t="e">
        <f>-F8/'Kvalitet bok (Gross)'!F7</f>
        <v>#DIV/0!</v>
      </c>
      <c r="G9" s="19" t="e">
        <f>-G8/'Kvalitet bok (Gross)'!G7</f>
        <v>#DIV/0!</v>
      </c>
      <c r="H9" s="19" t="e">
        <f>-H8/'Kvalitet bok (Gross)'!H7</f>
        <v>#DIV/0!</v>
      </c>
      <c r="I9" s="19" t="e">
        <f>-I8/'Kvalitet bok (Gross)'!I7</f>
        <v>#DIV/0!</v>
      </c>
      <c r="J9" s="19">
        <f>-J8/'Kvalitet bok (Gross)'!J7</f>
        <v>0.1760154738878143</v>
      </c>
      <c r="K9" s="19">
        <f>-K8/'Kvalitet bok (Gross)'!K7</f>
        <v>0.1670864819479429</v>
      </c>
      <c r="L9" s="19">
        <f>-L8/'Kvalitet bok (Gross)'!L7</f>
        <v>0.17135207496653279</v>
      </c>
      <c r="M9" s="19">
        <f>-M8/'Kvalitet bok (Gross)'!M7</f>
        <v>0.18610747051114024</v>
      </c>
      <c r="N9" s="19">
        <f>-N8/'Kvalitet bok (Gross)'!N7</f>
        <v>0.18928115695448744</v>
      </c>
      <c r="O9" s="19">
        <f>-O8/'Kvalitet bok (Gross)'!O7</f>
        <v>0.19393939393939394</v>
      </c>
      <c r="P9" s="19">
        <f>-P8/'Kvalitet bok (Gross)'!P7</f>
        <v>0.17426160337552743</v>
      </c>
      <c r="Q9" s="19">
        <f>-Q8/'Kvalitet bok (Gross)'!Q7</f>
        <v>0.17211419114604881</v>
      </c>
      <c r="R9" s="19">
        <f>-R8/'Kvalitet bok (Gross)'!R7</f>
        <v>0.1780878128846943</v>
      </c>
      <c r="S9" s="19">
        <f>-S8/'Kvalitet bok (Gross)'!S7</f>
        <v>0.17110853611432986</v>
      </c>
      <c r="T9" s="19">
        <f>-T8/'Kvalitet bok (Gross)'!T7</f>
        <v>0.16299065420560749</v>
      </c>
    </row>
    <row r="10" spans="1:22" s="15" customFormat="1" x14ac:dyDescent="0.25">
      <c r="B10" s="15" t="s">
        <v>140</v>
      </c>
      <c r="J10" s="15">
        <v>-2088</v>
      </c>
      <c r="K10" s="15">
        <v>-2436</v>
      </c>
      <c r="L10" s="15">
        <v>-2652</v>
      </c>
      <c r="M10" s="15">
        <v>-2921</v>
      </c>
      <c r="N10" s="15">
        <v>-3208</v>
      </c>
      <c r="O10" s="15">
        <v>-3033</v>
      </c>
      <c r="P10" s="15">
        <v>-3208</v>
      </c>
      <c r="Q10" s="15">
        <v>-3451</v>
      </c>
      <c r="R10" s="15">
        <v>-3621</v>
      </c>
      <c r="S10" s="15">
        <v>-3700</v>
      </c>
      <c r="T10" s="15">
        <v>-3820</v>
      </c>
    </row>
    <row r="11" spans="1:22" s="19" customFormat="1" x14ac:dyDescent="0.25">
      <c r="B11" s="19" t="s">
        <v>155</v>
      </c>
      <c r="C11" s="19" t="e">
        <f>-C10/'Kvalitet bok (Gross)'!C8</f>
        <v>#DIV/0!</v>
      </c>
      <c r="D11" s="19" t="e">
        <f>-D10/'Kvalitet bok (Gross)'!D8</f>
        <v>#DIV/0!</v>
      </c>
      <c r="E11" s="19" t="e">
        <f>-E10/'Kvalitet bok (Gross)'!E8</f>
        <v>#DIV/0!</v>
      </c>
      <c r="F11" s="19" t="e">
        <f>-F10/'Kvalitet bok (Gross)'!F8</f>
        <v>#DIV/0!</v>
      </c>
      <c r="G11" s="19" t="e">
        <f>-G10/'Kvalitet bok (Gross)'!G8</f>
        <v>#DIV/0!</v>
      </c>
      <c r="H11" s="19" t="e">
        <f>-H10/'Kvalitet bok (Gross)'!H8</f>
        <v>#DIV/0!</v>
      </c>
      <c r="I11" s="19" t="e">
        <f>-I10/'Kvalitet bok (Gross)'!I8</f>
        <v>#DIV/0!</v>
      </c>
      <c r="J11" s="19">
        <f>-J10/'Kvalitet bok (Gross)'!J8</f>
        <v>0.48177203507152744</v>
      </c>
      <c r="K11" s="19">
        <f>-K10/'Kvalitet bok (Gross)'!K8</f>
        <v>0.4802839116719243</v>
      </c>
      <c r="L11" s="19">
        <f>-L10/'Kvalitet bok (Gross)'!L8</f>
        <v>0.48078317621464828</v>
      </c>
      <c r="M11" s="19">
        <f>-M10/'Kvalitet bok (Gross)'!M8</f>
        <v>0.48368935254181156</v>
      </c>
      <c r="N11" s="19">
        <f>-N10/'Kvalitet bok (Gross)'!N8</f>
        <v>0.49498534176824566</v>
      </c>
      <c r="O11" s="19">
        <f>-O10/'Kvalitet bok (Gross)'!O8</f>
        <v>0.48227063126093178</v>
      </c>
      <c r="P11" s="19">
        <f>-P10/'Kvalitet bok (Gross)'!P8</f>
        <v>0.48984577798137119</v>
      </c>
      <c r="Q11" s="19">
        <f>-Q10/'Kvalitet bok (Gross)'!Q8</f>
        <v>0.5009435331688199</v>
      </c>
      <c r="R11" s="19">
        <f>-R10/'Kvalitet bok (Gross)'!R8</f>
        <v>0.50935433956955967</v>
      </c>
      <c r="S11" s="19">
        <f>-S10/'Kvalitet bok (Gross)'!S8</f>
        <v>0.50608671864314048</v>
      </c>
      <c r="T11" s="19">
        <f>-T10/'Kvalitet bok (Gross)'!T8</f>
        <v>0.50750631061511886</v>
      </c>
    </row>
    <row r="12" spans="1:22" x14ac:dyDescent="0.25">
      <c r="B12" s="1" t="s">
        <v>142</v>
      </c>
    </row>
    <row r="13" spans="1:22" s="15" customFormat="1" x14ac:dyDescent="0.25">
      <c r="B13" s="15" t="s">
        <v>139</v>
      </c>
      <c r="J13" s="15">
        <v>-524</v>
      </c>
      <c r="K13" s="15">
        <v>-582</v>
      </c>
      <c r="L13" s="15">
        <v>-588</v>
      </c>
      <c r="M13" s="15">
        <v>-633</v>
      </c>
      <c r="N13" s="15">
        <v>-671</v>
      </c>
      <c r="O13" s="15">
        <v>-620</v>
      </c>
      <c r="P13" s="15">
        <v>-698</v>
      </c>
      <c r="Q13" s="15">
        <v>-661</v>
      </c>
      <c r="R13" s="15">
        <v>-629</v>
      </c>
      <c r="S13" s="15">
        <v>-630</v>
      </c>
      <c r="T13" s="15">
        <v>-677</v>
      </c>
    </row>
    <row r="14" spans="1:22" s="15" customFormat="1" x14ac:dyDescent="0.25">
      <c r="B14" s="19" t="s">
        <v>155</v>
      </c>
      <c r="C14" s="19" t="e">
        <f>-C13/'Kvalitet bok (Gross)'!C10</f>
        <v>#DIV/0!</v>
      </c>
      <c r="D14" s="19" t="e">
        <f>-D13/'Kvalitet bok (Gross)'!D10</f>
        <v>#DIV/0!</v>
      </c>
      <c r="E14" s="19" t="e">
        <f>-E13/'Kvalitet bok (Gross)'!E10</f>
        <v>#DIV/0!</v>
      </c>
      <c r="F14" s="19" t="e">
        <f>-F13/'Kvalitet bok (Gross)'!F10</f>
        <v>#DIV/0!</v>
      </c>
      <c r="G14" s="19" t="e">
        <f>-G13/'Kvalitet bok (Gross)'!G10</f>
        <v>#DIV/0!</v>
      </c>
      <c r="H14" s="19" t="e">
        <f>-H13/'Kvalitet bok (Gross)'!H10</f>
        <v>#DIV/0!</v>
      </c>
      <c r="I14" s="19" t="e">
        <f>-I13/'Kvalitet bok (Gross)'!I10</f>
        <v>#DIV/0!</v>
      </c>
      <c r="J14" s="19">
        <f>-J13/'Kvalitet bok (Gross)'!J10</f>
        <v>2.072538860103627E-2</v>
      </c>
      <c r="K14" s="19">
        <f>-K13/'Kvalitet bok (Gross)'!K10</f>
        <v>2.1613993389534666E-2</v>
      </c>
      <c r="L14" s="19">
        <f>-L13/'Kvalitet bok (Gross)'!L10</f>
        <v>2.1874186228190914E-2</v>
      </c>
      <c r="M14" s="19">
        <f>-M13/'Kvalitet bok (Gross)'!M10</f>
        <v>2.2759959729613116E-2</v>
      </c>
      <c r="N14" s="19">
        <f>-N13/'Kvalitet bok (Gross)'!N10</f>
        <v>2.3251784600457411E-2</v>
      </c>
      <c r="O14" s="19">
        <f>-O13/'Kvalitet bok (Gross)'!O10</f>
        <v>2.222301874619162E-2</v>
      </c>
      <c r="P14" s="19">
        <f>-P13/'Kvalitet bok (Gross)'!P10</f>
        <v>2.3838797814207651E-2</v>
      </c>
      <c r="Q14" s="19">
        <f>-Q13/'Kvalitet bok (Gross)'!Q10</f>
        <v>2.2252146103349604E-2</v>
      </c>
      <c r="R14" s="19">
        <f>-R13/'Kvalitet bok (Gross)'!R10</f>
        <v>2.1301093839953943E-2</v>
      </c>
      <c r="S14" s="19">
        <f>-S13/'Kvalitet bok (Gross)'!S10</f>
        <v>2.076261411198629E-2</v>
      </c>
      <c r="T14" s="19">
        <f>-T13/'Kvalitet bok (Gross)'!T10</f>
        <v>2.1700804564541463E-2</v>
      </c>
    </row>
    <row r="15" spans="1:22" s="15" customFormat="1" x14ac:dyDescent="0.25">
      <c r="B15" s="15" t="s">
        <v>141</v>
      </c>
      <c r="J15" s="15">
        <v>-419</v>
      </c>
      <c r="K15" s="15">
        <v>-435</v>
      </c>
      <c r="L15" s="15">
        <v>-421</v>
      </c>
      <c r="M15" s="15">
        <v>-393</v>
      </c>
      <c r="N15" s="15">
        <v>-455</v>
      </c>
      <c r="O15" s="15">
        <v>-418</v>
      </c>
      <c r="P15" s="15">
        <v>-422</v>
      </c>
      <c r="Q15" s="15">
        <v>-391</v>
      </c>
      <c r="R15" s="15">
        <v>-388</v>
      </c>
      <c r="S15" s="15">
        <v>-378</v>
      </c>
      <c r="T15" s="15">
        <v>-372</v>
      </c>
    </row>
    <row r="16" spans="1:22" s="19" customFormat="1" x14ac:dyDescent="0.25">
      <c r="B16" s="19" t="s">
        <v>155</v>
      </c>
      <c r="C16" s="19" t="e">
        <f>-C15/'Kvalitet bok (Gross)'!C11</f>
        <v>#DIV/0!</v>
      </c>
      <c r="D16" s="19" t="e">
        <f>-D15/'Kvalitet bok (Gross)'!D11</f>
        <v>#DIV/0!</v>
      </c>
      <c r="E16" s="19" t="e">
        <f>-E15/'Kvalitet bok (Gross)'!E11</f>
        <v>#DIV/0!</v>
      </c>
      <c r="F16" s="19" t="e">
        <f>-F15/'Kvalitet bok (Gross)'!F11</f>
        <v>#DIV/0!</v>
      </c>
      <c r="G16" s="19" t="e">
        <f>-G15/'Kvalitet bok (Gross)'!G11</f>
        <v>#DIV/0!</v>
      </c>
      <c r="H16" s="19" t="e">
        <f>-H15/'Kvalitet bok (Gross)'!H11</f>
        <v>#DIV/0!</v>
      </c>
      <c r="I16" s="19" t="e">
        <f>-I15/'Kvalitet bok (Gross)'!I11</f>
        <v>#DIV/0!</v>
      </c>
      <c r="J16" s="19">
        <f>-J15/'Kvalitet bok (Gross)'!J11</f>
        <v>0.18933574333483957</v>
      </c>
      <c r="K16" s="19">
        <f>-K15/'Kvalitet bok (Gross)'!K11</f>
        <v>0.19222271321254972</v>
      </c>
      <c r="L16" s="19">
        <f>-L15/'Kvalitet bok (Gross)'!L11</f>
        <v>0.19206204379562045</v>
      </c>
      <c r="M16" s="19">
        <f>-M15/'Kvalitet bok (Gross)'!M11</f>
        <v>0.19180087847730601</v>
      </c>
      <c r="N16" s="19">
        <f>-N15/'Kvalitet bok (Gross)'!N11</f>
        <v>0.20008795074758134</v>
      </c>
      <c r="O16" s="19">
        <f>-O15/'Kvalitet bok (Gross)'!O11</f>
        <v>0.19147961520842877</v>
      </c>
      <c r="P16" s="19">
        <f>-P15/'Kvalitet bok (Gross)'!P11</f>
        <v>0.19331195602382042</v>
      </c>
      <c r="Q16" s="19">
        <f>-Q15/'Kvalitet bok (Gross)'!Q11</f>
        <v>0.19687814702920442</v>
      </c>
      <c r="R16" s="19">
        <f>-R15/'Kvalitet bok (Gross)'!R11</f>
        <v>0.19605861546235473</v>
      </c>
      <c r="S16" s="19">
        <f>-S15/'Kvalitet bok (Gross)'!S11</f>
        <v>0.1918781725888325</v>
      </c>
      <c r="T16" s="19">
        <f>-T15/'Kvalitet bok (Gross)'!T11</f>
        <v>0.19703389830508475</v>
      </c>
    </row>
    <row r="17" spans="2:20" s="15" customFormat="1" x14ac:dyDescent="0.25">
      <c r="B17" s="15" t="s">
        <v>140</v>
      </c>
      <c r="J17" s="15">
        <v>-1952</v>
      </c>
      <c r="K17" s="15">
        <v>-2366</v>
      </c>
      <c r="L17" s="15">
        <v>-2669</v>
      </c>
      <c r="M17" s="15">
        <v>-2981</v>
      </c>
      <c r="N17" s="15">
        <v>-3239</v>
      </c>
      <c r="O17" s="15">
        <v>-3163</v>
      </c>
      <c r="P17" s="15">
        <v>-3644</v>
      </c>
      <c r="Q17" s="15">
        <v>-3923</v>
      </c>
      <c r="R17" s="15">
        <v>-3661</v>
      </c>
      <c r="S17" s="15">
        <v>-3987</v>
      </c>
      <c r="T17" s="15">
        <v>-4316</v>
      </c>
    </row>
    <row r="18" spans="2:20" s="19" customFormat="1" x14ac:dyDescent="0.25">
      <c r="B18" s="19" t="s">
        <v>155</v>
      </c>
      <c r="C18" s="19" t="e">
        <f>-C17/'Kvalitet bok (Gross)'!C12</f>
        <v>#DIV/0!</v>
      </c>
      <c r="D18" s="19" t="e">
        <f>-D17/'Kvalitet bok (Gross)'!D12</f>
        <v>#DIV/0!</v>
      </c>
      <c r="E18" s="19" t="e">
        <f>-E17/'Kvalitet bok (Gross)'!E12</f>
        <v>#DIV/0!</v>
      </c>
      <c r="F18" s="19" t="e">
        <f>-F17/'Kvalitet bok (Gross)'!F12</f>
        <v>#DIV/0!</v>
      </c>
      <c r="G18" s="19" t="e">
        <f>-G17/'Kvalitet bok (Gross)'!G12</f>
        <v>#DIV/0!</v>
      </c>
      <c r="H18" s="19" t="e">
        <f>-H17/'Kvalitet bok (Gross)'!H12</f>
        <v>#DIV/0!</v>
      </c>
      <c r="I18" s="19" t="e">
        <f>-I17/'Kvalitet bok (Gross)'!I12</f>
        <v>#DIV/0!</v>
      </c>
      <c r="J18" s="19">
        <f>-J17/'Kvalitet bok (Gross)'!J12</f>
        <v>0.40624349635796048</v>
      </c>
      <c r="K18" s="19">
        <f>-K17/'Kvalitet bok (Gross)'!K12</f>
        <v>0.41169305724725946</v>
      </c>
      <c r="L18" s="19">
        <f>-L17/'Kvalitet bok (Gross)'!L12</f>
        <v>0.41664064939119577</v>
      </c>
      <c r="M18" s="19">
        <f>-M17/'Kvalitet bok (Gross)'!M12</f>
        <v>0.42319704713231121</v>
      </c>
      <c r="N18" s="19">
        <f>-N17/'Kvalitet bok (Gross)'!N12</f>
        <v>0.42406389107096099</v>
      </c>
      <c r="O18" s="19">
        <f>-O17/'Kvalitet bok (Gross)'!O12</f>
        <v>0.42348373276208329</v>
      </c>
      <c r="P18" s="19">
        <f>-P17/'Kvalitet bok (Gross)'!P12</f>
        <v>0.44030932817786372</v>
      </c>
      <c r="Q18" s="19">
        <f>-Q17/'Kvalitet bok (Gross)'!Q12</f>
        <v>0.44906135531135533</v>
      </c>
      <c r="R18" s="19">
        <f>-R17/'Kvalitet bok (Gross)'!R12</f>
        <v>0.4375522887534361</v>
      </c>
      <c r="S18" s="19">
        <f>-S17/'Kvalitet bok (Gross)'!S12</f>
        <v>0.44084475895621406</v>
      </c>
      <c r="T18" s="19">
        <f>-T17/'Kvalitet bok (Gross)'!T12</f>
        <v>0.44439868204283361</v>
      </c>
    </row>
    <row r="19" spans="2:20" x14ac:dyDescent="0.25">
      <c r="B19" s="1" t="s">
        <v>143</v>
      </c>
    </row>
    <row r="20" spans="2:20" s="15" customFormat="1" x14ac:dyDescent="0.25">
      <c r="B20" s="15" t="s">
        <v>139</v>
      </c>
      <c r="J20" s="15">
        <v>-198</v>
      </c>
      <c r="K20" s="15">
        <v>-211</v>
      </c>
      <c r="L20" s="15">
        <v>-218</v>
      </c>
      <c r="M20" s="15">
        <v>-224</v>
      </c>
      <c r="N20" s="15">
        <v>-231</v>
      </c>
      <c r="O20" s="15">
        <v>-219</v>
      </c>
      <c r="P20" s="15">
        <v>-209</v>
      </c>
      <c r="Q20" s="15">
        <v>-210</v>
      </c>
      <c r="R20" s="15">
        <v>-206</v>
      </c>
      <c r="S20" s="15">
        <v>-214</v>
      </c>
      <c r="T20" s="15">
        <v>-217</v>
      </c>
    </row>
    <row r="21" spans="2:20" s="19" customFormat="1" x14ac:dyDescent="0.25">
      <c r="B21" s="19" t="s">
        <v>155</v>
      </c>
      <c r="C21" s="19" t="e">
        <f>-C20/'Kvalitet bok (Gross)'!C14</f>
        <v>#DIV/0!</v>
      </c>
      <c r="D21" s="19" t="e">
        <f>-D20/'Kvalitet bok (Gross)'!D14</f>
        <v>#DIV/0!</v>
      </c>
      <c r="E21" s="19" t="e">
        <f>-E20/'Kvalitet bok (Gross)'!E14</f>
        <v>#DIV/0!</v>
      </c>
      <c r="F21" s="19" t="e">
        <f>-F20/'Kvalitet bok (Gross)'!F14</f>
        <v>#DIV/0!</v>
      </c>
      <c r="G21" s="19" t="e">
        <f>-G20/'Kvalitet bok (Gross)'!G14</f>
        <v>#DIV/0!</v>
      </c>
      <c r="H21" s="19" t="e">
        <f>-H20/'Kvalitet bok (Gross)'!H14</f>
        <v>#DIV/0!</v>
      </c>
      <c r="I21" s="19" t="e">
        <f>-I20/'Kvalitet bok (Gross)'!I14</f>
        <v>#DIV/0!</v>
      </c>
      <c r="J21" s="19">
        <f>-J20/'Kvalitet bok (Gross)'!J14</f>
        <v>9.0559824368825464E-3</v>
      </c>
      <c r="K21" s="19">
        <f>-K20/'Kvalitet bok (Gross)'!K14</f>
        <v>9.5272497403711565E-3</v>
      </c>
      <c r="L21" s="19">
        <f>-L20/'Kvalitet bok (Gross)'!L14</f>
        <v>9.4572903561667612E-3</v>
      </c>
      <c r="M21" s="19">
        <f>-M20/'Kvalitet bok (Gross)'!M14</f>
        <v>9.5108695652173919E-3</v>
      </c>
      <c r="N21" s="19">
        <f>-N20/'Kvalitet bok (Gross)'!N14</f>
        <v>9.5112611685263717E-3</v>
      </c>
      <c r="O21" s="19">
        <f>-O20/'Kvalitet bok (Gross)'!O14</f>
        <v>9.1459594904990602E-3</v>
      </c>
      <c r="P21" s="19">
        <f>-P20/'Kvalitet bok (Gross)'!P14</f>
        <v>8.6693213870914221E-3</v>
      </c>
      <c r="Q21" s="19">
        <f>-Q20/'Kvalitet bok (Gross)'!Q14</f>
        <v>8.5438789210301475E-3</v>
      </c>
      <c r="R21" s="19">
        <f>-R20/'Kvalitet bok (Gross)'!R14</f>
        <v>8.5180284485610325E-3</v>
      </c>
      <c r="S21" s="19">
        <f>-S20/'Kvalitet bok (Gross)'!S14</f>
        <v>8.2067801810093571E-3</v>
      </c>
      <c r="T21" s="19">
        <f>-T20/'Kvalitet bok (Gross)'!T14</f>
        <v>8.0307908663631994E-3</v>
      </c>
    </row>
    <row r="22" spans="2:20" s="15" customFormat="1" x14ac:dyDescent="0.25">
      <c r="B22" s="15" t="s">
        <v>141</v>
      </c>
      <c r="J22" s="15">
        <v>-141</v>
      </c>
      <c r="K22" s="15">
        <v>-151</v>
      </c>
      <c r="L22" s="15">
        <v>-157</v>
      </c>
      <c r="M22" s="15">
        <v>-150</v>
      </c>
      <c r="N22" s="15">
        <v>-170</v>
      </c>
      <c r="O22" s="15">
        <v>-170</v>
      </c>
      <c r="P22" s="15">
        <v>-145</v>
      </c>
      <c r="Q22" s="15">
        <v>-165</v>
      </c>
      <c r="R22" s="15">
        <v>-145</v>
      </c>
      <c r="S22" s="15">
        <v>-161</v>
      </c>
      <c r="T22" s="15">
        <v>-145</v>
      </c>
    </row>
    <row r="23" spans="2:20" s="19" customFormat="1" x14ac:dyDescent="0.25">
      <c r="B23" s="19" t="s">
        <v>155</v>
      </c>
      <c r="C23" s="19" t="e">
        <f>-C22/'Kvalitet bok (Gross)'!C15</f>
        <v>#DIV/0!</v>
      </c>
      <c r="D23" s="19" t="e">
        <f>-D22/'Kvalitet bok (Gross)'!D15</f>
        <v>#DIV/0!</v>
      </c>
      <c r="E23" s="19" t="e">
        <f>-E22/'Kvalitet bok (Gross)'!E15</f>
        <v>#DIV/0!</v>
      </c>
      <c r="F23" s="19" t="e">
        <f>-F22/'Kvalitet bok (Gross)'!F15</f>
        <v>#DIV/0!</v>
      </c>
      <c r="G23" s="19" t="e">
        <f>-G22/'Kvalitet bok (Gross)'!G15</f>
        <v>#DIV/0!</v>
      </c>
      <c r="H23" s="19" t="e">
        <f>-H22/'Kvalitet bok (Gross)'!H15</f>
        <v>#DIV/0!</v>
      </c>
      <c r="I23" s="19" t="e">
        <f>-I22/'Kvalitet bok (Gross)'!I15</f>
        <v>#DIV/0!</v>
      </c>
      <c r="J23" s="19">
        <f>-J22/'Kvalitet bok (Gross)'!J15</f>
        <v>9.0850515463917522E-2</v>
      </c>
      <c r="K23" s="19">
        <f>-K22/'Kvalitet bok (Gross)'!K15</f>
        <v>9.2638036809815957E-2</v>
      </c>
      <c r="L23" s="19">
        <f>-L22/'Kvalitet bok (Gross)'!L15</f>
        <v>9.5673369896404625E-2</v>
      </c>
      <c r="M23" s="19">
        <f>-M22/'Kvalitet bok (Gross)'!M15</f>
        <v>9.7847358121330719E-2</v>
      </c>
      <c r="N23" s="19">
        <f>-N22/'Kvalitet bok (Gross)'!N15</f>
        <v>0.10448678549477566</v>
      </c>
      <c r="O23" s="19">
        <f>-O22/'Kvalitet bok (Gross)'!O15</f>
        <v>0.10631644777986242</v>
      </c>
      <c r="P23" s="19">
        <f>-P22/'Kvalitet bok (Gross)'!P15</f>
        <v>0.1013277428371768</v>
      </c>
      <c r="Q23" s="19">
        <f>-Q22/'Kvalitet bok (Gross)'!Q15</f>
        <v>0.10522959183673469</v>
      </c>
      <c r="R23" s="19">
        <f>-R22/'Kvalitet bok (Gross)'!R15</f>
        <v>0.10261854210898796</v>
      </c>
      <c r="S23" s="19">
        <f>-S22/'Kvalitet bok (Gross)'!S15</f>
        <v>0.10327132777421424</v>
      </c>
      <c r="T23" s="19">
        <f>-T22/'Kvalitet bok (Gross)'!T15</f>
        <v>9.4771241830065356E-2</v>
      </c>
    </row>
    <row r="24" spans="2:20" s="15" customFormat="1" x14ac:dyDescent="0.25">
      <c r="B24" s="15" t="s">
        <v>140</v>
      </c>
      <c r="J24" s="15">
        <v>-1182</v>
      </c>
      <c r="K24" s="15">
        <v>-1234</v>
      </c>
      <c r="L24" s="15">
        <v>-1289</v>
      </c>
      <c r="M24" s="15">
        <v>-1331</v>
      </c>
      <c r="N24" s="15">
        <v>-1405</v>
      </c>
      <c r="O24" s="15">
        <v>-1460</v>
      </c>
      <c r="P24" s="15">
        <v>-1290</v>
      </c>
      <c r="Q24" s="15">
        <v>-1343</v>
      </c>
      <c r="R24" s="15">
        <v>-1365</v>
      </c>
      <c r="S24" s="15">
        <v>-1500</v>
      </c>
      <c r="T24" s="15">
        <v>-1571</v>
      </c>
    </row>
    <row r="25" spans="2:20" s="19" customFormat="1" x14ac:dyDescent="0.25">
      <c r="B25" s="19" t="s">
        <v>155</v>
      </c>
      <c r="C25" s="19" t="e">
        <f>-C24/'Kvalitet bok (Gross)'!C16</f>
        <v>#DIV/0!</v>
      </c>
      <c r="D25" s="19" t="e">
        <f>-D24/'Kvalitet bok (Gross)'!D16</f>
        <v>#DIV/0!</v>
      </c>
      <c r="E25" s="19" t="e">
        <f>-E24/'Kvalitet bok (Gross)'!E16</f>
        <v>#DIV/0!</v>
      </c>
      <c r="F25" s="19" t="e">
        <f>-F24/'Kvalitet bok (Gross)'!F16</f>
        <v>#DIV/0!</v>
      </c>
      <c r="G25" s="19" t="e">
        <f>-G24/'Kvalitet bok (Gross)'!G16</f>
        <v>#DIV/0!</v>
      </c>
      <c r="H25" s="19" t="e">
        <f>-H24/'Kvalitet bok (Gross)'!H16</f>
        <v>#DIV/0!</v>
      </c>
      <c r="I25" s="19" t="e">
        <f>-I24/'Kvalitet bok (Gross)'!I16</f>
        <v>#DIV/0!</v>
      </c>
      <c r="J25" s="19">
        <f>-J24/'Kvalitet bok (Gross)'!J16</f>
        <v>0.3593797506840985</v>
      </c>
      <c r="K25" s="19">
        <f>-K24/'Kvalitet bok (Gross)'!K16</f>
        <v>0.34760563380281689</v>
      </c>
      <c r="L25" s="19">
        <f>-L24/'Kvalitet bok (Gross)'!L16</f>
        <v>0.34998642411077924</v>
      </c>
      <c r="M25" s="19">
        <f>-M24/'Kvalitet bok (Gross)'!M16</f>
        <v>0.35866343303691728</v>
      </c>
      <c r="N25" s="19">
        <f>-N24/'Kvalitet bok (Gross)'!N16</f>
        <v>0.36436721991701243</v>
      </c>
      <c r="O25" s="19">
        <f>-O24/'Kvalitet bok (Gross)'!O16</f>
        <v>0.3629132488192891</v>
      </c>
      <c r="P25" s="19">
        <f>-P24/'Kvalitet bok (Gross)'!P16</f>
        <v>0.3629712999437254</v>
      </c>
      <c r="Q25" s="19">
        <f>-Q24/'Kvalitet bok (Gross)'!Q16</f>
        <v>0.37388641425389757</v>
      </c>
      <c r="R25" s="19">
        <f>-R24/'Kvalitet bok (Gross)'!R16</f>
        <v>0.37001897533206829</v>
      </c>
      <c r="S25" s="19">
        <f>-S24/'Kvalitet bok (Gross)'!S16</f>
        <v>0.36764705882352944</v>
      </c>
      <c r="T25" s="19">
        <f>-T24/'Kvalitet bok (Gross)'!T16</f>
        <v>0.37413669921409859</v>
      </c>
    </row>
    <row r="26" spans="2:20" x14ac:dyDescent="0.25">
      <c r="B26" s="1" t="s">
        <v>144</v>
      </c>
    </row>
    <row r="27" spans="2:20" s="15" customFormat="1" x14ac:dyDescent="0.25">
      <c r="B27" s="15" t="s">
        <v>139</v>
      </c>
      <c r="J27" s="15">
        <v>-118</v>
      </c>
      <c r="K27" s="15">
        <v>-122</v>
      </c>
      <c r="L27" s="15">
        <v>-142</v>
      </c>
      <c r="M27" s="15">
        <v>-120</v>
      </c>
      <c r="N27" s="15">
        <v>-125</v>
      </c>
      <c r="O27" s="15">
        <v>-148</v>
      </c>
      <c r="P27" s="15">
        <v>-177</v>
      </c>
      <c r="Q27" s="15">
        <v>-195</v>
      </c>
      <c r="R27" s="15">
        <v>-185</v>
      </c>
      <c r="S27" s="15">
        <v>-208</v>
      </c>
      <c r="T27" s="15">
        <v>-225</v>
      </c>
    </row>
    <row r="28" spans="2:20" s="19" customFormat="1" x14ac:dyDescent="0.25">
      <c r="B28" s="19" t="s">
        <v>155</v>
      </c>
      <c r="C28" s="19" t="e">
        <f>-C27/'Kvalitet bok (Gross)'!C18</f>
        <v>#DIV/0!</v>
      </c>
      <c r="D28" s="19" t="e">
        <f>-D27/'Kvalitet bok (Gross)'!D18</f>
        <v>#DIV/0!</v>
      </c>
      <c r="E28" s="19" t="e">
        <f>-E27/'Kvalitet bok (Gross)'!E18</f>
        <v>#DIV/0!</v>
      </c>
      <c r="F28" s="19" t="e">
        <f>-F27/'Kvalitet bok (Gross)'!F18</f>
        <v>#DIV/0!</v>
      </c>
      <c r="G28" s="19" t="e">
        <f>-G27/'Kvalitet bok (Gross)'!G18</f>
        <v>#DIV/0!</v>
      </c>
      <c r="H28" s="19" t="e">
        <f>-H27/'Kvalitet bok (Gross)'!H18</f>
        <v>#DIV/0!</v>
      </c>
      <c r="I28" s="19" t="e">
        <f>-I27/'Kvalitet bok (Gross)'!I18</f>
        <v>#DIV/0!</v>
      </c>
      <c r="J28" s="19">
        <f>-J27/'Kvalitet bok (Gross)'!J18</f>
        <v>1.7787157069641242E-2</v>
      </c>
      <c r="K28" s="19">
        <f>-K27/'Kvalitet bok (Gross)'!K18</f>
        <v>1.7624963883270731E-2</v>
      </c>
      <c r="L28" s="19">
        <f>-L27/'Kvalitet bok (Gross)'!L18</f>
        <v>1.9433420008211303E-2</v>
      </c>
      <c r="M28" s="19">
        <f>-M27/'Kvalitet bok (Gross)'!M18</f>
        <v>1.5345268542199489E-2</v>
      </c>
      <c r="N28" s="19">
        <f>-N27/'Kvalitet bok (Gross)'!N18</f>
        <v>1.573910853689247E-2</v>
      </c>
      <c r="O28" s="19">
        <f>-O27/'Kvalitet bok (Gross)'!O18</f>
        <v>1.8271604938271607E-2</v>
      </c>
      <c r="P28" s="19">
        <f>-P27/'Kvalitet bok (Gross)'!P18</f>
        <v>2.0205479452054795E-2</v>
      </c>
      <c r="Q28" s="19">
        <f>-Q27/'Kvalitet bok (Gross)'!Q18</f>
        <v>2.0997092710240122E-2</v>
      </c>
      <c r="R28" s="19">
        <f>-R27/'Kvalitet bok (Gross)'!R18</f>
        <v>2.0143728222996517E-2</v>
      </c>
      <c r="S28" s="19">
        <f>-S27/'Kvalitet bok (Gross)'!S18</f>
        <v>2.094662638469285E-2</v>
      </c>
      <c r="T28" s="19">
        <f>-T27/'Kvalitet bok (Gross)'!T18</f>
        <v>2.1481764368913501E-2</v>
      </c>
    </row>
    <row r="29" spans="2:20" s="15" customFormat="1" x14ac:dyDescent="0.25">
      <c r="B29" s="15" t="s">
        <v>141</v>
      </c>
      <c r="J29" s="15">
        <v>-47</v>
      </c>
      <c r="K29" s="15">
        <v>-46</v>
      </c>
      <c r="L29" s="15">
        <v>-50</v>
      </c>
      <c r="M29" s="15">
        <v>-77</v>
      </c>
      <c r="N29" s="15">
        <v>-81</v>
      </c>
      <c r="O29" s="15">
        <v>-91</v>
      </c>
      <c r="P29" s="15">
        <v>-101</v>
      </c>
      <c r="Q29" s="15">
        <v>-95</v>
      </c>
      <c r="R29" s="15">
        <v>-95</v>
      </c>
      <c r="S29" s="15">
        <v>-104</v>
      </c>
      <c r="T29" s="15">
        <v>-101</v>
      </c>
    </row>
    <row r="30" spans="2:20" s="19" customFormat="1" x14ac:dyDescent="0.25">
      <c r="B30" s="19" t="s">
        <v>155</v>
      </c>
      <c r="C30" s="19" t="e">
        <f>-C29/'Kvalitet bok (Gross)'!C19</f>
        <v>#DIV/0!</v>
      </c>
      <c r="D30" s="19" t="e">
        <f>-D29/'Kvalitet bok (Gross)'!D19</f>
        <v>#DIV/0!</v>
      </c>
      <c r="E30" s="19" t="e">
        <f>-E29/'Kvalitet bok (Gross)'!E19</f>
        <v>#DIV/0!</v>
      </c>
      <c r="F30" s="19" t="e">
        <f>-F29/'Kvalitet bok (Gross)'!F19</f>
        <v>#DIV/0!</v>
      </c>
      <c r="G30" s="19" t="e">
        <f>-G29/'Kvalitet bok (Gross)'!G19</f>
        <v>#DIV/0!</v>
      </c>
      <c r="H30" s="19" t="e">
        <f>-H29/'Kvalitet bok (Gross)'!H19</f>
        <v>#DIV/0!</v>
      </c>
      <c r="I30" s="19" t="e">
        <f>-I29/'Kvalitet bok (Gross)'!I19</f>
        <v>#DIV/0!</v>
      </c>
      <c r="J30" s="19">
        <f>-J29/'Kvalitet bok (Gross)'!J19</f>
        <v>0.15064102564102563</v>
      </c>
      <c r="K30" s="19">
        <f>-K29/'Kvalitet bok (Gross)'!K19</f>
        <v>0.15753424657534246</v>
      </c>
      <c r="L30" s="19">
        <f>-L29/'Kvalitet bok (Gross)'!L19</f>
        <v>0.16286644951140064</v>
      </c>
      <c r="M30" s="19">
        <f>-M29/'Kvalitet bok (Gross)'!M19</f>
        <v>0.16075156576200417</v>
      </c>
      <c r="N30" s="19">
        <f>-N29/'Kvalitet bok (Gross)'!N19</f>
        <v>0.1610337972166998</v>
      </c>
      <c r="O30" s="19">
        <f>-O29/'Kvalitet bok (Gross)'!O19</f>
        <v>0.17169811320754716</v>
      </c>
      <c r="P30" s="19">
        <f>-P29/'Kvalitet bok (Gross)'!P19</f>
        <v>0.1860036832412523</v>
      </c>
      <c r="Q30" s="19">
        <f>-Q29/'Kvalitet bok (Gross)'!Q19</f>
        <v>0.22093023255813954</v>
      </c>
      <c r="R30" s="19">
        <f>-R29/'Kvalitet bok (Gross)'!R19</f>
        <v>0.21889400921658986</v>
      </c>
      <c r="S30" s="19">
        <f>-S29/'Kvalitet bok (Gross)'!S19</f>
        <v>0.2208067940552017</v>
      </c>
      <c r="T30" s="19">
        <f>-T29/'Kvalitet bok (Gross)'!T19</f>
        <v>0.21398305084745764</v>
      </c>
    </row>
    <row r="31" spans="2:20" s="15" customFormat="1" x14ac:dyDescent="0.25">
      <c r="B31" s="15" t="s">
        <v>140</v>
      </c>
      <c r="J31" s="15">
        <v>-362</v>
      </c>
      <c r="K31" s="15">
        <v>-404</v>
      </c>
      <c r="L31" s="15">
        <v>-341</v>
      </c>
      <c r="M31" s="15">
        <v>-371</v>
      </c>
      <c r="N31" s="15">
        <v>-405</v>
      </c>
      <c r="O31" s="15">
        <v>-409</v>
      </c>
      <c r="P31" s="15">
        <v>-352</v>
      </c>
      <c r="Q31" s="15">
        <v>-392</v>
      </c>
      <c r="R31" s="15">
        <v>-415</v>
      </c>
      <c r="S31" s="15">
        <v>-454</v>
      </c>
      <c r="T31" s="15">
        <v>-462</v>
      </c>
    </row>
    <row r="32" spans="2:20" s="19" customFormat="1" x14ac:dyDescent="0.25">
      <c r="B32" s="19" t="s">
        <v>155</v>
      </c>
      <c r="C32" s="19" t="e">
        <f>-C31/'Kvalitet bok (Gross)'!C20</f>
        <v>#DIV/0!</v>
      </c>
      <c r="D32" s="19" t="e">
        <f>-D31/'Kvalitet bok (Gross)'!D20</f>
        <v>#DIV/0!</v>
      </c>
      <c r="E32" s="19" t="e">
        <f>-E31/'Kvalitet bok (Gross)'!E20</f>
        <v>#DIV/0!</v>
      </c>
      <c r="F32" s="19" t="e">
        <f>-F31/'Kvalitet bok (Gross)'!F20</f>
        <v>#DIV/0!</v>
      </c>
      <c r="G32" s="19" t="e">
        <f>-G31/'Kvalitet bok (Gross)'!G20</f>
        <v>#DIV/0!</v>
      </c>
      <c r="H32" s="19" t="e">
        <f>-H31/'Kvalitet bok (Gross)'!H20</f>
        <v>#DIV/0!</v>
      </c>
      <c r="I32" s="19" t="e">
        <f>-I31/'Kvalitet bok (Gross)'!I20</f>
        <v>#DIV/0!</v>
      </c>
      <c r="J32" s="19">
        <f>-J31/'Kvalitet bok (Gross)'!J20</f>
        <v>0.50138504155124652</v>
      </c>
      <c r="K32" s="19">
        <f>-K31/'Kvalitet bok (Gross)'!K20</f>
        <v>0.50690087829360098</v>
      </c>
      <c r="L32" s="19">
        <f>-L31/'Kvalitet bok (Gross)'!L20</f>
        <v>0.49064748201438851</v>
      </c>
      <c r="M32" s="19">
        <f>-M31/'Kvalitet bok (Gross)'!M20</f>
        <v>0.49865591397849462</v>
      </c>
      <c r="N32" s="19">
        <f>-N31/'Kvalitet bok (Gross)'!N20</f>
        <v>0.50751879699248126</v>
      </c>
      <c r="O32" s="19">
        <f>-O31/'Kvalitet bok (Gross)'!O20</f>
        <v>0.501840490797546</v>
      </c>
      <c r="P32" s="19">
        <f>-P31/'Kvalitet bok (Gross)'!P20</f>
        <v>0.49162011173184356</v>
      </c>
      <c r="Q32" s="19">
        <f>-Q31/'Kvalitet bok (Gross)'!Q20</f>
        <v>0.50192061459667092</v>
      </c>
      <c r="R32" s="19">
        <f>-R31/'Kvalitet bok (Gross)'!R20</f>
        <v>0.50548112058465289</v>
      </c>
      <c r="S32" s="19">
        <f>-S31/'Kvalitet bok (Gross)'!S20</f>
        <v>0.50500556173526145</v>
      </c>
      <c r="T32" s="19">
        <f>-T31/'Kvalitet bok (Gross)'!T20</f>
        <v>0.50217391304347825</v>
      </c>
    </row>
    <row r="33" spans="1:22" x14ac:dyDescent="0.25">
      <c r="B33" s="1" t="s">
        <v>145</v>
      </c>
    </row>
    <row r="34" spans="1:22" s="15" customFormat="1" x14ac:dyDescent="0.25">
      <c r="B34" s="15" t="s">
        <v>139</v>
      </c>
      <c r="J34" s="15">
        <v>-84</v>
      </c>
      <c r="K34" s="15">
        <v>-97</v>
      </c>
      <c r="L34" s="15">
        <v>-94</v>
      </c>
      <c r="M34" s="15">
        <v>-94</v>
      </c>
      <c r="N34" s="15">
        <v>-68</v>
      </c>
      <c r="O34" s="15">
        <v>-65</v>
      </c>
      <c r="P34" s="15">
        <v>-67</v>
      </c>
      <c r="Q34" s="15">
        <v>-68</v>
      </c>
      <c r="R34" s="15">
        <v>-69</v>
      </c>
      <c r="S34" s="15">
        <v>-75</v>
      </c>
      <c r="T34" s="15">
        <v>-57</v>
      </c>
    </row>
    <row r="35" spans="1:22" s="19" customFormat="1" x14ac:dyDescent="0.25">
      <c r="B35" s="19" t="s">
        <v>155</v>
      </c>
      <c r="C35" s="19" t="e">
        <f>-C34/'Kvalitet bok (Gross)'!C22</f>
        <v>#DIV/0!</v>
      </c>
      <c r="D35" s="19" t="e">
        <f>-D34/'Kvalitet bok (Gross)'!D22</f>
        <v>#DIV/0!</v>
      </c>
      <c r="E35" s="19" t="e">
        <f>-E34/'Kvalitet bok (Gross)'!E22</f>
        <v>#DIV/0!</v>
      </c>
      <c r="F35" s="19" t="e">
        <f>-F34/'Kvalitet bok (Gross)'!F22</f>
        <v>#DIV/0!</v>
      </c>
      <c r="G35" s="19" t="e">
        <f>-G34/'Kvalitet bok (Gross)'!G22</f>
        <v>#DIV/0!</v>
      </c>
      <c r="H35" s="19" t="e">
        <f>-H34/'Kvalitet bok (Gross)'!H22</f>
        <v>#DIV/0!</v>
      </c>
      <c r="I35" s="19" t="e">
        <f>-I34/'Kvalitet bok (Gross)'!I22</f>
        <v>#DIV/0!</v>
      </c>
      <c r="J35" s="19">
        <f>-J34/'Kvalitet bok (Gross)'!J22</f>
        <v>3.2928263426107406E-2</v>
      </c>
      <c r="K35" s="19">
        <f>-K34/'Kvalitet bok (Gross)'!K22</f>
        <v>3.4203102961918197E-2</v>
      </c>
      <c r="L35" s="19">
        <f>-L34/'Kvalitet bok (Gross)'!L22</f>
        <v>3.3005617977528087E-2</v>
      </c>
      <c r="M35" s="19">
        <f>-M34/'Kvalitet bok (Gross)'!M22</f>
        <v>3.2424974129010006E-2</v>
      </c>
      <c r="N35" s="19">
        <f>-N34/'Kvalitet bok (Gross)'!N22</f>
        <v>3.1613203161320318E-2</v>
      </c>
      <c r="O35" s="19">
        <f>-O34/'Kvalitet bok (Gross)'!O22</f>
        <v>3.1553398058252427E-2</v>
      </c>
      <c r="P35" s="19">
        <f>-P34/'Kvalitet bok (Gross)'!P22</f>
        <v>3.1367041198501873E-2</v>
      </c>
      <c r="Q35" s="19">
        <f>-Q34/'Kvalitet bok (Gross)'!Q22</f>
        <v>2.989010989010989E-2</v>
      </c>
      <c r="R35" s="19">
        <f>-R34/'Kvalitet bok (Gross)'!R22</f>
        <v>3.087248322147651E-2</v>
      </c>
      <c r="S35" s="19">
        <f>-S34/'Kvalitet bok (Gross)'!S22</f>
        <v>3.2851511169513799E-2</v>
      </c>
      <c r="T35" s="19">
        <f>-T34/'Kvalitet bok (Gross)'!T22</f>
        <v>2.4632670700086432E-2</v>
      </c>
    </row>
    <row r="36" spans="1:22" s="15" customFormat="1" x14ac:dyDescent="0.25">
      <c r="B36" s="15" t="s">
        <v>141</v>
      </c>
      <c r="J36" s="15">
        <v>-24</v>
      </c>
      <c r="K36" s="15">
        <v>-24</v>
      </c>
      <c r="L36" s="15">
        <v>-22</v>
      </c>
      <c r="M36" s="15">
        <v>-25</v>
      </c>
      <c r="N36" s="15">
        <v>-17</v>
      </c>
      <c r="O36" s="15">
        <v>-18</v>
      </c>
      <c r="P36" s="15">
        <v>-18</v>
      </c>
      <c r="Q36" s="15">
        <v>-19</v>
      </c>
      <c r="R36" s="15">
        <v>-19</v>
      </c>
      <c r="S36" s="15">
        <v>-21</v>
      </c>
      <c r="T36" s="15">
        <v>-25</v>
      </c>
    </row>
    <row r="37" spans="1:22" s="19" customFormat="1" x14ac:dyDescent="0.25">
      <c r="B37" s="19" t="s">
        <v>155</v>
      </c>
      <c r="C37" s="19" t="e">
        <f>-C36/'Kvalitet bok (Gross)'!C23</f>
        <v>#DIV/0!</v>
      </c>
      <c r="D37" s="19" t="e">
        <f>-D36/'Kvalitet bok (Gross)'!D23</f>
        <v>#DIV/0!</v>
      </c>
      <c r="E37" s="19" t="e">
        <f>-E36/'Kvalitet bok (Gross)'!E23</f>
        <v>#DIV/0!</v>
      </c>
      <c r="F37" s="19" t="e">
        <f>-F36/'Kvalitet bok (Gross)'!F23</f>
        <v>#DIV/0!</v>
      </c>
      <c r="G37" s="19" t="e">
        <f>-G36/'Kvalitet bok (Gross)'!G23</f>
        <v>#DIV/0!</v>
      </c>
      <c r="H37" s="19" t="e">
        <f>-H36/'Kvalitet bok (Gross)'!H23</f>
        <v>#DIV/0!</v>
      </c>
      <c r="I37" s="19" t="e">
        <f>-I36/'Kvalitet bok (Gross)'!I23</f>
        <v>#DIV/0!</v>
      </c>
      <c r="J37" s="19">
        <f>-J36/'Kvalitet bok (Gross)'!J23</f>
        <v>0.23762376237623761</v>
      </c>
      <c r="K37" s="19">
        <f>-K36/'Kvalitet bok (Gross)'!K23</f>
        <v>0.24489795918367346</v>
      </c>
      <c r="L37" s="19">
        <f>-L36/'Kvalitet bok (Gross)'!L23</f>
        <v>0.23157894736842105</v>
      </c>
      <c r="M37" s="19">
        <f>-M36/'Kvalitet bok (Gross)'!M23</f>
        <v>0.23148148148148148</v>
      </c>
      <c r="N37" s="19">
        <f>-N36/'Kvalitet bok (Gross)'!N23</f>
        <v>0.20481927710843373</v>
      </c>
      <c r="O37" s="19">
        <f>-O36/'Kvalitet bok (Gross)'!O23</f>
        <v>0.20930232558139536</v>
      </c>
      <c r="P37" s="19">
        <f>-P36/'Kvalitet bok (Gross)'!P23</f>
        <v>0.21428571428571427</v>
      </c>
      <c r="Q37" s="19">
        <f>-Q36/'Kvalitet bok (Gross)'!Q23</f>
        <v>0.23749999999999999</v>
      </c>
      <c r="R37" s="19">
        <f>-R36/'Kvalitet bok (Gross)'!R23</f>
        <v>0.25333333333333335</v>
      </c>
      <c r="S37" s="19">
        <f>-S36/'Kvalitet bok (Gross)'!S23</f>
        <v>0.25925925925925924</v>
      </c>
      <c r="T37" s="19">
        <f>-T36/'Kvalitet bok (Gross)'!T23</f>
        <v>0.26041666666666669</v>
      </c>
    </row>
    <row r="38" spans="1:22" s="15" customFormat="1" x14ac:dyDescent="0.25">
      <c r="B38" s="15" t="s">
        <v>140</v>
      </c>
      <c r="J38" s="15">
        <v>-397</v>
      </c>
      <c r="K38" s="15">
        <v>-426</v>
      </c>
      <c r="L38" s="15">
        <v>-416</v>
      </c>
      <c r="M38" s="15">
        <v>-408</v>
      </c>
      <c r="N38" s="15">
        <v>-389</v>
      </c>
      <c r="O38" s="15">
        <v>-358</v>
      </c>
      <c r="P38" s="15">
        <v>-337</v>
      </c>
      <c r="Q38" s="15">
        <v>-317</v>
      </c>
      <c r="R38" s="15">
        <v>-317</v>
      </c>
      <c r="S38" s="15">
        <v>-347</v>
      </c>
      <c r="T38" s="15">
        <v>-383</v>
      </c>
    </row>
    <row r="39" spans="1:22" s="50" customFormat="1" ht="20" thickBot="1" x14ac:dyDescent="0.3">
      <c r="B39" s="50" t="s">
        <v>155</v>
      </c>
      <c r="C39" s="50" t="e">
        <f>-C38/'Kvalitet bok (Gross)'!C24</f>
        <v>#DIV/0!</v>
      </c>
      <c r="D39" s="50" t="e">
        <f>-D38/'Kvalitet bok (Gross)'!D24</f>
        <v>#DIV/0!</v>
      </c>
      <c r="E39" s="50" t="e">
        <f>-E38/'Kvalitet bok (Gross)'!E24</f>
        <v>#DIV/0!</v>
      </c>
      <c r="F39" s="50" t="e">
        <f>-F38/'Kvalitet bok (Gross)'!F24</f>
        <v>#DIV/0!</v>
      </c>
      <c r="G39" s="50" t="e">
        <f>-G38/'Kvalitet bok (Gross)'!G24</f>
        <v>#DIV/0!</v>
      </c>
      <c r="H39" s="50" t="e">
        <f>-H38/'Kvalitet bok (Gross)'!H24</f>
        <v>#DIV/0!</v>
      </c>
      <c r="I39" s="50" t="e">
        <f>-I38/'Kvalitet bok (Gross)'!I24</f>
        <v>#DIV/0!</v>
      </c>
      <c r="J39" s="50">
        <f>-J38/'Kvalitet bok (Gross)'!J24</f>
        <v>0.73247232472324719</v>
      </c>
      <c r="K39" s="50">
        <f>-K38/'Kvalitet bok (Gross)'!K24</f>
        <v>0.73448275862068968</v>
      </c>
      <c r="L39" s="50">
        <f>-L38/'Kvalitet bok (Gross)'!L24</f>
        <v>0.738898756660746</v>
      </c>
      <c r="M39" s="50">
        <f>-M38/'Kvalitet bok (Gross)'!M24</f>
        <v>0.73646209386281591</v>
      </c>
      <c r="N39" s="50">
        <f>-N38/'Kvalitet bok (Gross)'!N24</f>
        <v>0.72304832713754652</v>
      </c>
      <c r="O39" s="50">
        <f>-O38/'Kvalitet bok (Gross)'!O24</f>
        <v>0.72912423625254585</v>
      </c>
      <c r="P39" s="50">
        <f>-P38/'Kvalitet bok (Gross)'!P24</f>
        <v>0.72008547008547008</v>
      </c>
      <c r="Q39" s="50">
        <f>-Q38/'Kvalitet bok (Gross)'!Q24</f>
        <v>0.71719457013574661</v>
      </c>
      <c r="R39" s="50">
        <f>-R38/'Kvalitet bok (Gross)'!R24</f>
        <v>0.713963963963964</v>
      </c>
      <c r="S39" s="50">
        <f>-S38/'Kvalitet bok (Gross)'!S24</f>
        <v>0.71694214876033058</v>
      </c>
      <c r="T39" s="50">
        <f>-T38/'Kvalitet bok (Gross)'!T24</f>
        <v>0.71722846441947563</v>
      </c>
    </row>
    <row r="40" spans="1:22" x14ac:dyDescent="0.25">
      <c r="B40" s="2" t="s">
        <v>146</v>
      </c>
      <c r="C40" s="15">
        <f t="shared" ref="C40:T40" si="0">C6+C13+C20+C27+C34</f>
        <v>0</v>
      </c>
      <c r="D40" s="15">
        <f t="shared" si="0"/>
        <v>0</v>
      </c>
      <c r="E40" s="15">
        <f t="shared" si="0"/>
        <v>0</v>
      </c>
      <c r="F40" s="15">
        <f t="shared" si="0"/>
        <v>0</v>
      </c>
      <c r="G40" s="15">
        <f t="shared" si="0"/>
        <v>0</v>
      </c>
      <c r="H40" s="15">
        <f t="shared" si="0"/>
        <v>0</v>
      </c>
      <c r="I40" s="15">
        <f t="shared" si="0"/>
        <v>0</v>
      </c>
      <c r="J40" s="15">
        <f t="shared" si="0"/>
        <v>-1713</v>
      </c>
      <c r="K40" s="15">
        <f t="shared" si="0"/>
        <v>-1771</v>
      </c>
      <c r="L40" s="15">
        <f t="shared" si="0"/>
        <v>-1821</v>
      </c>
      <c r="M40" s="15">
        <f t="shared" si="0"/>
        <v>-1803</v>
      </c>
      <c r="N40" s="15">
        <f t="shared" si="0"/>
        <v>-1824</v>
      </c>
      <c r="O40" s="15">
        <f t="shared" si="0"/>
        <v>-1769</v>
      </c>
      <c r="P40" s="15">
        <f t="shared" si="0"/>
        <v>-1873</v>
      </c>
      <c r="Q40" s="15">
        <f t="shared" si="0"/>
        <v>-1852</v>
      </c>
      <c r="R40" s="15">
        <f t="shared" si="0"/>
        <v>-1786</v>
      </c>
      <c r="S40" s="15">
        <f t="shared" si="0"/>
        <v>-1796</v>
      </c>
      <c r="T40" s="15">
        <f t="shared" si="0"/>
        <v>-1864</v>
      </c>
    </row>
    <row r="41" spans="1:22" x14ac:dyDescent="0.25">
      <c r="B41" s="2" t="s">
        <v>147</v>
      </c>
      <c r="C41" s="15">
        <f t="shared" ref="C41:T41" si="1">C8+C15+C22+C29+C36</f>
        <v>0</v>
      </c>
      <c r="D41" s="15">
        <f t="shared" si="1"/>
        <v>0</v>
      </c>
      <c r="E41" s="15">
        <f t="shared" si="1"/>
        <v>0</v>
      </c>
      <c r="F41" s="15">
        <f t="shared" si="1"/>
        <v>0</v>
      </c>
      <c r="G41" s="15">
        <f t="shared" si="1"/>
        <v>0</v>
      </c>
      <c r="H41" s="15">
        <f t="shared" si="1"/>
        <v>0</v>
      </c>
      <c r="I41" s="15">
        <f t="shared" si="1"/>
        <v>0</v>
      </c>
      <c r="J41" s="15">
        <f t="shared" si="1"/>
        <v>-995</v>
      </c>
      <c r="K41" s="15">
        <f t="shared" si="1"/>
        <v>-1054</v>
      </c>
      <c r="L41" s="15">
        <f t="shared" si="1"/>
        <v>-1034</v>
      </c>
      <c r="M41" s="15">
        <f t="shared" si="1"/>
        <v>-1071</v>
      </c>
      <c r="N41" s="15">
        <f t="shared" si="1"/>
        <v>-1168</v>
      </c>
      <c r="O41" s="15">
        <f t="shared" si="1"/>
        <v>-1145</v>
      </c>
      <c r="P41" s="15">
        <f t="shared" si="1"/>
        <v>-1099</v>
      </c>
      <c r="Q41" s="15">
        <f t="shared" si="1"/>
        <v>-1086</v>
      </c>
      <c r="R41" s="15">
        <f t="shared" si="1"/>
        <v>-1081</v>
      </c>
      <c r="S41" s="15">
        <f t="shared" si="1"/>
        <v>-1107</v>
      </c>
      <c r="T41" s="15">
        <f t="shared" si="1"/>
        <v>-1079</v>
      </c>
    </row>
    <row r="42" spans="1:22" x14ac:dyDescent="0.25">
      <c r="B42" s="2" t="s">
        <v>148</v>
      </c>
      <c r="C42" s="15">
        <f t="shared" ref="C42:S42" si="2">C10+C17+C24+C31+C38</f>
        <v>0</v>
      </c>
      <c r="D42" s="15">
        <f t="shared" si="2"/>
        <v>0</v>
      </c>
      <c r="E42" s="15">
        <f t="shared" si="2"/>
        <v>0</v>
      </c>
      <c r="F42" s="15">
        <f t="shared" si="2"/>
        <v>0</v>
      </c>
      <c r="G42" s="15">
        <f t="shared" si="2"/>
        <v>0</v>
      </c>
      <c r="H42" s="15">
        <f t="shared" si="2"/>
        <v>0</v>
      </c>
      <c r="I42" s="15">
        <f t="shared" si="2"/>
        <v>0</v>
      </c>
      <c r="J42" s="15">
        <f t="shared" si="2"/>
        <v>-5981</v>
      </c>
      <c r="K42" s="15">
        <f t="shared" si="2"/>
        <v>-6866</v>
      </c>
      <c r="L42" s="15">
        <f t="shared" si="2"/>
        <v>-7367</v>
      </c>
      <c r="M42" s="15">
        <f t="shared" si="2"/>
        <v>-8012</v>
      </c>
      <c r="N42" s="15">
        <f t="shared" si="2"/>
        <v>-8646</v>
      </c>
      <c r="O42" s="15">
        <f t="shared" si="2"/>
        <v>-8423</v>
      </c>
      <c r="P42" s="15">
        <f t="shared" si="2"/>
        <v>-8831</v>
      </c>
      <c r="Q42" s="15">
        <f t="shared" si="2"/>
        <v>-9426</v>
      </c>
      <c r="R42" s="15">
        <f t="shared" si="2"/>
        <v>-9379</v>
      </c>
      <c r="S42" s="15">
        <f t="shared" si="2"/>
        <v>-9988</v>
      </c>
      <c r="T42" s="15">
        <f>T10+T17+T24+T31+T38</f>
        <v>-10552</v>
      </c>
    </row>
    <row r="43" spans="1:22" s="1" customFormat="1" x14ac:dyDescent="0.25">
      <c r="B43" s="1" t="s">
        <v>152</v>
      </c>
      <c r="C43" s="16">
        <f t="shared" ref="C43:S43" si="3">SUM(C40:C42)</f>
        <v>0</v>
      </c>
      <c r="D43" s="16">
        <f t="shared" si="3"/>
        <v>0</v>
      </c>
      <c r="E43" s="16">
        <f t="shared" si="3"/>
        <v>0</v>
      </c>
      <c r="F43" s="16">
        <f t="shared" si="3"/>
        <v>0</v>
      </c>
      <c r="G43" s="16">
        <f t="shared" si="3"/>
        <v>0</v>
      </c>
      <c r="H43" s="16">
        <f t="shared" si="3"/>
        <v>0</v>
      </c>
      <c r="I43" s="16">
        <f t="shared" si="3"/>
        <v>0</v>
      </c>
      <c r="J43" s="16">
        <f t="shared" si="3"/>
        <v>-8689</v>
      </c>
      <c r="K43" s="16">
        <f t="shared" si="3"/>
        <v>-9691</v>
      </c>
      <c r="L43" s="16">
        <f t="shared" si="3"/>
        <v>-10222</v>
      </c>
      <c r="M43" s="16">
        <f t="shared" si="3"/>
        <v>-10886</v>
      </c>
      <c r="N43" s="16">
        <f t="shared" si="3"/>
        <v>-11638</v>
      </c>
      <c r="O43" s="16">
        <f t="shared" si="3"/>
        <v>-11337</v>
      </c>
      <c r="P43" s="16">
        <f t="shared" si="3"/>
        <v>-11803</v>
      </c>
      <c r="Q43" s="16">
        <f t="shared" si="3"/>
        <v>-12364</v>
      </c>
      <c r="R43" s="16">
        <f t="shared" si="3"/>
        <v>-12246</v>
      </c>
      <c r="S43" s="16">
        <f t="shared" si="3"/>
        <v>-12891</v>
      </c>
      <c r="T43" s="16">
        <f>SUM(T40:T42)</f>
        <v>-13495</v>
      </c>
    </row>
    <row r="44" spans="1:22" s="78" customFormat="1" ht="20" thickBot="1" x14ac:dyDescent="0.3">
      <c r="A44" s="21"/>
      <c r="B44" s="78" t="s">
        <v>156</v>
      </c>
      <c r="C44" s="78" t="e">
        <f>-C43/'Kvalitet bok (Gross)'!C29</f>
        <v>#DIV/0!</v>
      </c>
      <c r="D44" s="78" t="e">
        <f>-D43/'Kvalitet bok (Gross)'!D29</f>
        <v>#DIV/0!</v>
      </c>
      <c r="E44" s="78" t="e">
        <f>-E43/'Kvalitet bok (Gross)'!E29</f>
        <v>#DIV/0!</v>
      </c>
      <c r="F44" s="78" t="e">
        <f>-F43/'Kvalitet bok (Gross)'!F29</f>
        <v>#DIV/0!</v>
      </c>
      <c r="G44" s="78" t="e">
        <f>-G43/'Kvalitet bok (Gross)'!G29</f>
        <v>#DIV/0!</v>
      </c>
      <c r="H44" s="78" t="e">
        <f>-H43/'Kvalitet bok (Gross)'!H29</f>
        <v>#DIV/0!</v>
      </c>
      <c r="I44" s="78" t="e">
        <f>-I43/'Kvalitet bok (Gross)'!I29</f>
        <v>#DIV/0!</v>
      </c>
      <c r="J44" s="78">
        <f>-J43/'Kvalitet bok (Gross)'!J29</f>
        <v>7.3678051758640575E-2</v>
      </c>
      <c r="K44" s="78">
        <f>-K43/'Kvalitet bok (Gross)'!K29</f>
        <v>7.8729730608000523E-2</v>
      </c>
      <c r="L44" s="78">
        <f>-L43/'Kvalitet bok (Gross)'!L29</f>
        <v>8.1089013874455607E-2</v>
      </c>
      <c r="M44" s="78">
        <f>-M43/'Kvalitet bok (Gross)'!M29</f>
        <v>8.3302086760891028E-2</v>
      </c>
      <c r="N44" s="78">
        <f>-N43/'Kvalitet bok (Gross)'!N29</f>
        <v>8.6552978186983584E-2</v>
      </c>
      <c r="O44" s="78">
        <f>-O43/'Kvalitet bok (Gross)'!O29</f>
        <v>8.4958259018899598E-2</v>
      </c>
      <c r="P44" s="78">
        <f>-P43/'Kvalitet bok (Gross)'!P29</f>
        <v>8.5889347334104679E-2</v>
      </c>
      <c r="Q44" s="78">
        <f>-Q43/'Kvalitet bok (Gross)'!Q29</f>
        <v>8.7247374957660606E-2</v>
      </c>
      <c r="R44" s="78">
        <f>-R43/'Kvalitet bok (Gross)'!R29</f>
        <v>8.6049763549359504E-2</v>
      </c>
      <c r="S44" s="78">
        <f>-S43/'Kvalitet bok (Gross)'!S29</f>
        <v>8.6150206503869439E-2</v>
      </c>
      <c r="T44" s="78">
        <f>-T43/'Kvalitet bok (Gross)'!T29</f>
        <v>8.7490680411034388E-2</v>
      </c>
    </row>
    <row r="45" spans="1:22" s="24" customFormat="1" x14ac:dyDescent="0.25"/>
    <row r="46" spans="1:22" s="24" customFormat="1" x14ac:dyDescent="0.25"/>
    <row r="47" spans="1:22" s="23" customFormat="1" x14ac:dyDescent="0.25">
      <c r="A47" s="1"/>
    </row>
    <row r="48" spans="1:22" x14ac:dyDescent="0.25">
      <c r="B48" s="2" t="s">
        <v>38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2:22" x14ac:dyDescent="0.25">
      <c r="B49" s="1" t="s">
        <v>123</v>
      </c>
    </row>
    <row r="50" spans="2:22" x14ac:dyDescent="0.25">
      <c r="B50" s="15" t="s">
        <v>139</v>
      </c>
      <c r="C50" s="15"/>
      <c r="D50" s="15"/>
      <c r="E50" s="15"/>
      <c r="F50" s="15"/>
      <c r="G50" s="15"/>
      <c r="H50" s="15"/>
      <c r="I50" s="15"/>
      <c r="J50" s="15">
        <v>-1431</v>
      </c>
      <c r="K50" s="15">
        <v>-1468</v>
      </c>
      <c r="L50" s="15">
        <v>-1495</v>
      </c>
      <c r="M50" s="15">
        <v>-1482</v>
      </c>
      <c r="N50" s="15">
        <v>-1526</v>
      </c>
      <c r="O50" s="15">
        <v>-1469</v>
      </c>
      <c r="P50" s="15">
        <v>-1549</v>
      </c>
      <c r="Q50" s="15">
        <v>-1510</v>
      </c>
      <c r="R50" s="15">
        <v>-1425</v>
      </c>
      <c r="S50" s="15">
        <v>-1427</v>
      </c>
      <c r="T50" s="15">
        <v>-1487</v>
      </c>
      <c r="U50" s="15"/>
      <c r="V50" s="15"/>
    </row>
    <row r="51" spans="2:22" x14ac:dyDescent="0.25">
      <c r="B51" s="19" t="s">
        <v>155</v>
      </c>
      <c r="C51" s="19"/>
      <c r="D51" s="19"/>
      <c r="E51" s="19"/>
      <c r="F51" s="19"/>
      <c r="G51" s="19"/>
      <c r="H51" s="19"/>
      <c r="I51" s="19"/>
      <c r="J51" s="19">
        <f>-J50/'Kvalitet bok (Gross)'!J39</f>
        <v>2.1027110425391227E-2</v>
      </c>
      <c r="K51" s="19">
        <f>-K50/'Kvalitet bok (Gross)'!K39</f>
        <v>2.1009245212811632E-2</v>
      </c>
      <c r="L51" s="19">
        <f>-L50/'Kvalitet bok (Gross)'!L39</f>
        <v>2.1004861325765026E-2</v>
      </c>
      <c r="M51" s="19">
        <f>-M50/'Kvalitet bok (Gross)'!M39</f>
        <v>2.0000539825636321E-2</v>
      </c>
      <c r="N51" s="19">
        <f>-N50/'Kvalitet bok (Gross)'!N39</f>
        <v>2.0008653808331257E-2</v>
      </c>
      <c r="O51" s="19">
        <f>-O50/'Kvalitet bok (Gross)'!O39</f>
        <v>1.9395811877789222E-2</v>
      </c>
      <c r="P51" s="19">
        <f>-P50/'Kvalitet bok (Gross)'!P39</f>
        <v>1.9723187796834612E-2</v>
      </c>
      <c r="Q51" s="19">
        <f>-Q50/'Kvalitet bok (Gross)'!Q39</f>
        <v>1.8616922906212627E-2</v>
      </c>
      <c r="R51" s="19">
        <f>-R50/'Kvalitet bok (Gross)'!R39</f>
        <v>1.7476085356880059E-2</v>
      </c>
      <c r="S51" s="19">
        <f>-S50/'Kvalitet bok (Gross)'!S39</f>
        <v>1.6857450000590659E-2</v>
      </c>
      <c r="T51" s="19">
        <f>-T50/'Kvalitet bok (Gross)'!T39</f>
        <v>1.703985515550157E-2</v>
      </c>
      <c r="U51" s="19"/>
      <c r="V51" s="19"/>
    </row>
    <row r="52" spans="2:22" x14ac:dyDescent="0.25">
      <c r="B52" s="15" t="s">
        <v>141</v>
      </c>
      <c r="C52" s="15"/>
      <c r="D52" s="15"/>
      <c r="E52" s="15"/>
      <c r="F52" s="15"/>
      <c r="G52" s="15"/>
      <c r="H52" s="15"/>
      <c r="I52" s="15"/>
      <c r="J52" s="15">
        <v>-905</v>
      </c>
      <c r="K52" s="15">
        <v>-960</v>
      </c>
      <c r="L52" s="15">
        <v>-921</v>
      </c>
      <c r="M52" s="15">
        <v>-942</v>
      </c>
      <c r="N52" s="15">
        <v>-1029</v>
      </c>
      <c r="O52" s="15">
        <v>-1006</v>
      </c>
      <c r="P52" s="15">
        <v>-954</v>
      </c>
      <c r="Q52" s="15">
        <v>-942</v>
      </c>
      <c r="R52" s="15">
        <v>-929</v>
      </c>
      <c r="S52" s="15">
        <v>-958</v>
      </c>
      <c r="T52" s="15">
        <v>-915</v>
      </c>
      <c r="U52" s="15"/>
      <c r="V52" s="15"/>
    </row>
    <row r="53" spans="2:22" x14ac:dyDescent="0.25">
      <c r="B53" s="19" t="s">
        <v>155</v>
      </c>
      <c r="C53" s="19"/>
      <c r="D53" s="19"/>
      <c r="E53" s="19"/>
      <c r="F53" s="19"/>
      <c r="G53" s="19"/>
      <c r="H53" s="19"/>
      <c r="I53" s="19"/>
      <c r="J53" s="19">
        <f>-J52/'Kvalitet bok (Gross)'!J40</f>
        <v>0.17927892234548337</v>
      </c>
      <c r="K53" s="19">
        <f>-K52/'Kvalitet bok (Gross)'!K40</f>
        <v>0.17804154302670624</v>
      </c>
      <c r="L53" s="19">
        <f>-L52/'Kvalitet bok (Gross)'!L40</f>
        <v>0.17876552795031056</v>
      </c>
      <c r="M53" s="19">
        <f>-M52/'Kvalitet bok (Gross)'!M40</f>
        <v>0.18668252080856124</v>
      </c>
      <c r="N53" s="19">
        <f>-N52/'Kvalitet bok (Gross)'!N40</f>
        <v>0.19313063063063063</v>
      </c>
      <c r="O53" s="19">
        <f>-O52/'Kvalitet bok (Gross)'!O40</f>
        <v>0.19290508149568553</v>
      </c>
      <c r="P53" s="19">
        <f>-P52/'Kvalitet bok (Gross)'!P40</f>
        <v>0.18614634146341463</v>
      </c>
      <c r="Q53" s="19">
        <f>-Q52/'Kvalitet bok (Gross)'!Q40</f>
        <v>0.19165818921668362</v>
      </c>
      <c r="R53" s="19">
        <f>-R52/'Kvalitet bok (Gross)'!R40</f>
        <v>0.19309914778632301</v>
      </c>
      <c r="S53" s="19">
        <f>-S52/'Kvalitet bok (Gross)'!S40</f>
        <v>0.1904572564612326</v>
      </c>
      <c r="T53" s="19">
        <f>-T52/'Kvalitet bok (Gross)'!T40</f>
        <v>0.18307322929171668</v>
      </c>
      <c r="U53" s="15"/>
      <c r="V53" s="15"/>
    </row>
    <row r="54" spans="2:22" x14ac:dyDescent="0.25">
      <c r="B54" s="15" t="s">
        <v>140</v>
      </c>
      <c r="C54" s="15"/>
      <c r="D54" s="15"/>
      <c r="E54" s="15"/>
      <c r="F54" s="15"/>
      <c r="G54" s="15"/>
      <c r="H54" s="15"/>
      <c r="I54" s="15"/>
      <c r="J54" s="15">
        <v>-5494</v>
      </c>
      <c r="K54" s="15">
        <v>-6292</v>
      </c>
      <c r="L54" s="15">
        <v>-6763</v>
      </c>
      <c r="M54" s="15">
        <v>-7341</v>
      </c>
      <c r="N54" s="15">
        <v>-7885</v>
      </c>
      <c r="O54" s="15">
        <v>-7622</v>
      </c>
      <c r="P54" s="15">
        <v>-7984</v>
      </c>
      <c r="Q54" s="15">
        <v>-8502</v>
      </c>
      <c r="R54" s="15">
        <v>-8435</v>
      </c>
      <c r="S54" s="15">
        <v>-8890</v>
      </c>
      <c r="T54" s="15">
        <v>-9371</v>
      </c>
      <c r="U54" s="15"/>
      <c r="V54" s="15"/>
    </row>
    <row r="55" spans="2:22" x14ac:dyDescent="0.25">
      <c r="B55" s="19" t="s">
        <v>155</v>
      </c>
      <c r="C55" s="19"/>
      <c r="D55" s="19"/>
      <c r="E55" s="19"/>
      <c r="F55" s="19"/>
      <c r="G55" s="19"/>
      <c r="H55" s="19"/>
      <c r="I55" s="19"/>
      <c r="J55" s="19">
        <f>-J54/'Kvalitet bok (Gross)'!J41</f>
        <v>0.45251626719380611</v>
      </c>
      <c r="K55" s="19">
        <f>-K54/'Kvalitet bok (Gross)'!K41</f>
        <v>0.45416486213367979</v>
      </c>
      <c r="L55" s="19">
        <f>-L54/'Kvalitet bok (Gross)'!L41</f>
        <v>0.45422795352273493</v>
      </c>
      <c r="M55" s="19">
        <f>-M54/'Kvalitet bok (Gross)'!M41</f>
        <v>0.45990477383786493</v>
      </c>
      <c r="N55" s="19">
        <f>-N54/'Kvalitet bok (Gross)'!N41</f>
        <v>0.46116504854368934</v>
      </c>
      <c r="O55" s="19">
        <f>-O54/'Kvalitet bok (Gross)'!O41</f>
        <v>0.45550708181437877</v>
      </c>
      <c r="P55" s="19">
        <f>-P54/'Kvalitet bok (Gross)'!P41</f>
        <v>0.46329716242093655</v>
      </c>
      <c r="Q55" s="19">
        <f>-Q54/'Kvalitet bok (Gross)'!Q41</f>
        <v>0.47112933614097308</v>
      </c>
      <c r="R55" s="19">
        <f>-R54/'Kvalitet bok (Gross)'!R41</f>
        <v>0.46866318479831093</v>
      </c>
      <c r="S55" s="19">
        <f>-S54/'Kvalitet bok (Gross)'!S41</f>
        <v>0.46841245587227986</v>
      </c>
      <c r="T55" s="19">
        <f>-T54/'Kvalitet bok (Gross)'!T41</f>
        <v>0.47019568489713998</v>
      </c>
      <c r="U55" s="19"/>
      <c r="V55" s="19"/>
    </row>
    <row r="56" spans="2:22" x14ac:dyDescent="0.25">
      <c r="B56" s="1" t="s">
        <v>131</v>
      </c>
    </row>
    <row r="57" spans="2:22" x14ac:dyDescent="0.25">
      <c r="B57" s="15" t="s">
        <v>139</v>
      </c>
      <c r="C57" s="15"/>
      <c r="D57" s="15"/>
      <c r="E57" s="15"/>
      <c r="F57" s="15"/>
      <c r="G57" s="15"/>
      <c r="H57" s="15"/>
      <c r="I57" s="15"/>
      <c r="J57" s="15">
        <v>-87</v>
      </c>
      <c r="K57" s="15">
        <v>-84</v>
      </c>
      <c r="L57" s="15">
        <v>-97</v>
      </c>
      <c r="M57" s="15">
        <v>-97</v>
      </c>
      <c r="N57" s="15">
        <v>-90</v>
      </c>
      <c r="O57" s="15">
        <v>-95</v>
      </c>
      <c r="P57" s="15">
        <v>-110</v>
      </c>
      <c r="Q57" s="15">
        <v>-123</v>
      </c>
      <c r="R57" s="15">
        <v>-137</v>
      </c>
      <c r="S57" s="15">
        <v>-134</v>
      </c>
      <c r="T57" s="15">
        <v>-140</v>
      </c>
      <c r="U57" s="15"/>
      <c r="V57" s="15"/>
    </row>
    <row r="58" spans="2:22" x14ac:dyDescent="0.25">
      <c r="B58" s="19" t="s">
        <v>155</v>
      </c>
      <c r="C58" s="19"/>
      <c r="D58" s="19"/>
      <c r="E58" s="19"/>
      <c r="F58" s="19"/>
      <c r="G58" s="19"/>
      <c r="H58" s="19"/>
      <c r="I58" s="19"/>
      <c r="J58" s="19">
        <f>-J57/'Kvalitet bok (Gross)'!J43</f>
        <v>5.551655924956927E-3</v>
      </c>
      <c r="K58" s="19">
        <f>-K57/'Kvalitet bok (Gross)'!K43</f>
        <v>5.434782608695652E-3</v>
      </c>
      <c r="L58" s="19">
        <f>-L57/'Kvalitet bok (Gross)'!L43</f>
        <v>6.3303530640214057E-3</v>
      </c>
      <c r="M58" s="19">
        <f>-M57/'Kvalitet bok (Gross)'!M43</f>
        <v>6.3698450223272918E-3</v>
      </c>
      <c r="N58" s="19">
        <f>-N57/'Kvalitet bok (Gross)'!N43</f>
        <v>5.905511811023622E-3</v>
      </c>
      <c r="O58" s="19">
        <f>-O57/'Kvalitet bok (Gross)'!O43</f>
        <v>6.286810932433327E-3</v>
      </c>
      <c r="P58" s="19">
        <f>-P57/'Kvalitet bok (Gross)'!P43</f>
        <v>7.1572646235929472E-3</v>
      </c>
      <c r="Q58" s="19">
        <f>-Q57/'Kvalitet bok (Gross)'!Q43</f>
        <v>7.8314020119699471E-3</v>
      </c>
      <c r="R58" s="19">
        <f>-R57/'Kvalitet bok (Gross)'!R43</f>
        <v>8.5576863014554319E-3</v>
      </c>
      <c r="S58" s="19">
        <f>-S57/'Kvalitet bok (Gross)'!S43</f>
        <v>8.0509492910358083E-3</v>
      </c>
      <c r="T58" s="19">
        <f>-T57/'Kvalitet bok (Gross)'!T43</f>
        <v>8.2285176913130358E-3</v>
      </c>
      <c r="U58" s="15"/>
      <c r="V58" s="15"/>
    </row>
    <row r="59" spans="2:22" x14ac:dyDescent="0.25">
      <c r="B59" s="15" t="s">
        <v>141</v>
      </c>
      <c r="C59" s="15"/>
      <c r="D59" s="15"/>
      <c r="E59" s="15"/>
      <c r="F59" s="15"/>
      <c r="G59" s="15"/>
      <c r="H59" s="15"/>
      <c r="I59" s="15"/>
      <c r="J59" s="15">
        <v>-4</v>
      </c>
      <c r="K59" s="15">
        <v>-5</v>
      </c>
      <c r="L59" s="15">
        <v>-5</v>
      </c>
      <c r="M59" s="15">
        <v>-5</v>
      </c>
      <c r="N59" s="15">
        <v>-5</v>
      </c>
      <c r="O59" s="15">
        <v>-5</v>
      </c>
      <c r="P59" s="15">
        <v>-5</v>
      </c>
      <c r="Q59" s="15">
        <v>-5</v>
      </c>
      <c r="R59" s="15">
        <v>-5</v>
      </c>
      <c r="S59" s="15">
        <v>-5</v>
      </c>
      <c r="T59" s="15">
        <v>-6</v>
      </c>
      <c r="U59" s="15"/>
      <c r="V59" s="15"/>
    </row>
    <row r="60" spans="2:22" x14ac:dyDescent="0.25">
      <c r="B60" s="19" t="s">
        <v>155</v>
      </c>
      <c r="C60" s="19"/>
      <c r="D60" s="19"/>
      <c r="E60" s="19"/>
      <c r="F60" s="19"/>
      <c r="G60" s="19"/>
      <c r="H60" s="19"/>
      <c r="I60" s="19"/>
      <c r="J60" s="19">
        <f>-J59/'Kvalitet bok (Gross)'!J44</f>
        <v>7.0422535211267607E-3</v>
      </c>
      <c r="K60" s="19">
        <f>-K59/'Kvalitet bok (Gross)'!K44</f>
        <v>8.1037277147487843E-3</v>
      </c>
      <c r="L60" s="19">
        <f>-L59/'Kvalitet bok (Gross)'!L44</f>
        <v>7.9491255961844191E-3</v>
      </c>
      <c r="M60" s="19">
        <f>-M59/'Kvalitet bok (Gross)'!M44</f>
        <v>8.2372322899505763E-3</v>
      </c>
      <c r="N60" s="19">
        <f>-N59/'Kvalitet bok (Gross)'!N44</f>
        <v>7.9365079365079361E-3</v>
      </c>
      <c r="O60" s="19">
        <f>-O59/'Kvalitet bok (Gross)'!O44</f>
        <v>8.2236842105263153E-3</v>
      </c>
      <c r="P60" s="19">
        <f>-P59/'Kvalitet bok (Gross)'!P44</f>
        <v>7.9617834394904458E-3</v>
      </c>
      <c r="Q60" s="19">
        <f>-Q59/'Kvalitet bok (Gross)'!Q44</f>
        <v>7.429420505200594E-3</v>
      </c>
      <c r="R60" s="19">
        <f>-R59/'Kvalitet bok (Gross)'!R44</f>
        <v>8.3194675540765387E-3</v>
      </c>
      <c r="S60" s="19">
        <f>-S59/'Kvalitet bok (Gross)'!S44</f>
        <v>7.3964497041420114E-3</v>
      </c>
      <c r="T60" s="19">
        <f>-T59/'Kvalitet bok (Gross)'!T44</f>
        <v>8.0106809078771702E-3</v>
      </c>
      <c r="U60" s="19"/>
      <c r="V60" s="19"/>
    </row>
    <row r="61" spans="2:22" x14ac:dyDescent="0.25">
      <c r="B61" s="15" t="s">
        <v>140</v>
      </c>
      <c r="C61" s="15"/>
      <c r="D61" s="15"/>
      <c r="E61" s="15"/>
      <c r="F61" s="15"/>
      <c r="G61" s="15"/>
      <c r="H61" s="15"/>
      <c r="I61" s="15"/>
      <c r="J61" s="15">
        <v>-28</v>
      </c>
      <c r="K61" s="15">
        <v>-32</v>
      </c>
      <c r="L61" s="15">
        <v>-35</v>
      </c>
      <c r="M61" s="15">
        <v>-42</v>
      </c>
      <c r="N61" s="15">
        <v>-46</v>
      </c>
      <c r="O61" s="15">
        <v>-48</v>
      </c>
      <c r="P61" s="15">
        <v>-53</v>
      </c>
      <c r="Q61" s="15">
        <v>-54</v>
      </c>
      <c r="R61" s="15">
        <v>-59</v>
      </c>
      <c r="S61" s="15">
        <v>-66</v>
      </c>
      <c r="T61" s="15">
        <v>-71</v>
      </c>
      <c r="U61" s="15"/>
      <c r="V61" s="15"/>
    </row>
    <row r="62" spans="2:22" x14ac:dyDescent="0.25">
      <c r="B62" s="19" t="s">
        <v>155</v>
      </c>
      <c r="C62" s="19"/>
      <c r="D62" s="19"/>
      <c r="E62" s="19"/>
      <c r="F62" s="19"/>
      <c r="G62" s="19"/>
      <c r="H62" s="19"/>
      <c r="I62" s="19"/>
      <c r="J62" s="19">
        <f>-J61/'Kvalitet bok (Gross)'!J45</f>
        <v>5.7731958762886601E-2</v>
      </c>
      <c r="K62" s="19">
        <f>-K61/'Kvalitet bok (Gross)'!K45</f>
        <v>4.8558421851289835E-2</v>
      </c>
      <c r="L62" s="19">
        <f>-L61/'Kvalitet bok (Gross)'!L45</f>
        <v>5.2473763118440778E-2</v>
      </c>
      <c r="M62" s="19">
        <f>-M61/'Kvalitet bok (Gross)'!M45</f>
        <v>6.0431654676258995E-2</v>
      </c>
      <c r="N62" s="19">
        <f>-N61/'Kvalitet bok (Gross)'!N45</f>
        <v>7.590759075907591E-2</v>
      </c>
      <c r="O62" s="19">
        <f>-O61/'Kvalitet bok (Gross)'!O45</f>
        <v>7.2180451127819553E-2</v>
      </c>
      <c r="P62" s="19">
        <f>-P61/'Kvalitet bok (Gross)'!P45</f>
        <v>9.2173913043478259E-2</v>
      </c>
      <c r="Q62" s="19">
        <f>-Q61/'Kvalitet bok (Gross)'!Q45</f>
        <v>0.1062992125984252</v>
      </c>
      <c r="R62" s="19">
        <f>-R61/'Kvalitet bok (Gross)'!R45</f>
        <v>0.11259541984732824</v>
      </c>
      <c r="S62" s="19">
        <f>-S61/'Kvalitet bok (Gross)'!S45</f>
        <v>0.11243611584327087</v>
      </c>
      <c r="T62" s="19">
        <f>-T61/'Kvalitet bok (Gross)'!T45</f>
        <v>0.12701252236135957</v>
      </c>
      <c r="U62" s="19"/>
      <c r="V62" s="19"/>
    </row>
    <row r="63" spans="2:22" x14ac:dyDescent="0.25">
      <c r="B63" s="1" t="s">
        <v>158</v>
      </c>
    </row>
    <row r="64" spans="2:22" x14ac:dyDescent="0.25">
      <c r="B64" s="15" t="s">
        <v>139</v>
      </c>
      <c r="C64" s="15"/>
      <c r="D64" s="15"/>
      <c r="E64" s="15"/>
      <c r="F64" s="15"/>
      <c r="G64" s="15"/>
      <c r="H64" s="15"/>
      <c r="I64" s="15"/>
      <c r="J64" s="15">
        <v>-195</v>
      </c>
      <c r="K64" s="15">
        <v>-219</v>
      </c>
      <c r="L64" s="15">
        <v>-228</v>
      </c>
      <c r="M64" s="15">
        <v>-224</v>
      </c>
      <c r="N64" s="15">
        <v>-208</v>
      </c>
      <c r="O64" s="15">
        <v>-203</v>
      </c>
      <c r="P64" s="15">
        <v>-213</v>
      </c>
      <c r="Q64" s="15">
        <v>-220</v>
      </c>
      <c r="R64" s="15">
        <v>-224</v>
      </c>
      <c r="S64" s="15">
        <v>-233</v>
      </c>
      <c r="T64" s="15">
        <v>-234</v>
      </c>
      <c r="U64" s="15"/>
      <c r="V64" s="15"/>
    </row>
    <row r="65" spans="2:22" x14ac:dyDescent="0.25">
      <c r="B65" s="19" t="s">
        <v>155</v>
      </c>
      <c r="C65" s="19"/>
      <c r="D65" s="19"/>
      <c r="E65" s="19"/>
      <c r="F65" s="19"/>
      <c r="G65" s="19"/>
      <c r="H65" s="19"/>
      <c r="I65" s="19"/>
      <c r="J65" s="19">
        <f>-J64/'Kvalitet bok (Gross)'!J47</f>
        <v>1.3666947014297728E-2</v>
      </c>
      <c r="K65" s="19">
        <f>-K64/'Kvalitet bok (Gross)'!K47</f>
        <v>1.4266171584913036E-2</v>
      </c>
      <c r="L65" s="19">
        <f>-L64/'Kvalitet bok (Gross)'!L47</f>
        <v>1.4054987054617187E-2</v>
      </c>
      <c r="M65" s="19">
        <f>-M64/'Kvalitet bok (Gross)'!M47</f>
        <v>1.3329366260041654E-2</v>
      </c>
      <c r="N65" s="19">
        <f>-N64/'Kvalitet bok (Gross)'!N47</f>
        <v>1.2375795799369311E-2</v>
      </c>
      <c r="O65" s="19">
        <f>-O64/'Kvalitet bok (Gross)'!O47</f>
        <v>1.2085491456807764E-2</v>
      </c>
      <c r="P65" s="19">
        <f>-P64/'Kvalitet bok (Gross)'!P47</f>
        <v>1.2283737024221454E-2</v>
      </c>
      <c r="Q65" s="19">
        <f>-Q64/'Kvalitet bok (Gross)'!Q47</f>
        <v>1.223922114047288E-2</v>
      </c>
      <c r="R65" s="19">
        <f>-R64/'Kvalitet bok (Gross)'!R47</f>
        <v>1.2447902195054181E-2</v>
      </c>
      <c r="S65" s="19">
        <f>-S64/'Kvalitet bok (Gross)'!S47</f>
        <v>1.2360742705570292E-2</v>
      </c>
      <c r="T65" s="19">
        <f>-T64/'Kvalitet bok (Gross)'!T47</f>
        <v>1.205315751519522E-2</v>
      </c>
      <c r="U65" s="19"/>
      <c r="V65" s="19"/>
    </row>
    <row r="66" spans="2:22" x14ac:dyDescent="0.25">
      <c r="B66" s="15" t="s">
        <v>141</v>
      </c>
      <c r="C66" s="15"/>
      <c r="D66" s="15"/>
      <c r="E66" s="15"/>
      <c r="F66" s="15"/>
      <c r="G66" s="15"/>
      <c r="H66" s="15"/>
      <c r="I66" s="15"/>
      <c r="J66" s="15">
        <v>-86</v>
      </c>
      <c r="K66" s="15">
        <v>-89</v>
      </c>
      <c r="L66" s="15">
        <v>-109</v>
      </c>
      <c r="M66" s="15">
        <v>-124</v>
      </c>
      <c r="N66" s="15">
        <v>-134</v>
      </c>
      <c r="O66" s="15">
        <v>-134</v>
      </c>
      <c r="P66" s="15">
        <v>-140</v>
      </c>
      <c r="Q66" s="15">
        <v>-139</v>
      </c>
      <c r="R66" s="15">
        <v>-146</v>
      </c>
      <c r="S66" s="15">
        <v>-143</v>
      </c>
      <c r="T66" s="15">
        <v>-158</v>
      </c>
      <c r="U66" s="15"/>
      <c r="V66" s="15"/>
    </row>
    <row r="67" spans="2:22" x14ac:dyDescent="0.25">
      <c r="B67" s="19" t="s">
        <v>155</v>
      </c>
      <c r="C67" s="19"/>
      <c r="D67" s="19"/>
      <c r="E67" s="19"/>
      <c r="F67" s="19"/>
      <c r="G67" s="19"/>
      <c r="H67" s="19"/>
      <c r="I67" s="19"/>
      <c r="J67" s="19">
        <f>-J66/'Kvalitet bok (Gross)'!J48</f>
        <v>0.13650793650793649</v>
      </c>
      <c r="K67" s="19">
        <f>-K66/'Kvalitet bok (Gross)'!K48</f>
        <v>0.13567073170731708</v>
      </c>
      <c r="L67" s="19">
        <f>-L66/'Kvalitet bok (Gross)'!L48</f>
        <v>0.15683453237410072</v>
      </c>
      <c r="M67" s="19">
        <f>-M66/'Kvalitet bok (Gross)'!M48</f>
        <v>0.15384615384615385</v>
      </c>
      <c r="N67" s="19">
        <f>-N66/'Kvalitet bok (Gross)'!N48</f>
        <v>0.15209988649262202</v>
      </c>
      <c r="O67" s="19">
        <f>-O66/'Kvalitet bok (Gross)'!O48</f>
        <v>0.15124153498871332</v>
      </c>
      <c r="P67" s="19">
        <f>-P66/'Kvalitet bok (Gross)'!P48</f>
        <v>0.16317016317016317</v>
      </c>
      <c r="Q67" s="19">
        <f>-Q66/'Kvalitet bok (Gross)'!Q48</f>
        <v>0.15548098434004473</v>
      </c>
      <c r="R67" s="19">
        <f>-R66/'Kvalitet bok (Gross)'!R48</f>
        <v>0.15766738660907129</v>
      </c>
      <c r="S67" s="19">
        <f>-S66/'Kvalitet bok (Gross)'!S48</f>
        <v>0.15376344086021507</v>
      </c>
      <c r="T67" s="19">
        <f>-T66/'Kvalitet bok (Gross)'!T48</f>
        <v>0.17792792792792791</v>
      </c>
      <c r="U67" s="19"/>
      <c r="V67" s="19"/>
    </row>
    <row r="68" spans="2:22" x14ac:dyDescent="0.25">
      <c r="B68" s="15" t="s">
        <v>140</v>
      </c>
      <c r="C68" s="15"/>
      <c r="D68" s="15"/>
      <c r="E68" s="15"/>
      <c r="F68" s="15"/>
      <c r="G68" s="15"/>
      <c r="H68" s="15"/>
      <c r="I68" s="15"/>
      <c r="J68" s="15">
        <v>-459</v>
      </c>
      <c r="K68" s="15">
        <v>-542</v>
      </c>
      <c r="L68" s="15">
        <v>-569</v>
      </c>
      <c r="M68" s="15">
        <v>-629</v>
      </c>
      <c r="N68" s="15">
        <v>-714</v>
      </c>
      <c r="O68" s="15">
        <v>-753</v>
      </c>
      <c r="P68" s="15">
        <v>-795</v>
      </c>
      <c r="Q68" s="15">
        <v>-869</v>
      </c>
      <c r="R68" s="15">
        <v>-886</v>
      </c>
      <c r="S68" s="15">
        <v>-968</v>
      </c>
      <c r="T68" s="15">
        <v>-1048</v>
      </c>
      <c r="U68" s="15"/>
      <c r="V68" s="15"/>
    </row>
    <row r="69" spans="2:22" x14ac:dyDescent="0.25">
      <c r="B69" s="19" t="s">
        <v>155</v>
      </c>
      <c r="C69" s="19"/>
      <c r="D69" s="19"/>
      <c r="E69" s="19"/>
      <c r="F69" s="19"/>
      <c r="G69" s="19"/>
      <c r="H69" s="19"/>
      <c r="I69" s="19"/>
      <c r="J69" s="19">
        <f>-J68/'Kvalitet bok (Gross)'!J49</f>
        <v>0.43058161350844276</v>
      </c>
      <c r="K69" s="19">
        <f>-K68/'Kvalitet bok (Gross)'!K49</f>
        <v>0.43957826439578263</v>
      </c>
      <c r="L69" s="19">
        <f>-L68/'Kvalitet bok (Gross)'!L49</f>
        <v>0.4350152905198777</v>
      </c>
      <c r="M69" s="19">
        <f>-M68/'Kvalitet bok (Gross)'!M49</f>
        <v>0.43863319386331939</v>
      </c>
      <c r="N69" s="19">
        <f>-N68/'Kvalitet bok (Gross)'!N49</f>
        <v>0.44458281444582815</v>
      </c>
      <c r="O69" s="19">
        <f>-O68/'Kvalitet bok (Gross)'!O49</f>
        <v>0.44609004739336494</v>
      </c>
      <c r="P69" s="19">
        <f>-P68/'Kvalitet bok (Gross)'!P49</f>
        <v>0.45324971493728622</v>
      </c>
      <c r="Q69" s="19">
        <f>-Q68/'Kvalitet bok (Gross)'!Q49</f>
        <v>0.46051934287228408</v>
      </c>
      <c r="R69" s="19">
        <f>-R68/'Kvalitet bok (Gross)'!R49</f>
        <v>0.46387434554973822</v>
      </c>
      <c r="S69" s="19">
        <f>-S68/'Kvalitet bok (Gross)'!S49</f>
        <v>0.46718146718146719</v>
      </c>
      <c r="T69" s="19">
        <f>-T68/'Kvalitet bok (Gross)'!T49</f>
        <v>0.47377938517179025</v>
      </c>
      <c r="U69" s="19"/>
      <c r="V69" s="19"/>
    </row>
    <row r="70" spans="2:22" x14ac:dyDescent="0.25">
      <c r="B70" s="1" t="s">
        <v>159</v>
      </c>
    </row>
    <row r="71" spans="2:22" x14ac:dyDescent="0.25">
      <c r="B71" s="15" t="s">
        <v>139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>
        <v>-3</v>
      </c>
      <c r="T71" s="15">
        <v>-3</v>
      </c>
      <c r="U71" s="15"/>
      <c r="V71" s="15"/>
    </row>
    <row r="72" spans="2:22" x14ac:dyDescent="0.25">
      <c r="B72" s="19" t="s">
        <v>155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>
        <f>-S71/'Kvalitet bok (Gross)'!S51</f>
        <v>2.9940119760479044E-3</v>
      </c>
      <c r="T72" s="19">
        <f>-T71/'Kvalitet bok (Gross)'!T51</f>
        <v>3.0060120240480962E-3</v>
      </c>
      <c r="U72" s="19"/>
      <c r="V72" s="19"/>
    </row>
    <row r="73" spans="2:22" x14ac:dyDescent="0.25">
      <c r="B73" s="15" t="s">
        <v>141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>
        <v>0</v>
      </c>
      <c r="T73" s="15">
        <v>0</v>
      </c>
      <c r="U73" s="15"/>
      <c r="V73" s="15"/>
    </row>
    <row r="74" spans="2:22" x14ac:dyDescent="0.25">
      <c r="B74" s="19" t="s">
        <v>155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>
        <f>-S73/'Kvalitet bok (Gross)'!S52</f>
        <v>0</v>
      </c>
      <c r="T74" s="19">
        <f>-T73/'Kvalitet bok (Gross)'!T52</f>
        <v>0</v>
      </c>
      <c r="U74" s="19"/>
      <c r="V74" s="19"/>
    </row>
    <row r="75" spans="2:22" x14ac:dyDescent="0.25">
      <c r="B75" s="15" t="s">
        <v>140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>
        <v>-64</v>
      </c>
      <c r="T75" s="15">
        <v>-62</v>
      </c>
      <c r="U75" s="15"/>
      <c r="V75" s="15"/>
    </row>
    <row r="76" spans="2:22" x14ac:dyDescent="0.25">
      <c r="B76" s="19" t="s">
        <v>155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>
        <f>-S75/'Kvalitet bok (Gross)'!S53</f>
        <v>0.35555555555555557</v>
      </c>
      <c r="T76" s="19">
        <f>-T75/'Kvalitet bok (Gross)'!T53</f>
        <v>0.32124352331606215</v>
      </c>
      <c r="U76" s="19"/>
      <c r="V76" s="19"/>
    </row>
    <row r="78" spans="2:22" x14ac:dyDescent="0.25">
      <c r="B78" s="2" t="s">
        <v>146</v>
      </c>
      <c r="C78" s="15">
        <f>C50+C57+C64+C71</f>
        <v>0</v>
      </c>
      <c r="D78" s="15">
        <f t="shared" ref="D78:V78" si="4">D50+D57+D64+D71</f>
        <v>0</v>
      </c>
      <c r="E78" s="15">
        <f t="shared" si="4"/>
        <v>0</v>
      </c>
      <c r="F78" s="15">
        <f t="shared" si="4"/>
        <v>0</v>
      </c>
      <c r="G78" s="15">
        <f t="shared" si="4"/>
        <v>0</v>
      </c>
      <c r="H78" s="15">
        <f t="shared" si="4"/>
        <v>0</v>
      </c>
      <c r="I78" s="15">
        <f t="shared" si="4"/>
        <v>0</v>
      </c>
      <c r="J78" s="15">
        <f t="shared" si="4"/>
        <v>-1713</v>
      </c>
      <c r="K78" s="15">
        <f t="shared" si="4"/>
        <v>-1771</v>
      </c>
      <c r="L78" s="15">
        <f t="shared" si="4"/>
        <v>-1820</v>
      </c>
      <c r="M78" s="15">
        <f t="shared" si="4"/>
        <v>-1803</v>
      </c>
      <c r="N78" s="15">
        <f t="shared" si="4"/>
        <v>-1824</v>
      </c>
      <c r="O78" s="15">
        <f t="shared" si="4"/>
        <v>-1767</v>
      </c>
      <c r="P78" s="15">
        <f t="shared" si="4"/>
        <v>-1872</v>
      </c>
      <c r="Q78" s="15">
        <f t="shared" si="4"/>
        <v>-1853</v>
      </c>
      <c r="R78" s="15">
        <f t="shared" si="4"/>
        <v>-1786</v>
      </c>
      <c r="S78" s="15">
        <f t="shared" si="4"/>
        <v>-1797</v>
      </c>
      <c r="T78" s="15">
        <f t="shared" si="4"/>
        <v>-1864</v>
      </c>
      <c r="U78" s="2">
        <f t="shared" si="4"/>
        <v>0</v>
      </c>
      <c r="V78" s="2">
        <f t="shared" si="4"/>
        <v>0</v>
      </c>
    </row>
    <row r="79" spans="2:22" x14ac:dyDescent="0.25">
      <c r="B79" s="2" t="s">
        <v>147</v>
      </c>
      <c r="C79" s="15">
        <f>C52+C59+C66+C73</f>
        <v>0</v>
      </c>
      <c r="D79" s="15">
        <f t="shared" ref="D79:V79" si="5">D52+D59+D66+D73</f>
        <v>0</v>
      </c>
      <c r="E79" s="15">
        <f t="shared" si="5"/>
        <v>0</v>
      </c>
      <c r="F79" s="15">
        <f t="shared" si="5"/>
        <v>0</v>
      </c>
      <c r="G79" s="15">
        <f t="shared" si="5"/>
        <v>0</v>
      </c>
      <c r="H79" s="15">
        <f t="shared" si="5"/>
        <v>0</v>
      </c>
      <c r="I79" s="15">
        <f t="shared" si="5"/>
        <v>0</v>
      </c>
      <c r="J79" s="15">
        <f t="shared" si="5"/>
        <v>-995</v>
      </c>
      <c r="K79" s="15">
        <f t="shared" si="5"/>
        <v>-1054</v>
      </c>
      <c r="L79" s="15">
        <f t="shared" si="5"/>
        <v>-1035</v>
      </c>
      <c r="M79" s="15">
        <f t="shared" si="5"/>
        <v>-1071</v>
      </c>
      <c r="N79" s="15">
        <f t="shared" si="5"/>
        <v>-1168</v>
      </c>
      <c r="O79" s="15">
        <f t="shared" si="5"/>
        <v>-1145</v>
      </c>
      <c r="P79" s="15">
        <f t="shared" si="5"/>
        <v>-1099</v>
      </c>
      <c r="Q79" s="15">
        <f t="shared" si="5"/>
        <v>-1086</v>
      </c>
      <c r="R79" s="15">
        <f t="shared" si="5"/>
        <v>-1080</v>
      </c>
      <c r="S79" s="15">
        <f t="shared" si="5"/>
        <v>-1106</v>
      </c>
      <c r="T79" s="15">
        <f t="shared" si="5"/>
        <v>-1079</v>
      </c>
      <c r="U79" s="2">
        <f t="shared" si="5"/>
        <v>0</v>
      </c>
      <c r="V79" s="2">
        <f t="shared" si="5"/>
        <v>0</v>
      </c>
    </row>
    <row r="80" spans="2:22" x14ac:dyDescent="0.25">
      <c r="B80" s="2" t="s">
        <v>148</v>
      </c>
      <c r="C80" s="15">
        <f>C54+C61+C68+C75</f>
        <v>0</v>
      </c>
      <c r="D80" s="15">
        <f t="shared" ref="D80:V80" si="6">D54+D61+D68+D75</f>
        <v>0</v>
      </c>
      <c r="E80" s="15">
        <f t="shared" si="6"/>
        <v>0</v>
      </c>
      <c r="F80" s="15">
        <f t="shared" si="6"/>
        <v>0</v>
      </c>
      <c r="G80" s="15">
        <f t="shared" si="6"/>
        <v>0</v>
      </c>
      <c r="H80" s="15">
        <f t="shared" si="6"/>
        <v>0</v>
      </c>
      <c r="I80" s="15">
        <f t="shared" si="6"/>
        <v>0</v>
      </c>
      <c r="J80" s="15">
        <f t="shared" si="6"/>
        <v>-5981</v>
      </c>
      <c r="K80" s="15">
        <f t="shared" si="6"/>
        <v>-6866</v>
      </c>
      <c r="L80" s="15">
        <f t="shared" si="6"/>
        <v>-7367</v>
      </c>
      <c r="M80" s="15">
        <f t="shared" si="6"/>
        <v>-8012</v>
      </c>
      <c r="N80" s="15">
        <f t="shared" si="6"/>
        <v>-8645</v>
      </c>
      <c r="O80" s="15">
        <f t="shared" si="6"/>
        <v>-8423</v>
      </c>
      <c r="P80" s="15">
        <f t="shared" si="6"/>
        <v>-8832</v>
      </c>
      <c r="Q80" s="15">
        <f t="shared" si="6"/>
        <v>-9425</v>
      </c>
      <c r="R80" s="15">
        <f t="shared" si="6"/>
        <v>-9380</v>
      </c>
      <c r="S80" s="15">
        <f t="shared" si="6"/>
        <v>-9988</v>
      </c>
      <c r="T80" s="15">
        <f t="shared" si="6"/>
        <v>-10552</v>
      </c>
      <c r="U80" s="2">
        <f t="shared" si="6"/>
        <v>0</v>
      </c>
      <c r="V80" s="2">
        <f t="shared" si="6"/>
        <v>0</v>
      </c>
    </row>
    <row r="81" spans="2:22" x14ac:dyDescent="0.25">
      <c r="B81" s="1" t="s">
        <v>152</v>
      </c>
      <c r="C81" s="16">
        <f>SUM(C78:C80)</f>
        <v>0</v>
      </c>
      <c r="D81" s="16">
        <f t="shared" ref="D81:V81" si="7">SUM(D78:D80)</f>
        <v>0</v>
      </c>
      <c r="E81" s="16">
        <f t="shared" si="7"/>
        <v>0</v>
      </c>
      <c r="F81" s="16">
        <f t="shared" si="7"/>
        <v>0</v>
      </c>
      <c r="G81" s="16">
        <f t="shared" si="7"/>
        <v>0</v>
      </c>
      <c r="H81" s="16">
        <f t="shared" si="7"/>
        <v>0</v>
      </c>
      <c r="I81" s="16">
        <f t="shared" si="7"/>
        <v>0</v>
      </c>
      <c r="J81" s="16">
        <f t="shared" si="7"/>
        <v>-8689</v>
      </c>
      <c r="K81" s="16">
        <f t="shared" si="7"/>
        <v>-9691</v>
      </c>
      <c r="L81" s="16">
        <f t="shared" si="7"/>
        <v>-10222</v>
      </c>
      <c r="M81" s="16">
        <f t="shared" si="7"/>
        <v>-10886</v>
      </c>
      <c r="N81" s="16">
        <f t="shared" si="7"/>
        <v>-11637</v>
      </c>
      <c r="O81" s="16">
        <f t="shared" si="7"/>
        <v>-11335</v>
      </c>
      <c r="P81" s="16">
        <f t="shared" si="7"/>
        <v>-11803</v>
      </c>
      <c r="Q81" s="16">
        <f t="shared" si="7"/>
        <v>-12364</v>
      </c>
      <c r="R81" s="16">
        <f t="shared" si="7"/>
        <v>-12246</v>
      </c>
      <c r="S81" s="16">
        <f t="shared" si="7"/>
        <v>-12891</v>
      </c>
      <c r="T81" s="16">
        <f>SUM(T78:T80)</f>
        <v>-13495</v>
      </c>
      <c r="U81" s="1">
        <f t="shared" si="7"/>
        <v>0</v>
      </c>
      <c r="V81" s="1">
        <f t="shared" si="7"/>
        <v>0</v>
      </c>
    </row>
    <row r="82" spans="2:22" s="1" customFormat="1" ht="20" thickBot="1" x14ac:dyDescent="0.3">
      <c r="B82" s="78" t="s">
        <v>156</v>
      </c>
      <c r="C82" s="78" t="e">
        <f>-C81/'Kvalitet bok (Gross)'!C58</f>
        <v>#DIV/0!</v>
      </c>
      <c r="D82" s="78" t="e">
        <f>-D81/'Kvalitet bok (Gross)'!D58</f>
        <v>#DIV/0!</v>
      </c>
      <c r="E82" s="78" t="e">
        <f>-E81/'Kvalitet bok (Gross)'!E58</f>
        <v>#DIV/0!</v>
      </c>
      <c r="F82" s="78" t="e">
        <f>-F81/'Kvalitet bok (Gross)'!F58</f>
        <v>#DIV/0!</v>
      </c>
      <c r="G82" s="78" t="e">
        <f>-G81/'Kvalitet bok (Gross)'!G58</f>
        <v>#DIV/0!</v>
      </c>
      <c r="H82" s="78" t="e">
        <f>-H81/'Kvalitet bok (Gross)'!H58</f>
        <v>#DIV/0!</v>
      </c>
      <c r="I82" s="78" t="e">
        <f>-I81/'Kvalitet bok (Gross)'!I58</f>
        <v>#DIV/0!</v>
      </c>
      <c r="J82" s="78">
        <f>-J81/'Kvalitet bok (Gross)'!J58</f>
        <v>7.3678051758640575E-2</v>
      </c>
      <c r="K82" s="78">
        <f>-K81/'Kvalitet bok (Gross)'!K58</f>
        <v>7.8729730608000523E-2</v>
      </c>
      <c r="L82" s="78">
        <f>-L81/'Kvalitet bok (Gross)'!L58</f>
        <v>8.1089013874455607E-2</v>
      </c>
      <c r="M82" s="78">
        <f>-M81/'Kvalitet bok (Gross)'!M58</f>
        <v>8.3302086760891028E-2</v>
      </c>
      <c r="N82" s="78">
        <f>-N81/'Kvalitet bok (Gross)'!N58</f>
        <v>8.6544253809598182E-2</v>
      </c>
      <c r="O82" s="78">
        <f>-O81/'Kvalitet bok (Gross)'!O58</f>
        <v>8.4943907794455972E-2</v>
      </c>
      <c r="P82" s="78">
        <f>-P81/'Kvalitet bok (Gross)'!P58</f>
        <v>8.5890597370087099E-2</v>
      </c>
      <c r="Q82" s="78">
        <f>-Q81/'Kvalitet bok (Gross)'!Q58</f>
        <v>8.7246759295195223E-2</v>
      </c>
      <c r="R82" s="78">
        <f>-R81/'Kvalitet bok (Gross)'!R58</f>
        <v>8.6049158902145956E-2</v>
      </c>
      <c r="S82" s="78">
        <f>-S81/'Kvalitet bok (Gross)'!S58</f>
        <v>8.614905504023096E-2</v>
      </c>
      <c r="T82" s="78">
        <f>-T81/'Kvalitet bok (Gross)'!T58</f>
        <v>8.7489545987928449E-2</v>
      </c>
      <c r="U82" s="78" t="e">
        <f>-U81/'Kvalitet bok (Gross)'!U58</f>
        <v>#DIV/0!</v>
      </c>
      <c r="V82" s="78" t="e">
        <f>-V81/'Kvalitet bok (Gross)'!V58</f>
        <v>#DIV/0!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4FBF3-2E91-1F49-970E-14FE8E3410CF}">
  <dimension ref="B3:V19"/>
  <sheetViews>
    <sheetView showGridLines="0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O15" sqref="O15"/>
    </sheetView>
  </sheetViews>
  <sheetFormatPr baseColWidth="10" defaultRowHeight="19" x14ac:dyDescent="0.25"/>
  <cols>
    <col min="1" max="1" width="10.83203125" style="2"/>
    <col min="2" max="2" width="22.5" style="2" customWidth="1"/>
    <col min="3" max="16384" width="10.83203125" style="2"/>
  </cols>
  <sheetData>
    <row r="3" spans="2:22" x14ac:dyDescent="0.25">
      <c r="B3" s="2" t="s">
        <v>38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31</v>
      </c>
      <c r="P3" s="4" t="s">
        <v>28</v>
      </c>
      <c r="Q3" s="4" t="s">
        <v>29</v>
      </c>
      <c r="R3" s="4" t="s">
        <v>30</v>
      </c>
      <c r="S3" s="4" t="s">
        <v>116</v>
      </c>
      <c r="T3" s="4" t="s">
        <v>117</v>
      </c>
      <c r="U3" s="4" t="s">
        <v>118</v>
      </c>
      <c r="V3" s="4" t="s">
        <v>119</v>
      </c>
    </row>
    <row r="4" spans="2:22" x14ac:dyDescent="0.25"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2:22" x14ac:dyDescent="0.25">
      <c r="B5" s="2" t="s">
        <v>160</v>
      </c>
      <c r="G5" s="2">
        <v>-178</v>
      </c>
      <c r="H5" s="2">
        <v>-196</v>
      </c>
      <c r="I5" s="2">
        <v>-286</v>
      </c>
      <c r="J5" s="2">
        <v>-94</v>
      </c>
      <c r="K5" s="2">
        <v>-28</v>
      </c>
      <c r="L5" s="2">
        <v>-66</v>
      </c>
      <c r="M5" s="2">
        <v>10</v>
      </c>
      <c r="N5" s="2">
        <v>-16</v>
      </c>
      <c r="O5" s="2">
        <v>8</v>
      </c>
      <c r="P5" s="2">
        <v>-79</v>
      </c>
      <c r="Q5" s="2">
        <v>11</v>
      </c>
      <c r="R5" s="2">
        <v>40</v>
      </c>
      <c r="S5" s="2">
        <v>18</v>
      </c>
      <c r="T5" s="2">
        <v>-71</v>
      </c>
    </row>
    <row r="6" spans="2:22" x14ac:dyDescent="0.25">
      <c r="B6" s="2" t="s">
        <v>161</v>
      </c>
      <c r="G6" s="2">
        <v>-30</v>
      </c>
      <c r="H6" s="2">
        <v>-49</v>
      </c>
      <c r="I6" s="2">
        <v>-53</v>
      </c>
      <c r="J6" s="2">
        <v>-125</v>
      </c>
      <c r="K6" s="2">
        <v>-41</v>
      </c>
      <c r="L6" s="2">
        <v>12</v>
      </c>
      <c r="M6" s="2">
        <v>-43</v>
      </c>
      <c r="N6" s="2">
        <v>-92</v>
      </c>
      <c r="O6" s="2">
        <v>-6</v>
      </c>
      <c r="P6" s="2">
        <v>56</v>
      </c>
      <c r="Q6" s="2">
        <v>11</v>
      </c>
      <c r="R6" s="2">
        <v>-14</v>
      </c>
      <c r="S6" s="2">
        <v>-14</v>
      </c>
      <c r="T6" s="2">
        <v>33</v>
      </c>
    </row>
    <row r="7" spans="2:22" x14ac:dyDescent="0.25">
      <c r="B7" s="2" t="s">
        <v>162</v>
      </c>
      <c r="G7" s="2">
        <v>-561</v>
      </c>
      <c r="H7" s="2">
        <v>-522</v>
      </c>
      <c r="I7" s="2">
        <v>-674</v>
      </c>
      <c r="J7" s="2">
        <v>-805</v>
      </c>
      <c r="K7" s="2">
        <v>-952</v>
      </c>
      <c r="L7" s="2">
        <v>-819</v>
      </c>
      <c r="M7" s="2">
        <v>-887</v>
      </c>
      <c r="N7" s="2">
        <v>-983</v>
      </c>
      <c r="O7" s="2">
        <v>-968</v>
      </c>
      <c r="P7" s="2">
        <v>-801</v>
      </c>
      <c r="Q7" s="2">
        <v>-870</v>
      </c>
      <c r="R7" s="2">
        <v>-834</v>
      </c>
      <c r="S7" s="2">
        <v>-837</v>
      </c>
      <c r="T7" s="2">
        <v>-796</v>
      </c>
    </row>
    <row r="8" spans="2:22" s="16" customFormat="1" x14ac:dyDescent="0.25">
      <c r="B8" s="16" t="s">
        <v>163</v>
      </c>
      <c r="C8" s="16">
        <f t="shared" ref="C8:S8" si="0">SUM(C5:C7)</f>
        <v>0</v>
      </c>
      <c r="D8" s="16">
        <f t="shared" si="0"/>
        <v>0</v>
      </c>
      <c r="E8" s="16">
        <f t="shared" si="0"/>
        <v>0</v>
      </c>
      <c r="F8" s="16">
        <f t="shared" si="0"/>
        <v>0</v>
      </c>
      <c r="G8" s="16">
        <f t="shared" si="0"/>
        <v>-769</v>
      </c>
      <c r="H8" s="16">
        <f t="shared" si="0"/>
        <v>-767</v>
      </c>
      <c r="I8" s="16">
        <f t="shared" si="0"/>
        <v>-1013</v>
      </c>
      <c r="J8" s="16">
        <f t="shared" si="0"/>
        <v>-1024</v>
      </c>
      <c r="K8" s="16">
        <f t="shared" si="0"/>
        <v>-1021</v>
      </c>
      <c r="L8" s="16">
        <f t="shared" si="0"/>
        <v>-873</v>
      </c>
      <c r="M8" s="16">
        <f t="shared" si="0"/>
        <v>-920</v>
      </c>
      <c r="N8" s="16">
        <f t="shared" si="0"/>
        <v>-1091</v>
      </c>
      <c r="O8" s="16">
        <f t="shared" si="0"/>
        <v>-966</v>
      </c>
      <c r="P8" s="16">
        <f t="shared" si="0"/>
        <v>-824</v>
      </c>
      <c r="Q8" s="16">
        <f t="shared" si="0"/>
        <v>-848</v>
      </c>
      <c r="R8" s="16">
        <f t="shared" si="0"/>
        <v>-808</v>
      </c>
      <c r="S8" s="16">
        <f t="shared" si="0"/>
        <v>-833</v>
      </c>
      <c r="T8" s="16">
        <f>SUM(T5:T7)</f>
        <v>-834</v>
      </c>
    </row>
    <row r="10" spans="2:22" x14ac:dyDescent="0.25">
      <c r="B10" s="2" t="s">
        <v>160</v>
      </c>
      <c r="G10" s="2">
        <v>-9</v>
      </c>
      <c r="H10" s="2">
        <v>-12</v>
      </c>
      <c r="I10" s="2">
        <v>-29</v>
      </c>
      <c r="J10" s="2">
        <v>5</v>
      </c>
      <c r="K10" s="2">
        <v>-5</v>
      </c>
      <c r="L10" s="2">
        <v>2</v>
      </c>
      <c r="M10" s="2">
        <v>-3</v>
      </c>
      <c r="N10" s="2">
        <v>8</v>
      </c>
      <c r="O10" s="2">
        <v>0</v>
      </c>
      <c r="P10" s="2">
        <v>-6</v>
      </c>
      <c r="Q10" s="2">
        <v>1</v>
      </c>
      <c r="R10" s="2">
        <v>1</v>
      </c>
      <c r="S10" s="2">
        <v>-5</v>
      </c>
      <c r="T10" s="2">
        <v>14</v>
      </c>
    </row>
    <row r="11" spans="2:22" x14ac:dyDescent="0.25">
      <c r="B11" s="2" t="s">
        <v>161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-1</v>
      </c>
      <c r="R11" s="2">
        <v>0</v>
      </c>
      <c r="S11" s="2">
        <v>0</v>
      </c>
      <c r="T11" s="2">
        <v>-1</v>
      </c>
    </row>
    <row r="12" spans="2:22" x14ac:dyDescent="0.25">
      <c r="B12" s="2" t="s">
        <v>162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</row>
    <row r="13" spans="2:22" s="1" customFormat="1" x14ac:dyDescent="0.25">
      <c r="B13" s="1" t="s">
        <v>164</v>
      </c>
      <c r="C13" s="1">
        <f t="shared" ref="C13:S13" si="1">SUM(C10:C12)</f>
        <v>0</v>
      </c>
      <c r="D13" s="1">
        <f t="shared" si="1"/>
        <v>0</v>
      </c>
      <c r="E13" s="1">
        <f t="shared" si="1"/>
        <v>0</v>
      </c>
      <c r="F13" s="1">
        <f t="shared" si="1"/>
        <v>0</v>
      </c>
      <c r="G13" s="1">
        <f t="shared" si="1"/>
        <v>-9</v>
      </c>
      <c r="H13" s="1">
        <f t="shared" si="1"/>
        <v>-12</v>
      </c>
      <c r="I13" s="1">
        <f t="shared" si="1"/>
        <v>-29</v>
      </c>
      <c r="J13" s="1">
        <f t="shared" si="1"/>
        <v>5</v>
      </c>
      <c r="K13" s="1">
        <f t="shared" si="1"/>
        <v>-5</v>
      </c>
      <c r="L13" s="1">
        <f t="shared" si="1"/>
        <v>2</v>
      </c>
      <c r="M13" s="1">
        <f t="shared" si="1"/>
        <v>-3</v>
      </c>
      <c r="N13" s="1">
        <f t="shared" si="1"/>
        <v>8</v>
      </c>
      <c r="O13" s="1">
        <f t="shared" si="1"/>
        <v>0</v>
      </c>
      <c r="P13" s="1">
        <f t="shared" si="1"/>
        <v>-6</v>
      </c>
      <c r="Q13" s="1">
        <f t="shared" si="1"/>
        <v>0</v>
      </c>
      <c r="R13" s="1">
        <f t="shared" si="1"/>
        <v>1</v>
      </c>
      <c r="S13" s="1">
        <f t="shared" si="1"/>
        <v>-5</v>
      </c>
      <c r="T13" s="1">
        <f>SUM(T10:T12)</f>
        <v>13</v>
      </c>
    </row>
    <row r="15" spans="2:22" x14ac:dyDescent="0.25">
      <c r="B15" s="2" t="s">
        <v>165</v>
      </c>
      <c r="G15" s="2">
        <v>-45</v>
      </c>
      <c r="H15" s="2">
        <v>-63</v>
      </c>
      <c r="I15" s="2">
        <v>-67</v>
      </c>
      <c r="J15" s="2">
        <v>-124</v>
      </c>
      <c r="K15" s="2">
        <v>-70</v>
      </c>
      <c r="L15" s="2">
        <v>-73</v>
      </c>
      <c r="M15" s="2">
        <v>-73</v>
      </c>
      <c r="N15" s="2">
        <v>-72</v>
      </c>
      <c r="O15" s="2">
        <v>-73</v>
      </c>
      <c r="P15" s="2">
        <v>-96</v>
      </c>
      <c r="Q15" s="2">
        <v>-85</v>
      </c>
      <c r="R15" s="2">
        <v>-144</v>
      </c>
      <c r="S15" s="2">
        <v>-92</v>
      </c>
      <c r="T15" s="2">
        <v>-87</v>
      </c>
    </row>
    <row r="16" spans="2:22" x14ac:dyDescent="0.25">
      <c r="B16" s="2" t="s">
        <v>166</v>
      </c>
      <c r="G16" s="2">
        <v>0</v>
      </c>
      <c r="H16" s="2">
        <v>3</v>
      </c>
      <c r="I16" s="2">
        <v>4</v>
      </c>
      <c r="J16" s="2">
        <v>4</v>
      </c>
      <c r="K16" s="2">
        <v>5</v>
      </c>
      <c r="L16" s="2">
        <v>12</v>
      </c>
      <c r="M16" s="2">
        <v>11</v>
      </c>
      <c r="N16" s="2">
        <v>14</v>
      </c>
      <c r="O16" s="2">
        <v>16</v>
      </c>
      <c r="P16" s="2">
        <v>17</v>
      </c>
      <c r="Q16" s="2">
        <v>15</v>
      </c>
      <c r="R16" s="2">
        <v>20</v>
      </c>
      <c r="S16" s="2">
        <v>17</v>
      </c>
      <c r="T16" s="2">
        <v>25</v>
      </c>
    </row>
    <row r="17" spans="2:20" s="1" customFormat="1" x14ac:dyDescent="0.25">
      <c r="B17" s="1" t="s">
        <v>152</v>
      </c>
      <c r="C17" s="1">
        <f t="shared" ref="C17:S17" si="2">SUM(C15:C16)</f>
        <v>0</v>
      </c>
      <c r="D17" s="1">
        <f t="shared" si="2"/>
        <v>0</v>
      </c>
      <c r="E17" s="1">
        <f t="shared" si="2"/>
        <v>0</v>
      </c>
      <c r="F17" s="1">
        <f t="shared" si="2"/>
        <v>0</v>
      </c>
      <c r="G17" s="1">
        <f t="shared" si="2"/>
        <v>-45</v>
      </c>
      <c r="H17" s="1">
        <f t="shared" si="2"/>
        <v>-60</v>
      </c>
      <c r="I17" s="1">
        <f t="shared" si="2"/>
        <v>-63</v>
      </c>
      <c r="J17" s="1">
        <f t="shared" si="2"/>
        <v>-120</v>
      </c>
      <c r="K17" s="1">
        <f t="shared" si="2"/>
        <v>-65</v>
      </c>
      <c r="L17" s="1">
        <f t="shared" si="2"/>
        <v>-61</v>
      </c>
      <c r="M17" s="1">
        <f t="shared" si="2"/>
        <v>-62</v>
      </c>
      <c r="N17" s="1">
        <f t="shared" si="2"/>
        <v>-58</v>
      </c>
      <c r="O17" s="1">
        <f t="shared" si="2"/>
        <v>-57</v>
      </c>
      <c r="P17" s="1">
        <f t="shared" si="2"/>
        <v>-79</v>
      </c>
      <c r="Q17" s="1">
        <f t="shared" si="2"/>
        <v>-70</v>
      </c>
      <c r="R17" s="1">
        <f t="shared" si="2"/>
        <v>-124</v>
      </c>
      <c r="S17" s="1">
        <f t="shared" si="2"/>
        <v>-75</v>
      </c>
      <c r="T17" s="1">
        <f>SUM(T15:T16)</f>
        <v>-62</v>
      </c>
    </row>
    <row r="19" spans="2:20" s="16" customFormat="1" x14ac:dyDescent="0.25">
      <c r="B19" s="16" t="s">
        <v>167</v>
      </c>
      <c r="C19" s="16">
        <f t="shared" ref="C19:S19" si="3">C8+C13+C17</f>
        <v>0</v>
      </c>
      <c r="D19" s="16">
        <f t="shared" si="3"/>
        <v>0</v>
      </c>
      <c r="E19" s="16">
        <f t="shared" si="3"/>
        <v>0</v>
      </c>
      <c r="F19" s="16">
        <f t="shared" si="3"/>
        <v>0</v>
      </c>
      <c r="G19" s="16">
        <f t="shared" si="3"/>
        <v>-823</v>
      </c>
      <c r="H19" s="16">
        <f t="shared" si="3"/>
        <v>-839</v>
      </c>
      <c r="I19" s="16">
        <f t="shared" si="3"/>
        <v>-1105</v>
      </c>
      <c r="J19" s="16">
        <f t="shared" si="3"/>
        <v>-1139</v>
      </c>
      <c r="K19" s="16">
        <f t="shared" si="3"/>
        <v>-1091</v>
      </c>
      <c r="L19" s="16">
        <f t="shared" si="3"/>
        <v>-932</v>
      </c>
      <c r="M19" s="16">
        <f t="shared" si="3"/>
        <v>-985</v>
      </c>
      <c r="N19" s="16">
        <f t="shared" si="3"/>
        <v>-1141</v>
      </c>
      <c r="O19" s="16">
        <f t="shared" si="3"/>
        <v>-1023</v>
      </c>
      <c r="P19" s="16">
        <f t="shared" si="3"/>
        <v>-909</v>
      </c>
      <c r="Q19" s="16">
        <f t="shared" si="3"/>
        <v>-918</v>
      </c>
      <c r="R19" s="16">
        <f t="shared" si="3"/>
        <v>-931</v>
      </c>
      <c r="S19" s="16">
        <f t="shared" si="3"/>
        <v>-913</v>
      </c>
      <c r="T19" s="16">
        <f>T8+T13+T17</f>
        <v>-883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45BF-A756-E84D-AD46-CF66A6613A3B}">
  <dimension ref="A2:A25"/>
  <sheetViews>
    <sheetView showGridLines="0" workbookViewId="0">
      <selection activeCell="L48" sqref="L48:L49"/>
    </sheetView>
  </sheetViews>
  <sheetFormatPr baseColWidth="10" defaultRowHeight="16" x14ac:dyDescent="0.2"/>
  <sheetData>
    <row r="2" spans="1:1" x14ac:dyDescent="0.2">
      <c r="A2" s="52" t="s">
        <v>117</v>
      </c>
    </row>
    <row r="3" spans="1:1" x14ac:dyDescent="0.2">
      <c r="A3" s="52" t="s">
        <v>172</v>
      </c>
    </row>
    <row r="25" spans="1:1" x14ac:dyDescent="0.2">
      <c r="A25" t="s">
        <v>173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5"/>
  <sheetViews>
    <sheetView showGridLines="0" workbookViewId="0">
      <selection activeCell="E14" sqref="E14"/>
    </sheetView>
  </sheetViews>
  <sheetFormatPr baseColWidth="10" defaultRowHeight="16" x14ac:dyDescent="0.2"/>
  <cols>
    <col min="3" max="3" width="29.5" bestFit="1" customWidth="1"/>
    <col min="4" max="6" width="28.33203125" bestFit="1" customWidth="1"/>
    <col min="7" max="7" width="18.6640625" bestFit="1" customWidth="1"/>
  </cols>
  <sheetData>
    <row r="4" spans="3:6" ht="62" x14ac:dyDescent="0.7">
      <c r="C4" s="7"/>
      <c r="D4" s="7">
        <v>2026</v>
      </c>
      <c r="E4" s="7">
        <v>2027</v>
      </c>
      <c r="F4" s="7">
        <v>2028</v>
      </c>
    </row>
    <row r="5" spans="3:6" ht="62" x14ac:dyDescent="0.7">
      <c r="C5" s="7" t="s">
        <v>27</v>
      </c>
      <c r="D5" s="33">
        <f>Modell!$B$4/Modell!AD22</f>
        <v>10.295002087730653</v>
      </c>
      <c r="E5" s="33">
        <f>Modell!$B$4/Modell!AE22</f>
        <v>8.4794854821743009</v>
      </c>
      <c r="F5" s="33">
        <f>Modell!$B$4/Modell!AF22</f>
        <v>7.4713293470119249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88D3-8920-4B4C-A6FE-8E4196A56417}">
  <dimension ref="A1:E39"/>
  <sheetViews>
    <sheetView showGridLines="0" workbookViewId="0">
      <selection activeCell="B2" sqref="B2"/>
    </sheetView>
  </sheetViews>
  <sheetFormatPr baseColWidth="10" defaultRowHeight="19" x14ac:dyDescent="0.25"/>
  <cols>
    <col min="1" max="1" width="10.83203125" style="2"/>
    <col min="2" max="2" width="35" style="2" customWidth="1"/>
    <col min="3" max="5" width="15.83203125" style="2" customWidth="1"/>
    <col min="6" max="16384" width="10.83203125" style="2"/>
  </cols>
  <sheetData>
    <row r="1" spans="1:5" x14ac:dyDescent="0.25">
      <c r="A1" s="1"/>
    </row>
    <row r="2" spans="1:5" x14ac:dyDescent="0.25">
      <c r="A2" s="6"/>
    </row>
    <row r="3" spans="1:5" x14ac:dyDescent="0.25">
      <c r="A3" s="1"/>
    </row>
    <row r="4" spans="1:5" x14ac:dyDescent="0.25">
      <c r="B4" s="1"/>
      <c r="C4" s="77"/>
      <c r="D4" s="77"/>
      <c r="E4" s="77"/>
    </row>
    <row r="5" spans="1:5" x14ac:dyDescent="0.25">
      <c r="C5" s="71"/>
      <c r="D5" s="71"/>
      <c r="E5" s="71"/>
    </row>
    <row r="6" spans="1:5" x14ac:dyDescent="0.25">
      <c r="C6" s="71"/>
      <c r="D6" s="71"/>
      <c r="E6" s="71"/>
    </row>
    <row r="7" spans="1:5" x14ac:dyDescent="0.25">
      <c r="C7" s="72"/>
      <c r="D7" s="72"/>
      <c r="E7" s="72"/>
    </row>
    <row r="8" spans="1:5" x14ac:dyDescent="0.25">
      <c r="C8" s="71"/>
      <c r="D8" s="71"/>
      <c r="E8" s="71"/>
    </row>
    <row r="10" spans="1:5" x14ac:dyDescent="0.25">
      <c r="B10" s="1"/>
    </row>
    <row r="11" spans="1:5" x14ac:dyDescent="0.25">
      <c r="C11" s="73"/>
    </row>
    <row r="12" spans="1:5" x14ac:dyDescent="0.25">
      <c r="C12" s="73"/>
    </row>
    <row r="13" spans="1:5" x14ac:dyDescent="0.25">
      <c r="C13" s="71"/>
    </row>
    <row r="14" spans="1:5" x14ac:dyDescent="0.25">
      <c r="C14" s="73"/>
    </row>
    <row r="15" spans="1:5" x14ac:dyDescent="0.25">
      <c r="C15" s="73"/>
    </row>
    <row r="16" spans="1:5" x14ac:dyDescent="0.25">
      <c r="C16" s="73"/>
    </row>
    <row r="17" spans="2:5" x14ac:dyDescent="0.25">
      <c r="C17" s="74"/>
    </row>
    <row r="19" spans="2:5" x14ac:dyDescent="0.25">
      <c r="B19" s="1"/>
    </row>
    <row r="20" spans="2:5" x14ac:dyDescent="0.25">
      <c r="C20" s="75"/>
      <c r="D20" s="75"/>
      <c r="E20" s="75"/>
    </row>
    <row r="21" spans="2:5" x14ac:dyDescent="0.25">
      <c r="C21" s="75"/>
      <c r="D21" s="75"/>
      <c r="E21" s="75"/>
    </row>
    <row r="22" spans="2:5" x14ac:dyDescent="0.25">
      <c r="C22" s="75"/>
      <c r="D22" s="75"/>
      <c r="E22" s="75"/>
    </row>
    <row r="23" spans="2:5" x14ac:dyDescent="0.25">
      <c r="C23" s="75"/>
      <c r="D23" s="75"/>
      <c r="E23" s="75"/>
    </row>
    <row r="24" spans="2:5" x14ac:dyDescent="0.25">
      <c r="C24" s="75"/>
      <c r="D24" s="75"/>
      <c r="E24" s="75"/>
    </row>
    <row r="25" spans="2:5" x14ac:dyDescent="0.25">
      <c r="C25" s="75"/>
      <c r="D25" s="75"/>
      <c r="E25" s="75"/>
    </row>
    <row r="26" spans="2:5" x14ac:dyDescent="0.25">
      <c r="B26" s="1"/>
      <c r="C26" s="76"/>
      <c r="D26" s="76"/>
      <c r="E26" s="76"/>
    </row>
    <row r="28" spans="2:5" x14ac:dyDescent="0.25">
      <c r="B28" s="1"/>
    </row>
    <row r="29" spans="2:5" x14ac:dyDescent="0.25">
      <c r="C29" s="75"/>
      <c r="D29" s="75"/>
      <c r="E29" s="75"/>
    </row>
    <row r="30" spans="2:5" x14ac:dyDescent="0.25">
      <c r="C30" s="27"/>
      <c r="D30" s="27"/>
      <c r="E30" s="27"/>
    </row>
    <row r="31" spans="2:5" x14ac:dyDescent="0.25">
      <c r="B31" s="1"/>
      <c r="C31" s="31"/>
      <c r="D31" s="31"/>
      <c r="E31" s="31"/>
    </row>
    <row r="32" spans="2:5" x14ac:dyDescent="0.25">
      <c r="B32" s="1"/>
      <c r="C32" s="43"/>
      <c r="D32" s="43"/>
      <c r="E32" s="43"/>
    </row>
    <row r="34" spans="2:5" x14ac:dyDescent="0.25">
      <c r="B34" s="1"/>
    </row>
    <row r="35" spans="2:5" x14ac:dyDescent="0.25">
      <c r="C35" s="75"/>
      <c r="D35" s="75"/>
      <c r="E35" s="75"/>
    </row>
    <row r="36" spans="2:5" x14ac:dyDescent="0.25">
      <c r="C36" s="75"/>
      <c r="D36" s="75"/>
      <c r="E36" s="75"/>
    </row>
    <row r="37" spans="2:5" x14ac:dyDescent="0.25">
      <c r="C37" s="75"/>
      <c r="D37" s="75"/>
      <c r="E37" s="75"/>
    </row>
    <row r="38" spans="2:5" x14ac:dyDescent="0.25">
      <c r="C38" s="75"/>
      <c r="D38" s="75"/>
      <c r="E38" s="75"/>
    </row>
    <row r="39" spans="2:5" x14ac:dyDescent="0.25">
      <c r="B39" s="1"/>
      <c r="C39" s="43"/>
      <c r="D39" s="43"/>
      <c r="E39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11</vt:i4>
      </vt:variant>
    </vt:vector>
  </HeadingPairs>
  <TitlesOfParts>
    <vt:vector size="11" baseType="lpstr">
      <vt:lpstr>Info</vt:lpstr>
      <vt:lpstr>Modell</vt:lpstr>
      <vt:lpstr>Segementer</vt:lpstr>
      <vt:lpstr>Segmenter P L</vt:lpstr>
      <vt:lpstr>Kapitalbro</vt:lpstr>
      <vt:lpstr>Kvalitet bok (Gross)</vt:lpstr>
      <vt:lpstr>Kvalitet bok (provisons)</vt:lpstr>
      <vt:lpstr>Net credit losses</vt:lpstr>
      <vt:lpstr>Funding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2025-02-09T20:32:11Z</dcterms:created>
  <dcterms:modified xsi:type="dcterms:W3CDTF">2026-10-03T15:32:48Z</dcterms:modified>
</cp:coreProperties>
</file>