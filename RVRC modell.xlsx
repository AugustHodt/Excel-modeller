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8E0AFCC-11F2-DB46-B2A8-233E7A351247}" xr6:coauthVersionLast="47" xr6:coauthVersionMax="47" xr10:uidLastSave="{00000000-0000-0000-0000-000000000000}"/>
  <bookViews>
    <workbookView xWindow="25340" yWindow="500" windowWidth="2586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2" l="1"/>
  <c r="AD5" i="2"/>
  <c r="AE5" i="2"/>
  <c r="AF5" i="2"/>
  <c r="AG5" i="2"/>
  <c r="AH5" i="2"/>
  <c r="AI5" i="2"/>
  <c r="AJ5" i="2"/>
  <c r="AK5" i="2"/>
  <c r="AB5" i="2"/>
  <c r="AA91" i="2"/>
  <c r="Z91" i="2"/>
  <c r="Y91" i="2"/>
  <c r="X91" i="2"/>
  <c r="W91" i="2"/>
  <c r="V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R74" i="2"/>
  <c r="R6" i="2"/>
  <c r="R11" i="2" s="1"/>
  <c r="R14" i="2" s="1"/>
  <c r="R16" i="2" s="1"/>
  <c r="R18" i="2" s="1"/>
  <c r="U13" i="4"/>
  <c r="T13" i="4"/>
  <c r="U10" i="4"/>
  <c r="T10" i="4"/>
  <c r="U7" i="4"/>
  <c r="T7" i="4"/>
  <c r="S13" i="4"/>
  <c r="S10" i="4"/>
  <c r="S7" i="4"/>
  <c r="Q74" i="2"/>
  <c r="Q6" i="2"/>
  <c r="Q11" i="2" s="1"/>
  <c r="Q14" i="2" s="1"/>
  <c r="Q16" i="2" s="1"/>
  <c r="Q18" i="2" s="1"/>
  <c r="AD4" i="2"/>
  <c r="AE4" i="2" s="1"/>
  <c r="AF4" i="2" s="1"/>
  <c r="AG4" i="2" s="1"/>
  <c r="AH4" i="2" s="1"/>
  <c r="AI4" i="2" s="1"/>
  <c r="AJ4" i="2" s="1"/>
  <c r="AK4" i="2" s="1"/>
  <c r="AC4" i="2"/>
  <c r="A5" i="5"/>
  <c r="Q7" i="4"/>
  <c r="Q10" i="4"/>
  <c r="Q13" i="4"/>
  <c r="L13" i="4"/>
  <c r="L10" i="4"/>
  <c r="L7" i="4"/>
  <c r="V12" i="4"/>
  <c r="V13" i="4" s="1"/>
  <c r="V9" i="4"/>
  <c r="V10" i="4" s="1"/>
  <c r="V6" i="4"/>
  <c r="V7" i="4" s="1"/>
  <c r="Q12" i="4"/>
  <c r="Q9" i="4"/>
  <c r="Q6" i="4"/>
  <c r="L12" i="4"/>
  <c r="L9" i="4"/>
  <c r="L6" i="4"/>
  <c r="G12" i="4"/>
  <c r="G9" i="4"/>
  <c r="G6" i="4"/>
  <c r="R13" i="4"/>
  <c r="P13" i="4"/>
  <c r="O13" i="4"/>
  <c r="N13" i="4"/>
  <c r="M13" i="4"/>
  <c r="K13" i="4"/>
  <c r="J13" i="4"/>
  <c r="I13" i="4"/>
  <c r="H13" i="4"/>
  <c r="R10" i="4"/>
  <c r="P10" i="4"/>
  <c r="O10" i="4"/>
  <c r="N10" i="4"/>
  <c r="M10" i="4"/>
  <c r="K10" i="4"/>
  <c r="J10" i="4"/>
  <c r="I10" i="4"/>
  <c r="H10" i="4"/>
  <c r="P7" i="4"/>
  <c r="O7" i="4"/>
  <c r="N7" i="4"/>
  <c r="M7" i="4"/>
  <c r="K7" i="4"/>
  <c r="J7" i="4"/>
  <c r="I7" i="4"/>
  <c r="H7" i="4"/>
  <c r="R7" i="4"/>
  <c r="F74" i="2"/>
  <c r="E74" i="2"/>
  <c r="E6" i="2"/>
  <c r="E11" i="2" s="1"/>
  <c r="E14" i="2" s="1"/>
  <c r="E16" i="2" s="1"/>
  <c r="E18" i="2" s="1"/>
  <c r="F6" i="2"/>
  <c r="F11" i="2" s="1"/>
  <c r="F14" i="2" s="1"/>
  <c r="F16" i="2" s="1"/>
  <c r="F18" i="2" s="1"/>
  <c r="G74" i="2"/>
  <c r="G6" i="2"/>
  <c r="G11" i="2" s="1"/>
  <c r="G14" i="2" s="1"/>
  <c r="G16" i="2" s="1"/>
  <c r="G18" i="2" s="1"/>
  <c r="D74" i="2"/>
  <c r="H74" i="2"/>
  <c r="D6" i="2"/>
  <c r="D11" i="2" s="1"/>
  <c r="D14" i="2" s="1"/>
  <c r="D16" i="2" s="1"/>
  <c r="D18" i="2" s="1"/>
  <c r="H6" i="2"/>
  <c r="H11" i="2" s="1"/>
  <c r="H14" i="2" s="1"/>
  <c r="H16" i="2" s="1"/>
  <c r="H18" i="2" s="1"/>
  <c r="I74" i="2"/>
  <c r="M74" i="2"/>
  <c r="I6" i="2"/>
  <c r="I11" i="2" s="1"/>
  <c r="I14" i="2" s="1"/>
  <c r="I16" i="2" s="1"/>
  <c r="I18" i="2" s="1"/>
  <c r="M6" i="2"/>
  <c r="M11" i="2" s="1"/>
  <c r="M14" i="2" s="1"/>
  <c r="M16" i="2" s="1"/>
  <c r="M18" i="2" s="1"/>
  <c r="J74" i="2"/>
  <c r="N74" i="2"/>
  <c r="J6" i="2"/>
  <c r="J11" i="2" s="1"/>
  <c r="J14" i="2" s="1"/>
  <c r="J16" i="2" s="1"/>
  <c r="J18" i="2" s="1"/>
  <c r="N6" i="2"/>
  <c r="N11" i="2" s="1"/>
  <c r="N14" i="2" s="1"/>
  <c r="N16" i="2" s="1"/>
  <c r="N18" i="2" s="1"/>
  <c r="K74" i="2"/>
  <c r="O74" i="2"/>
  <c r="K6" i="2"/>
  <c r="K11" i="2" s="1"/>
  <c r="K14" i="2" s="1"/>
  <c r="K16" i="2" s="1"/>
  <c r="K18" i="2" s="1"/>
  <c r="O6" i="2"/>
  <c r="O11" i="2" s="1"/>
  <c r="O14" i="2" s="1"/>
  <c r="O16" i="2" s="1"/>
  <c r="O18" i="2" s="1"/>
  <c r="K8" i="5" l="1"/>
  <c r="K9" i="5"/>
  <c r="K10" i="5"/>
  <c r="K7" i="5"/>
  <c r="M8" i="5"/>
  <c r="N8" i="5" s="1"/>
  <c r="O8" i="5" s="1"/>
  <c r="P8" i="5" s="1"/>
  <c r="Q8" i="5" s="1"/>
  <c r="R8" i="5" s="1"/>
  <c r="S8" i="5" s="1"/>
  <c r="M9" i="5"/>
  <c r="N9" i="5"/>
  <c r="O9" i="5" s="1"/>
  <c r="P9" i="5" s="1"/>
  <c r="Q9" i="5" s="1"/>
  <c r="R9" i="5" s="1"/>
  <c r="S9" i="5" s="1"/>
  <c r="M10" i="5"/>
  <c r="N10" i="5" s="1"/>
  <c r="O10" i="5" s="1"/>
  <c r="P10" i="5" s="1"/>
  <c r="Q10" i="5" s="1"/>
  <c r="R10" i="5" s="1"/>
  <c r="S10" i="5" s="1"/>
  <c r="L8" i="5"/>
  <c r="L9" i="5"/>
  <c r="L10" i="5"/>
  <c r="L7" i="5"/>
  <c r="M7" i="5" s="1"/>
  <c r="N7" i="5" s="1"/>
  <c r="O7" i="5" s="1"/>
  <c r="P7" i="5" s="1"/>
  <c r="Q7" i="5" s="1"/>
  <c r="R7" i="5" s="1"/>
  <c r="S7" i="5" s="1"/>
  <c r="L5" i="5"/>
  <c r="L6" i="5" s="1"/>
  <c r="M5" i="5"/>
  <c r="N5" i="5"/>
  <c r="O5" i="5"/>
  <c r="P5" i="5"/>
  <c r="Q5" i="5"/>
  <c r="R5" i="5"/>
  <c r="S5" i="5"/>
  <c r="K5" i="5"/>
  <c r="L4" i="5"/>
  <c r="M4" i="5"/>
  <c r="N4" i="5" s="1"/>
  <c r="K4" i="5"/>
  <c r="F21" i="5"/>
  <c r="L20" i="5"/>
  <c r="I20" i="5"/>
  <c r="H20" i="5"/>
  <c r="G20" i="5"/>
  <c r="F20" i="5"/>
  <c r="E20" i="5"/>
  <c r="F11" i="5"/>
  <c r="F14" i="5" s="1"/>
  <c r="F16" i="5" s="1"/>
  <c r="F18" i="5" s="1"/>
  <c r="E11" i="5"/>
  <c r="E14" i="5" s="1"/>
  <c r="E16" i="5" s="1"/>
  <c r="E18" i="5" s="1"/>
  <c r="D11" i="5"/>
  <c r="D14" i="5" s="1"/>
  <c r="D16" i="5" s="1"/>
  <c r="D18" i="5" s="1"/>
  <c r="J10" i="5"/>
  <c r="J9" i="5"/>
  <c r="J8" i="5"/>
  <c r="J7" i="5"/>
  <c r="M6" i="5"/>
  <c r="M21" i="5" s="1"/>
  <c r="K6" i="5"/>
  <c r="K21" i="5" s="1"/>
  <c r="I6" i="5"/>
  <c r="I11" i="5" s="1"/>
  <c r="H6" i="5"/>
  <c r="H11" i="5" s="1"/>
  <c r="G6" i="5"/>
  <c r="G11" i="5" s="1"/>
  <c r="F6" i="5"/>
  <c r="E6" i="5"/>
  <c r="E21" i="5" s="1"/>
  <c r="D6" i="5"/>
  <c r="D21" i="5" s="1"/>
  <c r="J4" i="5"/>
  <c r="K20" i="5" s="1"/>
  <c r="V81" i="2"/>
  <c r="V85" i="2" s="1"/>
  <c r="V74" i="2"/>
  <c r="W74" i="2"/>
  <c r="W75" i="2" s="1"/>
  <c r="V6" i="2"/>
  <c r="V11" i="2" s="1"/>
  <c r="W6" i="2"/>
  <c r="W11" i="2" s="1"/>
  <c r="V78" i="2"/>
  <c r="V75" i="2"/>
  <c r="X74" i="2"/>
  <c r="X75" i="2" s="1"/>
  <c r="Y74" i="2"/>
  <c r="Y75" i="2" s="1"/>
  <c r="X20" i="2"/>
  <c r="W20" i="2"/>
  <c r="X6" i="2"/>
  <c r="X11" i="2" s="1"/>
  <c r="X67" i="2" s="1"/>
  <c r="Y6" i="2"/>
  <c r="Y22" i="2" s="1"/>
  <c r="Z74" i="2"/>
  <c r="Z75" i="2" s="1"/>
  <c r="AA74" i="2"/>
  <c r="AA75" i="2" s="1"/>
  <c r="AA85" i="2"/>
  <c r="Z85" i="2"/>
  <c r="Y85" i="2"/>
  <c r="X85" i="2"/>
  <c r="W85" i="2"/>
  <c r="AA78" i="2"/>
  <c r="Z78" i="2"/>
  <c r="Y78" i="2"/>
  <c r="X78" i="2"/>
  <c r="W78" i="2"/>
  <c r="AB8" i="2"/>
  <c r="AC8" i="2" s="1"/>
  <c r="AD8" i="2" s="1"/>
  <c r="AE8" i="2" s="1"/>
  <c r="AF8" i="2" s="1"/>
  <c r="AG8" i="2" s="1"/>
  <c r="AH8" i="2" s="1"/>
  <c r="AI8" i="2" s="1"/>
  <c r="AJ8" i="2" s="1"/>
  <c r="AK8" i="2" s="1"/>
  <c r="AB9" i="2"/>
  <c r="AC9" i="2" s="1"/>
  <c r="AD9" i="2" s="1"/>
  <c r="AE9" i="2" s="1"/>
  <c r="AF9" i="2" s="1"/>
  <c r="AG9" i="2" s="1"/>
  <c r="AH9" i="2" s="1"/>
  <c r="AI9" i="2" s="1"/>
  <c r="AJ9" i="2" s="1"/>
  <c r="AK9" i="2" s="1"/>
  <c r="AB10" i="2"/>
  <c r="AC10" i="2" s="1"/>
  <c r="AD10" i="2" s="1"/>
  <c r="AE10" i="2" s="1"/>
  <c r="AF10" i="2" s="1"/>
  <c r="AG10" i="2" s="1"/>
  <c r="AH10" i="2" s="1"/>
  <c r="AI10" i="2" s="1"/>
  <c r="AJ10" i="2" s="1"/>
  <c r="AK10" i="2" s="1"/>
  <c r="AB7" i="2"/>
  <c r="AC7" i="2" s="1"/>
  <c r="AD7" i="2" s="1"/>
  <c r="AE7" i="2" s="1"/>
  <c r="AF7" i="2" s="1"/>
  <c r="AG7" i="2" s="1"/>
  <c r="AH7" i="2" s="1"/>
  <c r="AI7" i="2" s="1"/>
  <c r="AJ7" i="2" s="1"/>
  <c r="AK7" i="2" s="1"/>
  <c r="Z20" i="2"/>
  <c r="Y20" i="2"/>
  <c r="AA20" i="2"/>
  <c r="AB4" i="2"/>
  <c r="Z6" i="2"/>
  <c r="Z11" i="2" s="1"/>
  <c r="Z14" i="2" s="1"/>
  <c r="Z16" i="2" s="1"/>
  <c r="Z18" i="2" s="1"/>
  <c r="AA6" i="2"/>
  <c r="AA11" i="2" s="1"/>
  <c r="AA14" i="2" s="1"/>
  <c r="AA16" i="2" s="1"/>
  <c r="AA18" i="2" s="1"/>
  <c r="B7" i="2"/>
  <c r="L74" i="2"/>
  <c r="L75" i="2" s="1"/>
  <c r="O85" i="2"/>
  <c r="N85" i="2"/>
  <c r="M85" i="2"/>
  <c r="L85" i="2"/>
  <c r="K85" i="2"/>
  <c r="J85" i="2"/>
  <c r="I85" i="2"/>
  <c r="H85" i="2"/>
  <c r="G85" i="2"/>
  <c r="F85" i="2"/>
  <c r="E85" i="2"/>
  <c r="D85" i="2"/>
  <c r="R85" i="2"/>
  <c r="Q85" i="2"/>
  <c r="P85" i="2"/>
  <c r="O78" i="2"/>
  <c r="N78" i="2"/>
  <c r="M78" i="2"/>
  <c r="L78" i="2"/>
  <c r="K78" i="2"/>
  <c r="J78" i="2"/>
  <c r="I78" i="2"/>
  <c r="H78" i="2"/>
  <c r="G78" i="2"/>
  <c r="F78" i="2"/>
  <c r="E78" i="2"/>
  <c r="D78" i="2"/>
  <c r="R78" i="2"/>
  <c r="Q78" i="2"/>
  <c r="P78" i="2"/>
  <c r="O75" i="2"/>
  <c r="N75" i="2"/>
  <c r="M75" i="2"/>
  <c r="K75" i="2"/>
  <c r="J75" i="2"/>
  <c r="I75" i="2"/>
  <c r="H75" i="2"/>
  <c r="G75" i="2"/>
  <c r="F75" i="2"/>
  <c r="E75" i="2"/>
  <c r="D75" i="2"/>
  <c r="R75" i="2"/>
  <c r="Q75" i="2"/>
  <c r="P74" i="2"/>
  <c r="P75" i="2" s="1"/>
  <c r="O67" i="2"/>
  <c r="N67" i="2"/>
  <c r="M67" i="2"/>
  <c r="K67" i="2"/>
  <c r="J67" i="2"/>
  <c r="I67" i="2"/>
  <c r="H67" i="2"/>
  <c r="G67" i="2"/>
  <c r="F67" i="2"/>
  <c r="E67" i="2"/>
  <c r="D67" i="2"/>
  <c r="R67" i="2"/>
  <c r="Q67" i="2"/>
  <c r="O63" i="2"/>
  <c r="N63" i="2"/>
  <c r="M63" i="2"/>
  <c r="L63" i="2"/>
  <c r="K63" i="2"/>
  <c r="J63" i="2"/>
  <c r="I63" i="2"/>
  <c r="H63" i="2"/>
  <c r="G63" i="2"/>
  <c r="F63" i="2"/>
  <c r="E63" i="2"/>
  <c r="D63" i="2"/>
  <c r="R63" i="2"/>
  <c r="Q63" i="2"/>
  <c r="P63" i="2"/>
  <c r="O53" i="2"/>
  <c r="N53" i="2"/>
  <c r="M53" i="2"/>
  <c r="L53" i="2"/>
  <c r="K53" i="2"/>
  <c r="J53" i="2"/>
  <c r="I53" i="2"/>
  <c r="H53" i="2"/>
  <c r="G53" i="2"/>
  <c r="F53" i="2"/>
  <c r="E53" i="2"/>
  <c r="D53" i="2"/>
  <c r="R53" i="2"/>
  <c r="Q53" i="2"/>
  <c r="P53" i="2"/>
  <c r="O47" i="2"/>
  <c r="N47" i="2"/>
  <c r="M47" i="2"/>
  <c r="L47" i="2"/>
  <c r="K47" i="2"/>
  <c r="J47" i="2"/>
  <c r="I47" i="2"/>
  <c r="H47" i="2"/>
  <c r="G47" i="2"/>
  <c r="F47" i="2"/>
  <c r="E47" i="2"/>
  <c r="D47" i="2"/>
  <c r="R47" i="2"/>
  <c r="Q47" i="2"/>
  <c r="P47" i="2"/>
  <c r="Q20" i="2"/>
  <c r="R20" i="2"/>
  <c r="S20" i="2"/>
  <c r="Q22" i="2"/>
  <c r="R22" i="2"/>
  <c r="S22" i="2"/>
  <c r="Q23" i="2"/>
  <c r="R23" i="2"/>
  <c r="S23" i="2"/>
  <c r="L6" i="2"/>
  <c r="L22" i="2" s="1"/>
  <c r="H20" i="2"/>
  <c r="I20" i="2"/>
  <c r="J20" i="2"/>
  <c r="K20" i="2"/>
  <c r="L20" i="2"/>
  <c r="M20" i="2"/>
  <c r="N20" i="2"/>
  <c r="O20" i="2"/>
  <c r="D22" i="2"/>
  <c r="E22" i="2"/>
  <c r="F22" i="2"/>
  <c r="G22" i="2"/>
  <c r="H22" i="2"/>
  <c r="I22" i="2"/>
  <c r="J22" i="2"/>
  <c r="K22" i="2"/>
  <c r="M22" i="2"/>
  <c r="N22" i="2"/>
  <c r="O22" i="2"/>
  <c r="D23" i="2"/>
  <c r="E23" i="2"/>
  <c r="F23" i="2"/>
  <c r="G23" i="2"/>
  <c r="H23" i="2"/>
  <c r="I23" i="2"/>
  <c r="J23" i="2"/>
  <c r="K23" i="2"/>
  <c r="M23" i="2"/>
  <c r="N23" i="2"/>
  <c r="O23" i="2"/>
  <c r="P20" i="2"/>
  <c r="P6" i="2"/>
  <c r="P11" i="2" s="1"/>
  <c r="B6" i="2"/>
  <c r="AB6" i="2" l="1"/>
  <c r="AB22" i="2" s="1"/>
  <c r="H64" i="2"/>
  <c r="R64" i="2"/>
  <c r="X22" i="2"/>
  <c r="E89" i="2"/>
  <c r="I89" i="2"/>
  <c r="X23" i="2"/>
  <c r="P22" i="2"/>
  <c r="O89" i="2"/>
  <c r="L21" i="5"/>
  <c r="L11" i="5"/>
  <c r="L14" i="5" s="1"/>
  <c r="L15" i="5" s="1"/>
  <c r="L16" i="5" s="1"/>
  <c r="L18" i="5" s="1"/>
  <c r="M11" i="5"/>
  <c r="M14" i="5" s="1"/>
  <c r="M15" i="5" s="1"/>
  <c r="M16" i="5" s="1"/>
  <c r="M18" i="5" s="1"/>
  <c r="N20" i="5"/>
  <c r="O4" i="5"/>
  <c r="N6" i="5"/>
  <c r="M20" i="5"/>
  <c r="K11" i="5"/>
  <c r="I14" i="5"/>
  <c r="I16" i="5" s="1"/>
  <c r="I18" i="5" s="1"/>
  <c r="I22" i="5"/>
  <c r="H14" i="5"/>
  <c r="H16" i="5" s="1"/>
  <c r="H18" i="5" s="1"/>
  <c r="H22" i="5"/>
  <c r="G14" i="5"/>
  <c r="G16" i="5" s="1"/>
  <c r="G18" i="5" s="1"/>
  <c r="G22" i="5"/>
  <c r="D22" i="5"/>
  <c r="E22" i="5"/>
  <c r="F22" i="5"/>
  <c r="G21" i="5"/>
  <c r="H21" i="5"/>
  <c r="I21" i="5"/>
  <c r="J20" i="5"/>
  <c r="J5" i="5"/>
  <c r="J6" i="5" s="1"/>
  <c r="AC20" i="2"/>
  <c r="Z22" i="2"/>
  <c r="J89" i="2"/>
  <c r="K89" i="2"/>
  <c r="D89" i="2"/>
  <c r="M89" i="2"/>
  <c r="N89" i="2"/>
  <c r="Z67" i="2"/>
  <c r="P64" i="2"/>
  <c r="I64" i="2"/>
  <c r="J64" i="2"/>
  <c r="K64" i="2"/>
  <c r="AB20" i="2"/>
  <c r="V22" i="2"/>
  <c r="V67" i="2"/>
  <c r="V14" i="2"/>
  <c r="V16" i="2" s="1"/>
  <c r="V18" i="2" s="1"/>
  <c r="V23" i="2"/>
  <c r="W14" i="2"/>
  <c r="W16" i="2" s="1"/>
  <c r="W18" i="2" s="1"/>
  <c r="W23" i="2"/>
  <c r="W67" i="2"/>
  <c r="W22" i="2"/>
  <c r="V89" i="2"/>
  <c r="X89" i="2"/>
  <c r="Y89" i="2"/>
  <c r="X14" i="2"/>
  <c r="X16" i="2" s="1"/>
  <c r="X18" i="2" s="1"/>
  <c r="Y11" i="2"/>
  <c r="Y14" i="2" s="1"/>
  <c r="Y16" i="2" s="1"/>
  <c r="Y18" i="2" s="1"/>
  <c r="Z89" i="2"/>
  <c r="P67" i="2"/>
  <c r="P14" i="2"/>
  <c r="P16" i="2" s="1"/>
  <c r="P18" i="2" s="1"/>
  <c r="P23" i="2"/>
  <c r="P89" i="2"/>
  <c r="AA67" i="2"/>
  <c r="Q89" i="2"/>
  <c r="H89" i="2"/>
  <c r="Z23" i="2"/>
  <c r="G64" i="2"/>
  <c r="F89" i="2"/>
  <c r="Q64" i="2"/>
  <c r="G89" i="2"/>
  <c r="D64" i="2"/>
  <c r="L64" i="2"/>
  <c r="R89" i="2"/>
  <c r="AA23" i="2"/>
  <c r="O64" i="2"/>
  <c r="AA22" i="2"/>
  <c r="E64" i="2"/>
  <c r="M64" i="2"/>
  <c r="F64" i="2"/>
  <c r="N64" i="2"/>
  <c r="W89" i="2"/>
  <c r="AA89" i="2"/>
  <c r="AB11" i="2"/>
  <c r="AB14" i="2" s="1"/>
  <c r="L89" i="2"/>
  <c r="L11" i="2"/>
  <c r="B9" i="2"/>
  <c r="D5" i="3" l="1"/>
  <c r="AC6" i="2"/>
  <c r="M22" i="5"/>
  <c r="L22" i="5"/>
  <c r="N21" i="5"/>
  <c r="N11" i="5"/>
  <c r="O20" i="5"/>
  <c r="O6" i="5"/>
  <c r="P4" i="5"/>
  <c r="K22" i="5"/>
  <c r="K14" i="5"/>
  <c r="J11" i="5"/>
  <c r="J21" i="5"/>
  <c r="Y23" i="2"/>
  <c r="Y67" i="2"/>
  <c r="L14" i="2"/>
  <c r="L16" i="2" s="1"/>
  <c r="L18" i="2" s="1"/>
  <c r="L67" i="2"/>
  <c r="AB15" i="2"/>
  <c r="AB16" i="2" s="1"/>
  <c r="AB23" i="2"/>
  <c r="L23" i="2"/>
  <c r="AB18" i="2" l="1"/>
  <c r="D6" i="3" s="1"/>
  <c r="AC11" i="2"/>
  <c r="E5" i="3" s="1"/>
  <c r="AC22" i="2"/>
  <c r="AD6" i="2"/>
  <c r="AD20" i="2"/>
  <c r="P20" i="5"/>
  <c r="P6" i="5"/>
  <c r="Q4" i="5"/>
  <c r="O11" i="5"/>
  <c r="O21" i="5"/>
  <c r="N14" i="5"/>
  <c r="N15" i="5" s="1"/>
  <c r="N16" i="5" s="1"/>
  <c r="N18" i="5" s="1"/>
  <c r="N22" i="5"/>
  <c r="K15" i="5"/>
  <c r="K16" i="5" s="1"/>
  <c r="J14" i="5"/>
  <c r="J22" i="5"/>
  <c r="AD22" i="2" l="1"/>
  <c r="AD11" i="2"/>
  <c r="F5" i="3" s="1"/>
  <c r="AC23" i="2"/>
  <c r="AC14" i="2"/>
  <c r="AE20" i="2"/>
  <c r="AE6" i="2"/>
  <c r="O14" i="5"/>
  <c r="O15" i="5" s="1"/>
  <c r="O16" i="5" s="1"/>
  <c r="O18" i="5" s="1"/>
  <c r="O22" i="5"/>
  <c r="Q6" i="5"/>
  <c r="R4" i="5"/>
  <c r="Q20" i="5"/>
  <c r="P11" i="5"/>
  <c r="P21" i="5"/>
  <c r="K18" i="5"/>
  <c r="J15" i="5"/>
  <c r="J16" i="5" s="1"/>
  <c r="J18" i="5" s="1"/>
  <c r="AC15" i="2" l="1"/>
  <c r="AC16" i="2"/>
  <c r="AE11" i="2"/>
  <c r="AE22" i="2"/>
  <c r="AF20" i="2"/>
  <c r="AF6" i="2"/>
  <c r="AD14" i="2"/>
  <c r="AD23" i="2"/>
  <c r="Q11" i="5"/>
  <c r="Q21" i="5"/>
  <c r="R20" i="5"/>
  <c r="S4" i="5"/>
  <c r="R6" i="5"/>
  <c r="P14" i="5"/>
  <c r="P15" i="5" s="1"/>
  <c r="P16" i="5" s="1"/>
  <c r="P22" i="5"/>
  <c r="AF22" i="2" l="1"/>
  <c r="AF11" i="2"/>
  <c r="AG6" i="2"/>
  <c r="AG20" i="2"/>
  <c r="AE23" i="2"/>
  <c r="AE14" i="2"/>
  <c r="AC18" i="2"/>
  <c r="E6" i="3" s="1"/>
  <c r="AD15" i="2"/>
  <c r="AD16" i="2" s="1"/>
  <c r="AD18" i="2" s="1"/>
  <c r="F6" i="3" s="1"/>
  <c r="P18" i="5"/>
  <c r="S6" i="5"/>
  <c r="S20" i="5"/>
  <c r="R11" i="5"/>
  <c r="R21" i="5"/>
  <c r="Q14" i="5"/>
  <c r="Q22" i="5"/>
  <c r="AE15" i="2" l="1"/>
  <c r="AE16" i="2"/>
  <c r="AE18" i="2" s="1"/>
  <c r="AH20" i="2"/>
  <c r="AH6" i="2"/>
  <c r="AG22" i="2"/>
  <c r="AG11" i="2"/>
  <c r="AF23" i="2"/>
  <c r="AF14" i="2"/>
  <c r="AF15" i="2" s="1"/>
  <c r="AF16" i="2" s="1"/>
  <c r="AF18" i="2" s="1"/>
  <c r="Q15" i="5"/>
  <c r="Q16" i="5"/>
  <c r="R14" i="5"/>
  <c r="R15" i="5" s="1"/>
  <c r="R16" i="5" s="1"/>
  <c r="R18" i="5" s="1"/>
  <c r="R22" i="5"/>
  <c r="S21" i="5"/>
  <c r="S11" i="5"/>
  <c r="AH22" i="2" l="1"/>
  <c r="AH11" i="2"/>
  <c r="AI20" i="2"/>
  <c r="AI6" i="2"/>
  <c r="AG23" i="2"/>
  <c r="AG14" i="2"/>
  <c r="AG15" i="2" s="1"/>
  <c r="AG16" i="2" s="1"/>
  <c r="AG18" i="2" s="1"/>
  <c r="S22" i="5"/>
  <c r="S14" i="5"/>
  <c r="S15" i="5" s="1"/>
  <c r="S16" i="5" s="1"/>
  <c r="Q18" i="5"/>
  <c r="AI22" i="2" l="1"/>
  <c r="AI11" i="2"/>
  <c r="AJ6" i="2"/>
  <c r="AJ20" i="2"/>
  <c r="AH14" i="2"/>
  <c r="AH15" i="2" s="1"/>
  <c r="AH16" i="2" s="1"/>
  <c r="AH23" i="2"/>
  <c r="T16" i="5"/>
  <c r="S18" i="5"/>
  <c r="AH18" i="2" l="1"/>
  <c r="AJ11" i="2"/>
  <c r="AJ22" i="2"/>
  <c r="AK20" i="2"/>
  <c r="AK6" i="2"/>
  <c r="AI14" i="2"/>
  <c r="AI15" i="2" s="1"/>
  <c r="AI16" i="2" s="1"/>
  <c r="AI18" i="2" s="1"/>
  <c r="AI23" i="2"/>
  <c r="U16" i="5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AJ23" i="2" l="1"/>
  <c r="AJ14" i="2"/>
  <c r="AJ15" i="2" s="1"/>
  <c r="AJ16" i="2" s="1"/>
  <c r="AJ18" i="2" s="1"/>
  <c r="AK22" i="2"/>
  <c r="AK11" i="2"/>
  <c r="V21" i="5"/>
  <c r="V23" i="5" s="1"/>
  <c r="V24" i="5" s="1"/>
  <c r="A6" i="5" s="1"/>
  <c r="AK14" i="2" l="1"/>
  <c r="AK15" i="2" s="1"/>
  <c r="AK16" i="2" s="1"/>
  <c r="AK23" i="2"/>
  <c r="AK18" i="2" l="1"/>
  <c r="AL16" i="2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N21" i="2" s="1"/>
  <c r="AN23" i="2" s="1"/>
  <c r="AN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tc={11AA9603-14E5-C641-8DBE-ECCCCBBB328F}</author>
    <author>tc={A1DE14F8-BD69-9F49-8CD2-623B4E407075}</author>
  </authors>
  <commentList>
    <comment ref="V83" authorId="0" shapeId="0" xr:uid="{11AA9603-14E5-C641-8DBE-ECCCCBBB328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New issue 1,38</t>
      </text>
    </comment>
    <comment ref="W83" authorId="1" shapeId="0" xr:uid="{A1DE14F8-BD69-9F49-8CD2-623B4E40707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New issue </t>
      </text>
    </comment>
  </commentList>
</comments>
</file>

<file path=xl/sharedStrings.xml><?xml version="1.0" encoding="utf-8"?>
<sst xmlns="http://schemas.openxmlformats.org/spreadsheetml/2006/main" count="242" uniqueCount="151">
  <si>
    <t>Kapitalstruktur</t>
  </si>
  <si>
    <t>Price</t>
  </si>
  <si>
    <t>S/O</t>
  </si>
  <si>
    <t>EV/EBIT</t>
  </si>
  <si>
    <t>P/E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</si>
  <si>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</si>
  <si>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</si>
  <si>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</si>
  <si>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</si>
  <si>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</si>
  <si>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</si>
  <si>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</si>
  <si>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</si>
  <si>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</si>
  <si>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</si>
  <si>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</si>
  <si>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Revenue</t>
  </si>
  <si>
    <t>Goods for resale</t>
  </si>
  <si>
    <t>Gross profit</t>
  </si>
  <si>
    <t>Other external expenses</t>
  </si>
  <si>
    <t>Personnel expenses</t>
  </si>
  <si>
    <t>D/A</t>
  </si>
  <si>
    <t>Operating profit (EBIT)</t>
  </si>
  <si>
    <t>Fincial income</t>
  </si>
  <si>
    <t>Financial expense</t>
  </si>
  <si>
    <t>PTP</t>
  </si>
  <si>
    <t>Tax</t>
  </si>
  <si>
    <t>Net income</t>
  </si>
  <si>
    <t>Shares</t>
  </si>
  <si>
    <t>EPS</t>
  </si>
  <si>
    <t>Other operating expenses</t>
  </si>
  <si>
    <t>Q4 25/26</t>
  </si>
  <si>
    <t>Capitalised expenditure for dev work</t>
  </si>
  <si>
    <t>Trademark</t>
  </si>
  <si>
    <t>Goodwill</t>
  </si>
  <si>
    <t>Other intangible assets</t>
  </si>
  <si>
    <t>Expenditures on thir-party property</t>
  </si>
  <si>
    <t>Equipment, tools and installations</t>
  </si>
  <si>
    <t>Right of use assets</t>
  </si>
  <si>
    <t>Deferred tax assets</t>
  </si>
  <si>
    <t>Goods in warehouse</t>
  </si>
  <si>
    <t>Goods in transit</t>
  </si>
  <si>
    <t>Right of return assets</t>
  </si>
  <si>
    <t>Accounts receivables</t>
  </si>
  <si>
    <t>Current tax assets</t>
  </si>
  <si>
    <t>Other current receivables</t>
  </si>
  <si>
    <t>Prepaid expenses and accrued income</t>
  </si>
  <si>
    <t>Cash</t>
  </si>
  <si>
    <t>Total assets</t>
  </si>
  <si>
    <t>Share capital</t>
  </si>
  <si>
    <t>Other contributed capital</t>
  </si>
  <si>
    <t>Reserves</t>
  </si>
  <si>
    <t>Retained earnings</t>
  </si>
  <si>
    <t>Profit for the period</t>
  </si>
  <si>
    <t>Total equity</t>
  </si>
  <si>
    <t>Lease liabilities</t>
  </si>
  <si>
    <t>Deferred tax liabilities</t>
  </si>
  <si>
    <t>Other long-term liabilities</t>
  </si>
  <si>
    <t>Current lease</t>
  </si>
  <si>
    <t>Accounts payable</t>
  </si>
  <si>
    <t>Other current liabilities</t>
  </si>
  <si>
    <t>tax liabilities</t>
  </si>
  <si>
    <t>Repayment liabilities</t>
  </si>
  <si>
    <t>Prepaid income and accrued expense</t>
  </si>
  <si>
    <t>Total debt</t>
  </si>
  <si>
    <t>Total E/D</t>
  </si>
  <si>
    <t xml:space="preserve">Cash flow SEKm </t>
  </si>
  <si>
    <t>Model OP</t>
  </si>
  <si>
    <t>Reported OP</t>
  </si>
  <si>
    <t>Other non-cash</t>
  </si>
  <si>
    <t>Interest received</t>
  </si>
  <si>
    <t>Interest paid</t>
  </si>
  <si>
    <t>Paid income tax</t>
  </si>
  <si>
    <t>WC</t>
  </si>
  <si>
    <t>CFFO</t>
  </si>
  <si>
    <t>Capex</t>
  </si>
  <si>
    <t>CFFI</t>
  </si>
  <si>
    <t>Amortistion of lease</t>
  </si>
  <si>
    <t>Fees related to borrowings</t>
  </si>
  <si>
    <t>Buybacks</t>
  </si>
  <si>
    <t>Warrents</t>
  </si>
  <si>
    <t>CFFF</t>
  </si>
  <si>
    <t>FX</t>
  </si>
  <si>
    <t>CIC</t>
  </si>
  <si>
    <t>FCF</t>
  </si>
  <si>
    <t>FY 24/25</t>
  </si>
  <si>
    <t>FY 25/26</t>
  </si>
  <si>
    <t>FY 23/24</t>
  </si>
  <si>
    <t>FY 22/23</t>
  </si>
  <si>
    <t>FY 21/22</t>
  </si>
  <si>
    <t>FY 20/21</t>
  </si>
  <si>
    <t>FY 19/20</t>
  </si>
  <si>
    <t>FY 26/27</t>
  </si>
  <si>
    <t>FY 27/28</t>
  </si>
  <si>
    <t>FY 28/29</t>
  </si>
  <si>
    <t>FY 29/30</t>
  </si>
  <si>
    <t>FY 30/31</t>
  </si>
  <si>
    <t>FY 31/32</t>
  </si>
  <si>
    <t>FY 32/33</t>
  </si>
  <si>
    <t>FY 33/34</t>
  </si>
  <si>
    <t>FY 34/35</t>
  </si>
  <si>
    <t>Dividends</t>
  </si>
  <si>
    <t>Q3 25/26</t>
  </si>
  <si>
    <t>Q2 25/26</t>
  </si>
  <si>
    <t>Q1 25/26</t>
  </si>
  <si>
    <t>Q4 24/25</t>
  </si>
  <si>
    <t>Q3 24/25</t>
  </si>
  <si>
    <t>Q2 24/25</t>
  </si>
  <si>
    <t>Q1 24/25</t>
  </si>
  <si>
    <t>Q4 23/24</t>
  </si>
  <si>
    <t>Q3 23/24</t>
  </si>
  <si>
    <t>TV</t>
  </si>
  <si>
    <t>Disocunt</t>
  </si>
  <si>
    <t>NPV</t>
  </si>
  <si>
    <t>NPV/Share</t>
  </si>
  <si>
    <t>Opp/nedside</t>
  </si>
  <si>
    <t>Apr-Jun</t>
  </si>
  <si>
    <t>Q2 23/24</t>
  </si>
  <si>
    <t>Q1 23/24</t>
  </si>
  <si>
    <t>Q4 22/23</t>
  </si>
  <si>
    <t>Q3 22/23</t>
  </si>
  <si>
    <t>Averange order value (AOV)</t>
  </si>
  <si>
    <t>Organic growth</t>
  </si>
  <si>
    <t>Jan-Mar</t>
  </si>
  <si>
    <t>Oct-Dec</t>
  </si>
  <si>
    <t>Q2 22/23</t>
  </si>
  <si>
    <t>Q1 22/23</t>
  </si>
  <si>
    <t>Other long-term assets</t>
  </si>
  <si>
    <t>Jul-Sep</t>
  </si>
  <si>
    <t>25/26</t>
  </si>
  <si>
    <t>26/27</t>
  </si>
  <si>
    <t>27/28</t>
  </si>
  <si>
    <t>D2C = Direct to consumer</t>
  </si>
  <si>
    <t>Selger direkte til sine kunder uten fordyrende mellomledd som sportsbutikker</t>
  </si>
  <si>
    <t>18 unike webshops som gir en lokal følelse, disse nettbutikkene er tilpasset ulike markeder</t>
  </si>
  <si>
    <t>3PL = tredjepartslogistikk: RVRC leier inn profesjonelle logistikkselskaper til å drifte lagrene sine i stedet for å drifte de selv som gir fleksibilitet</t>
  </si>
  <si>
    <t>Har produksjon i Asia</t>
  </si>
  <si>
    <t>Selger til:</t>
  </si>
  <si>
    <t>Nordics</t>
  </si>
  <si>
    <t>DACH</t>
  </si>
  <si>
    <t>Rest of world</t>
  </si>
  <si>
    <t>DACH: Deutchsland, Austria, Confoederatio Helvetica (Sveits)</t>
  </si>
  <si>
    <t>Sales/Region</t>
  </si>
  <si>
    <t>y/y</t>
  </si>
  <si>
    <t>y/y Local curr</t>
  </si>
  <si>
    <t>y/y Local Curr</t>
  </si>
  <si>
    <t>RoW</t>
  </si>
  <si>
    <t>22/23</t>
  </si>
  <si>
    <t>24/25</t>
  </si>
  <si>
    <t>23/24</t>
  </si>
  <si>
    <t>Nullvekst og dårligste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</si>
</sst>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kr&quot;\ #,##0.00_);[Red]\(&quot;kr&quot;\ #,##0.00\)"/>
    <numFmt numFmtId="164" formatCode="#,##0.0"/>
    <numFmt numFmtId="165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/>
    <xf numFmtId="0" fontId="3" fillId="0" borderId="0" xfId="0" applyFont="1"/>
    <xf numFmtId="0" fontId="4" fillId="0" borderId="0" xfId="0" applyFont="1"/>
    <xf numFmtId="0" fontId="4" fillId="0" borderId="1" xfId="0" applyFont="1" applyBorder="1"/>
    <xf numFmtId="2" fontId="2" fillId="0" borderId="1" xfId="0" applyNumberFormat="1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10" fontId="1" fillId="0" borderId="1" xfId="0" applyNumberFormat="1" applyFont="1" applyBorder="1"/>
    <xf numFmtId="10" fontId="2" fillId="0" borderId="1" xfId="0" applyNumberFormat="1" applyFont="1" applyBorder="1"/>
    <xf numFmtId="0" fontId="2" fillId="0" borderId="2" xfId="0" applyFont="1" applyBorder="1"/>
    <xf numFmtId="9" fontId="2" fillId="0" borderId="0" xfId="0" applyNumberFormat="1" applyFont="1"/>
    <xf numFmtId="8" fontId="2" fillId="0" borderId="2" xfId="0" applyNumberFormat="1" applyFont="1" applyBorder="1"/>
    <xf numFmtId="164" fontId="2" fillId="0" borderId="2" xfId="0" applyNumberFormat="1" applyFont="1" applyBorder="1"/>
    <xf numFmtId="3" fontId="4" fillId="0" borderId="0" xfId="0" applyNumberFormat="1" applyFont="1"/>
    <xf numFmtId="0" fontId="0" fillId="0" borderId="3" xfId="0" applyBorder="1"/>
    <xf numFmtId="0" fontId="5" fillId="0" borderId="3" xfId="0" applyFont="1" applyBorder="1"/>
    <xf numFmtId="165" fontId="6" fillId="0" borderId="3" xfId="0" applyNumberFormat="1" applyFont="1" applyBorder="1"/>
    <xf numFmtId="10" fontId="4" fillId="0" borderId="0" xfId="0" applyNumberFormat="1" applyFont="1"/>
    <xf numFmtId="10" fontId="4" fillId="0" borderId="4" xfId="0" applyNumberFormat="1" applyFont="1" applyBorder="1"/>
    <xf numFmtId="0" fontId="1" fillId="0" borderId="6" xfId="0" applyFont="1" applyBorder="1"/>
    <xf numFmtId="0" fontId="1" fillId="0" borderId="6" xfId="0" applyFont="1" applyBorder="1" applyAlignment="1">
      <alignment horizontal="right"/>
    </xf>
    <xf numFmtId="10" fontId="3" fillId="0" borderId="6" xfId="0" applyNumberFormat="1" applyFont="1" applyBorder="1"/>
    <xf numFmtId="10" fontId="3" fillId="0" borderId="5" xfId="0" applyNumberFormat="1" applyFont="1" applyBorder="1"/>
    <xf numFmtId="0" fontId="1" fillId="0" borderId="5" xfId="0" applyFont="1" applyBorder="1"/>
    <xf numFmtId="2" fontId="1" fillId="0" borderId="0" xfId="0" applyNumberFormat="1" applyFont="1"/>
    <xf numFmtId="1" fontId="2" fillId="0" borderId="0" xfId="0" applyNumberFormat="1" applyFont="1"/>
    <xf numFmtId="3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690792</xdr:colOff>
      <xdr:row>20</xdr:row>
      <xdr:rowOff>177800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5A7C523-2673-FDBD-2D37-2EB6E1FD1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55392" cy="5003800"/>
        </a:xfrm>
        <a:prstGeom prst="rect">
          <a:avLst/>
        </a:prstGeom>
      </xdr:spPr>
    </xdr:pic>
    <xdr:clientData/>
  </xdr:twoCellAnchor>
  <xdr:twoCellAnchor editAs="oneCell">
    <xdr:from>
      <xdr:col>10</xdr:col>
      <xdr:colOff>660400</xdr:colOff>
      <xdr:row>0</xdr:row>
      <xdr:rowOff>76200</xdr:rowOff>
    </xdr:from>
    <xdr:to>
      <xdr:col>18</xdr:col>
      <xdr:colOff>574938</xdr:colOff>
      <xdr:row>19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BEAACAE-3AAA-FB45-6604-61E3BBB0C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000" y="76200"/>
          <a:ext cx="6518538" cy="4686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5E0B227-A678-264F-B2FC-43EFA611CDE0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83" dT="2026-01-05T15:59:17.92" personId="{E5E0B227-A678-264F-B2FC-43EFA611CDE0}" id="{11AA9603-14E5-C641-8DBE-ECCCCBBB328F}">
    <text>New issue 1,38</text>
  </threadedComment>
  <threadedComment ref="W83" dT="2026-01-05T15:58:17.02" personId="{E5E0B227-A678-264F-B2FC-43EFA611CDE0}" id="{A1DE14F8-BD69-9F49-8CD2-623B4E407075}">
    <text xml:space="preserve">New issue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35"/>
  <sheetViews>
    <sheetView showGridLines="0" workbookViewId="0">
      <selection activeCell="D39" sqref="D39:D40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  <row r="23" spans="1:1" x14ac:dyDescent="0.25">
      <c r="A23" s="2" t="s">
        <v>132</v>
      </c>
    </row>
    <row r="24" spans="1:1" x14ac:dyDescent="0.25">
      <c r="A24" s="2" t="s">
        <v>133</v>
      </c>
    </row>
    <row r="26" spans="1:1" x14ac:dyDescent="0.25">
      <c r="A26" s="2" t="s">
        <v>134</v>
      </c>
    </row>
    <row r="27" spans="1:1" x14ac:dyDescent="0.25">
      <c r="A27" s="2" t="s">
        <v>135</v>
      </c>
    </row>
    <row r="29" spans="1:1" x14ac:dyDescent="0.25">
      <c r="A29" s="2" t="s">
        <v>136</v>
      </c>
    </row>
    <row r="32" spans="1:1" x14ac:dyDescent="0.25">
      <c r="A32" s="1" t="s">
        <v>137</v>
      </c>
    </row>
    <row r="33" spans="1:1" x14ac:dyDescent="0.25">
      <c r="A33" s="2" t="s">
        <v>138</v>
      </c>
    </row>
    <row r="34" spans="1:1" x14ac:dyDescent="0.25">
      <c r="A34" s="2" t="s">
        <v>141</v>
      </c>
    </row>
    <row r="35" spans="1:1" x14ac:dyDescent="0.25">
      <c r="A35" s="2" t="s">
        <v>140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H125"/>
  <sheetViews>
    <sheetView showGridLines="0" tabSelected="1" workbookViewId="0">
      <pane xSplit="3" ySplit="3" topLeftCell="AC4" activePane="bottomRight" state="frozen"/>
      <selection pane="topRight" activeCell="D1" sqref="D1"/>
      <selection pane="bottomLeft" activeCell="A4" sqref="A4"/>
      <selection pane="bottomRight" activeCell="AK31" sqref="AK31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37.1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9" width="11.33203125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7" width="10.83203125" style="2"/>
    <col min="28" max="28" width="10.83203125" style="3"/>
    <col min="29" max="38" width="10.83203125" style="2"/>
    <col min="39" max="39" width="14.1640625" style="2" bestFit="1" customWidth="1"/>
    <col min="40" max="40" width="12.1640625" style="2" bestFit="1" customWidth="1"/>
    <col min="41" max="16384" width="10.83203125" style="2"/>
  </cols>
  <sheetData>
    <row r="1" spans="1:138" x14ac:dyDescent="0.25">
      <c r="D1" s="4" t="s">
        <v>128</v>
      </c>
      <c r="E1" s="4" t="s">
        <v>124</v>
      </c>
      <c r="F1" s="4" t="s">
        <v>123</v>
      </c>
      <c r="G1" s="4" t="s">
        <v>116</v>
      </c>
      <c r="H1" s="4" t="s">
        <v>128</v>
      </c>
      <c r="I1" s="4" t="s">
        <v>124</v>
      </c>
      <c r="J1" s="4" t="s">
        <v>123</v>
      </c>
      <c r="K1" s="4" t="s">
        <v>116</v>
      </c>
      <c r="L1" s="4" t="s">
        <v>128</v>
      </c>
      <c r="M1" s="4" t="s">
        <v>124</v>
      </c>
      <c r="N1" s="4" t="s">
        <v>123</v>
      </c>
      <c r="O1" s="4" t="s">
        <v>116</v>
      </c>
      <c r="P1" s="4" t="s">
        <v>128</v>
      </c>
      <c r="Q1" s="4" t="s">
        <v>124</v>
      </c>
      <c r="R1" s="4" t="s">
        <v>123</v>
      </c>
      <c r="S1" s="4" t="s">
        <v>116</v>
      </c>
      <c r="AA1" s="1"/>
    </row>
    <row r="3" spans="1:138" x14ac:dyDescent="0.25">
      <c r="A3" s="1" t="s">
        <v>0</v>
      </c>
      <c r="C3" s="2" t="s">
        <v>10</v>
      </c>
      <c r="D3" s="4" t="s">
        <v>126</v>
      </c>
      <c r="E3" s="4" t="s">
        <v>125</v>
      </c>
      <c r="F3" s="4" t="s">
        <v>120</v>
      </c>
      <c r="G3" s="4" t="s">
        <v>119</v>
      </c>
      <c r="H3" s="4" t="s">
        <v>118</v>
      </c>
      <c r="I3" s="4" t="s">
        <v>117</v>
      </c>
      <c r="J3" s="4" t="s">
        <v>110</v>
      </c>
      <c r="K3" s="4" t="s">
        <v>109</v>
      </c>
      <c r="L3" s="4" t="s">
        <v>108</v>
      </c>
      <c r="M3" s="4" t="s">
        <v>107</v>
      </c>
      <c r="N3" s="4" t="s">
        <v>106</v>
      </c>
      <c r="O3" s="4" t="s">
        <v>105</v>
      </c>
      <c r="P3" s="4" t="s">
        <v>104</v>
      </c>
      <c r="Q3" s="4" t="s">
        <v>103</v>
      </c>
      <c r="R3" s="4" t="s">
        <v>102</v>
      </c>
      <c r="S3" s="4" t="s">
        <v>31</v>
      </c>
      <c r="U3" s="4"/>
      <c r="V3" s="4" t="s">
        <v>91</v>
      </c>
      <c r="W3" s="4" t="s">
        <v>90</v>
      </c>
      <c r="X3" s="4" t="s">
        <v>89</v>
      </c>
      <c r="Y3" s="4" t="s">
        <v>88</v>
      </c>
      <c r="Z3" s="4" t="s">
        <v>87</v>
      </c>
      <c r="AA3" s="4" t="s">
        <v>85</v>
      </c>
      <c r="AB3" s="5" t="s">
        <v>86</v>
      </c>
      <c r="AC3" s="4" t="s">
        <v>92</v>
      </c>
      <c r="AD3" s="4" t="s">
        <v>93</v>
      </c>
      <c r="AE3" s="4" t="s">
        <v>94</v>
      </c>
      <c r="AF3" s="4" t="s">
        <v>95</v>
      </c>
      <c r="AG3" s="4" t="s">
        <v>96</v>
      </c>
      <c r="AH3" s="4" t="s">
        <v>97</v>
      </c>
      <c r="AI3" s="4" t="s">
        <v>98</v>
      </c>
      <c r="AJ3" s="4" t="s">
        <v>99</v>
      </c>
      <c r="AK3" s="4" t="s">
        <v>100</v>
      </c>
    </row>
    <row r="4" spans="1:138" x14ac:dyDescent="0.25">
      <c r="A4" s="2" t="s">
        <v>1</v>
      </c>
      <c r="B4" s="3">
        <v>55.7</v>
      </c>
      <c r="C4" s="1" t="s">
        <v>16</v>
      </c>
      <c r="D4" s="1">
        <v>287</v>
      </c>
      <c r="E4" s="1">
        <v>509</v>
      </c>
      <c r="F4" s="1">
        <v>414</v>
      </c>
      <c r="G4" s="1">
        <v>362</v>
      </c>
      <c r="H4" s="1">
        <v>342</v>
      </c>
      <c r="I4" s="1">
        <v>613</v>
      </c>
      <c r="J4" s="1">
        <v>484</v>
      </c>
      <c r="K4" s="1">
        <v>407</v>
      </c>
      <c r="L4" s="1">
        <v>350</v>
      </c>
      <c r="M4" s="1">
        <v>689</v>
      </c>
      <c r="N4" s="1">
        <v>486</v>
      </c>
      <c r="O4" s="1">
        <v>405</v>
      </c>
      <c r="P4" s="1">
        <v>392</v>
      </c>
      <c r="Q4" s="1">
        <v>726</v>
      </c>
      <c r="R4" s="1">
        <v>487</v>
      </c>
      <c r="S4" s="1"/>
      <c r="U4" s="19"/>
      <c r="V4" s="19">
        <v>387.50700000000001</v>
      </c>
      <c r="W4" s="19">
        <v>912.73500000000001</v>
      </c>
      <c r="X4" s="19">
        <v>1356</v>
      </c>
      <c r="Y4" s="19">
        <v>1562</v>
      </c>
      <c r="Z4" s="19">
        <v>1842</v>
      </c>
      <c r="AA4" s="19">
        <v>1925</v>
      </c>
      <c r="AB4" s="21">
        <f>AA4*1.06</f>
        <v>2040.5</v>
      </c>
      <c r="AC4" s="19">
        <f>AB4*1.06</f>
        <v>2162.9300000000003</v>
      </c>
      <c r="AD4" s="19">
        <f t="shared" ref="AD4:AK4" si="0">AC4*1.06</f>
        <v>2292.7058000000006</v>
      </c>
      <c r="AE4" s="19">
        <f t="shared" si="0"/>
        <v>2430.268148000001</v>
      </c>
      <c r="AF4" s="19">
        <f t="shared" si="0"/>
        <v>2576.0842368800013</v>
      </c>
      <c r="AG4" s="19">
        <f t="shared" si="0"/>
        <v>2730.6492910928014</v>
      </c>
      <c r="AH4" s="19">
        <f t="shared" si="0"/>
        <v>2894.4882485583694</v>
      </c>
      <c r="AI4" s="19">
        <f t="shared" si="0"/>
        <v>3068.1575434718716</v>
      </c>
      <c r="AJ4" s="19">
        <f t="shared" si="0"/>
        <v>3252.2469960801841</v>
      </c>
      <c r="AK4" s="19">
        <f t="shared" si="0"/>
        <v>3447.3818158449953</v>
      </c>
    </row>
    <row r="5" spans="1:138" x14ac:dyDescent="0.25">
      <c r="A5" s="2" t="s">
        <v>2</v>
      </c>
      <c r="B5" s="14">
        <v>105.75545</v>
      </c>
      <c r="C5" s="2" t="s">
        <v>17</v>
      </c>
      <c r="D5" s="2">
        <v>-79</v>
      </c>
      <c r="E5" s="2">
        <v>-149</v>
      </c>
      <c r="F5" s="2">
        <v>-113</v>
      </c>
      <c r="G5" s="2">
        <v>-92</v>
      </c>
      <c r="H5" s="2">
        <v>-95</v>
      </c>
      <c r="I5" s="2">
        <v>-183</v>
      </c>
      <c r="J5" s="2">
        <v>-136</v>
      </c>
      <c r="K5" s="2">
        <v>-114</v>
      </c>
      <c r="L5" s="2">
        <v>-105</v>
      </c>
      <c r="M5" s="2">
        <v>-203</v>
      </c>
      <c r="N5" s="2">
        <v>-149</v>
      </c>
      <c r="O5" s="2">
        <v>-124</v>
      </c>
      <c r="P5" s="2">
        <v>-119</v>
      </c>
      <c r="Q5" s="2">
        <v>-219</v>
      </c>
      <c r="R5" s="2">
        <v>-141</v>
      </c>
      <c r="U5" s="20"/>
      <c r="V5" s="20">
        <v>-115.72</v>
      </c>
      <c r="W5" s="20">
        <v>-248.804</v>
      </c>
      <c r="X5" s="20">
        <v>-369</v>
      </c>
      <c r="Y5" s="20">
        <v>-434</v>
      </c>
      <c r="Z5" s="20">
        <v>-528</v>
      </c>
      <c r="AA5" s="20">
        <v>-581</v>
      </c>
      <c r="AB5" s="11">
        <f>AB4*-0.29</f>
        <v>-591.745</v>
      </c>
      <c r="AC5" s="41">
        <f t="shared" ref="AC5:AK5" si="1">AC4*-0.29</f>
        <v>-627.24970000000008</v>
      </c>
      <c r="AD5" s="41">
        <f t="shared" si="1"/>
        <v>-664.88468200000011</v>
      </c>
      <c r="AE5" s="41">
        <f t="shared" si="1"/>
        <v>-704.77776292000021</v>
      </c>
      <c r="AF5" s="41">
        <f t="shared" si="1"/>
        <v>-747.06442869520038</v>
      </c>
      <c r="AG5" s="41">
        <f t="shared" si="1"/>
        <v>-791.88829441691234</v>
      </c>
      <c r="AH5" s="41">
        <f t="shared" si="1"/>
        <v>-839.40159208192711</v>
      </c>
      <c r="AI5" s="41">
        <f t="shared" si="1"/>
        <v>-889.76568760684268</v>
      </c>
      <c r="AJ5" s="41">
        <f t="shared" si="1"/>
        <v>-943.15162886325334</v>
      </c>
      <c r="AK5" s="41">
        <f t="shared" si="1"/>
        <v>-999.74072659504861</v>
      </c>
    </row>
    <row r="6" spans="1:138" x14ac:dyDescent="0.25">
      <c r="A6" s="2" t="s">
        <v>11</v>
      </c>
      <c r="B6" s="12">
        <f>B4*B5</f>
        <v>5890.5785649999998</v>
      </c>
      <c r="C6" s="2" t="s">
        <v>18</v>
      </c>
      <c r="D6" s="2">
        <f t="shared" ref="D6:P6" si="2">SUM(D4:D5)</f>
        <v>208</v>
      </c>
      <c r="E6" s="2">
        <f t="shared" si="2"/>
        <v>360</v>
      </c>
      <c r="F6" s="2">
        <f t="shared" si="2"/>
        <v>301</v>
      </c>
      <c r="G6" s="2">
        <f t="shared" si="2"/>
        <v>270</v>
      </c>
      <c r="H6" s="2">
        <f t="shared" si="2"/>
        <v>247</v>
      </c>
      <c r="I6" s="2">
        <f t="shared" si="2"/>
        <v>430</v>
      </c>
      <c r="J6" s="2">
        <f t="shared" si="2"/>
        <v>348</v>
      </c>
      <c r="K6" s="2">
        <f t="shared" si="2"/>
        <v>293</v>
      </c>
      <c r="L6" s="2">
        <f t="shared" si="2"/>
        <v>245</v>
      </c>
      <c r="M6" s="2">
        <f t="shared" si="2"/>
        <v>486</v>
      </c>
      <c r="N6" s="2">
        <f t="shared" si="2"/>
        <v>337</v>
      </c>
      <c r="O6" s="2">
        <f t="shared" si="2"/>
        <v>281</v>
      </c>
      <c r="P6" s="2">
        <f t="shared" si="2"/>
        <v>273</v>
      </c>
      <c r="Q6" s="2">
        <f t="shared" ref="Q6:R6" si="3">SUM(Q4:Q5)</f>
        <v>507</v>
      </c>
      <c r="R6" s="2">
        <f t="shared" si="3"/>
        <v>346</v>
      </c>
      <c r="U6" s="20"/>
      <c r="V6" s="20">
        <f t="shared" ref="V6:AA6" si="4">SUM(V4:V5)</f>
        <v>271.78700000000003</v>
      </c>
      <c r="W6" s="20">
        <f t="shared" si="4"/>
        <v>663.93100000000004</v>
      </c>
      <c r="X6" s="20">
        <f t="shared" si="4"/>
        <v>987</v>
      </c>
      <c r="Y6" s="20">
        <f t="shared" si="4"/>
        <v>1128</v>
      </c>
      <c r="Z6" s="20">
        <f t="shared" si="4"/>
        <v>1314</v>
      </c>
      <c r="AA6" s="20">
        <f t="shared" si="4"/>
        <v>1344</v>
      </c>
      <c r="AB6" s="11">
        <f t="shared" ref="AB6:AK6" si="5">SUM(AB4:AB5)</f>
        <v>1448.7550000000001</v>
      </c>
      <c r="AC6" s="20">
        <f t="shared" si="5"/>
        <v>1535.6803000000002</v>
      </c>
      <c r="AD6" s="20">
        <f t="shared" si="5"/>
        <v>1627.8211180000005</v>
      </c>
      <c r="AE6" s="20">
        <f t="shared" si="5"/>
        <v>1725.4903850800008</v>
      </c>
      <c r="AF6" s="20">
        <f t="shared" si="5"/>
        <v>1829.0198081848009</v>
      </c>
      <c r="AG6" s="20">
        <f t="shared" si="5"/>
        <v>1938.7609966758891</v>
      </c>
      <c r="AH6" s="20">
        <f t="shared" si="5"/>
        <v>2055.0866564764424</v>
      </c>
      <c r="AI6" s="20">
        <f t="shared" si="5"/>
        <v>2178.3918558650289</v>
      </c>
      <c r="AJ6" s="20">
        <f t="shared" si="5"/>
        <v>2309.0953672169308</v>
      </c>
      <c r="AK6" s="20">
        <f t="shared" si="5"/>
        <v>2447.6410892499466</v>
      </c>
    </row>
    <row r="7" spans="1:138" x14ac:dyDescent="0.25">
      <c r="A7" s="2" t="s">
        <v>12</v>
      </c>
      <c r="B7" s="12">
        <f>P46</f>
        <v>181</v>
      </c>
      <c r="C7" s="2" t="s">
        <v>19</v>
      </c>
      <c r="D7" s="2">
        <v>-136</v>
      </c>
      <c r="E7" s="2">
        <v>-207</v>
      </c>
      <c r="F7" s="2">
        <v>-186</v>
      </c>
      <c r="G7" s="2">
        <v>-174</v>
      </c>
      <c r="H7" s="2">
        <v>-154</v>
      </c>
      <c r="I7" s="2">
        <v>-252</v>
      </c>
      <c r="J7" s="2">
        <v>-216</v>
      </c>
      <c r="K7" s="2">
        <v>-185</v>
      </c>
      <c r="L7" s="2">
        <v>-158</v>
      </c>
      <c r="M7" s="2">
        <v>-290</v>
      </c>
      <c r="N7" s="2">
        <v>-200</v>
      </c>
      <c r="O7" s="2">
        <v>-183</v>
      </c>
      <c r="P7" s="2">
        <v>-169</v>
      </c>
      <c r="Q7" s="2">
        <v>-287</v>
      </c>
      <c r="R7" s="2">
        <v>-204</v>
      </c>
      <c r="U7" s="20"/>
      <c r="V7" s="20">
        <v>-156.999</v>
      </c>
      <c r="W7" s="20">
        <v>-363.697</v>
      </c>
      <c r="X7" s="20">
        <v>-539</v>
      </c>
      <c r="Y7" s="20">
        <v>-701</v>
      </c>
      <c r="Z7" s="20">
        <v>-805</v>
      </c>
      <c r="AA7" s="20">
        <v>-831</v>
      </c>
      <c r="AB7" s="11">
        <f>AA7*1.03</f>
        <v>-855.93000000000006</v>
      </c>
      <c r="AC7" s="20">
        <f>AB7*1.04</f>
        <v>-890.16720000000009</v>
      </c>
      <c r="AD7" s="20">
        <f t="shared" ref="AD7:AK7" si="6">AC7*1.04</f>
        <v>-925.77388800000017</v>
      </c>
      <c r="AE7" s="20">
        <f t="shared" si="6"/>
        <v>-962.80484352000019</v>
      </c>
      <c r="AF7" s="20">
        <f t="shared" si="6"/>
        <v>-1001.3170372608002</v>
      </c>
      <c r="AG7" s="20">
        <f t="shared" si="6"/>
        <v>-1041.3697187512323</v>
      </c>
      <c r="AH7" s="20">
        <f t="shared" si="6"/>
        <v>-1083.0245075012817</v>
      </c>
      <c r="AI7" s="20">
        <f t="shared" si="6"/>
        <v>-1126.3454878013331</v>
      </c>
      <c r="AJ7" s="20">
        <f t="shared" si="6"/>
        <v>-1171.3993073133865</v>
      </c>
      <c r="AK7" s="20">
        <f t="shared" si="6"/>
        <v>-1218.2552796059219</v>
      </c>
    </row>
    <row r="8" spans="1:138" x14ac:dyDescent="0.25">
      <c r="A8" s="2" t="s">
        <v>13</v>
      </c>
      <c r="B8" s="12">
        <v>0</v>
      </c>
      <c r="C8" s="2" t="s">
        <v>20</v>
      </c>
      <c r="D8" s="2">
        <v>-21</v>
      </c>
      <c r="E8" s="2">
        <v>-41</v>
      </c>
      <c r="F8" s="2">
        <v>-22</v>
      </c>
      <c r="G8" s="2">
        <v>-25</v>
      </c>
      <c r="H8" s="2">
        <v>-24</v>
      </c>
      <c r="I8" s="2">
        <v>-31</v>
      </c>
      <c r="J8" s="2">
        <v>-28</v>
      </c>
      <c r="K8" s="2">
        <v>-31</v>
      </c>
      <c r="L8" s="2">
        <v>-25</v>
      </c>
      <c r="M8" s="2">
        <v>-36</v>
      </c>
      <c r="N8" s="2">
        <v>-51</v>
      </c>
      <c r="O8" s="2">
        <v>-31</v>
      </c>
      <c r="P8" s="2">
        <v>-27</v>
      </c>
      <c r="Q8" s="2">
        <v>-38</v>
      </c>
      <c r="R8" s="2">
        <v>-35</v>
      </c>
      <c r="U8" s="20"/>
      <c r="V8" s="20">
        <v>-29.635000000000002</v>
      </c>
      <c r="W8" s="20">
        <v>-48.594999999999999</v>
      </c>
      <c r="X8" s="20">
        <v>-77</v>
      </c>
      <c r="Y8" s="20">
        <v>-110</v>
      </c>
      <c r="Z8" s="20">
        <v>-114</v>
      </c>
      <c r="AA8" s="20">
        <v>-143</v>
      </c>
      <c r="AB8" s="11">
        <f t="shared" ref="AB8:AB10" si="7">AA8*1.03</f>
        <v>-147.29</v>
      </c>
      <c r="AC8" s="20">
        <f t="shared" ref="AC8:AK10" si="8">AB8*1.04</f>
        <v>-153.1816</v>
      </c>
      <c r="AD8" s="20">
        <f t="shared" si="8"/>
        <v>-159.308864</v>
      </c>
      <c r="AE8" s="20">
        <f t="shared" si="8"/>
        <v>-165.68121856000002</v>
      </c>
      <c r="AF8" s="20">
        <f t="shared" si="8"/>
        <v>-172.30846730240003</v>
      </c>
      <c r="AG8" s="20">
        <f t="shared" si="8"/>
        <v>-179.20080599449605</v>
      </c>
      <c r="AH8" s="20">
        <f t="shared" si="8"/>
        <v>-186.3688382342759</v>
      </c>
      <c r="AI8" s="20">
        <f t="shared" si="8"/>
        <v>-193.82359176364693</v>
      </c>
      <c r="AJ8" s="20">
        <f t="shared" si="8"/>
        <v>-201.57653543419281</v>
      </c>
      <c r="AK8" s="20">
        <f t="shared" si="8"/>
        <v>-209.63959685156053</v>
      </c>
    </row>
    <row r="9" spans="1:138" x14ac:dyDescent="0.25">
      <c r="A9" s="7" t="s">
        <v>14</v>
      </c>
      <c r="B9" s="13">
        <f>B6-B7+B8</f>
        <v>5709.5785649999998</v>
      </c>
      <c r="C9" s="2" t="s">
        <v>21</v>
      </c>
      <c r="D9" s="2">
        <v>-1</v>
      </c>
      <c r="E9" s="2">
        <v>-2</v>
      </c>
      <c r="F9" s="2">
        <v>-2</v>
      </c>
      <c r="G9" s="2">
        <v>-2</v>
      </c>
      <c r="H9" s="2">
        <v>-2</v>
      </c>
      <c r="I9" s="2">
        <v>-2</v>
      </c>
      <c r="J9" s="2">
        <v>-2</v>
      </c>
      <c r="K9" s="2">
        <v>-2</v>
      </c>
      <c r="L9" s="2">
        <v>-2</v>
      </c>
      <c r="M9" s="2">
        <v>-2</v>
      </c>
      <c r="N9" s="2">
        <v>-2</v>
      </c>
      <c r="O9" s="2">
        <v>-2</v>
      </c>
      <c r="P9" s="2">
        <v>-3</v>
      </c>
      <c r="Q9" s="2">
        <v>-3</v>
      </c>
      <c r="R9" s="2">
        <v>-3</v>
      </c>
      <c r="U9" s="20"/>
      <c r="V9" s="20">
        <v>-1.982</v>
      </c>
      <c r="W9" s="20">
        <v>-3.871</v>
      </c>
      <c r="X9" s="20">
        <v>-5</v>
      </c>
      <c r="Y9" s="20">
        <v>-7</v>
      </c>
      <c r="Z9" s="20">
        <v>-9</v>
      </c>
      <c r="AA9" s="20">
        <v>-9</v>
      </c>
      <c r="AB9" s="11">
        <f t="shared" si="7"/>
        <v>-9.27</v>
      </c>
      <c r="AC9" s="20">
        <f t="shared" si="8"/>
        <v>-9.6408000000000005</v>
      </c>
      <c r="AD9" s="20">
        <f t="shared" si="8"/>
        <v>-10.026432000000002</v>
      </c>
      <c r="AE9" s="20">
        <f t="shared" si="8"/>
        <v>-10.427489280000001</v>
      </c>
      <c r="AF9" s="20">
        <f t="shared" si="8"/>
        <v>-10.844588851200001</v>
      </c>
      <c r="AG9" s="20">
        <f t="shared" si="8"/>
        <v>-11.278372405248001</v>
      </c>
      <c r="AH9" s="20">
        <f t="shared" si="8"/>
        <v>-11.729507301457922</v>
      </c>
      <c r="AI9" s="20">
        <f t="shared" si="8"/>
        <v>-12.198687593516238</v>
      </c>
      <c r="AJ9" s="20">
        <f t="shared" si="8"/>
        <v>-12.686635097256888</v>
      </c>
      <c r="AK9" s="20">
        <f t="shared" si="8"/>
        <v>-13.194100501147163</v>
      </c>
    </row>
    <row r="10" spans="1:138" s="1" customFormat="1" x14ac:dyDescent="0.25">
      <c r="A10" s="2"/>
      <c r="B10" s="3"/>
      <c r="C10" s="2" t="s">
        <v>30</v>
      </c>
      <c r="D10" s="2">
        <v>0</v>
      </c>
      <c r="E10" s="2">
        <v>-5</v>
      </c>
      <c r="F10" s="2">
        <v>-4</v>
      </c>
      <c r="G10" s="2">
        <v>-1</v>
      </c>
      <c r="H10" s="2">
        <v>0</v>
      </c>
      <c r="I10" s="2">
        <v>-2</v>
      </c>
      <c r="J10" s="2">
        <v>0</v>
      </c>
      <c r="K10" s="2">
        <v>-1</v>
      </c>
      <c r="L10" s="2">
        <v>-3</v>
      </c>
      <c r="M10" s="2">
        <v>0</v>
      </c>
      <c r="N10" s="2">
        <v>-4</v>
      </c>
      <c r="O10" s="2">
        <v>-2</v>
      </c>
      <c r="P10" s="2">
        <v>0</v>
      </c>
      <c r="Q10" s="2">
        <v>-1</v>
      </c>
      <c r="R10" s="2">
        <v>0</v>
      </c>
      <c r="S10" s="2"/>
      <c r="U10" s="19"/>
      <c r="V10" s="20">
        <v>0</v>
      </c>
      <c r="W10" s="20">
        <v>-17.3</v>
      </c>
      <c r="X10" s="20">
        <v>0</v>
      </c>
      <c r="Y10" s="20">
        <v>0</v>
      </c>
      <c r="Z10" s="20">
        <v>0</v>
      </c>
      <c r="AA10" s="20">
        <v>-4</v>
      </c>
      <c r="AB10" s="11">
        <f t="shared" si="7"/>
        <v>-4.12</v>
      </c>
      <c r="AC10" s="20">
        <f t="shared" si="8"/>
        <v>-4.2848000000000006</v>
      </c>
      <c r="AD10" s="20">
        <f t="shared" si="8"/>
        <v>-4.4561920000000006</v>
      </c>
      <c r="AE10" s="20">
        <f t="shared" si="8"/>
        <v>-4.6344396800000007</v>
      </c>
      <c r="AF10" s="20">
        <f t="shared" si="8"/>
        <v>-4.8198172672000013</v>
      </c>
      <c r="AG10" s="20">
        <f t="shared" si="8"/>
        <v>-5.0126099578880012</v>
      </c>
      <c r="AH10" s="20">
        <f t="shared" si="8"/>
        <v>-5.2131143562035218</v>
      </c>
      <c r="AI10" s="20">
        <f t="shared" si="8"/>
        <v>-5.421638930451663</v>
      </c>
      <c r="AJ10" s="20">
        <f t="shared" si="8"/>
        <v>-5.6385044876697297</v>
      </c>
      <c r="AK10" s="20">
        <f t="shared" si="8"/>
        <v>-5.8640446671765192</v>
      </c>
    </row>
    <row r="11" spans="1:138" x14ac:dyDescent="0.25">
      <c r="C11" s="1" t="s">
        <v>22</v>
      </c>
      <c r="D11" s="1">
        <f t="shared" ref="D11:P11" si="9">SUM(D6:D10)</f>
        <v>50</v>
      </c>
      <c r="E11" s="1">
        <f t="shared" si="9"/>
        <v>105</v>
      </c>
      <c r="F11" s="1">
        <f t="shared" si="9"/>
        <v>87</v>
      </c>
      <c r="G11" s="1">
        <f t="shared" si="9"/>
        <v>68</v>
      </c>
      <c r="H11" s="1">
        <f t="shared" si="9"/>
        <v>67</v>
      </c>
      <c r="I11" s="1">
        <f t="shared" si="9"/>
        <v>143</v>
      </c>
      <c r="J11" s="1">
        <f t="shared" si="9"/>
        <v>102</v>
      </c>
      <c r="K11" s="1">
        <f t="shared" si="9"/>
        <v>74</v>
      </c>
      <c r="L11" s="1">
        <f t="shared" si="9"/>
        <v>57</v>
      </c>
      <c r="M11" s="1">
        <f t="shared" si="9"/>
        <v>158</v>
      </c>
      <c r="N11" s="1">
        <f t="shared" si="9"/>
        <v>80</v>
      </c>
      <c r="O11" s="1">
        <f t="shared" si="9"/>
        <v>63</v>
      </c>
      <c r="P11" s="1">
        <f t="shared" si="9"/>
        <v>74</v>
      </c>
      <c r="Q11" s="1">
        <f t="shared" ref="Q11:R11" si="10">SUM(Q6:Q10)</f>
        <v>178</v>
      </c>
      <c r="R11" s="1">
        <f t="shared" si="10"/>
        <v>104</v>
      </c>
      <c r="S11" s="1"/>
      <c r="U11" s="20"/>
      <c r="V11" s="19">
        <f t="shared" ref="V11:AA11" si="11">SUM(V6:V10)</f>
        <v>83.171000000000035</v>
      </c>
      <c r="W11" s="19">
        <f t="shared" si="11"/>
        <v>230.46800000000002</v>
      </c>
      <c r="X11" s="19">
        <f t="shared" si="11"/>
        <v>366</v>
      </c>
      <c r="Y11" s="19">
        <f t="shared" si="11"/>
        <v>310</v>
      </c>
      <c r="Z11" s="19">
        <f t="shared" si="11"/>
        <v>386</v>
      </c>
      <c r="AA11" s="19">
        <f t="shared" si="11"/>
        <v>357</v>
      </c>
      <c r="AB11" s="21">
        <f t="shared" ref="AB11:AK11" si="12">SUM(AB6:AB10)</f>
        <v>432.1450000000001</v>
      </c>
      <c r="AC11" s="19">
        <f t="shared" si="12"/>
        <v>478.40590000000009</v>
      </c>
      <c r="AD11" s="19">
        <f t="shared" si="12"/>
        <v>528.2557420000004</v>
      </c>
      <c r="AE11" s="19">
        <f t="shared" si="12"/>
        <v>581.94239404000052</v>
      </c>
      <c r="AF11" s="19">
        <f t="shared" si="12"/>
        <v>639.72989750320062</v>
      </c>
      <c r="AG11" s="19">
        <f t="shared" si="12"/>
        <v>701.89948956702483</v>
      </c>
      <c r="AH11" s="19">
        <f t="shared" si="12"/>
        <v>768.75068908322328</v>
      </c>
      <c r="AI11" s="19">
        <f t="shared" si="12"/>
        <v>840.60244977608102</v>
      </c>
      <c r="AJ11" s="19">
        <f t="shared" si="12"/>
        <v>917.79438488442486</v>
      </c>
      <c r="AK11" s="19">
        <f t="shared" si="12"/>
        <v>1000.6880676241404</v>
      </c>
    </row>
    <row r="12" spans="1:138" x14ac:dyDescent="0.25">
      <c r="C12" s="2" t="s">
        <v>23</v>
      </c>
      <c r="D12" s="2">
        <v>0</v>
      </c>
      <c r="E12" s="2">
        <v>0</v>
      </c>
      <c r="F12" s="2">
        <v>0</v>
      </c>
      <c r="G12" s="2">
        <v>1</v>
      </c>
      <c r="H12" s="2">
        <v>1</v>
      </c>
      <c r="I12" s="2">
        <v>2</v>
      </c>
      <c r="J12" s="2">
        <v>2</v>
      </c>
      <c r="K12" s="2">
        <v>2</v>
      </c>
      <c r="L12" s="2">
        <v>2</v>
      </c>
      <c r="M12" s="2">
        <v>1</v>
      </c>
      <c r="N12" s="2">
        <v>0</v>
      </c>
      <c r="O12" s="2">
        <v>1</v>
      </c>
      <c r="P12" s="2">
        <v>0</v>
      </c>
      <c r="Q12" s="2">
        <v>1</v>
      </c>
      <c r="R12" s="2">
        <v>1</v>
      </c>
      <c r="U12" s="19"/>
      <c r="V12" s="20">
        <v>0</v>
      </c>
      <c r="W12" s="20">
        <v>0</v>
      </c>
      <c r="X12" s="20">
        <v>0</v>
      </c>
      <c r="Y12" s="20">
        <v>1</v>
      </c>
      <c r="Z12" s="20">
        <v>8</v>
      </c>
      <c r="AA12" s="20">
        <v>4</v>
      </c>
      <c r="AB12" s="11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0</v>
      </c>
    </row>
    <row r="13" spans="1:138" x14ac:dyDescent="0.25">
      <c r="C13" s="2" t="s">
        <v>24</v>
      </c>
      <c r="D13" s="2">
        <v>-1</v>
      </c>
      <c r="E13" s="2">
        <v>-2</v>
      </c>
      <c r="F13" s="2">
        <v>-2</v>
      </c>
      <c r="G13" s="2">
        <v>-1</v>
      </c>
      <c r="H13" s="2">
        <v>-1</v>
      </c>
      <c r="I13" s="2">
        <v>-1</v>
      </c>
      <c r="J13" s="2">
        <v>-1</v>
      </c>
      <c r="K13" s="2">
        <v>-1</v>
      </c>
      <c r="L13" s="2">
        <v>-1</v>
      </c>
      <c r="M13" s="2">
        <v>-1</v>
      </c>
      <c r="N13" s="2">
        <v>-1</v>
      </c>
      <c r="O13" s="2">
        <v>-1</v>
      </c>
      <c r="P13" s="2">
        <v>-1</v>
      </c>
      <c r="Q13" s="2">
        <v>-1</v>
      </c>
      <c r="R13" s="2">
        <v>-1</v>
      </c>
      <c r="U13" s="20"/>
      <c r="V13" s="20">
        <v>-7</v>
      </c>
      <c r="W13" s="20">
        <v>-12</v>
      </c>
      <c r="X13" s="20">
        <v>-3</v>
      </c>
      <c r="Y13" s="20">
        <v>-5</v>
      </c>
      <c r="Z13" s="20">
        <v>-4</v>
      </c>
      <c r="AA13" s="20">
        <v>-4</v>
      </c>
      <c r="AB13" s="11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</row>
    <row r="14" spans="1:138" x14ac:dyDescent="0.25">
      <c r="C14" s="2" t="s">
        <v>25</v>
      </c>
      <c r="D14" s="2">
        <f t="shared" ref="D14:P14" si="13">SUM(D11:D13)</f>
        <v>49</v>
      </c>
      <c r="E14" s="2">
        <f t="shared" si="13"/>
        <v>103</v>
      </c>
      <c r="F14" s="2">
        <f t="shared" si="13"/>
        <v>85</v>
      </c>
      <c r="G14" s="2">
        <f t="shared" si="13"/>
        <v>68</v>
      </c>
      <c r="H14" s="2">
        <f t="shared" si="13"/>
        <v>67</v>
      </c>
      <c r="I14" s="2">
        <f t="shared" si="13"/>
        <v>144</v>
      </c>
      <c r="J14" s="2">
        <f t="shared" si="13"/>
        <v>103</v>
      </c>
      <c r="K14" s="2">
        <f t="shared" si="13"/>
        <v>75</v>
      </c>
      <c r="L14" s="2">
        <f t="shared" si="13"/>
        <v>58</v>
      </c>
      <c r="M14" s="2">
        <f t="shared" si="13"/>
        <v>158</v>
      </c>
      <c r="N14" s="2">
        <f t="shared" si="13"/>
        <v>79</v>
      </c>
      <c r="O14" s="2">
        <f t="shared" si="13"/>
        <v>63</v>
      </c>
      <c r="P14" s="2">
        <f t="shared" si="13"/>
        <v>73</v>
      </c>
      <c r="Q14" s="2">
        <f t="shared" ref="Q14:R14" si="14">SUM(Q11:Q13)</f>
        <v>178</v>
      </c>
      <c r="R14" s="2">
        <f t="shared" si="14"/>
        <v>104</v>
      </c>
      <c r="U14" s="19"/>
      <c r="V14" s="20">
        <f t="shared" ref="V14:AA14" si="15">SUM(V11:V13)</f>
        <v>76.171000000000035</v>
      </c>
      <c r="W14" s="20">
        <f t="shared" si="15"/>
        <v>218.46800000000002</v>
      </c>
      <c r="X14" s="20">
        <f t="shared" si="15"/>
        <v>363</v>
      </c>
      <c r="Y14" s="20">
        <f t="shared" si="15"/>
        <v>306</v>
      </c>
      <c r="Z14" s="20">
        <f t="shared" si="15"/>
        <v>390</v>
      </c>
      <c r="AA14" s="20">
        <f t="shared" si="15"/>
        <v>357</v>
      </c>
      <c r="AB14" s="11">
        <f t="shared" ref="AB14:AK14" si="16">SUM(AB11:AB13)</f>
        <v>432.1450000000001</v>
      </c>
      <c r="AC14" s="20">
        <f t="shared" si="16"/>
        <v>478.40590000000009</v>
      </c>
      <c r="AD14" s="20">
        <f t="shared" si="16"/>
        <v>528.2557420000004</v>
      </c>
      <c r="AE14" s="20">
        <f t="shared" si="16"/>
        <v>581.94239404000052</v>
      </c>
      <c r="AF14" s="20">
        <f t="shared" si="16"/>
        <v>639.72989750320062</v>
      </c>
      <c r="AG14" s="20">
        <f t="shared" si="16"/>
        <v>701.89948956702483</v>
      </c>
      <c r="AH14" s="20">
        <f t="shared" si="16"/>
        <v>768.75068908322328</v>
      </c>
      <c r="AI14" s="20">
        <f t="shared" si="16"/>
        <v>840.60244977608102</v>
      </c>
      <c r="AJ14" s="20">
        <f t="shared" si="16"/>
        <v>917.79438488442486</v>
      </c>
      <c r="AK14" s="20">
        <f t="shared" si="16"/>
        <v>1000.6880676241404</v>
      </c>
    </row>
    <row r="15" spans="1:138" x14ac:dyDescent="0.25">
      <c r="C15" s="2" t="s">
        <v>26</v>
      </c>
      <c r="D15" s="2">
        <v>-10</v>
      </c>
      <c r="E15" s="2">
        <v>-21</v>
      </c>
      <c r="F15" s="2">
        <v>-18</v>
      </c>
      <c r="G15" s="2">
        <v>-14</v>
      </c>
      <c r="H15" s="2">
        <v>-14</v>
      </c>
      <c r="I15" s="2">
        <v>-30</v>
      </c>
      <c r="J15" s="2">
        <v>-22</v>
      </c>
      <c r="K15" s="2">
        <v>-15</v>
      </c>
      <c r="L15" s="2">
        <v>-12</v>
      </c>
      <c r="M15" s="2">
        <v>-33</v>
      </c>
      <c r="N15" s="2">
        <v>-17</v>
      </c>
      <c r="O15" s="2">
        <v>-12</v>
      </c>
      <c r="P15" s="2">
        <v>-16</v>
      </c>
      <c r="Q15" s="2">
        <v>-37</v>
      </c>
      <c r="R15" s="2">
        <v>-22</v>
      </c>
      <c r="U15" s="20"/>
      <c r="V15" s="20">
        <v>-16.5</v>
      </c>
      <c r="W15" s="20">
        <v>-46.835000000000001</v>
      </c>
      <c r="X15" s="20">
        <v>-75</v>
      </c>
      <c r="Y15" s="20">
        <v>-63</v>
      </c>
      <c r="Z15" s="20">
        <v>-81</v>
      </c>
      <c r="AA15" s="20">
        <v>-74</v>
      </c>
      <c r="AB15" s="11">
        <f>AB14*-0.2</f>
        <v>-86.42900000000003</v>
      </c>
      <c r="AC15" s="20">
        <f t="shared" ref="AC15:AK15" si="17">AC14*-0.2</f>
        <v>-95.681180000000026</v>
      </c>
      <c r="AD15" s="20">
        <f t="shared" si="17"/>
        <v>-105.65114840000008</v>
      </c>
      <c r="AE15" s="20">
        <f t="shared" si="17"/>
        <v>-116.38847880800012</v>
      </c>
      <c r="AF15" s="20">
        <f t="shared" si="17"/>
        <v>-127.94597950064014</v>
      </c>
      <c r="AG15" s="20">
        <f t="shared" si="17"/>
        <v>-140.37989791340496</v>
      </c>
      <c r="AH15" s="20">
        <f t="shared" si="17"/>
        <v>-153.75013781664467</v>
      </c>
      <c r="AI15" s="20">
        <f t="shared" si="17"/>
        <v>-168.12048995521621</v>
      </c>
      <c r="AJ15" s="20">
        <f t="shared" si="17"/>
        <v>-183.55887697688499</v>
      </c>
      <c r="AK15" s="20">
        <f t="shared" si="17"/>
        <v>-200.13761352482811</v>
      </c>
    </row>
    <row r="16" spans="1:138" x14ac:dyDescent="0.25">
      <c r="C16" s="1" t="s">
        <v>27</v>
      </c>
      <c r="D16" s="1">
        <f t="shared" ref="D16:P16" si="18">SUM(D14:D15)</f>
        <v>39</v>
      </c>
      <c r="E16" s="1">
        <f t="shared" si="18"/>
        <v>82</v>
      </c>
      <c r="F16" s="1">
        <f t="shared" si="18"/>
        <v>67</v>
      </c>
      <c r="G16" s="1">
        <f t="shared" si="18"/>
        <v>54</v>
      </c>
      <c r="H16" s="1">
        <f t="shared" si="18"/>
        <v>53</v>
      </c>
      <c r="I16" s="1">
        <f t="shared" si="18"/>
        <v>114</v>
      </c>
      <c r="J16" s="1">
        <f t="shared" si="18"/>
        <v>81</v>
      </c>
      <c r="K16" s="1">
        <f t="shared" si="18"/>
        <v>60</v>
      </c>
      <c r="L16" s="1">
        <f t="shared" si="18"/>
        <v>46</v>
      </c>
      <c r="M16" s="1">
        <f t="shared" si="18"/>
        <v>125</v>
      </c>
      <c r="N16" s="1">
        <f t="shared" si="18"/>
        <v>62</v>
      </c>
      <c r="O16" s="1">
        <f t="shared" si="18"/>
        <v>51</v>
      </c>
      <c r="P16" s="1">
        <f t="shared" si="18"/>
        <v>57</v>
      </c>
      <c r="Q16" s="1">
        <f t="shared" ref="Q16:R16" si="19">SUM(Q14:Q15)</f>
        <v>141</v>
      </c>
      <c r="R16" s="1">
        <f t="shared" si="19"/>
        <v>82</v>
      </c>
      <c r="S16" s="1"/>
      <c r="U16" s="20"/>
      <c r="V16" s="19">
        <f t="shared" ref="V16:AA16" si="20">SUM(V14:V15)</f>
        <v>59.671000000000035</v>
      </c>
      <c r="W16" s="19">
        <f t="shared" si="20"/>
        <v>171.63300000000001</v>
      </c>
      <c r="X16" s="19">
        <f t="shared" si="20"/>
        <v>288</v>
      </c>
      <c r="Y16" s="19">
        <f t="shared" si="20"/>
        <v>243</v>
      </c>
      <c r="Z16" s="19">
        <f t="shared" si="20"/>
        <v>309</v>
      </c>
      <c r="AA16" s="19">
        <f t="shared" si="20"/>
        <v>283</v>
      </c>
      <c r="AB16" s="21">
        <f t="shared" ref="AB16:AK16" si="21">SUM(AB14:AB15)</f>
        <v>345.71600000000007</v>
      </c>
      <c r="AC16" s="19">
        <f t="shared" si="21"/>
        <v>382.72472000000005</v>
      </c>
      <c r="AD16" s="19">
        <f t="shared" si="21"/>
        <v>422.60459360000033</v>
      </c>
      <c r="AE16" s="19">
        <f t="shared" si="21"/>
        <v>465.55391523200041</v>
      </c>
      <c r="AF16" s="19">
        <f t="shared" si="21"/>
        <v>511.78391800256048</v>
      </c>
      <c r="AG16" s="19">
        <f t="shared" si="21"/>
        <v>561.51959165361984</v>
      </c>
      <c r="AH16" s="19">
        <f t="shared" si="21"/>
        <v>615.00055126657867</v>
      </c>
      <c r="AI16" s="19">
        <f t="shared" si="21"/>
        <v>672.48195982086486</v>
      </c>
      <c r="AJ16" s="19">
        <f t="shared" si="21"/>
        <v>734.23550790753984</v>
      </c>
      <c r="AK16" s="19">
        <f t="shared" si="21"/>
        <v>800.55045409931233</v>
      </c>
      <c r="AL16" s="19">
        <f>AK16*(1+AN20)</f>
        <v>792.54494955831922</v>
      </c>
      <c r="AM16" s="19">
        <f t="shared" ref="AM16:CX16" si="22">AL16*(1+AO20)</f>
        <v>792.54494955831922</v>
      </c>
      <c r="AN16" s="19">
        <f t="shared" si="22"/>
        <v>792.54494955831922</v>
      </c>
      <c r="AO16" s="19">
        <f t="shared" si="22"/>
        <v>792.54494955831922</v>
      </c>
      <c r="AP16" s="19">
        <f t="shared" si="22"/>
        <v>792.54494955831922</v>
      </c>
      <c r="AQ16" s="19">
        <f t="shared" si="22"/>
        <v>792.54494955831922</v>
      </c>
      <c r="AR16" s="19">
        <f t="shared" si="22"/>
        <v>792.54494955831922</v>
      </c>
      <c r="AS16" s="19">
        <f t="shared" si="22"/>
        <v>792.54494955831922</v>
      </c>
      <c r="AT16" s="19">
        <f t="shared" si="22"/>
        <v>792.54494955831922</v>
      </c>
      <c r="AU16" s="19">
        <f t="shared" si="22"/>
        <v>792.54494955831922</v>
      </c>
      <c r="AV16" s="19">
        <f t="shared" si="22"/>
        <v>792.54494955831922</v>
      </c>
      <c r="AW16" s="19">
        <f t="shared" si="22"/>
        <v>792.54494955831922</v>
      </c>
      <c r="AX16" s="19">
        <f t="shared" si="22"/>
        <v>792.54494955831922</v>
      </c>
      <c r="AY16" s="19">
        <f t="shared" si="22"/>
        <v>792.54494955831922</v>
      </c>
      <c r="AZ16" s="19">
        <f t="shared" si="22"/>
        <v>792.54494955831922</v>
      </c>
      <c r="BA16" s="19">
        <f t="shared" si="22"/>
        <v>792.54494955831922</v>
      </c>
      <c r="BB16" s="19">
        <f t="shared" si="22"/>
        <v>792.54494955831922</v>
      </c>
      <c r="BC16" s="19">
        <f t="shared" si="22"/>
        <v>792.54494955831922</v>
      </c>
      <c r="BD16" s="19">
        <f t="shared" si="22"/>
        <v>792.54494955831922</v>
      </c>
      <c r="BE16" s="19">
        <f t="shared" si="22"/>
        <v>792.54494955831922</v>
      </c>
      <c r="BF16" s="19">
        <f t="shared" si="22"/>
        <v>792.54494955831922</v>
      </c>
      <c r="BG16" s="19">
        <f t="shared" si="22"/>
        <v>792.54494955831922</v>
      </c>
      <c r="BH16" s="19">
        <f t="shared" si="22"/>
        <v>792.54494955831922</v>
      </c>
      <c r="BI16" s="19">
        <f t="shared" si="22"/>
        <v>792.54494955831922</v>
      </c>
      <c r="BJ16" s="19">
        <f t="shared" si="22"/>
        <v>792.54494955831922</v>
      </c>
      <c r="BK16" s="19">
        <f t="shared" si="22"/>
        <v>792.54494955831922</v>
      </c>
      <c r="BL16" s="19">
        <f t="shared" si="22"/>
        <v>792.54494955831922</v>
      </c>
      <c r="BM16" s="19">
        <f t="shared" si="22"/>
        <v>792.54494955831922</v>
      </c>
      <c r="BN16" s="19">
        <f t="shared" si="22"/>
        <v>792.54494955831922</v>
      </c>
      <c r="BO16" s="19">
        <f t="shared" si="22"/>
        <v>792.54494955831922</v>
      </c>
      <c r="BP16" s="19">
        <f t="shared" si="22"/>
        <v>792.54494955831922</v>
      </c>
      <c r="BQ16" s="19">
        <f t="shared" si="22"/>
        <v>792.54494955831922</v>
      </c>
      <c r="BR16" s="19">
        <f t="shared" si="22"/>
        <v>792.54494955831922</v>
      </c>
      <c r="BS16" s="19">
        <f t="shared" si="22"/>
        <v>792.54494955831922</v>
      </c>
      <c r="BT16" s="19">
        <f t="shared" si="22"/>
        <v>792.54494955831922</v>
      </c>
      <c r="BU16" s="19">
        <f t="shared" si="22"/>
        <v>792.54494955831922</v>
      </c>
      <c r="BV16" s="19">
        <f t="shared" si="22"/>
        <v>792.54494955831922</v>
      </c>
      <c r="BW16" s="19">
        <f t="shared" si="22"/>
        <v>792.54494955831922</v>
      </c>
      <c r="BX16" s="19">
        <f t="shared" si="22"/>
        <v>792.54494955831922</v>
      </c>
      <c r="BY16" s="19">
        <f t="shared" si="22"/>
        <v>792.54494955831922</v>
      </c>
      <c r="BZ16" s="19">
        <f t="shared" si="22"/>
        <v>792.54494955831922</v>
      </c>
      <c r="CA16" s="19">
        <f t="shared" si="22"/>
        <v>792.54494955831922</v>
      </c>
      <c r="CB16" s="19">
        <f t="shared" si="22"/>
        <v>792.54494955831922</v>
      </c>
      <c r="CC16" s="19">
        <f t="shared" si="22"/>
        <v>792.54494955831922</v>
      </c>
      <c r="CD16" s="19">
        <f t="shared" si="22"/>
        <v>792.54494955831922</v>
      </c>
      <c r="CE16" s="19">
        <f t="shared" si="22"/>
        <v>792.54494955831922</v>
      </c>
      <c r="CF16" s="19">
        <f t="shared" si="22"/>
        <v>792.54494955831922</v>
      </c>
      <c r="CG16" s="19">
        <f t="shared" si="22"/>
        <v>792.54494955831922</v>
      </c>
      <c r="CH16" s="19">
        <f t="shared" si="22"/>
        <v>792.54494955831922</v>
      </c>
      <c r="CI16" s="19">
        <f t="shared" si="22"/>
        <v>792.54494955831922</v>
      </c>
      <c r="CJ16" s="19">
        <f t="shared" si="22"/>
        <v>792.54494955831922</v>
      </c>
      <c r="CK16" s="19">
        <f t="shared" si="22"/>
        <v>792.54494955831922</v>
      </c>
      <c r="CL16" s="19">
        <f t="shared" si="22"/>
        <v>792.54494955831922</v>
      </c>
      <c r="CM16" s="19">
        <f t="shared" si="22"/>
        <v>792.54494955831922</v>
      </c>
      <c r="CN16" s="19">
        <f t="shared" si="22"/>
        <v>792.54494955831922</v>
      </c>
      <c r="CO16" s="19">
        <f t="shared" si="22"/>
        <v>792.54494955831922</v>
      </c>
      <c r="CP16" s="19">
        <f t="shared" si="22"/>
        <v>792.54494955831922</v>
      </c>
      <c r="CQ16" s="19">
        <f t="shared" si="22"/>
        <v>792.54494955831922</v>
      </c>
      <c r="CR16" s="19">
        <f t="shared" si="22"/>
        <v>792.54494955831922</v>
      </c>
      <c r="CS16" s="19">
        <f t="shared" si="22"/>
        <v>792.54494955831922</v>
      </c>
      <c r="CT16" s="19">
        <f t="shared" si="22"/>
        <v>792.54494955831922</v>
      </c>
      <c r="CU16" s="19">
        <f t="shared" si="22"/>
        <v>792.54494955831922</v>
      </c>
      <c r="CV16" s="19">
        <f t="shared" si="22"/>
        <v>792.54494955831922</v>
      </c>
      <c r="CW16" s="19">
        <f t="shared" si="22"/>
        <v>792.54494955831922</v>
      </c>
      <c r="CX16" s="19">
        <f t="shared" si="22"/>
        <v>792.54494955831922</v>
      </c>
      <c r="CY16" s="19">
        <f t="shared" ref="CY16:EH16" si="23">CX16*(1+DA20)</f>
        <v>792.54494955831922</v>
      </c>
      <c r="CZ16" s="19">
        <f t="shared" si="23"/>
        <v>792.54494955831922</v>
      </c>
      <c r="DA16" s="19">
        <f t="shared" si="23"/>
        <v>792.54494955831922</v>
      </c>
      <c r="DB16" s="19">
        <f t="shared" si="23"/>
        <v>792.54494955831922</v>
      </c>
      <c r="DC16" s="19">
        <f t="shared" si="23"/>
        <v>792.54494955831922</v>
      </c>
      <c r="DD16" s="19">
        <f t="shared" si="23"/>
        <v>792.54494955831922</v>
      </c>
      <c r="DE16" s="19">
        <f t="shared" si="23"/>
        <v>792.54494955831922</v>
      </c>
      <c r="DF16" s="19">
        <f t="shared" si="23"/>
        <v>792.54494955831922</v>
      </c>
      <c r="DG16" s="19">
        <f t="shared" si="23"/>
        <v>792.54494955831922</v>
      </c>
      <c r="DH16" s="19">
        <f t="shared" si="23"/>
        <v>792.54494955831922</v>
      </c>
      <c r="DI16" s="19">
        <f t="shared" si="23"/>
        <v>792.54494955831922</v>
      </c>
      <c r="DJ16" s="19">
        <f t="shared" si="23"/>
        <v>792.54494955831922</v>
      </c>
      <c r="DK16" s="19">
        <f t="shared" si="23"/>
        <v>792.54494955831922</v>
      </c>
      <c r="DL16" s="19">
        <f t="shared" si="23"/>
        <v>792.54494955831922</v>
      </c>
      <c r="DM16" s="19">
        <f t="shared" si="23"/>
        <v>792.54494955831922</v>
      </c>
      <c r="DN16" s="19">
        <f t="shared" si="23"/>
        <v>792.54494955831922</v>
      </c>
      <c r="DO16" s="19">
        <f t="shared" si="23"/>
        <v>792.54494955831922</v>
      </c>
      <c r="DP16" s="19">
        <f t="shared" si="23"/>
        <v>792.54494955831922</v>
      </c>
      <c r="DQ16" s="19">
        <f t="shared" si="23"/>
        <v>792.54494955831922</v>
      </c>
      <c r="DR16" s="19">
        <f t="shared" si="23"/>
        <v>792.54494955831922</v>
      </c>
      <c r="DS16" s="19">
        <f t="shared" si="23"/>
        <v>792.54494955831922</v>
      </c>
      <c r="DT16" s="19">
        <f t="shared" si="23"/>
        <v>792.54494955831922</v>
      </c>
      <c r="DU16" s="19">
        <f t="shared" si="23"/>
        <v>792.54494955831922</v>
      </c>
      <c r="DV16" s="19">
        <f t="shared" si="23"/>
        <v>792.54494955831922</v>
      </c>
      <c r="DW16" s="19">
        <f t="shared" si="23"/>
        <v>792.54494955831922</v>
      </c>
      <c r="DX16" s="19">
        <f t="shared" si="23"/>
        <v>792.54494955831922</v>
      </c>
      <c r="DY16" s="19">
        <f t="shared" si="23"/>
        <v>792.54494955831922</v>
      </c>
      <c r="DZ16" s="19">
        <f t="shared" si="23"/>
        <v>792.54494955831922</v>
      </c>
      <c r="EA16" s="19">
        <f t="shared" si="23"/>
        <v>792.54494955831922</v>
      </c>
      <c r="EB16" s="19">
        <f t="shared" si="23"/>
        <v>792.54494955831922</v>
      </c>
      <c r="EC16" s="19">
        <f t="shared" si="23"/>
        <v>792.54494955831922</v>
      </c>
      <c r="ED16" s="19">
        <f t="shared" si="23"/>
        <v>792.54494955831922</v>
      </c>
      <c r="EE16" s="19">
        <f t="shared" si="23"/>
        <v>792.54494955831922</v>
      </c>
      <c r="EF16" s="19">
        <f t="shared" si="23"/>
        <v>792.54494955831922</v>
      </c>
      <c r="EG16" s="19">
        <f t="shared" si="23"/>
        <v>792.54494955831922</v>
      </c>
      <c r="EH16" s="19">
        <f t="shared" si="23"/>
        <v>792.54494955831922</v>
      </c>
    </row>
    <row r="17" spans="2:40" x14ac:dyDescent="0.25">
      <c r="C17" s="2" t="s">
        <v>28</v>
      </c>
      <c r="D17" s="16">
        <v>111.065657</v>
      </c>
      <c r="E17" s="16">
        <v>111.065657</v>
      </c>
      <c r="F17" s="16">
        <v>111.065657</v>
      </c>
      <c r="G17" s="16">
        <v>111.065657</v>
      </c>
      <c r="H17" s="16">
        <v>111.065657</v>
      </c>
      <c r="I17" s="16">
        <v>111.065657</v>
      </c>
      <c r="J17" s="16">
        <v>111.065657</v>
      </c>
      <c r="K17" s="16">
        <v>111.065657</v>
      </c>
      <c r="L17" s="16">
        <v>111.065657</v>
      </c>
      <c r="M17" s="16">
        <v>111.065657</v>
      </c>
      <c r="N17" s="16">
        <v>105.75545</v>
      </c>
      <c r="O17" s="16">
        <v>105.75545</v>
      </c>
      <c r="P17" s="16">
        <v>105.75545</v>
      </c>
      <c r="Q17" s="16">
        <v>105.75545</v>
      </c>
      <c r="R17" s="16">
        <v>105.75545</v>
      </c>
      <c r="V17" s="16">
        <v>107.767</v>
      </c>
      <c r="W17" s="16">
        <v>107.767</v>
      </c>
      <c r="X17" s="16">
        <v>112.91891800000001</v>
      </c>
      <c r="Y17" s="16">
        <v>112.91891800000001</v>
      </c>
      <c r="Z17" s="16">
        <v>112.91891800000001</v>
      </c>
      <c r="AA17" s="16">
        <v>111.065657</v>
      </c>
      <c r="AB17" s="14">
        <v>105.75545</v>
      </c>
      <c r="AC17" s="16">
        <v>105.75545</v>
      </c>
      <c r="AD17" s="16">
        <v>105.75545</v>
      </c>
      <c r="AE17" s="16">
        <v>105.75545</v>
      </c>
      <c r="AF17" s="16">
        <v>105.75545</v>
      </c>
      <c r="AG17" s="16">
        <v>105.75545</v>
      </c>
      <c r="AH17" s="16">
        <v>105.75545</v>
      </c>
      <c r="AI17" s="16">
        <v>105.75545</v>
      </c>
      <c r="AJ17" s="16">
        <v>105.75545</v>
      </c>
      <c r="AK17" s="16">
        <v>105.75545</v>
      </c>
    </row>
    <row r="18" spans="2:40" x14ac:dyDescent="0.25">
      <c r="C18" s="2" t="s">
        <v>29</v>
      </c>
      <c r="D18" s="15">
        <f t="shared" ref="D18:P18" si="24">D16/D17</f>
        <v>0.35114364830165279</v>
      </c>
      <c r="E18" s="15">
        <f t="shared" si="24"/>
        <v>0.73830202976244941</v>
      </c>
      <c r="F18" s="15">
        <f t="shared" si="24"/>
        <v>0.60324678041565993</v>
      </c>
      <c r="G18" s="15">
        <f t="shared" si="24"/>
        <v>0.48619889764844232</v>
      </c>
      <c r="H18" s="15">
        <f t="shared" si="24"/>
        <v>0.47719521435865631</v>
      </c>
      <c r="I18" s="15">
        <f t="shared" si="24"/>
        <v>1.0264198950356005</v>
      </c>
      <c r="J18" s="15">
        <f t="shared" si="24"/>
        <v>0.72929834647266345</v>
      </c>
      <c r="K18" s="15">
        <f t="shared" si="24"/>
        <v>0.54022099738715812</v>
      </c>
      <c r="L18" s="15">
        <f t="shared" si="24"/>
        <v>0.41416943133015455</v>
      </c>
      <c r="M18" s="15">
        <f t="shared" si="24"/>
        <v>1.125460411223246</v>
      </c>
      <c r="N18" s="15">
        <f t="shared" si="24"/>
        <v>0.58625820229595738</v>
      </c>
      <c r="O18" s="15">
        <f t="shared" si="24"/>
        <v>0.48224465027570684</v>
      </c>
      <c r="P18" s="15">
        <f t="shared" si="24"/>
        <v>0.5389793150140253</v>
      </c>
      <c r="Q18" s="15">
        <f t="shared" ref="Q18:R18" si="25">Q16/Q17</f>
        <v>1.3332646213504837</v>
      </c>
      <c r="R18" s="15">
        <f t="shared" si="25"/>
        <v>0.77537375142368548</v>
      </c>
      <c r="V18" s="15">
        <f t="shared" ref="V18:AA18" si="26">V16/V17</f>
        <v>0.55370382399064688</v>
      </c>
      <c r="W18" s="15">
        <f t="shared" si="26"/>
        <v>1.5926303970603248</v>
      </c>
      <c r="X18" s="15">
        <f t="shared" si="26"/>
        <v>2.5505026535943252</v>
      </c>
      <c r="Y18" s="15">
        <f t="shared" si="26"/>
        <v>2.1519866139702115</v>
      </c>
      <c r="Z18" s="15">
        <f t="shared" si="26"/>
        <v>2.7364768054189113</v>
      </c>
      <c r="AA18" s="15">
        <f t="shared" si="26"/>
        <v>2.5480423710094291</v>
      </c>
      <c r="AB18" s="10">
        <f t="shared" ref="AB18:AK18" si="27">AB16/AB17</f>
        <v>3.2690135591120844</v>
      </c>
      <c r="AC18" s="15">
        <f t="shared" si="27"/>
        <v>3.6189597793778008</v>
      </c>
      <c r="AD18" s="15">
        <f t="shared" si="27"/>
        <v>3.9960549891282233</v>
      </c>
      <c r="AE18" s="15">
        <f t="shared" si="27"/>
        <v>4.4021742163831785</v>
      </c>
      <c r="AF18" s="15">
        <f t="shared" si="27"/>
        <v>4.8393148343897217</v>
      </c>
      <c r="AG18" s="15">
        <f t="shared" si="27"/>
        <v>5.3096042960776</v>
      </c>
      <c r="AH18" s="15">
        <f t="shared" si="27"/>
        <v>5.8153083483317287</v>
      </c>
      <c r="AI18" s="15">
        <f t="shared" si="27"/>
        <v>6.3588397555006848</v>
      </c>
      <c r="AJ18" s="15">
        <f t="shared" si="27"/>
        <v>6.9427675633505403</v>
      </c>
      <c r="AK18" s="15">
        <f t="shared" si="27"/>
        <v>7.5698269365721798</v>
      </c>
    </row>
    <row r="19" spans="2:40" x14ac:dyDescent="0.25">
      <c r="AM19" s="2" t="s">
        <v>112</v>
      </c>
      <c r="AN19" s="25">
        <v>0.08</v>
      </c>
    </row>
    <row r="20" spans="2:40" x14ac:dyDescent="0.25">
      <c r="C20" s="1" t="s">
        <v>5</v>
      </c>
      <c r="D20" s="18"/>
      <c r="E20" s="18"/>
      <c r="F20" s="18"/>
      <c r="G20" s="18"/>
      <c r="H20" s="18">
        <f t="shared" ref="H20:O20" si="28">(H4-D4)/D4</f>
        <v>0.19163763066202091</v>
      </c>
      <c r="I20" s="18">
        <f t="shared" si="28"/>
        <v>0.20432220039292731</v>
      </c>
      <c r="J20" s="18">
        <f t="shared" si="28"/>
        <v>0.16908212560386474</v>
      </c>
      <c r="K20" s="18">
        <f t="shared" si="28"/>
        <v>0.12430939226519337</v>
      </c>
      <c r="L20" s="18">
        <f t="shared" si="28"/>
        <v>2.3391812865497075E-2</v>
      </c>
      <c r="M20" s="18">
        <f t="shared" si="28"/>
        <v>0.12398042414355628</v>
      </c>
      <c r="N20" s="18">
        <f t="shared" si="28"/>
        <v>4.1322314049586778E-3</v>
      </c>
      <c r="O20" s="18">
        <f t="shared" si="28"/>
        <v>-4.9140049140049139E-3</v>
      </c>
      <c r="P20" s="18">
        <f>(P4-L4)/L4</f>
        <v>0.12</v>
      </c>
      <c r="Q20" s="18">
        <f t="shared" ref="Q20:S20" si="29">(Q4-M4)/M4</f>
        <v>5.3701015965166909E-2</v>
      </c>
      <c r="R20" s="18">
        <f t="shared" si="29"/>
        <v>2.05761316872428E-3</v>
      </c>
      <c r="S20" s="18">
        <f t="shared" si="29"/>
        <v>-1</v>
      </c>
      <c r="U20" s="18"/>
      <c r="V20" s="18"/>
      <c r="W20" s="18">
        <f t="shared" ref="W20:X20" si="30">(W4-V4)/V4</f>
        <v>1.3554026120818463</v>
      </c>
      <c r="X20" s="18">
        <f t="shared" si="30"/>
        <v>0.48564479284786927</v>
      </c>
      <c r="Y20" s="18">
        <f t="shared" ref="Y20:Z20" si="31">(Y4-X4)/X4</f>
        <v>0.15191740412979352</v>
      </c>
      <c r="Z20" s="18">
        <f t="shared" si="31"/>
        <v>0.17925736235595391</v>
      </c>
      <c r="AA20" s="18">
        <f>(AA4-Z4)/Z4</f>
        <v>4.5059717698154179E-2</v>
      </c>
      <c r="AB20" s="22">
        <f t="shared" ref="AB20:AK20" si="32">(AB4-AA4)/AA4</f>
        <v>0.06</v>
      </c>
      <c r="AC20" s="18">
        <f t="shared" si="32"/>
        <v>6.0000000000000143E-2</v>
      </c>
      <c r="AD20" s="18">
        <f t="shared" si="32"/>
        <v>6.000000000000015E-2</v>
      </c>
      <c r="AE20" s="18">
        <f t="shared" si="32"/>
        <v>6.000000000000015E-2</v>
      </c>
      <c r="AF20" s="18">
        <f t="shared" si="32"/>
        <v>6.0000000000000088E-2</v>
      </c>
      <c r="AG20" s="18">
        <f t="shared" si="32"/>
        <v>0.06</v>
      </c>
      <c r="AH20" s="18">
        <f t="shared" si="32"/>
        <v>5.999999999999997E-2</v>
      </c>
      <c r="AI20" s="18">
        <f t="shared" si="32"/>
        <v>6.0000000000000012E-2</v>
      </c>
      <c r="AJ20" s="18">
        <f t="shared" si="32"/>
        <v>6.0000000000000074E-2</v>
      </c>
      <c r="AK20" s="18">
        <f t="shared" si="32"/>
        <v>6.0000000000000067E-2</v>
      </c>
      <c r="AM20" s="2" t="s">
        <v>111</v>
      </c>
      <c r="AN20" s="25">
        <v>-0.01</v>
      </c>
    </row>
    <row r="21" spans="2:40" x14ac:dyDescent="0.25">
      <c r="C21" s="1" t="s">
        <v>122</v>
      </c>
      <c r="D21" s="18"/>
      <c r="E21" s="18">
        <v>0.3</v>
      </c>
      <c r="F21" s="18">
        <v>0.13</v>
      </c>
      <c r="G21" s="18">
        <v>0.14000000000000001</v>
      </c>
      <c r="H21" s="18">
        <v>0.24</v>
      </c>
      <c r="I21" s="18">
        <v>0.21</v>
      </c>
      <c r="J21" s="18">
        <v>0.16</v>
      </c>
      <c r="K21" s="18">
        <v>0.13</v>
      </c>
      <c r="L21" s="18">
        <v>0.05</v>
      </c>
      <c r="M21" s="18">
        <v>0.11</v>
      </c>
      <c r="N21" s="18">
        <v>0.02</v>
      </c>
      <c r="O21" s="18">
        <v>0.04</v>
      </c>
      <c r="P21" s="18">
        <v>0.15</v>
      </c>
      <c r="Q21" s="18">
        <v>0.11</v>
      </c>
      <c r="R21" s="18">
        <v>0.05</v>
      </c>
      <c r="S21" s="18"/>
      <c r="U21" s="18"/>
      <c r="V21" s="18"/>
      <c r="W21" s="18"/>
      <c r="X21" s="18"/>
      <c r="Y21" s="18"/>
      <c r="Z21" s="18"/>
      <c r="AA21" s="18"/>
      <c r="AB21" s="22"/>
      <c r="AC21" s="18"/>
      <c r="AD21" s="18"/>
      <c r="AE21" s="18"/>
      <c r="AF21" s="18"/>
      <c r="AG21" s="18"/>
      <c r="AH21" s="18"/>
      <c r="AI21" s="18"/>
      <c r="AJ21" s="18"/>
      <c r="AK21" s="18"/>
      <c r="AM21" s="24" t="s">
        <v>113</v>
      </c>
      <c r="AN21" s="26">
        <f>NPV(AN19,AB16:EH16)</f>
        <v>8075.1870113075456</v>
      </c>
    </row>
    <row r="22" spans="2:40" x14ac:dyDescent="0.25">
      <c r="C22" s="2" t="s">
        <v>8</v>
      </c>
      <c r="D22" s="17">
        <f t="shared" ref="D22:S22" si="33">D6/D4</f>
        <v>0.72473867595818819</v>
      </c>
      <c r="E22" s="17">
        <f t="shared" si="33"/>
        <v>0.70726915520628686</v>
      </c>
      <c r="F22" s="17">
        <f t="shared" si="33"/>
        <v>0.72705314009661837</v>
      </c>
      <c r="G22" s="17">
        <f t="shared" si="33"/>
        <v>0.7458563535911602</v>
      </c>
      <c r="H22" s="17">
        <f t="shared" si="33"/>
        <v>0.72222222222222221</v>
      </c>
      <c r="I22" s="17">
        <f t="shared" si="33"/>
        <v>0.70146818923327892</v>
      </c>
      <c r="J22" s="17">
        <f t="shared" si="33"/>
        <v>0.71900826446280997</v>
      </c>
      <c r="K22" s="17">
        <f t="shared" si="33"/>
        <v>0.71990171990171992</v>
      </c>
      <c r="L22" s="17">
        <f t="shared" si="33"/>
        <v>0.7</v>
      </c>
      <c r="M22" s="17">
        <f t="shared" si="33"/>
        <v>0.7053701015965167</v>
      </c>
      <c r="N22" s="17">
        <f t="shared" si="33"/>
        <v>0.69341563786008231</v>
      </c>
      <c r="O22" s="17">
        <f t="shared" si="33"/>
        <v>0.6938271604938272</v>
      </c>
      <c r="P22" s="17">
        <f t="shared" si="33"/>
        <v>0.6964285714285714</v>
      </c>
      <c r="Q22" s="17">
        <f t="shared" si="33"/>
        <v>0.69834710743801653</v>
      </c>
      <c r="R22" s="17">
        <f t="shared" si="33"/>
        <v>0.71047227926078027</v>
      </c>
      <c r="S22" s="17" t="e">
        <f t="shared" si="33"/>
        <v>#DIV/0!</v>
      </c>
      <c r="U22" s="17"/>
      <c r="V22" s="17">
        <f t="shared" ref="V22:AK22" si="34">V6/V4</f>
        <v>0.70137313648527644</v>
      </c>
      <c r="W22" s="17">
        <f t="shared" si="34"/>
        <v>0.72740828389401091</v>
      </c>
      <c r="X22" s="17">
        <f t="shared" si="34"/>
        <v>0.72787610619469023</v>
      </c>
      <c r="Y22" s="17">
        <f t="shared" si="34"/>
        <v>0.72215108834827146</v>
      </c>
      <c r="Z22" s="17">
        <f t="shared" si="34"/>
        <v>0.71335504885993484</v>
      </c>
      <c r="AA22" s="17">
        <f t="shared" si="34"/>
        <v>0.69818181818181824</v>
      </c>
      <c r="AB22" s="23">
        <f t="shared" si="34"/>
        <v>0.71000000000000008</v>
      </c>
      <c r="AC22" s="17">
        <f t="shared" si="34"/>
        <v>0.71</v>
      </c>
      <c r="AD22" s="17">
        <f t="shared" si="34"/>
        <v>0.71000000000000008</v>
      </c>
      <c r="AE22" s="17">
        <f t="shared" si="34"/>
        <v>0.71000000000000008</v>
      </c>
      <c r="AF22" s="17">
        <f t="shared" si="34"/>
        <v>0.71</v>
      </c>
      <c r="AG22" s="17">
        <f t="shared" si="34"/>
        <v>0.71000000000000008</v>
      </c>
      <c r="AH22" s="17">
        <f t="shared" si="34"/>
        <v>0.71000000000000008</v>
      </c>
      <c r="AI22" s="17">
        <f t="shared" si="34"/>
        <v>0.71000000000000008</v>
      </c>
      <c r="AJ22" s="17">
        <f t="shared" si="34"/>
        <v>0.71</v>
      </c>
      <c r="AK22" s="17">
        <f t="shared" si="34"/>
        <v>0.71</v>
      </c>
      <c r="AM22" s="2" t="s">
        <v>2</v>
      </c>
      <c r="AN22" s="16">
        <v>105.75545</v>
      </c>
    </row>
    <row r="23" spans="2:40" x14ac:dyDescent="0.25">
      <c r="C23" s="2" t="s">
        <v>6</v>
      </c>
      <c r="D23" s="17">
        <f t="shared" ref="D23:S23" si="35">D11/D4</f>
        <v>0.17421602787456447</v>
      </c>
      <c r="E23" s="17">
        <f t="shared" si="35"/>
        <v>0.206286836935167</v>
      </c>
      <c r="F23" s="17">
        <f t="shared" si="35"/>
        <v>0.21014492753623187</v>
      </c>
      <c r="G23" s="17">
        <f t="shared" si="35"/>
        <v>0.18784530386740331</v>
      </c>
      <c r="H23" s="17">
        <f t="shared" si="35"/>
        <v>0.195906432748538</v>
      </c>
      <c r="I23" s="17">
        <f t="shared" si="35"/>
        <v>0.23327895595432299</v>
      </c>
      <c r="J23" s="17">
        <f t="shared" si="35"/>
        <v>0.21074380165289255</v>
      </c>
      <c r="K23" s="17">
        <f t="shared" si="35"/>
        <v>0.18181818181818182</v>
      </c>
      <c r="L23" s="17">
        <f t="shared" si="35"/>
        <v>0.16285714285714287</v>
      </c>
      <c r="M23" s="17">
        <f t="shared" si="35"/>
        <v>0.22931785195936139</v>
      </c>
      <c r="N23" s="17">
        <f t="shared" si="35"/>
        <v>0.16460905349794239</v>
      </c>
      <c r="O23" s="17">
        <f t="shared" si="35"/>
        <v>0.15555555555555556</v>
      </c>
      <c r="P23" s="17">
        <f t="shared" si="35"/>
        <v>0.18877551020408162</v>
      </c>
      <c r="Q23" s="17">
        <f t="shared" si="35"/>
        <v>0.24517906336088155</v>
      </c>
      <c r="R23" s="17">
        <f t="shared" si="35"/>
        <v>0.2135523613963039</v>
      </c>
      <c r="S23" s="17" t="e">
        <f t="shared" si="35"/>
        <v>#DIV/0!</v>
      </c>
      <c r="U23" s="17"/>
      <c r="V23" s="17">
        <f t="shared" ref="V23:AK23" si="36">V11/V4</f>
        <v>0.2146309615052116</v>
      </c>
      <c r="W23" s="17">
        <f t="shared" si="36"/>
        <v>0.25250264315491355</v>
      </c>
      <c r="X23" s="17">
        <f t="shared" si="36"/>
        <v>0.26991150442477874</v>
      </c>
      <c r="Y23" s="17">
        <f t="shared" si="36"/>
        <v>0.19846350832266324</v>
      </c>
      <c r="Z23" s="17">
        <f t="shared" si="36"/>
        <v>0.20955483170466885</v>
      </c>
      <c r="AA23" s="17">
        <f t="shared" si="36"/>
        <v>0.18545454545454546</v>
      </c>
      <c r="AB23" s="23">
        <f t="shared" si="36"/>
        <v>0.21178387650085767</v>
      </c>
      <c r="AC23" s="17">
        <f t="shared" si="36"/>
        <v>0.22118418071782259</v>
      </c>
      <c r="AD23" s="17">
        <f t="shared" si="36"/>
        <v>0.23040712070427888</v>
      </c>
      <c r="AE23" s="17">
        <f t="shared" si="36"/>
        <v>0.23945604295514153</v>
      </c>
      <c r="AF23" s="17">
        <f t="shared" si="36"/>
        <v>0.24833423082391246</v>
      </c>
      <c r="AG23" s="17">
        <f t="shared" si="36"/>
        <v>0.25704490571402738</v>
      </c>
      <c r="AH23" s="17">
        <f t="shared" si="36"/>
        <v>0.26559122824772485</v>
      </c>
      <c r="AI23" s="17">
        <f t="shared" si="36"/>
        <v>0.27397629941286211</v>
      </c>
      <c r="AJ23" s="17">
        <f t="shared" si="36"/>
        <v>0.28220316168809112</v>
      </c>
      <c r="AK23" s="17">
        <f t="shared" si="36"/>
        <v>0.29027480014680634</v>
      </c>
      <c r="AM23" s="2" t="s">
        <v>114</v>
      </c>
      <c r="AN23" s="15">
        <f>AN21/AN22</f>
        <v>76.357171297626223</v>
      </c>
    </row>
    <row r="24" spans="2:40" x14ac:dyDescent="0.25">
      <c r="C24" s="2" t="s">
        <v>9</v>
      </c>
      <c r="AM24" s="1" t="s">
        <v>115</v>
      </c>
      <c r="AN24" s="18">
        <f>(AN23-B4)/B4</f>
        <v>0.37086483478682619</v>
      </c>
    </row>
    <row r="26" spans="2:40" s="20" customFormat="1" x14ac:dyDescent="0.25">
      <c r="B26" s="11"/>
      <c r="C26" s="20" t="s">
        <v>121</v>
      </c>
      <c r="D26" s="20">
        <v>835</v>
      </c>
      <c r="E26" s="20">
        <v>876</v>
      </c>
      <c r="F26" s="20">
        <v>930</v>
      </c>
      <c r="G26" s="20">
        <v>842</v>
      </c>
      <c r="H26" s="20">
        <v>887</v>
      </c>
      <c r="I26" s="20">
        <v>957</v>
      </c>
      <c r="J26" s="20">
        <v>969</v>
      </c>
      <c r="K26" s="20">
        <v>939</v>
      </c>
      <c r="L26" s="20">
        <v>937</v>
      </c>
      <c r="M26" s="20">
        <v>1004</v>
      </c>
      <c r="N26" s="20">
        <v>1018</v>
      </c>
      <c r="O26" s="20">
        <v>930</v>
      </c>
      <c r="P26" s="20">
        <v>944</v>
      </c>
      <c r="Q26" s="20">
        <v>1007</v>
      </c>
      <c r="R26" s="20">
        <v>932</v>
      </c>
      <c r="AB26" s="11"/>
    </row>
    <row r="29" spans="2:40" x14ac:dyDescent="0.25">
      <c r="C29" s="1" t="s">
        <v>15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2:40" x14ac:dyDescent="0.25">
      <c r="C30" s="2" t="s">
        <v>32</v>
      </c>
      <c r="D30" s="20">
        <v>9</v>
      </c>
      <c r="E30" s="20">
        <v>9</v>
      </c>
      <c r="F30" s="20">
        <v>9</v>
      </c>
      <c r="G30" s="20">
        <v>9</v>
      </c>
      <c r="H30" s="20">
        <v>9</v>
      </c>
      <c r="I30" s="20">
        <v>8</v>
      </c>
      <c r="J30" s="20">
        <v>7</v>
      </c>
      <c r="K30" s="20">
        <v>6</v>
      </c>
      <c r="L30" s="20">
        <v>6</v>
      </c>
      <c r="M30" s="20">
        <v>5</v>
      </c>
      <c r="N30" s="20">
        <v>4</v>
      </c>
      <c r="O30" s="20">
        <v>3</v>
      </c>
      <c r="P30" s="20">
        <v>3</v>
      </c>
      <c r="Q30" s="20">
        <v>2</v>
      </c>
      <c r="R30" s="20">
        <v>2</v>
      </c>
    </row>
    <row r="31" spans="2:40" x14ac:dyDescent="0.25">
      <c r="C31" s="2" t="s">
        <v>33</v>
      </c>
      <c r="D31" s="20">
        <v>171</v>
      </c>
      <c r="E31" s="20">
        <v>171</v>
      </c>
      <c r="F31" s="20">
        <v>171</v>
      </c>
      <c r="G31" s="20">
        <v>171</v>
      </c>
      <c r="H31" s="20">
        <v>171</v>
      </c>
      <c r="I31" s="20">
        <v>171</v>
      </c>
      <c r="J31" s="20">
        <v>171</v>
      </c>
      <c r="K31" s="20">
        <v>171</v>
      </c>
      <c r="L31" s="20">
        <v>171</v>
      </c>
      <c r="M31" s="20">
        <v>171</v>
      </c>
      <c r="N31" s="20">
        <v>171</v>
      </c>
      <c r="O31" s="20">
        <v>171</v>
      </c>
      <c r="P31" s="20">
        <v>171</v>
      </c>
      <c r="Q31" s="20">
        <v>171</v>
      </c>
      <c r="R31" s="20">
        <v>171</v>
      </c>
    </row>
    <row r="32" spans="2:40" x14ac:dyDescent="0.25">
      <c r="C32" s="2" t="s">
        <v>34</v>
      </c>
      <c r="D32" s="20">
        <v>617</v>
      </c>
      <c r="E32" s="20">
        <v>617</v>
      </c>
      <c r="F32" s="20">
        <v>617</v>
      </c>
      <c r="G32" s="20">
        <v>617</v>
      </c>
      <c r="H32" s="20">
        <v>617</v>
      </c>
      <c r="I32" s="20">
        <v>617</v>
      </c>
      <c r="J32" s="20">
        <v>617</v>
      </c>
      <c r="K32" s="20">
        <v>617</v>
      </c>
      <c r="L32" s="20">
        <v>617</v>
      </c>
      <c r="M32" s="20">
        <v>617</v>
      </c>
      <c r="N32" s="20">
        <v>617</v>
      </c>
      <c r="O32" s="20">
        <v>617</v>
      </c>
      <c r="P32" s="20">
        <v>617</v>
      </c>
      <c r="Q32" s="20">
        <v>617</v>
      </c>
      <c r="R32" s="20">
        <v>617</v>
      </c>
    </row>
    <row r="33" spans="3:18" x14ac:dyDescent="0.25">
      <c r="C33" s="2" t="s">
        <v>35</v>
      </c>
      <c r="D33" s="20">
        <v>0</v>
      </c>
      <c r="E33" s="2">
        <v>0</v>
      </c>
      <c r="F33" s="20">
        <v>1</v>
      </c>
      <c r="G33" s="20">
        <v>2</v>
      </c>
      <c r="H33" s="20">
        <v>2</v>
      </c>
      <c r="I33" s="20">
        <v>8</v>
      </c>
      <c r="J33" s="20">
        <v>8</v>
      </c>
      <c r="K33" s="20">
        <v>8</v>
      </c>
      <c r="L33" s="20">
        <v>8</v>
      </c>
      <c r="M33" s="20">
        <v>8</v>
      </c>
      <c r="N33" s="20">
        <v>9</v>
      </c>
      <c r="O33" s="20">
        <v>9</v>
      </c>
      <c r="P33" s="20">
        <v>9</v>
      </c>
      <c r="Q33" s="20">
        <v>10</v>
      </c>
      <c r="R33" s="20">
        <v>10</v>
      </c>
    </row>
    <row r="34" spans="3:18" x14ac:dyDescent="0.25">
      <c r="C34" s="2" t="s">
        <v>36</v>
      </c>
      <c r="D34" s="20">
        <v>1</v>
      </c>
      <c r="E34" s="20">
        <v>1</v>
      </c>
      <c r="F34" s="20">
        <v>1</v>
      </c>
      <c r="G34" s="20">
        <v>1</v>
      </c>
      <c r="H34" s="20">
        <v>1</v>
      </c>
      <c r="I34" s="20">
        <v>2</v>
      </c>
      <c r="J34" s="20">
        <v>2</v>
      </c>
      <c r="K34" s="20">
        <v>2</v>
      </c>
      <c r="L34" s="20">
        <v>2</v>
      </c>
      <c r="M34" s="20">
        <v>2</v>
      </c>
      <c r="N34" s="20">
        <v>2</v>
      </c>
      <c r="O34" s="20">
        <v>2</v>
      </c>
      <c r="P34" s="20">
        <v>2</v>
      </c>
      <c r="Q34" s="20">
        <v>2</v>
      </c>
      <c r="R34" s="20">
        <v>3</v>
      </c>
    </row>
    <row r="35" spans="3:18" x14ac:dyDescent="0.25">
      <c r="C35" s="2" t="s">
        <v>37</v>
      </c>
      <c r="D35" s="20">
        <v>7</v>
      </c>
      <c r="E35" s="20">
        <v>1</v>
      </c>
      <c r="F35" s="20">
        <v>15</v>
      </c>
      <c r="G35" s="20">
        <v>14</v>
      </c>
      <c r="H35" s="20">
        <v>13</v>
      </c>
      <c r="I35" s="20">
        <v>1</v>
      </c>
      <c r="J35" s="20">
        <v>1</v>
      </c>
      <c r="K35" s="20">
        <v>1</v>
      </c>
      <c r="L35" s="20">
        <v>1</v>
      </c>
      <c r="M35" s="20">
        <v>1</v>
      </c>
      <c r="N35" s="20">
        <v>1</v>
      </c>
      <c r="O35" s="20">
        <v>2</v>
      </c>
      <c r="P35" s="20">
        <v>2</v>
      </c>
      <c r="Q35" s="20">
        <v>2</v>
      </c>
      <c r="R35" s="20">
        <v>2</v>
      </c>
    </row>
    <row r="36" spans="3:18" x14ac:dyDescent="0.25">
      <c r="C36" s="2" t="s">
        <v>38</v>
      </c>
      <c r="D36" s="20">
        <v>1</v>
      </c>
      <c r="E36" s="20">
        <v>15</v>
      </c>
      <c r="F36" s="20">
        <v>2</v>
      </c>
      <c r="G36" s="20">
        <v>2</v>
      </c>
      <c r="H36" s="20">
        <v>2</v>
      </c>
      <c r="I36" s="20">
        <v>12</v>
      </c>
      <c r="J36" s="20">
        <v>12</v>
      </c>
      <c r="K36" s="20">
        <v>11</v>
      </c>
      <c r="L36" s="20">
        <v>10</v>
      </c>
      <c r="M36" s="20">
        <v>9</v>
      </c>
      <c r="N36" s="20">
        <v>11</v>
      </c>
      <c r="O36" s="20">
        <v>11</v>
      </c>
      <c r="P36" s="20">
        <v>18</v>
      </c>
      <c r="Q36" s="20">
        <v>17</v>
      </c>
      <c r="R36" s="20">
        <v>16</v>
      </c>
    </row>
    <row r="37" spans="3:18" x14ac:dyDescent="0.25">
      <c r="C37" s="2" t="s">
        <v>127</v>
      </c>
      <c r="D37" s="20">
        <v>0</v>
      </c>
      <c r="E37" s="2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3</v>
      </c>
      <c r="Q37" s="20">
        <v>0</v>
      </c>
      <c r="R37" s="20">
        <v>0</v>
      </c>
    </row>
    <row r="38" spans="3:18" x14ac:dyDescent="0.25">
      <c r="C38" s="2" t="s">
        <v>39</v>
      </c>
      <c r="D38" s="20">
        <v>416</v>
      </c>
      <c r="E38" s="20">
        <v>2</v>
      </c>
      <c r="F38" s="20">
        <v>375</v>
      </c>
      <c r="G38" s="20">
        <v>323</v>
      </c>
      <c r="H38" s="20">
        <v>420</v>
      </c>
      <c r="I38" s="20">
        <v>2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1</v>
      </c>
      <c r="P38" s="20">
        <v>1</v>
      </c>
      <c r="Q38" s="20">
        <v>1</v>
      </c>
      <c r="R38" s="20">
        <v>1</v>
      </c>
    </row>
    <row r="39" spans="3:18" x14ac:dyDescent="0.25">
      <c r="C39" s="2" t="s">
        <v>40</v>
      </c>
      <c r="D39" s="20">
        <v>99</v>
      </c>
      <c r="E39" s="20">
        <v>384</v>
      </c>
      <c r="F39" s="20">
        <v>10</v>
      </c>
      <c r="G39" s="20">
        <v>72</v>
      </c>
      <c r="H39" s="20">
        <v>61</v>
      </c>
      <c r="I39" s="20">
        <v>322</v>
      </c>
      <c r="J39" s="20">
        <v>382</v>
      </c>
      <c r="K39" s="20">
        <v>362</v>
      </c>
      <c r="L39" s="20">
        <v>447</v>
      </c>
      <c r="M39" s="20">
        <v>403</v>
      </c>
      <c r="N39" s="20">
        <v>484</v>
      </c>
      <c r="O39" s="20">
        <v>439</v>
      </c>
      <c r="P39" s="20">
        <v>500</v>
      </c>
      <c r="Q39" s="20">
        <v>378</v>
      </c>
      <c r="R39" s="20">
        <v>369</v>
      </c>
    </row>
    <row r="40" spans="3:18" x14ac:dyDescent="0.25">
      <c r="C40" s="2" t="s">
        <v>41</v>
      </c>
      <c r="D40" s="20">
        <v>10</v>
      </c>
      <c r="E40" s="20">
        <v>51</v>
      </c>
      <c r="F40" s="20">
        <v>12</v>
      </c>
      <c r="G40" s="20">
        <v>8</v>
      </c>
      <c r="H40" s="20">
        <v>18</v>
      </c>
      <c r="I40" s="20">
        <v>94</v>
      </c>
      <c r="J40" s="20">
        <v>64</v>
      </c>
      <c r="K40" s="20">
        <v>76</v>
      </c>
      <c r="L40" s="20">
        <v>118</v>
      </c>
      <c r="M40" s="20">
        <v>161</v>
      </c>
      <c r="N40" s="20">
        <v>38</v>
      </c>
      <c r="O40" s="20">
        <v>72</v>
      </c>
      <c r="P40" s="20">
        <v>66</v>
      </c>
      <c r="Q40" s="20">
        <v>88</v>
      </c>
      <c r="R40" s="20">
        <v>21</v>
      </c>
    </row>
    <row r="41" spans="3:18" x14ac:dyDescent="0.25">
      <c r="C41" s="2" t="s">
        <v>42</v>
      </c>
      <c r="D41" s="20">
        <v>0</v>
      </c>
      <c r="E41" s="20">
        <v>10</v>
      </c>
      <c r="F41" s="20">
        <v>0</v>
      </c>
      <c r="G41" s="20">
        <v>0</v>
      </c>
      <c r="H41" s="20">
        <v>0</v>
      </c>
      <c r="I41" s="20">
        <v>22</v>
      </c>
      <c r="J41" s="20">
        <v>15</v>
      </c>
      <c r="K41" s="20">
        <v>10</v>
      </c>
      <c r="L41" s="20">
        <v>12</v>
      </c>
      <c r="M41" s="20">
        <v>28</v>
      </c>
      <c r="N41" s="20">
        <v>21</v>
      </c>
      <c r="O41" s="20">
        <v>10</v>
      </c>
      <c r="P41" s="20">
        <v>20</v>
      </c>
      <c r="Q41" s="20">
        <v>28</v>
      </c>
      <c r="R41" s="20">
        <v>19</v>
      </c>
    </row>
    <row r="42" spans="3:18" x14ac:dyDescent="0.25">
      <c r="C42" s="2" t="s">
        <v>43</v>
      </c>
      <c r="D42" s="20">
        <v>4</v>
      </c>
      <c r="E42" s="20">
        <v>0</v>
      </c>
      <c r="F42" s="20">
        <v>1</v>
      </c>
      <c r="G42" s="20">
        <v>7</v>
      </c>
      <c r="H42" s="20">
        <v>5</v>
      </c>
      <c r="I42" s="20">
        <v>1</v>
      </c>
      <c r="J42" s="20">
        <v>0</v>
      </c>
      <c r="K42" s="20">
        <v>0</v>
      </c>
      <c r="L42" s="20">
        <v>0</v>
      </c>
      <c r="M42" s="20">
        <v>1</v>
      </c>
      <c r="N42" s="20">
        <v>1</v>
      </c>
      <c r="O42" s="19">
        <v>1</v>
      </c>
      <c r="P42" s="20">
        <v>3</v>
      </c>
      <c r="Q42" s="20">
        <v>1</v>
      </c>
      <c r="R42" s="20">
        <v>5</v>
      </c>
    </row>
    <row r="43" spans="3:18" x14ac:dyDescent="0.25">
      <c r="C43" s="2" t="s">
        <v>44</v>
      </c>
      <c r="D43" s="20">
        <v>83</v>
      </c>
      <c r="E43" s="20">
        <v>1</v>
      </c>
      <c r="F43" s="20">
        <v>32</v>
      </c>
      <c r="G43" s="20">
        <v>44</v>
      </c>
      <c r="H43" s="20">
        <v>39</v>
      </c>
      <c r="I43" s="20">
        <v>5</v>
      </c>
      <c r="J43" s="20">
        <v>5</v>
      </c>
      <c r="K43" s="20">
        <v>5</v>
      </c>
      <c r="L43" s="20">
        <v>5</v>
      </c>
      <c r="M43" s="20">
        <v>20</v>
      </c>
      <c r="N43" s="20">
        <v>20</v>
      </c>
      <c r="O43" s="20">
        <v>1</v>
      </c>
      <c r="P43" s="20">
        <v>4</v>
      </c>
      <c r="Q43" s="20">
        <v>4</v>
      </c>
      <c r="R43" s="20">
        <v>4</v>
      </c>
    </row>
    <row r="44" spans="3:18" x14ac:dyDescent="0.25">
      <c r="C44" s="2" t="s">
        <v>45</v>
      </c>
      <c r="D44" s="20">
        <v>5</v>
      </c>
      <c r="E44" s="20">
        <v>60</v>
      </c>
      <c r="F44" s="20">
        <v>0</v>
      </c>
      <c r="G44" s="20">
        <v>2</v>
      </c>
      <c r="H44" s="20">
        <v>1</v>
      </c>
      <c r="I44" s="20">
        <v>39</v>
      </c>
      <c r="J44" s="20">
        <v>36</v>
      </c>
      <c r="K44" s="20">
        <v>32</v>
      </c>
      <c r="L44" s="20">
        <v>34</v>
      </c>
      <c r="M44" s="20">
        <v>33</v>
      </c>
      <c r="N44" s="20">
        <v>34</v>
      </c>
      <c r="O44" s="20">
        <v>16</v>
      </c>
      <c r="P44" s="20">
        <v>30</v>
      </c>
      <c r="Q44" s="20">
        <v>34</v>
      </c>
      <c r="R44" s="20">
        <v>34</v>
      </c>
    </row>
    <row r="45" spans="3:18" x14ac:dyDescent="0.25">
      <c r="C45" s="2" t="s">
        <v>46</v>
      </c>
      <c r="D45" s="20">
        <v>10</v>
      </c>
      <c r="E45" s="20">
        <v>7</v>
      </c>
      <c r="F45" s="20">
        <v>9</v>
      </c>
      <c r="G45" s="20">
        <v>11</v>
      </c>
      <c r="H45" s="20">
        <v>13</v>
      </c>
      <c r="I45" s="20">
        <v>13</v>
      </c>
      <c r="J45" s="20">
        <v>18</v>
      </c>
      <c r="K45" s="20">
        <v>20</v>
      </c>
      <c r="L45" s="20">
        <v>22</v>
      </c>
      <c r="M45" s="20">
        <v>12</v>
      </c>
      <c r="N45" s="20">
        <v>14</v>
      </c>
      <c r="O45" s="20">
        <v>17</v>
      </c>
      <c r="P45" s="20">
        <v>19</v>
      </c>
      <c r="Q45" s="20">
        <v>17</v>
      </c>
      <c r="R45" s="20">
        <v>15</v>
      </c>
    </row>
    <row r="46" spans="3:18" x14ac:dyDescent="0.25">
      <c r="C46" s="2" t="s">
        <v>47</v>
      </c>
      <c r="D46" s="20">
        <v>142</v>
      </c>
      <c r="E46" s="20">
        <v>65</v>
      </c>
      <c r="F46" s="20">
        <v>146</v>
      </c>
      <c r="G46" s="20">
        <v>154</v>
      </c>
      <c r="H46" s="20">
        <v>177</v>
      </c>
      <c r="I46" s="20">
        <v>353</v>
      </c>
      <c r="J46" s="20">
        <v>285</v>
      </c>
      <c r="K46" s="20">
        <v>295</v>
      </c>
      <c r="L46" s="20">
        <v>142</v>
      </c>
      <c r="M46" s="20">
        <v>280</v>
      </c>
      <c r="N46" s="20">
        <v>159</v>
      </c>
      <c r="O46" s="20">
        <v>189</v>
      </c>
      <c r="P46" s="20">
        <v>181</v>
      </c>
      <c r="Q46" s="20">
        <v>358</v>
      </c>
      <c r="R46" s="20">
        <v>368</v>
      </c>
    </row>
    <row r="47" spans="3:18" x14ac:dyDescent="0.25">
      <c r="C47" s="1" t="s">
        <v>48</v>
      </c>
      <c r="D47" s="19">
        <f t="shared" ref="D47:N47" si="37">SUM(D30:D46)</f>
        <v>1575</v>
      </c>
      <c r="E47" s="19">
        <f t="shared" si="37"/>
        <v>1394</v>
      </c>
      <c r="F47" s="19">
        <f t="shared" si="37"/>
        <v>1401</v>
      </c>
      <c r="G47" s="19">
        <f t="shared" si="37"/>
        <v>1437</v>
      </c>
      <c r="H47" s="19">
        <f t="shared" si="37"/>
        <v>1549</v>
      </c>
      <c r="I47" s="19">
        <f t="shared" si="37"/>
        <v>1670</v>
      </c>
      <c r="J47" s="19">
        <f t="shared" si="37"/>
        <v>1625</v>
      </c>
      <c r="K47" s="19">
        <f t="shared" si="37"/>
        <v>1618</v>
      </c>
      <c r="L47" s="19">
        <f t="shared" si="37"/>
        <v>1597</v>
      </c>
      <c r="M47" s="19">
        <f t="shared" si="37"/>
        <v>1753</v>
      </c>
      <c r="N47" s="19">
        <f t="shared" si="37"/>
        <v>1588</v>
      </c>
      <c r="O47" s="19">
        <f>SUM(O30:O46)</f>
        <v>1561</v>
      </c>
      <c r="P47" s="19">
        <f>SUM(P30:P46)</f>
        <v>1649</v>
      </c>
      <c r="Q47" s="19">
        <f t="shared" ref="Q47:R47" si="38">SUM(Q30:Q46)</f>
        <v>1730</v>
      </c>
      <c r="R47" s="19">
        <f t="shared" si="38"/>
        <v>1657</v>
      </c>
    </row>
    <row r="48" spans="3:18" x14ac:dyDescent="0.25">
      <c r="C48" s="2" t="s">
        <v>49</v>
      </c>
      <c r="D48" s="20">
        <v>1</v>
      </c>
      <c r="E48" s="20">
        <v>1</v>
      </c>
      <c r="F48" s="20">
        <v>1</v>
      </c>
      <c r="G48" s="20">
        <v>1</v>
      </c>
      <c r="H48" s="20">
        <v>1</v>
      </c>
      <c r="I48" s="20">
        <v>1</v>
      </c>
      <c r="J48" s="20">
        <v>1</v>
      </c>
      <c r="K48" s="20">
        <v>1</v>
      </c>
      <c r="L48" s="20">
        <v>1</v>
      </c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1</v>
      </c>
    </row>
    <row r="49" spans="3:26" x14ac:dyDescent="0.25">
      <c r="C49" s="2" t="s">
        <v>50</v>
      </c>
      <c r="D49" s="20">
        <v>716</v>
      </c>
      <c r="E49" s="20">
        <v>724</v>
      </c>
      <c r="F49" s="20">
        <v>723</v>
      </c>
      <c r="G49" s="20">
        <v>723</v>
      </c>
      <c r="H49" s="20">
        <v>723</v>
      </c>
      <c r="I49" s="20">
        <v>725</v>
      </c>
      <c r="J49" s="20">
        <v>724</v>
      </c>
      <c r="K49" s="20">
        <v>724</v>
      </c>
      <c r="L49" s="20">
        <v>724</v>
      </c>
      <c r="M49" s="20">
        <v>728</v>
      </c>
      <c r="N49" s="20">
        <v>746</v>
      </c>
      <c r="O49" s="20">
        <v>746</v>
      </c>
      <c r="P49" s="20">
        <v>746</v>
      </c>
      <c r="Q49" s="20">
        <v>748</v>
      </c>
      <c r="R49" s="20">
        <v>805</v>
      </c>
    </row>
    <row r="50" spans="3:26" x14ac:dyDescent="0.25">
      <c r="C50" s="2" t="s">
        <v>51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</row>
    <row r="51" spans="3:26" x14ac:dyDescent="0.25">
      <c r="C51" s="2" t="s">
        <v>52</v>
      </c>
      <c r="D51" s="20">
        <v>258</v>
      </c>
      <c r="E51" s="20">
        <v>171</v>
      </c>
      <c r="F51" s="20">
        <v>171</v>
      </c>
      <c r="G51" s="20">
        <v>171</v>
      </c>
      <c r="H51" s="20">
        <v>413</v>
      </c>
      <c r="I51" s="20">
        <v>316</v>
      </c>
      <c r="J51" s="20">
        <v>299</v>
      </c>
      <c r="K51" s="20">
        <v>219</v>
      </c>
      <c r="L51" s="20">
        <v>458</v>
      </c>
      <c r="M51" s="20">
        <v>268</v>
      </c>
      <c r="N51" s="20">
        <v>241</v>
      </c>
      <c r="O51" s="20">
        <v>190</v>
      </c>
      <c r="P51" s="20">
        <v>442</v>
      </c>
      <c r="Q51" s="20">
        <v>260</v>
      </c>
      <c r="R51" s="20">
        <v>198</v>
      </c>
    </row>
    <row r="52" spans="3:26" x14ac:dyDescent="0.25">
      <c r="C52" s="2" t="s">
        <v>53</v>
      </c>
      <c r="D52" s="20">
        <v>39</v>
      </c>
      <c r="E52" s="20">
        <v>121</v>
      </c>
      <c r="F52" s="20">
        <v>189</v>
      </c>
      <c r="G52" s="20">
        <v>243</v>
      </c>
      <c r="H52" s="20">
        <v>53</v>
      </c>
      <c r="I52" s="20">
        <v>167</v>
      </c>
      <c r="J52" s="20">
        <v>248</v>
      </c>
      <c r="K52" s="20">
        <v>308</v>
      </c>
      <c r="L52" s="20">
        <v>46</v>
      </c>
      <c r="M52" s="20">
        <v>170</v>
      </c>
      <c r="N52" s="20">
        <v>233</v>
      </c>
      <c r="O52" s="20">
        <v>283</v>
      </c>
      <c r="P52" s="20">
        <v>58</v>
      </c>
      <c r="Q52" s="20">
        <v>199</v>
      </c>
      <c r="R52" s="20">
        <v>281</v>
      </c>
    </row>
    <row r="53" spans="3:26" x14ac:dyDescent="0.25">
      <c r="C53" s="8" t="s">
        <v>54</v>
      </c>
      <c r="D53" s="28">
        <f t="shared" ref="D53:O53" si="39">SUM(D48:D52)</f>
        <v>1014</v>
      </c>
      <c r="E53" s="28">
        <f t="shared" si="39"/>
        <v>1017</v>
      </c>
      <c r="F53" s="28">
        <f t="shared" si="39"/>
        <v>1084</v>
      </c>
      <c r="G53" s="28">
        <f t="shared" si="39"/>
        <v>1138</v>
      </c>
      <c r="H53" s="28">
        <f t="shared" si="39"/>
        <v>1190</v>
      </c>
      <c r="I53" s="28">
        <f t="shared" si="39"/>
        <v>1209</v>
      </c>
      <c r="J53" s="28">
        <f t="shared" si="39"/>
        <v>1272</v>
      </c>
      <c r="K53" s="28">
        <f t="shared" si="39"/>
        <v>1252</v>
      </c>
      <c r="L53" s="28">
        <f t="shared" si="39"/>
        <v>1229</v>
      </c>
      <c r="M53" s="28">
        <f t="shared" si="39"/>
        <v>1167</v>
      </c>
      <c r="N53" s="28">
        <f t="shared" si="39"/>
        <v>1221</v>
      </c>
      <c r="O53" s="28">
        <f t="shared" si="39"/>
        <v>1220</v>
      </c>
      <c r="P53" s="28">
        <f>SUM(P48:P52)</f>
        <v>1247</v>
      </c>
      <c r="Q53" s="28">
        <f t="shared" ref="Q53:R53" si="40">SUM(Q48:Q52)</f>
        <v>1208</v>
      </c>
      <c r="R53" s="28">
        <f t="shared" si="40"/>
        <v>1285</v>
      </c>
    </row>
    <row r="54" spans="3:26" x14ac:dyDescent="0.25">
      <c r="C54" s="2" t="s">
        <v>55</v>
      </c>
      <c r="D54" s="20">
        <v>165</v>
      </c>
      <c r="E54" s="20">
        <v>30</v>
      </c>
      <c r="F54" s="20">
        <v>12</v>
      </c>
      <c r="G54" s="20">
        <v>11</v>
      </c>
      <c r="H54" s="20">
        <v>10</v>
      </c>
      <c r="I54" s="20">
        <v>10</v>
      </c>
      <c r="J54" s="20">
        <v>9</v>
      </c>
      <c r="K54" s="20">
        <v>8</v>
      </c>
      <c r="L54" s="20">
        <v>7</v>
      </c>
      <c r="M54" s="20">
        <v>7</v>
      </c>
      <c r="N54" s="20">
        <v>7</v>
      </c>
      <c r="O54" s="20">
        <v>7</v>
      </c>
      <c r="P54" s="20">
        <v>12</v>
      </c>
      <c r="Q54" s="20">
        <v>10</v>
      </c>
      <c r="R54" s="20">
        <v>9</v>
      </c>
    </row>
    <row r="55" spans="3:26" x14ac:dyDescent="0.25">
      <c r="C55" s="2" t="s">
        <v>56</v>
      </c>
      <c r="D55" s="20">
        <v>35</v>
      </c>
      <c r="E55" s="20">
        <v>35</v>
      </c>
      <c r="F55" s="20">
        <v>35</v>
      </c>
      <c r="G55" s="20">
        <v>35</v>
      </c>
      <c r="H55" s="20">
        <v>35</v>
      </c>
      <c r="I55" s="20">
        <v>35</v>
      </c>
      <c r="J55" s="20">
        <v>35</v>
      </c>
      <c r="K55" s="20">
        <v>36</v>
      </c>
      <c r="L55" s="20">
        <v>35</v>
      </c>
      <c r="M55" s="20">
        <v>35</v>
      </c>
      <c r="N55" s="20">
        <v>35</v>
      </c>
      <c r="O55" s="20">
        <v>35</v>
      </c>
      <c r="P55" s="20">
        <v>35</v>
      </c>
      <c r="Q55" s="20">
        <v>35</v>
      </c>
      <c r="R55" s="20">
        <v>35</v>
      </c>
    </row>
    <row r="56" spans="3:26" x14ac:dyDescent="0.25">
      <c r="C56" s="2" t="s">
        <v>57</v>
      </c>
      <c r="D56" s="20">
        <v>0</v>
      </c>
      <c r="E56" s="20">
        <v>0</v>
      </c>
      <c r="F56" s="20">
        <v>0</v>
      </c>
      <c r="G56" s="20">
        <v>0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">
        <v>0</v>
      </c>
      <c r="N56" s="2">
        <v>0</v>
      </c>
      <c r="O56" s="20">
        <v>0</v>
      </c>
      <c r="P56" s="20">
        <v>3</v>
      </c>
      <c r="Q56" s="20">
        <v>7</v>
      </c>
      <c r="R56" s="20">
        <v>8</v>
      </c>
      <c r="U56" s="1"/>
      <c r="V56" s="1"/>
      <c r="W56" s="1"/>
      <c r="X56" s="1"/>
      <c r="Y56" s="1"/>
      <c r="Z56" s="1"/>
    </row>
    <row r="57" spans="3:26" x14ac:dyDescent="0.25">
      <c r="C57" s="2" t="s">
        <v>58</v>
      </c>
      <c r="D57" s="20">
        <v>2</v>
      </c>
      <c r="E57" s="20">
        <v>3</v>
      </c>
      <c r="F57" s="20">
        <v>4</v>
      </c>
      <c r="G57" s="20">
        <v>4</v>
      </c>
      <c r="H57" s="20">
        <v>4</v>
      </c>
      <c r="I57" s="20">
        <v>3</v>
      </c>
      <c r="J57" s="20">
        <v>4</v>
      </c>
      <c r="K57" s="20">
        <v>4</v>
      </c>
      <c r="L57" s="20">
        <v>4</v>
      </c>
      <c r="M57" s="20">
        <v>4</v>
      </c>
      <c r="N57" s="20">
        <v>5</v>
      </c>
      <c r="O57" s="20">
        <v>5</v>
      </c>
      <c r="P57" s="20">
        <v>7</v>
      </c>
      <c r="Q57" s="20">
        <v>0</v>
      </c>
      <c r="R57" s="20">
        <v>0</v>
      </c>
    </row>
    <row r="58" spans="3:26" x14ac:dyDescent="0.25">
      <c r="C58" s="2" t="s">
        <v>59</v>
      </c>
      <c r="D58" s="20">
        <v>183</v>
      </c>
      <c r="E58" s="20">
        <v>117</v>
      </c>
      <c r="F58" s="20">
        <v>61</v>
      </c>
      <c r="G58" s="20">
        <v>91</v>
      </c>
      <c r="H58" s="20">
        <v>109</v>
      </c>
      <c r="I58" s="20">
        <v>140</v>
      </c>
      <c r="J58" s="20">
        <v>78</v>
      </c>
      <c r="K58" s="20">
        <v>140</v>
      </c>
      <c r="L58" s="20">
        <v>142</v>
      </c>
      <c r="M58" s="20">
        <v>194</v>
      </c>
      <c r="N58" s="20">
        <v>51</v>
      </c>
      <c r="O58" s="20">
        <v>119</v>
      </c>
      <c r="P58" s="20">
        <v>132</v>
      </c>
      <c r="Q58" s="20">
        <v>143</v>
      </c>
      <c r="R58" s="20">
        <v>55</v>
      </c>
    </row>
    <row r="59" spans="3:26" x14ac:dyDescent="0.25">
      <c r="C59" s="2" t="s">
        <v>60</v>
      </c>
      <c r="D59" s="20">
        <v>34</v>
      </c>
      <c r="E59" s="20">
        <v>69</v>
      </c>
      <c r="F59" s="20">
        <v>59</v>
      </c>
      <c r="G59" s="20">
        <v>43</v>
      </c>
      <c r="H59" s="20">
        <v>45</v>
      </c>
      <c r="I59" s="20">
        <v>91</v>
      </c>
      <c r="J59" s="20">
        <v>48</v>
      </c>
      <c r="K59" s="20">
        <v>46</v>
      </c>
      <c r="L59" s="20">
        <v>34</v>
      </c>
      <c r="M59" s="20">
        <v>118</v>
      </c>
      <c r="N59" s="20">
        <v>56</v>
      </c>
      <c r="O59" s="20">
        <v>54</v>
      </c>
      <c r="P59" s="20">
        <v>48</v>
      </c>
      <c r="Q59" s="20">
        <v>105</v>
      </c>
      <c r="R59" s="20">
        <v>58</v>
      </c>
    </row>
    <row r="60" spans="3:26" x14ac:dyDescent="0.25">
      <c r="C60" s="2" t="s">
        <v>61</v>
      </c>
      <c r="D60" s="20">
        <v>56</v>
      </c>
      <c r="E60" s="20">
        <v>13</v>
      </c>
      <c r="F60" s="20">
        <v>15</v>
      </c>
      <c r="G60" s="20">
        <v>20</v>
      </c>
      <c r="H60" s="20">
        <v>19</v>
      </c>
      <c r="I60" s="20">
        <v>12</v>
      </c>
      <c r="J60" s="20">
        <v>17</v>
      </c>
      <c r="K60" s="20">
        <v>22</v>
      </c>
      <c r="L60" s="20">
        <v>18</v>
      </c>
      <c r="M60" s="20">
        <v>34</v>
      </c>
      <c r="N60" s="20">
        <v>33</v>
      </c>
      <c r="O60" s="20">
        <v>9</v>
      </c>
      <c r="P60" s="20">
        <v>4</v>
      </c>
      <c r="Q60" s="20">
        <v>15</v>
      </c>
      <c r="R60" s="20">
        <v>15</v>
      </c>
      <c r="S60" s="8"/>
      <c r="U60" s="1"/>
      <c r="V60" s="1"/>
      <c r="W60" s="1"/>
      <c r="X60" s="1"/>
      <c r="Y60" s="1"/>
      <c r="Z60" s="1"/>
    </row>
    <row r="61" spans="3:26" x14ac:dyDescent="0.25">
      <c r="C61" s="2" t="s">
        <v>62</v>
      </c>
      <c r="D61" s="20">
        <v>41</v>
      </c>
      <c r="E61" s="20">
        <v>48</v>
      </c>
      <c r="F61" s="20">
        <v>49</v>
      </c>
      <c r="G61" s="20">
        <v>32</v>
      </c>
      <c r="H61" s="20">
        <v>63</v>
      </c>
      <c r="I61" s="20">
        <v>83</v>
      </c>
      <c r="J61" s="20">
        <v>56</v>
      </c>
      <c r="K61" s="20">
        <v>37</v>
      </c>
      <c r="L61" s="20">
        <v>48</v>
      </c>
      <c r="M61" s="20">
        <v>102</v>
      </c>
      <c r="N61" s="20">
        <v>70</v>
      </c>
      <c r="O61" s="20">
        <v>34</v>
      </c>
      <c r="P61" s="20">
        <v>71</v>
      </c>
      <c r="Q61" s="20">
        <v>103</v>
      </c>
      <c r="R61" s="20">
        <v>72</v>
      </c>
    </row>
    <row r="62" spans="3:26" x14ac:dyDescent="0.25">
      <c r="C62" s="2" t="s">
        <v>63</v>
      </c>
      <c r="D62" s="20">
        <v>47</v>
      </c>
      <c r="E62" s="20">
        <v>65</v>
      </c>
      <c r="F62" s="20">
        <v>83</v>
      </c>
      <c r="G62" s="20">
        <v>63</v>
      </c>
      <c r="H62" s="20">
        <v>72</v>
      </c>
      <c r="I62" s="20">
        <v>86</v>
      </c>
      <c r="J62" s="20">
        <v>104</v>
      </c>
      <c r="K62" s="20">
        <v>73</v>
      </c>
      <c r="L62" s="20">
        <v>78</v>
      </c>
      <c r="M62" s="20">
        <v>92</v>
      </c>
      <c r="N62" s="20">
        <v>108</v>
      </c>
      <c r="O62" s="20">
        <v>77</v>
      </c>
      <c r="P62" s="20">
        <v>91</v>
      </c>
      <c r="Q62" s="20">
        <v>102</v>
      </c>
      <c r="R62" s="20">
        <v>119</v>
      </c>
    </row>
    <row r="63" spans="3:26" x14ac:dyDescent="0.25">
      <c r="C63" s="8" t="s">
        <v>64</v>
      </c>
      <c r="D63" s="28">
        <f t="shared" ref="D63:L63" si="41">SUM(D54:D62)</f>
        <v>563</v>
      </c>
      <c r="E63" s="28">
        <f t="shared" si="41"/>
        <v>380</v>
      </c>
      <c r="F63" s="28">
        <f t="shared" si="41"/>
        <v>318</v>
      </c>
      <c r="G63" s="28">
        <f t="shared" si="41"/>
        <v>299</v>
      </c>
      <c r="H63" s="28">
        <f t="shared" si="41"/>
        <v>357</v>
      </c>
      <c r="I63" s="28">
        <f t="shared" si="41"/>
        <v>460</v>
      </c>
      <c r="J63" s="28">
        <f t="shared" si="41"/>
        <v>351</v>
      </c>
      <c r="K63" s="28">
        <f t="shared" si="41"/>
        <v>366</v>
      </c>
      <c r="L63" s="28">
        <f t="shared" si="41"/>
        <v>366</v>
      </c>
      <c r="M63" s="28">
        <f>SUM(M54:M62)</f>
        <v>586</v>
      </c>
      <c r="N63" s="28">
        <f>SUM(N54:N62)</f>
        <v>365</v>
      </c>
      <c r="O63" s="28">
        <f>SUM(O54:O62)</f>
        <v>340</v>
      </c>
      <c r="P63" s="28">
        <f>SUM(P54:P62)</f>
        <v>403</v>
      </c>
      <c r="Q63" s="28">
        <f t="shared" ref="Q63:R63" si="42">SUM(Q54:Q62)</f>
        <v>520</v>
      </c>
      <c r="R63" s="28">
        <f t="shared" si="42"/>
        <v>371</v>
      </c>
    </row>
    <row r="64" spans="3:26" x14ac:dyDescent="0.25">
      <c r="C64" s="1" t="s">
        <v>65</v>
      </c>
      <c r="D64" s="19">
        <f t="shared" ref="D64:O64" si="43">D53+D63</f>
        <v>1577</v>
      </c>
      <c r="E64" s="19">
        <f t="shared" si="43"/>
        <v>1397</v>
      </c>
      <c r="F64" s="19">
        <f t="shared" si="43"/>
        <v>1402</v>
      </c>
      <c r="G64" s="19">
        <f t="shared" si="43"/>
        <v>1437</v>
      </c>
      <c r="H64" s="19">
        <f t="shared" si="43"/>
        <v>1547</v>
      </c>
      <c r="I64" s="19">
        <f t="shared" si="43"/>
        <v>1669</v>
      </c>
      <c r="J64" s="19">
        <f t="shared" si="43"/>
        <v>1623</v>
      </c>
      <c r="K64" s="19">
        <f t="shared" si="43"/>
        <v>1618</v>
      </c>
      <c r="L64" s="19">
        <f t="shared" si="43"/>
        <v>1595</v>
      </c>
      <c r="M64" s="19">
        <f t="shared" si="43"/>
        <v>1753</v>
      </c>
      <c r="N64" s="19">
        <f t="shared" si="43"/>
        <v>1586</v>
      </c>
      <c r="O64" s="19">
        <f t="shared" si="43"/>
        <v>1560</v>
      </c>
      <c r="P64" s="19">
        <f>P53+P63</f>
        <v>1650</v>
      </c>
      <c r="Q64" s="19">
        <f t="shared" ref="Q64:R64" si="44">Q53+Q63</f>
        <v>1728</v>
      </c>
      <c r="R64" s="19">
        <f t="shared" si="44"/>
        <v>1656</v>
      </c>
      <c r="T64" s="1"/>
    </row>
    <row r="65" spans="3:27" x14ac:dyDescent="0.25">
      <c r="T65" s="1"/>
    </row>
    <row r="66" spans="3:27" x14ac:dyDescent="0.25">
      <c r="C66" s="1" t="s">
        <v>66</v>
      </c>
      <c r="T66" s="1"/>
      <c r="U66" s="1"/>
      <c r="V66" s="1"/>
      <c r="W66" s="1"/>
      <c r="X66" s="1"/>
      <c r="Y66" s="1"/>
      <c r="Z66" s="1"/>
    </row>
    <row r="67" spans="3:27" x14ac:dyDescent="0.25">
      <c r="C67" s="2" t="s">
        <v>67</v>
      </c>
      <c r="D67" s="2">
        <f t="shared" ref="D67:R67" si="45">D11</f>
        <v>50</v>
      </c>
      <c r="E67" s="2">
        <f t="shared" si="45"/>
        <v>105</v>
      </c>
      <c r="F67" s="2">
        <f t="shared" si="45"/>
        <v>87</v>
      </c>
      <c r="G67" s="2">
        <f t="shared" si="45"/>
        <v>68</v>
      </c>
      <c r="H67" s="2">
        <f t="shared" si="45"/>
        <v>67</v>
      </c>
      <c r="I67" s="2">
        <f t="shared" si="45"/>
        <v>143</v>
      </c>
      <c r="J67" s="2">
        <f t="shared" si="45"/>
        <v>102</v>
      </c>
      <c r="K67" s="2">
        <f t="shared" si="45"/>
        <v>74</v>
      </c>
      <c r="L67" s="2">
        <f t="shared" si="45"/>
        <v>57</v>
      </c>
      <c r="M67" s="2">
        <f t="shared" si="45"/>
        <v>158</v>
      </c>
      <c r="N67" s="2">
        <f t="shared" si="45"/>
        <v>80</v>
      </c>
      <c r="O67" s="2">
        <f t="shared" si="45"/>
        <v>63</v>
      </c>
      <c r="P67" s="2">
        <f t="shared" si="45"/>
        <v>74</v>
      </c>
      <c r="Q67" s="2">
        <f t="shared" si="45"/>
        <v>178</v>
      </c>
      <c r="R67" s="2">
        <f t="shared" si="45"/>
        <v>104</v>
      </c>
      <c r="T67" s="1"/>
      <c r="U67" s="20"/>
      <c r="V67" s="20">
        <f t="shared" ref="V67:AA67" si="46">V11</f>
        <v>83.171000000000035</v>
      </c>
      <c r="W67" s="20">
        <f t="shared" si="46"/>
        <v>230.46800000000002</v>
      </c>
      <c r="X67" s="2">
        <f t="shared" si="46"/>
        <v>366</v>
      </c>
      <c r="Y67" s="2">
        <f t="shared" si="46"/>
        <v>310</v>
      </c>
      <c r="Z67" s="2">
        <f t="shared" si="46"/>
        <v>386</v>
      </c>
      <c r="AA67" s="2">
        <f t="shared" si="46"/>
        <v>357</v>
      </c>
    </row>
    <row r="68" spans="3:27" x14ac:dyDescent="0.25">
      <c r="C68" s="2" t="s">
        <v>68</v>
      </c>
      <c r="D68" s="2">
        <v>50</v>
      </c>
      <c r="E68" s="2">
        <v>105</v>
      </c>
      <c r="F68" s="2">
        <v>87</v>
      </c>
      <c r="G68" s="2">
        <v>68</v>
      </c>
      <c r="H68" s="2">
        <v>67</v>
      </c>
      <c r="I68" s="2">
        <v>143</v>
      </c>
      <c r="J68" s="2">
        <v>101</v>
      </c>
      <c r="K68" s="2">
        <v>74</v>
      </c>
      <c r="L68" s="2">
        <v>57</v>
      </c>
      <c r="M68" s="2">
        <v>158</v>
      </c>
      <c r="N68" s="2">
        <v>80</v>
      </c>
      <c r="O68" s="2">
        <v>63</v>
      </c>
      <c r="P68" s="2">
        <v>75</v>
      </c>
      <c r="Q68" s="2">
        <v>177</v>
      </c>
      <c r="R68" s="2">
        <v>105</v>
      </c>
      <c r="S68" s="1"/>
      <c r="T68" s="1"/>
      <c r="U68" s="20"/>
      <c r="V68" s="20">
        <v>83</v>
      </c>
      <c r="W68" s="20">
        <v>230.405</v>
      </c>
      <c r="X68" s="2">
        <v>367</v>
      </c>
      <c r="Y68" s="2">
        <v>310</v>
      </c>
      <c r="Z68" s="2">
        <v>386</v>
      </c>
      <c r="AA68" s="2">
        <v>357</v>
      </c>
    </row>
    <row r="69" spans="3:27" x14ac:dyDescent="0.25">
      <c r="C69" s="2" t="s">
        <v>21</v>
      </c>
      <c r="D69" s="2">
        <v>1</v>
      </c>
      <c r="E69" s="2">
        <v>2</v>
      </c>
      <c r="F69" s="2">
        <v>2</v>
      </c>
      <c r="G69" s="2">
        <v>2</v>
      </c>
      <c r="H69" s="2">
        <v>2</v>
      </c>
      <c r="I69" s="2">
        <v>2</v>
      </c>
      <c r="J69" s="2">
        <v>2</v>
      </c>
      <c r="K69" s="2">
        <v>2</v>
      </c>
      <c r="L69" s="2">
        <v>2</v>
      </c>
      <c r="M69" s="2">
        <v>2</v>
      </c>
      <c r="N69" s="2">
        <v>2</v>
      </c>
      <c r="O69" s="2">
        <v>2</v>
      </c>
      <c r="P69" s="2">
        <v>3</v>
      </c>
      <c r="Q69" s="2">
        <v>3</v>
      </c>
      <c r="R69" s="2">
        <v>3</v>
      </c>
      <c r="S69" s="1"/>
      <c r="T69" s="1"/>
      <c r="U69" s="20"/>
      <c r="V69" s="20">
        <v>1.98</v>
      </c>
      <c r="W69" s="20">
        <v>3.871</v>
      </c>
      <c r="X69" s="2">
        <v>5</v>
      </c>
      <c r="Y69" s="2">
        <v>7</v>
      </c>
      <c r="Z69" s="2">
        <v>9</v>
      </c>
      <c r="AA69" s="2">
        <v>9</v>
      </c>
    </row>
    <row r="70" spans="3:27" x14ac:dyDescent="0.25">
      <c r="C70" s="2" t="s">
        <v>69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1"/>
      <c r="T70" s="1"/>
      <c r="U70" s="20"/>
      <c r="V70" s="20">
        <v>0</v>
      </c>
      <c r="W70" s="20">
        <v>0</v>
      </c>
      <c r="X70" s="2">
        <v>0</v>
      </c>
      <c r="Y70" s="2">
        <v>0</v>
      </c>
      <c r="Z70" s="2">
        <v>0</v>
      </c>
      <c r="AA70" s="2">
        <v>0</v>
      </c>
    </row>
    <row r="71" spans="3:27" x14ac:dyDescent="0.25">
      <c r="C71" s="2" t="s">
        <v>70</v>
      </c>
      <c r="D71" s="2">
        <v>0</v>
      </c>
      <c r="E71" s="2">
        <v>0</v>
      </c>
      <c r="F71" s="2">
        <v>0</v>
      </c>
      <c r="G71" s="2">
        <v>1</v>
      </c>
      <c r="H71" s="2">
        <v>1</v>
      </c>
      <c r="I71" s="2">
        <v>2</v>
      </c>
      <c r="J71" s="2">
        <v>2</v>
      </c>
      <c r="K71" s="2">
        <v>2</v>
      </c>
      <c r="L71" s="2">
        <v>1</v>
      </c>
      <c r="M71" s="2">
        <v>1</v>
      </c>
      <c r="N71" s="2">
        <v>0</v>
      </c>
      <c r="O71" s="2">
        <v>1</v>
      </c>
      <c r="P71" s="2">
        <v>0</v>
      </c>
      <c r="Q71" s="2">
        <v>1</v>
      </c>
      <c r="R71" s="2">
        <v>1</v>
      </c>
      <c r="U71" s="20"/>
      <c r="V71" s="20">
        <v>0</v>
      </c>
      <c r="W71" s="20">
        <v>0</v>
      </c>
      <c r="X71" s="2">
        <v>0</v>
      </c>
      <c r="Y71" s="2">
        <v>1</v>
      </c>
      <c r="Z71" s="2">
        <v>8</v>
      </c>
      <c r="AA71" s="2">
        <v>4</v>
      </c>
    </row>
    <row r="72" spans="3:27" x14ac:dyDescent="0.25">
      <c r="C72" s="2" t="s">
        <v>71</v>
      </c>
      <c r="D72" s="2">
        <v>-1</v>
      </c>
      <c r="E72" s="2">
        <v>-2</v>
      </c>
      <c r="F72" s="2">
        <v>-1</v>
      </c>
      <c r="G72" s="2">
        <v>-1</v>
      </c>
      <c r="H72" s="2">
        <v>-1</v>
      </c>
      <c r="I72" s="2">
        <v>-1</v>
      </c>
      <c r="J72" s="2">
        <v>-1</v>
      </c>
      <c r="K72" s="2">
        <v>-1</v>
      </c>
      <c r="L72" s="2">
        <v>-1</v>
      </c>
      <c r="M72" s="2">
        <v>-1</v>
      </c>
      <c r="N72" s="2">
        <v>-1</v>
      </c>
      <c r="O72" s="2">
        <v>-1</v>
      </c>
      <c r="P72" s="2">
        <v>-1</v>
      </c>
      <c r="Q72" s="2">
        <v>-1</v>
      </c>
      <c r="R72" s="2">
        <v>-1</v>
      </c>
      <c r="U72" s="20"/>
      <c r="V72" s="20">
        <v>-6.9</v>
      </c>
      <c r="W72" s="20">
        <v>-11.815</v>
      </c>
      <c r="X72" s="2">
        <v>-3</v>
      </c>
      <c r="Y72" s="2">
        <v>-5</v>
      </c>
      <c r="Z72" s="2">
        <v>-4</v>
      </c>
      <c r="AA72" s="2">
        <v>-4</v>
      </c>
    </row>
    <row r="73" spans="3:27" x14ac:dyDescent="0.25">
      <c r="C73" s="2" t="s">
        <v>72</v>
      </c>
      <c r="D73" s="2">
        <v>-10</v>
      </c>
      <c r="E73" s="2">
        <v>-62</v>
      </c>
      <c r="F73" s="2">
        <v>-13</v>
      </c>
      <c r="G73" s="2">
        <v>-15</v>
      </c>
      <c r="H73" s="2">
        <v>-12</v>
      </c>
      <c r="I73" s="2">
        <v>-36</v>
      </c>
      <c r="J73" s="2">
        <v>-16</v>
      </c>
      <c r="K73" s="2">
        <v>-11</v>
      </c>
      <c r="L73" s="2">
        <v>-15</v>
      </c>
      <c r="M73" s="2">
        <v>-32</v>
      </c>
      <c r="N73" s="2">
        <v>-18</v>
      </c>
      <c r="O73" s="2">
        <v>-16</v>
      </c>
      <c r="P73" s="2">
        <v>-24</v>
      </c>
      <c r="Q73" s="2">
        <v>-26</v>
      </c>
      <c r="R73" s="2">
        <v>-22</v>
      </c>
      <c r="U73" s="20"/>
      <c r="V73" s="20">
        <v>-8.1999999999999993</v>
      </c>
      <c r="W73" s="20">
        <v>-27.5</v>
      </c>
      <c r="X73" s="2">
        <v>-63</v>
      </c>
      <c r="Y73" s="2">
        <v>-100</v>
      </c>
      <c r="Z73" s="2">
        <v>-74</v>
      </c>
      <c r="AA73" s="2">
        <v>-83</v>
      </c>
    </row>
    <row r="74" spans="3:27" x14ac:dyDescent="0.25">
      <c r="C74" s="2" t="s">
        <v>73</v>
      </c>
      <c r="D74" s="2">
        <f>-82-33+3</f>
        <v>-112</v>
      </c>
      <c r="E74" s="2">
        <f>79+31-7</f>
        <v>103</v>
      </c>
      <c r="F74" s="2">
        <f>46+27-47</f>
        <v>26</v>
      </c>
      <c r="G74" s="2">
        <f>-4-17-23</f>
        <v>-44</v>
      </c>
      <c r="H74" s="2">
        <f>-96+4+59</f>
        <v>-33</v>
      </c>
      <c r="I74" s="2">
        <f>60-1+112</f>
        <v>171</v>
      </c>
      <c r="J74" s="2">
        <f>-23+2-117</f>
        <v>-138</v>
      </c>
      <c r="K74" s="2">
        <f>13+2+10</f>
        <v>25</v>
      </c>
      <c r="L74" s="2">
        <f>-129-5-8</f>
        <v>-142</v>
      </c>
      <c r="M74" s="2">
        <f>-14+10+203</f>
        <v>199</v>
      </c>
      <c r="N74" s="2">
        <f>48-1-219</f>
        <v>-172</v>
      </c>
      <c r="O74" s="2">
        <f>22+16-1</f>
        <v>37</v>
      </c>
      <c r="P74" s="2">
        <f>-65-19+58</f>
        <v>-26</v>
      </c>
      <c r="Q74" s="2">
        <f>91-1+116</f>
        <v>206</v>
      </c>
      <c r="R74" s="2">
        <f>86-154</f>
        <v>-68</v>
      </c>
      <c r="U74" s="20"/>
      <c r="V74" s="20">
        <f>45.798-3.4+8.5</f>
        <v>50.898000000000003</v>
      </c>
      <c r="W74" s="20">
        <f>-118.031-10.988+158.8</f>
        <v>29.781000000000006</v>
      </c>
      <c r="X74" s="2">
        <f>-296-44+100</f>
        <v>-240</v>
      </c>
      <c r="Y74" s="2">
        <f>40+8-73</f>
        <v>-25</v>
      </c>
      <c r="Z74" s="2">
        <f>-46+5+66</f>
        <v>25</v>
      </c>
      <c r="AA74" s="2">
        <f>-74+20-10</f>
        <v>-64</v>
      </c>
    </row>
    <row r="75" spans="3:27" x14ac:dyDescent="0.25">
      <c r="C75" s="1" t="s">
        <v>74</v>
      </c>
      <c r="D75" s="1">
        <f t="shared" ref="D75:O75" si="47">SUM(D68:D74)</f>
        <v>-72</v>
      </c>
      <c r="E75" s="1">
        <f t="shared" si="47"/>
        <v>146</v>
      </c>
      <c r="F75" s="1">
        <f t="shared" si="47"/>
        <v>101</v>
      </c>
      <c r="G75" s="1">
        <f t="shared" si="47"/>
        <v>11</v>
      </c>
      <c r="H75" s="1">
        <f t="shared" si="47"/>
        <v>24</v>
      </c>
      <c r="I75" s="1">
        <f t="shared" si="47"/>
        <v>281</v>
      </c>
      <c r="J75" s="1">
        <f t="shared" si="47"/>
        <v>-50</v>
      </c>
      <c r="K75" s="1">
        <f t="shared" si="47"/>
        <v>91</v>
      </c>
      <c r="L75" s="1">
        <f t="shared" si="47"/>
        <v>-98</v>
      </c>
      <c r="M75" s="1">
        <f t="shared" si="47"/>
        <v>327</v>
      </c>
      <c r="N75" s="1">
        <f t="shared" si="47"/>
        <v>-109</v>
      </c>
      <c r="O75" s="1">
        <f t="shared" si="47"/>
        <v>86</v>
      </c>
      <c r="P75" s="1">
        <f>SUM(P68:P74)</f>
        <v>27</v>
      </c>
      <c r="Q75" s="1">
        <f t="shared" ref="Q75:R75" si="48">SUM(Q68:Q74)</f>
        <v>360</v>
      </c>
      <c r="R75" s="1">
        <f t="shared" si="48"/>
        <v>18</v>
      </c>
      <c r="U75" s="19"/>
      <c r="V75" s="19">
        <f t="shared" ref="V75" si="49">SUM(V68:V74)</f>
        <v>120.77799999999999</v>
      </c>
      <c r="W75" s="19">
        <f t="shared" ref="W75" si="50">SUM(W68:W74)</f>
        <v>224.74200000000002</v>
      </c>
      <c r="X75" s="1">
        <f t="shared" ref="X75" si="51">SUM(X68:X74)</f>
        <v>66</v>
      </c>
      <c r="Y75" s="1">
        <f t="shared" ref="Y75" si="52">SUM(Y68:Y74)</f>
        <v>188</v>
      </c>
      <c r="Z75" s="1">
        <f t="shared" ref="Z75" si="53">SUM(Z68:Z74)</f>
        <v>350</v>
      </c>
      <c r="AA75" s="1">
        <f t="shared" ref="AA75" si="54">SUM(AA68:AA74)</f>
        <v>219</v>
      </c>
    </row>
    <row r="76" spans="3:27" x14ac:dyDescent="0.25">
      <c r="U76" s="20"/>
      <c r="V76" s="20"/>
      <c r="W76" s="20"/>
    </row>
    <row r="77" spans="3:27" x14ac:dyDescent="0.25">
      <c r="C77" s="2" t="s">
        <v>75</v>
      </c>
      <c r="D77" s="2">
        <v>-1</v>
      </c>
      <c r="E77" s="2">
        <v>-2</v>
      </c>
      <c r="F77" s="2">
        <v>-1</v>
      </c>
      <c r="G77" s="2">
        <v>-2</v>
      </c>
      <c r="H77" s="2">
        <v>-1</v>
      </c>
      <c r="I77" s="2">
        <v>-8</v>
      </c>
      <c r="J77" s="2">
        <v>0</v>
      </c>
      <c r="K77" s="2">
        <v>-1</v>
      </c>
      <c r="L77" s="2">
        <v>0</v>
      </c>
      <c r="M77" s="2">
        <v>-1</v>
      </c>
      <c r="N77" s="2">
        <v>0</v>
      </c>
      <c r="O77" s="2">
        <v>-2</v>
      </c>
      <c r="P77" s="2">
        <v>-1</v>
      </c>
      <c r="Q77" s="2">
        <v>-2</v>
      </c>
      <c r="R77" s="2">
        <v>-1</v>
      </c>
      <c r="U77" s="20"/>
      <c r="V77" s="20">
        <v>-7</v>
      </c>
      <c r="W77" s="20">
        <v>-3.2</v>
      </c>
      <c r="X77" s="2">
        <v>-3</v>
      </c>
      <c r="Y77" s="2">
        <v>-6</v>
      </c>
      <c r="Z77" s="2">
        <v>-10</v>
      </c>
      <c r="AA77" s="2">
        <v>-3</v>
      </c>
    </row>
    <row r="78" spans="3:27" x14ac:dyDescent="0.25">
      <c r="C78" s="1" t="s">
        <v>76</v>
      </c>
      <c r="D78" s="1">
        <f t="shared" ref="D78:O78" si="55">D77</f>
        <v>-1</v>
      </c>
      <c r="E78" s="1">
        <f t="shared" si="55"/>
        <v>-2</v>
      </c>
      <c r="F78" s="1">
        <f t="shared" si="55"/>
        <v>-1</v>
      </c>
      <c r="G78" s="1">
        <f t="shared" si="55"/>
        <v>-2</v>
      </c>
      <c r="H78" s="1">
        <f t="shared" si="55"/>
        <v>-1</v>
      </c>
      <c r="I78" s="1">
        <f t="shared" si="55"/>
        <v>-8</v>
      </c>
      <c r="J78" s="1">
        <f t="shared" si="55"/>
        <v>0</v>
      </c>
      <c r="K78" s="1">
        <f t="shared" si="55"/>
        <v>-1</v>
      </c>
      <c r="L78" s="1">
        <f t="shared" si="55"/>
        <v>0</v>
      </c>
      <c r="M78" s="1">
        <f t="shared" si="55"/>
        <v>-1</v>
      </c>
      <c r="N78" s="1">
        <f t="shared" si="55"/>
        <v>0</v>
      </c>
      <c r="O78" s="1">
        <f t="shared" si="55"/>
        <v>-2</v>
      </c>
      <c r="P78" s="1">
        <f>P77</f>
        <v>-1</v>
      </c>
      <c r="Q78" s="1">
        <f t="shared" ref="Q78:R78" si="56">Q77</f>
        <v>-2</v>
      </c>
      <c r="R78" s="1">
        <f t="shared" si="56"/>
        <v>-1</v>
      </c>
      <c r="S78" s="8"/>
      <c r="U78" s="19"/>
      <c r="V78" s="19">
        <f t="shared" ref="V78" si="57">V77</f>
        <v>-7</v>
      </c>
      <c r="W78" s="19">
        <f t="shared" ref="W78" si="58">W77</f>
        <v>-3.2</v>
      </c>
      <c r="X78" s="1">
        <f t="shared" ref="X78" si="59">X77</f>
        <v>-3</v>
      </c>
      <c r="Y78" s="1">
        <f t="shared" ref="Y78" si="60">Y77</f>
        <v>-6</v>
      </c>
      <c r="Z78" s="1">
        <f t="shared" ref="Z78" si="61">Z77</f>
        <v>-10</v>
      </c>
      <c r="AA78" s="1">
        <f t="shared" ref="AA78" si="62">AA77</f>
        <v>-3</v>
      </c>
    </row>
    <row r="79" spans="3:27" x14ac:dyDescent="0.25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U79" s="19"/>
      <c r="V79" s="19"/>
      <c r="W79" s="19"/>
      <c r="X79" s="1"/>
      <c r="Y79" s="1"/>
      <c r="Z79" s="1"/>
      <c r="AA79" s="1"/>
    </row>
    <row r="80" spans="3:27" x14ac:dyDescent="0.25">
      <c r="C80" s="2" t="s">
        <v>77</v>
      </c>
      <c r="D80" s="2">
        <v>0</v>
      </c>
      <c r="E80" s="2">
        <v>-1</v>
      </c>
      <c r="F80" s="2">
        <v>-1</v>
      </c>
      <c r="G80" s="2">
        <v>-1</v>
      </c>
      <c r="H80" s="2">
        <v>-1</v>
      </c>
      <c r="I80" s="2">
        <v>-1</v>
      </c>
      <c r="J80" s="2">
        <v>-1</v>
      </c>
      <c r="K80" s="2">
        <v>-1</v>
      </c>
      <c r="L80" s="2">
        <v>-1</v>
      </c>
      <c r="M80" s="2">
        <v>-1</v>
      </c>
      <c r="N80" s="2">
        <v>-1</v>
      </c>
      <c r="O80" s="2">
        <v>-1</v>
      </c>
      <c r="P80" s="2">
        <v>-2</v>
      </c>
      <c r="Q80" s="2">
        <v>-2</v>
      </c>
      <c r="R80" s="2">
        <v>-2</v>
      </c>
      <c r="U80" s="20"/>
      <c r="V80" s="20">
        <v>-1.2350000000000001</v>
      </c>
      <c r="W80" s="20">
        <v>-1.5609999999999999</v>
      </c>
      <c r="X80" s="2">
        <v>-2</v>
      </c>
      <c r="Y80" s="2">
        <v>-3</v>
      </c>
      <c r="Z80" s="2">
        <v>-4</v>
      </c>
      <c r="AA80" s="2">
        <v>-4</v>
      </c>
    </row>
    <row r="81" spans="3:27" x14ac:dyDescent="0.25">
      <c r="C81" s="2" t="s">
        <v>78</v>
      </c>
      <c r="D81" s="2">
        <v>140</v>
      </c>
      <c r="E81" s="2">
        <v>-142</v>
      </c>
      <c r="F81" s="2">
        <v>-17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U81" s="20"/>
      <c r="V81" s="20">
        <f>230-130.625</f>
        <v>99.375</v>
      </c>
      <c r="W81" s="20">
        <v>-1.5</v>
      </c>
      <c r="X81" s="2">
        <v>-209</v>
      </c>
      <c r="Y81" s="2">
        <v>-19</v>
      </c>
      <c r="Z81" s="2">
        <v>-1</v>
      </c>
      <c r="AA81" s="2">
        <v>-1</v>
      </c>
    </row>
    <row r="82" spans="3:27" x14ac:dyDescent="0.25">
      <c r="C82" s="2" t="s">
        <v>101</v>
      </c>
      <c r="D82" s="2">
        <v>0</v>
      </c>
      <c r="E82" s="2">
        <v>-87</v>
      </c>
      <c r="F82" s="2">
        <v>0</v>
      </c>
      <c r="G82" s="2">
        <v>0</v>
      </c>
      <c r="H82" s="2">
        <v>0</v>
      </c>
      <c r="I82" s="2">
        <v>-97</v>
      </c>
      <c r="J82" s="2">
        <v>0</v>
      </c>
      <c r="K82" s="2">
        <v>0</v>
      </c>
      <c r="L82" s="2">
        <v>0</v>
      </c>
      <c r="M82" s="2">
        <v>-132</v>
      </c>
      <c r="N82" s="2">
        <v>20</v>
      </c>
      <c r="O82" s="2">
        <v>0</v>
      </c>
      <c r="P82" s="2">
        <v>0</v>
      </c>
      <c r="Q82" s="2">
        <v>-143</v>
      </c>
      <c r="R82" s="2">
        <v>0</v>
      </c>
      <c r="U82" s="20"/>
      <c r="V82" s="20">
        <v>-132</v>
      </c>
      <c r="W82" s="20">
        <v>-110</v>
      </c>
      <c r="X82" s="2">
        <v>-72</v>
      </c>
      <c r="Y82" s="2">
        <v>-87</v>
      </c>
      <c r="Z82" s="2">
        <v>-97</v>
      </c>
      <c r="AA82" s="2">
        <v>-132</v>
      </c>
    </row>
    <row r="83" spans="3:27" x14ac:dyDescent="0.25">
      <c r="C83" s="2" t="s">
        <v>79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-17</v>
      </c>
      <c r="K83" s="2">
        <v>-81</v>
      </c>
      <c r="L83" s="2">
        <v>-69</v>
      </c>
      <c r="M83" s="2">
        <v>-59</v>
      </c>
      <c r="N83" s="2">
        <v>-27</v>
      </c>
      <c r="O83" s="2">
        <v>-51</v>
      </c>
      <c r="P83" s="2">
        <v>-32</v>
      </c>
      <c r="Q83" s="2">
        <v>-39</v>
      </c>
      <c r="R83" s="2">
        <v>-62</v>
      </c>
      <c r="U83" s="20"/>
      <c r="V83" s="20">
        <v>1.38</v>
      </c>
      <c r="W83" s="20">
        <v>53.281999999999996</v>
      </c>
      <c r="X83" s="2">
        <v>0</v>
      </c>
      <c r="Y83" s="2">
        <v>0</v>
      </c>
      <c r="Z83" s="2">
        <v>-98</v>
      </c>
      <c r="AA83" s="2">
        <v>-205</v>
      </c>
    </row>
    <row r="84" spans="3:27" x14ac:dyDescent="0.25">
      <c r="C84" s="2" t="s">
        <v>80</v>
      </c>
      <c r="D84" s="2">
        <v>0</v>
      </c>
      <c r="E84" s="2">
        <v>9</v>
      </c>
      <c r="F84" s="2">
        <v>-1</v>
      </c>
      <c r="G84" s="2">
        <v>0</v>
      </c>
      <c r="H84" s="2">
        <v>0</v>
      </c>
      <c r="I84" s="2">
        <v>2</v>
      </c>
      <c r="J84" s="2">
        <v>0</v>
      </c>
      <c r="K84" s="2">
        <v>0</v>
      </c>
      <c r="L84" s="2">
        <v>0</v>
      </c>
      <c r="M84" s="2">
        <v>3</v>
      </c>
      <c r="N84" s="2">
        <v>-2</v>
      </c>
      <c r="O84" s="2">
        <v>0</v>
      </c>
      <c r="P84" s="2">
        <v>0</v>
      </c>
      <c r="Q84" s="2">
        <v>3</v>
      </c>
      <c r="R84" s="2">
        <v>56</v>
      </c>
      <c r="U84" s="20"/>
      <c r="V84" s="20">
        <v>0</v>
      </c>
      <c r="W84" s="20">
        <v>17.399000000000001</v>
      </c>
      <c r="X84" s="2">
        <v>-1</v>
      </c>
      <c r="Y84" s="2">
        <v>7</v>
      </c>
      <c r="Z84" s="2">
        <v>1</v>
      </c>
      <c r="AA84" s="2">
        <v>22</v>
      </c>
    </row>
    <row r="85" spans="3:27" x14ac:dyDescent="0.25">
      <c r="C85" s="1" t="s">
        <v>81</v>
      </c>
      <c r="D85" s="1">
        <f t="shared" ref="D85:R85" si="63">SUM(D80:D84)</f>
        <v>140</v>
      </c>
      <c r="E85" s="1">
        <f t="shared" si="63"/>
        <v>-221</v>
      </c>
      <c r="F85" s="1">
        <f t="shared" si="63"/>
        <v>-19</v>
      </c>
      <c r="G85" s="1">
        <f t="shared" si="63"/>
        <v>-1</v>
      </c>
      <c r="H85" s="1">
        <f t="shared" si="63"/>
        <v>-1</v>
      </c>
      <c r="I85" s="1">
        <f t="shared" si="63"/>
        <v>-96</v>
      </c>
      <c r="J85" s="1">
        <f t="shared" si="63"/>
        <v>-18</v>
      </c>
      <c r="K85" s="1">
        <f t="shared" si="63"/>
        <v>-82</v>
      </c>
      <c r="L85" s="1">
        <f t="shared" si="63"/>
        <v>-70</v>
      </c>
      <c r="M85" s="1">
        <f t="shared" si="63"/>
        <v>-189</v>
      </c>
      <c r="N85" s="1">
        <f t="shared" si="63"/>
        <v>-10</v>
      </c>
      <c r="O85" s="1">
        <f t="shared" si="63"/>
        <v>-52</v>
      </c>
      <c r="P85" s="1">
        <f t="shared" si="63"/>
        <v>-34</v>
      </c>
      <c r="Q85" s="1">
        <f t="shared" si="63"/>
        <v>-181</v>
      </c>
      <c r="R85" s="1">
        <f t="shared" si="63"/>
        <v>-8</v>
      </c>
      <c r="U85" s="19"/>
      <c r="V85" s="19">
        <f t="shared" ref="V85" si="64">SUM(V80:V84)</f>
        <v>-32.479999999999997</v>
      </c>
      <c r="W85" s="19">
        <f>SUM(W80:W84)</f>
        <v>-42.38000000000001</v>
      </c>
      <c r="X85" s="1">
        <f>SUM(X80:X84)</f>
        <v>-284</v>
      </c>
      <c r="Y85" s="1">
        <f>SUM(Y80:Y84)</f>
        <v>-102</v>
      </c>
      <c r="Z85" s="1">
        <f>SUM(Z80:Z84)</f>
        <v>-199</v>
      </c>
      <c r="AA85" s="1">
        <f>SUM(AA80:AA84)</f>
        <v>-320</v>
      </c>
    </row>
    <row r="86" spans="3:27" x14ac:dyDescent="0.25">
      <c r="U86" s="20"/>
      <c r="V86" s="20"/>
      <c r="W86" s="20"/>
    </row>
    <row r="87" spans="3:27" x14ac:dyDescent="0.25">
      <c r="C87" s="2" t="s">
        <v>82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-1</v>
      </c>
      <c r="O87" s="2">
        <v>0</v>
      </c>
      <c r="P87" s="2">
        <v>0</v>
      </c>
      <c r="Q87" s="2">
        <v>0</v>
      </c>
      <c r="R87" s="2">
        <v>1</v>
      </c>
      <c r="U87" s="20"/>
      <c r="V87" s="20">
        <v>-1.2</v>
      </c>
      <c r="W87" s="20">
        <v>0</v>
      </c>
      <c r="X87" s="2">
        <v>0</v>
      </c>
      <c r="Y87" s="2">
        <v>0</v>
      </c>
      <c r="Z87" s="2">
        <v>0</v>
      </c>
      <c r="AA87" s="2">
        <v>-1</v>
      </c>
    </row>
    <row r="88" spans="3:27" x14ac:dyDescent="0.25">
      <c r="U88" s="20"/>
      <c r="V88" s="20"/>
      <c r="W88" s="20"/>
    </row>
    <row r="89" spans="3:27" x14ac:dyDescent="0.25">
      <c r="C89" s="2" t="s">
        <v>83</v>
      </c>
      <c r="D89" s="2">
        <f t="shared" ref="D89:R89" si="65">D75+D78+D85</f>
        <v>67</v>
      </c>
      <c r="E89" s="2">
        <f t="shared" si="65"/>
        <v>-77</v>
      </c>
      <c r="F89" s="2">
        <f t="shared" si="65"/>
        <v>81</v>
      </c>
      <c r="G89" s="2">
        <f t="shared" si="65"/>
        <v>8</v>
      </c>
      <c r="H89" s="2">
        <f t="shared" si="65"/>
        <v>22</v>
      </c>
      <c r="I89" s="2">
        <f t="shared" si="65"/>
        <v>177</v>
      </c>
      <c r="J89" s="2">
        <f t="shared" si="65"/>
        <v>-68</v>
      </c>
      <c r="K89" s="2">
        <f t="shared" si="65"/>
        <v>8</v>
      </c>
      <c r="L89" s="2">
        <f t="shared" si="65"/>
        <v>-168</v>
      </c>
      <c r="M89" s="2">
        <f t="shared" si="65"/>
        <v>137</v>
      </c>
      <c r="N89" s="2">
        <f t="shared" si="65"/>
        <v>-119</v>
      </c>
      <c r="O89" s="2">
        <f t="shared" si="65"/>
        <v>32</v>
      </c>
      <c r="P89" s="2">
        <f t="shared" si="65"/>
        <v>-8</v>
      </c>
      <c r="Q89" s="2">
        <f t="shared" si="65"/>
        <v>177</v>
      </c>
      <c r="R89" s="2">
        <f t="shared" si="65"/>
        <v>9</v>
      </c>
      <c r="U89" s="20"/>
      <c r="V89" s="20">
        <f t="shared" ref="V89" si="66">V75+V78+V85</f>
        <v>81.298000000000002</v>
      </c>
      <c r="W89" s="20">
        <f>W75+W78+W85</f>
        <v>179.16200000000003</v>
      </c>
      <c r="X89" s="2">
        <f>X75+X78+X85</f>
        <v>-221</v>
      </c>
      <c r="Y89" s="2">
        <f>Y75+Y78+Y85</f>
        <v>80</v>
      </c>
      <c r="Z89" s="2">
        <f>Z75+Z78+Z85</f>
        <v>141</v>
      </c>
      <c r="AA89" s="2">
        <f>AA75+AA78+AA85</f>
        <v>-104</v>
      </c>
    </row>
    <row r="90" spans="3:27" x14ac:dyDescent="0.25">
      <c r="U90" s="20"/>
      <c r="V90" s="20"/>
      <c r="W90" s="20"/>
    </row>
    <row r="91" spans="3:27" x14ac:dyDescent="0.25">
      <c r="C91" s="2" t="s">
        <v>84</v>
      </c>
      <c r="D91" s="2">
        <f t="shared" ref="D91:Q91" si="67">D75+D77</f>
        <v>-73</v>
      </c>
      <c r="E91" s="2">
        <f t="shared" si="67"/>
        <v>144</v>
      </c>
      <c r="F91" s="2">
        <f t="shared" si="67"/>
        <v>100</v>
      </c>
      <c r="G91" s="2">
        <f t="shared" si="67"/>
        <v>9</v>
      </c>
      <c r="H91" s="2">
        <f t="shared" si="67"/>
        <v>23</v>
      </c>
      <c r="I91" s="2">
        <f t="shared" si="67"/>
        <v>273</v>
      </c>
      <c r="J91" s="2">
        <f t="shared" si="67"/>
        <v>-50</v>
      </c>
      <c r="K91" s="2">
        <f t="shared" si="67"/>
        <v>90</v>
      </c>
      <c r="L91" s="2">
        <f t="shared" si="67"/>
        <v>-98</v>
      </c>
      <c r="M91" s="2">
        <f t="shared" si="67"/>
        <v>326</v>
      </c>
      <c r="N91" s="2">
        <f t="shared" si="67"/>
        <v>-109</v>
      </c>
      <c r="O91" s="2">
        <f t="shared" si="67"/>
        <v>84</v>
      </c>
      <c r="P91" s="2">
        <f t="shared" si="67"/>
        <v>26</v>
      </c>
      <c r="Q91" s="2">
        <f t="shared" si="67"/>
        <v>358</v>
      </c>
      <c r="R91" s="2">
        <f>R75+R77</f>
        <v>17</v>
      </c>
      <c r="U91" s="20"/>
      <c r="V91" s="40">
        <f t="shared" ref="V91:AA91" si="68">V75+V77</f>
        <v>113.77799999999999</v>
      </c>
      <c r="W91" s="40">
        <f t="shared" si="68"/>
        <v>221.54200000000003</v>
      </c>
      <c r="X91" s="2">
        <f t="shared" si="68"/>
        <v>63</v>
      </c>
      <c r="Y91" s="2">
        <f t="shared" si="68"/>
        <v>182</v>
      </c>
      <c r="Z91" s="2">
        <f t="shared" si="68"/>
        <v>340</v>
      </c>
      <c r="AA91" s="2">
        <f t="shared" si="68"/>
        <v>216</v>
      </c>
    </row>
    <row r="98" spans="3:31" x14ac:dyDescent="0.2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U98" s="1"/>
      <c r="V98" s="1"/>
      <c r="W98" s="1"/>
      <c r="X98" s="1"/>
      <c r="Y98" s="1"/>
      <c r="Z98" s="1"/>
      <c r="AA98" s="1"/>
      <c r="AB98" s="6"/>
      <c r="AC98" s="1"/>
      <c r="AD98" s="1"/>
    </row>
    <row r="99" spans="3:31" x14ac:dyDescent="0.2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U99" s="1"/>
      <c r="V99" s="1"/>
      <c r="W99" s="1"/>
      <c r="X99" s="1"/>
      <c r="Y99" s="1"/>
      <c r="Z99" s="1"/>
      <c r="AA99" s="1"/>
      <c r="AB99" s="6"/>
      <c r="AC99" s="1"/>
      <c r="AD99" s="1"/>
    </row>
    <row r="100" spans="3:31" x14ac:dyDescent="0.25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9"/>
      <c r="AC100" s="8"/>
      <c r="AD100" s="8"/>
      <c r="AE100" s="8"/>
    </row>
    <row r="111" spans="3:31" x14ac:dyDescent="0.25"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U111" s="1"/>
      <c r="V111" s="1"/>
      <c r="W111" s="1"/>
      <c r="X111" s="1"/>
      <c r="Y111" s="1"/>
      <c r="Z111" s="1"/>
      <c r="AA111" s="1"/>
      <c r="AB111" s="6"/>
      <c r="AC111" s="1"/>
      <c r="AD111" s="1"/>
    </row>
    <row r="124" spans="3:30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U124" s="1"/>
      <c r="V124" s="1"/>
      <c r="W124" s="1"/>
      <c r="X124" s="1"/>
      <c r="Y124" s="1"/>
      <c r="Z124" s="1"/>
      <c r="AA124" s="1"/>
      <c r="AB124" s="6"/>
      <c r="AC124" s="1"/>
      <c r="AD124" s="1"/>
    </row>
    <row r="125" spans="3:30" x14ac:dyDescent="0.25">
      <c r="Q125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W14"/>
  <sheetViews>
    <sheetView showGridLines="0" workbookViewId="0">
      <pane xSplit="2" ySplit="5" topLeftCell="G6" activePane="bottomRight" state="frozen"/>
      <selection pane="topRight" activeCell="C1" sqref="C1"/>
      <selection pane="bottomLeft" activeCell="A6" sqref="A6"/>
      <selection pane="bottomRight" activeCell="O27" sqref="O27"/>
    </sheetView>
  </sheetViews>
  <sheetFormatPr baseColWidth="10" defaultRowHeight="19" x14ac:dyDescent="0.25"/>
  <cols>
    <col min="1" max="1" width="10.83203125" style="2"/>
    <col min="2" max="2" width="13.83203125" style="2" customWidth="1"/>
    <col min="3" max="3" width="10.83203125" style="2" customWidth="1"/>
    <col min="4" max="16384" width="10.83203125" style="2"/>
  </cols>
  <sheetData>
    <row r="3" spans="2:23" x14ac:dyDescent="0.25">
      <c r="C3" s="4" t="s">
        <v>128</v>
      </c>
      <c r="D3" s="4" t="s">
        <v>124</v>
      </c>
      <c r="E3" s="4" t="s">
        <v>123</v>
      </c>
      <c r="F3" s="4" t="s">
        <v>116</v>
      </c>
      <c r="G3" s="4"/>
      <c r="H3" s="4" t="s">
        <v>128</v>
      </c>
      <c r="I3" s="4" t="s">
        <v>124</v>
      </c>
      <c r="J3" s="4" t="s">
        <v>123</v>
      </c>
      <c r="K3" s="4" t="s">
        <v>116</v>
      </c>
      <c r="L3" s="4"/>
      <c r="M3" s="4" t="s">
        <v>128</v>
      </c>
      <c r="N3" s="4" t="s">
        <v>124</v>
      </c>
      <c r="O3" s="4" t="s">
        <v>123</v>
      </c>
      <c r="P3" s="4" t="s">
        <v>116</v>
      </c>
      <c r="Q3" s="4"/>
      <c r="R3" s="4" t="s">
        <v>128</v>
      </c>
      <c r="S3" s="4" t="s">
        <v>124</v>
      </c>
      <c r="T3" s="4" t="s">
        <v>123</v>
      </c>
      <c r="U3" s="4" t="s">
        <v>116</v>
      </c>
    </row>
    <row r="5" spans="2:23" x14ac:dyDescent="0.25">
      <c r="B5" s="1" t="s">
        <v>142</v>
      </c>
      <c r="C5" s="4" t="s">
        <v>126</v>
      </c>
      <c r="D5" s="4" t="s">
        <v>125</v>
      </c>
      <c r="E5" s="4" t="s">
        <v>120</v>
      </c>
      <c r="F5" s="4" t="s">
        <v>119</v>
      </c>
      <c r="G5" s="35" t="s">
        <v>147</v>
      </c>
      <c r="H5" s="4" t="s">
        <v>118</v>
      </c>
      <c r="I5" s="4" t="s">
        <v>117</v>
      </c>
      <c r="J5" s="4" t="s">
        <v>110</v>
      </c>
      <c r="K5" s="4" t="s">
        <v>109</v>
      </c>
      <c r="L5" s="35" t="s">
        <v>149</v>
      </c>
      <c r="M5" s="4" t="s">
        <v>108</v>
      </c>
      <c r="N5" s="4" t="s">
        <v>107</v>
      </c>
      <c r="O5" s="4" t="s">
        <v>106</v>
      </c>
      <c r="P5" s="4" t="s">
        <v>105</v>
      </c>
      <c r="Q5" s="35" t="s">
        <v>148</v>
      </c>
      <c r="R5" s="4" t="s">
        <v>104</v>
      </c>
      <c r="S5" s="4" t="s">
        <v>103</v>
      </c>
      <c r="T5" s="4" t="s">
        <v>102</v>
      </c>
      <c r="U5" s="4" t="s">
        <v>31</v>
      </c>
      <c r="V5" s="35" t="s">
        <v>129</v>
      </c>
    </row>
    <row r="6" spans="2:23" x14ac:dyDescent="0.25">
      <c r="B6" s="1" t="s">
        <v>138</v>
      </c>
      <c r="C6" s="2">
        <v>84</v>
      </c>
      <c r="D6" s="2">
        <v>129</v>
      </c>
      <c r="E6" s="2">
        <v>91</v>
      </c>
      <c r="F6" s="2">
        <v>84</v>
      </c>
      <c r="G6" s="34">
        <f>SUM(C6:F6)</f>
        <v>388</v>
      </c>
      <c r="H6" s="2">
        <v>95</v>
      </c>
      <c r="I6" s="2">
        <v>139</v>
      </c>
      <c r="J6" s="2">
        <v>95</v>
      </c>
      <c r="K6" s="2">
        <v>90</v>
      </c>
      <c r="L6" s="34">
        <f>SUM(H6:K6)</f>
        <v>419</v>
      </c>
      <c r="M6" s="2">
        <v>90</v>
      </c>
      <c r="N6" s="2">
        <v>151</v>
      </c>
      <c r="O6" s="2">
        <v>104</v>
      </c>
      <c r="P6" s="2">
        <v>101</v>
      </c>
      <c r="Q6" s="34">
        <f>SUM(M6:P6)</f>
        <v>446</v>
      </c>
      <c r="R6" s="2">
        <v>105</v>
      </c>
      <c r="S6" s="2">
        <v>157</v>
      </c>
      <c r="V6" s="34">
        <f>SUM(R6:U6)</f>
        <v>262</v>
      </c>
    </row>
    <row r="7" spans="2:23" x14ac:dyDescent="0.25">
      <c r="B7" s="32" t="s">
        <v>143</v>
      </c>
      <c r="C7" s="32"/>
      <c r="D7" s="32"/>
      <c r="E7" s="32"/>
      <c r="F7" s="32"/>
      <c r="G7" s="36"/>
      <c r="H7" s="32">
        <f t="shared" ref="H7:S7" si="0">(H6-C6)/C6</f>
        <v>0.13095238095238096</v>
      </c>
      <c r="I7" s="32">
        <f t="shared" si="0"/>
        <v>7.7519379844961239E-2</v>
      </c>
      <c r="J7" s="32">
        <f t="shared" si="0"/>
        <v>4.3956043956043959E-2</v>
      </c>
      <c r="K7" s="32">
        <f t="shared" si="0"/>
        <v>7.1428571428571425E-2</v>
      </c>
      <c r="L7" s="36">
        <f t="shared" si="0"/>
        <v>7.9896907216494839E-2</v>
      </c>
      <c r="M7" s="32">
        <f t="shared" si="0"/>
        <v>-5.2631578947368418E-2</v>
      </c>
      <c r="N7" s="32">
        <f t="shared" si="0"/>
        <v>8.6330935251798566E-2</v>
      </c>
      <c r="O7" s="32">
        <f t="shared" si="0"/>
        <v>9.4736842105263161E-2</v>
      </c>
      <c r="P7" s="32">
        <f t="shared" si="0"/>
        <v>0.12222222222222222</v>
      </c>
      <c r="Q7" s="36">
        <f t="shared" si="0"/>
        <v>6.4439140811455853E-2</v>
      </c>
      <c r="R7" s="32">
        <f t="shared" si="0"/>
        <v>0.16666666666666666</v>
      </c>
      <c r="S7" s="32">
        <f t="shared" si="0"/>
        <v>3.9735099337748346E-2</v>
      </c>
      <c r="T7" s="32">
        <f t="shared" ref="T7" si="1">(T6-O6)/O6</f>
        <v>-1</v>
      </c>
      <c r="U7" s="32">
        <f t="shared" ref="U7" si="2">(U6-P6)/P6</f>
        <v>-1</v>
      </c>
      <c r="V7" s="36">
        <f>(V6-Q6)/Q6</f>
        <v>-0.41255605381165922</v>
      </c>
      <c r="W7" s="32"/>
    </row>
    <row r="8" spans="2:23" ht="20" thickBot="1" x14ac:dyDescent="0.3">
      <c r="B8" s="33" t="s">
        <v>144</v>
      </c>
      <c r="C8" s="33"/>
      <c r="D8" s="33"/>
      <c r="E8" s="33"/>
      <c r="F8" s="33"/>
      <c r="G8" s="37"/>
      <c r="H8" s="33"/>
      <c r="I8" s="33"/>
      <c r="J8" s="33"/>
      <c r="K8" s="33"/>
      <c r="L8" s="37"/>
      <c r="M8" s="33">
        <v>-0.04</v>
      </c>
      <c r="N8" s="33">
        <v>0.09</v>
      </c>
      <c r="O8" s="33">
        <v>0.1</v>
      </c>
      <c r="P8" s="33">
        <v>0.15</v>
      </c>
      <c r="Q8" s="37"/>
      <c r="R8" s="33">
        <v>0.19</v>
      </c>
      <c r="S8" s="33">
        <v>0.06</v>
      </c>
      <c r="T8" s="33"/>
      <c r="U8" s="33"/>
      <c r="V8" s="37"/>
      <c r="W8" s="32"/>
    </row>
    <row r="9" spans="2:23" x14ac:dyDescent="0.25">
      <c r="B9" s="1" t="s">
        <v>139</v>
      </c>
      <c r="C9" s="2">
        <v>146</v>
      </c>
      <c r="D9" s="2">
        <v>277</v>
      </c>
      <c r="E9" s="2">
        <v>235</v>
      </c>
      <c r="F9" s="2">
        <v>205</v>
      </c>
      <c r="G9" s="34">
        <f>SUM(C9:F9)</f>
        <v>863</v>
      </c>
      <c r="H9" s="2">
        <v>180</v>
      </c>
      <c r="I9" s="2">
        <v>347</v>
      </c>
      <c r="J9" s="2">
        <v>277</v>
      </c>
      <c r="K9" s="2">
        <v>231</v>
      </c>
      <c r="L9" s="34">
        <f>SUM(H9:K9)</f>
        <v>1035</v>
      </c>
      <c r="M9" s="2">
        <v>188</v>
      </c>
      <c r="N9" s="2">
        <v>399</v>
      </c>
      <c r="O9" s="2">
        <v>279</v>
      </c>
      <c r="P9" s="2">
        <v>226</v>
      </c>
      <c r="Q9" s="34">
        <f>SUM(M9:P9)</f>
        <v>1092</v>
      </c>
      <c r="R9" s="2">
        <v>216</v>
      </c>
      <c r="S9" s="2">
        <v>434</v>
      </c>
      <c r="V9" s="34">
        <f>SUM(R9:U9)</f>
        <v>650</v>
      </c>
    </row>
    <row r="10" spans="2:23" x14ac:dyDescent="0.25">
      <c r="B10" s="32" t="s">
        <v>143</v>
      </c>
      <c r="C10" s="32"/>
      <c r="D10" s="32"/>
      <c r="E10" s="32"/>
      <c r="F10" s="32"/>
      <c r="G10" s="36"/>
      <c r="H10" s="32">
        <f t="shared" ref="H10" si="3">(H9-C9)/C9</f>
        <v>0.23287671232876711</v>
      </c>
      <c r="I10" s="32">
        <f t="shared" ref="I10" si="4">(I9-D9)/D9</f>
        <v>0.25270758122743681</v>
      </c>
      <c r="J10" s="32">
        <f t="shared" ref="J10" si="5">(J9-E9)/E9</f>
        <v>0.17872340425531916</v>
      </c>
      <c r="K10" s="32">
        <f t="shared" ref="K10" si="6">(K9-F9)/F9</f>
        <v>0.12682926829268293</v>
      </c>
      <c r="L10" s="36">
        <f>(L9-G9)/G9</f>
        <v>0.19930475086906141</v>
      </c>
      <c r="M10" s="32">
        <f t="shared" ref="M10" si="7">(M9-H9)/H9</f>
        <v>4.4444444444444446E-2</v>
      </c>
      <c r="N10" s="32">
        <f t="shared" ref="N10" si="8">(N9-I9)/I9</f>
        <v>0.14985590778097982</v>
      </c>
      <c r="O10" s="32">
        <f t="shared" ref="O10" si="9">(O9-J9)/J9</f>
        <v>7.2202166064981952E-3</v>
      </c>
      <c r="P10" s="32">
        <f t="shared" ref="P10" si="10">(P9-K9)/K9</f>
        <v>-2.1645021645021644E-2</v>
      </c>
      <c r="Q10" s="36">
        <f>(Q9-L9)/L9</f>
        <v>5.5072463768115941E-2</v>
      </c>
      <c r="R10" s="32">
        <f>(R9-M9)/M9</f>
        <v>0.14893617021276595</v>
      </c>
      <c r="S10" s="32">
        <f>(S9-N9)/N9</f>
        <v>8.771929824561403E-2</v>
      </c>
      <c r="T10" s="32">
        <f t="shared" ref="T10:U10" si="11">(T9-O9)/O9</f>
        <v>-1</v>
      </c>
      <c r="U10" s="32">
        <f t="shared" si="11"/>
        <v>-1</v>
      </c>
      <c r="V10" s="36">
        <f>(V9-Q9)/Q9</f>
        <v>-0.40476190476190477</v>
      </c>
    </row>
    <row r="11" spans="2:23" ht="20" thickBot="1" x14ac:dyDescent="0.3">
      <c r="B11" s="33" t="s">
        <v>145</v>
      </c>
      <c r="C11" s="33"/>
      <c r="D11" s="33"/>
      <c r="E11" s="33"/>
      <c r="F11" s="33"/>
      <c r="G11" s="37"/>
      <c r="H11" s="33"/>
      <c r="I11" s="33"/>
      <c r="J11" s="33"/>
      <c r="K11" s="33"/>
      <c r="L11" s="37"/>
      <c r="M11" s="33">
        <v>0.08</v>
      </c>
      <c r="N11" s="33">
        <v>0.15</v>
      </c>
      <c r="O11" s="33">
        <v>0.01</v>
      </c>
      <c r="P11" s="33">
        <v>0.03</v>
      </c>
      <c r="Q11" s="37"/>
      <c r="R11" s="33">
        <v>0.18</v>
      </c>
      <c r="S11" s="33">
        <v>0.14000000000000001</v>
      </c>
      <c r="T11" s="33"/>
      <c r="U11" s="33"/>
      <c r="V11" s="37"/>
    </row>
    <row r="12" spans="2:23" x14ac:dyDescent="0.25">
      <c r="B12" s="1" t="s">
        <v>146</v>
      </c>
      <c r="C12" s="2">
        <v>46</v>
      </c>
      <c r="D12" s="2">
        <v>103</v>
      </c>
      <c r="E12" s="2">
        <v>88</v>
      </c>
      <c r="F12" s="2">
        <v>73</v>
      </c>
      <c r="G12" s="34">
        <f>SUM(C12:F12)</f>
        <v>310</v>
      </c>
      <c r="H12" s="2">
        <v>66</v>
      </c>
      <c r="I12" s="2">
        <v>127</v>
      </c>
      <c r="J12" s="2">
        <v>106</v>
      </c>
      <c r="K12" s="2">
        <v>86</v>
      </c>
      <c r="L12" s="34">
        <f>SUM(H12:K12)</f>
        <v>385</v>
      </c>
      <c r="M12" s="2">
        <v>72</v>
      </c>
      <c r="N12" s="2">
        <v>134</v>
      </c>
      <c r="O12" s="2">
        <v>103</v>
      </c>
      <c r="P12" s="2">
        <v>78</v>
      </c>
      <c r="Q12" s="34">
        <f>SUM(M12:P12)</f>
        <v>387</v>
      </c>
      <c r="R12" s="2">
        <v>71</v>
      </c>
      <c r="S12" s="2">
        <v>135</v>
      </c>
      <c r="V12" s="34">
        <f>SUM(R12:U12)</f>
        <v>206</v>
      </c>
    </row>
    <row r="13" spans="2:23" x14ac:dyDescent="0.25">
      <c r="B13" s="32" t="s">
        <v>143</v>
      </c>
      <c r="C13" s="32"/>
      <c r="D13" s="32"/>
      <c r="E13" s="32"/>
      <c r="F13" s="32"/>
      <c r="G13" s="36"/>
      <c r="H13" s="32">
        <f t="shared" ref="H13" si="12">(H12-C12)/C12</f>
        <v>0.43478260869565216</v>
      </c>
      <c r="I13" s="32">
        <f t="shared" ref="I13" si="13">(I12-D12)/D12</f>
        <v>0.23300970873786409</v>
      </c>
      <c r="J13" s="32">
        <f t="shared" ref="J13" si="14">(J12-E12)/E12</f>
        <v>0.20454545454545456</v>
      </c>
      <c r="K13" s="32">
        <f t="shared" ref="K13" si="15">(K12-F12)/F12</f>
        <v>0.17808219178082191</v>
      </c>
      <c r="L13" s="36">
        <f>(L12-G12)/G12</f>
        <v>0.24193548387096775</v>
      </c>
      <c r="M13" s="32">
        <f t="shared" ref="M13" si="16">(M12-H12)/H12</f>
        <v>9.0909090909090912E-2</v>
      </c>
      <c r="N13" s="32">
        <f t="shared" ref="N13" si="17">(N12-I12)/I12</f>
        <v>5.5118110236220472E-2</v>
      </c>
      <c r="O13" s="32">
        <f t="shared" ref="O13" si="18">(O12-J12)/J12</f>
        <v>-2.8301886792452831E-2</v>
      </c>
      <c r="P13" s="32">
        <f t="shared" ref="P13" si="19">(P12-K12)/K12</f>
        <v>-9.3023255813953487E-2</v>
      </c>
      <c r="Q13" s="36">
        <f>(Q12-L12)/L12</f>
        <v>5.1948051948051948E-3</v>
      </c>
      <c r="R13" s="32">
        <f>(R12-M12)/M12</f>
        <v>-1.3888888888888888E-2</v>
      </c>
      <c r="S13" s="32">
        <f>(S12-N12)/N12</f>
        <v>7.462686567164179E-3</v>
      </c>
      <c r="T13" s="32">
        <f t="shared" ref="T13:U13" si="20">(T12-O12)/O12</f>
        <v>-1</v>
      </c>
      <c r="U13" s="32">
        <f t="shared" si="20"/>
        <v>-1</v>
      </c>
      <c r="V13" s="36">
        <f>(V12-Q12)/Q12</f>
        <v>-0.46770025839793283</v>
      </c>
    </row>
    <row r="14" spans="2:23" ht="20" thickBot="1" x14ac:dyDescent="0.3">
      <c r="B14" s="33" t="s">
        <v>144</v>
      </c>
      <c r="C14" s="33"/>
      <c r="D14" s="33"/>
      <c r="E14" s="33"/>
      <c r="F14" s="33"/>
      <c r="G14" s="37"/>
      <c r="H14" s="33"/>
      <c r="I14" s="33"/>
      <c r="J14" s="33"/>
      <c r="K14" s="33"/>
      <c r="L14" s="37"/>
      <c r="M14" s="33">
        <v>0.11</v>
      </c>
      <c r="N14" s="33">
        <v>0.04</v>
      </c>
      <c r="O14" s="33">
        <v>-0.03</v>
      </c>
      <c r="P14" s="33">
        <v>-0.05</v>
      </c>
      <c r="Q14" s="37"/>
      <c r="R14" s="33">
        <v>0.02</v>
      </c>
      <c r="S14" s="33">
        <v>0.06</v>
      </c>
      <c r="T14" s="33"/>
      <c r="U14" s="33"/>
      <c r="V14" s="3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20"/>
  <sheetViews>
    <sheetView showGridLines="0" workbookViewId="0">
      <selection activeCell="D26" sqref="D26:E26"/>
    </sheetView>
  </sheetViews>
  <sheetFormatPr baseColWidth="10" defaultRowHeight="16" x14ac:dyDescent="0.2"/>
  <cols>
    <col min="3" max="3" width="29.5" bestFit="1" customWidth="1"/>
    <col min="4" max="4" width="22" customWidth="1"/>
    <col min="5" max="5" width="22.83203125" customWidth="1"/>
    <col min="6" max="6" width="23.33203125" customWidth="1"/>
  </cols>
  <sheetData>
    <row r="4" spans="3:6" ht="62" x14ac:dyDescent="0.7">
      <c r="C4" s="30"/>
      <c r="D4" s="30" t="s">
        <v>129</v>
      </c>
      <c r="E4" s="30" t="s">
        <v>130</v>
      </c>
      <c r="F4" s="30" t="s">
        <v>131</v>
      </c>
    </row>
    <row r="5" spans="3:6" ht="62" x14ac:dyDescent="0.7">
      <c r="C5" s="30" t="s">
        <v>3</v>
      </c>
      <c r="D5" s="31">
        <f>Modell!$B$9/Modell!AB11</f>
        <v>13.212182404054191</v>
      </c>
      <c r="E5" s="31">
        <f>Modell!$B$9/Modell!AC11</f>
        <v>11.934590616461877</v>
      </c>
      <c r="F5" s="31">
        <f>Modell!$B$9/Modell!AD11</f>
        <v>10.808360631127783</v>
      </c>
    </row>
    <row r="6" spans="3:6" ht="62" x14ac:dyDescent="0.7">
      <c r="C6" s="30" t="s">
        <v>4</v>
      </c>
      <c r="D6" s="31">
        <f>Modell!$B$4/Modell!AB18</f>
        <v>17.038779127954733</v>
      </c>
      <c r="E6" s="31">
        <f>Modell!$B$4/Modell!AC18</f>
        <v>15.391163040108827</v>
      </c>
      <c r="F6" s="31">
        <f>Modell!$B$4/Modell!AD18</f>
        <v>13.938747127238976</v>
      </c>
    </row>
    <row r="20" spans="6:6" x14ac:dyDescent="0.2">
      <c r="F20" s="2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XEK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14" sqref="F14"/>
    </sheetView>
  </sheetViews>
  <sheetFormatPr baseColWidth="10" defaultRowHeight="19" x14ac:dyDescent="0.25"/>
  <cols>
    <col min="1" max="1" width="10.83203125" style="2"/>
    <col min="2" max="2" width="21.1640625" style="3" customWidth="1"/>
    <col min="3" max="3" width="31.5" style="2" customWidth="1"/>
    <col min="4" max="20" width="10.83203125" style="2"/>
    <col min="21" max="21" width="14.1640625" style="2" customWidth="1"/>
    <col min="22" max="16384" width="10.83203125" style="2"/>
  </cols>
  <sheetData>
    <row r="3" spans="1:16365" x14ac:dyDescent="0.25">
      <c r="A3" s="1" t="s">
        <v>7</v>
      </c>
      <c r="D3" s="4" t="s">
        <v>91</v>
      </c>
      <c r="E3" s="4" t="s">
        <v>90</v>
      </c>
      <c r="F3" s="4" t="s">
        <v>89</v>
      </c>
      <c r="G3" s="4" t="s">
        <v>88</v>
      </c>
      <c r="H3" s="4" t="s">
        <v>87</v>
      </c>
      <c r="I3" s="4" t="s">
        <v>85</v>
      </c>
      <c r="J3" s="5" t="s">
        <v>86</v>
      </c>
      <c r="K3" s="4" t="s">
        <v>92</v>
      </c>
      <c r="L3" s="4" t="s">
        <v>93</v>
      </c>
      <c r="M3" s="4" t="s">
        <v>94</v>
      </c>
      <c r="N3" s="4" t="s">
        <v>95</v>
      </c>
      <c r="O3" s="4" t="s">
        <v>96</v>
      </c>
      <c r="P3" s="4" t="s">
        <v>97</v>
      </c>
      <c r="Q3" s="4" t="s">
        <v>98</v>
      </c>
      <c r="R3" s="4" t="s">
        <v>99</v>
      </c>
      <c r="S3" s="4" t="s">
        <v>100</v>
      </c>
    </row>
    <row r="4" spans="1:16365" x14ac:dyDescent="0.25">
      <c r="A4" s="1" t="s">
        <v>150</v>
      </c>
      <c r="C4" s="1" t="s">
        <v>16</v>
      </c>
      <c r="D4" s="19">
        <v>387.50700000000001</v>
      </c>
      <c r="E4" s="19">
        <v>912.73500000000001</v>
      </c>
      <c r="F4" s="19">
        <v>1356</v>
      </c>
      <c r="G4" s="19">
        <v>1562</v>
      </c>
      <c r="H4" s="19">
        <v>1842</v>
      </c>
      <c r="I4" s="19">
        <v>1925</v>
      </c>
      <c r="J4" s="21">
        <f>I4*1.06</f>
        <v>2040.5</v>
      </c>
      <c r="K4" s="19">
        <f>J4</f>
        <v>2040.5</v>
      </c>
      <c r="L4" s="19">
        <f t="shared" ref="L4:S4" si="0">K4</f>
        <v>2040.5</v>
      </c>
      <c r="M4" s="19">
        <f t="shared" si="0"/>
        <v>2040.5</v>
      </c>
      <c r="N4" s="19">
        <f t="shared" si="0"/>
        <v>2040.5</v>
      </c>
      <c r="O4" s="19">
        <f t="shared" si="0"/>
        <v>2040.5</v>
      </c>
      <c r="P4" s="19">
        <f t="shared" si="0"/>
        <v>2040.5</v>
      </c>
      <c r="Q4" s="19">
        <f t="shared" si="0"/>
        <v>2040.5</v>
      </c>
      <c r="R4" s="19">
        <f t="shared" si="0"/>
        <v>2040.5</v>
      </c>
      <c r="S4" s="19">
        <f t="shared" si="0"/>
        <v>2040.5</v>
      </c>
    </row>
    <row r="5" spans="1:16365" x14ac:dyDescent="0.25">
      <c r="A5" s="39">
        <f>V23</f>
        <v>33.408435966170899</v>
      </c>
      <c r="C5" s="2" t="s">
        <v>17</v>
      </c>
      <c r="D5" s="20">
        <v>-115.72</v>
      </c>
      <c r="E5" s="20">
        <v>-248.804</v>
      </c>
      <c r="F5" s="20">
        <v>-369</v>
      </c>
      <c r="G5" s="20">
        <v>-434</v>
      </c>
      <c r="H5" s="20">
        <v>-528</v>
      </c>
      <c r="I5" s="20">
        <v>-581</v>
      </c>
      <c r="J5" s="11">
        <f>J4*-0.3</f>
        <v>-612.15</v>
      </c>
      <c r="K5" s="20">
        <f>K4*-0.32</f>
        <v>-652.96</v>
      </c>
      <c r="L5" s="20">
        <f t="shared" ref="L5:S5" si="1">L4*-0.32</f>
        <v>-652.96</v>
      </c>
      <c r="M5" s="20">
        <f t="shared" si="1"/>
        <v>-652.96</v>
      </c>
      <c r="N5" s="20">
        <f t="shared" si="1"/>
        <v>-652.96</v>
      </c>
      <c r="O5" s="20">
        <f t="shared" si="1"/>
        <v>-652.96</v>
      </c>
      <c r="P5" s="20">
        <f t="shared" si="1"/>
        <v>-652.96</v>
      </c>
      <c r="Q5" s="20">
        <f t="shared" si="1"/>
        <v>-652.96</v>
      </c>
      <c r="R5" s="20">
        <f t="shared" si="1"/>
        <v>-652.96</v>
      </c>
      <c r="S5" s="20">
        <f t="shared" si="1"/>
        <v>-652.96</v>
      </c>
    </row>
    <row r="6" spans="1:16365" x14ac:dyDescent="0.25">
      <c r="A6" s="18">
        <f>V24</f>
        <v>-0.4002076128156033</v>
      </c>
      <c r="C6" s="2" t="s">
        <v>18</v>
      </c>
      <c r="D6" s="20">
        <f t="shared" ref="D6:I6" si="2">SUM(D4:D5)</f>
        <v>271.78700000000003</v>
      </c>
      <c r="E6" s="20">
        <f t="shared" si="2"/>
        <v>663.93100000000004</v>
      </c>
      <c r="F6" s="20">
        <f t="shared" si="2"/>
        <v>987</v>
      </c>
      <c r="G6" s="20">
        <f t="shared" si="2"/>
        <v>1128</v>
      </c>
      <c r="H6" s="20">
        <f t="shared" si="2"/>
        <v>1314</v>
      </c>
      <c r="I6" s="20">
        <f t="shared" si="2"/>
        <v>1344</v>
      </c>
      <c r="J6" s="11">
        <f t="shared" ref="J6:S6" si="3">SUM(J4:J5)</f>
        <v>1428.35</v>
      </c>
      <c r="K6" s="20">
        <f t="shared" si="3"/>
        <v>1387.54</v>
      </c>
      <c r="L6" s="20">
        <f t="shared" si="3"/>
        <v>1387.54</v>
      </c>
      <c r="M6" s="20">
        <f t="shared" si="3"/>
        <v>1387.54</v>
      </c>
      <c r="N6" s="20">
        <f t="shared" si="3"/>
        <v>1387.54</v>
      </c>
      <c r="O6" s="20">
        <f t="shared" si="3"/>
        <v>1387.54</v>
      </c>
      <c r="P6" s="20">
        <f t="shared" si="3"/>
        <v>1387.54</v>
      </c>
      <c r="Q6" s="20">
        <f t="shared" si="3"/>
        <v>1387.54</v>
      </c>
      <c r="R6" s="20">
        <f t="shared" si="3"/>
        <v>1387.54</v>
      </c>
      <c r="S6" s="20">
        <f t="shared" si="3"/>
        <v>1387.54</v>
      </c>
    </row>
    <row r="7" spans="1:16365" x14ac:dyDescent="0.25">
      <c r="C7" s="2" t="s">
        <v>19</v>
      </c>
      <c r="D7" s="20">
        <v>-156.999</v>
      </c>
      <c r="E7" s="20">
        <v>-363.697</v>
      </c>
      <c r="F7" s="20">
        <v>-539</v>
      </c>
      <c r="G7" s="20">
        <v>-701</v>
      </c>
      <c r="H7" s="20">
        <v>-805</v>
      </c>
      <c r="I7" s="20">
        <v>-831</v>
      </c>
      <c r="J7" s="11">
        <f>I7*1.03</f>
        <v>-855.93000000000006</v>
      </c>
      <c r="K7" s="20">
        <f>J7*1</f>
        <v>-855.93000000000006</v>
      </c>
      <c r="L7" s="20">
        <f>K7</f>
        <v>-855.93000000000006</v>
      </c>
      <c r="M7" s="20">
        <f t="shared" ref="M7:S7" si="4">L7</f>
        <v>-855.93000000000006</v>
      </c>
      <c r="N7" s="20">
        <f t="shared" si="4"/>
        <v>-855.93000000000006</v>
      </c>
      <c r="O7" s="20">
        <f t="shared" si="4"/>
        <v>-855.93000000000006</v>
      </c>
      <c r="P7" s="20">
        <f t="shared" si="4"/>
        <v>-855.93000000000006</v>
      </c>
      <c r="Q7" s="20">
        <f t="shared" si="4"/>
        <v>-855.93000000000006</v>
      </c>
      <c r="R7" s="20">
        <f t="shared" si="4"/>
        <v>-855.93000000000006</v>
      </c>
      <c r="S7" s="20">
        <f t="shared" si="4"/>
        <v>-855.93000000000006</v>
      </c>
    </row>
    <row r="8" spans="1:16365" x14ac:dyDescent="0.25">
      <c r="C8" s="2" t="s">
        <v>20</v>
      </c>
      <c r="D8" s="20">
        <v>-29.635000000000002</v>
      </c>
      <c r="E8" s="20">
        <v>-48.594999999999999</v>
      </c>
      <c r="F8" s="20">
        <v>-77</v>
      </c>
      <c r="G8" s="20">
        <v>-110</v>
      </c>
      <c r="H8" s="20">
        <v>-114</v>
      </c>
      <c r="I8" s="20">
        <v>-143</v>
      </c>
      <c r="J8" s="11">
        <f t="shared" ref="J8:J10" si="5">I8*1.03</f>
        <v>-147.29</v>
      </c>
      <c r="K8" s="20">
        <f t="shared" ref="K8:K10" si="6">J8*1</f>
        <v>-147.29</v>
      </c>
      <c r="L8" s="20">
        <f t="shared" ref="L8:S10" si="7">K8</f>
        <v>-147.29</v>
      </c>
      <c r="M8" s="20">
        <f t="shared" si="7"/>
        <v>-147.29</v>
      </c>
      <c r="N8" s="20">
        <f t="shared" si="7"/>
        <v>-147.29</v>
      </c>
      <c r="O8" s="20">
        <f t="shared" si="7"/>
        <v>-147.29</v>
      </c>
      <c r="P8" s="20">
        <f t="shared" si="7"/>
        <v>-147.29</v>
      </c>
      <c r="Q8" s="20">
        <f t="shared" si="7"/>
        <v>-147.29</v>
      </c>
      <c r="R8" s="20">
        <f t="shared" si="7"/>
        <v>-147.29</v>
      </c>
      <c r="S8" s="20">
        <f t="shared" si="7"/>
        <v>-147.29</v>
      </c>
    </row>
    <row r="9" spans="1:16365" x14ac:dyDescent="0.25">
      <c r="C9" s="2" t="s">
        <v>21</v>
      </c>
      <c r="D9" s="20">
        <v>-1.982</v>
      </c>
      <c r="E9" s="20">
        <v>-3.871</v>
      </c>
      <c r="F9" s="20">
        <v>-5</v>
      </c>
      <c r="G9" s="20">
        <v>-7</v>
      </c>
      <c r="H9" s="20">
        <v>-9</v>
      </c>
      <c r="I9" s="20">
        <v>-9</v>
      </c>
      <c r="J9" s="11">
        <f t="shared" si="5"/>
        <v>-9.27</v>
      </c>
      <c r="K9" s="20">
        <f t="shared" si="6"/>
        <v>-9.27</v>
      </c>
      <c r="L9" s="20">
        <f t="shared" si="7"/>
        <v>-9.27</v>
      </c>
      <c r="M9" s="20">
        <f t="shared" si="7"/>
        <v>-9.27</v>
      </c>
      <c r="N9" s="20">
        <f t="shared" si="7"/>
        <v>-9.27</v>
      </c>
      <c r="O9" s="20">
        <f t="shared" si="7"/>
        <v>-9.27</v>
      </c>
      <c r="P9" s="20">
        <f t="shared" si="7"/>
        <v>-9.27</v>
      </c>
      <c r="Q9" s="20">
        <f t="shared" si="7"/>
        <v>-9.27</v>
      </c>
      <c r="R9" s="20">
        <f t="shared" si="7"/>
        <v>-9.27</v>
      </c>
      <c r="S9" s="20">
        <f t="shared" si="7"/>
        <v>-9.27</v>
      </c>
    </row>
    <row r="10" spans="1:16365" x14ac:dyDescent="0.25">
      <c r="C10" s="2" t="s">
        <v>30</v>
      </c>
      <c r="D10" s="20">
        <v>0</v>
      </c>
      <c r="E10" s="20">
        <v>-17.3</v>
      </c>
      <c r="F10" s="20">
        <v>0</v>
      </c>
      <c r="G10" s="20">
        <v>0</v>
      </c>
      <c r="H10" s="20">
        <v>0</v>
      </c>
      <c r="I10" s="20">
        <v>-4</v>
      </c>
      <c r="J10" s="11">
        <f t="shared" si="5"/>
        <v>-4.12</v>
      </c>
      <c r="K10" s="20">
        <f t="shared" si="6"/>
        <v>-4.12</v>
      </c>
      <c r="L10" s="20">
        <f t="shared" si="7"/>
        <v>-4.12</v>
      </c>
      <c r="M10" s="20">
        <f t="shared" si="7"/>
        <v>-4.12</v>
      </c>
      <c r="N10" s="20">
        <f t="shared" si="7"/>
        <v>-4.12</v>
      </c>
      <c r="O10" s="20">
        <f t="shared" si="7"/>
        <v>-4.12</v>
      </c>
      <c r="P10" s="20">
        <f t="shared" si="7"/>
        <v>-4.12</v>
      </c>
      <c r="Q10" s="20">
        <f t="shared" si="7"/>
        <v>-4.12</v>
      </c>
      <c r="R10" s="20">
        <f t="shared" si="7"/>
        <v>-4.12</v>
      </c>
      <c r="S10" s="20">
        <f t="shared" si="7"/>
        <v>-4.12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</row>
    <row r="11" spans="1:16365" x14ac:dyDescent="0.25">
      <c r="C11" s="1" t="s">
        <v>22</v>
      </c>
      <c r="D11" s="19">
        <f t="shared" ref="D11:I11" si="8">SUM(D6:D10)</f>
        <v>83.171000000000035</v>
      </c>
      <c r="E11" s="19">
        <f t="shared" si="8"/>
        <v>230.46800000000002</v>
      </c>
      <c r="F11" s="19">
        <f t="shared" si="8"/>
        <v>366</v>
      </c>
      <c r="G11" s="19">
        <f t="shared" si="8"/>
        <v>310</v>
      </c>
      <c r="H11" s="19">
        <f t="shared" si="8"/>
        <v>386</v>
      </c>
      <c r="I11" s="19">
        <f t="shared" si="8"/>
        <v>357</v>
      </c>
      <c r="J11" s="21">
        <f t="shared" ref="J11:S11" si="9">SUM(J6:J10)</f>
        <v>411.7399999999999</v>
      </c>
      <c r="K11" s="19">
        <f t="shared" si="9"/>
        <v>370.92999999999995</v>
      </c>
      <c r="L11" s="19">
        <f t="shared" si="9"/>
        <v>370.92999999999995</v>
      </c>
      <c r="M11" s="19">
        <f t="shared" si="9"/>
        <v>370.92999999999995</v>
      </c>
      <c r="N11" s="19">
        <f t="shared" si="9"/>
        <v>370.92999999999995</v>
      </c>
      <c r="O11" s="19">
        <f t="shared" si="9"/>
        <v>370.92999999999995</v>
      </c>
      <c r="P11" s="19">
        <f t="shared" si="9"/>
        <v>370.92999999999995</v>
      </c>
      <c r="Q11" s="19">
        <f t="shared" si="9"/>
        <v>370.92999999999995</v>
      </c>
      <c r="R11" s="19">
        <f t="shared" si="9"/>
        <v>370.92999999999995</v>
      </c>
      <c r="S11" s="19">
        <f t="shared" si="9"/>
        <v>370.92999999999995</v>
      </c>
    </row>
    <row r="12" spans="1:16365" x14ac:dyDescent="0.25">
      <c r="C12" s="2" t="s">
        <v>23</v>
      </c>
      <c r="D12" s="20">
        <v>0</v>
      </c>
      <c r="E12" s="20">
        <v>0</v>
      </c>
      <c r="F12" s="20">
        <v>0</v>
      </c>
      <c r="G12" s="20">
        <v>1</v>
      </c>
      <c r="H12" s="20">
        <v>8</v>
      </c>
      <c r="I12" s="20">
        <v>4</v>
      </c>
      <c r="J12" s="11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</row>
    <row r="13" spans="1:16365" x14ac:dyDescent="0.25">
      <c r="C13" s="2" t="s">
        <v>24</v>
      </c>
      <c r="D13" s="20">
        <v>-7</v>
      </c>
      <c r="E13" s="20">
        <v>-12</v>
      </c>
      <c r="F13" s="20">
        <v>-3</v>
      </c>
      <c r="G13" s="20">
        <v>-5</v>
      </c>
      <c r="H13" s="20">
        <v>-4</v>
      </c>
      <c r="I13" s="20">
        <v>-4</v>
      </c>
      <c r="J13" s="11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</row>
    <row r="14" spans="1:16365" x14ac:dyDescent="0.25">
      <c r="C14" s="2" t="s">
        <v>25</v>
      </c>
      <c r="D14" s="20">
        <f t="shared" ref="D14:I14" si="10">SUM(D11:D13)</f>
        <v>76.171000000000035</v>
      </c>
      <c r="E14" s="20">
        <f t="shared" si="10"/>
        <v>218.46800000000002</v>
      </c>
      <c r="F14" s="20">
        <f t="shared" si="10"/>
        <v>363</v>
      </c>
      <c r="G14" s="20">
        <f t="shared" si="10"/>
        <v>306</v>
      </c>
      <c r="H14" s="20">
        <f t="shared" si="10"/>
        <v>390</v>
      </c>
      <c r="I14" s="20">
        <f t="shared" si="10"/>
        <v>357</v>
      </c>
      <c r="J14" s="11">
        <f t="shared" ref="J14:S14" si="11">SUM(J11:J13)</f>
        <v>411.7399999999999</v>
      </c>
      <c r="K14" s="20">
        <f t="shared" si="11"/>
        <v>370.92999999999995</v>
      </c>
      <c r="L14" s="20">
        <f t="shared" si="11"/>
        <v>370.92999999999995</v>
      </c>
      <c r="M14" s="20">
        <f t="shared" si="11"/>
        <v>370.92999999999995</v>
      </c>
      <c r="N14" s="20">
        <f t="shared" si="11"/>
        <v>370.92999999999995</v>
      </c>
      <c r="O14" s="20">
        <f t="shared" si="11"/>
        <v>370.92999999999995</v>
      </c>
      <c r="P14" s="20">
        <f t="shared" si="11"/>
        <v>370.92999999999995</v>
      </c>
      <c r="Q14" s="20">
        <f t="shared" si="11"/>
        <v>370.92999999999995</v>
      </c>
      <c r="R14" s="20">
        <f t="shared" si="11"/>
        <v>370.92999999999995</v>
      </c>
      <c r="S14" s="20">
        <f t="shared" si="11"/>
        <v>370.92999999999995</v>
      </c>
    </row>
    <row r="15" spans="1:16365" x14ac:dyDescent="0.25">
      <c r="C15" s="2" t="s">
        <v>26</v>
      </c>
      <c r="D15" s="20">
        <v>-16.5</v>
      </c>
      <c r="E15" s="20">
        <v>-46.835000000000001</v>
      </c>
      <c r="F15" s="20">
        <v>-75</v>
      </c>
      <c r="G15" s="20">
        <v>-63</v>
      </c>
      <c r="H15" s="20">
        <v>-81</v>
      </c>
      <c r="I15" s="20">
        <v>-74</v>
      </c>
      <c r="J15" s="11">
        <f>J14*-0.2</f>
        <v>-82.347999999999985</v>
      </c>
      <c r="K15" s="20">
        <f t="shared" ref="K15:S15" si="12">K14*-0.2</f>
        <v>-74.185999999999993</v>
      </c>
      <c r="L15" s="20">
        <f t="shared" si="12"/>
        <v>-74.185999999999993</v>
      </c>
      <c r="M15" s="20">
        <f t="shared" si="12"/>
        <v>-74.185999999999993</v>
      </c>
      <c r="N15" s="20">
        <f t="shared" si="12"/>
        <v>-74.185999999999993</v>
      </c>
      <c r="O15" s="20">
        <f t="shared" si="12"/>
        <v>-74.185999999999993</v>
      </c>
      <c r="P15" s="20">
        <f t="shared" si="12"/>
        <v>-74.185999999999993</v>
      </c>
      <c r="Q15" s="20">
        <f t="shared" si="12"/>
        <v>-74.185999999999993</v>
      </c>
      <c r="R15" s="20">
        <f t="shared" si="12"/>
        <v>-74.185999999999993</v>
      </c>
      <c r="S15" s="20">
        <f t="shared" si="12"/>
        <v>-74.185999999999993</v>
      </c>
    </row>
    <row r="16" spans="1:16365" x14ac:dyDescent="0.25">
      <c r="C16" s="1" t="s">
        <v>27</v>
      </c>
      <c r="D16" s="19">
        <f t="shared" ref="D16:I16" si="13">SUM(D14:D15)</f>
        <v>59.671000000000035</v>
      </c>
      <c r="E16" s="19">
        <f t="shared" si="13"/>
        <v>171.63300000000001</v>
      </c>
      <c r="F16" s="19">
        <f t="shared" si="13"/>
        <v>288</v>
      </c>
      <c r="G16" s="19">
        <f t="shared" si="13"/>
        <v>243</v>
      </c>
      <c r="H16" s="19">
        <f t="shared" si="13"/>
        <v>309</v>
      </c>
      <c r="I16" s="19">
        <f t="shared" si="13"/>
        <v>283</v>
      </c>
      <c r="J16" s="21">
        <f t="shared" ref="J16:S16" si="14">SUM(J14:J15)</f>
        <v>329.39199999999994</v>
      </c>
      <c r="K16" s="19">
        <f t="shared" si="14"/>
        <v>296.74399999999997</v>
      </c>
      <c r="L16" s="19">
        <f t="shared" si="14"/>
        <v>296.74399999999997</v>
      </c>
      <c r="M16" s="19">
        <f t="shared" si="14"/>
        <v>296.74399999999997</v>
      </c>
      <c r="N16" s="19">
        <f t="shared" si="14"/>
        <v>296.74399999999997</v>
      </c>
      <c r="O16" s="19">
        <f t="shared" si="14"/>
        <v>296.74399999999997</v>
      </c>
      <c r="P16" s="19">
        <f t="shared" si="14"/>
        <v>296.74399999999997</v>
      </c>
      <c r="Q16" s="19">
        <f t="shared" si="14"/>
        <v>296.74399999999997</v>
      </c>
      <c r="R16" s="19">
        <f t="shared" si="14"/>
        <v>296.74399999999997</v>
      </c>
      <c r="S16" s="19">
        <f t="shared" si="14"/>
        <v>296.74399999999997</v>
      </c>
      <c r="T16" s="19">
        <f>S16*(1+$V$20)</f>
        <v>293.77655999999996</v>
      </c>
      <c r="U16" s="19">
        <f t="shared" ref="U16:CF16" si="15">T16*(1+$V$20)</f>
        <v>290.83879439999998</v>
      </c>
      <c r="V16" s="19">
        <f t="shared" si="15"/>
        <v>287.93040645599996</v>
      </c>
      <c r="W16" s="19">
        <f t="shared" si="15"/>
        <v>285.05110239143994</v>
      </c>
      <c r="X16" s="19">
        <f t="shared" si="15"/>
        <v>282.20059136752553</v>
      </c>
      <c r="Y16" s="19">
        <f t="shared" si="15"/>
        <v>279.37858545385029</v>
      </c>
      <c r="Z16" s="19">
        <f t="shared" si="15"/>
        <v>276.58479959931179</v>
      </c>
      <c r="AA16" s="19">
        <f t="shared" si="15"/>
        <v>273.81895160331868</v>
      </c>
      <c r="AB16" s="19">
        <f t="shared" si="15"/>
        <v>271.08076208728551</v>
      </c>
      <c r="AC16" s="19">
        <f t="shared" si="15"/>
        <v>268.36995446641265</v>
      </c>
      <c r="AD16" s="19">
        <f t="shared" si="15"/>
        <v>265.68625492174851</v>
      </c>
      <c r="AE16" s="19">
        <f t="shared" si="15"/>
        <v>263.02939237253105</v>
      </c>
      <c r="AF16" s="19">
        <f t="shared" si="15"/>
        <v>260.39909844880572</v>
      </c>
      <c r="AG16" s="19">
        <f t="shared" si="15"/>
        <v>257.79510746431765</v>
      </c>
      <c r="AH16" s="19">
        <f t="shared" si="15"/>
        <v>255.21715638967447</v>
      </c>
      <c r="AI16" s="19">
        <f t="shared" si="15"/>
        <v>252.66498482577774</v>
      </c>
      <c r="AJ16" s="19">
        <f t="shared" si="15"/>
        <v>250.13833497751995</v>
      </c>
      <c r="AK16" s="19">
        <f t="shared" si="15"/>
        <v>247.63695162774474</v>
      </c>
      <c r="AL16" s="19">
        <f t="shared" si="15"/>
        <v>245.16058211146728</v>
      </c>
      <c r="AM16" s="19">
        <f t="shared" si="15"/>
        <v>242.70897629035261</v>
      </c>
      <c r="AN16" s="19">
        <f t="shared" si="15"/>
        <v>240.28188652744907</v>
      </c>
      <c r="AO16" s="19">
        <f t="shared" si="15"/>
        <v>237.87906766217458</v>
      </c>
      <c r="AP16" s="19">
        <f t="shared" si="15"/>
        <v>235.50027698555283</v>
      </c>
      <c r="AQ16" s="19">
        <f t="shared" si="15"/>
        <v>233.1452742156973</v>
      </c>
      <c r="AR16" s="19">
        <f t="shared" si="15"/>
        <v>230.81382147354032</v>
      </c>
      <c r="AS16" s="19">
        <f t="shared" si="15"/>
        <v>228.50568325880491</v>
      </c>
      <c r="AT16" s="19">
        <f t="shared" si="15"/>
        <v>226.22062642621685</v>
      </c>
      <c r="AU16" s="19">
        <f t="shared" si="15"/>
        <v>223.95842016195468</v>
      </c>
      <c r="AV16" s="19">
        <f t="shared" si="15"/>
        <v>221.71883596033513</v>
      </c>
      <c r="AW16" s="19">
        <f t="shared" si="15"/>
        <v>219.50164760073179</v>
      </c>
      <c r="AX16" s="19">
        <f t="shared" si="15"/>
        <v>217.30663112472448</v>
      </c>
      <c r="AY16" s="19">
        <f t="shared" si="15"/>
        <v>215.13356481347722</v>
      </c>
      <c r="AZ16" s="19">
        <f t="shared" si="15"/>
        <v>212.98222916534246</v>
      </c>
      <c r="BA16" s="19">
        <f t="shared" si="15"/>
        <v>210.85240687368903</v>
      </c>
      <c r="BB16" s="19">
        <f t="shared" si="15"/>
        <v>208.74388280495214</v>
      </c>
      <c r="BC16" s="19">
        <f t="shared" si="15"/>
        <v>206.65644397690261</v>
      </c>
      <c r="BD16" s="19">
        <f t="shared" si="15"/>
        <v>204.58987953713358</v>
      </c>
      <c r="BE16" s="19">
        <f t="shared" si="15"/>
        <v>202.54398074176225</v>
      </c>
      <c r="BF16" s="19">
        <f t="shared" si="15"/>
        <v>200.51854093434463</v>
      </c>
      <c r="BG16" s="19">
        <f t="shared" si="15"/>
        <v>198.51335552500117</v>
      </c>
      <c r="BH16" s="19">
        <f t="shared" si="15"/>
        <v>196.52822196975117</v>
      </c>
      <c r="BI16" s="19">
        <f t="shared" si="15"/>
        <v>194.56293975005366</v>
      </c>
      <c r="BJ16" s="19">
        <f t="shared" si="15"/>
        <v>192.61731035255312</v>
      </c>
      <c r="BK16" s="19">
        <f t="shared" si="15"/>
        <v>190.69113724902758</v>
      </c>
      <c r="BL16" s="19">
        <f t="shared" si="15"/>
        <v>188.78422587653731</v>
      </c>
      <c r="BM16" s="19">
        <f t="shared" si="15"/>
        <v>186.89638361777193</v>
      </c>
      <c r="BN16" s="19">
        <f t="shared" si="15"/>
        <v>185.0274197815942</v>
      </c>
      <c r="BO16" s="19">
        <f t="shared" si="15"/>
        <v>183.17714558377827</v>
      </c>
      <c r="BP16" s="19">
        <f t="shared" si="15"/>
        <v>181.34537412794049</v>
      </c>
      <c r="BQ16" s="19">
        <f t="shared" si="15"/>
        <v>179.53192038666108</v>
      </c>
      <c r="BR16" s="19">
        <f t="shared" si="15"/>
        <v>177.73660118279446</v>
      </c>
      <c r="BS16" s="19">
        <f t="shared" si="15"/>
        <v>175.95923517096651</v>
      </c>
      <c r="BT16" s="19">
        <f t="shared" si="15"/>
        <v>174.19964281925684</v>
      </c>
      <c r="BU16" s="19">
        <f t="shared" si="15"/>
        <v>172.45764639106426</v>
      </c>
      <c r="BV16" s="19">
        <f t="shared" si="15"/>
        <v>170.73306992715362</v>
      </c>
      <c r="BW16" s="19">
        <f t="shared" si="15"/>
        <v>169.02573922788207</v>
      </c>
      <c r="BX16" s="19">
        <f t="shared" si="15"/>
        <v>167.33548183560325</v>
      </c>
      <c r="BY16" s="19">
        <f t="shared" si="15"/>
        <v>165.6621270172472</v>
      </c>
      <c r="BZ16" s="19">
        <f t="shared" si="15"/>
        <v>164.00550574707472</v>
      </c>
      <c r="CA16" s="19">
        <f t="shared" si="15"/>
        <v>162.36545068960396</v>
      </c>
      <c r="CB16" s="19">
        <f t="shared" si="15"/>
        <v>160.74179618270793</v>
      </c>
      <c r="CC16" s="19">
        <f t="shared" si="15"/>
        <v>159.13437822088085</v>
      </c>
      <c r="CD16" s="19">
        <f t="shared" si="15"/>
        <v>157.54303443867204</v>
      </c>
      <c r="CE16" s="19">
        <f t="shared" si="15"/>
        <v>155.96760409428532</v>
      </c>
      <c r="CF16" s="19">
        <f t="shared" si="15"/>
        <v>154.40792805334246</v>
      </c>
      <c r="CG16" s="19">
        <f t="shared" ref="CG16:DP16" si="16">CF16*(1+$V$20)</f>
        <v>152.86384877280904</v>
      </c>
      <c r="CH16" s="19">
        <f t="shared" si="16"/>
        <v>151.33521028508093</v>
      </c>
      <c r="CI16" s="19">
        <f t="shared" si="16"/>
        <v>149.82185818223013</v>
      </c>
      <c r="CJ16" s="19">
        <f t="shared" si="16"/>
        <v>148.32363960040783</v>
      </c>
      <c r="CK16" s="19">
        <f t="shared" si="16"/>
        <v>146.84040320440374</v>
      </c>
      <c r="CL16" s="19">
        <f t="shared" si="16"/>
        <v>145.37199917235969</v>
      </c>
      <c r="CM16" s="19">
        <f t="shared" si="16"/>
        <v>143.91827918063609</v>
      </c>
      <c r="CN16" s="19">
        <f t="shared" si="16"/>
        <v>142.47909638882973</v>
      </c>
      <c r="CO16" s="19">
        <f t="shared" si="16"/>
        <v>141.05430542494145</v>
      </c>
      <c r="CP16" s="19">
        <f t="shared" si="16"/>
        <v>139.64376237069203</v>
      </c>
      <c r="CQ16" s="19">
        <f t="shared" si="16"/>
        <v>138.2473247469851</v>
      </c>
      <c r="CR16" s="19">
        <f t="shared" si="16"/>
        <v>136.86485149951525</v>
      </c>
      <c r="CS16" s="19">
        <f t="shared" si="16"/>
        <v>135.4962029845201</v>
      </c>
      <c r="CT16" s="19">
        <f t="shared" si="16"/>
        <v>134.14124095467488</v>
      </c>
      <c r="CU16" s="19">
        <f t="shared" si="16"/>
        <v>132.79982854512812</v>
      </c>
      <c r="CV16" s="19">
        <f t="shared" si="16"/>
        <v>131.47183025967684</v>
      </c>
      <c r="CW16" s="19">
        <f t="shared" si="16"/>
        <v>130.15711195708008</v>
      </c>
      <c r="CX16" s="19">
        <f t="shared" si="16"/>
        <v>128.85554083750927</v>
      </c>
      <c r="CY16" s="19">
        <f t="shared" si="16"/>
        <v>127.56698542913418</v>
      </c>
      <c r="CZ16" s="19">
        <f t="shared" si="16"/>
        <v>126.29131557484284</v>
      </c>
      <c r="DA16" s="19">
        <f t="shared" si="16"/>
        <v>125.02840241909441</v>
      </c>
      <c r="DB16" s="19">
        <f t="shared" si="16"/>
        <v>123.77811839490346</v>
      </c>
      <c r="DC16" s="19">
        <f t="shared" si="16"/>
        <v>122.54033721095442</v>
      </c>
      <c r="DD16" s="19">
        <f t="shared" si="16"/>
        <v>121.31493383884488</v>
      </c>
      <c r="DE16" s="19">
        <f t="shared" si="16"/>
        <v>120.10178450045643</v>
      </c>
      <c r="DF16" s="19">
        <f t="shared" si="16"/>
        <v>118.90076665545186</v>
      </c>
      <c r="DG16" s="19">
        <f t="shared" si="16"/>
        <v>117.71175898889734</v>
      </c>
      <c r="DH16" s="19">
        <f t="shared" si="16"/>
        <v>116.53464139900836</v>
      </c>
      <c r="DI16" s="19">
        <f t="shared" si="16"/>
        <v>115.36929498501829</v>
      </c>
      <c r="DJ16" s="19">
        <f t="shared" si="16"/>
        <v>114.2156020351681</v>
      </c>
      <c r="DK16" s="19">
        <f t="shared" si="16"/>
        <v>113.07344601481643</v>
      </c>
      <c r="DL16" s="19">
        <f t="shared" si="16"/>
        <v>111.94271155466826</v>
      </c>
      <c r="DM16" s="19">
        <f t="shared" si="16"/>
        <v>110.82328443912158</v>
      </c>
      <c r="DN16" s="19">
        <f t="shared" si="16"/>
        <v>109.71505159473037</v>
      </c>
      <c r="DO16" s="19">
        <f t="shared" si="16"/>
        <v>108.61790107878306</v>
      </c>
      <c r="DP16" s="19">
        <f t="shared" si="16"/>
        <v>107.53172206799523</v>
      </c>
    </row>
    <row r="17" spans="3:22" x14ac:dyDescent="0.25">
      <c r="C17" s="2" t="s">
        <v>28</v>
      </c>
      <c r="D17" s="16">
        <v>107.767</v>
      </c>
      <c r="E17" s="16">
        <v>107.767</v>
      </c>
      <c r="F17" s="16">
        <v>112.91891800000001</v>
      </c>
      <c r="G17" s="16">
        <v>112.91891800000001</v>
      </c>
      <c r="H17" s="16">
        <v>112.91891800000001</v>
      </c>
      <c r="I17" s="16">
        <v>111.065657</v>
      </c>
      <c r="J17" s="14">
        <v>105.75545</v>
      </c>
      <c r="K17" s="16">
        <v>105.75545</v>
      </c>
      <c r="L17" s="16">
        <v>105.75545</v>
      </c>
      <c r="M17" s="16">
        <v>105.75545</v>
      </c>
      <c r="N17" s="16">
        <v>105.75545</v>
      </c>
      <c r="O17" s="16">
        <v>105.75545</v>
      </c>
      <c r="P17" s="16">
        <v>105.75545</v>
      </c>
      <c r="Q17" s="16">
        <v>105.75545</v>
      </c>
      <c r="R17" s="16">
        <v>105.75545</v>
      </c>
      <c r="S17" s="16">
        <v>105.75545</v>
      </c>
    </row>
    <row r="18" spans="3:22" x14ac:dyDescent="0.25">
      <c r="C18" s="2" t="s">
        <v>29</v>
      </c>
      <c r="D18" s="15">
        <f t="shared" ref="D18:I18" si="17">D16/D17</f>
        <v>0.55370382399064688</v>
      </c>
      <c r="E18" s="15">
        <f t="shared" si="17"/>
        <v>1.5926303970603248</v>
      </c>
      <c r="F18" s="15">
        <f t="shared" si="17"/>
        <v>2.5505026535943252</v>
      </c>
      <c r="G18" s="15">
        <f t="shared" si="17"/>
        <v>2.1519866139702115</v>
      </c>
      <c r="H18" s="15">
        <f t="shared" si="17"/>
        <v>2.7364768054189113</v>
      </c>
      <c r="I18" s="15">
        <f t="shared" si="17"/>
        <v>2.5480423710094291</v>
      </c>
      <c r="J18" s="10">
        <f t="shared" ref="J18:S18" si="18">J16/J17</f>
        <v>3.1146574479140314</v>
      </c>
      <c r="K18" s="15">
        <f t="shared" si="18"/>
        <v>2.8059452255179282</v>
      </c>
      <c r="L18" s="15">
        <f t="shared" si="18"/>
        <v>2.8059452255179282</v>
      </c>
      <c r="M18" s="15">
        <f t="shared" si="18"/>
        <v>2.8059452255179282</v>
      </c>
      <c r="N18" s="15">
        <f t="shared" si="18"/>
        <v>2.8059452255179282</v>
      </c>
      <c r="O18" s="15">
        <f t="shared" si="18"/>
        <v>2.8059452255179282</v>
      </c>
      <c r="P18" s="15">
        <f t="shared" si="18"/>
        <v>2.8059452255179282</v>
      </c>
      <c r="Q18" s="15">
        <f t="shared" si="18"/>
        <v>2.8059452255179282</v>
      </c>
      <c r="R18" s="15">
        <f t="shared" si="18"/>
        <v>2.8059452255179282</v>
      </c>
      <c r="S18" s="15">
        <f t="shared" si="18"/>
        <v>2.8059452255179282</v>
      </c>
    </row>
    <row r="19" spans="3:22" x14ac:dyDescent="0.25">
      <c r="J19" s="3"/>
      <c r="U19" s="2" t="s">
        <v>112</v>
      </c>
      <c r="V19" s="25">
        <v>0.08</v>
      </c>
    </row>
    <row r="20" spans="3:22" x14ac:dyDescent="0.25">
      <c r="C20" s="1" t="s">
        <v>5</v>
      </c>
      <c r="D20" s="18"/>
      <c r="E20" s="18">
        <f t="shared" ref="E20:H20" si="19">(E4-D4)/D4</f>
        <v>1.3554026120818463</v>
      </c>
      <c r="F20" s="18">
        <f t="shared" si="19"/>
        <v>0.48564479284786927</v>
      </c>
      <c r="G20" s="18">
        <f t="shared" si="19"/>
        <v>0.15191740412979352</v>
      </c>
      <c r="H20" s="18">
        <f t="shared" si="19"/>
        <v>0.17925736235595391</v>
      </c>
      <c r="I20" s="18">
        <f>(I4-H4)/H4</f>
        <v>4.5059717698154179E-2</v>
      </c>
      <c r="J20" s="22">
        <f t="shared" ref="J20:S20" si="20">(J4-I4)/I4</f>
        <v>0.06</v>
      </c>
      <c r="K20" s="18">
        <f t="shared" si="20"/>
        <v>0</v>
      </c>
      <c r="L20" s="18">
        <f t="shared" si="20"/>
        <v>0</v>
      </c>
      <c r="M20" s="18">
        <f t="shared" si="20"/>
        <v>0</v>
      </c>
      <c r="N20" s="18">
        <f t="shared" si="20"/>
        <v>0</v>
      </c>
      <c r="O20" s="18">
        <f t="shared" si="20"/>
        <v>0</v>
      </c>
      <c r="P20" s="18">
        <f t="shared" si="20"/>
        <v>0</v>
      </c>
      <c r="Q20" s="18">
        <f t="shared" si="20"/>
        <v>0</v>
      </c>
      <c r="R20" s="18">
        <f t="shared" si="20"/>
        <v>0</v>
      </c>
      <c r="S20" s="18">
        <f t="shared" si="20"/>
        <v>0</v>
      </c>
      <c r="U20" s="2" t="s">
        <v>111</v>
      </c>
      <c r="V20" s="25">
        <v>-0.01</v>
      </c>
    </row>
    <row r="21" spans="3:22" x14ac:dyDescent="0.25">
      <c r="C21" s="2" t="s">
        <v>8</v>
      </c>
      <c r="D21" s="17">
        <f t="shared" ref="D21:S21" si="21">D6/D4</f>
        <v>0.70137313648527644</v>
      </c>
      <c r="E21" s="17">
        <f t="shared" si="21"/>
        <v>0.72740828389401091</v>
      </c>
      <c r="F21" s="17">
        <f t="shared" si="21"/>
        <v>0.72787610619469023</v>
      </c>
      <c r="G21" s="17">
        <f t="shared" si="21"/>
        <v>0.72215108834827146</v>
      </c>
      <c r="H21" s="17">
        <f t="shared" si="21"/>
        <v>0.71335504885993484</v>
      </c>
      <c r="I21" s="17">
        <f t="shared" si="21"/>
        <v>0.69818181818181824</v>
      </c>
      <c r="J21" s="23">
        <f t="shared" si="21"/>
        <v>0.7</v>
      </c>
      <c r="K21" s="17">
        <f t="shared" si="21"/>
        <v>0.67999999999999994</v>
      </c>
      <c r="L21" s="17">
        <f t="shared" si="21"/>
        <v>0.67999999999999994</v>
      </c>
      <c r="M21" s="17">
        <f t="shared" si="21"/>
        <v>0.67999999999999994</v>
      </c>
      <c r="N21" s="17">
        <f t="shared" si="21"/>
        <v>0.67999999999999994</v>
      </c>
      <c r="O21" s="17">
        <f t="shared" si="21"/>
        <v>0.67999999999999994</v>
      </c>
      <c r="P21" s="17">
        <f t="shared" si="21"/>
        <v>0.67999999999999994</v>
      </c>
      <c r="Q21" s="17">
        <f t="shared" si="21"/>
        <v>0.67999999999999994</v>
      </c>
      <c r="R21" s="17">
        <f t="shared" si="21"/>
        <v>0.67999999999999994</v>
      </c>
      <c r="S21" s="17">
        <f t="shared" si="21"/>
        <v>0.67999999999999994</v>
      </c>
      <c r="U21" s="24" t="s">
        <v>113</v>
      </c>
      <c r="V21" s="27">
        <f>NPV(V19,J16:DP16)</f>
        <v>3533.1241793985878</v>
      </c>
    </row>
    <row r="22" spans="3:22" x14ac:dyDescent="0.25">
      <c r="C22" s="2" t="s">
        <v>6</v>
      </c>
      <c r="D22" s="17">
        <f t="shared" ref="D22:S22" si="22">D11/D4</f>
        <v>0.2146309615052116</v>
      </c>
      <c r="E22" s="17">
        <f t="shared" si="22"/>
        <v>0.25250264315491355</v>
      </c>
      <c r="F22" s="17">
        <f t="shared" si="22"/>
        <v>0.26991150442477874</v>
      </c>
      <c r="G22" s="17">
        <f t="shared" si="22"/>
        <v>0.19846350832266324</v>
      </c>
      <c r="H22" s="17">
        <f t="shared" si="22"/>
        <v>0.20955483170466885</v>
      </c>
      <c r="I22" s="17">
        <f t="shared" si="22"/>
        <v>0.18545454545454546</v>
      </c>
      <c r="J22" s="23">
        <f t="shared" si="22"/>
        <v>0.20178387650085758</v>
      </c>
      <c r="K22" s="17">
        <f t="shared" si="22"/>
        <v>0.18178387650085762</v>
      </c>
      <c r="L22" s="17">
        <f t="shared" si="22"/>
        <v>0.18178387650085762</v>
      </c>
      <c r="M22" s="17">
        <f t="shared" si="22"/>
        <v>0.18178387650085762</v>
      </c>
      <c r="N22" s="17">
        <f t="shared" si="22"/>
        <v>0.18178387650085762</v>
      </c>
      <c r="O22" s="17">
        <f t="shared" si="22"/>
        <v>0.18178387650085762</v>
      </c>
      <c r="P22" s="17">
        <f t="shared" si="22"/>
        <v>0.18178387650085762</v>
      </c>
      <c r="Q22" s="17">
        <f t="shared" si="22"/>
        <v>0.18178387650085762</v>
      </c>
      <c r="R22" s="17">
        <f t="shared" si="22"/>
        <v>0.18178387650085762</v>
      </c>
      <c r="S22" s="17">
        <f t="shared" si="22"/>
        <v>0.18178387650085762</v>
      </c>
      <c r="U22" s="2" t="s">
        <v>2</v>
      </c>
      <c r="V22" s="16">
        <v>105.75545</v>
      </c>
    </row>
    <row r="23" spans="3:22" x14ac:dyDescent="0.25">
      <c r="J23" s="3"/>
      <c r="U23" s="2" t="s">
        <v>114</v>
      </c>
      <c r="V23" s="15">
        <f>V21/V22</f>
        <v>33.408435966170899</v>
      </c>
    </row>
    <row r="24" spans="3:22" x14ac:dyDescent="0.25">
      <c r="J24" s="3"/>
      <c r="U24" s="1" t="s">
        <v>115</v>
      </c>
      <c r="V24" s="18">
        <f>(V23-Modell!B4)/Modell!B4</f>
        <v>-0.4002076128156033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2026-05-28T16:55:15Z</dcterms:modified>
</cp:coreProperties>
</file>