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E324486C-E18B-0E44-ABAA-D6D1F9ED09D7}" xr6:coauthVersionLast="47" xr6:coauthVersionMax="47" xr10:uidLastSave="{00000000-0000-0000-0000-000000000000}"/>
  <bookViews>
    <workbookView xWindow="25080" yWindow="500" windowWidth="26120" windowHeight="26740" activeTab="1" xr2:uid="{5AE0DF26-B7DD-1242-A60E-253C73A930AF}"/>
  </bookViews>
  <sheets>
    <sheet name="Info" sheetId="1" r:id="rId1"/>
    <sheet name="Modell" sheetId="2" r:id="rId2"/>
    <sheet name="Region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2" l="1"/>
  <c r="AF9" i="2"/>
  <c r="AF10" i="2"/>
  <c r="AF7" i="2"/>
  <c r="AG4" i="2"/>
  <c r="T63" i="2" l="1"/>
  <c r="T64" i="2" s="1"/>
  <c r="T53" i="2"/>
  <c r="T47" i="2"/>
  <c r="AG7" i="2"/>
  <c r="AH7" i="2" s="1"/>
  <c r="AI7" i="2" s="1"/>
  <c r="AJ7" i="2" s="1"/>
  <c r="AK7" i="2" s="1"/>
  <c r="AL7" i="2" s="1"/>
  <c r="AM7" i="2" s="1"/>
  <c r="AN7" i="2" s="1"/>
  <c r="AG8" i="2"/>
  <c r="AG9" i="2"/>
  <c r="AG10" i="2"/>
  <c r="AG5" i="2"/>
  <c r="AH5" i="2"/>
  <c r="AI5" i="2"/>
  <c r="AJ5" i="2"/>
  <c r="AK5" i="2"/>
  <c r="AL5" i="2"/>
  <c r="AM5" i="2"/>
  <c r="AN5" i="2"/>
  <c r="AF5" i="2"/>
  <c r="Z24" i="4" l="1"/>
  <c r="Y24" i="4"/>
  <c r="X24" i="4"/>
  <c r="W24" i="4"/>
  <c r="U24" i="4"/>
  <c r="T24" i="4"/>
  <c r="S24" i="4"/>
  <c r="R24" i="4"/>
  <c r="P24" i="4"/>
  <c r="O24" i="4"/>
  <c r="N24" i="4"/>
  <c r="M24" i="4"/>
  <c r="K24" i="4"/>
  <c r="J24" i="4"/>
  <c r="I24" i="4"/>
  <c r="H24" i="4"/>
  <c r="AA23" i="4"/>
  <c r="V23" i="4"/>
  <c r="Q23" i="4"/>
  <c r="L23" i="4"/>
  <c r="G23" i="4"/>
  <c r="Z21" i="4"/>
  <c r="Y21" i="4"/>
  <c r="X21" i="4"/>
  <c r="W21" i="4"/>
  <c r="U21" i="4"/>
  <c r="T21" i="4"/>
  <c r="S21" i="4"/>
  <c r="R21" i="4"/>
  <c r="P21" i="4"/>
  <c r="O21" i="4"/>
  <c r="N21" i="4"/>
  <c r="M21" i="4"/>
  <c r="K21" i="4"/>
  <c r="J21" i="4"/>
  <c r="I21" i="4"/>
  <c r="H21" i="4"/>
  <c r="AA20" i="4"/>
  <c r="V20" i="4"/>
  <c r="Q20" i="4"/>
  <c r="Q21" i="4" s="1"/>
  <c r="L20" i="4"/>
  <c r="G20" i="4"/>
  <c r="Z18" i="4"/>
  <c r="Y18" i="4"/>
  <c r="X18" i="4"/>
  <c r="W18" i="4"/>
  <c r="U18" i="4"/>
  <c r="T18" i="4"/>
  <c r="S18" i="4"/>
  <c r="R18" i="4"/>
  <c r="P18" i="4"/>
  <c r="O18" i="4"/>
  <c r="N18" i="4"/>
  <c r="M18" i="4"/>
  <c r="K18" i="4"/>
  <c r="J18" i="4"/>
  <c r="I18" i="4"/>
  <c r="H18" i="4"/>
  <c r="AA17" i="4"/>
  <c r="V17" i="4"/>
  <c r="Q17" i="4"/>
  <c r="L17" i="4"/>
  <c r="G17" i="4"/>
  <c r="AI4" i="2"/>
  <c r="AJ4" i="2" s="1"/>
  <c r="AK4" i="2" s="1"/>
  <c r="AL4" i="2" s="1"/>
  <c r="AM4" i="2" s="1"/>
  <c r="AN4" i="2" s="1"/>
  <c r="AH4" i="2"/>
  <c r="AH10" i="2"/>
  <c r="AI10" i="2" s="1"/>
  <c r="AJ10" i="2" s="1"/>
  <c r="AK10" i="2" s="1"/>
  <c r="AL10" i="2" s="1"/>
  <c r="AM10" i="2" s="1"/>
  <c r="AN10" i="2" s="1"/>
  <c r="AH8" i="2"/>
  <c r="AI8" i="2" s="1"/>
  <c r="AJ8" i="2" s="1"/>
  <c r="AK8" i="2" s="1"/>
  <c r="AL8" i="2" s="1"/>
  <c r="AM8" i="2" s="1"/>
  <c r="AN8" i="2" s="1"/>
  <c r="AH9" i="2"/>
  <c r="AI9" i="2" s="1"/>
  <c r="AJ9" i="2" s="1"/>
  <c r="AK9" i="2" s="1"/>
  <c r="AL9" i="2" s="1"/>
  <c r="AM9" i="2" s="1"/>
  <c r="AN9" i="2" s="1"/>
  <c r="AD24" i="2"/>
  <c r="AC24" i="2"/>
  <c r="AB24" i="2"/>
  <c r="AA24" i="2"/>
  <c r="Z24" i="2"/>
  <c r="Y24" i="2"/>
  <c r="AE24" i="2"/>
  <c r="AA63" i="2"/>
  <c r="Z63" i="2"/>
  <c r="Y63" i="2"/>
  <c r="AA53" i="2"/>
  <c r="Z53" i="2"/>
  <c r="Y53" i="2"/>
  <c r="AA47" i="2"/>
  <c r="Z47" i="2"/>
  <c r="Y47" i="2"/>
  <c r="AE85" i="2"/>
  <c r="AE78" i="2"/>
  <c r="AE75" i="2"/>
  <c r="AE91" i="2" s="1"/>
  <c r="AE67" i="2"/>
  <c r="AB63" i="2"/>
  <c r="AB53" i="2"/>
  <c r="AB64" i="2" s="1"/>
  <c r="AB47" i="2"/>
  <c r="AC63" i="2"/>
  <c r="AC53" i="2"/>
  <c r="AC64" i="2" s="1"/>
  <c r="AC47" i="2"/>
  <c r="AD63" i="2"/>
  <c r="AD53" i="2"/>
  <c r="AD64" i="2" s="1"/>
  <c r="AD47" i="2"/>
  <c r="AE63" i="2"/>
  <c r="AE53" i="2"/>
  <c r="AE64" i="2" s="1"/>
  <c r="AE47" i="2"/>
  <c r="AF4" i="2"/>
  <c r="Z13" i="4"/>
  <c r="Y13" i="4"/>
  <c r="X13" i="4"/>
  <c r="W13" i="4"/>
  <c r="AA12" i="4"/>
  <c r="AA13" i="4" s="1"/>
  <c r="AA10" i="4"/>
  <c r="Z10" i="4"/>
  <c r="Y10" i="4"/>
  <c r="X10" i="4"/>
  <c r="W10" i="4"/>
  <c r="AA9" i="4"/>
  <c r="Z7" i="4"/>
  <c r="Y7" i="4"/>
  <c r="X7" i="4"/>
  <c r="W7" i="4"/>
  <c r="AA6" i="4"/>
  <c r="AA7" i="4" s="1"/>
  <c r="S74" i="2"/>
  <c r="S85" i="2"/>
  <c r="S78" i="2"/>
  <c r="S75" i="2"/>
  <c r="S91" i="2" s="1"/>
  <c r="S67" i="2"/>
  <c r="S63" i="2"/>
  <c r="S53" i="2"/>
  <c r="S47" i="2"/>
  <c r="S6" i="2"/>
  <c r="S11" i="2" s="1"/>
  <c r="S14" i="2" s="1"/>
  <c r="S16" i="2" s="1"/>
  <c r="S18" i="2" s="1"/>
  <c r="B7" i="2"/>
  <c r="R74" i="2"/>
  <c r="R6" i="2"/>
  <c r="R11" i="2" s="1"/>
  <c r="R14" i="2" s="1"/>
  <c r="R16" i="2" s="1"/>
  <c r="R18" i="2" s="1"/>
  <c r="U13" i="4"/>
  <c r="T13" i="4"/>
  <c r="U10" i="4"/>
  <c r="T10" i="4"/>
  <c r="U7" i="4"/>
  <c r="T7" i="4"/>
  <c r="S13" i="4"/>
  <c r="S10" i="4"/>
  <c r="S7" i="4"/>
  <c r="Q74" i="2"/>
  <c r="Q6" i="2"/>
  <c r="Q11" i="2" s="1"/>
  <c r="Q14" i="2" s="1"/>
  <c r="Q16" i="2" s="1"/>
  <c r="Q18" i="2" s="1"/>
  <c r="A5" i="5"/>
  <c r="Q7" i="4"/>
  <c r="Q10" i="4"/>
  <c r="Q13" i="4"/>
  <c r="L13" i="4"/>
  <c r="L10" i="4"/>
  <c r="L7" i="4"/>
  <c r="V12" i="4"/>
  <c r="V13" i="4" s="1"/>
  <c r="V9" i="4"/>
  <c r="V10" i="4" s="1"/>
  <c r="V6" i="4"/>
  <c r="V7" i="4" s="1"/>
  <c r="Q12" i="4"/>
  <c r="Q9" i="4"/>
  <c r="Q6" i="4"/>
  <c r="L12" i="4"/>
  <c r="L9" i="4"/>
  <c r="L6" i="4"/>
  <c r="G12" i="4"/>
  <c r="G9" i="4"/>
  <c r="G6" i="4"/>
  <c r="R13" i="4"/>
  <c r="P13" i="4"/>
  <c r="O13" i="4"/>
  <c r="N13" i="4"/>
  <c r="M13" i="4"/>
  <c r="K13" i="4"/>
  <c r="J13" i="4"/>
  <c r="I13" i="4"/>
  <c r="H13" i="4"/>
  <c r="R10" i="4"/>
  <c r="P10" i="4"/>
  <c r="O10" i="4"/>
  <c r="N10" i="4"/>
  <c r="M10" i="4"/>
  <c r="K10" i="4"/>
  <c r="J10" i="4"/>
  <c r="I10" i="4"/>
  <c r="H10" i="4"/>
  <c r="P7" i="4"/>
  <c r="O7" i="4"/>
  <c r="N7" i="4"/>
  <c r="M7" i="4"/>
  <c r="K7" i="4"/>
  <c r="J7" i="4"/>
  <c r="I7" i="4"/>
  <c r="H7" i="4"/>
  <c r="R7" i="4"/>
  <c r="F74" i="2"/>
  <c r="E74" i="2"/>
  <c r="E6" i="2"/>
  <c r="E11" i="2" s="1"/>
  <c r="E14" i="2" s="1"/>
  <c r="E16" i="2" s="1"/>
  <c r="E18" i="2" s="1"/>
  <c r="F6" i="2"/>
  <c r="F11" i="2" s="1"/>
  <c r="F14" i="2" s="1"/>
  <c r="F16" i="2" s="1"/>
  <c r="F18" i="2" s="1"/>
  <c r="G74" i="2"/>
  <c r="G6" i="2"/>
  <c r="G11" i="2" s="1"/>
  <c r="G14" i="2" s="1"/>
  <c r="G16" i="2" s="1"/>
  <c r="G18" i="2" s="1"/>
  <c r="D74" i="2"/>
  <c r="H74" i="2"/>
  <c r="D6" i="2"/>
  <c r="D11" i="2" s="1"/>
  <c r="D14" i="2" s="1"/>
  <c r="D16" i="2" s="1"/>
  <c r="D18" i="2" s="1"/>
  <c r="H6" i="2"/>
  <c r="H11" i="2" s="1"/>
  <c r="H14" i="2" s="1"/>
  <c r="H16" i="2" s="1"/>
  <c r="H18" i="2" s="1"/>
  <c r="I74" i="2"/>
  <c r="M74" i="2"/>
  <c r="I6" i="2"/>
  <c r="I11" i="2" s="1"/>
  <c r="I14" i="2" s="1"/>
  <c r="I16" i="2" s="1"/>
  <c r="I18" i="2" s="1"/>
  <c r="M6" i="2"/>
  <c r="M11" i="2" s="1"/>
  <c r="M14" i="2" s="1"/>
  <c r="M16" i="2" s="1"/>
  <c r="M18" i="2" s="1"/>
  <c r="J74" i="2"/>
  <c r="N74" i="2"/>
  <c r="J6" i="2"/>
  <c r="J11" i="2" s="1"/>
  <c r="J14" i="2" s="1"/>
  <c r="J16" i="2" s="1"/>
  <c r="J18" i="2" s="1"/>
  <c r="N6" i="2"/>
  <c r="N11" i="2" s="1"/>
  <c r="N14" i="2" s="1"/>
  <c r="N16" i="2" s="1"/>
  <c r="N18" i="2" s="1"/>
  <c r="K74" i="2"/>
  <c r="O74" i="2"/>
  <c r="K6" i="2"/>
  <c r="K11" i="2" s="1"/>
  <c r="K14" i="2" s="1"/>
  <c r="K16" i="2" s="1"/>
  <c r="K18" i="2" s="1"/>
  <c r="O6" i="2"/>
  <c r="O11" i="2" s="1"/>
  <c r="O14" i="2" s="1"/>
  <c r="O16" i="2" s="1"/>
  <c r="O18" i="2" s="1"/>
  <c r="AA24" i="4" l="1"/>
  <c r="AA21" i="4"/>
  <c r="AA18" i="4"/>
  <c r="V24" i="4"/>
  <c r="V21" i="4"/>
  <c r="V18" i="4"/>
  <c r="Q24" i="4"/>
  <c r="Q18" i="4"/>
  <c r="L18" i="4"/>
  <c r="L24" i="4"/>
  <c r="L21" i="4"/>
  <c r="Y64" i="2"/>
  <c r="Z64" i="2"/>
  <c r="AA64" i="2"/>
  <c r="AE89" i="2"/>
  <c r="S89" i="2"/>
  <c r="S64" i="2"/>
  <c r="K8" i="5"/>
  <c r="K9" i="5"/>
  <c r="K10" i="5"/>
  <c r="K7" i="5"/>
  <c r="M8" i="5"/>
  <c r="N8" i="5" s="1"/>
  <c r="O8" i="5" s="1"/>
  <c r="P8" i="5" s="1"/>
  <c r="Q8" i="5" s="1"/>
  <c r="R8" i="5" s="1"/>
  <c r="S8" i="5" s="1"/>
  <c r="M9" i="5"/>
  <c r="N9" i="5"/>
  <c r="O9" i="5" s="1"/>
  <c r="P9" i="5" s="1"/>
  <c r="Q9" i="5" s="1"/>
  <c r="R9" i="5" s="1"/>
  <c r="S9" i="5" s="1"/>
  <c r="M10" i="5"/>
  <c r="N10" i="5" s="1"/>
  <c r="O10" i="5" s="1"/>
  <c r="P10" i="5" s="1"/>
  <c r="Q10" i="5" s="1"/>
  <c r="R10" i="5" s="1"/>
  <c r="S10" i="5" s="1"/>
  <c r="L8" i="5"/>
  <c r="L9" i="5"/>
  <c r="L10" i="5"/>
  <c r="L7" i="5"/>
  <c r="M7" i="5" s="1"/>
  <c r="N7" i="5" s="1"/>
  <c r="O7" i="5" s="1"/>
  <c r="P7" i="5" s="1"/>
  <c r="Q7" i="5" s="1"/>
  <c r="R7" i="5" s="1"/>
  <c r="S7" i="5" s="1"/>
  <c r="L5" i="5"/>
  <c r="L6" i="5" s="1"/>
  <c r="M5" i="5"/>
  <c r="N5" i="5"/>
  <c r="O5" i="5"/>
  <c r="P5" i="5"/>
  <c r="Q5" i="5"/>
  <c r="R5" i="5"/>
  <c r="S5" i="5"/>
  <c r="K5" i="5"/>
  <c r="L4" i="5"/>
  <c r="M4" i="5"/>
  <c r="N4" i="5" s="1"/>
  <c r="K4" i="5"/>
  <c r="F21" i="5"/>
  <c r="L20" i="5"/>
  <c r="I20" i="5"/>
  <c r="H20" i="5"/>
  <c r="G20" i="5"/>
  <c r="F20" i="5"/>
  <c r="E20" i="5"/>
  <c r="F11" i="5"/>
  <c r="F14" i="5" s="1"/>
  <c r="F16" i="5" s="1"/>
  <c r="F18" i="5" s="1"/>
  <c r="E11" i="5"/>
  <c r="E14" i="5" s="1"/>
  <c r="E16" i="5" s="1"/>
  <c r="E18" i="5" s="1"/>
  <c r="D11" i="5"/>
  <c r="D14" i="5" s="1"/>
  <c r="D16" i="5" s="1"/>
  <c r="D18" i="5" s="1"/>
  <c r="J10" i="5"/>
  <c r="J9" i="5"/>
  <c r="J8" i="5"/>
  <c r="J7" i="5"/>
  <c r="M6" i="5"/>
  <c r="M21" i="5" s="1"/>
  <c r="K6" i="5"/>
  <c r="K21" i="5" s="1"/>
  <c r="I6" i="5"/>
  <c r="I11" i="5" s="1"/>
  <c r="H6" i="5"/>
  <c r="H11" i="5" s="1"/>
  <c r="G6" i="5"/>
  <c r="G11" i="5" s="1"/>
  <c r="F6" i="5"/>
  <c r="E6" i="5"/>
  <c r="E21" i="5" s="1"/>
  <c r="D6" i="5"/>
  <c r="D21" i="5" s="1"/>
  <c r="J4" i="5"/>
  <c r="K20" i="5" s="1"/>
  <c r="Y81" i="2"/>
  <c r="Y85" i="2" s="1"/>
  <c r="Y74" i="2"/>
  <c r="Z74" i="2"/>
  <c r="Z75" i="2" s="1"/>
  <c r="Z91" i="2" s="1"/>
  <c r="Y6" i="2"/>
  <c r="Y11" i="2" s="1"/>
  <c r="Z6" i="2"/>
  <c r="Z11" i="2" s="1"/>
  <c r="Y78" i="2"/>
  <c r="Y75" i="2"/>
  <c r="Y91" i="2" s="1"/>
  <c r="AA74" i="2"/>
  <c r="AA75" i="2" s="1"/>
  <c r="AA91" i="2" s="1"/>
  <c r="AB74" i="2"/>
  <c r="AB75" i="2" s="1"/>
  <c r="AB91" i="2" s="1"/>
  <c r="AA20" i="2"/>
  <c r="Z20" i="2"/>
  <c r="AA6" i="2"/>
  <c r="AA11" i="2" s="1"/>
  <c r="AA67" i="2" s="1"/>
  <c r="AB6" i="2"/>
  <c r="AB22" i="2" s="1"/>
  <c r="AC74" i="2"/>
  <c r="AC75" i="2" s="1"/>
  <c r="AC91" i="2" s="1"/>
  <c r="AD74" i="2"/>
  <c r="AD75" i="2" s="1"/>
  <c r="AD91" i="2" s="1"/>
  <c r="AD85" i="2"/>
  <c r="AC85" i="2"/>
  <c r="AB85" i="2"/>
  <c r="AA85" i="2"/>
  <c r="Z85" i="2"/>
  <c r="AD78" i="2"/>
  <c r="AC78" i="2"/>
  <c r="AB78" i="2"/>
  <c r="AA78" i="2"/>
  <c r="Z78" i="2"/>
  <c r="AC20" i="2"/>
  <c r="AB20" i="2"/>
  <c r="AD20" i="2"/>
  <c r="AC6" i="2"/>
  <c r="AC11" i="2" s="1"/>
  <c r="AC14" i="2" s="1"/>
  <c r="AC16" i="2" s="1"/>
  <c r="AC18" i="2" s="1"/>
  <c r="AD6" i="2"/>
  <c r="AD11" i="2" s="1"/>
  <c r="AD14" i="2" s="1"/>
  <c r="AD16" i="2" s="1"/>
  <c r="AD18" i="2" s="1"/>
  <c r="L74" i="2"/>
  <c r="L75" i="2" s="1"/>
  <c r="L91" i="2" s="1"/>
  <c r="O85" i="2"/>
  <c r="N85" i="2"/>
  <c r="M85" i="2"/>
  <c r="L85" i="2"/>
  <c r="K85" i="2"/>
  <c r="J85" i="2"/>
  <c r="I85" i="2"/>
  <c r="H85" i="2"/>
  <c r="G85" i="2"/>
  <c r="F85" i="2"/>
  <c r="E85" i="2"/>
  <c r="D85" i="2"/>
  <c r="R85" i="2"/>
  <c r="Q85" i="2"/>
  <c r="P85" i="2"/>
  <c r="O78" i="2"/>
  <c r="N78" i="2"/>
  <c r="M78" i="2"/>
  <c r="L78" i="2"/>
  <c r="K78" i="2"/>
  <c r="J78" i="2"/>
  <c r="I78" i="2"/>
  <c r="H78" i="2"/>
  <c r="G78" i="2"/>
  <c r="F78" i="2"/>
  <c r="E78" i="2"/>
  <c r="D78" i="2"/>
  <c r="R78" i="2"/>
  <c r="Q78" i="2"/>
  <c r="P78" i="2"/>
  <c r="O75" i="2"/>
  <c r="O91" i="2" s="1"/>
  <c r="N75" i="2"/>
  <c r="N91" i="2" s="1"/>
  <c r="M75" i="2"/>
  <c r="M91" i="2" s="1"/>
  <c r="K75" i="2"/>
  <c r="K91" i="2" s="1"/>
  <c r="J75" i="2"/>
  <c r="J91" i="2" s="1"/>
  <c r="I75" i="2"/>
  <c r="I91" i="2" s="1"/>
  <c r="H75" i="2"/>
  <c r="H91" i="2" s="1"/>
  <c r="G75" i="2"/>
  <c r="G91" i="2" s="1"/>
  <c r="F75" i="2"/>
  <c r="F91" i="2" s="1"/>
  <c r="E75" i="2"/>
  <c r="E91" i="2" s="1"/>
  <c r="D75" i="2"/>
  <c r="D91" i="2" s="1"/>
  <c r="R75" i="2"/>
  <c r="R91" i="2" s="1"/>
  <c r="Q75" i="2"/>
  <c r="Q91" i="2" s="1"/>
  <c r="P74" i="2"/>
  <c r="P75" i="2" s="1"/>
  <c r="P91" i="2" s="1"/>
  <c r="O67" i="2"/>
  <c r="N67" i="2"/>
  <c r="M67" i="2"/>
  <c r="K67" i="2"/>
  <c r="J67" i="2"/>
  <c r="I67" i="2"/>
  <c r="H67" i="2"/>
  <c r="G67" i="2"/>
  <c r="F67" i="2"/>
  <c r="E67" i="2"/>
  <c r="D67" i="2"/>
  <c r="R67" i="2"/>
  <c r="Q67" i="2"/>
  <c r="O63" i="2"/>
  <c r="N63" i="2"/>
  <c r="M63" i="2"/>
  <c r="L63" i="2"/>
  <c r="K63" i="2"/>
  <c r="J63" i="2"/>
  <c r="I63" i="2"/>
  <c r="H63" i="2"/>
  <c r="G63" i="2"/>
  <c r="F63" i="2"/>
  <c r="E63" i="2"/>
  <c r="D63" i="2"/>
  <c r="R63" i="2"/>
  <c r="Q63" i="2"/>
  <c r="P63" i="2"/>
  <c r="O53" i="2"/>
  <c r="N53" i="2"/>
  <c r="M53" i="2"/>
  <c r="L53" i="2"/>
  <c r="K53" i="2"/>
  <c r="J53" i="2"/>
  <c r="I53" i="2"/>
  <c r="H53" i="2"/>
  <c r="G53" i="2"/>
  <c r="F53" i="2"/>
  <c r="E53" i="2"/>
  <c r="D53" i="2"/>
  <c r="R53" i="2"/>
  <c r="Q53" i="2"/>
  <c r="P53" i="2"/>
  <c r="O47" i="2"/>
  <c r="N47" i="2"/>
  <c r="M47" i="2"/>
  <c r="L47" i="2"/>
  <c r="K47" i="2"/>
  <c r="J47" i="2"/>
  <c r="I47" i="2"/>
  <c r="H47" i="2"/>
  <c r="G47" i="2"/>
  <c r="F47" i="2"/>
  <c r="E47" i="2"/>
  <c r="D47" i="2"/>
  <c r="R47" i="2"/>
  <c r="Q47" i="2"/>
  <c r="P47" i="2"/>
  <c r="Q20" i="2"/>
  <c r="R20" i="2"/>
  <c r="S20" i="2"/>
  <c r="Q22" i="2"/>
  <c r="R22" i="2"/>
  <c r="S22" i="2"/>
  <c r="Q23" i="2"/>
  <c r="R23" i="2"/>
  <c r="S23" i="2"/>
  <c r="L6" i="2"/>
  <c r="L22" i="2" s="1"/>
  <c r="H20" i="2"/>
  <c r="I20" i="2"/>
  <c r="J20" i="2"/>
  <c r="K20" i="2"/>
  <c r="L20" i="2"/>
  <c r="M20" i="2"/>
  <c r="N20" i="2"/>
  <c r="O20" i="2"/>
  <c r="D22" i="2"/>
  <c r="E22" i="2"/>
  <c r="F22" i="2"/>
  <c r="G22" i="2"/>
  <c r="H22" i="2"/>
  <c r="I22" i="2"/>
  <c r="J22" i="2"/>
  <c r="K22" i="2"/>
  <c r="M22" i="2"/>
  <c r="N22" i="2"/>
  <c r="O22" i="2"/>
  <c r="D23" i="2"/>
  <c r="E23" i="2"/>
  <c r="F23" i="2"/>
  <c r="G23" i="2"/>
  <c r="H23" i="2"/>
  <c r="I23" i="2"/>
  <c r="J23" i="2"/>
  <c r="K23" i="2"/>
  <c r="M23" i="2"/>
  <c r="N23" i="2"/>
  <c r="O23" i="2"/>
  <c r="P20" i="2"/>
  <c r="P6" i="2"/>
  <c r="P11" i="2" s="1"/>
  <c r="B6" i="2"/>
  <c r="AE6" i="2" l="1"/>
  <c r="AE22" i="2" s="1"/>
  <c r="H64" i="2"/>
  <c r="R64" i="2"/>
  <c r="AA22" i="2"/>
  <c r="E89" i="2"/>
  <c r="I89" i="2"/>
  <c r="AA23" i="2"/>
  <c r="P22" i="2"/>
  <c r="O89" i="2"/>
  <c r="L21" i="5"/>
  <c r="L11" i="5"/>
  <c r="L14" i="5" s="1"/>
  <c r="L15" i="5" s="1"/>
  <c r="L16" i="5" s="1"/>
  <c r="L18" i="5" s="1"/>
  <c r="M11" i="5"/>
  <c r="M14" i="5" s="1"/>
  <c r="M15" i="5" s="1"/>
  <c r="M16" i="5" s="1"/>
  <c r="M18" i="5" s="1"/>
  <c r="N20" i="5"/>
  <c r="O4" i="5"/>
  <c r="N6" i="5"/>
  <c r="M20" i="5"/>
  <c r="K11" i="5"/>
  <c r="I14" i="5"/>
  <c r="I16" i="5" s="1"/>
  <c r="I18" i="5" s="1"/>
  <c r="I22" i="5"/>
  <c r="H14" i="5"/>
  <c r="H16" i="5" s="1"/>
  <c r="H18" i="5" s="1"/>
  <c r="H22" i="5"/>
  <c r="G14" i="5"/>
  <c r="G16" i="5" s="1"/>
  <c r="G18" i="5" s="1"/>
  <c r="G22" i="5"/>
  <c r="D22" i="5"/>
  <c r="E22" i="5"/>
  <c r="F22" i="5"/>
  <c r="G21" i="5"/>
  <c r="H21" i="5"/>
  <c r="I21" i="5"/>
  <c r="J20" i="5"/>
  <c r="J5" i="5"/>
  <c r="J6" i="5" s="1"/>
  <c r="AF20" i="2"/>
  <c r="AC22" i="2"/>
  <c r="J89" i="2"/>
  <c r="K89" i="2"/>
  <c r="D89" i="2"/>
  <c r="M89" i="2"/>
  <c r="N89" i="2"/>
  <c r="AC67" i="2"/>
  <c r="P64" i="2"/>
  <c r="I64" i="2"/>
  <c r="J64" i="2"/>
  <c r="K64" i="2"/>
  <c r="AE20" i="2"/>
  <c r="Y22" i="2"/>
  <c r="Y67" i="2"/>
  <c r="Y14" i="2"/>
  <c r="Y16" i="2" s="1"/>
  <c r="Y18" i="2" s="1"/>
  <c r="Y23" i="2"/>
  <c r="Z14" i="2"/>
  <c r="Z16" i="2" s="1"/>
  <c r="Z18" i="2" s="1"/>
  <c r="Z23" i="2"/>
  <c r="Z67" i="2"/>
  <c r="Z22" i="2"/>
  <c r="Y89" i="2"/>
  <c r="AA89" i="2"/>
  <c r="AB89" i="2"/>
  <c r="AA14" i="2"/>
  <c r="AA16" i="2" s="1"/>
  <c r="AA18" i="2" s="1"/>
  <c r="AB11" i="2"/>
  <c r="AB14" i="2" s="1"/>
  <c r="AB16" i="2" s="1"/>
  <c r="AB18" i="2" s="1"/>
  <c r="AC89" i="2"/>
  <c r="P67" i="2"/>
  <c r="P14" i="2"/>
  <c r="P16" i="2" s="1"/>
  <c r="P18" i="2" s="1"/>
  <c r="P23" i="2"/>
  <c r="P89" i="2"/>
  <c r="AD67" i="2"/>
  <c r="Q89" i="2"/>
  <c r="H89" i="2"/>
  <c r="AC23" i="2"/>
  <c r="G64" i="2"/>
  <c r="F89" i="2"/>
  <c r="Q64" i="2"/>
  <c r="G89" i="2"/>
  <c r="D64" i="2"/>
  <c r="L64" i="2"/>
  <c r="R89" i="2"/>
  <c r="AD23" i="2"/>
  <c r="O64" i="2"/>
  <c r="AD22" i="2"/>
  <c r="E64" i="2"/>
  <c r="M64" i="2"/>
  <c r="F64" i="2"/>
  <c r="N64" i="2"/>
  <c r="Z89" i="2"/>
  <c r="AD89" i="2"/>
  <c r="L89" i="2"/>
  <c r="L11" i="2"/>
  <c r="B9" i="2"/>
  <c r="AE11" i="2" l="1"/>
  <c r="AE14" i="2" s="1"/>
  <c r="AE16" i="2" s="1"/>
  <c r="AF6" i="2"/>
  <c r="AF11" i="2" s="1"/>
  <c r="M22" i="5"/>
  <c r="L22" i="5"/>
  <c r="N21" i="5"/>
  <c r="N11" i="5"/>
  <c r="O20" i="5"/>
  <c r="O6" i="5"/>
  <c r="P4" i="5"/>
  <c r="K22" i="5"/>
  <c r="K14" i="5"/>
  <c r="J11" i="5"/>
  <c r="J21" i="5"/>
  <c r="AB23" i="2"/>
  <c r="AB67" i="2"/>
  <c r="L14" i="2"/>
  <c r="L16" i="2" s="1"/>
  <c r="L18" i="2" s="1"/>
  <c r="L67" i="2"/>
  <c r="AE23" i="2"/>
  <c r="L23" i="2"/>
  <c r="AG6" i="2" l="1"/>
  <c r="AE18" i="2"/>
  <c r="D5" i="3"/>
  <c r="AF22" i="2"/>
  <c r="AG20" i="2"/>
  <c r="P20" i="5"/>
  <c r="P6" i="5"/>
  <c r="Q4" i="5"/>
  <c r="O11" i="5"/>
  <c r="O21" i="5"/>
  <c r="N14" i="5"/>
  <c r="N15" i="5" s="1"/>
  <c r="N16" i="5" s="1"/>
  <c r="N18" i="5" s="1"/>
  <c r="N22" i="5"/>
  <c r="K15" i="5"/>
  <c r="K16" i="5" s="1"/>
  <c r="J14" i="5"/>
  <c r="J22" i="5"/>
  <c r="AH6" i="2" l="1"/>
  <c r="AG22" i="2"/>
  <c r="AG11" i="2"/>
  <c r="AF23" i="2"/>
  <c r="AF14" i="2"/>
  <c r="AH20" i="2"/>
  <c r="O14" i="5"/>
  <c r="O15" i="5" s="1"/>
  <c r="O16" i="5" s="1"/>
  <c r="O18" i="5" s="1"/>
  <c r="O22" i="5"/>
  <c r="Q6" i="5"/>
  <c r="R4" i="5"/>
  <c r="Q20" i="5"/>
  <c r="P11" i="5"/>
  <c r="P21" i="5"/>
  <c r="K18" i="5"/>
  <c r="J15" i="5"/>
  <c r="J16" i="5" s="1"/>
  <c r="J18" i="5" s="1"/>
  <c r="E5" i="3" l="1"/>
  <c r="AF15" i="2"/>
  <c r="AF16" i="2" s="1"/>
  <c r="AH11" i="2"/>
  <c r="AH22" i="2"/>
  <c r="AI20" i="2"/>
  <c r="AI6" i="2"/>
  <c r="AG14" i="2"/>
  <c r="AG23" i="2"/>
  <c r="Q11" i="5"/>
  <c r="Q21" i="5"/>
  <c r="R20" i="5"/>
  <c r="S4" i="5"/>
  <c r="R6" i="5"/>
  <c r="P14" i="5"/>
  <c r="P15" i="5" s="1"/>
  <c r="P16" i="5" s="1"/>
  <c r="P22" i="5"/>
  <c r="F5" i="3" l="1"/>
  <c r="AI22" i="2"/>
  <c r="AI11" i="2"/>
  <c r="AJ6" i="2"/>
  <c r="AJ20" i="2"/>
  <c r="AH23" i="2"/>
  <c r="AH14" i="2"/>
  <c r="AF18" i="2"/>
  <c r="AG15" i="2"/>
  <c r="AG16" i="2" s="1"/>
  <c r="AG18" i="2" s="1"/>
  <c r="P18" i="5"/>
  <c r="S6" i="5"/>
  <c r="S20" i="5"/>
  <c r="R11" i="5"/>
  <c r="R21" i="5"/>
  <c r="Q14" i="5"/>
  <c r="Q22" i="5"/>
  <c r="E6" i="3" l="1"/>
  <c r="D6" i="3"/>
  <c r="AH15" i="2"/>
  <c r="AH16" i="2" s="1"/>
  <c r="AH18" i="2" s="1"/>
  <c r="AK20" i="2"/>
  <c r="AK6" i="2"/>
  <c r="AJ22" i="2"/>
  <c r="AJ11" i="2"/>
  <c r="AI23" i="2"/>
  <c r="AI14" i="2"/>
  <c r="AI15" i="2" s="1"/>
  <c r="AI16" i="2" s="1"/>
  <c r="AI18" i="2" s="1"/>
  <c r="Q15" i="5"/>
  <c r="Q16" i="5"/>
  <c r="R14" i="5"/>
  <c r="R15" i="5" s="1"/>
  <c r="R16" i="5" s="1"/>
  <c r="R18" i="5" s="1"/>
  <c r="R22" i="5"/>
  <c r="S21" i="5"/>
  <c r="S11" i="5"/>
  <c r="F6" i="3" l="1"/>
  <c r="AK22" i="2"/>
  <c r="AK11" i="2"/>
  <c r="AL20" i="2"/>
  <c r="AL6" i="2"/>
  <c r="AJ23" i="2"/>
  <c r="AJ14" i="2"/>
  <c r="AJ15" i="2" s="1"/>
  <c r="AJ16" i="2" s="1"/>
  <c r="AJ18" i="2" s="1"/>
  <c r="S22" i="5"/>
  <c r="S14" i="5"/>
  <c r="S15" i="5" s="1"/>
  <c r="S16" i="5" s="1"/>
  <c r="Q18" i="5"/>
  <c r="AM6" i="2" l="1"/>
  <c r="AL22" i="2"/>
  <c r="AL11" i="2"/>
  <c r="AM20" i="2"/>
  <c r="AK14" i="2"/>
  <c r="AK15" i="2" s="1"/>
  <c r="AK16" i="2" s="1"/>
  <c r="AK23" i="2"/>
  <c r="T16" i="5"/>
  <c r="S18" i="5"/>
  <c r="AK18" i="2" l="1"/>
  <c r="AM11" i="2"/>
  <c r="AM22" i="2"/>
  <c r="AN20" i="2"/>
  <c r="AN6" i="2"/>
  <c r="AL14" i="2"/>
  <c r="AL15" i="2" s="1"/>
  <c r="AL16" i="2" s="1"/>
  <c r="AL18" i="2" s="1"/>
  <c r="AL23" i="2"/>
  <c r="U16" i="5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AM23" i="2" l="1"/>
  <c r="AM14" i="2"/>
  <c r="AM15" i="2" s="1"/>
  <c r="AM16" i="2" s="1"/>
  <c r="AM18" i="2" s="1"/>
  <c r="AN22" i="2"/>
  <c r="AN11" i="2"/>
  <c r="V21" i="5"/>
  <c r="V23" i="5" s="1"/>
  <c r="V24" i="5" s="1"/>
  <c r="A6" i="5" s="1"/>
  <c r="AN14" i="2" l="1"/>
  <c r="AN15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AN23" i="2"/>
  <c r="AN18" i="2" l="1"/>
  <c r="AQ21" i="2"/>
  <c r="AQ23" i="2" s="1"/>
  <c r="AQ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tc={A1DE763A-DEFC-DC4C-950D-5273C9077E33}</author>
    <author>tc={11AA9603-14E5-C641-8DBE-ECCCCBBB328F}</author>
    <author>tc={A1DE14F8-BD69-9F49-8CD2-623B4E407075}</author>
  </authors>
  <commentList>
    <comment ref="T3" authorId="0" shapeId="0" xr:uid="{A1DE763A-DEFC-DC4C-950D-5273C9077E3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Vanskelig comp y/y grunnet bra vær og outlet. Forventer at DACH fortsatt i svakt Q4 25/26</t>
      </text>
    </comment>
    <comment ref="Y83" authorId="1" shapeId="0" xr:uid="{11AA9603-14E5-C641-8DBE-ECCCCBBB328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New issue 1,38</t>
      </text>
    </comment>
    <comment ref="Z83" authorId="2" shapeId="0" xr:uid="{A1DE14F8-BD69-9F49-8CD2-623B4E40707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New issue </t>
      </text>
    </comment>
  </commentList>
</comments>
</file>

<file path=xl/sharedStrings.xml><?xml version="1.0" encoding="utf-8"?>
<sst xmlns="http://schemas.openxmlformats.org/spreadsheetml/2006/main" count="299" uniqueCount="165">
  <si>
    <t>Kapitalstruktur</t>
  </si>
  <si>
    <t>Price</t>
  </si>
  <si>
    <t>S/O</t>
  </si>
  <si>
    <t>EV/EBIT</t>
  </si>
  <si>
    <t>P/E</t>
  </si>
  <si>
    <t>Revenue y/y</t>
  </si>
  <si>
    <t>EBIT margin</t>
  </si>
  <si>
    <t>Nedside</t>
  </si>
  <si>
    <t>Gross margin</t>
  </si>
  <si>
    <t>ROE</t>
  </si>
  <si>
    <t>SEKm</t>
  </si>
  <si>
    <t>MC SEKm</t>
  </si>
  <si>
    <t>Cash SEKm</t>
  </si>
  <si>
    <t>Debt SEKm</t>
  </si>
  <si>
    <t>EV SEKm</t>
  </si>
  <si>
    <t>Balanse SEKm</t>
  </si>
  <si>
    <t>Revenue</t>
  </si>
  <si>
    <t>Goods for resale</t>
  </si>
  <si>
    <t>Gross profit</t>
  </si>
  <si>
    <t>Other external expenses</t>
  </si>
  <si>
    <t>Personnel expenses</t>
  </si>
  <si>
    <t>D/A</t>
  </si>
  <si>
    <t>Operating profit (EBIT)</t>
  </si>
  <si>
    <t>Fincial income</t>
  </si>
  <si>
    <t>Financial expense</t>
  </si>
  <si>
    <t>PTP</t>
  </si>
  <si>
    <t>Tax</t>
  </si>
  <si>
    <t>Net income</t>
  </si>
  <si>
    <t>Shares</t>
  </si>
  <si>
    <t>EPS</t>
  </si>
  <si>
    <t>Other operating expenses</t>
  </si>
  <si>
    <t>Q4 25/26</t>
  </si>
  <si>
    <t>Capitalised expenditure for dev work</t>
  </si>
  <si>
    <t>Trademark</t>
  </si>
  <si>
    <t>Goodwill</t>
  </si>
  <si>
    <t>Other intangible assets</t>
  </si>
  <si>
    <t>Expenditures on thir-party property</t>
  </si>
  <si>
    <t>Equipment, tools and installations</t>
  </si>
  <si>
    <t>Right of use assets</t>
  </si>
  <si>
    <t>Deferred tax assets</t>
  </si>
  <si>
    <t>Goods in warehouse</t>
  </si>
  <si>
    <t>Goods in transit</t>
  </si>
  <si>
    <t>Right of return assets</t>
  </si>
  <si>
    <t>Accounts receivables</t>
  </si>
  <si>
    <t>Current tax assets</t>
  </si>
  <si>
    <t>Other current receivables</t>
  </si>
  <si>
    <t>Prepaid expenses and accrued income</t>
  </si>
  <si>
    <t>Cash</t>
  </si>
  <si>
    <t>Total assets</t>
  </si>
  <si>
    <t>Share capital</t>
  </si>
  <si>
    <t>Other contributed capital</t>
  </si>
  <si>
    <t>Reserves</t>
  </si>
  <si>
    <t>Retained earnings</t>
  </si>
  <si>
    <t>Profit for the period</t>
  </si>
  <si>
    <t>Total equity</t>
  </si>
  <si>
    <t>Lease liabilities</t>
  </si>
  <si>
    <t>Deferred tax liabilities</t>
  </si>
  <si>
    <t>Other long-term liabilities</t>
  </si>
  <si>
    <t>Current lease</t>
  </si>
  <si>
    <t>Accounts payable</t>
  </si>
  <si>
    <t>Other current liabilities</t>
  </si>
  <si>
    <t>Repayment liabilities</t>
  </si>
  <si>
    <t>Prepaid income and accrued expense</t>
  </si>
  <si>
    <t>Total debt</t>
  </si>
  <si>
    <t>Total E/D</t>
  </si>
  <si>
    <t xml:space="preserve">Cash flow SEKm </t>
  </si>
  <si>
    <t>Model OP</t>
  </si>
  <si>
    <t>Reported OP</t>
  </si>
  <si>
    <t>Other non-cash</t>
  </si>
  <si>
    <t>Interest received</t>
  </si>
  <si>
    <t>Interest paid</t>
  </si>
  <si>
    <t>Paid income tax</t>
  </si>
  <si>
    <t>WC</t>
  </si>
  <si>
    <t>CFFO</t>
  </si>
  <si>
    <t>Capex</t>
  </si>
  <si>
    <t>CFFI</t>
  </si>
  <si>
    <t>Amortistion of lease</t>
  </si>
  <si>
    <t>Fees related to borrowings</t>
  </si>
  <si>
    <t>Buybacks</t>
  </si>
  <si>
    <t>Warrents</t>
  </si>
  <si>
    <t>CFFF</t>
  </si>
  <si>
    <t>FX</t>
  </si>
  <si>
    <t>CIC</t>
  </si>
  <si>
    <t>FCF</t>
  </si>
  <si>
    <t>FY 24/25</t>
  </si>
  <si>
    <t>FY 25/26</t>
  </si>
  <si>
    <t>FY 23/24</t>
  </si>
  <si>
    <t>FY 22/23</t>
  </si>
  <si>
    <t>FY 21/22</t>
  </si>
  <si>
    <t>FY 20/21</t>
  </si>
  <si>
    <t>FY 19/20</t>
  </si>
  <si>
    <t>FY 26/27</t>
  </si>
  <si>
    <t>FY 27/28</t>
  </si>
  <si>
    <t>FY 28/29</t>
  </si>
  <si>
    <t>FY 29/30</t>
  </si>
  <si>
    <t>FY 30/31</t>
  </si>
  <si>
    <t>FY 31/32</t>
  </si>
  <si>
    <t>FY 32/33</t>
  </si>
  <si>
    <t>FY 33/34</t>
  </si>
  <si>
    <t>FY 34/35</t>
  </si>
  <si>
    <t>Dividends</t>
  </si>
  <si>
    <t>Q3 25/26</t>
  </si>
  <si>
    <t>Q2 25/26</t>
  </si>
  <si>
    <t>Q1 25/26</t>
  </si>
  <si>
    <t>Q4 24/25</t>
  </si>
  <si>
    <t>Q3 24/25</t>
  </si>
  <si>
    <t>Q2 24/25</t>
  </si>
  <si>
    <t>Q1 24/25</t>
  </si>
  <si>
    <t>Q4 23/24</t>
  </si>
  <si>
    <t>Q3 23/24</t>
  </si>
  <si>
    <t>TV</t>
  </si>
  <si>
    <t>Disocunt</t>
  </si>
  <si>
    <t>NPV</t>
  </si>
  <si>
    <t>NPV/Share</t>
  </si>
  <si>
    <t>Opp/nedside</t>
  </si>
  <si>
    <t>Apr-Jun</t>
  </si>
  <si>
    <t>Q2 23/24</t>
  </si>
  <si>
    <t>Q1 23/24</t>
  </si>
  <si>
    <t>Q4 22/23</t>
  </si>
  <si>
    <t>Q3 22/23</t>
  </si>
  <si>
    <t>Averange order value (AOV)</t>
  </si>
  <si>
    <t>Organic growth</t>
  </si>
  <si>
    <t>Jan-Mar</t>
  </si>
  <si>
    <t>Oct-Dec</t>
  </si>
  <si>
    <t>Q2 22/23</t>
  </si>
  <si>
    <t>Q1 22/23</t>
  </si>
  <si>
    <t>Other long-term assets</t>
  </si>
  <si>
    <t>Jul-Sep</t>
  </si>
  <si>
    <t>25/26</t>
  </si>
  <si>
    <t>26/27</t>
  </si>
  <si>
    <t>27/28</t>
  </si>
  <si>
    <t>D2C = Direct to consumer</t>
  </si>
  <si>
    <t>Selger direkte til sine kunder uten fordyrende mellomledd som sportsbutikker</t>
  </si>
  <si>
    <t>Har produksjon i Asia</t>
  </si>
  <si>
    <t>Selger til:</t>
  </si>
  <si>
    <t>Nordics</t>
  </si>
  <si>
    <t>DACH</t>
  </si>
  <si>
    <t>Rest of world</t>
  </si>
  <si>
    <t>DACH: Deutchsland, Austria, Confoederatio Helvetica (Sveits)</t>
  </si>
  <si>
    <t>Sales/Region</t>
  </si>
  <si>
    <t>y/y</t>
  </si>
  <si>
    <t>y/y Local curr</t>
  </si>
  <si>
    <t>y/y Local Curr</t>
  </si>
  <si>
    <t>RoW</t>
  </si>
  <si>
    <t>22/23</t>
  </si>
  <si>
    <t>24/25</t>
  </si>
  <si>
    <t>23/24</t>
  </si>
  <si>
    <t>Nullvekst og dårligste marginer</t>
  </si>
  <si>
    <t>Press releases:</t>
  </si>
  <si>
    <t>08.07.26: RVRC gjør sitt første oppkjøp som er av ICANIWILL. Prisen er 700 SEKm i tillegg til earn-out påm 175 SEKm 100SEKm knyttet til 26 EBIT og 75 SEKm knyttet til 27 EBIT. EV/EBIT 9,5, 7,8 hvis earn outs blir oppnådd</t>
  </si>
  <si>
    <t>Q1 26/27</t>
  </si>
  <si>
    <t>Q2 26/27</t>
  </si>
  <si>
    <t>Q3 26/27</t>
  </si>
  <si>
    <t>Q4 26/27</t>
  </si>
  <si>
    <t>Tax liabilities</t>
  </si>
  <si>
    <t>28/29</t>
  </si>
  <si>
    <t>Germany</t>
  </si>
  <si>
    <t>Sweden</t>
  </si>
  <si>
    <t>Other</t>
  </si>
  <si>
    <t>19 unike webshops som gir en lokal følelse, disse nettbutikkene er tilpasset ulike markeder</t>
  </si>
  <si>
    <t>3PL = tredjepartslogistikk: RVRC leier inn profesjonelle logistikkselskaper til å drifte lagrene sine i stedet for å drifte de selv som gir fleksibilitet. RVRC har sitt i Stocholm</t>
  </si>
  <si>
    <t xml:space="preserve">ICIW har prudksjon i Asia, shippes til varehuset i Borås, Sverige som opereres av en 3 part veldig likt RVRC allerede har. </t>
  </si>
  <si>
    <t>18.08.26: RVRC åpner sin første butikk i Tyskland i Oberhausen</t>
  </si>
  <si>
    <t>19.08.26: Største aksjonær og grunder Nyrensten flytter aksjene sine til Wealins, et forsikringsselskap i Luxemburg,</t>
  </si>
  <si>
    <t>26.08.26: ICIWL åpner første pioner butikk i Helsinki som er et viktig marked for selskapet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</si>
</sst>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/>
    <xf numFmtId="2" fontId="2" fillId="0" borderId="1" xfId="0" applyNumberFormat="1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165" fontId="2" fillId="0" borderId="1" xfId="0" applyNumberFormat="1" applyFont="1" applyBorder="1"/>
    <xf numFmtId="2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3" fontId="1" fillId="0" borderId="1" xfId="0" applyNumberFormat="1" applyFont="1" applyBorder="1"/>
    <xf numFmtId="10" fontId="1" fillId="0" borderId="1" xfId="0" applyNumberFormat="1" applyFont="1" applyBorder="1"/>
    <xf numFmtId="10" fontId="2" fillId="0" borderId="1" xfId="0" applyNumberFormat="1" applyFont="1" applyBorder="1"/>
    <xf numFmtId="0" fontId="2" fillId="0" borderId="2" xfId="0" applyFont="1" applyBorder="1"/>
    <xf numFmtId="9" fontId="2" fillId="0" borderId="0" xfId="0" applyNumberFormat="1" applyFont="1"/>
    <xf numFmtId="8" fontId="2" fillId="0" borderId="2" xfId="0" applyNumberFormat="1" applyFont="1" applyBorder="1"/>
    <xf numFmtId="164" fontId="2" fillId="0" borderId="2" xfId="0" applyNumberFormat="1" applyFont="1" applyBorder="1"/>
    <xf numFmtId="3" fontId="4" fillId="0" borderId="0" xfId="0" applyNumberFormat="1" applyFont="1"/>
    <xf numFmtId="0" fontId="0" fillId="0" borderId="3" xfId="0" applyBorder="1"/>
    <xf numFmtId="0" fontId="5" fillId="0" borderId="3" xfId="0" applyFont="1" applyBorder="1"/>
    <xf numFmtId="165" fontId="6" fillId="0" borderId="3" xfId="0" applyNumberFormat="1" applyFont="1" applyBorder="1"/>
    <xf numFmtId="10" fontId="4" fillId="0" borderId="0" xfId="0" applyNumberFormat="1" applyFont="1"/>
    <xf numFmtId="10" fontId="4" fillId="0" borderId="4" xfId="0" applyNumberFormat="1" applyFont="1" applyBorder="1"/>
    <xf numFmtId="0" fontId="1" fillId="0" borderId="6" xfId="0" applyFont="1" applyBorder="1" applyAlignment="1">
      <alignment horizontal="right"/>
    </xf>
    <xf numFmtId="10" fontId="3" fillId="0" borderId="6" xfId="0" applyNumberFormat="1" applyFont="1" applyBorder="1"/>
    <xf numFmtId="10" fontId="3" fillId="0" borderId="5" xfId="0" applyNumberFormat="1" applyFont="1" applyBorder="1"/>
    <xf numFmtId="0" fontId="1" fillId="0" borderId="5" xfId="0" applyFont="1" applyBorder="1"/>
    <xf numFmtId="2" fontId="1" fillId="0" borderId="0" xfId="0" applyNumberFormat="1" applyFont="1"/>
    <xf numFmtId="1" fontId="2" fillId="0" borderId="0" xfId="0" applyNumberFormat="1" applyFont="1"/>
    <xf numFmtId="3" fontId="1" fillId="0" borderId="6" xfId="0" applyNumberFormat="1" applyFont="1" applyBorder="1"/>
    <xf numFmtId="166" fontId="2" fillId="0" borderId="1" xfId="0" applyNumberFormat="1" applyFont="1" applyBorder="1"/>
    <xf numFmtId="166" fontId="2" fillId="0" borderId="0" xfId="0" applyNumberFormat="1" applyFont="1"/>
    <xf numFmtId="166" fontId="1" fillId="0" borderId="0" xfId="0" applyNumberFormat="1" applyFont="1"/>
    <xf numFmtId="0" fontId="1" fillId="0" borderId="1" xfId="0" applyFont="1" applyBorder="1"/>
    <xf numFmtId="0" fontId="4" fillId="0" borderId="1" xfId="0" applyFont="1" applyBorder="1"/>
    <xf numFmtId="10" fontId="1" fillId="0" borderId="5" xfId="0" applyNumberFormat="1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65" fontId="2" fillId="0" borderId="0" xfId="0" applyNumberFormat="1" applyFont="1" applyBorder="1"/>
    <xf numFmtId="2" fontId="2" fillId="0" borderId="0" xfId="0" applyNumberFormat="1" applyFont="1" applyBorder="1"/>
    <xf numFmtId="0" fontId="2" fillId="0" borderId="0" xfId="0" applyFont="1" applyBorder="1"/>
    <xf numFmtId="10" fontId="1" fillId="0" borderId="0" xfId="0" applyNumberFormat="1" applyFont="1" applyBorder="1"/>
    <xf numFmtId="10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660400</xdr:colOff>
      <xdr:row>0</xdr:row>
      <xdr:rowOff>76200</xdr:rowOff>
    </xdr:from>
    <xdr:to>
      <xdr:col>18</xdr:col>
      <xdr:colOff>574938</xdr:colOff>
      <xdr:row>19</xdr:row>
      <xdr:rowOff>177800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FBEAACAE-3AAA-FB45-6604-61E3BBB0C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00" y="76200"/>
          <a:ext cx="6518538" cy="4686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10</xdr:col>
      <xdr:colOff>651634</xdr:colOff>
      <xdr:row>20</xdr:row>
      <xdr:rowOff>152400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446C130-B688-2F3D-9B9B-0D060D818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9516234" cy="4978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139700</xdr:rowOff>
    </xdr:from>
    <xdr:to>
      <xdr:col>10</xdr:col>
      <xdr:colOff>637742</xdr:colOff>
      <xdr:row>38</xdr:row>
      <xdr:rowOff>228600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D5A55F0D-D935-075F-6C9A-CF976DD69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4965700"/>
          <a:ext cx="9502342" cy="443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5E0B227-A678-264F-B2FC-43EFA611CDE0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3" dT="2026-08-20T11:44:59.00" personId="{E5E0B227-A678-264F-B2FC-43EFA611CDE0}" id="{A1DE763A-DEFC-DC4C-950D-5273C9077E33}">
    <text>Vanskelig comp y/y grunnet bra vær og outlet. Forventer at DACH fortsatt i svakt Q4 25/26</text>
  </threadedComment>
  <threadedComment ref="Y83" dT="2026-01-05T15:59:17.92" personId="{E5E0B227-A678-264F-B2FC-43EFA611CDE0}" id="{11AA9603-14E5-C641-8DBE-ECCCCBBB328F}">
    <text>New issue 1,38</text>
  </threadedComment>
  <threadedComment ref="Z83" dT="2026-01-05T15:58:17.02" personId="{E5E0B227-A678-264F-B2FC-43EFA611CDE0}" id="{A1DE14F8-BD69-9F49-8CD2-623B4E407075}">
    <text xml:space="preserve">New issue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DF3E1EB-91BB-024D-B961-C65E16C9DDD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be9651d-2004-4c2d-88df-da1c177fabc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61"/>
  <sheetViews>
    <sheetView showGridLines="0" zoomScaleNormal="100" workbookViewId="0">
      <selection activeCell="O30" sqref="O30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  <row r="42" spans="1:1" x14ac:dyDescent="0.25">
      <c r="A42" s="2" t="s">
        <v>131</v>
      </c>
    </row>
    <row r="43" spans="1:1" x14ac:dyDescent="0.25">
      <c r="A43" s="2" t="s">
        <v>132</v>
      </c>
    </row>
    <row r="45" spans="1:1" x14ac:dyDescent="0.25">
      <c r="A45" s="2" t="s">
        <v>159</v>
      </c>
    </row>
    <row r="46" spans="1:1" x14ac:dyDescent="0.25">
      <c r="A46" s="2" t="s">
        <v>160</v>
      </c>
    </row>
    <row r="48" spans="1:1" x14ac:dyDescent="0.25">
      <c r="A48" s="2" t="s">
        <v>133</v>
      </c>
    </row>
    <row r="49" spans="1:1" x14ac:dyDescent="0.25">
      <c r="A49" s="2" t="s">
        <v>161</v>
      </c>
    </row>
    <row r="51" spans="1:1" x14ac:dyDescent="0.25">
      <c r="A51" s="1" t="s">
        <v>134</v>
      </c>
    </row>
    <row r="52" spans="1:1" x14ac:dyDescent="0.25">
      <c r="A52" s="2" t="s">
        <v>135</v>
      </c>
    </row>
    <row r="53" spans="1:1" x14ac:dyDescent="0.25">
      <c r="A53" s="2" t="s">
        <v>138</v>
      </c>
    </row>
    <row r="54" spans="1:1" x14ac:dyDescent="0.25">
      <c r="A54" s="2" t="s">
        <v>137</v>
      </c>
    </row>
    <row r="57" spans="1:1" x14ac:dyDescent="0.25">
      <c r="A57" s="1" t="s">
        <v>148</v>
      </c>
    </row>
    <row r="58" spans="1:1" x14ac:dyDescent="0.25">
      <c r="A58" s="2" t="s">
        <v>164</v>
      </c>
    </row>
    <row r="59" spans="1:1" x14ac:dyDescent="0.25">
      <c r="A59" s="2" t="s">
        <v>163</v>
      </c>
    </row>
    <row r="60" spans="1:1" x14ac:dyDescent="0.25">
      <c r="A60" s="2" t="s">
        <v>162</v>
      </c>
    </row>
    <row r="61" spans="1:1" x14ac:dyDescent="0.25">
      <c r="A61" s="2" t="s">
        <v>149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K125"/>
  <sheetViews>
    <sheetView showGridLines="0" tabSelected="1" workbookViewId="0">
      <pane xSplit="3" ySplit="3" topLeftCell="P4" activePane="bottomRight" state="frozen"/>
      <selection pane="topRight" activeCell="D1" sqref="D1"/>
      <selection pane="bottomLeft" activeCell="A4" sqref="A4"/>
      <selection pane="bottomRight" activeCell="U10" sqref="U10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37.1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9" width="11.33203125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1" width="10.83203125" style="2"/>
    <col min="32" max="32" width="10.83203125" style="3"/>
    <col min="33" max="41" width="10.83203125" style="2"/>
    <col min="42" max="42" width="14.1640625" style="2" bestFit="1" customWidth="1"/>
    <col min="43" max="43" width="14.83203125" style="2" customWidth="1"/>
    <col min="44" max="16384" width="10.83203125" style="2"/>
  </cols>
  <sheetData>
    <row r="1" spans="1:141" x14ac:dyDescent="0.25">
      <c r="D1" s="4" t="s">
        <v>127</v>
      </c>
      <c r="E1" s="4" t="s">
        <v>123</v>
      </c>
      <c r="F1" s="4" t="s">
        <v>122</v>
      </c>
      <c r="G1" s="4" t="s">
        <v>115</v>
      </c>
      <c r="H1" s="4" t="s">
        <v>127</v>
      </c>
      <c r="I1" s="4" t="s">
        <v>123</v>
      </c>
      <c r="J1" s="4" t="s">
        <v>122</v>
      </c>
      <c r="K1" s="4" t="s">
        <v>115</v>
      </c>
      <c r="L1" s="4" t="s">
        <v>127</v>
      </c>
      <c r="M1" s="4" t="s">
        <v>123</v>
      </c>
      <c r="N1" s="4" t="s">
        <v>122</v>
      </c>
      <c r="O1" s="4" t="s">
        <v>115</v>
      </c>
      <c r="P1" s="4" t="s">
        <v>127</v>
      </c>
      <c r="Q1" s="4" t="s">
        <v>123</v>
      </c>
      <c r="R1" s="4" t="s">
        <v>122</v>
      </c>
      <c r="S1" s="4" t="s">
        <v>115</v>
      </c>
      <c r="T1" s="4" t="s">
        <v>127</v>
      </c>
      <c r="U1" s="4" t="s">
        <v>123</v>
      </c>
      <c r="V1" s="4" t="s">
        <v>122</v>
      </c>
      <c r="W1" s="4" t="s">
        <v>115</v>
      </c>
      <c r="AD1" s="1"/>
    </row>
    <row r="3" spans="1:141" x14ac:dyDescent="0.25">
      <c r="A3" s="1" t="s">
        <v>0</v>
      </c>
      <c r="C3" s="2" t="s">
        <v>10</v>
      </c>
      <c r="D3" s="4" t="s">
        <v>125</v>
      </c>
      <c r="E3" s="4" t="s">
        <v>124</v>
      </c>
      <c r="F3" s="4" t="s">
        <v>119</v>
      </c>
      <c r="G3" s="4" t="s">
        <v>118</v>
      </c>
      <c r="H3" s="4" t="s">
        <v>117</v>
      </c>
      <c r="I3" s="4" t="s">
        <v>116</v>
      </c>
      <c r="J3" s="4" t="s">
        <v>109</v>
      </c>
      <c r="K3" s="4" t="s">
        <v>108</v>
      </c>
      <c r="L3" s="4" t="s">
        <v>107</v>
      </c>
      <c r="M3" s="4" t="s">
        <v>106</v>
      </c>
      <c r="N3" s="4" t="s">
        <v>105</v>
      </c>
      <c r="O3" s="4" t="s">
        <v>104</v>
      </c>
      <c r="P3" s="4" t="s">
        <v>103</v>
      </c>
      <c r="Q3" s="4" t="s">
        <v>102</v>
      </c>
      <c r="R3" s="4" t="s">
        <v>101</v>
      </c>
      <c r="S3" s="4" t="s">
        <v>31</v>
      </c>
      <c r="T3" s="4" t="s">
        <v>150</v>
      </c>
      <c r="U3" s="4" t="s">
        <v>151</v>
      </c>
      <c r="V3" s="4" t="s">
        <v>152</v>
      </c>
      <c r="W3" s="4" t="s">
        <v>153</v>
      </c>
      <c r="X3" s="4"/>
      <c r="Y3" s="4" t="s">
        <v>90</v>
      </c>
      <c r="Z3" s="4" t="s">
        <v>89</v>
      </c>
      <c r="AA3" s="4" t="s">
        <v>88</v>
      </c>
      <c r="AB3" s="4" t="s">
        <v>87</v>
      </c>
      <c r="AC3" s="4" t="s">
        <v>86</v>
      </c>
      <c r="AD3" s="4" t="s">
        <v>84</v>
      </c>
      <c r="AE3" s="4" t="s">
        <v>85</v>
      </c>
      <c r="AF3" s="5" t="s">
        <v>91</v>
      </c>
      <c r="AG3" s="4" t="s">
        <v>92</v>
      </c>
      <c r="AH3" s="4" t="s">
        <v>93</v>
      </c>
      <c r="AI3" s="4" t="s">
        <v>94</v>
      </c>
      <c r="AJ3" s="4" t="s">
        <v>95</v>
      </c>
      <c r="AK3" s="4" t="s">
        <v>96</v>
      </c>
      <c r="AL3" s="4" t="s">
        <v>97</v>
      </c>
      <c r="AM3" s="4" t="s">
        <v>98</v>
      </c>
      <c r="AN3" s="4" t="s">
        <v>99</v>
      </c>
    </row>
    <row r="4" spans="1:141" x14ac:dyDescent="0.25">
      <c r="A4" s="2" t="s">
        <v>1</v>
      </c>
      <c r="B4" s="3">
        <v>51.35</v>
      </c>
      <c r="C4" s="1" t="s">
        <v>16</v>
      </c>
      <c r="D4" s="1">
        <v>287</v>
      </c>
      <c r="E4" s="1">
        <v>509</v>
      </c>
      <c r="F4" s="1">
        <v>414</v>
      </c>
      <c r="G4" s="1">
        <v>362</v>
      </c>
      <c r="H4" s="1">
        <v>342</v>
      </c>
      <c r="I4" s="1">
        <v>613</v>
      </c>
      <c r="J4" s="1">
        <v>484</v>
      </c>
      <c r="K4" s="1">
        <v>407</v>
      </c>
      <c r="L4" s="1">
        <v>350</v>
      </c>
      <c r="M4" s="1">
        <v>689</v>
      </c>
      <c r="N4" s="1">
        <v>486</v>
      </c>
      <c r="O4" s="1">
        <v>405</v>
      </c>
      <c r="P4" s="1">
        <v>392</v>
      </c>
      <c r="Q4" s="1">
        <v>726</v>
      </c>
      <c r="R4" s="1">
        <v>487</v>
      </c>
      <c r="S4" s="1">
        <v>414</v>
      </c>
      <c r="T4" s="1"/>
      <c r="U4" s="1"/>
      <c r="V4" s="1"/>
      <c r="X4" s="17"/>
      <c r="Y4" s="17">
        <v>387.50700000000001</v>
      </c>
      <c r="Z4" s="17">
        <v>912.73500000000001</v>
      </c>
      <c r="AA4" s="17">
        <v>1356</v>
      </c>
      <c r="AB4" s="17">
        <v>1562</v>
      </c>
      <c r="AC4" s="17">
        <v>1842</v>
      </c>
      <c r="AD4" s="17">
        <v>1925</v>
      </c>
      <c r="AE4" s="17">
        <v>2019</v>
      </c>
      <c r="AF4" s="19">
        <f>AE4*1.37</f>
        <v>2766.03</v>
      </c>
      <c r="AG4" s="17">
        <f>AF4*1.08</f>
        <v>2987.3124000000003</v>
      </c>
      <c r="AH4" s="17">
        <f>AG4*1.08</f>
        <v>3226.2973920000004</v>
      </c>
      <c r="AI4" s="17">
        <f t="shared" ref="AI4:AN4" si="0">AH4*1.08</f>
        <v>3484.4011833600007</v>
      </c>
      <c r="AJ4" s="17">
        <f t="shared" si="0"/>
        <v>3763.1532780288012</v>
      </c>
      <c r="AK4" s="17">
        <f t="shared" si="0"/>
        <v>4064.2055402711057</v>
      </c>
      <c r="AL4" s="17">
        <f t="shared" si="0"/>
        <v>4389.3419834927945</v>
      </c>
      <c r="AM4" s="17">
        <f t="shared" si="0"/>
        <v>4740.4893421722181</v>
      </c>
      <c r="AN4" s="17">
        <f t="shared" si="0"/>
        <v>5119.7284895459961</v>
      </c>
    </row>
    <row r="5" spans="1:141" x14ac:dyDescent="0.25">
      <c r="A5" s="2" t="s">
        <v>2</v>
      </c>
      <c r="B5" s="12">
        <v>105.75545</v>
      </c>
      <c r="C5" s="2" t="s">
        <v>17</v>
      </c>
      <c r="D5" s="2">
        <v>-79</v>
      </c>
      <c r="E5" s="2">
        <v>-149</v>
      </c>
      <c r="F5" s="2">
        <v>-113</v>
      </c>
      <c r="G5" s="2">
        <v>-92</v>
      </c>
      <c r="H5" s="2">
        <v>-95</v>
      </c>
      <c r="I5" s="2">
        <v>-183</v>
      </c>
      <c r="J5" s="2">
        <v>-136</v>
      </c>
      <c r="K5" s="2">
        <v>-114</v>
      </c>
      <c r="L5" s="2">
        <v>-105</v>
      </c>
      <c r="M5" s="2">
        <v>-203</v>
      </c>
      <c r="N5" s="2">
        <v>-149</v>
      </c>
      <c r="O5" s="2">
        <v>-124</v>
      </c>
      <c r="P5" s="2">
        <v>-119</v>
      </c>
      <c r="Q5" s="2">
        <v>-219</v>
      </c>
      <c r="R5" s="2">
        <v>-141</v>
      </c>
      <c r="S5" s="2">
        <v>-115</v>
      </c>
      <c r="X5" s="18"/>
      <c r="Y5" s="18">
        <v>-115.72</v>
      </c>
      <c r="Z5" s="18">
        <v>-248.804</v>
      </c>
      <c r="AA5" s="18">
        <v>-369</v>
      </c>
      <c r="AB5" s="18">
        <v>-434</v>
      </c>
      <c r="AC5" s="18">
        <v>-528</v>
      </c>
      <c r="AD5" s="18">
        <v>-581</v>
      </c>
      <c r="AE5" s="18">
        <v>-594</v>
      </c>
      <c r="AF5" s="9">
        <f>AF4*-0.3</f>
        <v>-829.80900000000008</v>
      </c>
      <c r="AG5" s="18">
        <f t="shared" ref="AG5:AN5" si="1">AG4*-0.3</f>
        <v>-896.1937200000001</v>
      </c>
      <c r="AH5" s="18">
        <f t="shared" si="1"/>
        <v>-967.88921760000005</v>
      </c>
      <c r="AI5" s="18">
        <f t="shared" si="1"/>
        <v>-1045.3203550080002</v>
      </c>
      <c r="AJ5" s="18">
        <f t="shared" si="1"/>
        <v>-1128.9459834086404</v>
      </c>
      <c r="AK5" s="18">
        <f t="shared" si="1"/>
        <v>-1219.2616620813317</v>
      </c>
      <c r="AL5" s="18">
        <f t="shared" si="1"/>
        <v>-1316.8025950478384</v>
      </c>
      <c r="AM5" s="18">
        <f t="shared" si="1"/>
        <v>-1422.1468026516654</v>
      </c>
      <c r="AN5" s="18">
        <f t="shared" si="1"/>
        <v>-1535.9185468637988</v>
      </c>
    </row>
    <row r="6" spans="1:141" x14ac:dyDescent="0.25">
      <c r="A6" s="2" t="s">
        <v>11</v>
      </c>
      <c r="B6" s="10">
        <f>B4*B5</f>
        <v>5430.5423574999995</v>
      </c>
      <c r="C6" s="2" t="s">
        <v>18</v>
      </c>
      <c r="D6" s="2">
        <f t="shared" ref="D6:P6" si="2">SUM(D4:D5)</f>
        <v>208</v>
      </c>
      <c r="E6" s="2">
        <f t="shared" si="2"/>
        <v>360</v>
      </c>
      <c r="F6" s="2">
        <f t="shared" si="2"/>
        <v>301</v>
      </c>
      <c r="G6" s="2">
        <f t="shared" si="2"/>
        <v>270</v>
      </c>
      <c r="H6" s="2">
        <f t="shared" si="2"/>
        <v>247</v>
      </c>
      <c r="I6" s="2">
        <f t="shared" si="2"/>
        <v>430</v>
      </c>
      <c r="J6" s="2">
        <f t="shared" si="2"/>
        <v>348</v>
      </c>
      <c r="K6" s="2">
        <f t="shared" si="2"/>
        <v>293</v>
      </c>
      <c r="L6" s="2">
        <f t="shared" si="2"/>
        <v>245</v>
      </c>
      <c r="M6" s="2">
        <f t="shared" si="2"/>
        <v>486</v>
      </c>
      <c r="N6" s="2">
        <f t="shared" si="2"/>
        <v>337</v>
      </c>
      <c r="O6" s="2">
        <f t="shared" si="2"/>
        <v>281</v>
      </c>
      <c r="P6" s="2">
        <f t="shared" si="2"/>
        <v>273</v>
      </c>
      <c r="Q6" s="2">
        <f t="shared" ref="Q6:R6" si="3">SUM(Q4:Q5)</f>
        <v>507</v>
      </c>
      <c r="R6" s="2">
        <f t="shared" si="3"/>
        <v>346</v>
      </c>
      <c r="S6" s="2">
        <f t="shared" ref="S6" si="4">SUM(S4:S5)</f>
        <v>299</v>
      </c>
      <c r="X6" s="18"/>
      <c r="Y6" s="18">
        <f t="shared" ref="Y6:AD6" si="5">SUM(Y4:Y5)</f>
        <v>271.78700000000003</v>
      </c>
      <c r="Z6" s="18">
        <f t="shared" si="5"/>
        <v>663.93100000000004</v>
      </c>
      <c r="AA6" s="18">
        <f t="shared" si="5"/>
        <v>987</v>
      </c>
      <c r="AB6" s="18">
        <f t="shared" si="5"/>
        <v>1128</v>
      </c>
      <c r="AC6" s="18">
        <f t="shared" si="5"/>
        <v>1314</v>
      </c>
      <c r="AD6" s="18">
        <f t="shared" si="5"/>
        <v>1344</v>
      </c>
      <c r="AE6" s="18">
        <f t="shared" ref="AE6:AN6" si="6">SUM(AE4:AE5)</f>
        <v>1425</v>
      </c>
      <c r="AF6" s="9">
        <f t="shared" si="6"/>
        <v>1936.221</v>
      </c>
      <c r="AG6" s="18">
        <f t="shared" si="6"/>
        <v>2091.11868</v>
      </c>
      <c r="AH6" s="18">
        <f t="shared" si="6"/>
        <v>2258.4081744000005</v>
      </c>
      <c r="AI6" s="18">
        <f t="shared" si="6"/>
        <v>2439.0808283520005</v>
      </c>
      <c r="AJ6" s="18">
        <f t="shared" si="6"/>
        <v>2634.2072946201606</v>
      </c>
      <c r="AK6" s="18">
        <f t="shared" si="6"/>
        <v>2844.9438781897743</v>
      </c>
      <c r="AL6" s="18">
        <f t="shared" si="6"/>
        <v>3072.5393884449559</v>
      </c>
      <c r="AM6" s="18">
        <f t="shared" si="6"/>
        <v>3318.3425395205527</v>
      </c>
      <c r="AN6" s="18">
        <f t="shared" si="6"/>
        <v>3583.8099426821973</v>
      </c>
    </row>
    <row r="7" spans="1:141" x14ac:dyDescent="0.25">
      <c r="A7" s="2" t="s">
        <v>12</v>
      </c>
      <c r="B7" s="10">
        <f>R46</f>
        <v>368</v>
      </c>
      <c r="C7" s="2" t="s">
        <v>19</v>
      </c>
      <c r="D7" s="2">
        <v>-136</v>
      </c>
      <c r="E7" s="2">
        <v>-207</v>
      </c>
      <c r="F7" s="2">
        <v>-186</v>
      </c>
      <c r="G7" s="2">
        <v>-174</v>
      </c>
      <c r="H7" s="2">
        <v>-154</v>
      </c>
      <c r="I7" s="2">
        <v>-252</v>
      </c>
      <c r="J7" s="2">
        <v>-216</v>
      </c>
      <c r="K7" s="2">
        <v>-185</v>
      </c>
      <c r="L7" s="2">
        <v>-158</v>
      </c>
      <c r="M7" s="2">
        <v>-290</v>
      </c>
      <c r="N7" s="2">
        <v>-200</v>
      </c>
      <c r="O7" s="2">
        <v>-183</v>
      </c>
      <c r="P7" s="2">
        <v>-169</v>
      </c>
      <c r="Q7" s="2">
        <v>-287</v>
      </c>
      <c r="R7" s="2">
        <v>-204</v>
      </c>
      <c r="S7" s="2">
        <v>-191</v>
      </c>
      <c r="X7" s="18"/>
      <c r="Y7" s="18">
        <v>-156.999</v>
      </c>
      <c r="Z7" s="18">
        <v>-363.697</v>
      </c>
      <c r="AA7" s="18">
        <v>-539</v>
      </c>
      <c r="AB7" s="18">
        <v>-701</v>
      </c>
      <c r="AC7" s="18">
        <v>-805</v>
      </c>
      <c r="AD7" s="18">
        <v>-831</v>
      </c>
      <c r="AE7" s="18">
        <v>-851</v>
      </c>
      <c r="AF7" s="9">
        <f>AE7*1.42</f>
        <v>-1208.4199999999998</v>
      </c>
      <c r="AG7" s="18">
        <f>AF7*1.065</f>
        <v>-1286.9672999999998</v>
      </c>
      <c r="AH7" s="18">
        <f t="shared" ref="AH7:AN7" si="7">AG7*1.065</f>
        <v>-1370.6201744999996</v>
      </c>
      <c r="AI7" s="18">
        <f t="shared" si="7"/>
        <v>-1459.7104858424996</v>
      </c>
      <c r="AJ7" s="18">
        <f t="shared" si="7"/>
        <v>-1554.5916674222619</v>
      </c>
      <c r="AK7" s="18">
        <f t="shared" si="7"/>
        <v>-1655.640125804709</v>
      </c>
      <c r="AL7" s="18">
        <f t="shared" si="7"/>
        <v>-1763.256733982015</v>
      </c>
      <c r="AM7" s="18">
        <f t="shared" si="7"/>
        <v>-1877.8684216908459</v>
      </c>
      <c r="AN7" s="18">
        <f t="shared" si="7"/>
        <v>-1999.9298691007509</v>
      </c>
    </row>
    <row r="8" spans="1:141" x14ac:dyDescent="0.25">
      <c r="A8" s="2" t="s">
        <v>13</v>
      </c>
      <c r="B8" s="10">
        <v>0</v>
      </c>
      <c r="C8" s="2" t="s">
        <v>20</v>
      </c>
      <c r="D8" s="2">
        <v>-21</v>
      </c>
      <c r="E8" s="2">
        <v>-41</v>
      </c>
      <c r="F8" s="2">
        <v>-22</v>
      </c>
      <c r="G8" s="2">
        <v>-25</v>
      </c>
      <c r="H8" s="2">
        <v>-24</v>
      </c>
      <c r="I8" s="2">
        <v>-31</v>
      </c>
      <c r="J8" s="2">
        <v>-28</v>
      </c>
      <c r="K8" s="2">
        <v>-31</v>
      </c>
      <c r="L8" s="2">
        <v>-25</v>
      </c>
      <c r="M8" s="2">
        <v>-36</v>
      </c>
      <c r="N8" s="2">
        <v>-51</v>
      </c>
      <c r="O8" s="2">
        <v>-31</v>
      </c>
      <c r="P8" s="2">
        <v>-27</v>
      </c>
      <c r="Q8" s="2">
        <v>-38</v>
      </c>
      <c r="R8" s="2">
        <v>-35</v>
      </c>
      <c r="S8" s="2">
        <v>-38</v>
      </c>
      <c r="X8" s="18"/>
      <c r="Y8" s="18">
        <v>-29.635000000000002</v>
      </c>
      <c r="Z8" s="18">
        <v>-48.594999999999999</v>
      </c>
      <c r="AA8" s="18">
        <v>-77</v>
      </c>
      <c r="AB8" s="18">
        <v>-110</v>
      </c>
      <c r="AC8" s="18">
        <v>-114</v>
      </c>
      <c r="AD8" s="18">
        <v>-143</v>
      </c>
      <c r="AE8" s="18">
        <v>-138</v>
      </c>
      <c r="AF8" s="9">
        <f t="shared" ref="AF8:AF10" si="8">AE8*1.42</f>
        <v>-195.95999999999998</v>
      </c>
      <c r="AG8" s="18">
        <f t="shared" ref="AG8:AN10" si="9">AF8*1.055</f>
        <v>-206.73779999999996</v>
      </c>
      <c r="AH8" s="18">
        <f t="shared" si="9"/>
        <v>-218.10837899999996</v>
      </c>
      <c r="AI8" s="18">
        <f t="shared" si="9"/>
        <v>-230.10433984499994</v>
      </c>
      <c r="AJ8" s="18">
        <f t="shared" si="9"/>
        <v>-242.76007853647494</v>
      </c>
      <c r="AK8" s="18">
        <f t="shared" si="9"/>
        <v>-256.11188285598104</v>
      </c>
      <c r="AL8" s="18">
        <f t="shared" si="9"/>
        <v>-270.19803641305998</v>
      </c>
      <c r="AM8" s="18">
        <f t="shared" si="9"/>
        <v>-285.05892841577827</v>
      </c>
      <c r="AN8" s="18">
        <f t="shared" si="9"/>
        <v>-300.73716947864608</v>
      </c>
    </row>
    <row r="9" spans="1:141" x14ac:dyDescent="0.25">
      <c r="A9" s="6" t="s">
        <v>14</v>
      </c>
      <c r="B9" s="11">
        <f>B6-B7+B8</f>
        <v>5062.5423574999995</v>
      </c>
      <c r="C9" s="2" t="s">
        <v>21</v>
      </c>
      <c r="D9" s="2">
        <v>-1</v>
      </c>
      <c r="E9" s="2">
        <v>-2</v>
      </c>
      <c r="F9" s="2">
        <v>-2</v>
      </c>
      <c r="G9" s="2">
        <v>-2</v>
      </c>
      <c r="H9" s="2">
        <v>-2</v>
      </c>
      <c r="I9" s="2">
        <v>-2</v>
      </c>
      <c r="J9" s="2">
        <v>-2</v>
      </c>
      <c r="K9" s="2">
        <v>-2</v>
      </c>
      <c r="L9" s="2">
        <v>-2</v>
      </c>
      <c r="M9" s="2">
        <v>-2</v>
      </c>
      <c r="N9" s="2">
        <v>-2</v>
      </c>
      <c r="O9" s="2">
        <v>-2</v>
      </c>
      <c r="P9" s="2">
        <v>-3</v>
      </c>
      <c r="Q9" s="2">
        <v>-3</v>
      </c>
      <c r="R9" s="2">
        <v>-3</v>
      </c>
      <c r="S9" s="2">
        <v>-3</v>
      </c>
      <c r="X9" s="18"/>
      <c r="Y9" s="18">
        <v>-1.982</v>
      </c>
      <c r="Z9" s="18">
        <v>-3.871</v>
      </c>
      <c r="AA9" s="18">
        <v>-5</v>
      </c>
      <c r="AB9" s="18">
        <v>-7</v>
      </c>
      <c r="AC9" s="18">
        <v>-9</v>
      </c>
      <c r="AD9" s="18">
        <v>-9</v>
      </c>
      <c r="AE9" s="18">
        <v>-12</v>
      </c>
      <c r="AF9" s="9">
        <f t="shared" si="8"/>
        <v>-17.04</v>
      </c>
      <c r="AG9" s="18">
        <f t="shared" si="9"/>
        <v>-17.977199999999996</v>
      </c>
      <c r="AH9" s="18">
        <f t="shared" si="9"/>
        <v>-18.965945999999995</v>
      </c>
      <c r="AI9" s="18">
        <f t="shared" si="9"/>
        <v>-20.009073029999993</v>
      </c>
      <c r="AJ9" s="18">
        <f t="shared" si="9"/>
        <v>-21.109572046649991</v>
      </c>
      <c r="AK9" s="18">
        <f t="shared" si="9"/>
        <v>-22.270598509215738</v>
      </c>
      <c r="AL9" s="18">
        <f t="shared" si="9"/>
        <v>-23.4954814272226</v>
      </c>
      <c r="AM9" s="18">
        <f t="shared" si="9"/>
        <v>-24.787732905719842</v>
      </c>
      <c r="AN9" s="18">
        <f t="shared" si="9"/>
        <v>-26.151058215534434</v>
      </c>
    </row>
    <row r="10" spans="1:141" s="1" customFormat="1" x14ac:dyDescent="0.25">
      <c r="A10" s="2"/>
      <c r="B10" s="3"/>
      <c r="C10" s="2" t="s">
        <v>30</v>
      </c>
      <c r="D10" s="2">
        <v>0</v>
      </c>
      <c r="E10" s="2">
        <v>-5</v>
      </c>
      <c r="F10" s="2">
        <v>-4</v>
      </c>
      <c r="G10" s="2">
        <v>-1</v>
      </c>
      <c r="H10" s="2">
        <v>0</v>
      </c>
      <c r="I10" s="2">
        <v>-2</v>
      </c>
      <c r="J10" s="2">
        <v>0</v>
      </c>
      <c r="K10" s="2">
        <v>-1</v>
      </c>
      <c r="L10" s="2">
        <v>-3</v>
      </c>
      <c r="M10" s="2">
        <v>0</v>
      </c>
      <c r="N10" s="2">
        <v>-4</v>
      </c>
      <c r="O10" s="2">
        <v>-2</v>
      </c>
      <c r="P10" s="2">
        <v>0</v>
      </c>
      <c r="Q10" s="2">
        <v>-1</v>
      </c>
      <c r="R10" s="2">
        <v>0</v>
      </c>
      <c r="S10" s="2">
        <v>-1</v>
      </c>
      <c r="T10" s="2"/>
      <c r="U10" s="2"/>
      <c r="V10" s="2"/>
      <c r="W10" s="2"/>
      <c r="X10" s="17"/>
      <c r="Y10" s="18">
        <v>0</v>
      </c>
      <c r="Z10" s="18">
        <v>-17.3</v>
      </c>
      <c r="AA10" s="18">
        <v>0</v>
      </c>
      <c r="AB10" s="18">
        <v>0</v>
      </c>
      <c r="AC10" s="18">
        <v>0</v>
      </c>
      <c r="AD10" s="18">
        <v>-4</v>
      </c>
      <c r="AE10" s="18">
        <v>-2</v>
      </c>
      <c r="AF10" s="9">
        <f t="shared" si="8"/>
        <v>-2.84</v>
      </c>
      <c r="AG10" s="18">
        <f t="shared" si="9"/>
        <v>-2.9961999999999995</v>
      </c>
      <c r="AH10" s="18">
        <f t="shared" si="9"/>
        <v>-3.1609909999999992</v>
      </c>
      <c r="AI10" s="18">
        <f t="shared" si="9"/>
        <v>-3.3348455049999988</v>
      </c>
      <c r="AJ10" s="18">
        <f t="shared" si="9"/>
        <v>-3.5182620077749984</v>
      </c>
      <c r="AK10" s="18">
        <f t="shared" si="9"/>
        <v>-3.7117664182026231</v>
      </c>
      <c r="AL10" s="18">
        <f t="shared" si="9"/>
        <v>-3.9159135712037672</v>
      </c>
      <c r="AM10" s="18">
        <f t="shared" si="9"/>
        <v>-4.131288817619974</v>
      </c>
      <c r="AN10" s="18">
        <f t="shared" si="9"/>
        <v>-4.358509702589072</v>
      </c>
    </row>
    <row r="11" spans="1:141" x14ac:dyDescent="0.25">
      <c r="C11" s="1" t="s">
        <v>22</v>
      </c>
      <c r="D11" s="1">
        <f t="shared" ref="D11:P11" si="10">SUM(D6:D10)</f>
        <v>50</v>
      </c>
      <c r="E11" s="1">
        <f t="shared" si="10"/>
        <v>105</v>
      </c>
      <c r="F11" s="1">
        <f t="shared" si="10"/>
        <v>87</v>
      </c>
      <c r="G11" s="1">
        <f t="shared" si="10"/>
        <v>68</v>
      </c>
      <c r="H11" s="1">
        <f t="shared" si="10"/>
        <v>67</v>
      </c>
      <c r="I11" s="1">
        <f t="shared" si="10"/>
        <v>143</v>
      </c>
      <c r="J11" s="1">
        <f t="shared" si="10"/>
        <v>102</v>
      </c>
      <c r="K11" s="1">
        <f t="shared" si="10"/>
        <v>74</v>
      </c>
      <c r="L11" s="1">
        <f t="shared" si="10"/>
        <v>57</v>
      </c>
      <c r="M11" s="1">
        <f t="shared" si="10"/>
        <v>158</v>
      </c>
      <c r="N11" s="1">
        <f t="shared" si="10"/>
        <v>80</v>
      </c>
      <c r="O11" s="1">
        <f t="shared" si="10"/>
        <v>63</v>
      </c>
      <c r="P11" s="1">
        <f t="shared" si="10"/>
        <v>74</v>
      </c>
      <c r="Q11" s="1">
        <f t="shared" ref="Q11:R11" si="11">SUM(Q6:Q10)</f>
        <v>178</v>
      </c>
      <c r="R11" s="1">
        <f t="shared" si="11"/>
        <v>104</v>
      </c>
      <c r="S11" s="1">
        <f t="shared" ref="S11" si="12">SUM(S6:S10)</f>
        <v>66</v>
      </c>
      <c r="T11" s="1"/>
      <c r="U11" s="1"/>
      <c r="V11" s="1"/>
      <c r="X11" s="18"/>
      <c r="Y11" s="17">
        <f t="shared" ref="Y11:AD11" si="13">SUM(Y6:Y10)</f>
        <v>83.171000000000035</v>
      </c>
      <c r="Z11" s="17">
        <f t="shared" si="13"/>
        <v>230.46800000000002</v>
      </c>
      <c r="AA11" s="17">
        <f t="shared" si="13"/>
        <v>366</v>
      </c>
      <c r="AB11" s="17">
        <f t="shared" si="13"/>
        <v>310</v>
      </c>
      <c r="AC11" s="17">
        <f t="shared" si="13"/>
        <v>386</v>
      </c>
      <c r="AD11" s="17">
        <f t="shared" si="13"/>
        <v>357</v>
      </c>
      <c r="AE11" s="17">
        <f t="shared" ref="AE11:AN11" si="14">SUM(AE6:AE10)</f>
        <v>422</v>
      </c>
      <c r="AF11" s="19">
        <f t="shared" si="14"/>
        <v>511.96100000000018</v>
      </c>
      <c r="AG11" s="17">
        <f t="shared" si="14"/>
        <v>576.44018000000017</v>
      </c>
      <c r="AH11" s="17">
        <f t="shared" si="14"/>
        <v>647.55268390000083</v>
      </c>
      <c r="AI11" s="17">
        <f t="shared" si="14"/>
        <v>725.92208412950106</v>
      </c>
      <c r="AJ11" s="17">
        <f t="shared" si="14"/>
        <v>812.2277146069988</v>
      </c>
      <c r="AK11" s="17">
        <f t="shared" si="14"/>
        <v>907.20950460166591</v>
      </c>
      <c r="AL11" s="17">
        <f t="shared" si="14"/>
        <v>1011.6732230514546</v>
      </c>
      <c r="AM11" s="17">
        <f t="shared" si="14"/>
        <v>1126.4961676905889</v>
      </c>
      <c r="AN11" s="17">
        <f t="shared" si="14"/>
        <v>1252.6333361846766</v>
      </c>
    </row>
    <row r="12" spans="1:141" x14ac:dyDescent="0.25">
      <c r="C12" s="2" t="s">
        <v>23</v>
      </c>
      <c r="D12" s="2">
        <v>0</v>
      </c>
      <c r="E12" s="2">
        <v>0</v>
      </c>
      <c r="F12" s="2">
        <v>0</v>
      </c>
      <c r="G12" s="2">
        <v>1</v>
      </c>
      <c r="H12" s="2">
        <v>1</v>
      </c>
      <c r="I12" s="2">
        <v>2</v>
      </c>
      <c r="J12" s="2">
        <v>2</v>
      </c>
      <c r="K12" s="2">
        <v>2</v>
      </c>
      <c r="L12" s="2">
        <v>2</v>
      </c>
      <c r="M12" s="2">
        <v>1</v>
      </c>
      <c r="N12" s="2">
        <v>0</v>
      </c>
      <c r="O12" s="2">
        <v>1</v>
      </c>
      <c r="P12" s="2">
        <v>0</v>
      </c>
      <c r="Q12" s="2">
        <v>1</v>
      </c>
      <c r="R12" s="2">
        <v>1</v>
      </c>
      <c r="S12" s="2">
        <v>1</v>
      </c>
      <c r="X12" s="17"/>
      <c r="Y12" s="18">
        <v>0</v>
      </c>
      <c r="Z12" s="18">
        <v>0</v>
      </c>
      <c r="AA12" s="18">
        <v>0</v>
      </c>
      <c r="AB12" s="18">
        <v>1</v>
      </c>
      <c r="AC12" s="18">
        <v>8</v>
      </c>
      <c r="AD12" s="18">
        <v>4</v>
      </c>
      <c r="AE12" s="18">
        <v>3</v>
      </c>
      <c r="AF12" s="9">
        <v>0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</row>
    <row r="13" spans="1:141" x14ac:dyDescent="0.25">
      <c r="C13" s="2" t="s">
        <v>24</v>
      </c>
      <c r="D13" s="2">
        <v>-1</v>
      </c>
      <c r="E13" s="2">
        <v>-2</v>
      </c>
      <c r="F13" s="2">
        <v>-2</v>
      </c>
      <c r="G13" s="2">
        <v>-1</v>
      </c>
      <c r="H13" s="2">
        <v>-1</v>
      </c>
      <c r="I13" s="2">
        <v>-1</v>
      </c>
      <c r="J13" s="2">
        <v>-1</v>
      </c>
      <c r="K13" s="2">
        <v>-1</v>
      </c>
      <c r="L13" s="2">
        <v>-1</v>
      </c>
      <c r="M13" s="2">
        <v>-1</v>
      </c>
      <c r="N13" s="2">
        <v>-1</v>
      </c>
      <c r="O13" s="2">
        <v>-1</v>
      </c>
      <c r="P13" s="2">
        <v>-1</v>
      </c>
      <c r="Q13" s="2">
        <v>-1</v>
      </c>
      <c r="R13" s="2">
        <v>-1</v>
      </c>
      <c r="S13" s="2">
        <v>-1</v>
      </c>
      <c r="X13" s="18"/>
      <c r="Y13" s="18">
        <v>-7</v>
      </c>
      <c r="Z13" s="18">
        <v>-12</v>
      </c>
      <c r="AA13" s="18">
        <v>-3</v>
      </c>
      <c r="AB13" s="18">
        <v>-5</v>
      </c>
      <c r="AC13" s="18">
        <v>-4</v>
      </c>
      <c r="AD13" s="18">
        <v>-4</v>
      </c>
      <c r="AE13" s="18">
        <v>-4</v>
      </c>
      <c r="AF13" s="9">
        <v>0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</row>
    <row r="14" spans="1:141" x14ac:dyDescent="0.25">
      <c r="C14" s="2" t="s">
        <v>25</v>
      </c>
      <c r="D14" s="2">
        <f t="shared" ref="D14:P14" si="15">SUM(D11:D13)</f>
        <v>49</v>
      </c>
      <c r="E14" s="2">
        <f t="shared" si="15"/>
        <v>103</v>
      </c>
      <c r="F14" s="2">
        <f t="shared" si="15"/>
        <v>85</v>
      </c>
      <c r="G14" s="2">
        <f t="shared" si="15"/>
        <v>68</v>
      </c>
      <c r="H14" s="2">
        <f t="shared" si="15"/>
        <v>67</v>
      </c>
      <c r="I14" s="2">
        <f t="shared" si="15"/>
        <v>144</v>
      </c>
      <c r="J14" s="2">
        <f t="shared" si="15"/>
        <v>103</v>
      </c>
      <c r="K14" s="2">
        <f t="shared" si="15"/>
        <v>75</v>
      </c>
      <c r="L14" s="2">
        <f t="shared" si="15"/>
        <v>58</v>
      </c>
      <c r="M14" s="2">
        <f t="shared" si="15"/>
        <v>158</v>
      </c>
      <c r="N14" s="2">
        <f t="shared" si="15"/>
        <v>79</v>
      </c>
      <c r="O14" s="2">
        <f t="shared" si="15"/>
        <v>63</v>
      </c>
      <c r="P14" s="2">
        <f t="shared" si="15"/>
        <v>73</v>
      </c>
      <c r="Q14" s="2">
        <f t="shared" ref="Q14:R14" si="16">SUM(Q11:Q13)</f>
        <v>178</v>
      </c>
      <c r="R14" s="2">
        <f t="shared" si="16"/>
        <v>104</v>
      </c>
      <c r="S14" s="2">
        <f t="shared" ref="S14" si="17">SUM(S11:S13)</f>
        <v>66</v>
      </c>
      <c r="X14" s="17"/>
      <c r="Y14" s="18">
        <f t="shared" ref="Y14:AD14" si="18">SUM(Y11:Y13)</f>
        <v>76.171000000000035</v>
      </c>
      <c r="Z14" s="18">
        <f t="shared" si="18"/>
        <v>218.46800000000002</v>
      </c>
      <c r="AA14" s="18">
        <f t="shared" si="18"/>
        <v>363</v>
      </c>
      <c r="AB14" s="18">
        <f t="shared" si="18"/>
        <v>306</v>
      </c>
      <c r="AC14" s="18">
        <f t="shared" si="18"/>
        <v>390</v>
      </c>
      <c r="AD14" s="18">
        <f t="shared" si="18"/>
        <v>357</v>
      </c>
      <c r="AE14" s="18">
        <f t="shared" ref="AE14:AN14" si="19">SUM(AE11:AE13)</f>
        <v>421</v>
      </c>
      <c r="AF14" s="9">
        <f t="shared" si="19"/>
        <v>511.96100000000018</v>
      </c>
      <c r="AG14" s="18">
        <f t="shared" si="19"/>
        <v>576.44018000000017</v>
      </c>
      <c r="AH14" s="18">
        <f t="shared" si="19"/>
        <v>647.55268390000083</v>
      </c>
      <c r="AI14" s="18">
        <f t="shared" si="19"/>
        <v>725.92208412950106</v>
      </c>
      <c r="AJ14" s="18">
        <f t="shared" si="19"/>
        <v>812.2277146069988</v>
      </c>
      <c r="AK14" s="18">
        <f t="shared" si="19"/>
        <v>907.20950460166591</v>
      </c>
      <c r="AL14" s="18">
        <f t="shared" si="19"/>
        <v>1011.6732230514546</v>
      </c>
      <c r="AM14" s="18">
        <f t="shared" si="19"/>
        <v>1126.4961676905889</v>
      </c>
      <c r="AN14" s="18">
        <f t="shared" si="19"/>
        <v>1252.6333361846766</v>
      </c>
    </row>
    <row r="15" spans="1:141" x14ac:dyDescent="0.25">
      <c r="C15" s="2" t="s">
        <v>26</v>
      </c>
      <c r="D15" s="2">
        <v>-10</v>
      </c>
      <c r="E15" s="2">
        <v>-21</v>
      </c>
      <c r="F15" s="2">
        <v>-18</v>
      </c>
      <c r="G15" s="2">
        <v>-14</v>
      </c>
      <c r="H15" s="2">
        <v>-14</v>
      </c>
      <c r="I15" s="2">
        <v>-30</v>
      </c>
      <c r="J15" s="2">
        <v>-22</v>
      </c>
      <c r="K15" s="2">
        <v>-15</v>
      </c>
      <c r="L15" s="2">
        <v>-12</v>
      </c>
      <c r="M15" s="2">
        <v>-33</v>
      </c>
      <c r="N15" s="2">
        <v>-17</v>
      </c>
      <c r="O15" s="2">
        <v>-12</v>
      </c>
      <c r="P15" s="2">
        <v>-16</v>
      </c>
      <c r="Q15" s="2">
        <v>-37</v>
      </c>
      <c r="R15" s="2">
        <v>-22</v>
      </c>
      <c r="S15" s="2">
        <v>-13</v>
      </c>
      <c r="X15" s="18"/>
      <c r="Y15" s="18">
        <v>-16.5</v>
      </c>
      <c r="Z15" s="18">
        <v>-46.835000000000001</v>
      </c>
      <c r="AA15" s="18">
        <v>-75</v>
      </c>
      <c r="AB15" s="18">
        <v>-63</v>
      </c>
      <c r="AC15" s="18">
        <v>-81</v>
      </c>
      <c r="AD15" s="18">
        <v>-74</v>
      </c>
      <c r="AE15" s="18">
        <v>-88</v>
      </c>
      <c r="AF15" s="9">
        <f t="shared" ref="AF15:AN15" si="20">AF14*-0.2</f>
        <v>-102.39220000000005</v>
      </c>
      <c r="AG15" s="18">
        <f t="shared" si="20"/>
        <v>-115.28803600000003</v>
      </c>
      <c r="AH15" s="18">
        <f t="shared" si="20"/>
        <v>-129.51053678000017</v>
      </c>
      <c r="AI15" s="18">
        <f t="shared" si="20"/>
        <v>-145.18441682590023</v>
      </c>
      <c r="AJ15" s="18">
        <f t="shared" si="20"/>
        <v>-162.44554292139978</v>
      </c>
      <c r="AK15" s="18">
        <f t="shared" si="20"/>
        <v>-181.44190092033318</v>
      </c>
      <c r="AL15" s="18">
        <f t="shared" si="20"/>
        <v>-202.33464461029092</v>
      </c>
      <c r="AM15" s="18">
        <f t="shared" si="20"/>
        <v>-225.29923353811779</v>
      </c>
      <c r="AN15" s="18">
        <f t="shared" si="20"/>
        <v>-250.52666723693534</v>
      </c>
    </row>
    <row r="16" spans="1:141" x14ac:dyDescent="0.25">
      <c r="C16" s="1" t="s">
        <v>27</v>
      </c>
      <c r="D16" s="1">
        <f t="shared" ref="D16:P16" si="21">SUM(D14:D15)</f>
        <v>39</v>
      </c>
      <c r="E16" s="1">
        <f t="shared" si="21"/>
        <v>82</v>
      </c>
      <c r="F16" s="1">
        <f t="shared" si="21"/>
        <v>67</v>
      </c>
      <c r="G16" s="1">
        <f t="shared" si="21"/>
        <v>54</v>
      </c>
      <c r="H16" s="1">
        <f t="shared" si="21"/>
        <v>53</v>
      </c>
      <c r="I16" s="1">
        <f t="shared" si="21"/>
        <v>114</v>
      </c>
      <c r="J16" s="1">
        <f t="shared" si="21"/>
        <v>81</v>
      </c>
      <c r="K16" s="1">
        <f t="shared" si="21"/>
        <v>60</v>
      </c>
      <c r="L16" s="1">
        <f t="shared" si="21"/>
        <v>46</v>
      </c>
      <c r="M16" s="1">
        <f t="shared" si="21"/>
        <v>125</v>
      </c>
      <c r="N16" s="1">
        <f t="shared" si="21"/>
        <v>62</v>
      </c>
      <c r="O16" s="1">
        <f t="shared" si="21"/>
        <v>51</v>
      </c>
      <c r="P16" s="1">
        <f t="shared" si="21"/>
        <v>57</v>
      </c>
      <c r="Q16" s="1">
        <f t="shared" ref="Q16:R16" si="22">SUM(Q14:Q15)</f>
        <v>141</v>
      </c>
      <c r="R16" s="1">
        <f t="shared" si="22"/>
        <v>82</v>
      </c>
      <c r="S16" s="1">
        <f t="shared" ref="S16" si="23">SUM(S14:S15)</f>
        <v>53</v>
      </c>
      <c r="T16" s="1"/>
      <c r="U16" s="1"/>
      <c r="V16" s="1"/>
      <c r="X16" s="18"/>
      <c r="Y16" s="17">
        <f t="shared" ref="Y16:AD16" si="24">SUM(Y14:Y15)</f>
        <v>59.671000000000035</v>
      </c>
      <c r="Z16" s="17">
        <f t="shared" si="24"/>
        <v>171.63300000000001</v>
      </c>
      <c r="AA16" s="17">
        <f t="shared" si="24"/>
        <v>288</v>
      </c>
      <c r="AB16" s="17">
        <f t="shared" si="24"/>
        <v>243</v>
      </c>
      <c r="AC16" s="17">
        <f t="shared" si="24"/>
        <v>309</v>
      </c>
      <c r="AD16" s="17">
        <f t="shared" si="24"/>
        <v>283</v>
      </c>
      <c r="AE16" s="17">
        <f t="shared" ref="AE16:AN16" si="25">SUM(AE14:AE15)</f>
        <v>333</v>
      </c>
      <c r="AF16" s="19">
        <f t="shared" si="25"/>
        <v>409.56880000000012</v>
      </c>
      <c r="AG16" s="17">
        <f t="shared" si="25"/>
        <v>461.15214400000013</v>
      </c>
      <c r="AH16" s="17">
        <f t="shared" si="25"/>
        <v>518.04214712000066</v>
      </c>
      <c r="AI16" s="17">
        <f t="shared" si="25"/>
        <v>580.7376673036008</v>
      </c>
      <c r="AJ16" s="17">
        <f t="shared" si="25"/>
        <v>649.782171685599</v>
      </c>
      <c r="AK16" s="17">
        <f t="shared" si="25"/>
        <v>725.76760368133273</v>
      </c>
      <c r="AL16" s="17">
        <f t="shared" si="25"/>
        <v>809.33857844116369</v>
      </c>
      <c r="AM16" s="17">
        <f t="shared" si="25"/>
        <v>901.19693415247116</v>
      </c>
      <c r="AN16" s="17">
        <f t="shared" si="25"/>
        <v>1002.1066689477414</v>
      </c>
      <c r="AO16" s="17">
        <f>AN16*(1+$AQ$20)</f>
        <v>992.08560225826398</v>
      </c>
      <c r="AP16" s="17">
        <f t="shared" ref="AP16:DA16" si="26">AO16*(1+$AQ$20)</f>
        <v>982.16474623568138</v>
      </c>
      <c r="AQ16" s="17">
        <f t="shared" si="26"/>
        <v>972.34309877332453</v>
      </c>
      <c r="AR16" s="17">
        <f t="shared" si="26"/>
        <v>962.61966778559122</v>
      </c>
      <c r="AS16" s="17">
        <f t="shared" si="26"/>
        <v>952.99347110773533</v>
      </c>
      <c r="AT16" s="17">
        <f t="shared" si="26"/>
        <v>943.46353639665801</v>
      </c>
      <c r="AU16" s="17">
        <f t="shared" si="26"/>
        <v>934.02890103269146</v>
      </c>
      <c r="AV16" s="17">
        <f t="shared" si="26"/>
        <v>924.68861202236451</v>
      </c>
      <c r="AW16" s="17">
        <f t="shared" si="26"/>
        <v>915.44172590214089</v>
      </c>
      <c r="AX16" s="17">
        <f t="shared" si="26"/>
        <v>906.28730864311945</v>
      </c>
      <c r="AY16" s="17">
        <f t="shared" si="26"/>
        <v>897.22443555668826</v>
      </c>
      <c r="AZ16" s="17">
        <f t="shared" si="26"/>
        <v>888.25219120112138</v>
      </c>
      <c r="BA16" s="17">
        <f t="shared" si="26"/>
        <v>879.36966928911011</v>
      </c>
      <c r="BB16" s="17">
        <f t="shared" si="26"/>
        <v>870.575972596219</v>
      </c>
      <c r="BC16" s="17">
        <f t="shared" si="26"/>
        <v>861.87021287025675</v>
      </c>
      <c r="BD16" s="17">
        <f t="shared" si="26"/>
        <v>853.25151074155417</v>
      </c>
      <c r="BE16" s="17">
        <f t="shared" si="26"/>
        <v>844.71899563413865</v>
      </c>
      <c r="BF16" s="17">
        <f t="shared" si="26"/>
        <v>836.27180567779726</v>
      </c>
      <c r="BG16" s="17">
        <f t="shared" si="26"/>
        <v>827.90908762101924</v>
      </c>
      <c r="BH16" s="17">
        <f t="shared" si="26"/>
        <v>819.62999674480909</v>
      </c>
      <c r="BI16" s="17">
        <f t="shared" si="26"/>
        <v>811.43369677736098</v>
      </c>
      <c r="BJ16" s="17">
        <f t="shared" si="26"/>
        <v>803.31935980958735</v>
      </c>
      <c r="BK16" s="17">
        <f t="shared" si="26"/>
        <v>795.28616621149149</v>
      </c>
      <c r="BL16" s="17">
        <f t="shared" si="26"/>
        <v>787.33330454937652</v>
      </c>
      <c r="BM16" s="17">
        <f t="shared" si="26"/>
        <v>779.4599715038828</v>
      </c>
      <c r="BN16" s="17">
        <f t="shared" si="26"/>
        <v>771.66537178884391</v>
      </c>
      <c r="BO16" s="17">
        <f t="shared" si="26"/>
        <v>763.94871807095547</v>
      </c>
      <c r="BP16" s="17">
        <f t="shared" si="26"/>
        <v>756.30923089024589</v>
      </c>
      <c r="BQ16" s="17">
        <f t="shared" si="26"/>
        <v>748.74613858134342</v>
      </c>
      <c r="BR16" s="17">
        <f t="shared" si="26"/>
        <v>741.25867719553003</v>
      </c>
      <c r="BS16" s="17">
        <f t="shared" si="26"/>
        <v>733.84609042357476</v>
      </c>
      <c r="BT16" s="17">
        <f t="shared" si="26"/>
        <v>726.50762951933905</v>
      </c>
      <c r="BU16" s="17">
        <f t="shared" si="26"/>
        <v>719.24255322414569</v>
      </c>
      <c r="BV16" s="17">
        <f t="shared" si="26"/>
        <v>712.05012769190421</v>
      </c>
      <c r="BW16" s="17">
        <f t="shared" si="26"/>
        <v>704.92962641498514</v>
      </c>
      <c r="BX16" s="17">
        <f t="shared" si="26"/>
        <v>697.88033015083533</v>
      </c>
      <c r="BY16" s="17">
        <f t="shared" si="26"/>
        <v>690.90152684932696</v>
      </c>
      <c r="BZ16" s="17">
        <f t="shared" si="26"/>
        <v>683.99251158083371</v>
      </c>
      <c r="CA16" s="17">
        <f t="shared" si="26"/>
        <v>677.15258646502537</v>
      </c>
      <c r="CB16" s="17">
        <f t="shared" si="26"/>
        <v>670.38106060037512</v>
      </c>
      <c r="CC16" s="17">
        <f t="shared" si="26"/>
        <v>663.67724999437132</v>
      </c>
      <c r="CD16" s="17">
        <f t="shared" si="26"/>
        <v>657.04047749442759</v>
      </c>
      <c r="CE16" s="17">
        <f t="shared" si="26"/>
        <v>650.47007271948326</v>
      </c>
      <c r="CF16" s="17">
        <f t="shared" si="26"/>
        <v>643.9653719922884</v>
      </c>
      <c r="CG16" s="17">
        <f t="shared" si="26"/>
        <v>637.52571827236545</v>
      </c>
      <c r="CH16" s="17">
        <f t="shared" si="26"/>
        <v>631.15046108964179</v>
      </c>
      <c r="CI16" s="17">
        <f t="shared" si="26"/>
        <v>624.83895647874533</v>
      </c>
      <c r="CJ16" s="17">
        <f t="shared" si="26"/>
        <v>618.5905669139579</v>
      </c>
      <c r="CK16" s="17">
        <f t="shared" si="26"/>
        <v>612.40466124481827</v>
      </c>
      <c r="CL16" s="17">
        <f t="shared" si="26"/>
        <v>606.28061463237009</v>
      </c>
      <c r="CM16" s="17">
        <f t="shared" si="26"/>
        <v>600.21780848604635</v>
      </c>
      <c r="CN16" s="17">
        <f t="shared" si="26"/>
        <v>594.21563040118588</v>
      </c>
      <c r="CO16" s="17">
        <f t="shared" si="26"/>
        <v>588.27347409717402</v>
      </c>
      <c r="CP16" s="17">
        <f t="shared" si="26"/>
        <v>582.39073935620229</v>
      </c>
      <c r="CQ16" s="17">
        <f t="shared" si="26"/>
        <v>576.56683196264021</v>
      </c>
      <c r="CR16" s="17">
        <f t="shared" si="26"/>
        <v>570.80116364301375</v>
      </c>
      <c r="CS16" s="17">
        <f t="shared" si="26"/>
        <v>565.09315200658364</v>
      </c>
      <c r="CT16" s="17">
        <f t="shared" si="26"/>
        <v>559.44222048651784</v>
      </c>
      <c r="CU16" s="17">
        <f t="shared" si="26"/>
        <v>553.84779828165267</v>
      </c>
      <c r="CV16" s="17">
        <f t="shared" si="26"/>
        <v>548.30932029883616</v>
      </c>
      <c r="CW16" s="17">
        <f t="shared" si="26"/>
        <v>542.8262270958478</v>
      </c>
      <c r="CX16" s="17">
        <f t="shared" si="26"/>
        <v>537.3979648248893</v>
      </c>
      <c r="CY16" s="17">
        <f t="shared" si="26"/>
        <v>532.02398517664039</v>
      </c>
      <c r="CZ16" s="17">
        <f t="shared" si="26"/>
        <v>526.70374532487403</v>
      </c>
      <c r="DA16" s="17">
        <f t="shared" si="26"/>
        <v>521.43670787162534</v>
      </c>
      <c r="DB16" s="17">
        <f t="shared" ref="DB16:EK16" si="27">DA16*(1+$AQ$20)</f>
        <v>516.22234079290911</v>
      </c>
      <c r="DC16" s="17">
        <f t="shared" si="27"/>
        <v>511.06011738498</v>
      </c>
      <c r="DD16" s="17">
        <f t="shared" si="27"/>
        <v>505.94951621113017</v>
      </c>
      <c r="DE16" s="17">
        <f t="shared" si="27"/>
        <v>500.89002104901886</v>
      </c>
      <c r="DF16" s="17">
        <f t="shared" si="27"/>
        <v>495.88112083852866</v>
      </c>
      <c r="DG16" s="17">
        <f t="shared" si="27"/>
        <v>490.92230963014339</v>
      </c>
      <c r="DH16" s="17">
        <f t="shared" si="27"/>
        <v>486.01308653384194</v>
      </c>
      <c r="DI16" s="17">
        <f t="shared" si="27"/>
        <v>481.15295566850352</v>
      </c>
      <c r="DJ16" s="17">
        <f t="shared" si="27"/>
        <v>476.34142611181846</v>
      </c>
      <c r="DK16" s="17">
        <f t="shared" si="27"/>
        <v>471.57801185070025</v>
      </c>
      <c r="DL16" s="17">
        <f t="shared" si="27"/>
        <v>466.86223173219327</v>
      </c>
      <c r="DM16" s="17">
        <f t="shared" si="27"/>
        <v>462.19360941487133</v>
      </c>
      <c r="DN16" s="17">
        <f t="shared" si="27"/>
        <v>457.5716733207226</v>
      </c>
      <c r="DO16" s="17">
        <f t="shared" si="27"/>
        <v>452.99595658751537</v>
      </c>
      <c r="DP16" s="17">
        <f t="shared" si="27"/>
        <v>448.46599702164019</v>
      </c>
      <c r="DQ16" s="17">
        <f t="shared" si="27"/>
        <v>443.98133705142379</v>
      </c>
      <c r="DR16" s="17">
        <f t="shared" si="27"/>
        <v>439.54152368090956</v>
      </c>
      <c r="DS16" s="17">
        <f t="shared" si="27"/>
        <v>435.14610844410049</v>
      </c>
      <c r="DT16" s="17">
        <f t="shared" si="27"/>
        <v>430.79464735965951</v>
      </c>
      <c r="DU16" s="17">
        <f t="shared" si="27"/>
        <v>426.48670088606292</v>
      </c>
      <c r="DV16" s="17">
        <f t="shared" si="27"/>
        <v>422.2218338772023</v>
      </c>
      <c r="DW16" s="17">
        <f t="shared" si="27"/>
        <v>417.99961553843025</v>
      </c>
      <c r="DX16" s="17">
        <f t="shared" si="27"/>
        <v>413.81961938304596</v>
      </c>
      <c r="DY16" s="17">
        <f t="shared" si="27"/>
        <v>409.68142318921548</v>
      </c>
      <c r="DZ16" s="17">
        <f t="shared" si="27"/>
        <v>405.58460895732333</v>
      </c>
      <c r="EA16" s="17">
        <f t="shared" si="27"/>
        <v>401.52876286775006</v>
      </c>
      <c r="EB16" s="17">
        <f t="shared" si="27"/>
        <v>397.51347523907253</v>
      </c>
      <c r="EC16" s="17">
        <f t="shared" si="27"/>
        <v>393.53834048668182</v>
      </c>
      <c r="ED16" s="17">
        <f t="shared" si="27"/>
        <v>389.60295708181502</v>
      </c>
      <c r="EE16" s="17">
        <f t="shared" si="27"/>
        <v>385.70692751099688</v>
      </c>
      <c r="EF16" s="17">
        <f t="shared" si="27"/>
        <v>381.84985823588693</v>
      </c>
      <c r="EG16" s="17">
        <f t="shared" si="27"/>
        <v>378.03135965352806</v>
      </c>
      <c r="EH16" s="17">
        <f t="shared" si="27"/>
        <v>374.25104605699278</v>
      </c>
      <c r="EI16" s="17">
        <f t="shared" si="27"/>
        <v>370.50853559642286</v>
      </c>
      <c r="EJ16" s="17">
        <f t="shared" si="27"/>
        <v>366.80345024045863</v>
      </c>
      <c r="EK16" s="17">
        <f t="shared" si="27"/>
        <v>363.13541573805406</v>
      </c>
    </row>
    <row r="17" spans="2:43" x14ac:dyDescent="0.25">
      <c r="C17" s="2" t="s">
        <v>28</v>
      </c>
      <c r="D17" s="14">
        <v>111.065657</v>
      </c>
      <c r="E17" s="14">
        <v>111.065657</v>
      </c>
      <c r="F17" s="14">
        <v>111.065657</v>
      </c>
      <c r="G17" s="14">
        <v>111.065657</v>
      </c>
      <c r="H17" s="14">
        <v>111.065657</v>
      </c>
      <c r="I17" s="14">
        <v>111.065657</v>
      </c>
      <c r="J17" s="14">
        <v>111.065657</v>
      </c>
      <c r="K17" s="14">
        <v>111.065657</v>
      </c>
      <c r="L17" s="14">
        <v>111.065657</v>
      </c>
      <c r="M17" s="14">
        <v>111.065657</v>
      </c>
      <c r="N17" s="14">
        <v>105.75545</v>
      </c>
      <c r="O17" s="14">
        <v>105.75545</v>
      </c>
      <c r="P17" s="14">
        <v>105.75545</v>
      </c>
      <c r="Q17" s="14">
        <v>105.75545</v>
      </c>
      <c r="R17" s="14">
        <v>105.75545</v>
      </c>
      <c r="S17" s="14">
        <v>105.75545</v>
      </c>
      <c r="Y17" s="14">
        <v>107.767</v>
      </c>
      <c r="Z17" s="14">
        <v>107.767</v>
      </c>
      <c r="AA17" s="14">
        <v>112.91891800000001</v>
      </c>
      <c r="AB17" s="14">
        <v>112.91891800000001</v>
      </c>
      <c r="AC17" s="14">
        <v>112.91891800000001</v>
      </c>
      <c r="AD17" s="14">
        <v>111.065657</v>
      </c>
      <c r="AE17" s="14">
        <v>105.75545</v>
      </c>
      <c r="AF17" s="12">
        <v>105.75545</v>
      </c>
      <c r="AG17" s="14">
        <v>105.75545</v>
      </c>
      <c r="AH17" s="14">
        <v>105.75545</v>
      </c>
      <c r="AI17" s="14">
        <v>105.75545</v>
      </c>
      <c r="AJ17" s="14">
        <v>105.75545</v>
      </c>
      <c r="AK17" s="14">
        <v>105.75545</v>
      </c>
      <c r="AL17" s="14">
        <v>105.75545</v>
      </c>
      <c r="AM17" s="14">
        <v>105.75545</v>
      </c>
      <c r="AN17" s="14">
        <v>105.75545</v>
      </c>
    </row>
    <row r="18" spans="2:43" x14ac:dyDescent="0.25">
      <c r="C18" s="2" t="s">
        <v>29</v>
      </c>
      <c r="D18" s="13">
        <f t="shared" ref="D18:P18" si="28">D16/D17</f>
        <v>0.35114364830165279</v>
      </c>
      <c r="E18" s="13">
        <f t="shared" si="28"/>
        <v>0.73830202976244941</v>
      </c>
      <c r="F18" s="13">
        <f t="shared" si="28"/>
        <v>0.60324678041565993</v>
      </c>
      <c r="G18" s="13">
        <f t="shared" si="28"/>
        <v>0.48619889764844232</v>
      </c>
      <c r="H18" s="13">
        <f t="shared" si="28"/>
        <v>0.47719521435865631</v>
      </c>
      <c r="I18" s="13">
        <f t="shared" si="28"/>
        <v>1.0264198950356005</v>
      </c>
      <c r="J18" s="13">
        <f t="shared" si="28"/>
        <v>0.72929834647266345</v>
      </c>
      <c r="K18" s="13">
        <f t="shared" si="28"/>
        <v>0.54022099738715812</v>
      </c>
      <c r="L18" s="13">
        <f t="shared" si="28"/>
        <v>0.41416943133015455</v>
      </c>
      <c r="M18" s="13">
        <f t="shared" si="28"/>
        <v>1.125460411223246</v>
      </c>
      <c r="N18" s="13">
        <f t="shared" si="28"/>
        <v>0.58625820229595738</v>
      </c>
      <c r="O18" s="13">
        <f t="shared" si="28"/>
        <v>0.48224465027570684</v>
      </c>
      <c r="P18" s="13">
        <f t="shared" si="28"/>
        <v>0.5389793150140253</v>
      </c>
      <c r="Q18" s="13">
        <f t="shared" ref="Q18:R18" si="29">Q16/Q17</f>
        <v>1.3332646213504837</v>
      </c>
      <c r="R18" s="13">
        <f t="shared" si="29"/>
        <v>0.77537375142368548</v>
      </c>
      <c r="S18" s="13">
        <f t="shared" ref="S18" si="30">S16/S17</f>
        <v>0.5011562051884797</v>
      </c>
      <c r="Y18" s="13">
        <f t="shared" ref="Y18:AD18" si="31">Y16/Y17</f>
        <v>0.55370382399064688</v>
      </c>
      <c r="Z18" s="13">
        <f t="shared" si="31"/>
        <v>1.5926303970603248</v>
      </c>
      <c r="AA18" s="13">
        <f t="shared" si="31"/>
        <v>2.5505026535943252</v>
      </c>
      <c r="AB18" s="13">
        <f t="shared" si="31"/>
        <v>2.1519866139702115</v>
      </c>
      <c r="AC18" s="13">
        <f t="shared" si="31"/>
        <v>2.7364768054189113</v>
      </c>
      <c r="AD18" s="13">
        <f t="shared" si="31"/>
        <v>2.5480423710094291</v>
      </c>
      <c r="AE18" s="13">
        <f t="shared" ref="AE18:AN18" si="32">AE16/AE17</f>
        <v>3.1487738929766742</v>
      </c>
      <c r="AF18" s="8">
        <f t="shared" si="32"/>
        <v>3.8727914258792349</v>
      </c>
      <c r="AG18" s="13">
        <f t="shared" si="32"/>
        <v>4.3605520471994605</v>
      </c>
      <c r="AH18" s="13">
        <f t="shared" si="32"/>
        <v>4.8984912561953138</v>
      </c>
      <c r="AI18" s="13">
        <f t="shared" si="32"/>
        <v>5.4913261425638193</v>
      </c>
      <c r="AJ18" s="13">
        <f t="shared" si="32"/>
        <v>6.1441956105864897</v>
      </c>
      <c r="AK18" s="13">
        <f t="shared" si="32"/>
        <v>6.8626969454655313</v>
      </c>
      <c r="AL18" s="13">
        <f t="shared" si="32"/>
        <v>7.6529254846077786</v>
      </c>
      <c r="AM18" s="13">
        <f t="shared" si="32"/>
        <v>8.5215176537234836</v>
      </c>
      <c r="AN18" s="13">
        <f t="shared" si="32"/>
        <v>9.4756976491305309</v>
      </c>
    </row>
    <row r="19" spans="2:43" x14ac:dyDescent="0.25">
      <c r="AP19" s="2" t="s">
        <v>111</v>
      </c>
      <c r="AQ19" s="23">
        <v>0.08</v>
      </c>
    </row>
    <row r="20" spans="2:43" x14ac:dyDescent="0.25">
      <c r="C20" s="1" t="s">
        <v>5</v>
      </c>
      <c r="D20" s="16"/>
      <c r="E20" s="16"/>
      <c r="F20" s="16"/>
      <c r="G20" s="16"/>
      <c r="H20" s="16">
        <f t="shared" ref="H20:O20" si="33">(H4-D4)/D4</f>
        <v>0.19163763066202091</v>
      </c>
      <c r="I20" s="16">
        <f t="shared" si="33"/>
        <v>0.20432220039292731</v>
      </c>
      <c r="J20" s="16">
        <f t="shared" si="33"/>
        <v>0.16908212560386474</v>
      </c>
      <c r="K20" s="16">
        <f t="shared" si="33"/>
        <v>0.12430939226519337</v>
      </c>
      <c r="L20" s="16">
        <f t="shared" si="33"/>
        <v>2.3391812865497075E-2</v>
      </c>
      <c r="M20" s="16">
        <f t="shared" si="33"/>
        <v>0.12398042414355628</v>
      </c>
      <c r="N20" s="16">
        <f t="shared" si="33"/>
        <v>4.1322314049586778E-3</v>
      </c>
      <c r="O20" s="16">
        <f t="shared" si="33"/>
        <v>-4.9140049140049139E-3</v>
      </c>
      <c r="P20" s="16">
        <f>(P4-L4)/L4</f>
        <v>0.12</v>
      </c>
      <c r="Q20" s="16">
        <f t="shared" ref="Q20:S20" si="34">(Q4-M4)/M4</f>
        <v>5.3701015965166909E-2</v>
      </c>
      <c r="R20" s="16">
        <f t="shared" si="34"/>
        <v>2.05761316872428E-3</v>
      </c>
      <c r="S20" s="16">
        <f t="shared" si="34"/>
        <v>2.2222222222222223E-2</v>
      </c>
      <c r="T20" s="16"/>
      <c r="U20" s="16"/>
      <c r="V20" s="16"/>
      <c r="X20" s="16"/>
      <c r="Y20" s="16"/>
      <c r="Z20" s="16">
        <f t="shared" ref="Z20:AA20" si="35">(Z4-Y4)/Y4</f>
        <v>1.3554026120818463</v>
      </c>
      <c r="AA20" s="16">
        <f t="shared" si="35"/>
        <v>0.48564479284786927</v>
      </c>
      <c r="AB20" s="16">
        <f t="shared" ref="AB20:AC20" si="36">(AB4-AA4)/AA4</f>
        <v>0.15191740412979352</v>
      </c>
      <c r="AC20" s="16">
        <f t="shared" si="36"/>
        <v>0.17925736235595391</v>
      </c>
      <c r="AD20" s="16">
        <f>(AD4-AC4)/AC4</f>
        <v>4.5059717698154179E-2</v>
      </c>
      <c r="AE20" s="16">
        <f t="shared" ref="AE20:AN20" si="37">(AE4-AD4)/AD4</f>
        <v>4.8831168831168829E-2</v>
      </c>
      <c r="AF20" s="20">
        <f t="shared" si="37"/>
        <v>0.37000000000000011</v>
      </c>
      <c r="AG20" s="16">
        <f t="shared" si="37"/>
        <v>8.0000000000000016E-2</v>
      </c>
      <c r="AH20" s="16">
        <f t="shared" si="37"/>
        <v>8.0000000000000043E-2</v>
      </c>
      <c r="AI20" s="16">
        <f t="shared" si="37"/>
        <v>8.0000000000000085E-2</v>
      </c>
      <c r="AJ20" s="16">
        <f t="shared" si="37"/>
        <v>8.0000000000000127E-2</v>
      </c>
      <c r="AK20" s="16">
        <f t="shared" si="37"/>
        <v>8.0000000000000127E-2</v>
      </c>
      <c r="AL20" s="16">
        <f t="shared" si="37"/>
        <v>8.0000000000000071E-2</v>
      </c>
      <c r="AM20" s="16">
        <f t="shared" si="37"/>
        <v>8.0000000000000016E-2</v>
      </c>
      <c r="AN20" s="16">
        <f t="shared" si="37"/>
        <v>8.0000000000000113E-2</v>
      </c>
      <c r="AP20" s="2" t="s">
        <v>110</v>
      </c>
      <c r="AQ20" s="23">
        <v>-0.01</v>
      </c>
    </row>
    <row r="21" spans="2:43" x14ac:dyDescent="0.25">
      <c r="C21" s="1" t="s">
        <v>121</v>
      </c>
      <c r="D21" s="16"/>
      <c r="E21" s="16">
        <v>0.3</v>
      </c>
      <c r="F21" s="16">
        <v>0.13</v>
      </c>
      <c r="G21" s="16">
        <v>0.14000000000000001</v>
      </c>
      <c r="H21" s="16">
        <v>0.24</v>
      </c>
      <c r="I21" s="16">
        <v>0.21</v>
      </c>
      <c r="J21" s="16">
        <v>0.16</v>
      </c>
      <c r="K21" s="16">
        <v>0.13</v>
      </c>
      <c r="L21" s="16">
        <v>0.05</v>
      </c>
      <c r="M21" s="16">
        <v>0.11</v>
      </c>
      <c r="N21" s="16">
        <v>0.02</v>
      </c>
      <c r="O21" s="16">
        <v>0.04</v>
      </c>
      <c r="P21" s="16">
        <v>0.15</v>
      </c>
      <c r="Q21" s="16">
        <v>0.11</v>
      </c>
      <c r="R21" s="16">
        <v>0.05</v>
      </c>
      <c r="S21" s="16">
        <v>0.03</v>
      </c>
      <c r="T21" s="16"/>
      <c r="U21" s="16"/>
      <c r="V21" s="16"/>
      <c r="X21" s="16"/>
      <c r="Y21" s="16"/>
      <c r="Z21" s="16"/>
      <c r="AA21" s="16"/>
      <c r="AB21" s="16"/>
      <c r="AC21" s="16"/>
      <c r="AD21" s="16">
        <v>0.06</v>
      </c>
      <c r="AE21" s="16">
        <v>0.08</v>
      </c>
      <c r="AF21" s="20"/>
      <c r="AG21" s="16"/>
      <c r="AH21" s="16"/>
      <c r="AI21" s="16"/>
      <c r="AJ21" s="16"/>
      <c r="AK21" s="16"/>
      <c r="AL21" s="16"/>
      <c r="AM21" s="16"/>
      <c r="AN21" s="16"/>
      <c r="AP21" s="22" t="s">
        <v>112</v>
      </c>
      <c r="AQ21" s="24">
        <f>NPV(AQ19,AE16:EK16)</f>
        <v>9091.8540513312437</v>
      </c>
    </row>
    <row r="22" spans="2:43" x14ac:dyDescent="0.25">
      <c r="C22" s="2" t="s">
        <v>8</v>
      </c>
      <c r="D22" s="15">
        <f t="shared" ref="D22:S22" si="38">D6/D4</f>
        <v>0.72473867595818819</v>
      </c>
      <c r="E22" s="15">
        <f t="shared" si="38"/>
        <v>0.70726915520628686</v>
      </c>
      <c r="F22" s="15">
        <f t="shared" si="38"/>
        <v>0.72705314009661837</v>
      </c>
      <c r="G22" s="15">
        <f t="shared" si="38"/>
        <v>0.7458563535911602</v>
      </c>
      <c r="H22" s="15">
        <f t="shared" si="38"/>
        <v>0.72222222222222221</v>
      </c>
      <c r="I22" s="15">
        <f t="shared" si="38"/>
        <v>0.70146818923327892</v>
      </c>
      <c r="J22" s="15">
        <f t="shared" si="38"/>
        <v>0.71900826446280997</v>
      </c>
      <c r="K22" s="15">
        <f t="shared" si="38"/>
        <v>0.71990171990171992</v>
      </c>
      <c r="L22" s="15">
        <f t="shared" si="38"/>
        <v>0.7</v>
      </c>
      <c r="M22" s="15">
        <f t="shared" si="38"/>
        <v>0.7053701015965167</v>
      </c>
      <c r="N22" s="15">
        <f t="shared" si="38"/>
        <v>0.69341563786008231</v>
      </c>
      <c r="O22" s="15">
        <f t="shared" si="38"/>
        <v>0.6938271604938272</v>
      </c>
      <c r="P22" s="15">
        <f t="shared" si="38"/>
        <v>0.6964285714285714</v>
      </c>
      <c r="Q22" s="15">
        <f t="shared" si="38"/>
        <v>0.69834710743801653</v>
      </c>
      <c r="R22" s="15">
        <f t="shared" si="38"/>
        <v>0.71047227926078027</v>
      </c>
      <c r="S22" s="15">
        <f t="shared" si="38"/>
        <v>0.72222222222222221</v>
      </c>
      <c r="T22" s="15"/>
      <c r="U22" s="15"/>
      <c r="V22" s="15"/>
      <c r="X22" s="15"/>
      <c r="Y22" s="15">
        <f t="shared" ref="Y22:AN22" si="39">Y6/Y4</f>
        <v>0.70137313648527644</v>
      </c>
      <c r="Z22" s="15">
        <f t="shared" si="39"/>
        <v>0.72740828389401091</v>
      </c>
      <c r="AA22" s="15">
        <f t="shared" si="39"/>
        <v>0.72787610619469023</v>
      </c>
      <c r="AB22" s="15">
        <f t="shared" si="39"/>
        <v>0.72215108834827146</v>
      </c>
      <c r="AC22" s="15">
        <f t="shared" si="39"/>
        <v>0.71335504885993484</v>
      </c>
      <c r="AD22" s="15">
        <f t="shared" si="39"/>
        <v>0.69818181818181824</v>
      </c>
      <c r="AE22" s="15">
        <f t="shared" si="39"/>
        <v>0.70579494799405651</v>
      </c>
      <c r="AF22" s="21">
        <f t="shared" si="39"/>
        <v>0.7</v>
      </c>
      <c r="AG22" s="15">
        <f t="shared" si="39"/>
        <v>0.7</v>
      </c>
      <c r="AH22" s="15">
        <f t="shared" si="39"/>
        <v>0.70000000000000007</v>
      </c>
      <c r="AI22" s="15">
        <f t="shared" si="39"/>
        <v>0.7</v>
      </c>
      <c r="AJ22" s="15">
        <f t="shared" si="39"/>
        <v>0.7</v>
      </c>
      <c r="AK22" s="15">
        <f t="shared" si="39"/>
        <v>0.70000000000000007</v>
      </c>
      <c r="AL22" s="15">
        <f t="shared" si="39"/>
        <v>0.7</v>
      </c>
      <c r="AM22" s="15">
        <f t="shared" si="39"/>
        <v>0.7</v>
      </c>
      <c r="AN22" s="15">
        <f t="shared" si="39"/>
        <v>0.7</v>
      </c>
      <c r="AP22" s="2" t="s">
        <v>2</v>
      </c>
      <c r="AQ22" s="14">
        <v>105.75545</v>
      </c>
    </row>
    <row r="23" spans="2:43" x14ac:dyDescent="0.25">
      <c r="C23" s="2" t="s">
        <v>6</v>
      </c>
      <c r="D23" s="15">
        <f t="shared" ref="D23:S23" si="40">D11/D4</f>
        <v>0.17421602787456447</v>
      </c>
      <c r="E23" s="15">
        <f t="shared" si="40"/>
        <v>0.206286836935167</v>
      </c>
      <c r="F23" s="15">
        <f t="shared" si="40"/>
        <v>0.21014492753623187</v>
      </c>
      <c r="G23" s="15">
        <f t="shared" si="40"/>
        <v>0.18784530386740331</v>
      </c>
      <c r="H23" s="15">
        <f t="shared" si="40"/>
        <v>0.195906432748538</v>
      </c>
      <c r="I23" s="15">
        <f t="shared" si="40"/>
        <v>0.23327895595432299</v>
      </c>
      <c r="J23" s="15">
        <f t="shared" si="40"/>
        <v>0.21074380165289255</v>
      </c>
      <c r="K23" s="15">
        <f t="shared" si="40"/>
        <v>0.18181818181818182</v>
      </c>
      <c r="L23" s="15">
        <f t="shared" si="40"/>
        <v>0.16285714285714287</v>
      </c>
      <c r="M23" s="15">
        <f t="shared" si="40"/>
        <v>0.22931785195936139</v>
      </c>
      <c r="N23" s="15">
        <f t="shared" si="40"/>
        <v>0.16460905349794239</v>
      </c>
      <c r="O23" s="15">
        <f t="shared" si="40"/>
        <v>0.15555555555555556</v>
      </c>
      <c r="P23" s="15">
        <f t="shared" si="40"/>
        <v>0.18877551020408162</v>
      </c>
      <c r="Q23" s="15">
        <f t="shared" si="40"/>
        <v>0.24517906336088155</v>
      </c>
      <c r="R23" s="15">
        <f t="shared" si="40"/>
        <v>0.2135523613963039</v>
      </c>
      <c r="S23" s="15">
        <f t="shared" si="40"/>
        <v>0.15942028985507245</v>
      </c>
      <c r="T23" s="15"/>
      <c r="U23" s="15"/>
      <c r="V23" s="15"/>
      <c r="X23" s="15"/>
      <c r="Y23" s="15">
        <f t="shared" ref="Y23:AN23" si="41">Y11/Y4</f>
        <v>0.2146309615052116</v>
      </c>
      <c r="Z23" s="15">
        <f t="shared" si="41"/>
        <v>0.25250264315491355</v>
      </c>
      <c r="AA23" s="15">
        <f t="shared" si="41"/>
        <v>0.26991150442477874</v>
      </c>
      <c r="AB23" s="15">
        <f t="shared" si="41"/>
        <v>0.19846350832266324</v>
      </c>
      <c r="AC23" s="15">
        <f t="shared" si="41"/>
        <v>0.20955483170466885</v>
      </c>
      <c r="AD23" s="15">
        <f t="shared" si="41"/>
        <v>0.18545454545454546</v>
      </c>
      <c r="AE23" s="15">
        <f t="shared" si="41"/>
        <v>0.20901436354631006</v>
      </c>
      <c r="AF23" s="21">
        <f t="shared" si="41"/>
        <v>0.18508873728773736</v>
      </c>
      <c r="AG23" s="15">
        <f t="shared" si="41"/>
        <v>0.1929628049614095</v>
      </c>
      <c r="AH23" s="15">
        <f t="shared" si="41"/>
        <v>0.20071078552947011</v>
      </c>
      <c r="AI23" s="15">
        <f t="shared" si="41"/>
        <v>0.20833481735576037</v>
      </c>
      <c r="AJ23" s="15">
        <f t="shared" si="41"/>
        <v>0.21583700014272511</v>
      </c>
      <c r="AK23" s="15">
        <f t="shared" si="41"/>
        <v>0.22321939567582741</v>
      </c>
      <c r="AL23" s="15">
        <f t="shared" si="41"/>
        <v>0.23048402855282221</v>
      </c>
      <c r="AM23" s="15">
        <f t="shared" si="41"/>
        <v>0.23763288689821174</v>
      </c>
      <c r="AN23" s="15">
        <f t="shared" si="41"/>
        <v>0.2446679230631929</v>
      </c>
      <c r="AP23" s="2" t="s">
        <v>113</v>
      </c>
      <c r="AQ23" s="13">
        <f>AQ21/AQ22</f>
        <v>85.97054857533341</v>
      </c>
    </row>
    <row r="24" spans="2:43" s="40" customFormat="1" x14ac:dyDescent="0.25">
      <c r="B24" s="39"/>
      <c r="C24" s="40" t="s">
        <v>9</v>
      </c>
      <c r="Y24" s="40">
        <f t="shared" ref="Y24:AD24" si="42">Y16/Y53</f>
        <v>9.5158435262410954E-2</v>
      </c>
      <c r="Z24" s="40">
        <f t="shared" si="42"/>
        <v>0.22598156682027651</v>
      </c>
      <c r="AA24" s="40">
        <f t="shared" si="42"/>
        <v>0.29553617239610058</v>
      </c>
      <c r="AB24" s="40">
        <f t="shared" si="42"/>
        <v>0.21353251318101935</v>
      </c>
      <c r="AC24" s="40">
        <f t="shared" si="42"/>
        <v>0.24680511182108625</v>
      </c>
      <c r="AD24" s="40">
        <f t="shared" si="42"/>
        <v>0.2319672131147541</v>
      </c>
      <c r="AE24" s="40">
        <f>AE16/AE53</f>
        <v>0.26199842643587729</v>
      </c>
      <c r="AF24" s="39"/>
      <c r="AP24" s="41" t="s">
        <v>114</v>
      </c>
      <c r="AQ24" s="41">
        <f>(AQ23-B4)/B4</f>
        <v>0.67420737245050455</v>
      </c>
    </row>
    <row r="26" spans="2:43" s="18" customFormat="1" x14ac:dyDescent="0.25">
      <c r="B26" s="9"/>
      <c r="C26" s="18" t="s">
        <v>120</v>
      </c>
      <c r="D26" s="18">
        <v>835</v>
      </c>
      <c r="E26" s="18">
        <v>876</v>
      </c>
      <c r="F26" s="18">
        <v>930</v>
      </c>
      <c r="G26" s="18">
        <v>842</v>
      </c>
      <c r="H26" s="18">
        <v>887</v>
      </c>
      <c r="I26" s="18">
        <v>957</v>
      </c>
      <c r="J26" s="18">
        <v>969</v>
      </c>
      <c r="K26" s="18">
        <v>939</v>
      </c>
      <c r="L26" s="18">
        <v>937</v>
      </c>
      <c r="M26" s="18">
        <v>1004</v>
      </c>
      <c r="N26" s="18">
        <v>1018</v>
      </c>
      <c r="O26" s="18">
        <v>930</v>
      </c>
      <c r="P26" s="18">
        <v>944</v>
      </c>
      <c r="Q26" s="18">
        <v>1007</v>
      </c>
      <c r="R26" s="18">
        <v>932</v>
      </c>
      <c r="S26" s="18">
        <v>904</v>
      </c>
      <c r="AF26" s="9"/>
    </row>
    <row r="29" spans="2:43" x14ac:dyDescent="0.25">
      <c r="C29" s="1" t="s">
        <v>15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7"/>
      <c r="Z29" s="17"/>
      <c r="AA29" s="17"/>
      <c r="AB29" s="1"/>
      <c r="AC29" s="1"/>
    </row>
    <row r="30" spans="2:43" x14ac:dyDescent="0.25">
      <c r="C30" s="2" t="s">
        <v>32</v>
      </c>
      <c r="D30" s="18">
        <v>9</v>
      </c>
      <c r="E30" s="18">
        <v>9</v>
      </c>
      <c r="F30" s="18">
        <v>9</v>
      </c>
      <c r="G30" s="18">
        <v>9</v>
      </c>
      <c r="H30" s="18">
        <v>9</v>
      </c>
      <c r="I30" s="18">
        <v>8</v>
      </c>
      <c r="J30" s="18">
        <v>7</v>
      </c>
      <c r="K30" s="18">
        <v>6</v>
      </c>
      <c r="L30" s="18">
        <v>6</v>
      </c>
      <c r="M30" s="18">
        <v>5</v>
      </c>
      <c r="N30" s="18">
        <v>4</v>
      </c>
      <c r="O30" s="18">
        <v>3</v>
      </c>
      <c r="P30" s="18">
        <v>3</v>
      </c>
      <c r="Q30" s="18">
        <v>2</v>
      </c>
      <c r="R30" s="18">
        <v>2</v>
      </c>
      <c r="S30" s="2">
        <v>1</v>
      </c>
      <c r="Y30" s="18">
        <v>7.67</v>
      </c>
      <c r="Z30" s="18">
        <v>8.8000000000000007</v>
      </c>
      <c r="AA30" s="18">
        <v>9.3000000000000007</v>
      </c>
      <c r="AB30" s="18">
        <v>9</v>
      </c>
      <c r="AC30" s="18">
        <v>6</v>
      </c>
      <c r="AD30" s="18">
        <v>3</v>
      </c>
      <c r="AE30" s="2">
        <v>1</v>
      </c>
    </row>
    <row r="31" spans="2:43" x14ac:dyDescent="0.25">
      <c r="C31" s="2" t="s">
        <v>33</v>
      </c>
      <c r="D31" s="18">
        <v>171</v>
      </c>
      <c r="E31" s="18">
        <v>171</v>
      </c>
      <c r="F31" s="18">
        <v>171</v>
      </c>
      <c r="G31" s="18">
        <v>171</v>
      </c>
      <c r="H31" s="18">
        <v>171</v>
      </c>
      <c r="I31" s="18">
        <v>171</v>
      </c>
      <c r="J31" s="18">
        <v>171</v>
      </c>
      <c r="K31" s="18">
        <v>171</v>
      </c>
      <c r="L31" s="18">
        <v>171</v>
      </c>
      <c r="M31" s="18">
        <v>171</v>
      </c>
      <c r="N31" s="18">
        <v>171</v>
      </c>
      <c r="O31" s="18">
        <v>171</v>
      </c>
      <c r="P31" s="18">
        <v>171</v>
      </c>
      <c r="Q31" s="18">
        <v>171</v>
      </c>
      <c r="R31" s="18">
        <v>171</v>
      </c>
      <c r="S31" s="2">
        <v>171</v>
      </c>
      <c r="Y31" s="18">
        <v>171.2</v>
      </c>
      <c r="Z31" s="18">
        <v>171.2</v>
      </c>
      <c r="AA31" s="18">
        <v>171.2</v>
      </c>
      <c r="AB31" s="18">
        <v>171</v>
      </c>
      <c r="AC31" s="18">
        <v>171</v>
      </c>
      <c r="AD31" s="18">
        <v>171</v>
      </c>
      <c r="AE31" s="2">
        <v>171</v>
      </c>
    </row>
    <row r="32" spans="2:43" x14ac:dyDescent="0.25">
      <c r="C32" s="2" t="s">
        <v>34</v>
      </c>
      <c r="D32" s="18">
        <v>617</v>
      </c>
      <c r="E32" s="18">
        <v>617</v>
      </c>
      <c r="F32" s="18">
        <v>617</v>
      </c>
      <c r="G32" s="18">
        <v>617</v>
      </c>
      <c r="H32" s="18">
        <v>617</v>
      </c>
      <c r="I32" s="18">
        <v>617</v>
      </c>
      <c r="J32" s="18">
        <v>617</v>
      </c>
      <c r="K32" s="18">
        <v>617</v>
      </c>
      <c r="L32" s="18">
        <v>617</v>
      </c>
      <c r="M32" s="18">
        <v>617</v>
      </c>
      <c r="N32" s="18">
        <v>617</v>
      </c>
      <c r="O32" s="18">
        <v>617</v>
      </c>
      <c r="P32" s="18">
        <v>617</v>
      </c>
      <c r="Q32" s="18">
        <v>617</v>
      </c>
      <c r="R32" s="18">
        <v>617</v>
      </c>
      <c r="S32" s="2">
        <v>617</v>
      </c>
      <c r="Y32" s="18">
        <v>616.83000000000004</v>
      </c>
      <c r="Z32" s="18">
        <v>616.79999999999995</v>
      </c>
      <c r="AA32" s="18">
        <v>616.79999999999995</v>
      </c>
      <c r="AB32" s="18">
        <v>617</v>
      </c>
      <c r="AC32" s="18">
        <v>617</v>
      </c>
      <c r="AD32" s="18">
        <v>617</v>
      </c>
      <c r="AE32" s="2">
        <v>617</v>
      </c>
    </row>
    <row r="33" spans="3:31" x14ac:dyDescent="0.25">
      <c r="C33" s="2" t="s">
        <v>35</v>
      </c>
      <c r="D33" s="18">
        <v>0</v>
      </c>
      <c r="E33" s="2">
        <v>0</v>
      </c>
      <c r="F33" s="18">
        <v>1</v>
      </c>
      <c r="G33" s="18">
        <v>2</v>
      </c>
      <c r="H33" s="18">
        <v>2</v>
      </c>
      <c r="I33" s="18">
        <v>8</v>
      </c>
      <c r="J33" s="18">
        <v>8</v>
      </c>
      <c r="K33" s="18">
        <v>8</v>
      </c>
      <c r="L33" s="18">
        <v>8</v>
      </c>
      <c r="M33" s="18">
        <v>8</v>
      </c>
      <c r="N33" s="18">
        <v>9</v>
      </c>
      <c r="O33" s="18">
        <v>9</v>
      </c>
      <c r="P33" s="18">
        <v>9</v>
      </c>
      <c r="Q33" s="18">
        <v>10</v>
      </c>
      <c r="R33" s="18">
        <v>10</v>
      </c>
      <c r="S33" s="2">
        <v>10</v>
      </c>
      <c r="Y33" s="18">
        <v>0</v>
      </c>
      <c r="Z33" s="18">
        <v>0</v>
      </c>
      <c r="AA33" s="18">
        <v>0</v>
      </c>
      <c r="AB33" s="18">
        <v>2</v>
      </c>
      <c r="AC33" s="18">
        <v>8</v>
      </c>
      <c r="AD33" s="18">
        <v>9</v>
      </c>
      <c r="AE33" s="2">
        <v>10</v>
      </c>
    </row>
    <row r="34" spans="3:31" x14ac:dyDescent="0.25">
      <c r="C34" s="2" t="s">
        <v>36</v>
      </c>
      <c r="D34" s="18">
        <v>1</v>
      </c>
      <c r="E34" s="18">
        <v>1</v>
      </c>
      <c r="F34" s="18">
        <v>1</v>
      </c>
      <c r="G34" s="18">
        <v>1</v>
      </c>
      <c r="H34" s="18">
        <v>1</v>
      </c>
      <c r="I34" s="18">
        <v>2</v>
      </c>
      <c r="J34" s="18">
        <v>2</v>
      </c>
      <c r="K34" s="18">
        <v>2</v>
      </c>
      <c r="L34" s="18">
        <v>2</v>
      </c>
      <c r="M34" s="18">
        <v>2</v>
      </c>
      <c r="N34" s="18">
        <v>2</v>
      </c>
      <c r="O34" s="18">
        <v>2</v>
      </c>
      <c r="P34" s="18">
        <v>2</v>
      </c>
      <c r="Q34" s="18">
        <v>2</v>
      </c>
      <c r="R34" s="18">
        <v>3</v>
      </c>
      <c r="S34" s="2">
        <v>3</v>
      </c>
      <c r="Y34" s="18">
        <v>0.43</v>
      </c>
      <c r="Z34" s="18">
        <v>0.4</v>
      </c>
      <c r="AA34" s="18">
        <v>0.3</v>
      </c>
      <c r="AB34" s="18">
        <v>1</v>
      </c>
      <c r="AC34" s="18">
        <v>2</v>
      </c>
      <c r="AD34" s="18">
        <v>2</v>
      </c>
      <c r="AE34" s="2">
        <v>3</v>
      </c>
    </row>
    <row r="35" spans="3:31" x14ac:dyDescent="0.25">
      <c r="C35" s="2" t="s">
        <v>37</v>
      </c>
      <c r="D35" s="18">
        <v>7</v>
      </c>
      <c r="E35" s="18">
        <v>1</v>
      </c>
      <c r="F35" s="18">
        <v>15</v>
      </c>
      <c r="G35" s="18">
        <v>14</v>
      </c>
      <c r="H35" s="18">
        <v>13</v>
      </c>
      <c r="I35" s="18">
        <v>1</v>
      </c>
      <c r="J35" s="18">
        <v>1</v>
      </c>
      <c r="K35" s="18">
        <v>1</v>
      </c>
      <c r="L35" s="18">
        <v>1</v>
      </c>
      <c r="M35" s="18">
        <v>1</v>
      </c>
      <c r="N35" s="18">
        <v>1</v>
      </c>
      <c r="O35" s="18">
        <v>2</v>
      </c>
      <c r="P35" s="18">
        <v>2</v>
      </c>
      <c r="Q35" s="18">
        <v>2</v>
      </c>
      <c r="R35" s="18">
        <v>2</v>
      </c>
      <c r="S35" s="2">
        <v>2</v>
      </c>
      <c r="Y35" s="18">
        <v>1.47</v>
      </c>
      <c r="Z35" s="18">
        <v>1.1000000000000001</v>
      </c>
      <c r="AA35" s="18">
        <v>1</v>
      </c>
      <c r="AB35" s="18">
        <v>14</v>
      </c>
      <c r="AC35" s="18">
        <v>1</v>
      </c>
      <c r="AD35" s="18">
        <v>2</v>
      </c>
      <c r="AE35" s="2">
        <v>2</v>
      </c>
    </row>
    <row r="36" spans="3:31" x14ac:dyDescent="0.25">
      <c r="C36" s="2" t="s">
        <v>38</v>
      </c>
      <c r="D36" s="18">
        <v>1</v>
      </c>
      <c r="E36" s="18">
        <v>15</v>
      </c>
      <c r="F36" s="18">
        <v>2</v>
      </c>
      <c r="G36" s="18">
        <v>2</v>
      </c>
      <c r="H36" s="18">
        <v>2</v>
      </c>
      <c r="I36" s="18">
        <v>12</v>
      </c>
      <c r="J36" s="18">
        <v>12</v>
      </c>
      <c r="K36" s="18">
        <v>11</v>
      </c>
      <c r="L36" s="18">
        <v>10</v>
      </c>
      <c r="M36" s="18">
        <v>9</v>
      </c>
      <c r="N36" s="18">
        <v>11</v>
      </c>
      <c r="O36" s="18">
        <v>11</v>
      </c>
      <c r="P36" s="18">
        <v>18</v>
      </c>
      <c r="Q36" s="18">
        <v>17</v>
      </c>
      <c r="R36" s="18">
        <v>16</v>
      </c>
      <c r="S36" s="2">
        <v>15</v>
      </c>
      <c r="Y36" s="18">
        <v>6.04</v>
      </c>
      <c r="Z36" s="18">
        <v>5.5</v>
      </c>
      <c r="AA36" s="18">
        <v>7.5</v>
      </c>
      <c r="AB36" s="18">
        <v>2</v>
      </c>
      <c r="AC36" s="18">
        <v>11</v>
      </c>
      <c r="AD36" s="18">
        <v>11</v>
      </c>
      <c r="AE36" s="2">
        <v>15</v>
      </c>
    </row>
    <row r="37" spans="3:31" x14ac:dyDescent="0.25">
      <c r="C37" s="2" t="s">
        <v>126</v>
      </c>
      <c r="D37" s="18">
        <v>0</v>
      </c>
      <c r="E37" s="2">
        <v>0</v>
      </c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  <c r="P37" s="18">
        <v>3</v>
      </c>
      <c r="Q37" s="18">
        <v>0</v>
      </c>
      <c r="R37" s="18">
        <v>0</v>
      </c>
      <c r="S37" s="2">
        <v>0</v>
      </c>
      <c r="Y37" s="18">
        <v>0</v>
      </c>
      <c r="Z37" s="18">
        <v>2.1</v>
      </c>
      <c r="AA37" s="18">
        <v>7.9</v>
      </c>
      <c r="AB37" s="18">
        <v>0</v>
      </c>
      <c r="AC37" s="18">
        <v>0</v>
      </c>
      <c r="AD37" s="18">
        <v>0</v>
      </c>
      <c r="AE37" s="2">
        <v>0</v>
      </c>
    </row>
    <row r="38" spans="3:31" x14ac:dyDescent="0.25">
      <c r="C38" s="2" t="s">
        <v>39</v>
      </c>
      <c r="D38" s="18">
        <v>416</v>
      </c>
      <c r="E38" s="18">
        <v>2</v>
      </c>
      <c r="F38" s="18">
        <v>375</v>
      </c>
      <c r="G38" s="18">
        <v>323</v>
      </c>
      <c r="H38" s="18">
        <v>420</v>
      </c>
      <c r="I38" s="18">
        <v>2</v>
      </c>
      <c r="J38" s="18">
        <v>2</v>
      </c>
      <c r="K38" s="18">
        <v>2</v>
      </c>
      <c r="L38" s="18">
        <v>2</v>
      </c>
      <c r="M38" s="18">
        <v>2</v>
      </c>
      <c r="N38" s="18">
        <v>2</v>
      </c>
      <c r="O38" s="18">
        <v>1</v>
      </c>
      <c r="P38" s="18">
        <v>1</v>
      </c>
      <c r="Q38" s="18">
        <v>1</v>
      </c>
      <c r="R38" s="18">
        <v>1</v>
      </c>
      <c r="S38" s="2">
        <v>1</v>
      </c>
      <c r="Y38" s="18">
        <v>1.49</v>
      </c>
      <c r="Z38" s="18">
        <v>1.5</v>
      </c>
      <c r="AA38" s="18">
        <v>1.4</v>
      </c>
      <c r="AB38" s="18">
        <v>323</v>
      </c>
      <c r="AC38" s="18">
        <v>2</v>
      </c>
      <c r="AD38" s="18">
        <v>1</v>
      </c>
      <c r="AE38" s="2">
        <v>1</v>
      </c>
    </row>
    <row r="39" spans="3:31" x14ac:dyDescent="0.25">
      <c r="C39" s="2" t="s">
        <v>40</v>
      </c>
      <c r="D39" s="18">
        <v>99</v>
      </c>
      <c r="E39" s="18">
        <v>384</v>
      </c>
      <c r="F39" s="18">
        <v>10</v>
      </c>
      <c r="G39" s="18">
        <v>72</v>
      </c>
      <c r="H39" s="18">
        <v>61</v>
      </c>
      <c r="I39" s="18">
        <v>322</v>
      </c>
      <c r="J39" s="18">
        <v>382</v>
      </c>
      <c r="K39" s="18">
        <v>362</v>
      </c>
      <c r="L39" s="18">
        <v>447</v>
      </c>
      <c r="M39" s="18">
        <v>403</v>
      </c>
      <c r="N39" s="18">
        <v>484</v>
      </c>
      <c r="O39" s="18">
        <v>439</v>
      </c>
      <c r="P39" s="18">
        <v>500</v>
      </c>
      <c r="Q39" s="18">
        <v>378</v>
      </c>
      <c r="R39" s="18">
        <v>369</v>
      </c>
      <c r="S39" s="2">
        <v>336</v>
      </c>
      <c r="Y39" s="18">
        <v>20.149999999999999</v>
      </c>
      <c r="Z39" s="18">
        <v>82.6</v>
      </c>
      <c r="AA39" s="18">
        <v>306.60000000000002</v>
      </c>
      <c r="AB39" s="18">
        <v>72</v>
      </c>
      <c r="AC39" s="18">
        <v>362</v>
      </c>
      <c r="AD39" s="18">
        <v>439</v>
      </c>
      <c r="AE39" s="2">
        <v>336</v>
      </c>
    </row>
    <row r="40" spans="3:31" x14ac:dyDescent="0.25">
      <c r="C40" s="2" t="s">
        <v>41</v>
      </c>
      <c r="D40" s="18">
        <v>10</v>
      </c>
      <c r="E40" s="18">
        <v>51</v>
      </c>
      <c r="F40" s="18">
        <v>12</v>
      </c>
      <c r="G40" s="18">
        <v>8</v>
      </c>
      <c r="H40" s="18">
        <v>18</v>
      </c>
      <c r="I40" s="18">
        <v>94</v>
      </c>
      <c r="J40" s="18">
        <v>64</v>
      </c>
      <c r="K40" s="18">
        <v>76</v>
      </c>
      <c r="L40" s="18">
        <v>118</v>
      </c>
      <c r="M40" s="18">
        <v>161</v>
      </c>
      <c r="N40" s="18">
        <v>38</v>
      </c>
      <c r="O40" s="18">
        <v>72</v>
      </c>
      <c r="P40" s="18">
        <v>66</v>
      </c>
      <c r="Q40" s="18">
        <v>88</v>
      </c>
      <c r="R40" s="18">
        <v>21</v>
      </c>
      <c r="S40" s="2">
        <v>172</v>
      </c>
      <c r="Y40" s="18">
        <v>2.82</v>
      </c>
      <c r="Z40" s="18">
        <v>53.2</v>
      </c>
      <c r="AA40" s="18">
        <v>126.9</v>
      </c>
      <c r="AB40" s="18">
        <v>8</v>
      </c>
      <c r="AC40" s="18">
        <v>76</v>
      </c>
      <c r="AD40" s="18">
        <v>72</v>
      </c>
      <c r="AE40" s="2">
        <v>172</v>
      </c>
    </row>
    <row r="41" spans="3:31" x14ac:dyDescent="0.25">
      <c r="C41" s="2" t="s">
        <v>42</v>
      </c>
      <c r="D41" s="18">
        <v>0</v>
      </c>
      <c r="E41" s="18">
        <v>10</v>
      </c>
      <c r="F41" s="18">
        <v>0</v>
      </c>
      <c r="G41" s="18">
        <v>0</v>
      </c>
      <c r="H41" s="18">
        <v>0</v>
      </c>
      <c r="I41" s="18">
        <v>22</v>
      </c>
      <c r="J41" s="18">
        <v>15</v>
      </c>
      <c r="K41" s="18">
        <v>10</v>
      </c>
      <c r="L41" s="18">
        <v>12</v>
      </c>
      <c r="M41" s="18">
        <v>28</v>
      </c>
      <c r="N41" s="18">
        <v>21</v>
      </c>
      <c r="O41" s="18">
        <v>10</v>
      </c>
      <c r="P41" s="18">
        <v>20</v>
      </c>
      <c r="Q41" s="18">
        <v>28</v>
      </c>
      <c r="R41" s="18">
        <v>19</v>
      </c>
      <c r="S41" s="2">
        <v>12</v>
      </c>
      <c r="Y41" s="18">
        <v>1.79</v>
      </c>
      <c r="Z41" s="18">
        <v>7.1</v>
      </c>
      <c r="AA41" s="18">
        <v>8</v>
      </c>
      <c r="AB41" s="18">
        <v>0</v>
      </c>
      <c r="AC41" s="18">
        <v>10</v>
      </c>
      <c r="AD41" s="18">
        <v>10</v>
      </c>
      <c r="AE41" s="2">
        <v>12</v>
      </c>
    </row>
    <row r="42" spans="3:31" x14ac:dyDescent="0.25">
      <c r="C42" s="2" t="s">
        <v>43</v>
      </c>
      <c r="D42" s="18">
        <v>4</v>
      </c>
      <c r="E42" s="18">
        <v>0</v>
      </c>
      <c r="F42" s="18">
        <v>1</v>
      </c>
      <c r="G42" s="18">
        <v>7</v>
      </c>
      <c r="H42" s="18">
        <v>5</v>
      </c>
      <c r="I42" s="18">
        <v>1</v>
      </c>
      <c r="J42" s="18">
        <v>0</v>
      </c>
      <c r="K42" s="18">
        <v>0</v>
      </c>
      <c r="L42" s="18">
        <v>0</v>
      </c>
      <c r="M42" s="18">
        <v>1</v>
      </c>
      <c r="N42" s="18">
        <v>1</v>
      </c>
      <c r="O42" s="17">
        <v>1</v>
      </c>
      <c r="P42" s="18">
        <v>3</v>
      </c>
      <c r="Q42" s="18">
        <v>1</v>
      </c>
      <c r="R42" s="18">
        <v>5</v>
      </c>
      <c r="S42" s="2">
        <v>2</v>
      </c>
      <c r="Y42" s="18">
        <v>0.01</v>
      </c>
      <c r="Z42" s="18">
        <v>0</v>
      </c>
      <c r="AA42" s="18">
        <v>0.3</v>
      </c>
      <c r="AB42" s="18">
        <v>7</v>
      </c>
      <c r="AC42" s="18">
        <v>0</v>
      </c>
      <c r="AD42" s="17">
        <v>1</v>
      </c>
      <c r="AE42" s="2">
        <v>2</v>
      </c>
    </row>
    <row r="43" spans="3:31" x14ac:dyDescent="0.25">
      <c r="C43" s="2" t="s">
        <v>44</v>
      </c>
      <c r="D43" s="18">
        <v>83</v>
      </c>
      <c r="E43" s="18">
        <v>1</v>
      </c>
      <c r="F43" s="18">
        <v>32</v>
      </c>
      <c r="G43" s="18">
        <v>44</v>
      </c>
      <c r="H43" s="18">
        <v>39</v>
      </c>
      <c r="I43" s="18">
        <v>5</v>
      </c>
      <c r="J43" s="18">
        <v>5</v>
      </c>
      <c r="K43" s="18">
        <v>5</v>
      </c>
      <c r="L43" s="18">
        <v>5</v>
      </c>
      <c r="M43" s="18">
        <v>20</v>
      </c>
      <c r="N43" s="18">
        <v>20</v>
      </c>
      <c r="O43" s="18">
        <v>1</v>
      </c>
      <c r="P43" s="18">
        <v>4</v>
      </c>
      <c r="Q43" s="18">
        <v>4</v>
      </c>
      <c r="R43" s="18">
        <v>4</v>
      </c>
      <c r="S43" s="2">
        <v>0</v>
      </c>
      <c r="Y43" s="18">
        <v>0</v>
      </c>
      <c r="Z43" s="18">
        <v>2.7</v>
      </c>
      <c r="AA43" s="18">
        <v>5.2</v>
      </c>
      <c r="AB43" s="18">
        <v>44</v>
      </c>
      <c r="AC43" s="18">
        <v>5</v>
      </c>
      <c r="AD43" s="18">
        <v>1</v>
      </c>
      <c r="AE43" s="2">
        <v>0</v>
      </c>
    </row>
    <row r="44" spans="3:31" x14ac:dyDescent="0.25">
      <c r="C44" s="2" t="s">
        <v>45</v>
      </c>
      <c r="D44" s="18">
        <v>5</v>
      </c>
      <c r="E44" s="18">
        <v>60</v>
      </c>
      <c r="F44" s="18">
        <v>0</v>
      </c>
      <c r="G44" s="18">
        <v>2</v>
      </c>
      <c r="H44" s="18">
        <v>1</v>
      </c>
      <c r="I44" s="18">
        <v>39</v>
      </c>
      <c r="J44" s="18">
        <v>36</v>
      </c>
      <c r="K44" s="18">
        <v>32</v>
      </c>
      <c r="L44" s="18">
        <v>34</v>
      </c>
      <c r="M44" s="18">
        <v>33</v>
      </c>
      <c r="N44" s="18">
        <v>34</v>
      </c>
      <c r="O44" s="18">
        <v>16</v>
      </c>
      <c r="P44" s="18">
        <v>30</v>
      </c>
      <c r="Q44" s="18">
        <v>34</v>
      </c>
      <c r="R44" s="18">
        <v>34</v>
      </c>
      <c r="S44" s="2">
        <v>36</v>
      </c>
      <c r="Y44" s="18">
        <v>3.21</v>
      </c>
      <c r="Z44" s="18">
        <v>16.899999999999999</v>
      </c>
      <c r="AA44" s="18">
        <v>50.1</v>
      </c>
      <c r="AB44" s="18">
        <v>2</v>
      </c>
      <c r="AC44" s="18">
        <v>32</v>
      </c>
      <c r="AD44" s="18">
        <v>16</v>
      </c>
      <c r="AE44" s="2">
        <v>36</v>
      </c>
    </row>
    <row r="45" spans="3:31" x14ac:dyDescent="0.25">
      <c r="C45" s="2" t="s">
        <v>46</v>
      </c>
      <c r="D45" s="18">
        <v>10</v>
      </c>
      <c r="E45" s="18">
        <v>7</v>
      </c>
      <c r="F45" s="18">
        <v>9</v>
      </c>
      <c r="G45" s="18">
        <v>11</v>
      </c>
      <c r="H45" s="18">
        <v>13</v>
      </c>
      <c r="I45" s="18">
        <v>13</v>
      </c>
      <c r="J45" s="18">
        <v>18</v>
      </c>
      <c r="K45" s="18">
        <v>20</v>
      </c>
      <c r="L45" s="18">
        <v>22</v>
      </c>
      <c r="M45" s="18">
        <v>12</v>
      </c>
      <c r="N45" s="18">
        <v>14</v>
      </c>
      <c r="O45" s="18">
        <v>17</v>
      </c>
      <c r="P45" s="18">
        <v>19</v>
      </c>
      <c r="Q45" s="18">
        <v>17</v>
      </c>
      <c r="R45" s="18">
        <v>15</v>
      </c>
      <c r="S45" s="2">
        <v>18</v>
      </c>
      <c r="Y45" s="18">
        <v>6.6</v>
      </c>
      <c r="Z45" s="18">
        <v>1.9</v>
      </c>
      <c r="AA45" s="18">
        <v>7.1</v>
      </c>
      <c r="AB45" s="18">
        <v>11</v>
      </c>
      <c r="AC45" s="18">
        <v>20</v>
      </c>
      <c r="AD45" s="18">
        <v>17</v>
      </c>
      <c r="AE45" s="2">
        <v>18</v>
      </c>
    </row>
    <row r="46" spans="3:31" x14ac:dyDescent="0.25">
      <c r="C46" s="2" t="s">
        <v>47</v>
      </c>
      <c r="D46" s="18">
        <v>142</v>
      </c>
      <c r="E46" s="18">
        <v>65</v>
      </c>
      <c r="F46" s="18">
        <v>146</v>
      </c>
      <c r="G46" s="18">
        <v>154</v>
      </c>
      <c r="H46" s="18">
        <v>177</v>
      </c>
      <c r="I46" s="18">
        <v>353</v>
      </c>
      <c r="J46" s="18">
        <v>285</v>
      </c>
      <c r="K46" s="18">
        <v>295</v>
      </c>
      <c r="L46" s="18">
        <v>142</v>
      </c>
      <c r="M46" s="18">
        <v>280</v>
      </c>
      <c r="N46" s="18">
        <v>159</v>
      </c>
      <c r="O46" s="18">
        <v>189</v>
      </c>
      <c r="P46" s="18">
        <v>181</v>
      </c>
      <c r="Q46" s="18">
        <v>358</v>
      </c>
      <c r="R46" s="18">
        <v>368</v>
      </c>
      <c r="S46" s="2">
        <v>328</v>
      </c>
      <c r="Y46" s="18">
        <v>116.71</v>
      </c>
      <c r="Z46" s="18">
        <v>296.3</v>
      </c>
      <c r="AA46" s="18">
        <v>74.8</v>
      </c>
      <c r="AB46" s="18">
        <v>154</v>
      </c>
      <c r="AC46" s="18">
        <v>295</v>
      </c>
      <c r="AD46" s="18">
        <v>189</v>
      </c>
      <c r="AE46" s="2">
        <v>328</v>
      </c>
    </row>
    <row r="47" spans="3:31" x14ac:dyDescent="0.25">
      <c r="C47" s="1" t="s">
        <v>48</v>
      </c>
      <c r="D47" s="17">
        <f t="shared" ref="D47:N47" si="43">SUM(D30:D46)</f>
        <v>1575</v>
      </c>
      <c r="E47" s="17">
        <f t="shared" si="43"/>
        <v>1394</v>
      </c>
      <c r="F47" s="17">
        <f t="shared" si="43"/>
        <v>1401</v>
      </c>
      <c r="G47" s="17">
        <f t="shared" si="43"/>
        <v>1437</v>
      </c>
      <c r="H47" s="17">
        <f t="shared" si="43"/>
        <v>1549</v>
      </c>
      <c r="I47" s="17">
        <f t="shared" si="43"/>
        <v>1670</v>
      </c>
      <c r="J47" s="17">
        <f t="shared" si="43"/>
        <v>1625</v>
      </c>
      <c r="K47" s="17">
        <f t="shared" si="43"/>
        <v>1618</v>
      </c>
      <c r="L47" s="17">
        <f t="shared" si="43"/>
        <v>1597</v>
      </c>
      <c r="M47" s="17">
        <f t="shared" si="43"/>
        <v>1753</v>
      </c>
      <c r="N47" s="17">
        <f t="shared" si="43"/>
        <v>1588</v>
      </c>
      <c r="O47" s="17">
        <f>SUM(O30:O46)</f>
        <v>1561</v>
      </c>
      <c r="P47" s="17">
        <f>SUM(P30:P46)</f>
        <v>1649</v>
      </c>
      <c r="Q47" s="17">
        <f t="shared" ref="Q47:T47" si="44">SUM(Q30:Q46)</f>
        <v>1730</v>
      </c>
      <c r="R47" s="17">
        <f t="shared" si="44"/>
        <v>1657</v>
      </c>
      <c r="S47" s="17">
        <f t="shared" si="44"/>
        <v>1724</v>
      </c>
      <c r="T47" s="17">
        <f t="shared" si="44"/>
        <v>0</v>
      </c>
      <c r="Y47" s="17">
        <f t="shared" ref="Y47:AA47" si="45">SUM(Y30:Y46)</f>
        <v>956.42000000000007</v>
      </c>
      <c r="Z47" s="17">
        <f t="shared" si="45"/>
        <v>1268.1000000000001</v>
      </c>
      <c r="AA47" s="17">
        <f t="shared" si="45"/>
        <v>1394.3999999999999</v>
      </c>
      <c r="AB47" s="17">
        <f t="shared" ref="AB47" si="46">SUM(AB30:AB46)</f>
        <v>1437</v>
      </c>
      <c r="AC47" s="17">
        <f t="shared" ref="AC47" si="47">SUM(AC30:AC46)</f>
        <v>1618</v>
      </c>
      <c r="AD47" s="17">
        <f>SUM(AD30:AD46)</f>
        <v>1561</v>
      </c>
      <c r="AE47" s="17">
        <f t="shared" ref="AE47" si="48">SUM(AE30:AE46)</f>
        <v>1724</v>
      </c>
    </row>
    <row r="48" spans="3:31" x14ac:dyDescent="0.25">
      <c r="C48" s="2" t="s">
        <v>49</v>
      </c>
      <c r="D48" s="18">
        <v>1</v>
      </c>
      <c r="E48" s="18">
        <v>1</v>
      </c>
      <c r="F48" s="18">
        <v>1</v>
      </c>
      <c r="G48" s="18">
        <v>1</v>
      </c>
      <c r="H48" s="18">
        <v>1</v>
      </c>
      <c r="I48" s="18">
        <v>1</v>
      </c>
      <c r="J48" s="18">
        <v>1</v>
      </c>
      <c r="K48" s="18">
        <v>1</v>
      </c>
      <c r="L48" s="18">
        <v>1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1</v>
      </c>
      <c r="Y48" s="18">
        <v>0.11</v>
      </c>
      <c r="Z48" s="18">
        <v>1.1000000000000001</v>
      </c>
      <c r="AA48" s="18">
        <v>1.1000000000000001</v>
      </c>
      <c r="AB48" s="18">
        <v>1</v>
      </c>
      <c r="AC48" s="18">
        <v>1</v>
      </c>
      <c r="AD48" s="18">
        <v>1</v>
      </c>
      <c r="AE48" s="2">
        <v>1</v>
      </c>
    </row>
    <row r="49" spans="3:31" x14ac:dyDescent="0.25">
      <c r="C49" s="2" t="s">
        <v>50</v>
      </c>
      <c r="D49" s="18">
        <v>716</v>
      </c>
      <c r="E49" s="18">
        <v>724</v>
      </c>
      <c r="F49" s="18">
        <v>723</v>
      </c>
      <c r="G49" s="18">
        <v>723</v>
      </c>
      <c r="H49" s="18">
        <v>723</v>
      </c>
      <c r="I49" s="18">
        <v>725</v>
      </c>
      <c r="J49" s="18">
        <v>724</v>
      </c>
      <c r="K49" s="18">
        <v>724</v>
      </c>
      <c r="L49" s="18">
        <v>724</v>
      </c>
      <c r="M49" s="18">
        <v>728</v>
      </c>
      <c r="N49" s="18">
        <v>746</v>
      </c>
      <c r="O49" s="18">
        <v>746</v>
      </c>
      <c r="P49" s="18">
        <v>746</v>
      </c>
      <c r="Q49" s="18">
        <v>748</v>
      </c>
      <c r="R49" s="18">
        <v>805</v>
      </c>
      <c r="S49" s="2">
        <v>806</v>
      </c>
      <c r="Y49" s="18">
        <v>645.76</v>
      </c>
      <c r="Z49" s="18">
        <v>716.4</v>
      </c>
      <c r="AA49" s="18">
        <v>715.6</v>
      </c>
      <c r="AB49" s="18">
        <v>723</v>
      </c>
      <c r="AC49" s="18">
        <v>724</v>
      </c>
      <c r="AD49" s="18">
        <v>746</v>
      </c>
      <c r="AE49" s="2">
        <v>806</v>
      </c>
    </row>
    <row r="50" spans="3:31" x14ac:dyDescent="0.25">
      <c r="C50" s="2" t="s">
        <v>51</v>
      </c>
      <c r="D50" s="18">
        <v>0</v>
      </c>
      <c r="E50" s="18">
        <v>0</v>
      </c>
      <c r="F50" s="18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2">
        <v>0</v>
      </c>
      <c r="Y50" s="18">
        <v>-0.32</v>
      </c>
      <c r="Z50" s="18">
        <v>-0.2</v>
      </c>
      <c r="AA50" s="18">
        <v>-0.1</v>
      </c>
      <c r="AB50" s="18">
        <v>0</v>
      </c>
      <c r="AC50" s="18">
        <v>0</v>
      </c>
      <c r="AD50" s="18">
        <v>0</v>
      </c>
      <c r="AE50" s="2">
        <v>0</v>
      </c>
    </row>
    <row r="51" spans="3:31" x14ac:dyDescent="0.25">
      <c r="C51" s="2" t="s">
        <v>52</v>
      </c>
      <c r="D51" s="18">
        <v>258</v>
      </c>
      <c r="E51" s="18">
        <v>171</v>
      </c>
      <c r="F51" s="18">
        <v>171</v>
      </c>
      <c r="G51" s="18">
        <v>171</v>
      </c>
      <c r="H51" s="18">
        <v>413</v>
      </c>
      <c r="I51" s="18">
        <v>316</v>
      </c>
      <c r="J51" s="18">
        <v>299</v>
      </c>
      <c r="K51" s="18">
        <v>219</v>
      </c>
      <c r="L51" s="18">
        <v>458</v>
      </c>
      <c r="M51" s="18">
        <v>268</v>
      </c>
      <c r="N51" s="18">
        <v>241</v>
      </c>
      <c r="O51" s="18">
        <v>190</v>
      </c>
      <c r="P51" s="18">
        <v>442</v>
      </c>
      <c r="Q51" s="18">
        <v>260</v>
      </c>
      <c r="R51" s="18">
        <v>198</v>
      </c>
      <c r="S51" s="2">
        <v>130</v>
      </c>
      <c r="Y51" s="18">
        <v>-78.180000000000007</v>
      </c>
      <c r="Z51" s="18">
        <v>-129.4</v>
      </c>
      <c r="AA51" s="18">
        <v>-30.1</v>
      </c>
      <c r="AB51" s="18">
        <v>171</v>
      </c>
      <c r="AC51" s="18">
        <v>219</v>
      </c>
      <c r="AD51" s="18">
        <v>190</v>
      </c>
      <c r="AE51" s="2">
        <v>130</v>
      </c>
    </row>
    <row r="52" spans="3:31" x14ac:dyDescent="0.25">
      <c r="C52" s="2" t="s">
        <v>53</v>
      </c>
      <c r="D52" s="18">
        <v>39</v>
      </c>
      <c r="E52" s="18">
        <v>121</v>
      </c>
      <c r="F52" s="18">
        <v>189</v>
      </c>
      <c r="G52" s="18">
        <v>243</v>
      </c>
      <c r="H52" s="18">
        <v>53</v>
      </c>
      <c r="I52" s="18">
        <v>167</v>
      </c>
      <c r="J52" s="18">
        <v>248</v>
      </c>
      <c r="K52" s="18">
        <v>308</v>
      </c>
      <c r="L52" s="18">
        <v>46</v>
      </c>
      <c r="M52" s="18">
        <v>170</v>
      </c>
      <c r="N52" s="18">
        <v>233</v>
      </c>
      <c r="O52" s="18">
        <v>283</v>
      </c>
      <c r="P52" s="18">
        <v>58</v>
      </c>
      <c r="Q52" s="18">
        <v>199</v>
      </c>
      <c r="R52" s="18">
        <v>281</v>
      </c>
      <c r="S52" s="2">
        <v>334</v>
      </c>
      <c r="Y52" s="18">
        <v>59.7</v>
      </c>
      <c r="Z52" s="18">
        <v>171.6</v>
      </c>
      <c r="AA52" s="18">
        <v>288</v>
      </c>
      <c r="AB52" s="18">
        <v>243</v>
      </c>
      <c r="AC52" s="18">
        <v>308</v>
      </c>
      <c r="AD52" s="18">
        <v>283</v>
      </c>
      <c r="AE52" s="2">
        <v>334</v>
      </c>
    </row>
    <row r="53" spans="3:31" x14ac:dyDescent="0.25">
      <c r="C53" s="7" t="s">
        <v>54</v>
      </c>
      <c r="D53" s="26">
        <f t="shared" ref="D53:O53" si="49">SUM(D48:D52)</f>
        <v>1014</v>
      </c>
      <c r="E53" s="26">
        <f t="shared" si="49"/>
        <v>1017</v>
      </c>
      <c r="F53" s="26">
        <f t="shared" si="49"/>
        <v>1084</v>
      </c>
      <c r="G53" s="26">
        <f t="shared" si="49"/>
        <v>1138</v>
      </c>
      <c r="H53" s="26">
        <f t="shared" si="49"/>
        <v>1190</v>
      </c>
      <c r="I53" s="26">
        <f t="shared" si="49"/>
        <v>1209</v>
      </c>
      <c r="J53" s="26">
        <f t="shared" si="49"/>
        <v>1272</v>
      </c>
      <c r="K53" s="26">
        <f t="shared" si="49"/>
        <v>1252</v>
      </c>
      <c r="L53" s="26">
        <f t="shared" si="49"/>
        <v>1229</v>
      </c>
      <c r="M53" s="26">
        <f t="shared" si="49"/>
        <v>1167</v>
      </c>
      <c r="N53" s="26">
        <f t="shared" si="49"/>
        <v>1221</v>
      </c>
      <c r="O53" s="26">
        <f t="shared" si="49"/>
        <v>1220</v>
      </c>
      <c r="P53" s="26">
        <f>SUM(P48:P52)</f>
        <v>1247</v>
      </c>
      <c r="Q53" s="26">
        <f t="shared" ref="Q53:T53" si="50">SUM(Q48:Q52)</f>
        <v>1208</v>
      </c>
      <c r="R53" s="26">
        <f t="shared" si="50"/>
        <v>1285</v>
      </c>
      <c r="S53" s="26">
        <f t="shared" si="50"/>
        <v>1271</v>
      </c>
      <c r="T53" s="26">
        <f t="shared" si="50"/>
        <v>0</v>
      </c>
      <c r="Y53" s="26">
        <f t="shared" ref="Y53:AA53" si="51">SUM(Y48:Y52)</f>
        <v>627.06999999999994</v>
      </c>
      <c r="Z53" s="26">
        <f t="shared" si="51"/>
        <v>759.5</v>
      </c>
      <c r="AA53" s="26">
        <f t="shared" si="51"/>
        <v>974.5</v>
      </c>
      <c r="AB53" s="26">
        <f t="shared" ref="AB53" si="52">SUM(AB48:AB52)</f>
        <v>1138</v>
      </c>
      <c r="AC53" s="26">
        <f t="shared" ref="AC53" si="53">SUM(AC48:AC52)</f>
        <v>1252</v>
      </c>
      <c r="AD53" s="26">
        <f t="shared" ref="AD53" si="54">SUM(AD48:AD52)</f>
        <v>1220</v>
      </c>
      <c r="AE53" s="26">
        <f t="shared" ref="AE53" si="55">SUM(AE48:AE52)</f>
        <v>1271</v>
      </c>
    </row>
    <row r="54" spans="3:31" x14ac:dyDescent="0.25">
      <c r="C54" s="2" t="s">
        <v>55</v>
      </c>
      <c r="D54" s="18">
        <v>165</v>
      </c>
      <c r="E54" s="18">
        <v>30</v>
      </c>
      <c r="F54" s="18">
        <v>12</v>
      </c>
      <c r="G54" s="18">
        <v>11</v>
      </c>
      <c r="H54" s="18">
        <v>10</v>
      </c>
      <c r="I54" s="18">
        <v>10</v>
      </c>
      <c r="J54" s="18">
        <v>9</v>
      </c>
      <c r="K54" s="18">
        <v>8</v>
      </c>
      <c r="L54" s="18">
        <v>7</v>
      </c>
      <c r="M54" s="18">
        <v>7</v>
      </c>
      <c r="N54" s="18">
        <v>7</v>
      </c>
      <c r="O54" s="18">
        <v>7</v>
      </c>
      <c r="P54" s="18">
        <v>12</v>
      </c>
      <c r="Q54" s="18">
        <v>10</v>
      </c>
      <c r="R54" s="18">
        <v>9</v>
      </c>
      <c r="S54" s="2">
        <v>8</v>
      </c>
      <c r="Y54" s="18">
        <v>5.44</v>
      </c>
      <c r="Z54" s="18">
        <v>4.5999999999999996</v>
      </c>
      <c r="AA54" s="18">
        <v>6.5</v>
      </c>
      <c r="AB54" s="18">
        <v>11</v>
      </c>
      <c r="AC54" s="18">
        <v>8</v>
      </c>
      <c r="AD54" s="18">
        <v>7</v>
      </c>
      <c r="AE54" s="2">
        <v>8</v>
      </c>
    </row>
    <row r="55" spans="3:31" x14ac:dyDescent="0.25">
      <c r="C55" s="2" t="s">
        <v>56</v>
      </c>
      <c r="D55" s="18">
        <v>35</v>
      </c>
      <c r="E55" s="18">
        <v>35</v>
      </c>
      <c r="F55" s="18">
        <v>35</v>
      </c>
      <c r="G55" s="18">
        <v>35</v>
      </c>
      <c r="H55" s="18">
        <v>35</v>
      </c>
      <c r="I55" s="18">
        <v>35</v>
      </c>
      <c r="J55" s="18">
        <v>35</v>
      </c>
      <c r="K55" s="18">
        <v>36</v>
      </c>
      <c r="L55" s="18">
        <v>35</v>
      </c>
      <c r="M55" s="18">
        <v>35</v>
      </c>
      <c r="N55" s="18">
        <v>35</v>
      </c>
      <c r="O55" s="18">
        <v>35</v>
      </c>
      <c r="P55" s="18">
        <v>35</v>
      </c>
      <c r="Q55" s="18">
        <v>35</v>
      </c>
      <c r="R55" s="18">
        <v>35</v>
      </c>
      <c r="S55" s="2">
        <v>35</v>
      </c>
      <c r="Y55" s="18">
        <v>35.35</v>
      </c>
      <c r="Z55" s="18">
        <v>35.700000000000003</v>
      </c>
      <c r="AA55" s="18">
        <v>36.4</v>
      </c>
      <c r="AB55" s="18">
        <v>35</v>
      </c>
      <c r="AC55" s="18">
        <v>36</v>
      </c>
      <c r="AD55" s="18">
        <v>35</v>
      </c>
      <c r="AE55" s="2">
        <v>35</v>
      </c>
    </row>
    <row r="56" spans="3:31" x14ac:dyDescent="0.25">
      <c r="C56" s="2" t="s">
        <v>57</v>
      </c>
      <c r="D56" s="18">
        <v>0</v>
      </c>
      <c r="E56" s="18">
        <v>0</v>
      </c>
      <c r="F56" s="18">
        <v>0</v>
      </c>
      <c r="G56" s="18">
        <v>0</v>
      </c>
      <c r="H56" s="18">
        <v>0</v>
      </c>
      <c r="I56" s="18">
        <v>0</v>
      </c>
      <c r="J56" s="18">
        <v>0</v>
      </c>
      <c r="K56" s="18">
        <v>0</v>
      </c>
      <c r="L56" s="18">
        <v>0</v>
      </c>
      <c r="M56" s="2">
        <v>0</v>
      </c>
      <c r="N56" s="2">
        <v>0</v>
      </c>
      <c r="O56" s="18">
        <v>0</v>
      </c>
      <c r="P56" s="18">
        <v>3</v>
      </c>
      <c r="Q56" s="18">
        <v>7</v>
      </c>
      <c r="R56" s="18">
        <v>8</v>
      </c>
      <c r="S56" s="2">
        <v>0</v>
      </c>
      <c r="X56" s="1"/>
      <c r="Y56" s="18">
        <v>230</v>
      </c>
      <c r="Z56" s="18">
        <v>228.5</v>
      </c>
      <c r="AA56" s="18">
        <v>19.899999999999999</v>
      </c>
      <c r="AB56" s="18">
        <v>0</v>
      </c>
      <c r="AC56" s="18">
        <v>0</v>
      </c>
      <c r="AD56" s="18">
        <v>0</v>
      </c>
      <c r="AE56" s="2">
        <v>0</v>
      </c>
    </row>
    <row r="57" spans="3:31" x14ac:dyDescent="0.25">
      <c r="C57" s="2" t="s">
        <v>58</v>
      </c>
      <c r="D57" s="18">
        <v>2</v>
      </c>
      <c r="E57" s="18">
        <v>3</v>
      </c>
      <c r="F57" s="18">
        <v>4</v>
      </c>
      <c r="G57" s="18">
        <v>4</v>
      </c>
      <c r="H57" s="18">
        <v>4</v>
      </c>
      <c r="I57" s="18">
        <v>3</v>
      </c>
      <c r="J57" s="18">
        <v>4</v>
      </c>
      <c r="K57" s="18">
        <v>4</v>
      </c>
      <c r="L57" s="18">
        <v>4</v>
      </c>
      <c r="M57" s="18">
        <v>4</v>
      </c>
      <c r="N57" s="18">
        <v>5</v>
      </c>
      <c r="O57" s="18">
        <v>5</v>
      </c>
      <c r="P57" s="18">
        <v>7</v>
      </c>
      <c r="Q57" s="18">
        <v>0</v>
      </c>
      <c r="R57" s="18">
        <v>0</v>
      </c>
      <c r="S57" s="2">
        <v>8</v>
      </c>
      <c r="Y57" s="18">
        <v>1.28</v>
      </c>
      <c r="Z57" s="18">
        <v>1.5</v>
      </c>
      <c r="AA57" s="18">
        <v>1.6</v>
      </c>
      <c r="AB57" s="18">
        <v>4</v>
      </c>
      <c r="AC57" s="18">
        <v>4</v>
      </c>
      <c r="AD57" s="18">
        <v>5</v>
      </c>
      <c r="AE57" s="2">
        <v>8</v>
      </c>
    </row>
    <row r="58" spans="3:31" x14ac:dyDescent="0.25">
      <c r="C58" s="2" t="s">
        <v>59</v>
      </c>
      <c r="D58" s="18">
        <v>183</v>
      </c>
      <c r="E58" s="18">
        <v>117</v>
      </c>
      <c r="F58" s="18">
        <v>61</v>
      </c>
      <c r="G58" s="18">
        <v>91</v>
      </c>
      <c r="H58" s="18">
        <v>109</v>
      </c>
      <c r="I58" s="18">
        <v>140</v>
      </c>
      <c r="J58" s="18">
        <v>78</v>
      </c>
      <c r="K58" s="18">
        <v>140</v>
      </c>
      <c r="L58" s="18">
        <v>142</v>
      </c>
      <c r="M58" s="18">
        <v>194</v>
      </c>
      <c r="N58" s="18">
        <v>51</v>
      </c>
      <c r="O58" s="18">
        <v>119</v>
      </c>
      <c r="P58" s="18">
        <v>132</v>
      </c>
      <c r="Q58" s="18">
        <v>143</v>
      </c>
      <c r="R58" s="18">
        <v>55</v>
      </c>
      <c r="S58" s="2">
        <v>205</v>
      </c>
      <c r="Y58" s="18">
        <v>13.47</v>
      </c>
      <c r="Z58" s="18">
        <v>99</v>
      </c>
      <c r="AA58" s="18">
        <v>184.7</v>
      </c>
      <c r="AB58" s="18">
        <v>91</v>
      </c>
      <c r="AC58" s="18">
        <v>140</v>
      </c>
      <c r="AD58" s="18">
        <v>119</v>
      </c>
      <c r="AE58" s="2">
        <v>205</v>
      </c>
    </row>
    <row r="59" spans="3:31" x14ac:dyDescent="0.25">
      <c r="C59" s="2" t="s">
        <v>60</v>
      </c>
      <c r="D59" s="18">
        <v>34</v>
      </c>
      <c r="E59" s="18">
        <v>69</v>
      </c>
      <c r="F59" s="18">
        <v>59</v>
      </c>
      <c r="G59" s="18">
        <v>43</v>
      </c>
      <c r="H59" s="18">
        <v>45</v>
      </c>
      <c r="I59" s="18">
        <v>91</v>
      </c>
      <c r="J59" s="18">
        <v>48</v>
      </c>
      <c r="K59" s="18">
        <v>46</v>
      </c>
      <c r="L59" s="18">
        <v>34</v>
      </c>
      <c r="M59" s="18">
        <v>118</v>
      </c>
      <c r="N59" s="18">
        <v>56</v>
      </c>
      <c r="O59" s="18">
        <v>54</v>
      </c>
      <c r="P59" s="18">
        <v>48</v>
      </c>
      <c r="Q59" s="18">
        <v>105</v>
      </c>
      <c r="R59" s="18">
        <v>58</v>
      </c>
      <c r="S59" s="2">
        <v>48</v>
      </c>
      <c r="Y59" s="18">
        <v>11.15</v>
      </c>
      <c r="Z59" s="18">
        <v>35.700000000000003</v>
      </c>
      <c r="AA59" s="18">
        <v>42.7</v>
      </c>
      <c r="AB59" s="18">
        <v>43</v>
      </c>
      <c r="AC59" s="18">
        <v>46</v>
      </c>
      <c r="AD59" s="18">
        <v>54</v>
      </c>
      <c r="AE59" s="2">
        <v>48</v>
      </c>
    </row>
    <row r="60" spans="3:31" x14ac:dyDescent="0.25">
      <c r="C60" s="2" t="s">
        <v>154</v>
      </c>
      <c r="D60" s="18">
        <v>56</v>
      </c>
      <c r="E60" s="18">
        <v>13</v>
      </c>
      <c r="F60" s="18">
        <v>15</v>
      </c>
      <c r="G60" s="18">
        <v>20</v>
      </c>
      <c r="H60" s="18">
        <v>19</v>
      </c>
      <c r="I60" s="18">
        <v>12</v>
      </c>
      <c r="J60" s="18">
        <v>17</v>
      </c>
      <c r="K60" s="18">
        <v>22</v>
      </c>
      <c r="L60" s="18">
        <v>18</v>
      </c>
      <c r="M60" s="18">
        <v>34</v>
      </c>
      <c r="N60" s="18">
        <v>33</v>
      </c>
      <c r="O60" s="18">
        <v>9</v>
      </c>
      <c r="P60" s="18">
        <v>4</v>
      </c>
      <c r="Q60" s="18">
        <v>15</v>
      </c>
      <c r="R60" s="18">
        <v>15</v>
      </c>
      <c r="S60" s="7">
        <v>7</v>
      </c>
      <c r="T60" s="7"/>
      <c r="U60" s="7"/>
      <c r="V60" s="7"/>
      <c r="X60" s="1"/>
      <c r="Y60" s="18">
        <v>14.43</v>
      </c>
      <c r="Z60" s="18">
        <v>36.200000000000003</v>
      </c>
      <c r="AA60" s="18">
        <v>50.4</v>
      </c>
      <c r="AB60" s="18">
        <v>20</v>
      </c>
      <c r="AC60" s="18">
        <v>22</v>
      </c>
      <c r="AD60" s="18">
        <v>9</v>
      </c>
      <c r="AE60" s="7">
        <v>7</v>
      </c>
    </row>
    <row r="61" spans="3:31" x14ac:dyDescent="0.25">
      <c r="C61" s="2" t="s">
        <v>61</v>
      </c>
      <c r="D61" s="18">
        <v>41</v>
      </c>
      <c r="E61" s="18">
        <v>48</v>
      </c>
      <c r="F61" s="18">
        <v>49</v>
      </c>
      <c r="G61" s="18">
        <v>32</v>
      </c>
      <c r="H61" s="18">
        <v>63</v>
      </c>
      <c r="I61" s="18">
        <v>83</v>
      </c>
      <c r="J61" s="18">
        <v>56</v>
      </c>
      <c r="K61" s="18">
        <v>37</v>
      </c>
      <c r="L61" s="18">
        <v>48</v>
      </c>
      <c r="M61" s="18">
        <v>102</v>
      </c>
      <c r="N61" s="18">
        <v>70</v>
      </c>
      <c r="O61" s="18">
        <v>34</v>
      </c>
      <c r="P61" s="18">
        <v>71</v>
      </c>
      <c r="Q61" s="18">
        <v>103</v>
      </c>
      <c r="R61" s="18">
        <v>72</v>
      </c>
      <c r="S61" s="2">
        <v>47</v>
      </c>
      <c r="Y61" s="18">
        <v>6.59</v>
      </c>
      <c r="Z61" s="18">
        <v>25.7</v>
      </c>
      <c r="AA61" s="18">
        <v>31.3</v>
      </c>
      <c r="AB61" s="18">
        <v>32</v>
      </c>
      <c r="AC61" s="18">
        <v>37</v>
      </c>
      <c r="AD61" s="18">
        <v>34</v>
      </c>
      <c r="AE61" s="2">
        <v>47</v>
      </c>
    </row>
    <row r="62" spans="3:31" x14ac:dyDescent="0.25">
      <c r="C62" s="2" t="s">
        <v>62</v>
      </c>
      <c r="D62" s="18">
        <v>47</v>
      </c>
      <c r="E62" s="18">
        <v>65</v>
      </c>
      <c r="F62" s="18">
        <v>83</v>
      </c>
      <c r="G62" s="18">
        <v>63</v>
      </c>
      <c r="H62" s="18">
        <v>72</v>
      </c>
      <c r="I62" s="18">
        <v>86</v>
      </c>
      <c r="J62" s="18">
        <v>104</v>
      </c>
      <c r="K62" s="18">
        <v>73</v>
      </c>
      <c r="L62" s="18">
        <v>78</v>
      </c>
      <c r="M62" s="18">
        <v>92</v>
      </c>
      <c r="N62" s="18">
        <v>108</v>
      </c>
      <c r="O62" s="18">
        <v>77</v>
      </c>
      <c r="P62" s="18">
        <v>91</v>
      </c>
      <c r="Q62" s="18">
        <v>102</v>
      </c>
      <c r="R62" s="18">
        <v>119</v>
      </c>
      <c r="S62" s="2">
        <v>96</v>
      </c>
      <c r="Y62" s="18">
        <v>11.82</v>
      </c>
      <c r="Z62" s="18">
        <v>41.7</v>
      </c>
      <c r="AA62" s="18">
        <v>46.4</v>
      </c>
      <c r="AB62" s="18">
        <v>63</v>
      </c>
      <c r="AC62" s="18">
        <v>73</v>
      </c>
      <c r="AD62" s="18">
        <v>77</v>
      </c>
      <c r="AE62" s="2">
        <v>96</v>
      </c>
    </row>
    <row r="63" spans="3:31" x14ac:dyDescent="0.25">
      <c r="C63" s="7" t="s">
        <v>63</v>
      </c>
      <c r="D63" s="26">
        <f t="shared" ref="D63:L63" si="56">SUM(D54:D62)</f>
        <v>563</v>
      </c>
      <c r="E63" s="26">
        <f t="shared" si="56"/>
        <v>380</v>
      </c>
      <c r="F63" s="26">
        <f t="shared" si="56"/>
        <v>318</v>
      </c>
      <c r="G63" s="26">
        <f t="shared" si="56"/>
        <v>299</v>
      </c>
      <c r="H63" s="26">
        <f t="shared" si="56"/>
        <v>357</v>
      </c>
      <c r="I63" s="26">
        <f t="shared" si="56"/>
        <v>460</v>
      </c>
      <c r="J63" s="26">
        <f t="shared" si="56"/>
        <v>351</v>
      </c>
      <c r="K63" s="26">
        <f t="shared" si="56"/>
        <v>366</v>
      </c>
      <c r="L63" s="26">
        <f t="shared" si="56"/>
        <v>366</v>
      </c>
      <c r="M63" s="26">
        <f>SUM(M54:M62)</f>
        <v>586</v>
      </c>
      <c r="N63" s="26">
        <f>SUM(N54:N62)</f>
        <v>365</v>
      </c>
      <c r="O63" s="26">
        <f>SUM(O54:O62)</f>
        <v>340</v>
      </c>
      <c r="P63" s="26">
        <f>SUM(P54:P62)</f>
        <v>403</v>
      </c>
      <c r="Q63" s="26">
        <f t="shared" ref="Q63:R63" si="57">SUM(Q54:Q62)</f>
        <v>520</v>
      </c>
      <c r="R63" s="26">
        <f t="shared" si="57"/>
        <v>371</v>
      </c>
      <c r="S63" s="26">
        <f t="shared" ref="S63:T63" si="58">SUM(S54:S62)</f>
        <v>454</v>
      </c>
      <c r="T63" s="26">
        <f t="shared" si="58"/>
        <v>0</v>
      </c>
      <c r="Y63" s="26">
        <f t="shared" ref="Y63:AA63" si="59">SUM(Y54:Y62)</f>
        <v>329.53</v>
      </c>
      <c r="Z63" s="26">
        <f t="shared" si="59"/>
        <v>508.59999999999997</v>
      </c>
      <c r="AA63" s="26">
        <f t="shared" si="59"/>
        <v>419.89999999999992</v>
      </c>
      <c r="AB63" s="26">
        <f t="shared" ref="AB63" si="60">SUM(AB54:AB62)</f>
        <v>299</v>
      </c>
      <c r="AC63" s="26">
        <f t="shared" ref="AC63" si="61">SUM(AC54:AC62)</f>
        <v>366</v>
      </c>
      <c r="AD63" s="26">
        <f>SUM(AD54:AD62)</f>
        <v>340</v>
      </c>
      <c r="AE63" s="26">
        <f t="shared" ref="AE63" si="62">SUM(AE54:AE62)</f>
        <v>454</v>
      </c>
    </row>
    <row r="64" spans="3:31" x14ac:dyDescent="0.25">
      <c r="C64" s="1" t="s">
        <v>64</v>
      </c>
      <c r="D64" s="17">
        <f t="shared" ref="D64:O64" si="63">D53+D63</f>
        <v>1577</v>
      </c>
      <c r="E64" s="17">
        <f t="shared" si="63"/>
        <v>1397</v>
      </c>
      <c r="F64" s="17">
        <f t="shared" si="63"/>
        <v>1402</v>
      </c>
      <c r="G64" s="17">
        <f t="shared" si="63"/>
        <v>1437</v>
      </c>
      <c r="H64" s="17">
        <f t="shared" si="63"/>
        <v>1547</v>
      </c>
      <c r="I64" s="17">
        <f t="shared" si="63"/>
        <v>1669</v>
      </c>
      <c r="J64" s="17">
        <f t="shared" si="63"/>
        <v>1623</v>
      </c>
      <c r="K64" s="17">
        <f t="shared" si="63"/>
        <v>1618</v>
      </c>
      <c r="L64" s="17">
        <f t="shared" si="63"/>
        <v>1595</v>
      </c>
      <c r="M64" s="17">
        <f t="shared" si="63"/>
        <v>1753</v>
      </c>
      <c r="N64" s="17">
        <f t="shared" si="63"/>
        <v>1586</v>
      </c>
      <c r="O64" s="17">
        <f t="shared" si="63"/>
        <v>1560</v>
      </c>
      <c r="P64" s="17">
        <f>P53+P63</f>
        <v>1650</v>
      </c>
      <c r="Q64" s="17">
        <f t="shared" ref="Q64:R64" si="64">Q53+Q63</f>
        <v>1728</v>
      </c>
      <c r="R64" s="17">
        <f t="shared" si="64"/>
        <v>1656</v>
      </c>
      <c r="S64" s="17">
        <f t="shared" ref="S64:T64" si="65">S53+S63</f>
        <v>1725</v>
      </c>
      <c r="T64" s="17">
        <f t="shared" si="65"/>
        <v>0</v>
      </c>
      <c r="W64" s="1"/>
      <c r="Y64" s="17">
        <f t="shared" ref="Y64:AA64" si="66">Y53+Y63</f>
        <v>956.59999999999991</v>
      </c>
      <c r="Z64" s="17">
        <f t="shared" si="66"/>
        <v>1268.0999999999999</v>
      </c>
      <c r="AA64" s="17">
        <f t="shared" si="66"/>
        <v>1394.3999999999999</v>
      </c>
      <c r="AB64" s="17">
        <f t="shared" ref="AB64" si="67">AB53+AB63</f>
        <v>1437</v>
      </c>
      <c r="AC64" s="17">
        <f t="shared" ref="AC64" si="68">AC53+AC63</f>
        <v>1618</v>
      </c>
      <c r="AD64" s="17">
        <f t="shared" ref="AD64" si="69">AD53+AD63</f>
        <v>1560</v>
      </c>
      <c r="AE64" s="17">
        <f t="shared" ref="AE64" si="70">AE53+AE63</f>
        <v>1725</v>
      </c>
    </row>
    <row r="65" spans="3:31" x14ac:dyDescent="0.25">
      <c r="W65" s="1"/>
    </row>
    <row r="66" spans="3:31" x14ac:dyDescent="0.25">
      <c r="C66" s="1" t="s">
        <v>65</v>
      </c>
      <c r="W66" s="1"/>
      <c r="X66" s="1"/>
      <c r="Y66" s="1"/>
      <c r="Z66" s="1"/>
      <c r="AA66" s="1"/>
      <c r="AB66" s="1"/>
      <c r="AC66" s="1"/>
    </row>
    <row r="67" spans="3:31" x14ac:dyDescent="0.25">
      <c r="C67" s="2" t="s">
        <v>66</v>
      </c>
      <c r="D67" s="2">
        <f t="shared" ref="D67:S67" si="71">D11</f>
        <v>50</v>
      </c>
      <c r="E67" s="2">
        <f t="shared" si="71"/>
        <v>105</v>
      </c>
      <c r="F67" s="2">
        <f t="shared" si="71"/>
        <v>87</v>
      </c>
      <c r="G67" s="2">
        <f t="shared" si="71"/>
        <v>68</v>
      </c>
      <c r="H67" s="2">
        <f t="shared" si="71"/>
        <v>67</v>
      </c>
      <c r="I67" s="2">
        <f t="shared" si="71"/>
        <v>143</v>
      </c>
      <c r="J67" s="2">
        <f t="shared" si="71"/>
        <v>102</v>
      </c>
      <c r="K67" s="2">
        <f t="shared" si="71"/>
        <v>74</v>
      </c>
      <c r="L67" s="2">
        <f t="shared" si="71"/>
        <v>57</v>
      </c>
      <c r="M67" s="2">
        <f t="shared" si="71"/>
        <v>158</v>
      </c>
      <c r="N67" s="2">
        <f t="shared" si="71"/>
        <v>80</v>
      </c>
      <c r="O67" s="2">
        <f t="shared" si="71"/>
        <v>63</v>
      </c>
      <c r="P67" s="2">
        <f t="shared" si="71"/>
        <v>74</v>
      </c>
      <c r="Q67" s="2">
        <f t="shared" si="71"/>
        <v>178</v>
      </c>
      <c r="R67" s="2">
        <f t="shared" si="71"/>
        <v>104</v>
      </c>
      <c r="S67" s="2">
        <f t="shared" si="71"/>
        <v>66</v>
      </c>
      <c r="W67" s="1"/>
      <c r="X67" s="18"/>
      <c r="Y67" s="18">
        <f t="shared" ref="Y67:AE67" si="72">Y11</f>
        <v>83.171000000000035</v>
      </c>
      <c r="Z67" s="18">
        <f t="shared" si="72"/>
        <v>230.46800000000002</v>
      </c>
      <c r="AA67" s="2">
        <f t="shared" si="72"/>
        <v>366</v>
      </c>
      <c r="AB67" s="2">
        <f t="shared" si="72"/>
        <v>310</v>
      </c>
      <c r="AC67" s="2">
        <f t="shared" si="72"/>
        <v>386</v>
      </c>
      <c r="AD67" s="2">
        <f t="shared" si="72"/>
        <v>357</v>
      </c>
      <c r="AE67" s="2">
        <f t="shared" si="72"/>
        <v>422</v>
      </c>
    </row>
    <row r="68" spans="3:31" x14ac:dyDescent="0.25">
      <c r="C68" s="2" t="s">
        <v>67</v>
      </c>
      <c r="D68" s="2">
        <v>50</v>
      </c>
      <c r="E68" s="2">
        <v>105</v>
      </c>
      <c r="F68" s="2">
        <v>87</v>
      </c>
      <c r="G68" s="2">
        <v>68</v>
      </c>
      <c r="H68" s="2">
        <v>67</v>
      </c>
      <c r="I68" s="2">
        <v>143</v>
      </c>
      <c r="J68" s="2">
        <v>101</v>
      </c>
      <c r="K68" s="2">
        <v>74</v>
      </c>
      <c r="L68" s="2">
        <v>57</v>
      </c>
      <c r="M68" s="2">
        <v>158</v>
      </c>
      <c r="N68" s="2">
        <v>80</v>
      </c>
      <c r="O68" s="2">
        <v>63</v>
      </c>
      <c r="P68" s="2">
        <v>75</v>
      </c>
      <c r="Q68" s="2">
        <v>177</v>
      </c>
      <c r="R68" s="2">
        <v>105</v>
      </c>
      <c r="S68" s="2">
        <v>66</v>
      </c>
      <c r="T68" s="1"/>
      <c r="U68" s="1"/>
      <c r="W68" s="1"/>
      <c r="X68" s="18"/>
      <c r="Y68" s="18">
        <v>83</v>
      </c>
      <c r="Z68" s="18">
        <v>230.405</v>
      </c>
      <c r="AA68" s="2">
        <v>367</v>
      </c>
      <c r="AB68" s="2">
        <v>310</v>
      </c>
      <c r="AC68" s="2">
        <v>386</v>
      </c>
      <c r="AD68" s="2">
        <v>357</v>
      </c>
      <c r="AE68" s="2">
        <v>422</v>
      </c>
    </row>
    <row r="69" spans="3:31" x14ac:dyDescent="0.25">
      <c r="C69" s="2" t="s">
        <v>21</v>
      </c>
      <c r="D69" s="2">
        <v>1</v>
      </c>
      <c r="E69" s="2">
        <v>2</v>
      </c>
      <c r="F69" s="2">
        <v>2</v>
      </c>
      <c r="G69" s="2">
        <v>2</v>
      </c>
      <c r="H69" s="2">
        <v>2</v>
      </c>
      <c r="I69" s="2">
        <v>2</v>
      </c>
      <c r="J69" s="2">
        <v>2</v>
      </c>
      <c r="K69" s="2">
        <v>2</v>
      </c>
      <c r="L69" s="2">
        <v>2</v>
      </c>
      <c r="M69" s="2">
        <v>2</v>
      </c>
      <c r="N69" s="2">
        <v>2</v>
      </c>
      <c r="O69" s="2">
        <v>2</v>
      </c>
      <c r="P69" s="2">
        <v>3</v>
      </c>
      <c r="Q69" s="2">
        <v>3</v>
      </c>
      <c r="R69" s="2">
        <v>3</v>
      </c>
      <c r="S69" s="2">
        <v>3</v>
      </c>
      <c r="T69" s="1"/>
      <c r="U69" s="1"/>
      <c r="W69" s="1"/>
      <c r="X69" s="18"/>
      <c r="Y69" s="18">
        <v>1.98</v>
      </c>
      <c r="Z69" s="18">
        <v>3.871</v>
      </c>
      <c r="AA69" s="2">
        <v>5</v>
      </c>
      <c r="AB69" s="2">
        <v>7</v>
      </c>
      <c r="AC69" s="2">
        <v>9</v>
      </c>
      <c r="AD69" s="2">
        <v>9</v>
      </c>
      <c r="AE69" s="2">
        <v>12</v>
      </c>
    </row>
    <row r="70" spans="3:31" x14ac:dyDescent="0.25">
      <c r="C70" s="2" t="s">
        <v>68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1"/>
      <c r="U70" s="1"/>
      <c r="W70" s="1"/>
      <c r="X70" s="18"/>
      <c r="Y70" s="18">
        <v>0</v>
      </c>
      <c r="Z70" s="18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</row>
    <row r="71" spans="3:31" x14ac:dyDescent="0.25">
      <c r="C71" s="2" t="s">
        <v>69</v>
      </c>
      <c r="D71" s="2">
        <v>0</v>
      </c>
      <c r="E71" s="2">
        <v>0</v>
      </c>
      <c r="F71" s="2">
        <v>0</v>
      </c>
      <c r="G71" s="2">
        <v>1</v>
      </c>
      <c r="H71" s="2">
        <v>1</v>
      </c>
      <c r="I71" s="2">
        <v>2</v>
      </c>
      <c r="J71" s="2">
        <v>2</v>
      </c>
      <c r="K71" s="2">
        <v>2</v>
      </c>
      <c r="L71" s="2">
        <v>1</v>
      </c>
      <c r="M71" s="2">
        <v>1</v>
      </c>
      <c r="N71" s="2">
        <v>0</v>
      </c>
      <c r="O71" s="2">
        <v>1</v>
      </c>
      <c r="P71" s="2">
        <v>0</v>
      </c>
      <c r="Q71" s="2">
        <v>1</v>
      </c>
      <c r="R71" s="2">
        <v>1</v>
      </c>
      <c r="S71" s="2">
        <v>1</v>
      </c>
      <c r="X71" s="18"/>
      <c r="Y71" s="18">
        <v>0</v>
      </c>
      <c r="Z71" s="18">
        <v>0</v>
      </c>
      <c r="AA71" s="2">
        <v>0</v>
      </c>
      <c r="AB71" s="2">
        <v>1</v>
      </c>
      <c r="AC71" s="2">
        <v>8</v>
      </c>
      <c r="AD71" s="2">
        <v>4</v>
      </c>
      <c r="AE71" s="2">
        <v>3</v>
      </c>
    </row>
    <row r="72" spans="3:31" x14ac:dyDescent="0.25">
      <c r="C72" s="2" t="s">
        <v>70</v>
      </c>
      <c r="D72" s="2">
        <v>-1</v>
      </c>
      <c r="E72" s="2">
        <v>-2</v>
      </c>
      <c r="F72" s="2">
        <v>-1</v>
      </c>
      <c r="G72" s="2">
        <v>-1</v>
      </c>
      <c r="H72" s="2">
        <v>-1</v>
      </c>
      <c r="I72" s="2">
        <v>-1</v>
      </c>
      <c r="J72" s="2">
        <v>-1</v>
      </c>
      <c r="K72" s="2">
        <v>-1</v>
      </c>
      <c r="L72" s="2">
        <v>-1</v>
      </c>
      <c r="M72" s="2">
        <v>-1</v>
      </c>
      <c r="N72" s="2">
        <v>-1</v>
      </c>
      <c r="O72" s="2">
        <v>-1</v>
      </c>
      <c r="P72" s="2">
        <v>-1</v>
      </c>
      <c r="Q72" s="2">
        <v>-1</v>
      </c>
      <c r="R72" s="2">
        <v>-1</v>
      </c>
      <c r="S72" s="2">
        <v>-1</v>
      </c>
      <c r="X72" s="18"/>
      <c r="Y72" s="18">
        <v>-6.9</v>
      </c>
      <c r="Z72" s="18">
        <v>-11.815</v>
      </c>
      <c r="AA72" s="2">
        <v>-3</v>
      </c>
      <c r="AB72" s="2">
        <v>-5</v>
      </c>
      <c r="AC72" s="2">
        <v>-4</v>
      </c>
      <c r="AD72" s="2">
        <v>-4</v>
      </c>
      <c r="AE72" s="2">
        <v>-4</v>
      </c>
    </row>
    <row r="73" spans="3:31" x14ac:dyDescent="0.25">
      <c r="C73" s="2" t="s">
        <v>71</v>
      </c>
      <c r="D73" s="2">
        <v>-10</v>
      </c>
      <c r="E73" s="2">
        <v>-62</v>
      </c>
      <c r="F73" s="2">
        <v>-13</v>
      </c>
      <c r="G73" s="2">
        <v>-15</v>
      </c>
      <c r="H73" s="2">
        <v>-12</v>
      </c>
      <c r="I73" s="2">
        <v>-36</v>
      </c>
      <c r="J73" s="2">
        <v>-16</v>
      </c>
      <c r="K73" s="2">
        <v>-11</v>
      </c>
      <c r="L73" s="2">
        <v>-15</v>
      </c>
      <c r="M73" s="2">
        <v>-32</v>
      </c>
      <c r="N73" s="2">
        <v>-18</v>
      </c>
      <c r="O73" s="2">
        <v>-16</v>
      </c>
      <c r="P73" s="2">
        <v>-24</v>
      </c>
      <c r="Q73" s="2">
        <v>-26</v>
      </c>
      <c r="R73" s="2">
        <v>-22</v>
      </c>
      <c r="S73" s="2">
        <v>-18</v>
      </c>
      <c r="X73" s="18"/>
      <c r="Y73" s="18">
        <v>-8.1999999999999993</v>
      </c>
      <c r="Z73" s="18">
        <v>-27.5</v>
      </c>
      <c r="AA73" s="2">
        <v>-63</v>
      </c>
      <c r="AB73" s="2">
        <v>-100</v>
      </c>
      <c r="AC73" s="2">
        <v>-74</v>
      </c>
      <c r="AD73" s="2">
        <v>-83</v>
      </c>
      <c r="AE73" s="2">
        <v>-90</v>
      </c>
    </row>
    <row r="74" spans="3:31" x14ac:dyDescent="0.25">
      <c r="C74" s="2" t="s">
        <v>72</v>
      </c>
      <c r="D74" s="2">
        <f>-82-33+3</f>
        <v>-112</v>
      </c>
      <c r="E74" s="2">
        <f>79+31-7</f>
        <v>103</v>
      </c>
      <c r="F74" s="2">
        <f>46+27-47</f>
        <v>26</v>
      </c>
      <c r="G74" s="2">
        <f>-4-17-23</f>
        <v>-44</v>
      </c>
      <c r="H74" s="2">
        <f>-96+4+59</f>
        <v>-33</v>
      </c>
      <c r="I74" s="2">
        <f>60-1+112</f>
        <v>171</v>
      </c>
      <c r="J74" s="2">
        <f>-23+2-117</f>
        <v>-138</v>
      </c>
      <c r="K74" s="2">
        <f>13+2+10</f>
        <v>25</v>
      </c>
      <c r="L74" s="2">
        <f>-129-5-8</f>
        <v>-142</v>
      </c>
      <c r="M74" s="2">
        <f>-14+10+203</f>
        <v>199</v>
      </c>
      <c r="N74" s="2">
        <f>48-1-219</f>
        <v>-172</v>
      </c>
      <c r="O74" s="2">
        <f>22+16-1</f>
        <v>37</v>
      </c>
      <c r="P74" s="2">
        <f>-65-19+58</f>
        <v>-26</v>
      </c>
      <c r="Q74" s="2">
        <f>91-1+116</f>
        <v>206</v>
      </c>
      <c r="R74" s="2">
        <f>86-154</f>
        <v>-68</v>
      </c>
      <c r="S74" s="2">
        <f>-111+3+88</f>
        <v>-20</v>
      </c>
      <c r="X74" s="18"/>
      <c r="Y74" s="18">
        <f>45.798-3.4+8.5</f>
        <v>50.898000000000003</v>
      </c>
      <c r="Z74" s="18">
        <f>-118.031-10.988+158.8</f>
        <v>29.781000000000006</v>
      </c>
      <c r="AA74" s="2">
        <f>-296-44+100</f>
        <v>-240</v>
      </c>
      <c r="AB74" s="2">
        <f>40+8-73</f>
        <v>-25</v>
      </c>
      <c r="AC74" s="2">
        <f>-46+5+66</f>
        <v>25</v>
      </c>
      <c r="AD74" s="2">
        <f>-74+20-10</f>
        <v>-64</v>
      </c>
      <c r="AE74" s="2">
        <v>92</v>
      </c>
    </row>
    <row r="75" spans="3:31" x14ac:dyDescent="0.25">
      <c r="C75" s="1" t="s">
        <v>73</v>
      </c>
      <c r="D75" s="1">
        <f t="shared" ref="D75:O75" si="73">SUM(D68:D74)</f>
        <v>-72</v>
      </c>
      <c r="E75" s="1">
        <f t="shared" si="73"/>
        <v>146</v>
      </c>
      <c r="F75" s="1">
        <f t="shared" si="73"/>
        <v>101</v>
      </c>
      <c r="G75" s="1">
        <f t="shared" si="73"/>
        <v>11</v>
      </c>
      <c r="H75" s="1">
        <f t="shared" si="73"/>
        <v>24</v>
      </c>
      <c r="I75" s="1">
        <f t="shared" si="73"/>
        <v>281</v>
      </c>
      <c r="J75" s="1">
        <f t="shared" si="73"/>
        <v>-50</v>
      </c>
      <c r="K75" s="1">
        <f t="shared" si="73"/>
        <v>91</v>
      </c>
      <c r="L75" s="1">
        <f t="shared" si="73"/>
        <v>-98</v>
      </c>
      <c r="M75" s="1">
        <f t="shared" si="73"/>
        <v>327</v>
      </c>
      <c r="N75" s="1">
        <f t="shared" si="73"/>
        <v>-109</v>
      </c>
      <c r="O75" s="1">
        <f t="shared" si="73"/>
        <v>86</v>
      </c>
      <c r="P75" s="1">
        <f>SUM(P68:P74)</f>
        <v>27</v>
      </c>
      <c r="Q75" s="1">
        <f t="shared" ref="Q75:S75" si="74">SUM(Q68:Q74)</f>
        <v>360</v>
      </c>
      <c r="R75" s="1">
        <f t="shared" si="74"/>
        <v>18</v>
      </c>
      <c r="S75" s="1">
        <f t="shared" si="74"/>
        <v>31</v>
      </c>
      <c r="X75" s="17"/>
      <c r="Y75" s="17">
        <f t="shared" ref="Y75" si="75">SUM(Y68:Y74)</f>
        <v>120.77799999999999</v>
      </c>
      <c r="Z75" s="17">
        <f t="shared" ref="Z75" si="76">SUM(Z68:Z74)</f>
        <v>224.74200000000002</v>
      </c>
      <c r="AA75" s="1">
        <f t="shared" ref="AA75" si="77">SUM(AA68:AA74)</f>
        <v>66</v>
      </c>
      <c r="AB75" s="1">
        <f t="shared" ref="AB75" si="78">SUM(AB68:AB74)</f>
        <v>188</v>
      </c>
      <c r="AC75" s="1">
        <f t="shared" ref="AC75" si="79">SUM(AC68:AC74)</f>
        <v>350</v>
      </c>
      <c r="AD75" s="1">
        <f t="shared" ref="AD75:AE75" si="80">SUM(AD68:AD74)</f>
        <v>219</v>
      </c>
      <c r="AE75" s="1">
        <f t="shared" si="80"/>
        <v>435</v>
      </c>
    </row>
    <row r="76" spans="3:31" x14ac:dyDescent="0.25">
      <c r="X76" s="18"/>
      <c r="Y76" s="18"/>
      <c r="Z76" s="18"/>
    </row>
    <row r="77" spans="3:31" x14ac:dyDescent="0.25">
      <c r="C77" s="2" t="s">
        <v>74</v>
      </c>
      <c r="D77" s="2">
        <v>-1</v>
      </c>
      <c r="E77" s="2">
        <v>-2</v>
      </c>
      <c r="F77" s="2">
        <v>-1</v>
      </c>
      <c r="G77" s="2">
        <v>-2</v>
      </c>
      <c r="H77" s="2">
        <v>-1</v>
      </c>
      <c r="I77" s="2">
        <v>-8</v>
      </c>
      <c r="J77" s="2">
        <v>0</v>
      </c>
      <c r="K77" s="2">
        <v>-1</v>
      </c>
      <c r="L77" s="2">
        <v>0</v>
      </c>
      <c r="M77" s="2">
        <v>-1</v>
      </c>
      <c r="N77" s="2">
        <v>0</v>
      </c>
      <c r="O77" s="2">
        <v>-2</v>
      </c>
      <c r="P77" s="2">
        <v>-1</v>
      </c>
      <c r="Q77" s="2">
        <v>-2</v>
      </c>
      <c r="R77" s="2">
        <v>-1</v>
      </c>
      <c r="S77" s="2">
        <v>-2</v>
      </c>
      <c r="X77" s="18"/>
      <c r="Y77" s="18">
        <v>-7</v>
      </c>
      <c r="Z77" s="18">
        <v>-3.2</v>
      </c>
      <c r="AA77" s="2">
        <v>-3</v>
      </c>
      <c r="AB77" s="2">
        <v>-6</v>
      </c>
      <c r="AC77" s="2">
        <v>-10</v>
      </c>
      <c r="AD77" s="2">
        <v>-3</v>
      </c>
      <c r="AE77" s="2">
        <v>-6</v>
      </c>
    </row>
    <row r="78" spans="3:31" x14ac:dyDescent="0.25">
      <c r="C78" s="1" t="s">
        <v>75</v>
      </c>
      <c r="D78" s="1">
        <f t="shared" ref="D78:O78" si="81">D77</f>
        <v>-1</v>
      </c>
      <c r="E78" s="1">
        <f t="shared" si="81"/>
        <v>-2</v>
      </c>
      <c r="F78" s="1">
        <f t="shared" si="81"/>
        <v>-1</v>
      </c>
      <c r="G78" s="1">
        <f t="shared" si="81"/>
        <v>-2</v>
      </c>
      <c r="H78" s="1">
        <f t="shared" si="81"/>
        <v>-1</v>
      </c>
      <c r="I78" s="1">
        <f t="shared" si="81"/>
        <v>-8</v>
      </c>
      <c r="J78" s="1">
        <f t="shared" si="81"/>
        <v>0</v>
      </c>
      <c r="K78" s="1">
        <f t="shared" si="81"/>
        <v>-1</v>
      </c>
      <c r="L78" s="1">
        <f t="shared" si="81"/>
        <v>0</v>
      </c>
      <c r="M78" s="1">
        <f t="shared" si="81"/>
        <v>-1</v>
      </c>
      <c r="N78" s="1">
        <f t="shared" si="81"/>
        <v>0</v>
      </c>
      <c r="O78" s="1">
        <f t="shared" si="81"/>
        <v>-2</v>
      </c>
      <c r="P78" s="1">
        <f>P77</f>
        <v>-1</v>
      </c>
      <c r="Q78" s="1">
        <f t="shared" ref="Q78:S78" si="82">Q77</f>
        <v>-2</v>
      </c>
      <c r="R78" s="1">
        <f t="shared" si="82"/>
        <v>-1</v>
      </c>
      <c r="S78" s="1">
        <f t="shared" si="82"/>
        <v>-2</v>
      </c>
      <c r="T78" s="7"/>
      <c r="U78" s="7"/>
      <c r="X78" s="17"/>
      <c r="Y78" s="17">
        <f t="shared" ref="Y78" si="83">Y77</f>
        <v>-7</v>
      </c>
      <c r="Z78" s="17">
        <f t="shared" ref="Z78" si="84">Z77</f>
        <v>-3.2</v>
      </c>
      <c r="AA78" s="1">
        <f t="shared" ref="AA78" si="85">AA77</f>
        <v>-3</v>
      </c>
      <c r="AB78" s="1">
        <f t="shared" ref="AB78" si="86">AB77</f>
        <v>-6</v>
      </c>
      <c r="AC78" s="1">
        <f t="shared" ref="AC78" si="87">AC77</f>
        <v>-10</v>
      </c>
      <c r="AD78" s="1">
        <f t="shared" ref="AD78:AE78" si="88">AD77</f>
        <v>-3</v>
      </c>
      <c r="AE78" s="1">
        <f t="shared" si="88"/>
        <v>-6</v>
      </c>
    </row>
    <row r="79" spans="3:31" x14ac:dyDescent="0.25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X79" s="17"/>
      <c r="Y79" s="17"/>
      <c r="Z79" s="17"/>
      <c r="AA79" s="1"/>
      <c r="AB79" s="1"/>
      <c r="AC79" s="1"/>
      <c r="AD79" s="1"/>
    </row>
    <row r="80" spans="3:31" x14ac:dyDescent="0.25">
      <c r="C80" s="2" t="s">
        <v>76</v>
      </c>
      <c r="D80" s="2">
        <v>0</v>
      </c>
      <c r="E80" s="2">
        <v>-1</v>
      </c>
      <c r="F80" s="2">
        <v>-1</v>
      </c>
      <c r="G80" s="2">
        <v>-1</v>
      </c>
      <c r="H80" s="2">
        <v>-1</v>
      </c>
      <c r="I80" s="2">
        <v>-1</v>
      </c>
      <c r="J80" s="2">
        <v>-1</v>
      </c>
      <c r="K80" s="2">
        <v>-1</v>
      </c>
      <c r="L80" s="2">
        <v>-1</v>
      </c>
      <c r="M80" s="2">
        <v>-1</v>
      </c>
      <c r="N80" s="2">
        <v>-1</v>
      </c>
      <c r="O80" s="2">
        <v>-1</v>
      </c>
      <c r="P80" s="2">
        <v>-2</v>
      </c>
      <c r="Q80" s="2">
        <v>-2</v>
      </c>
      <c r="R80" s="2">
        <v>-2</v>
      </c>
      <c r="S80" s="2">
        <v>-2</v>
      </c>
      <c r="X80" s="18"/>
      <c r="Y80" s="18">
        <v>-1.2350000000000001</v>
      </c>
      <c r="Z80" s="18">
        <v>-1.5609999999999999</v>
      </c>
      <c r="AA80" s="2">
        <v>-2</v>
      </c>
      <c r="AB80" s="2">
        <v>-3</v>
      </c>
      <c r="AC80" s="2">
        <v>-4</v>
      </c>
      <c r="AD80" s="2">
        <v>-4</v>
      </c>
      <c r="AE80" s="2">
        <v>-8</v>
      </c>
    </row>
    <row r="81" spans="3:31" x14ac:dyDescent="0.25">
      <c r="C81" s="2" t="s">
        <v>77</v>
      </c>
      <c r="D81" s="2">
        <v>140</v>
      </c>
      <c r="E81" s="2">
        <v>-142</v>
      </c>
      <c r="F81" s="2">
        <v>-17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X81" s="18"/>
      <c r="Y81" s="18">
        <f>230-130.625</f>
        <v>99.375</v>
      </c>
      <c r="Z81" s="18">
        <v>-1.5</v>
      </c>
      <c r="AA81" s="2">
        <v>-209</v>
      </c>
      <c r="AB81" s="2">
        <v>-19</v>
      </c>
      <c r="AC81" s="2">
        <v>-1</v>
      </c>
      <c r="AD81" s="2">
        <v>-1</v>
      </c>
      <c r="AE81" s="2">
        <v>0</v>
      </c>
    </row>
    <row r="82" spans="3:31" x14ac:dyDescent="0.25">
      <c r="C82" s="2" t="s">
        <v>100</v>
      </c>
      <c r="D82" s="2">
        <v>0</v>
      </c>
      <c r="E82" s="2">
        <v>-87</v>
      </c>
      <c r="F82" s="2">
        <v>0</v>
      </c>
      <c r="G82" s="2">
        <v>0</v>
      </c>
      <c r="H82" s="2">
        <v>0</v>
      </c>
      <c r="I82" s="2">
        <v>-97</v>
      </c>
      <c r="J82" s="2">
        <v>0</v>
      </c>
      <c r="K82" s="2">
        <v>0</v>
      </c>
      <c r="L82" s="2">
        <v>0</v>
      </c>
      <c r="M82" s="2">
        <v>-132</v>
      </c>
      <c r="N82" s="2">
        <v>20</v>
      </c>
      <c r="O82" s="2">
        <v>0</v>
      </c>
      <c r="P82" s="2">
        <v>0</v>
      </c>
      <c r="Q82" s="2">
        <v>-143</v>
      </c>
      <c r="R82" s="2">
        <v>0</v>
      </c>
      <c r="S82" s="2">
        <v>0</v>
      </c>
      <c r="X82" s="18"/>
      <c r="Y82" s="18">
        <v>-132</v>
      </c>
      <c r="Z82" s="18">
        <v>-110</v>
      </c>
      <c r="AA82" s="2">
        <v>-72</v>
      </c>
      <c r="AB82" s="2">
        <v>-87</v>
      </c>
      <c r="AC82" s="2">
        <v>-97</v>
      </c>
      <c r="AD82" s="2">
        <v>-132</v>
      </c>
      <c r="AE82" s="2">
        <v>-143</v>
      </c>
    </row>
    <row r="83" spans="3:31" x14ac:dyDescent="0.25">
      <c r="C83" s="2" t="s">
        <v>78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-17</v>
      </c>
      <c r="K83" s="2">
        <v>-81</v>
      </c>
      <c r="L83" s="2">
        <v>-69</v>
      </c>
      <c r="M83" s="2">
        <v>-59</v>
      </c>
      <c r="N83" s="2">
        <v>-27</v>
      </c>
      <c r="O83" s="2">
        <v>-51</v>
      </c>
      <c r="P83" s="2">
        <v>-32</v>
      </c>
      <c r="Q83" s="2">
        <v>-39</v>
      </c>
      <c r="R83" s="2">
        <v>-62</v>
      </c>
      <c r="S83" s="2">
        <v>-68</v>
      </c>
      <c r="X83" s="18"/>
      <c r="Y83" s="18">
        <v>1.38</v>
      </c>
      <c r="Z83" s="18">
        <v>53.281999999999996</v>
      </c>
      <c r="AA83" s="2">
        <v>0</v>
      </c>
      <c r="AB83" s="2">
        <v>0</v>
      </c>
      <c r="AC83" s="2">
        <v>-98</v>
      </c>
      <c r="AD83" s="2">
        <v>-205</v>
      </c>
      <c r="AE83" s="2">
        <v>-201</v>
      </c>
    </row>
    <row r="84" spans="3:31" x14ac:dyDescent="0.25">
      <c r="C84" s="2" t="s">
        <v>79</v>
      </c>
      <c r="D84" s="2">
        <v>0</v>
      </c>
      <c r="E84" s="2">
        <v>9</v>
      </c>
      <c r="F84" s="2">
        <v>-1</v>
      </c>
      <c r="G84" s="2">
        <v>0</v>
      </c>
      <c r="H84" s="2">
        <v>0</v>
      </c>
      <c r="I84" s="2">
        <v>2</v>
      </c>
      <c r="J84" s="2">
        <v>0</v>
      </c>
      <c r="K84" s="2">
        <v>0</v>
      </c>
      <c r="L84" s="2">
        <v>0</v>
      </c>
      <c r="M84" s="2">
        <v>3</v>
      </c>
      <c r="N84" s="2">
        <v>-2</v>
      </c>
      <c r="O84" s="2">
        <v>0</v>
      </c>
      <c r="P84" s="2">
        <v>0</v>
      </c>
      <c r="Q84" s="2">
        <v>3</v>
      </c>
      <c r="R84" s="2">
        <v>56</v>
      </c>
      <c r="S84" s="2">
        <v>1</v>
      </c>
      <c r="X84" s="18"/>
      <c r="Y84" s="18">
        <v>0</v>
      </c>
      <c r="Z84" s="18">
        <v>17.399000000000001</v>
      </c>
      <c r="AA84" s="2">
        <v>-1</v>
      </c>
      <c r="AB84" s="2">
        <v>7</v>
      </c>
      <c r="AC84" s="2">
        <v>1</v>
      </c>
      <c r="AD84" s="2">
        <v>22</v>
      </c>
      <c r="AE84" s="2">
        <v>60</v>
      </c>
    </row>
    <row r="85" spans="3:31" x14ac:dyDescent="0.25">
      <c r="C85" s="1" t="s">
        <v>80</v>
      </c>
      <c r="D85" s="1">
        <f t="shared" ref="D85:S85" si="89">SUM(D80:D84)</f>
        <v>140</v>
      </c>
      <c r="E85" s="1">
        <f t="shared" si="89"/>
        <v>-221</v>
      </c>
      <c r="F85" s="1">
        <f t="shared" si="89"/>
        <v>-19</v>
      </c>
      <c r="G85" s="1">
        <f t="shared" si="89"/>
        <v>-1</v>
      </c>
      <c r="H85" s="1">
        <f t="shared" si="89"/>
        <v>-1</v>
      </c>
      <c r="I85" s="1">
        <f t="shared" si="89"/>
        <v>-96</v>
      </c>
      <c r="J85" s="1">
        <f t="shared" si="89"/>
        <v>-18</v>
      </c>
      <c r="K85" s="1">
        <f t="shared" si="89"/>
        <v>-82</v>
      </c>
      <c r="L85" s="1">
        <f t="shared" si="89"/>
        <v>-70</v>
      </c>
      <c r="M85" s="1">
        <f t="shared" si="89"/>
        <v>-189</v>
      </c>
      <c r="N85" s="1">
        <f t="shared" si="89"/>
        <v>-10</v>
      </c>
      <c r="O85" s="1">
        <f t="shared" si="89"/>
        <v>-52</v>
      </c>
      <c r="P85" s="1">
        <f t="shared" si="89"/>
        <v>-34</v>
      </c>
      <c r="Q85" s="1">
        <f t="shared" si="89"/>
        <v>-181</v>
      </c>
      <c r="R85" s="1">
        <f t="shared" si="89"/>
        <v>-8</v>
      </c>
      <c r="S85" s="1">
        <f t="shared" si="89"/>
        <v>-69</v>
      </c>
      <c r="X85" s="17"/>
      <c r="Y85" s="17">
        <f t="shared" ref="Y85" si="90">SUM(Y80:Y84)</f>
        <v>-32.479999999999997</v>
      </c>
      <c r="Z85" s="17">
        <f t="shared" ref="Z85:AE85" si="91">SUM(Z80:Z84)</f>
        <v>-42.38000000000001</v>
      </c>
      <c r="AA85" s="1">
        <f t="shared" si="91"/>
        <v>-284</v>
      </c>
      <c r="AB85" s="1">
        <f t="shared" si="91"/>
        <v>-102</v>
      </c>
      <c r="AC85" s="1">
        <f t="shared" si="91"/>
        <v>-199</v>
      </c>
      <c r="AD85" s="1">
        <f t="shared" si="91"/>
        <v>-320</v>
      </c>
      <c r="AE85" s="1">
        <f t="shared" si="91"/>
        <v>-292</v>
      </c>
    </row>
    <row r="86" spans="3:31" x14ac:dyDescent="0.25">
      <c r="X86" s="18"/>
      <c r="Y86" s="18"/>
      <c r="Z86" s="18"/>
    </row>
    <row r="87" spans="3:31" x14ac:dyDescent="0.25">
      <c r="C87" s="2" t="s">
        <v>81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-1</v>
      </c>
      <c r="O87" s="2">
        <v>0</v>
      </c>
      <c r="P87" s="2">
        <v>0</v>
      </c>
      <c r="Q87" s="2">
        <v>0</v>
      </c>
      <c r="R87" s="2">
        <v>1</v>
      </c>
      <c r="S87" s="2">
        <v>0</v>
      </c>
      <c r="X87" s="18"/>
      <c r="Y87" s="18">
        <v>-1.2</v>
      </c>
      <c r="Z87" s="18">
        <v>0</v>
      </c>
      <c r="AA87" s="2">
        <v>0</v>
      </c>
      <c r="AB87" s="2">
        <v>0</v>
      </c>
      <c r="AC87" s="2">
        <v>0</v>
      </c>
      <c r="AD87" s="2">
        <v>-1</v>
      </c>
      <c r="AE87" s="2">
        <v>1</v>
      </c>
    </row>
    <row r="88" spans="3:31" x14ac:dyDescent="0.25">
      <c r="X88" s="18"/>
      <c r="Y88" s="18"/>
      <c r="Z88" s="18"/>
    </row>
    <row r="89" spans="3:31" x14ac:dyDescent="0.25">
      <c r="C89" s="2" t="s">
        <v>82</v>
      </c>
      <c r="D89" s="2">
        <f t="shared" ref="D89:R89" si="92">D75+D78+D85</f>
        <v>67</v>
      </c>
      <c r="E89" s="2">
        <f t="shared" si="92"/>
        <v>-77</v>
      </c>
      <c r="F89" s="2">
        <f t="shared" si="92"/>
        <v>81</v>
      </c>
      <c r="G89" s="2">
        <f t="shared" si="92"/>
        <v>8</v>
      </c>
      <c r="H89" s="2">
        <f t="shared" si="92"/>
        <v>22</v>
      </c>
      <c r="I89" s="2">
        <f t="shared" si="92"/>
        <v>177</v>
      </c>
      <c r="J89" s="2">
        <f t="shared" si="92"/>
        <v>-68</v>
      </c>
      <c r="K89" s="2">
        <f t="shared" si="92"/>
        <v>8</v>
      </c>
      <c r="L89" s="2">
        <f t="shared" si="92"/>
        <v>-168</v>
      </c>
      <c r="M89" s="2">
        <f t="shared" si="92"/>
        <v>137</v>
      </c>
      <c r="N89" s="2">
        <f t="shared" si="92"/>
        <v>-119</v>
      </c>
      <c r="O89" s="2">
        <f t="shared" si="92"/>
        <v>32</v>
      </c>
      <c r="P89" s="2">
        <f t="shared" si="92"/>
        <v>-8</v>
      </c>
      <c r="Q89" s="2">
        <f t="shared" si="92"/>
        <v>177</v>
      </c>
      <c r="R89" s="2">
        <f t="shared" si="92"/>
        <v>9</v>
      </c>
      <c r="S89" s="2">
        <f t="shared" ref="S89" si="93">S75+S78+S85</f>
        <v>-40</v>
      </c>
      <c r="X89" s="18"/>
      <c r="Y89" s="18">
        <f t="shared" ref="Y89" si="94">Y75+Y78+Y85</f>
        <v>81.298000000000002</v>
      </c>
      <c r="Z89" s="18">
        <f t="shared" ref="Z89:AE89" si="95">Z75+Z78+Z85</f>
        <v>179.16200000000003</v>
      </c>
      <c r="AA89" s="2">
        <f t="shared" si="95"/>
        <v>-221</v>
      </c>
      <c r="AB89" s="2">
        <f t="shared" si="95"/>
        <v>80</v>
      </c>
      <c r="AC89" s="2">
        <f t="shared" si="95"/>
        <v>141</v>
      </c>
      <c r="AD89" s="2">
        <f t="shared" si="95"/>
        <v>-104</v>
      </c>
      <c r="AE89" s="2">
        <f t="shared" si="95"/>
        <v>137</v>
      </c>
    </row>
    <row r="90" spans="3:31" x14ac:dyDescent="0.25">
      <c r="X90" s="18"/>
      <c r="Y90" s="18"/>
      <c r="Z90" s="18"/>
    </row>
    <row r="91" spans="3:31" x14ac:dyDescent="0.25">
      <c r="C91" s="2" t="s">
        <v>83</v>
      </c>
      <c r="D91" s="2">
        <f t="shared" ref="D91:Q91" si="96">D75+D77</f>
        <v>-73</v>
      </c>
      <c r="E91" s="2">
        <f t="shared" si="96"/>
        <v>144</v>
      </c>
      <c r="F91" s="2">
        <f t="shared" si="96"/>
        <v>100</v>
      </c>
      <c r="G91" s="2">
        <f t="shared" si="96"/>
        <v>9</v>
      </c>
      <c r="H91" s="2">
        <f t="shared" si="96"/>
        <v>23</v>
      </c>
      <c r="I91" s="2">
        <f t="shared" si="96"/>
        <v>273</v>
      </c>
      <c r="J91" s="2">
        <f t="shared" si="96"/>
        <v>-50</v>
      </c>
      <c r="K91" s="2">
        <f t="shared" si="96"/>
        <v>90</v>
      </c>
      <c r="L91" s="2">
        <f t="shared" si="96"/>
        <v>-98</v>
      </c>
      <c r="M91" s="2">
        <f t="shared" si="96"/>
        <v>326</v>
      </c>
      <c r="N91" s="2">
        <f t="shared" si="96"/>
        <v>-109</v>
      </c>
      <c r="O91" s="2">
        <f t="shared" si="96"/>
        <v>84</v>
      </c>
      <c r="P91" s="2">
        <f t="shared" si="96"/>
        <v>26</v>
      </c>
      <c r="Q91" s="2">
        <f t="shared" si="96"/>
        <v>358</v>
      </c>
      <c r="R91" s="2">
        <f>R75+R77</f>
        <v>17</v>
      </c>
      <c r="S91" s="2">
        <f>S75+S77</f>
        <v>29</v>
      </c>
      <c r="X91" s="18"/>
      <c r="Y91" s="37">
        <f t="shared" ref="Y91:AD91" si="97">Y75+Y77</f>
        <v>113.77799999999999</v>
      </c>
      <c r="Z91" s="37">
        <f t="shared" si="97"/>
        <v>221.54200000000003</v>
      </c>
      <c r="AA91" s="2">
        <f t="shared" si="97"/>
        <v>63</v>
      </c>
      <c r="AB91" s="2">
        <f t="shared" si="97"/>
        <v>182</v>
      </c>
      <c r="AC91" s="2">
        <f t="shared" si="97"/>
        <v>340</v>
      </c>
      <c r="AD91" s="2">
        <f t="shared" si="97"/>
        <v>216</v>
      </c>
      <c r="AE91" s="2">
        <f t="shared" ref="AE91" si="98">AE75+AE77</f>
        <v>429</v>
      </c>
    </row>
    <row r="98" spans="3:34" x14ac:dyDescent="0.2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X98" s="1"/>
      <c r="Y98" s="1"/>
      <c r="Z98" s="1"/>
      <c r="AA98" s="1"/>
      <c r="AB98" s="1"/>
      <c r="AC98" s="1"/>
      <c r="AD98" s="1"/>
      <c r="AE98" s="1"/>
      <c r="AF98" s="42"/>
      <c r="AG98" s="1"/>
    </row>
    <row r="99" spans="3:34" x14ac:dyDescent="0.2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X99" s="1"/>
      <c r="Y99" s="1"/>
      <c r="Z99" s="1"/>
      <c r="AA99" s="1"/>
      <c r="AB99" s="1"/>
      <c r="AC99" s="1"/>
      <c r="AD99" s="1"/>
      <c r="AE99" s="1"/>
      <c r="AF99" s="42"/>
      <c r="AG99" s="1"/>
    </row>
    <row r="100" spans="3:34" x14ac:dyDescent="0.25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43"/>
      <c r="AG100" s="7"/>
      <c r="AH100" s="7"/>
    </row>
    <row r="111" spans="3:34" x14ac:dyDescent="0.25"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X111" s="1"/>
      <c r="Y111" s="1"/>
      <c r="Z111" s="1"/>
      <c r="AA111" s="1"/>
      <c r="AB111" s="1"/>
      <c r="AC111" s="1"/>
      <c r="AD111" s="1"/>
      <c r="AE111" s="1"/>
      <c r="AF111" s="42"/>
      <c r="AG111" s="1"/>
    </row>
    <row r="124" spans="3:33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X124" s="1"/>
      <c r="Y124" s="1"/>
      <c r="Z124" s="1"/>
      <c r="AA124" s="1"/>
      <c r="AB124" s="1"/>
      <c r="AC124" s="1"/>
      <c r="AD124" s="1"/>
      <c r="AE124" s="1"/>
      <c r="AF124" s="42"/>
      <c r="AG124" s="1"/>
    </row>
    <row r="125" spans="3:33" x14ac:dyDescent="0.25">
      <c r="Q125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25"/>
  <sheetViews>
    <sheetView showGridLines="0" workbookViewId="0">
      <pane xSplit="2" ySplit="5" topLeftCell="O6" activePane="bottomRight" state="frozen"/>
      <selection pane="topRight" activeCell="C1" sqref="C1"/>
      <selection pane="bottomLeft" activeCell="A6" sqref="A6"/>
      <selection pane="bottomRight" activeCell="U31" sqref="U31"/>
    </sheetView>
  </sheetViews>
  <sheetFormatPr baseColWidth="10" defaultRowHeight="19" x14ac:dyDescent="0.25"/>
  <cols>
    <col min="1" max="1" width="10.83203125" style="2"/>
    <col min="2" max="2" width="13.83203125" style="2" customWidth="1"/>
    <col min="3" max="3" width="10.83203125" style="2" customWidth="1"/>
    <col min="4" max="16384" width="10.83203125" style="2"/>
  </cols>
  <sheetData>
    <row r="3" spans="2:27" x14ac:dyDescent="0.25">
      <c r="C3" s="4" t="s">
        <v>127</v>
      </c>
      <c r="D3" s="4" t="s">
        <v>123</v>
      </c>
      <c r="E3" s="4" t="s">
        <v>122</v>
      </c>
      <c r="F3" s="4" t="s">
        <v>115</v>
      </c>
      <c r="G3" s="4"/>
      <c r="H3" s="4" t="s">
        <v>127</v>
      </c>
      <c r="I3" s="4" t="s">
        <v>123</v>
      </c>
      <c r="J3" s="4" t="s">
        <v>122</v>
      </c>
      <c r="K3" s="4" t="s">
        <v>115</v>
      </c>
      <c r="L3" s="4"/>
      <c r="M3" s="4" t="s">
        <v>127</v>
      </c>
      <c r="N3" s="4" t="s">
        <v>123</v>
      </c>
      <c r="O3" s="4" t="s">
        <v>122</v>
      </c>
      <c r="P3" s="4" t="s">
        <v>115</v>
      </c>
      <c r="Q3" s="4"/>
      <c r="R3" s="4" t="s">
        <v>127</v>
      </c>
      <c r="S3" s="4" t="s">
        <v>123</v>
      </c>
      <c r="T3" s="4" t="s">
        <v>122</v>
      </c>
      <c r="U3" s="4" t="s">
        <v>115</v>
      </c>
      <c r="W3" s="4" t="s">
        <v>127</v>
      </c>
      <c r="X3" s="4" t="s">
        <v>123</v>
      </c>
      <c r="Y3" s="4" t="s">
        <v>122</v>
      </c>
      <c r="Z3" s="4" t="s">
        <v>115</v>
      </c>
    </row>
    <row r="5" spans="2:27" x14ac:dyDescent="0.25">
      <c r="B5" s="1" t="s">
        <v>139</v>
      </c>
      <c r="C5" s="4" t="s">
        <v>125</v>
      </c>
      <c r="D5" s="4" t="s">
        <v>124</v>
      </c>
      <c r="E5" s="4" t="s">
        <v>119</v>
      </c>
      <c r="F5" s="4" t="s">
        <v>118</v>
      </c>
      <c r="G5" s="32" t="s">
        <v>144</v>
      </c>
      <c r="H5" s="4" t="s">
        <v>117</v>
      </c>
      <c r="I5" s="4" t="s">
        <v>116</v>
      </c>
      <c r="J5" s="4" t="s">
        <v>109</v>
      </c>
      <c r="K5" s="4" t="s">
        <v>108</v>
      </c>
      <c r="L5" s="32" t="s">
        <v>146</v>
      </c>
      <c r="M5" s="4" t="s">
        <v>107</v>
      </c>
      <c r="N5" s="4" t="s">
        <v>106</v>
      </c>
      <c r="O5" s="4" t="s">
        <v>105</v>
      </c>
      <c r="P5" s="4" t="s">
        <v>104</v>
      </c>
      <c r="Q5" s="32" t="s">
        <v>145</v>
      </c>
      <c r="R5" s="4" t="s">
        <v>103</v>
      </c>
      <c r="S5" s="4" t="s">
        <v>102</v>
      </c>
      <c r="T5" s="4" t="s">
        <v>101</v>
      </c>
      <c r="U5" s="4" t="s">
        <v>31</v>
      </c>
      <c r="V5" s="32" t="s">
        <v>128</v>
      </c>
      <c r="W5" s="4" t="s">
        <v>150</v>
      </c>
      <c r="X5" s="4" t="s">
        <v>151</v>
      </c>
      <c r="Y5" s="4" t="s">
        <v>152</v>
      </c>
      <c r="Z5" s="4" t="s">
        <v>153</v>
      </c>
      <c r="AA5" s="32" t="s">
        <v>129</v>
      </c>
    </row>
    <row r="6" spans="2:27" s="18" customFormat="1" x14ac:dyDescent="0.25">
      <c r="B6" s="17" t="s">
        <v>135</v>
      </c>
      <c r="C6" s="18">
        <v>84</v>
      </c>
      <c r="D6" s="18">
        <v>129</v>
      </c>
      <c r="E6" s="18">
        <v>91</v>
      </c>
      <c r="F6" s="18">
        <v>84</v>
      </c>
      <c r="G6" s="38">
        <f>SUM(C6:F6)</f>
        <v>388</v>
      </c>
      <c r="H6" s="18">
        <v>95</v>
      </c>
      <c r="I6" s="18">
        <v>139</v>
      </c>
      <c r="J6" s="18">
        <v>95</v>
      </c>
      <c r="K6" s="18">
        <v>90</v>
      </c>
      <c r="L6" s="38">
        <f>SUM(H6:K6)</f>
        <v>419</v>
      </c>
      <c r="M6" s="18">
        <v>90</v>
      </c>
      <c r="N6" s="18">
        <v>151</v>
      </c>
      <c r="O6" s="18">
        <v>104</v>
      </c>
      <c r="P6" s="18">
        <v>101</v>
      </c>
      <c r="Q6" s="38">
        <f>SUM(M6:P6)</f>
        <v>446</v>
      </c>
      <c r="R6" s="18">
        <v>105</v>
      </c>
      <c r="S6" s="18">
        <v>157</v>
      </c>
      <c r="T6" s="18">
        <v>109</v>
      </c>
      <c r="U6" s="18">
        <v>108</v>
      </c>
      <c r="V6" s="38">
        <f>SUM(R6:U6)</f>
        <v>479</v>
      </c>
      <c r="AA6" s="38">
        <f>SUM(W6:Z6)</f>
        <v>0</v>
      </c>
    </row>
    <row r="7" spans="2:27" x14ac:dyDescent="0.25">
      <c r="B7" s="30" t="s">
        <v>140</v>
      </c>
      <c r="C7" s="30"/>
      <c r="D7" s="30"/>
      <c r="E7" s="30"/>
      <c r="F7" s="30"/>
      <c r="G7" s="33"/>
      <c r="H7" s="30">
        <f t="shared" ref="H7:S7" si="0">(H6-C6)/C6</f>
        <v>0.13095238095238096</v>
      </c>
      <c r="I7" s="30">
        <f t="shared" si="0"/>
        <v>7.7519379844961239E-2</v>
      </c>
      <c r="J7" s="30">
        <f t="shared" si="0"/>
        <v>4.3956043956043959E-2</v>
      </c>
      <c r="K7" s="30">
        <f t="shared" si="0"/>
        <v>7.1428571428571425E-2</v>
      </c>
      <c r="L7" s="33">
        <f t="shared" si="0"/>
        <v>7.9896907216494839E-2</v>
      </c>
      <c r="M7" s="30">
        <f t="shared" si="0"/>
        <v>-5.2631578947368418E-2</v>
      </c>
      <c r="N7" s="30">
        <f t="shared" si="0"/>
        <v>8.6330935251798566E-2</v>
      </c>
      <c r="O7" s="30">
        <f t="shared" si="0"/>
        <v>9.4736842105263161E-2</v>
      </c>
      <c r="P7" s="30">
        <f t="shared" si="0"/>
        <v>0.12222222222222222</v>
      </c>
      <c r="Q7" s="33">
        <f t="shared" si="0"/>
        <v>6.4439140811455853E-2</v>
      </c>
      <c r="R7" s="30">
        <f t="shared" si="0"/>
        <v>0.16666666666666666</v>
      </c>
      <c r="S7" s="30">
        <f t="shared" si="0"/>
        <v>3.9735099337748346E-2</v>
      </c>
      <c r="T7" s="30">
        <f t="shared" ref="T7" si="1">(T6-O6)/O6</f>
        <v>4.807692307692308E-2</v>
      </c>
      <c r="U7" s="30">
        <f t="shared" ref="U7" si="2">(U6-P6)/P6</f>
        <v>6.9306930693069313E-2</v>
      </c>
      <c r="V7" s="33">
        <f>(V6-Q6)/Q6</f>
        <v>7.3991031390134535E-2</v>
      </c>
      <c r="W7" s="30">
        <f t="shared" ref="W7" si="3">(W6-R6)/R6</f>
        <v>-1</v>
      </c>
      <c r="X7" s="30">
        <f t="shared" ref="X7" si="4">(X6-S6)/S6</f>
        <v>-1</v>
      </c>
      <c r="Y7" s="30">
        <f t="shared" ref="Y7" si="5">(Y6-T6)/T6</f>
        <v>-1</v>
      </c>
      <c r="Z7" s="30">
        <f t="shared" ref="Z7" si="6">(Z6-U6)/U6</f>
        <v>-1</v>
      </c>
      <c r="AA7" s="33">
        <f>(AA6-V6)/V6</f>
        <v>-1</v>
      </c>
    </row>
    <row r="8" spans="2:27" ht="20" thickBot="1" x14ac:dyDescent="0.3">
      <c r="B8" s="31" t="s">
        <v>141</v>
      </c>
      <c r="C8" s="31"/>
      <c r="D8" s="31"/>
      <c r="E8" s="31"/>
      <c r="F8" s="31"/>
      <c r="G8" s="34"/>
      <c r="H8" s="31"/>
      <c r="I8" s="31"/>
      <c r="J8" s="31"/>
      <c r="K8" s="31"/>
      <c r="L8" s="34"/>
      <c r="M8" s="31">
        <v>-0.04</v>
      </c>
      <c r="N8" s="31">
        <v>0.09</v>
      </c>
      <c r="O8" s="31">
        <v>0.1</v>
      </c>
      <c r="P8" s="31">
        <v>0.15</v>
      </c>
      <c r="Q8" s="34"/>
      <c r="R8" s="31">
        <v>0.19</v>
      </c>
      <c r="S8" s="31">
        <v>0.06</v>
      </c>
      <c r="T8" s="31">
        <v>0.06</v>
      </c>
      <c r="U8" s="31">
        <v>7.0000000000000007E-2</v>
      </c>
      <c r="V8" s="34">
        <v>0.09</v>
      </c>
      <c r="W8" s="31"/>
      <c r="X8" s="31"/>
      <c r="Y8" s="31"/>
      <c r="Z8" s="31"/>
      <c r="AA8" s="34"/>
    </row>
    <row r="9" spans="2:27" s="18" customFormat="1" x14ac:dyDescent="0.25">
      <c r="B9" s="17" t="s">
        <v>136</v>
      </c>
      <c r="C9" s="18">
        <v>146</v>
      </c>
      <c r="D9" s="18">
        <v>277</v>
      </c>
      <c r="E9" s="18">
        <v>235</v>
      </c>
      <c r="F9" s="18">
        <v>205</v>
      </c>
      <c r="G9" s="38">
        <f>SUM(C9:F9)</f>
        <v>863</v>
      </c>
      <c r="H9" s="18">
        <v>180</v>
      </c>
      <c r="I9" s="18">
        <v>347</v>
      </c>
      <c r="J9" s="18">
        <v>277</v>
      </c>
      <c r="K9" s="18">
        <v>231</v>
      </c>
      <c r="L9" s="38">
        <f>SUM(H9:K9)</f>
        <v>1035</v>
      </c>
      <c r="M9" s="18">
        <v>188</v>
      </c>
      <c r="N9" s="18">
        <v>399</v>
      </c>
      <c r="O9" s="18">
        <v>279</v>
      </c>
      <c r="P9" s="18">
        <v>226</v>
      </c>
      <c r="Q9" s="38">
        <f>SUM(M9:P9)</f>
        <v>1092</v>
      </c>
      <c r="R9" s="18">
        <v>216</v>
      </c>
      <c r="S9" s="18">
        <v>434</v>
      </c>
      <c r="T9" s="18">
        <v>285</v>
      </c>
      <c r="U9" s="18">
        <v>231</v>
      </c>
      <c r="V9" s="38">
        <f>SUM(R9:U9)</f>
        <v>1166</v>
      </c>
      <c r="AA9" s="38">
        <f>SUM(W9:Z9)</f>
        <v>0</v>
      </c>
    </row>
    <row r="10" spans="2:27" x14ac:dyDescent="0.25">
      <c r="B10" s="30" t="s">
        <v>140</v>
      </c>
      <c r="C10" s="30"/>
      <c r="D10" s="30"/>
      <c r="E10" s="30"/>
      <c r="F10" s="30"/>
      <c r="G10" s="33"/>
      <c r="H10" s="30">
        <f t="shared" ref="H10" si="7">(H9-C9)/C9</f>
        <v>0.23287671232876711</v>
      </c>
      <c r="I10" s="30">
        <f t="shared" ref="I10" si="8">(I9-D9)/D9</f>
        <v>0.25270758122743681</v>
      </c>
      <c r="J10" s="30">
        <f t="shared" ref="J10" si="9">(J9-E9)/E9</f>
        <v>0.17872340425531916</v>
      </c>
      <c r="K10" s="30">
        <f t="shared" ref="K10" si="10">(K9-F9)/F9</f>
        <v>0.12682926829268293</v>
      </c>
      <c r="L10" s="33">
        <f>(L9-G9)/G9</f>
        <v>0.19930475086906141</v>
      </c>
      <c r="M10" s="30">
        <f t="shared" ref="M10" si="11">(M9-H9)/H9</f>
        <v>4.4444444444444446E-2</v>
      </c>
      <c r="N10" s="30">
        <f t="shared" ref="N10" si="12">(N9-I9)/I9</f>
        <v>0.14985590778097982</v>
      </c>
      <c r="O10" s="30">
        <f t="shared" ref="O10" si="13">(O9-J9)/J9</f>
        <v>7.2202166064981952E-3</v>
      </c>
      <c r="P10" s="30">
        <f t="shared" ref="P10" si="14">(P9-K9)/K9</f>
        <v>-2.1645021645021644E-2</v>
      </c>
      <c r="Q10" s="33">
        <f>(Q9-L9)/L9</f>
        <v>5.5072463768115941E-2</v>
      </c>
      <c r="R10" s="30">
        <f>(R9-M9)/M9</f>
        <v>0.14893617021276595</v>
      </c>
      <c r="S10" s="30">
        <f>(S9-N9)/N9</f>
        <v>8.771929824561403E-2</v>
      </c>
      <c r="T10" s="30">
        <f t="shared" ref="T10:U10" si="15">(T9-O9)/O9</f>
        <v>2.1505376344086023E-2</v>
      </c>
      <c r="U10" s="30">
        <f t="shared" si="15"/>
        <v>2.2123893805309734E-2</v>
      </c>
      <c r="V10" s="33">
        <f>(V9-Q9)/Q9</f>
        <v>6.7765567765567761E-2</v>
      </c>
      <c r="W10" s="30">
        <f>(W9-R9)/R9</f>
        <v>-1</v>
      </c>
      <c r="X10" s="30">
        <f>(X9-S9)/S9</f>
        <v>-1</v>
      </c>
      <c r="Y10" s="30">
        <f t="shared" ref="Y10" si="16">(Y9-T9)/T9</f>
        <v>-1</v>
      </c>
      <c r="Z10" s="30">
        <f t="shared" ref="Z10" si="17">(Z9-U9)/U9</f>
        <v>-1</v>
      </c>
      <c r="AA10" s="33">
        <f>(AA9-V9)/V9</f>
        <v>-1</v>
      </c>
    </row>
    <row r="11" spans="2:27" ht="20" thickBot="1" x14ac:dyDescent="0.3">
      <c r="B11" s="31" t="s">
        <v>142</v>
      </c>
      <c r="C11" s="31"/>
      <c r="D11" s="31"/>
      <c r="E11" s="31"/>
      <c r="F11" s="31"/>
      <c r="G11" s="34"/>
      <c r="H11" s="31"/>
      <c r="I11" s="31"/>
      <c r="J11" s="31"/>
      <c r="K11" s="31"/>
      <c r="L11" s="34"/>
      <c r="M11" s="31">
        <v>0.08</v>
      </c>
      <c r="N11" s="31">
        <v>0.15</v>
      </c>
      <c r="O11" s="31">
        <v>0.01</v>
      </c>
      <c r="P11" s="31">
        <v>0.03</v>
      </c>
      <c r="Q11" s="34"/>
      <c r="R11" s="31">
        <v>0.18</v>
      </c>
      <c r="S11" s="31">
        <v>0.14000000000000001</v>
      </c>
      <c r="T11" s="31">
        <v>7.0000000000000007E-2</v>
      </c>
      <c r="U11" s="31">
        <v>0.03</v>
      </c>
      <c r="V11" s="34">
        <v>0.1</v>
      </c>
      <c r="W11" s="31"/>
      <c r="X11" s="31"/>
      <c r="Y11" s="31"/>
      <c r="Z11" s="31"/>
      <c r="AA11" s="34"/>
    </row>
    <row r="12" spans="2:27" s="18" customFormat="1" x14ac:dyDescent="0.25">
      <c r="B12" s="17" t="s">
        <v>143</v>
      </c>
      <c r="C12" s="18">
        <v>46</v>
      </c>
      <c r="D12" s="18">
        <v>103</v>
      </c>
      <c r="E12" s="18">
        <v>88</v>
      </c>
      <c r="F12" s="18">
        <v>73</v>
      </c>
      <c r="G12" s="38">
        <f>SUM(C12:F12)</f>
        <v>310</v>
      </c>
      <c r="H12" s="18">
        <v>66</v>
      </c>
      <c r="I12" s="18">
        <v>127</v>
      </c>
      <c r="J12" s="18">
        <v>106</v>
      </c>
      <c r="K12" s="18">
        <v>86</v>
      </c>
      <c r="L12" s="38">
        <f>SUM(H12:K12)</f>
        <v>385</v>
      </c>
      <c r="M12" s="18">
        <v>72</v>
      </c>
      <c r="N12" s="18">
        <v>134</v>
      </c>
      <c r="O12" s="18">
        <v>103</v>
      </c>
      <c r="P12" s="18">
        <v>78</v>
      </c>
      <c r="Q12" s="38">
        <f>SUM(M12:P12)</f>
        <v>387</v>
      </c>
      <c r="R12" s="18">
        <v>71</v>
      </c>
      <c r="S12" s="18">
        <v>135</v>
      </c>
      <c r="T12" s="18">
        <v>93</v>
      </c>
      <c r="U12" s="18">
        <v>75</v>
      </c>
      <c r="V12" s="38">
        <f>SUM(R12:U12)</f>
        <v>374</v>
      </c>
      <c r="AA12" s="38">
        <f>SUM(W12:Z12)</f>
        <v>0</v>
      </c>
    </row>
    <row r="13" spans="2:27" x14ac:dyDescent="0.25">
      <c r="B13" s="30" t="s">
        <v>140</v>
      </c>
      <c r="C13" s="30"/>
      <c r="D13" s="30"/>
      <c r="E13" s="30"/>
      <c r="F13" s="30"/>
      <c r="G13" s="33"/>
      <c r="H13" s="30">
        <f t="shared" ref="H13" si="18">(H12-C12)/C12</f>
        <v>0.43478260869565216</v>
      </c>
      <c r="I13" s="30">
        <f t="shared" ref="I13" si="19">(I12-D12)/D12</f>
        <v>0.23300970873786409</v>
      </c>
      <c r="J13" s="30">
        <f t="shared" ref="J13" si="20">(J12-E12)/E12</f>
        <v>0.20454545454545456</v>
      </c>
      <c r="K13" s="30">
        <f t="shared" ref="K13" si="21">(K12-F12)/F12</f>
        <v>0.17808219178082191</v>
      </c>
      <c r="L13" s="33">
        <f>(L12-G12)/G12</f>
        <v>0.24193548387096775</v>
      </c>
      <c r="M13" s="30">
        <f t="shared" ref="M13" si="22">(M12-H12)/H12</f>
        <v>9.0909090909090912E-2</v>
      </c>
      <c r="N13" s="30">
        <f t="shared" ref="N13" si="23">(N12-I12)/I12</f>
        <v>5.5118110236220472E-2</v>
      </c>
      <c r="O13" s="30">
        <f t="shared" ref="O13" si="24">(O12-J12)/J12</f>
        <v>-2.8301886792452831E-2</v>
      </c>
      <c r="P13" s="30">
        <f t="shared" ref="P13" si="25">(P12-K12)/K12</f>
        <v>-9.3023255813953487E-2</v>
      </c>
      <c r="Q13" s="33">
        <f>(Q12-L12)/L12</f>
        <v>5.1948051948051948E-3</v>
      </c>
      <c r="R13" s="30">
        <f>(R12-M12)/M12</f>
        <v>-1.3888888888888888E-2</v>
      </c>
      <c r="S13" s="30">
        <f>(S12-N12)/N12</f>
        <v>7.462686567164179E-3</v>
      </c>
      <c r="T13" s="30">
        <f t="shared" ref="T13:U13" si="26">(T12-O12)/O12</f>
        <v>-9.7087378640776698E-2</v>
      </c>
      <c r="U13" s="30">
        <f t="shared" si="26"/>
        <v>-3.8461538461538464E-2</v>
      </c>
      <c r="V13" s="33">
        <f>(V12-Q12)/Q12</f>
        <v>-3.3591731266149873E-2</v>
      </c>
      <c r="W13" s="30">
        <f>(W12-R12)/R12</f>
        <v>-1</v>
      </c>
      <c r="X13" s="30">
        <f>(X12-S12)/S12</f>
        <v>-1</v>
      </c>
      <c r="Y13" s="30">
        <f t="shared" ref="Y13" si="27">(Y12-T12)/T12</f>
        <v>-1</v>
      </c>
      <c r="Z13" s="30">
        <f t="shared" ref="Z13" si="28">(Z12-U12)/U12</f>
        <v>-1</v>
      </c>
      <c r="AA13" s="33">
        <f>(AA12-V12)/V12</f>
        <v>-1</v>
      </c>
    </row>
    <row r="14" spans="2:27" ht="20" thickBot="1" x14ac:dyDescent="0.3">
      <c r="B14" s="31" t="s">
        <v>141</v>
      </c>
      <c r="C14" s="31"/>
      <c r="D14" s="31"/>
      <c r="E14" s="31"/>
      <c r="F14" s="31"/>
      <c r="G14" s="34"/>
      <c r="H14" s="31"/>
      <c r="I14" s="31"/>
      <c r="J14" s="31"/>
      <c r="K14" s="31"/>
      <c r="L14" s="34"/>
      <c r="M14" s="31">
        <v>0.11</v>
      </c>
      <c r="N14" s="31">
        <v>0.04</v>
      </c>
      <c r="O14" s="31">
        <v>-0.03</v>
      </c>
      <c r="P14" s="31">
        <v>-0.05</v>
      </c>
      <c r="Q14" s="34"/>
      <c r="R14" s="31">
        <v>0.02</v>
      </c>
      <c r="S14" s="31">
        <v>0.06</v>
      </c>
      <c r="T14" s="31">
        <v>-0.04</v>
      </c>
      <c r="U14" s="31">
        <v>-0.03</v>
      </c>
      <c r="V14" s="44">
        <v>0.01</v>
      </c>
      <c r="W14" s="31"/>
      <c r="X14" s="31"/>
      <c r="Y14" s="31"/>
      <c r="Z14" s="31"/>
      <c r="AA14" s="44"/>
    </row>
    <row r="16" spans="2:27" x14ac:dyDescent="0.25">
      <c r="C16" s="4" t="s">
        <v>125</v>
      </c>
      <c r="D16" s="4" t="s">
        <v>124</v>
      </c>
      <c r="E16" s="4" t="s">
        <v>119</v>
      </c>
      <c r="F16" s="4" t="s">
        <v>118</v>
      </c>
      <c r="G16" s="32" t="s">
        <v>144</v>
      </c>
      <c r="H16" s="4" t="s">
        <v>117</v>
      </c>
      <c r="I16" s="4" t="s">
        <v>116</v>
      </c>
      <c r="J16" s="4" t="s">
        <v>109</v>
      </c>
      <c r="K16" s="4" t="s">
        <v>108</v>
      </c>
      <c r="L16" s="32" t="s">
        <v>146</v>
      </c>
      <c r="M16" s="4" t="s">
        <v>107</v>
      </c>
      <c r="N16" s="4" t="s">
        <v>106</v>
      </c>
      <c r="O16" s="4" t="s">
        <v>105</v>
      </c>
      <c r="P16" s="4" t="s">
        <v>104</v>
      </c>
      <c r="Q16" s="32" t="s">
        <v>145</v>
      </c>
      <c r="R16" s="4" t="s">
        <v>103</v>
      </c>
      <c r="S16" s="4" t="s">
        <v>102</v>
      </c>
      <c r="T16" s="4" t="s">
        <v>101</v>
      </c>
      <c r="U16" s="4" t="s">
        <v>31</v>
      </c>
      <c r="V16" s="32" t="s">
        <v>128</v>
      </c>
      <c r="W16" s="4" t="s">
        <v>150</v>
      </c>
      <c r="X16" s="4" t="s">
        <v>151</v>
      </c>
      <c r="Y16" s="4" t="s">
        <v>152</v>
      </c>
      <c r="Z16" s="4" t="s">
        <v>153</v>
      </c>
      <c r="AA16" s="32" t="s">
        <v>129</v>
      </c>
    </row>
    <row r="17" spans="2:27" x14ac:dyDescent="0.25">
      <c r="B17" s="1" t="s">
        <v>156</v>
      </c>
      <c r="C17" s="18">
        <v>126</v>
      </c>
      <c r="D17" s="18">
        <v>235</v>
      </c>
      <c r="E17" s="18">
        <v>206</v>
      </c>
      <c r="F17" s="18">
        <v>177</v>
      </c>
      <c r="G17" s="38">
        <f>SUM(C17:F17)</f>
        <v>744</v>
      </c>
      <c r="H17" s="18">
        <v>158</v>
      </c>
      <c r="I17" s="18">
        <v>301</v>
      </c>
      <c r="J17" s="18">
        <v>242</v>
      </c>
      <c r="K17" s="18">
        <v>204</v>
      </c>
      <c r="L17" s="38">
        <f>SUM(H17:K17)</f>
        <v>905</v>
      </c>
      <c r="M17" s="18">
        <v>165</v>
      </c>
      <c r="N17" s="18">
        <v>339</v>
      </c>
      <c r="O17" s="18">
        <v>239</v>
      </c>
      <c r="P17" s="18">
        <v>193</v>
      </c>
      <c r="Q17" s="38">
        <f>SUM(M17:P17)</f>
        <v>936</v>
      </c>
      <c r="R17" s="18">
        <v>183</v>
      </c>
      <c r="S17" s="18">
        <v>359</v>
      </c>
      <c r="T17" s="18">
        <v>239</v>
      </c>
      <c r="U17" s="18">
        <v>193</v>
      </c>
      <c r="V17" s="38">
        <f>SUM(R17:U17)</f>
        <v>974</v>
      </c>
      <c r="W17" s="18"/>
      <c r="X17" s="18"/>
      <c r="Y17" s="18"/>
      <c r="Z17" s="18"/>
      <c r="AA17" s="38">
        <f>SUM(W17:Z17)</f>
        <v>0</v>
      </c>
    </row>
    <row r="18" spans="2:27" s="30" customFormat="1" x14ac:dyDescent="0.25">
      <c r="B18" s="30" t="s">
        <v>140</v>
      </c>
      <c r="G18" s="33"/>
      <c r="H18" s="30">
        <f t="shared" ref="H18" si="29">(H17-C17)/C17</f>
        <v>0.25396825396825395</v>
      </c>
      <c r="I18" s="30">
        <f t="shared" ref="I18" si="30">(I17-D17)/D17</f>
        <v>0.28085106382978725</v>
      </c>
      <c r="J18" s="30">
        <f t="shared" ref="J18" si="31">(J17-E17)/E17</f>
        <v>0.17475728155339806</v>
      </c>
      <c r="K18" s="30">
        <f t="shared" ref="K18" si="32">(K17-F17)/F17</f>
        <v>0.15254237288135594</v>
      </c>
      <c r="L18" s="33">
        <f t="shared" ref="L18" si="33">(L17-G17)/G17</f>
        <v>0.21639784946236559</v>
      </c>
      <c r="M18" s="30">
        <f t="shared" ref="M18" si="34">(M17-H17)/H17</f>
        <v>4.4303797468354431E-2</v>
      </c>
      <c r="N18" s="30">
        <f t="shared" ref="N18" si="35">(N17-I17)/I17</f>
        <v>0.12624584717607973</v>
      </c>
      <c r="O18" s="30">
        <f t="shared" ref="O18" si="36">(O17-J17)/J17</f>
        <v>-1.2396694214876033E-2</v>
      </c>
      <c r="P18" s="30">
        <f t="shared" ref="P18" si="37">(P17-K17)/K17</f>
        <v>-5.3921568627450983E-2</v>
      </c>
      <c r="Q18" s="33">
        <f t="shared" ref="Q18" si="38">(Q17-L17)/L17</f>
        <v>3.4254143646408837E-2</v>
      </c>
      <c r="R18" s="30">
        <f t="shared" ref="R18" si="39">(R17-M17)/M17</f>
        <v>0.10909090909090909</v>
      </c>
      <c r="S18" s="30">
        <f t="shared" ref="S18" si="40">(S17-N17)/N17</f>
        <v>5.8997050147492625E-2</v>
      </c>
      <c r="T18" s="30">
        <f t="shared" ref="T18" si="41">(T17-O17)/O17</f>
        <v>0</v>
      </c>
      <c r="U18" s="30">
        <f t="shared" ref="U18" si="42">(U17-P17)/P17</f>
        <v>0</v>
      </c>
      <c r="V18" s="33">
        <f>(V17-Q17)/Q17</f>
        <v>4.05982905982906E-2</v>
      </c>
      <c r="W18" s="30">
        <f t="shared" ref="W18" si="43">(W17-R17)/R17</f>
        <v>-1</v>
      </c>
      <c r="X18" s="30">
        <f t="shared" ref="X18" si="44">(X17-S17)/S17</f>
        <v>-1</v>
      </c>
      <c r="Y18" s="30">
        <f t="shared" ref="Y18" si="45">(Y17-T17)/T17</f>
        <v>-1</v>
      </c>
      <c r="Z18" s="30">
        <f t="shared" ref="Z18" si="46">(Z17-U17)/U17</f>
        <v>-1</v>
      </c>
      <c r="AA18" s="33">
        <f>(AA17-V17)/V17</f>
        <v>-1</v>
      </c>
    </row>
    <row r="19" spans="2:27" s="30" customFormat="1" ht="20" thickBot="1" x14ac:dyDescent="0.3">
      <c r="B19" s="30" t="s">
        <v>141</v>
      </c>
      <c r="C19" s="31"/>
      <c r="D19" s="31"/>
      <c r="E19" s="31"/>
      <c r="F19" s="31"/>
      <c r="G19" s="34"/>
      <c r="H19" s="31"/>
      <c r="I19" s="31"/>
      <c r="J19" s="31"/>
      <c r="K19" s="31"/>
      <c r="L19" s="34"/>
      <c r="M19" s="31">
        <v>7.0000000000000007E-2</v>
      </c>
      <c r="N19" s="31">
        <v>0.12</v>
      </c>
      <c r="O19" s="31">
        <v>-0.01</v>
      </c>
      <c r="P19" s="31">
        <v>-0.01</v>
      </c>
      <c r="Q19" s="34"/>
      <c r="R19" s="31">
        <v>0.14000000000000001</v>
      </c>
      <c r="S19" s="31">
        <v>0.11</v>
      </c>
      <c r="T19" s="31">
        <v>0.05</v>
      </c>
      <c r="U19" s="31">
        <v>0.01</v>
      </c>
      <c r="V19" s="34"/>
      <c r="W19" s="31"/>
      <c r="X19" s="31"/>
      <c r="Y19" s="31"/>
      <c r="Z19" s="31"/>
      <c r="AA19" s="34"/>
    </row>
    <row r="20" spans="2:27" x14ac:dyDescent="0.25">
      <c r="B20" s="1" t="s">
        <v>157</v>
      </c>
      <c r="C20" s="18">
        <v>37</v>
      </c>
      <c r="D20" s="18">
        <v>61</v>
      </c>
      <c r="E20" s="18">
        <v>44</v>
      </c>
      <c r="F20" s="18">
        <v>41</v>
      </c>
      <c r="G20" s="38">
        <f>SUM(C20:F20)</f>
        <v>183</v>
      </c>
      <c r="H20" s="18">
        <v>43</v>
      </c>
      <c r="I20" s="18">
        <v>64</v>
      </c>
      <c r="J20" s="18">
        <v>47</v>
      </c>
      <c r="K20" s="18">
        <v>45</v>
      </c>
      <c r="L20" s="38">
        <f>SUM(H20:K20)</f>
        <v>199</v>
      </c>
      <c r="M20" s="18">
        <v>44</v>
      </c>
      <c r="N20" s="18">
        <v>74</v>
      </c>
      <c r="O20" s="18">
        <v>52</v>
      </c>
      <c r="P20" s="18">
        <v>51</v>
      </c>
      <c r="Q20" s="38">
        <f>SUM(M20:P20)</f>
        <v>221</v>
      </c>
      <c r="R20" s="18">
        <v>52</v>
      </c>
      <c r="S20" s="18">
        <v>76</v>
      </c>
      <c r="T20" s="18">
        <v>58</v>
      </c>
      <c r="U20" s="18">
        <v>57</v>
      </c>
      <c r="V20" s="38">
        <f>SUM(R20:U20)</f>
        <v>243</v>
      </c>
      <c r="W20" s="18"/>
      <c r="X20" s="18"/>
      <c r="Y20" s="18"/>
      <c r="Z20" s="18"/>
      <c r="AA20" s="38">
        <f>SUM(W20:Z20)</f>
        <v>0</v>
      </c>
    </row>
    <row r="21" spans="2:27" s="15" customFormat="1" x14ac:dyDescent="0.25">
      <c r="B21" s="30" t="s">
        <v>140</v>
      </c>
      <c r="C21" s="30"/>
      <c r="D21" s="30"/>
      <c r="E21" s="30"/>
      <c r="F21" s="30"/>
      <c r="G21" s="33"/>
      <c r="H21" s="30">
        <f t="shared" ref="H21" si="47">(H20-C20)/C20</f>
        <v>0.16216216216216217</v>
      </c>
      <c r="I21" s="30">
        <f t="shared" ref="I21" si="48">(I20-D20)/D20</f>
        <v>4.9180327868852458E-2</v>
      </c>
      <c r="J21" s="30">
        <f t="shared" ref="J21" si="49">(J20-E20)/E20</f>
        <v>6.8181818181818177E-2</v>
      </c>
      <c r="K21" s="30">
        <f t="shared" ref="K21" si="50">(K20-F20)/F20</f>
        <v>9.7560975609756101E-2</v>
      </c>
      <c r="L21" s="33">
        <f>(L20-G20)/G20</f>
        <v>8.7431693989071038E-2</v>
      </c>
      <c r="M21" s="30">
        <f t="shared" ref="M21" si="51">(M20-H20)/H20</f>
        <v>2.3255813953488372E-2</v>
      </c>
      <c r="N21" s="30">
        <f t="shared" ref="N21" si="52">(N20-I20)/I20</f>
        <v>0.15625</v>
      </c>
      <c r="O21" s="30">
        <f t="shared" ref="O21" si="53">(O20-J20)/J20</f>
        <v>0.10638297872340426</v>
      </c>
      <c r="P21" s="30">
        <f t="shared" ref="P21" si="54">(P20-K20)/K20</f>
        <v>0.13333333333333333</v>
      </c>
      <c r="Q21" s="33">
        <f>(Q20-L20)/L20</f>
        <v>0.11055276381909548</v>
      </c>
      <c r="R21" s="30">
        <f>(R20-M20)/M20</f>
        <v>0.18181818181818182</v>
      </c>
      <c r="S21" s="30">
        <f>(S20-N20)/N20</f>
        <v>2.7027027027027029E-2</v>
      </c>
      <c r="T21" s="30">
        <f t="shared" ref="T21" si="55">(T20-O20)/O20</f>
        <v>0.11538461538461539</v>
      </c>
      <c r="U21" s="30">
        <f t="shared" ref="U21" si="56">(U20-P20)/P20</f>
        <v>0.11764705882352941</v>
      </c>
      <c r="V21" s="33">
        <f>(V20-Q20)/Q20</f>
        <v>9.9547511312217188E-2</v>
      </c>
      <c r="W21" s="30">
        <f>(W20-R20)/R20</f>
        <v>-1</v>
      </c>
      <c r="X21" s="30">
        <f>(X20-S20)/S20</f>
        <v>-1</v>
      </c>
      <c r="Y21" s="30">
        <f t="shared" ref="Y21" si="57">(Y20-T20)/T20</f>
        <v>-1</v>
      </c>
      <c r="Z21" s="30">
        <f t="shared" ref="Z21" si="58">(Z20-U20)/U20</f>
        <v>-1</v>
      </c>
      <c r="AA21" s="33">
        <f>(AA20-V20)/V20</f>
        <v>-1</v>
      </c>
    </row>
    <row r="22" spans="2:27" s="15" customFormat="1" ht="20" thickBot="1" x14ac:dyDescent="0.3">
      <c r="B22" s="30" t="s">
        <v>141</v>
      </c>
      <c r="C22" s="31"/>
      <c r="D22" s="31"/>
      <c r="E22" s="31"/>
      <c r="F22" s="31"/>
      <c r="G22" s="34"/>
      <c r="H22" s="31"/>
      <c r="I22" s="31"/>
      <c r="J22" s="31"/>
      <c r="K22" s="31"/>
      <c r="L22" s="34"/>
      <c r="M22" s="31">
        <v>0.02</v>
      </c>
      <c r="N22" s="31">
        <v>0.15</v>
      </c>
      <c r="O22" s="31">
        <v>0.1</v>
      </c>
      <c r="P22" s="31">
        <v>0.13</v>
      </c>
      <c r="Q22" s="34"/>
      <c r="R22" s="31">
        <v>0.18</v>
      </c>
      <c r="S22" s="31">
        <v>0.02</v>
      </c>
      <c r="T22" s="31">
        <v>0.12</v>
      </c>
      <c r="U22" s="31">
        <v>0.12</v>
      </c>
      <c r="V22" s="34"/>
      <c r="W22" s="31"/>
      <c r="X22" s="31"/>
      <c r="Y22" s="31"/>
      <c r="Z22" s="31"/>
      <c r="AA22" s="34"/>
    </row>
    <row r="23" spans="2:27" x14ac:dyDescent="0.25">
      <c r="B23" s="1" t="s">
        <v>158</v>
      </c>
      <c r="C23" s="18">
        <v>85</v>
      </c>
      <c r="D23" s="18">
        <v>181</v>
      </c>
      <c r="E23" s="18">
        <v>143</v>
      </c>
      <c r="F23" s="18">
        <v>123</v>
      </c>
      <c r="G23" s="38">
        <f>SUM(C23:F23)</f>
        <v>532</v>
      </c>
      <c r="H23" s="18">
        <v>110</v>
      </c>
      <c r="I23" s="18">
        <v>214</v>
      </c>
      <c r="J23" s="18">
        <v>168</v>
      </c>
      <c r="K23" s="18">
        <v>139</v>
      </c>
      <c r="L23" s="38">
        <f>SUM(H23:K23)</f>
        <v>631</v>
      </c>
      <c r="M23" s="18">
        <v>141</v>
      </c>
      <c r="N23" s="18">
        <v>271</v>
      </c>
      <c r="O23" s="18">
        <v>195</v>
      </c>
      <c r="P23" s="18">
        <v>161</v>
      </c>
      <c r="Q23" s="38">
        <f>SUM(M23:P23)</f>
        <v>768</v>
      </c>
      <c r="R23" s="18">
        <v>158</v>
      </c>
      <c r="S23" s="18">
        <v>291</v>
      </c>
      <c r="T23" s="18">
        <v>190</v>
      </c>
      <c r="U23" s="18">
        <v>164</v>
      </c>
      <c r="V23" s="38">
        <f>SUM(R23:U23)</f>
        <v>803</v>
      </c>
      <c r="W23" s="18"/>
      <c r="X23" s="18"/>
      <c r="Y23" s="18"/>
      <c r="Z23" s="18"/>
      <c r="AA23" s="38">
        <f>SUM(W23:Z23)</f>
        <v>0</v>
      </c>
    </row>
    <row r="24" spans="2:27" s="15" customFormat="1" x14ac:dyDescent="0.25">
      <c r="B24" s="30" t="s">
        <v>140</v>
      </c>
      <c r="C24" s="30"/>
      <c r="D24" s="30"/>
      <c r="E24" s="30"/>
      <c r="F24" s="30"/>
      <c r="G24" s="33"/>
      <c r="H24" s="30">
        <f t="shared" ref="H24" si="59">(H23-C23)/C23</f>
        <v>0.29411764705882354</v>
      </c>
      <c r="I24" s="30">
        <f t="shared" ref="I24" si="60">(I23-D23)/D23</f>
        <v>0.18232044198895028</v>
      </c>
      <c r="J24" s="30">
        <f t="shared" ref="J24" si="61">(J23-E23)/E23</f>
        <v>0.17482517482517482</v>
      </c>
      <c r="K24" s="30">
        <f t="shared" ref="K24" si="62">(K23-F23)/F23</f>
        <v>0.13008130081300814</v>
      </c>
      <c r="L24" s="33">
        <f>(L23-G23)/G23</f>
        <v>0.18609022556390978</v>
      </c>
      <c r="M24" s="30">
        <f t="shared" ref="M24" si="63">(M23-H23)/H23</f>
        <v>0.2818181818181818</v>
      </c>
      <c r="N24" s="30">
        <f t="shared" ref="N24" si="64">(N23-I23)/I23</f>
        <v>0.26635514018691586</v>
      </c>
      <c r="O24" s="30">
        <f t="shared" ref="O24" si="65">(O23-J23)/J23</f>
        <v>0.16071428571428573</v>
      </c>
      <c r="P24" s="30">
        <f t="shared" ref="P24" si="66">(P23-K23)/K23</f>
        <v>0.15827338129496402</v>
      </c>
      <c r="Q24" s="33">
        <f>(Q23-L23)/L23</f>
        <v>0.21711568938193343</v>
      </c>
      <c r="R24" s="30">
        <f>(R23-M23)/M23</f>
        <v>0.12056737588652482</v>
      </c>
      <c r="S24" s="30">
        <f>(S23-N23)/N23</f>
        <v>7.3800738007380073E-2</v>
      </c>
      <c r="T24" s="30">
        <f t="shared" ref="T24" si="67">(T23-O23)/O23</f>
        <v>-2.564102564102564E-2</v>
      </c>
      <c r="U24" s="30">
        <f t="shared" ref="U24" si="68">(U23-P23)/P23</f>
        <v>1.8633540372670808E-2</v>
      </c>
      <c r="V24" s="33">
        <f>(V23-Q23)/Q23</f>
        <v>4.5572916666666664E-2</v>
      </c>
      <c r="W24" s="30">
        <f>(W23-R23)/R23</f>
        <v>-1</v>
      </c>
      <c r="X24" s="30">
        <f>(X23-S23)/S23</f>
        <v>-1</v>
      </c>
      <c r="Y24" s="30">
        <f t="shared" ref="Y24" si="69">(Y23-T23)/T23</f>
        <v>-1</v>
      </c>
      <c r="Z24" s="30">
        <f t="shared" ref="Z24" si="70">(Z23-U23)/U23</f>
        <v>-1</v>
      </c>
      <c r="AA24" s="33">
        <f>(AA23-V23)/V23</f>
        <v>-1</v>
      </c>
    </row>
    <row r="25" spans="2:27" s="15" customFormat="1" ht="20" thickBot="1" x14ac:dyDescent="0.3">
      <c r="B25" s="30" t="s">
        <v>141</v>
      </c>
      <c r="C25" s="31"/>
      <c r="D25" s="31"/>
      <c r="E25" s="31"/>
      <c r="F25" s="31"/>
      <c r="G25" s="34"/>
      <c r="H25" s="31"/>
      <c r="I25" s="31"/>
      <c r="J25" s="31"/>
      <c r="K25" s="31"/>
      <c r="L25" s="34"/>
      <c r="M25" s="31">
        <v>0.04</v>
      </c>
      <c r="N25" s="31">
        <v>0.08</v>
      </c>
      <c r="O25" s="31">
        <v>0.03</v>
      </c>
      <c r="P25" s="31">
        <v>7.0000000000000007E-2</v>
      </c>
      <c r="Q25" s="34"/>
      <c r="R25" s="31">
        <v>0.15</v>
      </c>
      <c r="S25" s="31">
        <v>0.13</v>
      </c>
      <c r="T25" s="31">
        <v>0.02</v>
      </c>
      <c r="U25" s="31">
        <v>0.03</v>
      </c>
      <c r="V25" s="35"/>
      <c r="W25" s="31"/>
      <c r="X25" s="31"/>
      <c r="Y25" s="31"/>
      <c r="Z25" s="31"/>
      <c r="AA25" s="3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20"/>
  <sheetViews>
    <sheetView showGridLines="0" workbookViewId="0">
      <selection activeCell="D5" sqref="D5"/>
    </sheetView>
  </sheetViews>
  <sheetFormatPr baseColWidth="10" defaultRowHeight="16" x14ac:dyDescent="0.2"/>
  <cols>
    <col min="3" max="3" width="29.5" bestFit="1" customWidth="1"/>
    <col min="4" max="4" width="22" customWidth="1"/>
    <col min="5" max="5" width="22.83203125" customWidth="1"/>
    <col min="6" max="6" width="23.33203125" customWidth="1"/>
  </cols>
  <sheetData>
    <row r="4" spans="3:6" ht="62" x14ac:dyDescent="0.7">
      <c r="C4" s="28"/>
      <c r="D4" s="28" t="s">
        <v>129</v>
      </c>
      <c r="E4" s="28" t="s">
        <v>130</v>
      </c>
      <c r="F4" s="28" t="s">
        <v>155</v>
      </c>
    </row>
    <row r="5" spans="3:6" ht="62" x14ac:dyDescent="0.7">
      <c r="C5" s="28" t="s">
        <v>3</v>
      </c>
      <c r="D5" s="29">
        <f>Modell!$B$9/Modell!AF11</f>
        <v>9.8885312699600121</v>
      </c>
      <c r="E5" s="29">
        <f>Modell!$B$9/Modell!AG11</f>
        <v>8.7824244963284794</v>
      </c>
      <c r="F5" s="29">
        <f>Modell!$B$9/Modell!AH11</f>
        <v>7.8179621262781902</v>
      </c>
    </row>
    <row r="6" spans="3:6" ht="62" x14ac:dyDescent="0.7">
      <c r="C6" s="28" t="s">
        <v>4</v>
      </c>
      <c r="D6" s="29">
        <f>Modell!$B$4/Modell!AF18</f>
        <v>13.259170028332232</v>
      </c>
      <c r="E6" s="29">
        <f>Modell!$B$4/Modell!AG18</f>
        <v>11.776031897837166</v>
      </c>
      <c r="F6" s="29">
        <f>Modell!$B$4/Modell!AH18</f>
        <v>10.482819569200139</v>
      </c>
    </row>
    <row r="20" spans="6:6" x14ac:dyDescent="0.2">
      <c r="F20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XEK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52" sqref="E52"/>
    </sheetView>
  </sheetViews>
  <sheetFormatPr baseColWidth="10" defaultRowHeight="19" x14ac:dyDescent="0.25"/>
  <cols>
    <col min="1" max="1" width="10.83203125" style="2"/>
    <col min="2" max="2" width="21.1640625" style="3" customWidth="1"/>
    <col min="3" max="3" width="31.5" style="2" customWidth="1"/>
    <col min="4" max="9" width="10.83203125" style="2"/>
    <col min="10" max="10" width="10.83203125" style="50"/>
    <col min="11" max="20" width="10.83203125" style="2"/>
    <col min="21" max="21" width="14.1640625" style="2" customWidth="1"/>
    <col min="22" max="16384" width="10.83203125" style="2"/>
  </cols>
  <sheetData>
    <row r="3" spans="1:16365" x14ac:dyDescent="0.25">
      <c r="A3" s="1" t="s">
        <v>7</v>
      </c>
      <c r="D3" s="4" t="s">
        <v>90</v>
      </c>
      <c r="E3" s="4" t="s">
        <v>89</v>
      </c>
      <c r="F3" s="4" t="s">
        <v>88</v>
      </c>
      <c r="G3" s="4" t="s">
        <v>87</v>
      </c>
      <c r="H3" s="4" t="s">
        <v>86</v>
      </c>
      <c r="I3" s="4" t="s">
        <v>84</v>
      </c>
      <c r="J3" s="45" t="s">
        <v>85</v>
      </c>
      <c r="K3" s="4" t="s">
        <v>91</v>
      </c>
      <c r="L3" s="4" t="s">
        <v>92</v>
      </c>
      <c r="M3" s="4" t="s">
        <v>93</v>
      </c>
      <c r="N3" s="4" t="s">
        <v>94</v>
      </c>
      <c r="O3" s="4" t="s">
        <v>95</v>
      </c>
      <c r="P3" s="4" t="s">
        <v>96</v>
      </c>
      <c r="Q3" s="4" t="s">
        <v>97</v>
      </c>
      <c r="R3" s="4" t="s">
        <v>98</v>
      </c>
      <c r="S3" s="4" t="s">
        <v>99</v>
      </c>
    </row>
    <row r="4" spans="1:16365" x14ac:dyDescent="0.25">
      <c r="A4" s="1" t="s">
        <v>147</v>
      </c>
      <c r="C4" s="1" t="s">
        <v>16</v>
      </c>
      <c r="D4" s="17">
        <v>387.50700000000001</v>
      </c>
      <c r="E4" s="17">
        <v>912.73500000000001</v>
      </c>
      <c r="F4" s="17">
        <v>1356</v>
      </c>
      <c r="G4" s="17">
        <v>1562</v>
      </c>
      <c r="H4" s="17">
        <v>1842</v>
      </c>
      <c r="I4" s="17">
        <v>1925</v>
      </c>
      <c r="J4" s="46">
        <f>I4*1.06</f>
        <v>2040.5</v>
      </c>
      <c r="K4" s="17">
        <f>J4</f>
        <v>2040.5</v>
      </c>
      <c r="L4" s="17">
        <f t="shared" ref="L4:S4" si="0">K4</f>
        <v>2040.5</v>
      </c>
      <c r="M4" s="17">
        <f t="shared" si="0"/>
        <v>2040.5</v>
      </c>
      <c r="N4" s="17">
        <f t="shared" si="0"/>
        <v>2040.5</v>
      </c>
      <c r="O4" s="17">
        <f t="shared" si="0"/>
        <v>2040.5</v>
      </c>
      <c r="P4" s="17">
        <f t="shared" si="0"/>
        <v>2040.5</v>
      </c>
      <c r="Q4" s="17">
        <f t="shared" si="0"/>
        <v>2040.5</v>
      </c>
      <c r="R4" s="17">
        <f t="shared" si="0"/>
        <v>2040.5</v>
      </c>
      <c r="S4" s="17">
        <f t="shared" si="0"/>
        <v>2040.5</v>
      </c>
    </row>
    <row r="5" spans="1:16365" x14ac:dyDescent="0.25">
      <c r="A5" s="36">
        <f>V23</f>
        <v>33.408435966170899</v>
      </c>
      <c r="C5" s="2" t="s">
        <v>17</v>
      </c>
      <c r="D5" s="18">
        <v>-115.72</v>
      </c>
      <c r="E5" s="18">
        <v>-248.804</v>
      </c>
      <c r="F5" s="18">
        <v>-369</v>
      </c>
      <c r="G5" s="18">
        <v>-434</v>
      </c>
      <c r="H5" s="18">
        <v>-528</v>
      </c>
      <c r="I5" s="18">
        <v>-581</v>
      </c>
      <c r="J5" s="47">
        <f>J4*-0.3</f>
        <v>-612.15</v>
      </c>
      <c r="K5" s="18">
        <f>K4*-0.32</f>
        <v>-652.96</v>
      </c>
      <c r="L5" s="18">
        <f t="shared" ref="L5:S5" si="1">L4*-0.32</f>
        <v>-652.96</v>
      </c>
      <c r="M5" s="18">
        <f t="shared" si="1"/>
        <v>-652.96</v>
      </c>
      <c r="N5" s="18">
        <f t="shared" si="1"/>
        <v>-652.96</v>
      </c>
      <c r="O5" s="18">
        <f t="shared" si="1"/>
        <v>-652.96</v>
      </c>
      <c r="P5" s="18">
        <f t="shared" si="1"/>
        <v>-652.96</v>
      </c>
      <c r="Q5" s="18">
        <f t="shared" si="1"/>
        <v>-652.96</v>
      </c>
      <c r="R5" s="18">
        <f t="shared" si="1"/>
        <v>-652.96</v>
      </c>
      <c r="S5" s="18">
        <f t="shared" si="1"/>
        <v>-652.96</v>
      </c>
    </row>
    <row r="6" spans="1:16365" x14ac:dyDescent="0.25">
      <c r="A6" s="16">
        <f>V24</f>
        <v>-0.34939754691001174</v>
      </c>
      <c r="C6" s="2" t="s">
        <v>18</v>
      </c>
      <c r="D6" s="18">
        <f t="shared" ref="D6:I6" si="2">SUM(D4:D5)</f>
        <v>271.78700000000003</v>
      </c>
      <c r="E6" s="18">
        <f t="shared" si="2"/>
        <v>663.93100000000004</v>
      </c>
      <c r="F6" s="18">
        <f t="shared" si="2"/>
        <v>987</v>
      </c>
      <c r="G6" s="18">
        <f t="shared" si="2"/>
        <v>1128</v>
      </c>
      <c r="H6" s="18">
        <f t="shared" si="2"/>
        <v>1314</v>
      </c>
      <c r="I6" s="18">
        <f t="shared" si="2"/>
        <v>1344</v>
      </c>
      <c r="J6" s="47">
        <f t="shared" ref="J6:S6" si="3">SUM(J4:J5)</f>
        <v>1428.35</v>
      </c>
      <c r="K6" s="18">
        <f t="shared" si="3"/>
        <v>1387.54</v>
      </c>
      <c r="L6" s="18">
        <f t="shared" si="3"/>
        <v>1387.54</v>
      </c>
      <c r="M6" s="18">
        <f t="shared" si="3"/>
        <v>1387.54</v>
      </c>
      <c r="N6" s="18">
        <f t="shared" si="3"/>
        <v>1387.54</v>
      </c>
      <c r="O6" s="18">
        <f t="shared" si="3"/>
        <v>1387.54</v>
      </c>
      <c r="P6" s="18">
        <f t="shared" si="3"/>
        <v>1387.54</v>
      </c>
      <c r="Q6" s="18">
        <f t="shared" si="3"/>
        <v>1387.54</v>
      </c>
      <c r="R6" s="18">
        <f t="shared" si="3"/>
        <v>1387.54</v>
      </c>
      <c r="S6" s="18">
        <f t="shared" si="3"/>
        <v>1387.54</v>
      </c>
    </row>
    <row r="7" spans="1:16365" x14ac:dyDescent="0.25">
      <c r="C7" s="2" t="s">
        <v>19</v>
      </c>
      <c r="D7" s="18">
        <v>-156.999</v>
      </c>
      <c r="E7" s="18">
        <v>-363.697</v>
      </c>
      <c r="F7" s="18">
        <v>-539</v>
      </c>
      <c r="G7" s="18">
        <v>-701</v>
      </c>
      <c r="H7" s="18">
        <v>-805</v>
      </c>
      <c r="I7" s="18">
        <v>-831</v>
      </c>
      <c r="J7" s="47">
        <f>I7*1.03</f>
        <v>-855.93000000000006</v>
      </c>
      <c r="K7" s="18">
        <f>J7*1</f>
        <v>-855.93000000000006</v>
      </c>
      <c r="L7" s="18">
        <f>K7</f>
        <v>-855.93000000000006</v>
      </c>
      <c r="M7" s="18">
        <f t="shared" ref="M7:S7" si="4">L7</f>
        <v>-855.93000000000006</v>
      </c>
      <c r="N7" s="18">
        <f t="shared" si="4"/>
        <v>-855.93000000000006</v>
      </c>
      <c r="O7" s="18">
        <f t="shared" si="4"/>
        <v>-855.93000000000006</v>
      </c>
      <c r="P7" s="18">
        <f t="shared" si="4"/>
        <v>-855.93000000000006</v>
      </c>
      <c r="Q7" s="18">
        <f t="shared" si="4"/>
        <v>-855.93000000000006</v>
      </c>
      <c r="R7" s="18">
        <f t="shared" si="4"/>
        <v>-855.93000000000006</v>
      </c>
      <c r="S7" s="18">
        <f t="shared" si="4"/>
        <v>-855.93000000000006</v>
      </c>
    </row>
    <row r="8" spans="1:16365" x14ac:dyDescent="0.25">
      <c r="C8" s="2" t="s">
        <v>20</v>
      </c>
      <c r="D8" s="18">
        <v>-29.635000000000002</v>
      </c>
      <c r="E8" s="18">
        <v>-48.594999999999999</v>
      </c>
      <c r="F8" s="18">
        <v>-77</v>
      </c>
      <c r="G8" s="18">
        <v>-110</v>
      </c>
      <c r="H8" s="18">
        <v>-114</v>
      </c>
      <c r="I8" s="18">
        <v>-143</v>
      </c>
      <c r="J8" s="47">
        <f t="shared" ref="J8:J10" si="5">I8*1.03</f>
        <v>-147.29</v>
      </c>
      <c r="K8" s="18">
        <f t="shared" ref="K8:K10" si="6">J8*1</f>
        <v>-147.29</v>
      </c>
      <c r="L8" s="18">
        <f t="shared" ref="L8:S10" si="7">K8</f>
        <v>-147.29</v>
      </c>
      <c r="M8" s="18">
        <f t="shared" si="7"/>
        <v>-147.29</v>
      </c>
      <c r="N8" s="18">
        <f t="shared" si="7"/>
        <v>-147.29</v>
      </c>
      <c r="O8" s="18">
        <f t="shared" si="7"/>
        <v>-147.29</v>
      </c>
      <c r="P8" s="18">
        <f t="shared" si="7"/>
        <v>-147.29</v>
      </c>
      <c r="Q8" s="18">
        <f t="shared" si="7"/>
        <v>-147.29</v>
      </c>
      <c r="R8" s="18">
        <f t="shared" si="7"/>
        <v>-147.29</v>
      </c>
      <c r="S8" s="18">
        <f t="shared" si="7"/>
        <v>-147.29</v>
      </c>
    </row>
    <row r="9" spans="1:16365" x14ac:dyDescent="0.25">
      <c r="C9" s="2" t="s">
        <v>21</v>
      </c>
      <c r="D9" s="18">
        <v>-1.982</v>
      </c>
      <c r="E9" s="18">
        <v>-3.871</v>
      </c>
      <c r="F9" s="18">
        <v>-5</v>
      </c>
      <c r="G9" s="18">
        <v>-7</v>
      </c>
      <c r="H9" s="18">
        <v>-9</v>
      </c>
      <c r="I9" s="18">
        <v>-9</v>
      </c>
      <c r="J9" s="47">
        <f t="shared" si="5"/>
        <v>-9.27</v>
      </c>
      <c r="K9" s="18">
        <f t="shared" si="6"/>
        <v>-9.27</v>
      </c>
      <c r="L9" s="18">
        <f t="shared" si="7"/>
        <v>-9.27</v>
      </c>
      <c r="M9" s="18">
        <f t="shared" si="7"/>
        <v>-9.27</v>
      </c>
      <c r="N9" s="18">
        <f t="shared" si="7"/>
        <v>-9.27</v>
      </c>
      <c r="O9" s="18">
        <f t="shared" si="7"/>
        <v>-9.27</v>
      </c>
      <c r="P9" s="18">
        <f t="shared" si="7"/>
        <v>-9.27</v>
      </c>
      <c r="Q9" s="18">
        <f t="shared" si="7"/>
        <v>-9.27</v>
      </c>
      <c r="R9" s="18">
        <f t="shared" si="7"/>
        <v>-9.27</v>
      </c>
      <c r="S9" s="18">
        <f t="shared" si="7"/>
        <v>-9.27</v>
      </c>
    </row>
    <row r="10" spans="1:16365" x14ac:dyDescent="0.25">
      <c r="C10" s="2" t="s">
        <v>30</v>
      </c>
      <c r="D10" s="18">
        <v>0</v>
      </c>
      <c r="E10" s="18">
        <v>-17.3</v>
      </c>
      <c r="F10" s="18">
        <v>0</v>
      </c>
      <c r="G10" s="18">
        <v>0</v>
      </c>
      <c r="H10" s="18">
        <v>0</v>
      </c>
      <c r="I10" s="18">
        <v>-4</v>
      </c>
      <c r="J10" s="47">
        <f t="shared" si="5"/>
        <v>-4.12</v>
      </c>
      <c r="K10" s="18">
        <f t="shared" si="6"/>
        <v>-4.12</v>
      </c>
      <c r="L10" s="18">
        <f t="shared" si="7"/>
        <v>-4.12</v>
      </c>
      <c r="M10" s="18">
        <f t="shared" si="7"/>
        <v>-4.12</v>
      </c>
      <c r="N10" s="18">
        <f t="shared" si="7"/>
        <v>-4.12</v>
      </c>
      <c r="O10" s="18">
        <f t="shared" si="7"/>
        <v>-4.12</v>
      </c>
      <c r="P10" s="18">
        <f t="shared" si="7"/>
        <v>-4.12</v>
      </c>
      <c r="Q10" s="18">
        <f t="shared" si="7"/>
        <v>-4.12</v>
      </c>
      <c r="R10" s="18">
        <f t="shared" si="7"/>
        <v>-4.12</v>
      </c>
      <c r="S10" s="18">
        <f t="shared" si="7"/>
        <v>-4.12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</row>
    <row r="11" spans="1:16365" x14ac:dyDescent="0.25">
      <c r="C11" s="1" t="s">
        <v>22</v>
      </c>
      <c r="D11" s="17">
        <f t="shared" ref="D11:I11" si="8">SUM(D6:D10)</f>
        <v>83.171000000000035</v>
      </c>
      <c r="E11" s="17">
        <f t="shared" si="8"/>
        <v>230.46800000000002</v>
      </c>
      <c r="F11" s="17">
        <f t="shared" si="8"/>
        <v>366</v>
      </c>
      <c r="G11" s="17">
        <f t="shared" si="8"/>
        <v>310</v>
      </c>
      <c r="H11" s="17">
        <f t="shared" si="8"/>
        <v>386</v>
      </c>
      <c r="I11" s="17">
        <f t="shared" si="8"/>
        <v>357</v>
      </c>
      <c r="J11" s="46">
        <f t="shared" ref="J11:S11" si="9">SUM(J6:J10)</f>
        <v>411.7399999999999</v>
      </c>
      <c r="K11" s="17">
        <f t="shared" si="9"/>
        <v>370.92999999999995</v>
      </c>
      <c r="L11" s="17">
        <f t="shared" si="9"/>
        <v>370.92999999999995</v>
      </c>
      <c r="M11" s="17">
        <f t="shared" si="9"/>
        <v>370.92999999999995</v>
      </c>
      <c r="N11" s="17">
        <f t="shared" si="9"/>
        <v>370.92999999999995</v>
      </c>
      <c r="O11" s="17">
        <f t="shared" si="9"/>
        <v>370.92999999999995</v>
      </c>
      <c r="P11" s="17">
        <f t="shared" si="9"/>
        <v>370.92999999999995</v>
      </c>
      <c r="Q11" s="17">
        <f t="shared" si="9"/>
        <v>370.92999999999995</v>
      </c>
      <c r="R11" s="17">
        <f t="shared" si="9"/>
        <v>370.92999999999995</v>
      </c>
      <c r="S11" s="17">
        <f t="shared" si="9"/>
        <v>370.92999999999995</v>
      </c>
    </row>
    <row r="12" spans="1:16365" x14ac:dyDescent="0.25">
      <c r="C12" s="2" t="s">
        <v>23</v>
      </c>
      <c r="D12" s="18">
        <v>0</v>
      </c>
      <c r="E12" s="18">
        <v>0</v>
      </c>
      <c r="F12" s="18">
        <v>0</v>
      </c>
      <c r="G12" s="18">
        <v>1</v>
      </c>
      <c r="H12" s="18">
        <v>8</v>
      </c>
      <c r="I12" s="18">
        <v>4</v>
      </c>
      <c r="J12" s="47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</row>
    <row r="13" spans="1:16365" x14ac:dyDescent="0.25">
      <c r="C13" s="2" t="s">
        <v>24</v>
      </c>
      <c r="D13" s="18">
        <v>-7</v>
      </c>
      <c r="E13" s="18">
        <v>-12</v>
      </c>
      <c r="F13" s="18">
        <v>-3</v>
      </c>
      <c r="G13" s="18">
        <v>-5</v>
      </c>
      <c r="H13" s="18">
        <v>-4</v>
      </c>
      <c r="I13" s="18">
        <v>-4</v>
      </c>
      <c r="J13" s="47"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</row>
    <row r="14" spans="1:16365" x14ac:dyDescent="0.25">
      <c r="C14" s="2" t="s">
        <v>25</v>
      </c>
      <c r="D14" s="18">
        <f t="shared" ref="D14:I14" si="10">SUM(D11:D13)</f>
        <v>76.171000000000035</v>
      </c>
      <c r="E14" s="18">
        <f t="shared" si="10"/>
        <v>218.46800000000002</v>
      </c>
      <c r="F14" s="18">
        <f t="shared" si="10"/>
        <v>363</v>
      </c>
      <c r="G14" s="18">
        <f t="shared" si="10"/>
        <v>306</v>
      </c>
      <c r="H14" s="18">
        <f t="shared" si="10"/>
        <v>390</v>
      </c>
      <c r="I14" s="18">
        <f t="shared" si="10"/>
        <v>357</v>
      </c>
      <c r="J14" s="47">
        <f t="shared" ref="J14:S14" si="11">SUM(J11:J13)</f>
        <v>411.7399999999999</v>
      </c>
      <c r="K14" s="18">
        <f t="shared" si="11"/>
        <v>370.92999999999995</v>
      </c>
      <c r="L14" s="18">
        <f t="shared" si="11"/>
        <v>370.92999999999995</v>
      </c>
      <c r="M14" s="18">
        <f t="shared" si="11"/>
        <v>370.92999999999995</v>
      </c>
      <c r="N14" s="18">
        <f t="shared" si="11"/>
        <v>370.92999999999995</v>
      </c>
      <c r="O14" s="18">
        <f t="shared" si="11"/>
        <v>370.92999999999995</v>
      </c>
      <c r="P14" s="18">
        <f t="shared" si="11"/>
        <v>370.92999999999995</v>
      </c>
      <c r="Q14" s="18">
        <f t="shared" si="11"/>
        <v>370.92999999999995</v>
      </c>
      <c r="R14" s="18">
        <f t="shared" si="11"/>
        <v>370.92999999999995</v>
      </c>
      <c r="S14" s="18">
        <f t="shared" si="11"/>
        <v>370.92999999999995</v>
      </c>
    </row>
    <row r="15" spans="1:16365" x14ac:dyDescent="0.25">
      <c r="C15" s="2" t="s">
        <v>26</v>
      </c>
      <c r="D15" s="18">
        <v>-16.5</v>
      </c>
      <c r="E15" s="18">
        <v>-46.835000000000001</v>
      </c>
      <c r="F15" s="18">
        <v>-75</v>
      </c>
      <c r="G15" s="18">
        <v>-63</v>
      </c>
      <c r="H15" s="18">
        <v>-81</v>
      </c>
      <c r="I15" s="18">
        <v>-74</v>
      </c>
      <c r="J15" s="47">
        <f>J14*-0.2</f>
        <v>-82.347999999999985</v>
      </c>
      <c r="K15" s="18">
        <f t="shared" ref="K15:S15" si="12">K14*-0.2</f>
        <v>-74.185999999999993</v>
      </c>
      <c r="L15" s="18">
        <f t="shared" si="12"/>
        <v>-74.185999999999993</v>
      </c>
      <c r="M15" s="18">
        <f t="shared" si="12"/>
        <v>-74.185999999999993</v>
      </c>
      <c r="N15" s="18">
        <f t="shared" si="12"/>
        <v>-74.185999999999993</v>
      </c>
      <c r="O15" s="18">
        <f t="shared" si="12"/>
        <v>-74.185999999999993</v>
      </c>
      <c r="P15" s="18">
        <f t="shared" si="12"/>
        <v>-74.185999999999993</v>
      </c>
      <c r="Q15" s="18">
        <f t="shared" si="12"/>
        <v>-74.185999999999993</v>
      </c>
      <c r="R15" s="18">
        <f t="shared" si="12"/>
        <v>-74.185999999999993</v>
      </c>
      <c r="S15" s="18">
        <f t="shared" si="12"/>
        <v>-74.185999999999993</v>
      </c>
    </row>
    <row r="16" spans="1:16365" x14ac:dyDescent="0.25">
      <c r="C16" s="1" t="s">
        <v>27</v>
      </c>
      <c r="D16" s="17">
        <f t="shared" ref="D16:I16" si="13">SUM(D14:D15)</f>
        <v>59.671000000000035</v>
      </c>
      <c r="E16" s="17">
        <f t="shared" si="13"/>
        <v>171.63300000000001</v>
      </c>
      <c r="F16" s="17">
        <f t="shared" si="13"/>
        <v>288</v>
      </c>
      <c r="G16" s="17">
        <f t="shared" si="13"/>
        <v>243</v>
      </c>
      <c r="H16" s="17">
        <f t="shared" si="13"/>
        <v>309</v>
      </c>
      <c r="I16" s="17">
        <f t="shared" si="13"/>
        <v>283</v>
      </c>
      <c r="J16" s="46">
        <f t="shared" ref="J16:S16" si="14">SUM(J14:J15)</f>
        <v>329.39199999999994</v>
      </c>
      <c r="K16" s="17">
        <f t="shared" si="14"/>
        <v>296.74399999999997</v>
      </c>
      <c r="L16" s="17">
        <f t="shared" si="14"/>
        <v>296.74399999999997</v>
      </c>
      <c r="M16" s="17">
        <f t="shared" si="14"/>
        <v>296.74399999999997</v>
      </c>
      <c r="N16" s="17">
        <f t="shared" si="14"/>
        <v>296.74399999999997</v>
      </c>
      <c r="O16" s="17">
        <f t="shared" si="14"/>
        <v>296.74399999999997</v>
      </c>
      <c r="P16" s="17">
        <f t="shared" si="14"/>
        <v>296.74399999999997</v>
      </c>
      <c r="Q16" s="17">
        <f t="shared" si="14"/>
        <v>296.74399999999997</v>
      </c>
      <c r="R16" s="17">
        <f t="shared" si="14"/>
        <v>296.74399999999997</v>
      </c>
      <c r="S16" s="17">
        <f t="shared" si="14"/>
        <v>296.74399999999997</v>
      </c>
      <c r="T16" s="17">
        <f>S16*(1+$V$20)</f>
        <v>293.77655999999996</v>
      </c>
      <c r="U16" s="17">
        <f t="shared" ref="U16:CF16" si="15">T16*(1+$V$20)</f>
        <v>290.83879439999998</v>
      </c>
      <c r="V16" s="17">
        <f t="shared" si="15"/>
        <v>287.93040645599996</v>
      </c>
      <c r="W16" s="17">
        <f t="shared" si="15"/>
        <v>285.05110239143994</v>
      </c>
      <c r="X16" s="17">
        <f t="shared" si="15"/>
        <v>282.20059136752553</v>
      </c>
      <c r="Y16" s="17">
        <f t="shared" si="15"/>
        <v>279.37858545385029</v>
      </c>
      <c r="Z16" s="17">
        <f t="shared" si="15"/>
        <v>276.58479959931179</v>
      </c>
      <c r="AA16" s="17">
        <f t="shared" si="15"/>
        <v>273.81895160331868</v>
      </c>
      <c r="AB16" s="17">
        <f t="shared" si="15"/>
        <v>271.08076208728551</v>
      </c>
      <c r="AC16" s="17">
        <f t="shared" si="15"/>
        <v>268.36995446641265</v>
      </c>
      <c r="AD16" s="17">
        <f t="shared" si="15"/>
        <v>265.68625492174851</v>
      </c>
      <c r="AE16" s="17">
        <f t="shared" si="15"/>
        <v>263.02939237253105</v>
      </c>
      <c r="AF16" s="17">
        <f t="shared" si="15"/>
        <v>260.39909844880572</v>
      </c>
      <c r="AG16" s="17">
        <f t="shared" si="15"/>
        <v>257.79510746431765</v>
      </c>
      <c r="AH16" s="17">
        <f t="shared" si="15"/>
        <v>255.21715638967447</v>
      </c>
      <c r="AI16" s="17">
        <f t="shared" si="15"/>
        <v>252.66498482577774</v>
      </c>
      <c r="AJ16" s="17">
        <f t="shared" si="15"/>
        <v>250.13833497751995</v>
      </c>
      <c r="AK16" s="17">
        <f t="shared" si="15"/>
        <v>247.63695162774474</v>
      </c>
      <c r="AL16" s="17">
        <f t="shared" si="15"/>
        <v>245.16058211146728</v>
      </c>
      <c r="AM16" s="17">
        <f t="shared" si="15"/>
        <v>242.70897629035261</v>
      </c>
      <c r="AN16" s="17">
        <f t="shared" si="15"/>
        <v>240.28188652744907</v>
      </c>
      <c r="AO16" s="17">
        <f t="shared" si="15"/>
        <v>237.87906766217458</v>
      </c>
      <c r="AP16" s="17">
        <f t="shared" si="15"/>
        <v>235.50027698555283</v>
      </c>
      <c r="AQ16" s="17">
        <f t="shared" si="15"/>
        <v>233.1452742156973</v>
      </c>
      <c r="AR16" s="17">
        <f t="shared" si="15"/>
        <v>230.81382147354032</v>
      </c>
      <c r="AS16" s="17">
        <f t="shared" si="15"/>
        <v>228.50568325880491</v>
      </c>
      <c r="AT16" s="17">
        <f t="shared" si="15"/>
        <v>226.22062642621685</v>
      </c>
      <c r="AU16" s="17">
        <f t="shared" si="15"/>
        <v>223.95842016195468</v>
      </c>
      <c r="AV16" s="17">
        <f t="shared" si="15"/>
        <v>221.71883596033513</v>
      </c>
      <c r="AW16" s="17">
        <f t="shared" si="15"/>
        <v>219.50164760073179</v>
      </c>
      <c r="AX16" s="17">
        <f t="shared" si="15"/>
        <v>217.30663112472448</v>
      </c>
      <c r="AY16" s="17">
        <f t="shared" si="15"/>
        <v>215.13356481347722</v>
      </c>
      <c r="AZ16" s="17">
        <f t="shared" si="15"/>
        <v>212.98222916534246</v>
      </c>
      <c r="BA16" s="17">
        <f t="shared" si="15"/>
        <v>210.85240687368903</v>
      </c>
      <c r="BB16" s="17">
        <f t="shared" si="15"/>
        <v>208.74388280495214</v>
      </c>
      <c r="BC16" s="17">
        <f t="shared" si="15"/>
        <v>206.65644397690261</v>
      </c>
      <c r="BD16" s="17">
        <f t="shared" si="15"/>
        <v>204.58987953713358</v>
      </c>
      <c r="BE16" s="17">
        <f t="shared" si="15"/>
        <v>202.54398074176225</v>
      </c>
      <c r="BF16" s="17">
        <f t="shared" si="15"/>
        <v>200.51854093434463</v>
      </c>
      <c r="BG16" s="17">
        <f t="shared" si="15"/>
        <v>198.51335552500117</v>
      </c>
      <c r="BH16" s="17">
        <f t="shared" si="15"/>
        <v>196.52822196975117</v>
      </c>
      <c r="BI16" s="17">
        <f t="shared" si="15"/>
        <v>194.56293975005366</v>
      </c>
      <c r="BJ16" s="17">
        <f t="shared" si="15"/>
        <v>192.61731035255312</v>
      </c>
      <c r="BK16" s="17">
        <f t="shared" si="15"/>
        <v>190.69113724902758</v>
      </c>
      <c r="BL16" s="17">
        <f t="shared" si="15"/>
        <v>188.78422587653731</v>
      </c>
      <c r="BM16" s="17">
        <f t="shared" si="15"/>
        <v>186.89638361777193</v>
      </c>
      <c r="BN16" s="17">
        <f t="shared" si="15"/>
        <v>185.0274197815942</v>
      </c>
      <c r="BO16" s="17">
        <f t="shared" si="15"/>
        <v>183.17714558377827</v>
      </c>
      <c r="BP16" s="17">
        <f t="shared" si="15"/>
        <v>181.34537412794049</v>
      </c>
      <c r="BQ16" s="17">
        <f t="shared" si="15"/>
        <v>179.53192038666108</v>
      </c>
      <c r="BR16" s="17">
        <f t="shared" si="15"/>
        <v>177.73660118279446</v>
      </c>
      <c r="BS16" s="17">
        <f t="shared" si="15"/>
        <v>175.95923517096651</v>
      </c>
      <c r="BT16" s="17">
        <f t="shared" si="15"/>
        <v>174.19964281925684</v>
      </c>
      <c r="BU16" s="17">
        <f t="shared" si="15"/>
        <v>172.45764639106426</v>
      </c>
      <c r="BV16" s="17">
        <f t="shared" si="15"/>
        <v>170.73306992715362</v>
      </c>
      <c r="BW16" s="17">
        <f t="shared" si="15"/>
        <v>169.02573922788207</v>
      </c>
      <c r="BX16" s="17">
        <f t="shared" si="15"/>
        <v>167.33548183560325</v>
      </c>
      <c r="BY16" s="17">
        <f t="shared" si="15"/>
        <v>165.6621270172472</v>
      </c>
      <c r="BZ16" s="17">
        <f t="shared" si="15"/>
        <v>164.00550574707472</v>
      </c>
      <c r="CA16" s="17">
        <f t="shared" si="15"/>
        <v>162.36545068960396</v>
      </c>
      <c r="CB16" s="17">
        <f t="shared" si="15"/>
        <v>160.74179618270793</v>
      </c>
      <c r="CC16" s="17">
        <f t="shared" si="15"/>
        <v>159.13437822088085</v>
      </c>
      <c r="CD16" s="17">
        <f t="shared" si="15"/>
        <v>157.54303443867204</v>
      </c>
      <c r="CE16" s="17">
        <f t="shared" si="15"/>
        <v>155.96760409428532</v>
      </c>
      <c r="CF16" s="17">
        <f t="shared" si="15"/>
        <v>154.40792805334246</v>
      </c>
      <c r="CG16" s="17">
        <f t="shared" ref="CG16:DP16" si="16">CF16*(1+$V$20)</f>
        <v>152.86384877280904</v>
      </c>
      <c r="CH16" s="17">
        <f t="shared" si="16"/>
        <v>151.33521028508093</v>
      </c>
      <c r="CI16" s="17">
        <f t="shared" si="16"/>
        <v>149.82185818223013</v>
      </c>
      <c r="CJ16" s="17">
        <f t="shared" si="16"/>
        <v>148.32363960040783</v>
      </c>
      <c r="CK16" s="17">
        <f t="shared" si="16"/>
        <v>146.84040320440374</v>
      </c>
      <c r="CL16" s="17">
        <f t="shared" si="16"/>
        <v>145.37199917235969</v>
      </c>
      <c r="CM16" s="17">
        <f t="shared" si="16"/>
        <v>143.91827918063609</v>
      </c>
      <c r="CN16" s="17">
        <f t="shared" si="16"/>
        <v>142.47909638882973</v>
      </c>
      <c r="CO16" s="17">
        <f t="shared" si="16"/>
        <v>141.05430542494145</v>
      </c>
      <c r="CP16" s="17">
        <f t="shared" si="16"/>
        <v>139.64376237069203</v>
      </c>
      <c r="CQ16" s="17">
        <f t="shared" si="16"/>
        <v>138.2473247469851</v>
      </c>
      <c r="CR16" s="17">
        <f t="shared" si="16"/>
        <v>136.86485149951525</v>
      </c>
      <c r="CS16" s="17">
        <f t="shared" si="16"/>
        <v>135.4962029845201</v>
      </c>
      <c r="CT16" s="17">
        <f t="shared" si="16"/>
        <v>134.14124095467488</v>
      </c>
      <c r="CU16" s="17">
        <f t="shared" si="16"/>
        <v>132.79982854512812</v>
      </c>
      <c r="CV16" s="17">
        <f t="shared" si="16"/>
        <v>131.47183025967684</v>
      </c>
      <c r="CW16" s="17">
        <f t="shared" si="16"/>
        <v>130.15711195708008</v>
      </c>
      <c r="CX16" s="17">
        <f t="shared" si="16"/>
        <v>128.85554083750927</v>
      </c>
      <c r="CY16" s="17">
        <f t="shared" si="16"/>
        <v>127.56698542913418</v>
      </c>
      <c r="CZ16" s="17">
        <f t="shared" si="16"/>
        <v>126.29131557484284</v>
      </c>
      <c r="DA16" s="17">
        <f t="shared" si="16"/>
        <v>125.02840241909441</v>
      </c>
      <c r="DB16" s="17">
        <f t="shared" si="16"/>
        <v>123.77811839490346</v>
      </c>
      <c r="DC16" s="17">
        <f t="shared" si="16"/>
        <v>122.54033721095442</v>
      </c>
      <c r="DD16" s="17">
        <f t="shared" si="16"/>
        <v>121.31493383884488</v>
      </c>
      <c r="DE16" s="17">
        <f t="shared" si="16"/>
        <v>120.10178450045643</v>
      </c>
      <c r="DF16" s="17">
        <f t="shared" si="16"/>
        <v>118.90076665545186</v>
      </c>
      <c r="DG16" s="17">
        <f t="shared" si="16"/>
        <v>117.71175898889734</v>
      </c>
      <c r="DH16" s="17">
        <f t="shared" si="16"/>
        <v>116.53464139900836</v>
      </c>
      <c r="DI16" s="17">
        <f t="shared" si="16"/>
        <v>115.36929498501829</v>
      </c>
      <c r="DJ16" s="17">
        <f t="shared" si="16"/>
        <v>114.2156020351681</v>
      </c>
      <c r="DK16" s="17">
        <f t="shared" si="16"/>
        <v>113.07344601481643</v>
      </c>
      <c r="DL16" s="17">
        <f t="shared" si="16"/>
        <v>111.94271155466826</v>
      </c>
      <c r="DM16" s="17">
        <f t="shared" si="16"/>
        <v>110.82328443912158</v>
      </c>
      <c r="DN16" s="17">
        <f t="shared" si="16"/>
        <v>109.71505159473037</v>
      </c>
      <c r="DO16" s="17">
        <f t="shared" si="16"/>
        <v>108.61790107878306</v>
      </c>
      <c r="DP16" s="17">
        <f t="shared" si="16"/>
        <v>107.53172206799523</v>
      </c>
    </row>
    <row r="17" spans="3:22" x14ac:dyDescent="0.25">
      <c r="C17" s="2" t="s">
        <v>28</v>
      </c>
      <c r="D17" s="14">
        <v>107.767</v>
      </c>
      <c r="E17" s="14">
        <v>107.767</v>
      </c>
      <c r="F17" s="14">
        <v>112.91891800000001</v>
      </c>
      <c r="G17" s="14">
        <v>112.91891800000001</v>
      </c>
      <c r="H17" s="14">
        <v>112.91891800000001</v>
      </c>
      <c r="I17" s="14">
        <v>111.065657</v>
      </c>
      <c r="J17" s="48">
        <v>105.75545</v>
      </c>
      <c r="K17" s="14">
        <v>105.75545</v>
      </c>
      <c r="L17" s="14">
        <v>105.75545</v>
      </c>
      <c r="M17" s="14">
        <v>105.75545</v>
      </c>
      <c r="N17" s="14">
        <v>105.75545</v>
      </c>
      <c r="O17" s="14">
        <v>105.75545</v>
      </c>
      <c r="P17" s="14">
        <v>105.75545</v>
      </c>
      <c r="Q17" s="14">
        <v>105.75545</v>
      </c>
      <c r="R17" s="14">
        <v>105.75545</v>
      </c>
      <c r="S17" s="14">
        <v>105.75545</v>
      </c>
    </row>
    <row r="18" spans="3:22" x14ac:dyDescent="0.25">
      <c r="C18" s="2" t="s">
        <v>29</v>
      </c>
      <c r="D18" s="13">
        <f t="shared" ref="D18:I18" si="17">D16/D17</f>
        <v>0.55370382399064688</v>
      </c>
      <c r="E18" s="13">
        <f t="shared" si="17"/>
        <v>1.5926303970603248</v>
      </c>
      <c r="F18" s="13">
        <f t="shared" si="17"/>
        <v>2.5505026535943252</v>
      </c>
      <c r="G18" s="13">
        <f t="shared" si="17"/>
        <v>2.1519866139702115</v>
      </c>
      <c r="H18" s="13">
        <f t="shared" si="17"/>
        <v>2.7364768054189113</v>
      </c>
      <c r="I18" s="13">
        <f t="shared" si="17"/>
        <v>2.5480423710094291</v>
      </c>
      <c r="J18" s="49">
        <f t="shared" ref="J18:S18" si="18">J16/J17</f>
        <v>3.1146574479140314</v>
      </c>
      <c r="K18" s="13">
        <f t="shared" si="18"/>
        <v>2.8059452255179282</v>
      </c>
      <c r="L18" s="13">
        <f t="shared" si="18"/>
        <v>2.8059452255179282</v>
      </c>
      <c r="M18" s="13">
        <f t="shared" si="18"/>
        <v>2.8059452255179282</v>
      </c>
      <c r="N18" s="13">
        <f t="shared" si="18"/>
        <v>2.8059452255179282</v>
      </c>
      <c r="O18" s="13">
        <f t="shared" si="18"/>
        <v>2.8059452255179282</v>
      </c>
      <c r="P18" s="13">
        <f t="shared" si="18"/>
        <v>2.8059452255179282</v>
      </c>
      <c r="Q18" s="13">
        <f t="shared" si="18"/>
        <v>2.8059452255179282</v>
      </c>
      <c r="R18" s="13">
        <f t="shared" si="18"/>
        <v>2.8059452255179282</v>
      </c>
      <c r="S18" s="13">
        <f t="shared" si="18"/>
        <v>2.8059452255179282</v>
      </c>
    </row>
    <row r="19" spans="3:22" x14ac:dyDescent="0.25">
      <c r="U19" s="2" t="s">
        <v>111</v>
      </c>
      <c r="V19" s="23">
        <v>0.08</v>
      </c>
    </row>
    <row r="20" spans="3:22" x14ac:dyDescent="0.25">
      <c r="C20" s="1" t="s">
        <v>5</v>
      </c>
      <c r="D20" s="16"/>
      <c r="E20" s="16">
        <f t="shared" ref="E20:H20" si="19">(E4-D4)/D4</f>
        <v>1.3554026120818463</v>
      </c>
      <c r="F20" s="16">
        <f t="shared" si="19"/>
        <v>0.48564479284786927</v>
      </c>
      <c r="G20" s="16">
        <f t="shared" si="19"/>
        <v>0.15191740412979352</v>
      </c>
      <c r="H20" s="16">
        <f t="shared" si="19"/>
        <v>0.17925736235595391</v>
      </c>
      <c r="I20" s="16">
        <f>(I4-H4)/H4</f>
        <v>4.5059717698154179E-2</v>
      </c>
      <c r="J20" s="51">
        <f t="shared" ref="J20:S20" si="20">(J4-I4)/I4</f>
        <v>0.06</v>
      </c>
      <c r="K20" s="16">
        <f t="shared" si="20"/>
        <v>0</v>
      </c>
      <c r="L20" s="16">
        <f t="shared" si="20"/>
        <v>0</v>
      </c>
      <c r="M20" s="16">
        <f t="shared" si="20"/>
        <v>0</v>
      </c>
      <c r="N20" s="16">
        <f t="shared" si="20"/>
        <v>0</v>
      </c>
      <c r="O20" s="16">
        <f t="shared" si="20"/>
        <v>0</v>
      </c>
      <c r="P20" s="16">
        <f t="shared" si="20"/>
        <v>0</v>
      </c>
      <c r="Q20" s="16">
        <f t="shared" si="20"/>
        <v>0</v>
      </c>
      <c r="R20" s="16">
        <f t="shared" si="20"/>
        <v>0</v>
      </c>
      <c r="S20" s="16">
        <f t="shared" si="20"/>
        <v>0</v>
      </c>
      <c r="U20" s="2" t="s">
        <v>110</v>
      </c>
      <c r="V20" s="23">
        <v>-0.01</v>
      </c>
    </row>
    <row r="21" spans="3:22" x14ac:dyDescent="0.25">
      <c r="C21" s="2" t="s">
        <v>8</v>
      </c>
      <c r="D21" s="15">
        <f t="shared" ref="D21:S21" si="21">D6/D4</f>
        <v>0.70137313648527644</v>
      </c>
      <c r="E21" s="15">
        <f t="shared" si="21"/>
        <v>0.72740828389401091</v>
      </c>
      <c r="F21" s="15">
        <f t="shared" si="21"/>
        <v>0.72787610619469023</v>
      </c>
      <c r="G21" s="15">
        <f t="shared" si="21"/>
        <v>0.72215108834827146</v>
      </c>
      <c r="H21" s="15">
        <f t="shared" si="21"/>
        <v>0.71335504885993484</v>
      </c>
      <c r="I21" s="15">
        <f t="shared" si="21"/>
        <v>0.69818181818181824</v>
      </c>
      <c r="J21" s="52">
        <f t="shared" si="21"/>
        <v>0.7</v>
      </c>
      <c r="K21" s="15">
        <f t="shared" si="21"/>
        <v>0.67999999999999994</v>
      </c>
      <c r="L21" s="15">
        <f t="shared" si="21"/>
        <v>0.67999999999999994</v>
      </c>
      <c r="M21" s="15">
        <f t="shared" si="21"/>
        <v>0.67999999999999994</v>
      </c>
      <c r="N21" s="15">
        <f t="shared" si="21"/>
        <v>0.67999999999999994</v>
      </c>
      <c r="O21" s="15">
        <f t="shared" si="21"/>
        <v>0.67999999999999994</v>
      </c>
      <c r="P21" s="15">
        <f t="shared" si="21"/>
        <v>0.67999999999999994</v>
      </c>
      <c r="Q21" s="15">
        <f t="shared" si="21"/>
        <v>0.67999999999999994</v>
      </c>
      <c r="R21" s="15">
        <f t="shared" si="21"/>
        <v>0.67999999999999994</v>
      </c>
      <c r="S21" s="15">
        <f t="shared" si="21"/>
        <v>0.67999999999999994</v>
      </c>
      <c r="U21" s="22" t="s">
        <v>112</v>
      </c>
      <c r="V21" s="25">
        <f>NPV(V19,J16:DP16)</f>
        <v>3533.1241793985878</v>
      </c>
    </row>
    <row r="22" spans="3:22" x14ac:dyDescent="0.25">
      <c r="C22" s="2" t="s">
        <v>6</v>
      </c>
      <c r="D22" s="15">
        <f t="shared" ref="D22:S22" si="22">D11/D4</f>
        <v>0.2146309615052116</v>
      </c>
      <c r="E22" s="15">
        <f t="shared" si="22"/>
        <v>0.25250264315491355</v>
      </c>
      <c r="F22" s="15">
        <f t="shared" si="22"/>
        <v>0.26991150442477874</v>
      </c>
      <c r="G22" s="15">
        <f t="shared" si="22"/>
        <v>0.19846350832266324</v>
      </c>
      <c r="H22" s="15">
        <f t="shared" si="22"/>
        <v>0.20955483170466885</v>
      </c>
      <c r="I22" s="15">
        <f t="shared" si="22"/>
        <v>0.18545454545454546</v>
      </c>
      <c r="J22" s="52">
        <f t="shared" si="22"/>
        <v>0.20178387650085758</v>
      </c>
      <c r="K22" s="15">
        <f t="shared" si="22"/>
        <v>0.18178387650085762</v>
      </c>
      <c r="L22" s="15">
        <f t="shared" si="22"/>
        <v>0.18178387650085762</v>
      </c>
      <c r="M22" s="15">
        <f t="shared" si="22"/>
        <v>0.18178387650085762</v>
      </c>
      <c r="N22" s="15">
        <f t="shared" si="22"/>
        <v>0.18178387650085762</v>
      </c>
      <c r="O22" s="15">
        <f t="shared" si="22"/>
        <v>0.18178387650085762</v>
      </c>
      <c r="P22" s="15">
        <f t="shared" si="22"/>
        <v>0.18178387650085762</v>
      </c>
      <c r="Q22" s="15">
        <f t="shared" si="22"/>
        <v>0.18178387650085762</v>
      </c>
      <c r="R22" s="15">
        <f t="shared" si="22"/>
        <v>0.18178387650085762</v>
      </c>
      <c r="S22" s="15">
        <f t="shared" si="22"/>
        <v>0.18178387650085762</v>
      </c>
      <c r="U22" s="2" t="s">
        <v>2</v>
      </c>
      <c r="V22" s="14">
        <v>105.75545</v>
      </c>
    </row>
    <row r="23" spans="3:22" x14ac:dyDescent="0.25">
      <c r="U23" s="2" t="s">
        <v>113</v>
      </c>
      <c r="V23" s="13">
        <f>V21/V22</f>
        <v>33.408435966170899</v>
      </c>
    </row>
    <row r="24" spans="3:22" x14ac:dyDescent="0.25">
      <c r="U24" s="1" t="s">
        <v>114</v>
      </c>
      <c r="V24" s="16">
        <f>(V23-Modell!B4)/Modell!B4</f>
        <v>-0.34939754691001174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Region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2026-09-15T06:50:40Z</dcterms:modified>
</cp:coreProperties>
</file>