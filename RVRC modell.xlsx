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65850396-D8B1-0E48-8475-2DAFD6B24190}" xr6:coauthVersionLast="47" xr6:coauthVersionMax="47" xr10:uidLastSave="{00000000-0000-0000-0000-000000000000}"/>
  <bookViews>
    <workbookView xWindow="25080" yWindow="500" windowWidth="26120" windowHeight="26740" activeTab="1" xr2:uid="{5AE0DF26-B7DD-1242-A60E-253C73A930AF}"/>
  </bookViews>
  <sheets>
    <sheet name="Info" sheetId="1" r:id="rId1"/>
    <sheet name="Modell" sheetId="2" r:id="rId2"/>
    <sheet name="SOTP" sheetId="7" r:id="rId3"/>
    <sheet name="Salg region" sheetId="4" r:id="rId4"/>
    <sheet name="Resultat per business" sheetId="6" r:id="rId5"/>
    <sheet name="Nøkkeltall" sheetId="3" r:id="rId6"/>
    <sheet name="Nedsideberegning" sheetId="5" r:id="rId7"/>
  </sheets>
  <definedNames>
    <definedName name="_xlchart.v1.0" hidden="1">SOTP!$C$6:$C$13</definedName>
    <definedName name="_xlchart.v1.1" hidden="1">SOTP!$G$6:$G$13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F7" i="7"/>
  <c r="G7" i="7" s="1"/>
  <c r="F6" i="7"/>
  <c r="G6" i="7" s="1"/>
  <c r="G11" i="7"/>
  <c r="B12" i="2"/>
  <c r="F11" i="7"/>
  <c r="F10" i="7"/>
  <c r="G10" i="7" s="1"/>
  <c r="A3" i="7"/>
  <c r="D8" i="7"/>
  <c r="K18" i="6"/>
  <c r="J18" i="6"/>
  <c r="I18" i="6"/>
  <c r="H18" i="6"/>
  <c r="K16" i="6"/>
  <c r="J16" i="6"/>
  <c r="I16" i="6"/>
  <c r="H16" i="6"/>
  <c r="K11" i="6"/>
  <c r="J11" i="6"/>
  <c r="I11" i="6"/>
  <c r="H11" i="6"/>
  <c r="K9" i="6"/>
  <c r="J9" i="6"/>
  <c r="I9" i="6"/>
  <c r="H9" i="6"/>
  <c r="K14" i="6"/>
  <c r="J14" i="6"/>
  <c r="I14" i="6"/>
  <c r="H14" i="6"/>
  <c r="K7" i="6"/>
  <c r="J7" i="6"/>
  <c r="I7" i="6"/>
  <c r="H7" i="6"/>
  <c r="L14" i="6"/>
  <c r="L7" i="6"/>
  <c r="L17" i="6"/>
  <c r="L18" i="6" s="1"/>
  <c r="L15" i="6"/>
  <c r="L16" i="6" s="1"/>
  <c r="L13" i="6"/>
  <c r="L10" i="6"/>
  <c r="L11" i="6" s="1"/>
  <c r="L8" i="6"/>
  <c r="L9" i="6" s="1"/>
  <c r="L6" i="6"/>
  <c r="F18" i="6"/>
  <c r="E18" i="6"/>
  <c r="D18" i="6"/>
  <c r="C18" i="6"/>
  <c r="F16" i="6"/>
  <c r="E16" i="6"/>
  <c r="D16" i="6"/>
  <c r="C16" i="6"/>
  <c r="G17" i="6"/>
  <c r="G18" i="6" s="1"/>
  <c r="G15" i="6"/>
  <c r="G16" i="6" s="1"/>
  <c r="G13" i="6"/>
  <c r="G11" i="6"/>
  <c r="G9" i="6"/>
  <c r="G10" i="6"/>
  <c r="G8" i="6"/>
  <c r="G6" i="6"/>
  <c r="S27" i="2"/>
  <c r="E11" i="6"/>
  <c r="D11" i="6"/>
  <c r="C11" i="6"/>
  <c r="F11" i="6"/>
  <c r="E9" i="6"/>
  <c r="D9" i="6"/>
  <c r="C9" i="6"/>
  <c r="F9" i="6"/>
  <c r="Z48" i="4"/>
  <c r="Y48" i="4"/>
  <c r="X48" i="4"/>
  <c r="W48" i="4"/>
  <c r="U48" i="4"/>
  <c r="T48" i="4"/>
  <c r="S48" i="4"/>
  <c r="R48" i="4"/>
  <c r="AA47" i="4"/>
  <c r="V47" i="4"/>
  <c r="V48" i="4" s="1"/>
  <c r="Z45" i="4"/>
  <c r="Y45" i="4"/>
  <c r="X45" i="4"/>
  <c r="W45" i="4"/>
  <c r="V45" i="4"/>
  <c r="U45" i="4"/>
  <c r="T45" i="4"/>
  <c r="S45" i="4"/>
  <c r="R45" i="4"/>
  <c r="AA44" i="4"/>
  <c r="V44" i="4"/>
  <c r="Z42" i="4"/>
  <c r="Y42" i="4"/>
  <c r="X42" i="4"/>
  <c r="W42" i="4"/>
  <c r="U42" i="4"/>
  <c r="T42" i="4"/>
  <c r="S42" i="4"/>
  <c r="R42" i="4"/>
  <c r="AA41" i="4"/>
  <c r="V41" i="4"/>
  <c r="V42" i="4" s="1"/>
  <c r="Z37" i="4"/>
  <c r="Y37" i="4"/>
  <c r="X37" i="4"/>
  <c r="W37" i="4"/>
  <c r="AA36" i="4"/>
  <c r="V36" i="4"/>
  <c r="Z34" i="4"/>
  <c r="Y34" i="4"/>
  <c r="X34" i="4"/>
  <c r="W34" i="4"/>
  <c r="AA33" i="4"/>
  <c r="V33" i="4"/>
  <c r="Z31" i="4"/>
  <c r="Y31" i="4"/>
  <c r="X31" i="4"/>
  <c r="W31" i="4"/>
  <c r="AA30" i="4"/>
  <c r="V30" i="4"/>
  <c r="T6" i="2"/>
  <c r="AF10" i="2"/>
  <c r="AF11" i="2"/>
  <c r="AF12" i="2"/>
  <c r="AF9" i="2"/>
  <c r="F8" i="7" l="1"/>
  <c r="G8" i="7"/>
  <c r="G13" i="7" s="1"/>
  <c r="AA48" i="4"/>
  <c r="AA45" i="4"/>
  <c r="AA42" i="4"/>
  <c r="AA37" i="4"/>
  <c r="AA34" i="4"/>
  <c r="AA31" i="4"/>
  <c r="T71" i="2"/>
  <c r="T61" i="2"/>
  <c r="T55" i="2"/>
  <c r="AG9" i="2"/>
  <c r="AH9" i="2" s="1"/>
  <c r="AI9" i="2" s="1"/>
  <c r="AJ9" i="2" s="1"/>
  <c r="AK9" i="2" s="1"/>
  <c r="AL9" i="2" s="1"/>
  <c r="AM9" i="2" s="1"/>
  <c r="AN9" i="2" s="1"/>
  <c r="AG10" i="2"/>
  <c r="AG11" i="2"/>
  <c r="AG12" i="2"/>
  <c r="T72" i="2" l="1"/>
  <c r="Z24" i="4"/>
  <c r="Y24" i="4"/>
  <c r="X24" i="4"/>
  <c r="W24" i="4"/>
  <c r="U24" i="4"/>
  <c r="T24" i="4"/>
  <c r="S24" i="4"/>
  <c r="R24" i="4"/>
  <c r="P24" i="4"/>
  <c r="O24" i="4"/>
  <c r="N24" i="4"/>
  <c r="M24" i="4"/>
  <c r="K24" i="4"/>
  <c r="J24" i="4"/>
  <c r="I24" i="4"/>
  <c r="H24" i="4"/>
  <c r="AA23" i="4"/>
  <c r="V23" i="4"/>
  <c r="Q23" i="4"/>
  <c r="L23" i="4"/>
  <c r="G23" i="4"/>
  <c r="Z21" i="4"/>
  <c r="Y21" i="4"/>
  <c r="X21" i="4"/>
  <c r="W21" i="4"/>
  <c r="U21" i="4"/>
  <c r="T21" i="4"/>
  <c r="S21" i="4"/>
  <c r="R21" i="4"/>
  <c r="P21" i="4"/>
  <c r="O21" i="4"/>
  <c r="N21" i="4"/>
  <c r="M21" i="4"/>
  <c r="K21" i="4"/>
  <c r="J21" i="4"/>
  <c r="I21" i="4"/>
  <c r="H21" i="4"/>
  <c r="AA20" i="4"/>
  <c r="V20" i="4"/>
  <c r="Q20" i="4"/>
  <c r="Q21" i="4" s="1"/>
  <c r="L20" i="4"/>
  <c r="G20" i="4"/>
  <c r="Z18" i="4"/>
  <c r="Y18" i="4"/>
  <c r="X18" i="4"/>
  <c r="W18" i="4"/>
  <c r="U18" i="4"/>
  <c r="T18" i="4"/>
  <c r="S18" i="4"/>
  <c r="R18" i="4"/>
  <c r="P18" i="4"/>
  <c r="O18" i="4"/>
  <c r="N18" i="4"/>
  <c r="M18" i="4"/>
  <c r="K18" i="4"/>
  <c r="J18" i="4"/>
  <c r="I18" i="4"/>
  <c r="H18" i="4"/>
  <c r="AA17" i="4"/>
  <c r="V17" i="4"/>
  <c r="Q17" i="4"/>
  <c r="L17" i="4"/>
  <c r="G17" i="4"/>
  <c r="AH12" i="2"/>
  <c r="AI12" i="2" s="1"/>
  <c r="AJ12" i="2" s="1"/>
  <c r="AK12" i="2" s="1"/>
  <c r="AL12" i="2" s="1"/>
  <c r="AM12" i="2" s="1"/>
  <c r="AN12" i="2" s="1"/>
  <c r="AH10" i="2"/>
  <c r="AI10" i="2" s="1"/>
  <c r="AJ10" i="2" s="1"/>
  <c r="AK10" i="2" s="1"/>
  <c r="AL10" i="2" s="1"/>
  <c r="AM10" i="2" s="1"/>
  <c r="AN10" i="2" s="1"/>
  <c r="AH11" i="2"/>
  <c r="AI11" i="2" s="1"/>
  <c r="AJ11" i="2" s="1"/>
  <c r="AK11" i="2" s="1"/>
  <c r="AL11" i="2" s="1"/>
  <c r="AM11" i="2" s="1"/>
  <c r="AN11" i="2" s="1"/>
  <c r="AA71" i="2"/>
  <c r="Z71" i="2"/>
  <c r="Y71" i="2"/>
  <c r="AA61" i="2"/>
  <c r="Z61" i="2"/>
  <c r="Y61" i="2"/>
  <c r="AA55" i="2"/>
  <c r="Z55" i="2"/>
  <c r="Y55" i="2"/>
  <c r="AE93" i="2"/>
  <c r="AE86" i="2"/>
  <c r="AE83" i="2"/>
  <c r="AE99" i="2" s="1"/>
  <c r="AB71" i="2"/>
  <c r="AB61" i="2"/>
  <c r="AB55" i="2"/>
  <c r="AC71" i="2"/>
  <c r="AC61" i="2"/>
  <c r="AC72" i="2" s="1"/>
  <c r="AC55" i="2"/>
  <c r="AD71" i="2"/>
  <c r="AD61" i="2"/>
  <c r="AD72" i="2" s="1"/>
  <c r="AD55" i="2"/>
  <c r="AE71" i="2"/>
  <c r="AE61" i="2"/>
  <c r="AE55" i="2"/>
  <c r="AF6" i="2"/>
  <c r="Z13" i="4"/>
  <c r="Y13" i="4"/>
  <c r="X13" i="4"/>
  <c r="W13" i="4"/>
  <c r="AA12" i="4"/>
  <c r="AA13" i="4" s="1"/>
  <c r="AA10" i="4"/>
  <c r="Z10" i="4"/>
  <c r="Y10" i="4"/>
  <c r="X10" i="4"/>
  <c r="W10" i="4"/>
  <c r="AA9" i="4"/>
  <c r="Z7" i="4"/>
  <c r="Y7" i="4"/>
  <c r="X7" i="4"/>
  <c r="W7" i="4"/>
  <c r="AA6" i="4"/>
  <c r="AA7" i="4" s="1"/>
  <c r="S82" i="2"/>
  <c r="S83" i="2" s="1"/>
  <c r="S99" i="2" s="1"/>
  <c r="S93" i="2"/>
  <c r="S86" i="2"/>
  <c r="S71" i="2"/>
  <c r="S61" i="2"/>
  <c r="S55" i="2"/>
  <c r="S8" i="2"/>
  <c r="S13" i="2" s="1"/>
  <c r="R82" i="2"/>
  <c r="R8" i="2"/>
  <c r="R13" i="2" s="1"/>
  <c r="U13" i="4"/>
  <c r="T13" i="4"/>
  <c r="U10" i="4"/>
  <c r="T10" i="4"/>
  <c r="U7" i="4"/>
  <c r="T7" i="4"/>
  <c r="S13" i="4"/>
  <c r="S10" i="4"/>
  <c r="S7" i="4"/>
  <c r="Q82" i="2"/>
  <c r="Q8" i="2"/>
  <c r="Q13" i="2" s="1"/>
  <c r="A5" i="5"/>
  <c r="Q7" i="4"/>
  <c r="Q10" i="4"/>
  <c r="Q13" i="4"/>
  <c r="L13" i="4"/>
  <c r="L10" i="4"/>
  <c r="L7" i="4"/>
  <c r="V12" i="4"/>
  <c r="V13" i="4" s="1"/>
  <c r="V9" i="4"/>
  <c r="V10" i="4" s="1"/>
  <c r="V6" i="4"/>
  <c r="V7" i="4" s="1"/>
  <c r="Q12" i="4"/>
  <c r="Q9" i="4"/>
  <c r="Q6" i="4"/>
  <c r="L12" i="4"/>
  <c r="L9" i="4"/>
  <c r="L6" i="4"/>
  <c r="G12" i="4"/>
  <c r="G9" i="4"/>
  <c r="G6" i="4"/>
  <c r="R13" i="4"/>
  <c r="P13" i="4"/>
  <c r="O13" i="4"/>
  <c r="N13" i="4"/>
  <c r="M13" i="4"/>
  <c r="K13" i="4"/>
  <c r="J13" i="4"/>
  <c r="I13" i="4"/>
  <c r="H13" i="4"/>
  <c r="R10" i="4"/>
  <c r="P10" i="4"/>
  <c r="O10" i="4"/>
  <c r="N10" i="4"/>
  <c r="M10" i="4"/>
  <c r="K10" i="4"/>
  <c r="J10" i="4"/>
  <c r="I10" i="4"/>
  <c r="H10" i="4"/>
  <c r="P7" i="4"/>
  <c r="O7" i="4"/>
  <c r="N7" i="4"/>
  <c r="M7" i="4"/>
  <c r="K7" i="4"/>
  <c r="J7" i="4"/>
  <c r="I7" i="4"/>
  <c r="H7" i="4"/>
  <c r="R7" i="4"/>
  <c r="F82" i="2"/>
  <c r="E82" i="2"/>
  <c r="E8" i="2"/>
  <c r="E13" i="2" s="1"/>
  <c r="F8" i="2"/>
  <c r="F13" i="2" s="1"/>
  <c r="G82" i="2"/>
  <c r="G8" i="2"/>
  <c r="G13" i="2" s="1"/>
  <c r="D82" i="2"/>
  <c r="H82" i="2"/>
  <c r="D8" i="2"/>
  <c r="D13" i="2" s="1"/>
  <c r="H8" i="2"/>
  <c r="H13" i="2" s="1"/>
  <c r="I82" i="2"/>
  <c r="M82" i="2"/>
  <c r="I8" i="2"/>
  <c r="I13" i="2" s="1"/>
  <c r="M8" i="2"/>
  <c r="M13" i="2" s="1"/>
  <c r="J82" i="2"/>
  <c r="N82" i="2"/>
  <c r="J8" i="2"/>
  <c r="J13" i="2" s="1"/>
  <c r="N8" i="2"/>
  <c r="N13" i="2" s="1"/>
  <c r="K82" i="2"/>
  <c r="O82" i="2"/>
  <c r="K8" i="2"/>
  <c r="K13" i="2" s="1"/>
  <c r="O8" i="2"/>
  <c r="O13" i="2" s="1"/>
  <c r="D16" i="2" l="1"/>
  <c r="D18" i="2" s="1"/>
  <c r="D20" i="2" s="1"/>
  <c r="D30" i="2"/>
  <c r="J16" i="2"/>
  <c r="J18" i="2" s="1"/>
  <c r="J20" i="2" s="1"/>
  <c r="J30" i="2"/>
  <c r="O16" i="2"/>
  <c r="O18" i="2" s="1"/>
  <c r="O20" i="2" s="1"/>
  <c r="O30" i="2"/>
  <c r="M16" i="2"/>
  <c r="M18" i="2" s="1"/>
  <c r="M20" i="2" s="1"/>
  <c r="M30" i="2"/>
  <c r="G16" i="2"/>
  <c r="G18" i="2" s="1"/>
  <c r="G20" i="2" s="1"/>
  <c r="G30" i="2"/>
  <c r="F16" i="2"/>
  <c r="F18" i="2" s="1"/>
  <c r="F20" i="2" s="1"/>
  <c r="F30" i="2"/>
  <c r="S16" i="2"/>
  <c r="S18" i="2" s="1"/>
  <c r="S20" i="2" s="1"/>
  <c r="S30" i="2"/>
  <c r="S31" i="2" s="1"/>
  <c r="R16" i="2"/>
  <c r="R18" i="2" s="1"/>
  <c r="R20" i="2" s="1"/>
  <c r="R30" i="2"/>
  <c r="R31" i="2" s="1"/>
  <c r="K16" i="2"/>
  <c r="K18" i="2" s="1"/>
  <c r="K20" i="2" s="1"/>
  <c r="K30" i="2"/>
  <c r="E16" i="2"/>
  <c r="E18" i="2" s="1"/>
  <c r="E20" i="2" s="1"/>
  <c r="E30" i="2"/>
  <c r="I16" i="2"/>
  <c r="I18" i="2" s="1"/>
  <c r="I20" i="2" s="1"/>
  <c r="I30" i="2"/>
  <c r="N16" i="2"/>
  <c r="N18" i="2" s="1"/>
  <c r="N20" i="2" s="1"/>
  <c r="N30" i="2"/>
  <c r="H16" i="2"/>
  <c r="H18" i="2" s="1"/>
  <c r="H20" i="2" s="1"/>
  <c r="H30" i="2"/>
  <c r="Q16" i="2"/>
  <c r="Q18" i="2" s="1"/>
  <c r="Q20" i="2" s="1"/>
  <c r="Q30" i="2"/>
  <c r="Q31" i="2" s="1"/>
  <c r="AB72" i="2"/>
  <c r="AE72" i="2"/>
  <c r="AG6" i="2"/>
  <c r="AF7" i="2"/>
  <c r="S75" i="2"/>
  <c r="AA24" i="4"/>
  <c r="AA21" i="4"/>
  <c r="AA18" i="4"/>
  <c r="V24" i="4"/>
  <c r="V21" i="4"/>
  <c r="V18" i="4"/>
  <c r="Q24" i="4"/>
  <c r="Q18" i="4"/>
  <c r="L18" i="4"/>
  <c r="L24" i="4"/>
  <c r="L21" i="4"/>
  <c r="Y72" i="2"/>
  <c r="Z72" i="2"/>
  <c r="AA72" i="2"/>
  <c r="AE97" i="2"/>
  <c r="S97" i="2"/>
  <c r="S72" i="2"/>
  <c r="K8" i="5"/>
  <c r="K9" i="5"/>
  <c r="K10" i="5"/>
  <c r="K7" i="5"/>
  <c r="M8" i="5"/>
  <c r="N8" i="5" s="1"/>
  <c r="O8" i="5" s="1"/>
  <c r="P8" i="5" s="1"/>
  <c r="Q8" i="5" s="1"/>
  <c r="R8" i="5" s="1"/>
  <c r="S8" i="5" s="1"/>
  <c r="M9" i="5"/>
  <c r="N9" i="5"/>
  <c r="O9" i="5" s="1"/>
  <c r="P9" i="5" s="1"/>
  <c r="Q9" i="5" s="1"/>
  <c r="R9" i="5" s="1"/>
  <c r="S9" i="5" s="1"/>
  <c r="M10" i="5"/>
  <c r="N10" i="5" s="1"/>
  <c r="O10" i="5" s="1"/>
  <c r="P10" i="5" s="1"/>
  <c r="Q10" i="5" s="1"/>
  <c r="R10" i="5" s="1"/>
  <c r="S10" i="5" s="1"/>
  <c r="L8" i="5"/>
  <c r="L9" i="5"/>
  <c r="L10" i="5"/>
  <c r="L7" i="5"/>
  <c r="M7" i="5" s="1"/>
  <c r="N7" i="5" s="1"/>
  <c r="O7" i="5" s="1"/>
  <c r="P7" i="5" s="1"/>
  <c r="Q7" i="5" s="1"/>
  <c r="R7" i="5" s="1"/>
  <c r="S7" i="5" s="1"/>
  <c r="L5" i="5"/>
  <c r="L6" i="5" s="1"/>
  <c r="M5" i="5"/>
  <c r="N5" i="5"/>
  <c r="O5" i="5"/>
  <c r="P5" i="5"/>
  <c r="Q5" i="5"/>
  <c r="R5" i="5"/>
  <c r="S5" i="5"/>
  <c r="K5" i="5"/>
  <c r="L4" i="5"/>
  <c r="M4" i="5"/>
  <c r="N4" i="5" s="1"/>
  <c r="K4" i="5"/>
  <c r="F21" i="5"/>
  <c r="L20" i="5"/>
  <c r="I20" i="5"/>
  <c r="H20" i="5"/>
  <c r="G20" i="5"/>
  <c r="F20" i="5"/>
  <c r="E20" i="5"/>
  <c r="F11" i="5"/>
  <c r="F14" i="5" s="1"/>
  <c r="F16" i="5" s="1"/>
  <c r="F18" i="5" s="1"/>
  <c r="E11" i="5"/>
  <c r="E14" i="5" s="1"/>
  <c r="E16" i="5" s="1"/>
  <c r="E18" i="5" s="1"/>
  <c r="D11" i="5"/>
  <c r="D14" i="5" s="1"/>
  <c r="D16" i="5" s="1"/>
  <c r="D18" i="5" s="1"/>
  <c r="J10" i="5"/>
  <c r="J9" i="5"/>
  <c r="J8" i="5"/>
  <c r="J7" i="5"/>
  <c r="M6" i="5"/>
  <c r="M21" i="5" s="1"/>
  <c r="K6" i="5"/>
  <c r="K21" i="5" s="1"/>
  <c r="I6" i="5"/>
  <c r="I11" i="5" s="1"/>
  <c r="H6" i="5"/>
  <c r="H11" i="5" s="1"/>
  <c r="G6" i="5"/>
  <c r="G11" i="5" s="1"/>
  <c r="F6" i="5"/>
  <c r="E6" i="5"/>
  <c r="E21" i="5" s="1"/>
  <c r="D6" i="5"/>
  <c r="D21" i="5" s="1"/>
  <c r="J4" i="5"/>
  <c r="K20" i="5" s="1"/>
  <c r="Y89" i="2"/>
  <c r="Y93" i="2" s="1"/>
  <c r="Y82" i="2"/>
  <c r="Y83" i="2" s="1"/>
  <c r="Y99" i="2" s="1"/>
  <c r="Z82" i="2"/>
  <c r="Z83" i="2" s="1"/>
  <c r="Z99" i="2" s="1"/>
  <c r="Y8" i="2"/>
  <c r="Y13" i="2" s="1"/>
  <c r="Y30" i="2" s="1"/>
  <c r="Y31" i="2" s="1"/>
  <c r="Z8" i="2"/>
  <c r="Z13" i="2" s="1"/>
  <c r="Z30" i="2" s="1"/>
  <c r="Z31" i="2" s="1"/>
  <c r="Y86" i="2"/>
  <c r="AA82" i="2"/>
  <c r="AA83" i="2" s="1"/>
  <c r="AA99" i="2" s="1"/>
  <c r="AB82" i="2"/>
  <c r="AB83" i="2" s="1"/>
  <c r="AB99" i="2" s="1"/>
  <c r="AA22" i="2"/>
  <c r="Z22" i="2"/>
  <c r="AA8" i="2"/>
  <c r="AA13" i="2" s="1"/>
  <c r="AB8" i="2"/>
  <c r="AB26" i="2" s="1"/>
  <c r="AC82" i="2"/>
  <c r="AC83" i="2" s="1"/>
  <c r="AC99" i="2" s="1"/>
  <c r="AD82" i="2"/>
  <c r="AD83" i="2" s="1"/>
  <c r="AD99" i="2" s="1"/>
  <c r="AD93" i="2"/>
  <c r="AC93" i="2"/>
  <c r="AB93" i="2"/>
  <c r="AA93" i="2"/>
  <c r="Z93" i="2"/>
  <c r="AD86" i="2"/>
  <c r="AC86" i="2"/>
  <c r="AB86" i="2"/>
  <c r="AA86" i="2"/>
  <c r="Z86" i="2"/>
  <c r="AC22" i="2"/>
  <c r="AB22" i="2"/>
  <c r="AD22" i="2"/>
  <c r="AC8" i="2"/>
  <c r="AC13" i="2" s="1"/>
  <c r="AD8" i="2"/>
  <c r="AD13" i="2" s="1"/>
  <c r="L82" i="2"/>
  <c r="L83" i="2" s="1"/>
  <c r="L99" i="2" s="1"/>
  <c r="O93" i="2"/>
  <c r="N93" i="2"/>
  <c r="M93" i="2"/>
  <c r="L93" i="2"/>
  <c r="K93" i="2"/>
  <c r="J93" i="2"/>
  <c r="I93" i="2"/>
  <c r="H93" i="2"/>
  <c r="G93" i="2"/>
  <c r="F93" i="2"/>
  <c r="E93" i="2"/>
  <c r="D93" i="2"/>
  <c r="R93" i="2"/>
  <c r="Q93" i="2"/>
  <c r="P93" i="2"/>
  <c r="O86" i="2"/>
  <c r="N86" i="2"/>
  <c r="M86" i="2"/>
  <c r="L86" i="2"/>
  <c r="K86" i="2"/>
  <c r="J86" i="2"/>
  <c r="I86" i="2"/>
  <c r="H86" i="2"/>
  <c r="G86" i="2"/>
  <c r="F86" i="2"/>
  <c r="E86" i="2"/>
  <c r="D86" i="2"/>
  <c r="R86" i="2"/>
  <c r="Q86" i="2"/>
  <c r="P86" i="2"/>
  <c r="O83" i="2"/>
  <c r="O99" i="2" s="1"/>
  <c r="N83" i="2"/>
  <c r="N99" i="2" s="1"/>
  <c r="M83" i="2"/>
  <c r="M99" i="2" s="1"/>
  <c r="K83" i="2"/>
  <c r="K99" i="2" s="1"/>
  <c r="J83" i="2"/>
  <c r="J99" i="2" s="1"/>
  <c r="I83" i="2"/>
  <c r="I99" i="2" s="1"/>
  <c r="H83" i="2"/>
  <c r="H99" i="2" s="1"/>
  <c r="G83" i="2"/>
  <c r="G99" i="2" s="1"/>
  <c r="F83" i="2"/>
  <c r="F99" i="2" s="1"/>
  <c r="E83" i="2"/>
  <c r="E99" i="2" s="1"/>
  <c r="D83" i="2"/>
  <c r="D99" i="2" s="1"/>
  <c r="R83" i="2"/>
  <c r="R99" i="2" s="1"/>
  <c r="Q83" i="2"/>
  <c r="Q99" i="2" s="1"/>
  <c r="P82" i="2"/>
  <c r="P83" i="2" s="1"/>
  <c r="P99" i="2" s="1"/>
  <c r="O75" i="2"/>
  <c r="N75" i="2"/>
  <c r="M75" i="2"/>
  <c r="K75" i="2"/>
  <c r="J75" i="2"/>
  <c r="I75" i="2"/>
  <c r="H75" i="2"/>
  <c r="G75" i="2"/>
  <c r="F75" i="2"/>
  <c r="E75" i="2"/>
  <c r="D75" i="2"/>
  <c r="R75" i="2"/>
  <c r="Q75" i="2"/>
  <c r="O71" i="2"/>
  <c r="N71" i="2"/>
  <c r="M71" i="2"/>
  <c r="L71" i="2"/>
  <c r="K71" i="2"/>
  <c r="J71" i="2"/>
  <c r="I71" i="2"/>
  <c r="H71" i="2"/>
  <c r="G71" i="2"/>
  <c r="F71" i="2"/>
  <c r="E71" i="2"/>
  <c r="D71" i="2"/>
  <c r="R71" i="2"/>
  <c r="Q71" i="2"/>
  <c r="P71" i="2"/>
  <c r="O61" i="2"/>
  <c r="N61" i="2"/>
  <c r="M61" i="2"/>
  <c r="L61" i="2"/>
  <c r="K61" i="2"/>
  <c r="J61" i="2"/>
  <c r="I61" i="2"/>
  <c r="H61" i="2"/>
  <c r="G61" i="2"/>
  <c r="F61" i="2"/>
  <c r="E61" i="2"/>
  <c r="D61" i="2"/>
  <c r="R61" i="2"/>
  <c r="Q61" i="2"/>
  <c r="P61" i="2"/>
  <c r="O55" i="2"/>
  <c r="N55" i="2"/>
  <c r="M55" i="2"/>
  <c r="L55" i="2"/>
  <c r="K55" i="2"/>
  <c r="J55" i="2"/>
  <c r="I55" i="2"/>
  <c r="H55" i="2"/>
  <c r="G55" i="2"/>
  <c r="F55" i="2"/>
  <c r="E55" i="2"/>
  <c r="D55" i="2"/>
  <c r="R55" i="2"/>
  <c r="Q55" i="2"/>
  <c r="P55" i="2"/>
  <c r="Q22" i="2"/>
  <c r="R22" i="2"/>
  <c r="S22" i="2"/>
  <c r="Q26" i="2"/>
  <c r="R26" i="2"/>
  <c r="S26" i="2"/>
  <c r="Q27" i="2"/>
  <c r="R27" i="2"/>
  <c r="L8" i="2"/>
  <c r="L26" i="2" s="1"/>
  <c r="H22" i="2"/>
  <c r="I22" i="2"/>
  <c r="J22" i="2"/>
  <c r="K22" i="2"/>
  <c r="L22" i="2"/>
  <c r="M22" i="2"/>
  <c r="N22" i="2"/>
  <c r="O22" i="2"/>
  <c r="D26" i="2"/>
  <c r="E26" i="2"/>
  <c r="F26" i="2"/>
  <c r="G26" i="2"/>
  <c r="H26" i="2"/>
  <c r="I26" i="2"/>
  <c r="J26" i="2"/>
  <c r="K26" i="2"/>
  <c r="M26" i="2"/>
  <c r="N26" i="2"/>
  <c r="O26" i="2"/>
  <c r="D27" i="2"/>
  <c r="E27" i="2"/>
  <c r="F27" i="2"/>
  <c r="G27" i="2"/>
  <c r="H27" i="2"/>
  <c r="I27" i="2"/>
  <c r="J27" i="2"/>
  <c r="K27" i="2"/>
  <c r="M27" i="2"/>
  <c r="N27" i="2"/>
  <c r="O27" i="2"/>
  <c r="P22" i="2"/>
  <c r="P8" i="2"/>
  <c r="P13" i="2" s="1"/>
  <c r="P30" i="2" s="1"/>
  <c r="B6" i="2"/>
  <c r="P31" i="2" l="1"/>
  <c r="S32" i="2"/>
  <c r="N31" i="2"/>
  <c r="Q32" i="2"/>
  <c r="M31" i="2"/>
  <c r="P32" i="2"/>
  <c r="I31" i="2"/>
  <c r="AA75" i="2"/>
  <c r="AA30" i="2"/>
  <c r="AA31" i="2" s="1"/>
  <c r="F31" i="2"/>
  <c r="I32" i="2"/>
  <c r="O31" i="2"/>
  <c r="R32" i="2"/>
  <c r="E31" i="2"/>
  <c r="H32" i="2"/>
  <c r="K32" i="2"/>
  <c r="H31" i="2"/>
  <c r="K31" i="2"/>
  <c r="G31" i="2"/>
  <c r="J32" i="2"/>
  <c r="D31" i="2"/>
  <c r="G32" i="2"/>
  <c r="AD16" i="2"/>
  <c r="AD18" i="2" s="1"/>
  <c r="AD28" i="2" s="1"/>
  <c r="AD30" i="2"/>
  <c r="AD31" i="2" s="1"/>
  <c r="AC16" i="2"/>
  <c r="AC18" i="2" s="1"/>
  <c r="AC30" i="2"/>
  <c r="AC31" i="2" s="1"/>
  <c r="J31" i="2"/>
  <c r="AG7" i="2"/>
  <c r="AH6" i="2"/>
  <c r="AC20" i="2"/>
  <c r="AC28" i="2"/>
  <c r="AE8" i="2"/>
  <c r="AE26" i="2" s="1"/>
  <c r="H72" i="2"/>
  <c r="R72" i="2"/>
  <c r="AA26" i="2"/>
  <c r="E97" i="2"/>
  <c r="I97" i="2"/>
  <c r="AA27" i="2"/>
  <c r="P26" i="2"/>
  <c r="O97" i="2"/>
  <c r="L21" i="5"/>
  <c r="L11" i="5"/>
  <c r="L14" i="5" s="1"/>
  <c r="L15" i="5" s="1"/>
  <c r="L16" i="5" s="1"/>
  <c r="L18" i="5" s="1"/>
  <c r="M11" i="5"/>
  <c r="M14" i="5" s="1"/>
  <c r="M15" i="5" s="1"/>
  <c r="M16" i="5" s="1"/>
  <c r="M18" i="5" s="1"/>
  <c r="N20" i="5"/>
  <c r="O4" i="5"/>
  <c r="N6" i="5"/>
  <c r="M20" i="5"/>
  <c r="K11" i="5"/>
  <c r="I14" i="5"/>
  <c r="I16" i="5" s="1"/>
  <c r="I18" i="5" s="1"/>
  <c r="I22" i="5"/>
  <c r="H14" i="5"/>
  <c r="H16" i="5" s="1"/>
  <c r="H18" i="5" s="1"/>
  <c r="H22" i="5"/>
  <c r="G14" i="5"/>
  <c r="G16" i="5" s="1"/>
  <c r="G18" i="5" s="1"/>
  <c r="G22" i="5"/>
  <c r="D22" i="5"/>
  <c r="E22" i="5"/>
  <c r="F22" i="5"/>
  <c r="G21" i="5"/>
  <c r="H21" i="5"/>
  <c r="I21" i="5"/>
  <c r="J20" i="5"/>
  <c r="J5" i="5"/>
  <c r="J6" i="5" s="1"/>
  <c r="AF22" i="2"/>
  <c r="AC26" i="2"/>
  <c r="J97" i="2"/>
  <c r="K97" i="2"/>
  <c r="D97" i="2"/>
  <c r="M97" i="2"/>
  <c r="N97" i="2"/>
  <c r="AC75" i="2"/>
  <c r="P72" i="2"/>
  <c r="I72" i="2"/>
  <c r="J72" i="2"/>
  <c r="K72" i="2"/>
  <c r="AE22" i="2"/>
  <c r="Y26" i="2"/>
  <c r="Y75" i="2"/>
  <c r="Y16" i="2"/>
  <c r="Y18" i="2" s="1"/>
  <c r="Y27" i="2"/>
  <c r="Z16" i="2"/>
  <c r="Z18" i="2" s="1"/>
  <c r="Z27" i="2"/>
  <c r="Z75" i="2"/>
  <c r="Z26" i="2"/>
  <c r="Y97" i="2"/>
  <c r="AA97" i="2"/>
  <c r="AB97" i="2"/>
  <c r="AA16" i="2"/>
  <c r="AA18" i="2" s="1"/>
  <c r="AB13" i="2"/>
  <c r="AC97" i="2"/>
  <c r="P75" i="2"/>
  <c r="P16" i="2"/>
  <c r="P18" i="2" s="1"/>
  <c r="P20" i="2" s="1"/>
  <c r="P27" i="2"/>
  <c r="P97" i="2"/>
  <c r="AD75" i="2"/>
  <c r="Q97" i="2"/>
  <c r="H97" i="2"/>
  <c r="AC27" i="2"/>
  <c r="G72" i="2"/>
  <c r="F97" i="2"/>
  <c r="Q72" i="2"/>
  <c r="G97" i="2"/>
  <c r="D72" i="2"/>
  <c r="L72" i="2"/>
  <c r="R97" i="2"/>
  <c r="AD27" i="2"/>
  <c r="O72" i="2"/>
  <c r="AD26" i="2"/>
  <c r="E72" i="2"/>
  <c r="M72" i="2"/>
  <c r="F72" i="2"/>
  <c r="N72" i="2"/>
  <c r="Z97" i="2"/>
  <c r="AD97" i="2"/>
  <c r="L97" i="2"/>
  <c r="L13" i="2"/>
  <c r="L30" i="2" s="1"/>
  <c r="N32" i="2" s="1"/>
  <c r="B9" i="2"/>
  <c r="AD20" i="2" l="1"/>
  <c r="L32" i="2"/>
  <c r="AB16" i="2"/>
  <c r="AB18" i="2" s="1"/>
  <c r="AB28" i="2" s="1"/>
  <c r="AB30" i="2"/>
  <c r="AB31" i="2" s="1"/>
  <c r="M32" i="2"/>
  <c r="L31" i="2"/>
  <c r="O32" i="2"/>
  <c r="AB20" i="2"/>
  <c r="AA20" i="2"/>
  <c r="AA28" i="2"/>
  <c r="Z20" i="2"/>
  <c r="Z28" i="2"/>
  <c r="Y20" i="2"/>
  <c r="Y28" i="2"/>
  <c r="AH7" i="2"/>
  <c r="AI6" i="2"/>
  <c r="AE13" i="2"/>
  <c r="AE30" i="2" s="1"/>
  <c r="AE31" i="2" s="1"/>
  <c r="AF8" i="2"/>
  <c r="AF13" i="2" s="1"/>
  <c r="AF30" i="2" s="1"/>
  <c r="AF31" i="2" s="1"/>
  <c r="M22" i="5"/>
  <c r="L22" i="5"/>
  <c r="N21" i="5"/>
  <c r="N11" i="5"/>
  <c r="O20" i="5"/>
  <c r="O6" i="5"/>
  <c r="P4" i="5"/>
  <c r="K22" i="5"/>
  <c r="K14" i="5"/>
  <c r="J11" i="5"/>
  <c r="J21" i="5"/>
  <c r="AB27" i="2"/>
  <c r="AB75" i="2"/>
  <c r="L16" i="2"/>
  <c r="L18" i="2" s="1"/>
  <c r="L20" i="2" s="1"/>
  <c r="L75" i="2"/>
  <c r="AE27" i="2"/>
  <c r="L27" i="2"/>
  <c r="AE16" i="2" l="1"/>
  <c r="AE18" i="2" s="1"/>
  <c r="AE28" i="2" s="1"/>
  <c r="AE75" i="2"/>
  <c r="AJ6" i="2"/>
  <c r="AI7" i="2"/>
  <c r="AG8" i="2"/>
  <c r="AE20" i="2"/>
  <c r="D5" i="3"/>
  <c r="AF26" i="2"/>
  <c r="AG22" i="2"/>
  <c r="P20" i="5"/>
  <c r="P6" i="5"/>
  <c r="Q4" i="5"/>
  <c r="O11" i="5"/>
  <c r="O21" i="5"/>
  <c r="N14" i="5"/>
  <c r="N15" i="5" s="1"/>
  <c r="N16" i="5" s="1"/>
  <c r="N18" i="5" s="1"/>
  <c r="N22" i="5"/>
  <c r="K15" i="5"/>
  <c r="K16" i="5" s="1"/>
  <c r="J14" i="5"/>
  <c r="J22" i="5"/>
  <c r="AK6" i="2" l="1"/>
  <c r="AJ7" i="2"/>
  <c r="AH8" i="2"/>
  <c r="AG26" i="2"/>
  <c r="AG13" i="2"/>
  <c r="AG30" i="2" s="1"/>
  <c r="AG31" i="2" s="1"/>
  <c r="AF27" i="2"/>
  <c r="AF16" i="2"/>
  <c r="AH22" i="2"/>
  <c r="O14" i="5"/>
  <c r="O15" i="5" s="1"/>
  <c r="O16" i="5" s="1"/>
  <c r="O18" i="5" s="1"/>
  <c r="O22" i="5"/>
  <c r="Q6" i="5"/>
  <c r="R4" i="5"/>
  <c r="Q20" i="5"/>
  <c r="P11" i="5"/>
  <c r="P21" i="5"/>
  <c r="K18" i="5"/>
  <c r="J15" i="5"/>
  <c r="J16" i="5" s="1"/>
  <c r="J18" i="5" s="1"/>
  <c r="AL6" i="2" l="1"/>
  <c r="AK7" i="2"/>
  <c r="E5" i="3"/>
  <c r="AF17" i="2"/>
  <c r="AF18" i="2" s="1"/>
  <c r="AH13" i="2"/>
  <c r="AH30" i="2" s="1"/>
  <c r="AH31" i="2" s="1"/>
  <c r="AH26" i="2"/>
  <c r="AI22" i="2"/>
  <c r="AI8" i="2"/>
  <c r="AG16" i="2"/>
  <c r="AG27" i="2"/>
  <c r="Q11" i="5"/>
  <c r="Q21" i="5"/>
  <c r="R20" i="5"/>
  <c r="S4" i="5"/>
  <c r="R6" i="5"/>
  <c r="P14" i="5"/>
  <c r="P15" i="5" s="1"/>
  <c r="P16" i="5" s="1"/>
  <c r="P22" i="5"/>
  <c r="AM6" i="2" l="1"/>
  <c r="AL7" i="2"/>
  <c r="F5" i="3"/>
  <c r="AI26" i="2"/>
  <c r="AI13" i="2"/>
  <c r="AI30" i="2" s="1"/>
  <c r="AI31" i="2" s="1"/>
  <c r="AJ8" i="2"/>
  <c r="AJ22" i="2"/>
  <c r="AH27" i="2"/>
  <c r="AH16" i="2"/>
  <c r="AF20" i="2"/>
  <c r="AG17" i="2"/>
  <c r="AG18" i="2" s="1"/>
  <c r="AG20" i="2" s="1"/>
  <c r="P18" i="5"/>
  <c r="S6" i="5"/>
  <c r="S20" i="5"/>
  <c r="R11" i="5"/>
  <c r="R21" i="5"/>
  <c r="Q14" i="5"/>
  <c r="Q22" i="5"/>
  <c r="AN6" i="2" l="1"/>
  <c r="AN7" i="2" s="1"/>
  <c r="AM7" i="2"/>
  <c r="E6" i="3"/>
  <c r="D6" i="3"/>
  <c r="AH17" i="2"/>
  <c r="AH18" i="2" s="1"/>
  <c r="AH20" i="2" s="1"/>
  <c r="AK22" i="2"/>
  <c r="AK8" i="2"/>
  <c r="AJ26" i="2"/>
  <c r="AJ13" i="2"/>
  <c r="AJ30" i="2" s="1"/>
  <c r="AJ31" i="2" s="1"/>
  <c r="AI27" i="2"/>
  <c r="AI16" i="2"/>
  <c r="AI17" i="2" s="1"/>
  <c r="AI18" i="2" s="1"/>
  <c r="AI20" i="2" s="1"/>
  <c r="Q15" i="5"/>
  <c r="Q16" i="5"/>
  <c r="R14" i="5"/>
  <c r="R15" i="5" s="1"/>
  <c r="R16" i="5" s="1"/>
  <c r="R18" i="5" s="1"/>
  <c r="R22" i="5"/>
  <c r="S21" i="5"/>
  <c r="S11" i="5"/>
  <c r="F6" i="3" l="1"/>
  <c r="AK26" i="2"/>
  <c r="AK13" i="2"/>
  <c r="AK30" i="2" s="1"/>
  <c r="AK31" i="2" s="1"/>
  <c r="AL22" i="2"/>
  <c r="AL8" i="2"/>
  <c r="AJ27" i="2"/>
  <c r="AJ16" i="2"/>
  <c r="AJ17" i="2" s="1"/>
  <c r="AJ18" i="2" s="1"/>
  <c r="AJ20" i="2" s="1"/>
  <c r="S22" i="5"/>
  <c r="S14" i="5"/>
  <c r="S15" i="5" s="1"/>
  <c r="S16" i="5" s="1"/>
  <c r="Q18" i="5"/>
  <c r="AM8" i="2" l="1"/>
  <c r="AL26" i="2"/>
  <c r="AL13" i="2"/>
  <c r="AL30" i="2" s="1"/>
  <c r="AL31" i="2" s="1"/>
  <c r="AM22" i="2"/>
  <c r="AK16" i="2"/>
  <c r="AK17" i="2" s="1"/>
  <c r="AK18" i="2" s="1"/>
  <c r="AK27" i="2"/>
  <c r="T16" i="5"/>
  <c r="S18" i="5"/>
  <c r="AK20" i="2" l="1"/>
  <c r="AM13" i="2"/>
  <c r="AM30" i="2" s="1"/>
  <c r="AM31" i="2" s="1"/>
  <c r="AM26" i="2"/>
  <c r="AN22" i="2"/>
  <c r="AN8" i="2"/>
  <c r="AL16" i="2"/>
  <c r="AL17" i="2" s="1"/>
  <c r="AL18" i="2" s="1"/>
  <c r="AL20" i="2" s="1"/>
  <c r="AL27" i="2"/>
  <c r="U16" i="5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AM27" i="2" l="1"/>
  <c r="AM16" i="2"/>
  <c r="AM17" i="2" s="1"/>
  <c r="AM18" i="2" s="1"/>
  <c r="AM20" i="2" s="1"/>
  <c r="AN26" i="2"/>
  <c r="AN13" i="2"/>
  <c r="AN30" i="2" s="1"/>
  <c r="AN31" i="2" s="1"/>
  <c r="V21" i="5"/>
  <c r="V23" i="5" s="1"/>
  <c r="V24" i="5" s="1"/>
  <c r="A6" i="5" s="1"/>
  <c r="AN16" i="2" l="1"/>
  <c r="AN17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AN27" i="2"/>
  <c r="AN20" i="2" l="1"/>
  <c r="AQ23" i="2"/>
  <c r="AQ25" i="2" s="1"/>
  <c r="AQ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tc={A1DE763A-DEFC-DC4C-950D-5273C9077E33}</author>
    <author>tc={A43C6DF7-148C-0F4B-B5FF-1C7DBA162250}</author>
    <author>tc={11AA9603-14E5-C641-8DBE-ECCCCBBB328F}</author>
    <author>tc={A1DE14F8-BD69-9F49-8CD2-623B4E407075}</author>
  </authors>
  <commentList>
    <comment ref="T3" authorId="0" shapeId="0" xr:uid="{A1DE763A-DEFC-DC4C-950D-5273C9077E3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Vanskelig comp y/y grunnet bra vær og outlet. Forventer at DACH fortsatt i svakt Q4 25/26</t>
      </text>
    </comment>
    <comment ref="T12" authorId="1" shapeId="0" xr:uid="{A43C6DF7-148C-0F4B-B5FF-1C7DBA16225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Transaction cost ICIW</t>
      </text>
    </comment>
    <comment ref="Y91" authorId="2" shapeId="0" xr:uid="{11AA9603-14E5-C641-8DBE-ECCCCBBB328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New issue 1,38</t>
      </text>
    </comment>
    <comment ref="Z91" authorId="3" shapeId="0" xr:uid="{A1DE14F8-BD69-9F49-8CD2-623B4E407075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New issue </t>
      </text>
    </comment>
  </commentList>
</comments>
</file>

<file path=xl/sharedStrings.xml><?xml version="1.0" encoding="utf-8"?>
<sst xmlns="http://schemas.openxmlformats.org/spreadsheetml/2006/main" count="401" uniqueCount="179">
  <si>
    <t>Kapitalstruktur</t>
  </si>
  <si>
    <t>Price</t>
  </si>
  <si>
    <t>S/O</t>
  </si>
  <si>
    <t>EV/EBIT</t>
  </si>
  <si>
    <t>P/E</t>
  </si>
  <si>
    <t>Revenue y/y</t>
  </si>
  <si>
    <t>EBIT margin</t>
  </si>
  <si>
    <t>Nedside</t>
  </si>
  <si>
    <t>Gross margin</t>
  </si>
  <si>
    <t>ROE</t>
  </si>
  <si>
    <t>SEKm</t>
  </si>
  <si>
    <t>MC SEKm</t>
  </si>
  <si>
    <t>Cash SEKm</t>
  </si>
  <si>
    <t>Debt SEKm</t>
  </si>
  <si>
    <t>EV SEKm</t>
  </si>
  <si>
    <t>Balanse SEKm</t>
  </si>
  <si>
    <t>Revenue</t>
  </si>
  <si>
    <t>Goods for resale</t>
  </si>
  <si>
    <t>Gross profit</t>
  </si>
  <si>
    <t>Other external expenses</t>
  </si>
  <si>
    <t>Personnel expenses</t>
  </si>
  <si>
    <t>D/A</t>
  </si>
  <si>
    <t>Operating profit (EBIT)</t>
  </si>
  <si>
    <t>Fincial income</t>
  </si>
  <si>
    <t>Financial expense</t>
  </si>
  <si>
    <t>PTP</t>
  </si>
  <si>
    <t>Tax</t>
  </si>
  <si>
    <t>Net income</t>
  </si>
  <si>
    <t>Shares</t>
  </si>
  <si>
    <t>EPS</t>
  </si>
  <si>
    <t>Other operating expenses</t>
  </si>
  <si>
    <t>Q4 25/26</t>
  </si>
  <si>
    <t>Capitalised expenditure for dev work</t>
  </si>
  <si>
    <t>Trademark</t>
  </si>
  <si>
    <t>Goodwill</t>
  </si>
  <si>
    <t>Other intangible assets</t>
  </si>
  <si>
    <t>Expenditures on thir-party property</t>
  </si>
  <si>
    <t>Equipment, tools and installations</t>
  </si>
  <si>
    <t>Right of use assets</t>
  </si>
  <si>
    <t>Deferred tax assets</t>
  </si>
  <si>
    <t>Goods in warehouse</t>
  </si>
  <si>
    <t>Goods in transit</t>
  </si>
  <si>
    <t>Right of return assets</t>
  </si>
  <si>
    <t>Accounts receivables</t>
  </si>
  <si>
    <t>Current tax assets</t>
  </si>
  <si>
    <t>Other current receivables</t>
  </si>
  <si>
    <t>Prepaid expenses and accrued income</t>
  </si>
  <si>
    <t>Cash</t>
  </si>
  <si>
    <t>Total assets</t>
  </si>
  <si>
    <t>Share capital</t>
  </si>
  <si>
    <t>Other contributed capital</t>
  </si>
  <si>
    <t>Reserves</t>
  </si>
  <si>
    <t>Retained earnings</t>
  </si>
  <si>
    <t>Profit for the period</t>
  </si>
  <si>
    <t>Total equity</t>
  </si>
  <si>
    <t>Lease liabilities</t>
  </si>
  <si>
    <t>Deferred tax liabilities</t>
  </si>
  <si>
    <t>Other long-term liabilities</t>
  </si>
  <si>
    <t>Current lease</t>
  </si>
  <si>
    <t>Accounts payable</t>
  </si>
  <si>
    <t>Other current liabilities</t>
  </si>
  <si>
    <t>Repayment liabilities</t>
  </si>
  <si>
    <t>Prepaid income and accrued expense</t>
  </si>
  <si>
    <t>Total debt</t>
  </si>
  <si>
    <t>Total E/D</t>
  </si>
  <si>
    <t xml:space="preserve">Cash flow SEKm </t>
  </si>
  <si>
    <t>Model OP</t>
  </si>
  <si>
    <t>Reported OP</t>
  </si>
  <si>
    <t>Other non-cash</t>
  </si>
  <si>
    <t>Interest received</t>
  </si>
  <si>
    <t>Interest paid</t>
  </si>
  <si>
    <t>Paid income tax</t>
  </si>
  <si>
    <t>WC</t>
  </si>
  <si>
    <t>CFFO</t>
  </si>
  <si>
    <t>Capex</t>
  </si>
  <si>
    <t>CFFI</t>
  </si>
  <si>
    <t>Amortistion of lease</t>
  </si>
  <si>
    <t>Fees related to borrowings</t>
  </si>
  <si>
    <t>Buybacks</t>
  </si>
  <si>
    <t>Warrents</t>
  </si>
  <si>
    <t>CFFF</t>
  </si>
  <si>
    <t>FX</t>
  </si>
  <si>
    <t>CIC</t>
  </si>
  <si>
    <t>FCF</t>
  </si>
  <si>
    <t>FY 24/25</t>
  </si>
  <si>
    <t>FY 25/26</t>
  </si>
  <si>
    <t>FY 23/24</t>
  </si>
  <si>
    <t>FY 22/23</t>
  </si>
  <si>
    <t>FY 21/22</t>
  </si>
  <si>
    <t>FY 20/21</t>
  </si>
  <si>
    <t>FY 19/20</t>
  </si>
  <si>
    <t>FY 26/27</t>
  </si>
  <si>
    <t>FY 27/28</t>
  </si>
  <si>
    <t>FY 28/29</t>
  </si>
  <si>
    <t>FY 29/30</t>
  </si>
  <si>
    <t>FY 30/31</t>
  </si>
  <si>
    <t>FY 31/32</t>
  </si>
  <si>
    <t>FY 32/33</t>
  </si>
  <si>
    <t>FY 33/34</t>
  </si>
  <si>
    <t>FY 34/35</t>
  </si>
  <si>
    <t>Dividends</t>
  </si>
  <si>
    <t>Q3 25/26</t>
  </si>
  <si>
    <t>Q2 25/26</t>
  </si>
  <si>
    <t>Q1 25/26</t>
  </si>
  <si>
    <t>Q4 24/25</t>
  </si>
  <si>
    <t>Q3 24/25</t>
  </si>
  <si>
    <t>Q2 24/25</t>
  </si>
  <si>
    <t>Q1 24/25</t>
  </si>
  <si>
    <t>Q4 23/24</t>
  </si>
  <si>
    <t>Q3 23/24</t>
  </si>
  <si>
    <t>TV</t>
  </si>
  <si>
    <t>Disocunt</t>
  </si>
  <si>
    <t>NPV</t>
  </si>
  <si>
    <t>NPV/Share</t>
  </si>
  <si>
    <t>Opp/nedside</t>
  </si>
  <si>
    <t>Apr-Jun</t>
  </si>
  <si>
    <t>Q2 23/24</t>
  </si>
  <si>
    <t>Q1 23/24</t>
  </si>
  <si>
    <t>Q4 22/23</t>
  </si>
  <si>
    <t>Q3 22/23</t>
  </si>
  <si>
    <t>Averange order value (AOV)</t>
  </si>
  <si>
    <t>Organic growth</t>
  </si>
  <si>
    <t>Jan-Mar</t>
  </si>
  <si>
    <t>Oct-Dec</t>
  </si>
  <si>
    <t>Q2 22/23</t>
  </si>
  <si>
    <t>Q1 22/23</t>
  </si>
  <si>
    <t>Other long-term assets</t>
  </si>
  <si>
    <t>Jul-Sep</t>
  </si>
  <si>
    <t>25/26</t>
  </si>
  <si>
    <t>26/27</t>
  </si>
  <si>
    <t>27/28</t>
  </si>
  <si>
    <t>D2C = Direct to consumer</t>
  </si>
  <si>
    <t>Selger direkte til sine kunder uten fordyrende mellomledd som sportsbutikker</t>
  </si>
  <si>
    <t>Har produksjon i Asia</t>
  </si>
  <si>
    <t>Selger til:</t>
  </si>
  <si>
    <t>Nordics</t>
  </si>
  <si>
    <t>DACH</t>
  </si>
  <si>
    <t>Rest of world</t>
  </si>
  <si>
    <t>DACH: Deutchsland, Austria, Confoederatio Helvetica (Sveits)</t>
  </si>
  <si>
    <t>y/y</t>
  </si>
  <si>
    <t>y/y Local curr</t>
  </si>
  <si>
    <t>y/y Local Curr</t>
  </si>
  <si>
    <t>RoW</t>
  </si>
  <si>
    <t>22/23</t>
  </si>
  <si>
    <t>24/25</t>
  </si>
  <si>
    <t>23/24</t>
  </si>
  <si>
    <t>Nullvekst og dårligste marginer</t>
  </si>
  <si>
    <t>Press releases:</t>
  </si>
  <si>
    <t>08.07.26: RVRC gjør sitt første oppkjøp som er av ICANIWILL. Prisen er 700 SEKm i tillegg til earn-out påm 175 SEKm 100SEKm knyttet til 26 EBIT og 75 SEKm knyttet til 27 EBIT. EV/EBIT 9,5, 7,8 hvis earn outs blir oppnådd</t>
  </si>
  <si>
    <t>Q1 26/27</t>
  </si>
  <si>
    <t>Q2 26/27</t>
  </si>
  <si>
    <t>Q3 26/27</t>
  </si>
  <si>
    <t>Q4 26/27</t>
  </si>
  <si>
    <t>Tax liabilities</t>
  </si>
  <si>
    <t>28/29</t>
  </si>
  <si>
    <t>Germany</t>
  </si>
  <si>
    <t>Sweden</t>
  </si>
  <si>
    <t>Other</t>
  </si>
  <si>
    <t>19 unike webshops som gir en lokal følelse, disse nettbutikkene er tilpasset ulike markeder</t>
  </si>
  <si>
    <t>3PL = tredjepartslogistikk: RVRC leier inn profesjonelle logistikkselskaper til å drifte lagrene sine i stedet for å drifte de selv som gir fleksibilitet. RVRC har sitt i Stocholm</t>
  </si>
  <si>
    <t xml:space="preserve">ICIW har prudksjon i Asia, shippes til varehuset i Borås, Sverige som opereres av en 3 part veldig likt RVRC allerede har. </t>
  </si>
  <si>
    <t>18.08.26: RVRC åpner sin første butikk i Tyskland i Oberhausen</t>
  </si>
  <si>
    <t>19.08.26: Største aksjonær og grunder Nyrensten flytter aksjene sine til Wealins, et forsikringsselskap i Luxemburg,</t>
  </si>
  <si>
    <t>26.08.26: ICIWL åpner første pioner butikk i Helsinki som er et viktig marked for selskapet</t>
  </si>
  <si>
    <t>EBITDA</t>
  </si>
  <si>
    <t>EBITDA margin</t>
  </si>
  <si>
    <t>EBITDA LTM</t>
  </si>
  <si>
    <t>RVRC</t>
  </si>
  <si>
    <t>ICIW</t>
  </si>
  <si>
    <t>RVRC y/y</t>
  </si>
  <si>
    <t>ICIW y/y</t>
  </si>
  <si>
    <t>Region</t>
  </si>
  <si>
    <t>EBIT 26/27</t>
  </si>
  <si>
    <t>Value</t>
  </si>
  <si>
    <t>Value/share</t>
  </si>
  <si>
    <t>Enterprise value</t>
  </si>
  <si>
    <t>Debt</t>
  </si>
  <si>
    <t>Equity value</t>
  </si>
  <si>
    <t>Gearing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</si>
</sst>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2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2" fillId="0" borderId="1" xfId="0" applyNumberFormat="1" applyFont="1" applyBorder="1"/>
    <xf numFmtId="2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10" fontId="1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3" fontId="1" fillId="0" borderId="1" xfId="0" applyNumberFormat="1" applyFont="1" applyBorder="1"/>
    <xf numFmtId="10" fontId="1" fillId="0" borderId="1" xfId="0" applyNumberFormat="1" applyFont="1" applyBorder="1"/>
    <xf numFmtId="10" fontId="2" fillId="0" borderId="1" xfId="0" applyNumberFormat="1" applyFont="1" applyBorder="1"/>
    <xf numFmtId="0" fontId="2" fillId="0" borderId="2" xfId="0" applyFont="1" applyBorder="1"/>
    <xf numFmtId="9" fontId="2" fillId="0" borderId="0" xfId="0" applyNumberFormat="1" applyFont="1"/>
    <xf numFmtId="8" fontId="2" fillId="0" borderId="2" xfId="0" applyNumberFormat="1" applyFont="1" applyBorder="1"/>
    <xf numFmtId="164" fontId="2" fillId="0" borderId="2" xfId="0" applyNumberFormat="1" applyFont="1" applyBorder="1"/>
    <xf numFmtId="3" fontId="4" fillId="0" borderId="0" xfId="0" applyNumberFormat="1" applyFont="1"/>
    <xf numFmtId="0" fontId="0" fillId="0" borderId="3" xfId="0" applyBorder="1"/>
    <xf numFmtId="0" fontId="5" fillId="0" borderId="3" xfId="0" applyFont="1" applyBorder="1"/>
    <xf numFmtId="165" fontId="6" fillId="0" borderId="3" xfId="0" applyNumberFormat="1" applyFont="1" applyBorder="1"/>
    <xf numFmtId="10" fontId="4" fillId="0" borderId="0" xfId="0" applyNumberFormat="1" applyFont="1"/>
    <xf numFmtId="10" fontId="4" fillId="0" borderId="4" xfId="0" applyNumberFormat="1" applyFont="1" applyBorder="1"/>
    <xf numFmtId="0" fontId="1" fillId="0" borderId="6" xfId="0" applyFont="1" applyBorder="1" applyAlignment="1">
      <alignment horizontal="right"/>
    </xf>
    <xf numFmtId="10" fontId="3" fillId="0" borderId="6" xfId="0" applyNumberFormat="1" applyFont="1" applyBorder="1"/>
    <xf numFmtId="10" fontId="3" fillId="0" borderId="5" xfId="0" applyNumberFormat="1" applyFont="1" applyBorder="1"/>
    <xf numFmtId="0" fontId="1" fillId="0" borderId="5" xfId="0" applyFont="1" applyBorder="1"/>
    <xf numFmtId="2" fontId="1" fillId="0" borderId="0" xfId="0" applyNumberFormat="1" applyFont="1"/>
    <xf numFmtId="1" fontId="2" fillId="0" borderId="0" xfId="0" applyNumberFormat="1" applyFont="1"/>
    <xf numFmtId="3" fontId="1" fillId="0" borderId="6" xfId="0" applyNumberFormat="1" applyFont="1" applyBorder="1"/>
    <xf numFmtId="166" fontId="2" fillId="0" borderId="1" xfId="0" applyNumberFormat="1" applyFont="1" applyBorder="1"/>
    <xf numFmtId="166" fontId="2" fillId="0" borderId="0" xfId="0" applyNumberFormat="1" applyFont="1"/>
    <xf numFmtId="166" fontId="1" fillId="0" borderId="0" xfId="0" applyNumberFormat="1" applyFont="1"/>
    <xf numFmtId="0" fontId="1" fillId="0" borderId="1" xfId="0" applyFont="1" applyBorder="1"/>
    <xf numFmtId="0" fontId="4" fillId="0" borderId="1" xfId="0" applyFont="1" applyBorder="1"/>
    <xf numFmtId="10" fontId="1" fillId="0" borderId="5" xfId="0" applyNumberFormat="1" applyFont="1" applyBorder="1"/>
    <xf numFmtId="166" fontId="4" fillId="0" borderId="0" xfId="0" applyNumberFormat="1" applyFont="1"/>
    <xf numFmtId="166" fontId="4" fillId="0" borderId="1" xfId="0" applyNumberFormat="1" applyFont="1" applyBorder="1"/>
    <xf numFmtId="166" fontId="3" fillId="0" borderId="0" xfId="0" applyNumberFormat="1" applyFont="1"/>
    <xf numFmtId="0" fontId="4" fillId="0" borderId="0" xfId="0" applyFont="1" applyAlignment="1">
      <alignment horizontal="right"/>
    </xf>
    <xf numFmtId="0" fontId="2" fillId="0" borderId="6" xfId="0" applyFont="1" applyBorder="1"/>
    <xf numFmtId="10" fontId="4" fillId="0" borderId="6" xfId="0" applyNumberFormat="1" applyFont="1" applyBorder="1"/>
    <xf numFmtId="10" fontId="4" fillId="0" borderId="5" xfId="0" applyNumberFormat="1" applyFont="1" applyBorder="1"/>
    <xf numFmtId="0" fontId="2" fillId="0" borderId="4" xfId="0" applyFont="1" applyBorder="1"/>
    <xf numFmtId="0" fontId="8" fillId="0" borderId="0" xfId="0" applyFont="1"/>
    <xf numFmtId="3" fontId="8" fillId="0" borderId="0" xfId="0" applyNumberFormat="1" applyFont="1"/>
    <xf numFmtId="0" fontId="8" fillId="0" borderId="3" xfId="0" applyFont="1" applyBorder="1"/>
    <xf numFmtId="0" fontId="9" fillId="0" borderId="3" xfId="0" applyFont="1" applyBorder="1"/>
    <xf numFmtId="0" fontId="8" fillId="2" borderId="3" xfId="0" applyFont="1" applyFill="1" applyBorder="1"/>
    <xf numFmtId="1" fontId="8" fillId="0" borderId="3" xfId="0" applyNumberFormat="1" applyFont="1" applyBorder="1"/>
    <xf numFmtId="1" fontId="9" fillId="0" borderId="3" xfId="0" applyNumberFormat="1" applyFont="1" applyBorder="1"/>
    <xf numFmtId="3" fontId="8" fillId="0" borderId="3" xfId="0" applyNumberFormat="1" applyFont="1" applyBorder="1"/>
    <xf numFmtId="3" fontId="9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00000000-FC37-5F49-9AD6-654931572C73}">
          <cx:dataPt idx="2"/>
          <cx:dataPt idx="7"/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660400</xdr:colOff>
      <xdr:row>0</xdr:row>
      <xdr:rowOff>76200</xdr:rowOff>
    </xdr:from>
    <xdr:to>
      <xdr:col>18</xdr:col>
      <xdr:colOff>574938</xdr:colOff>
      <xdr:row>19</xdr:row>
      <xdr:rowOff>177800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FBEAACAE-3AAA-FB45-6604-61E3BBB0C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76200"/>
          <a:ext cx="6518538" cy="468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651634</xdr:colOff>
      <xdr:row>20</xdr:row>
      <xdr:rowOff>152400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C446C130-B688-2F3D-9B9B-0D060D818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16234" cy="497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139700</xdr:rowOff>
    </xdr:from>
    <xdr:to>
      <xdr:col>10</xdr:col>
      <xdr:colOff>637742</xdr:colOff>
      <xdr:row>38</xdr:row>
      <xdr:rowOff>228600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D5A55F0D-D935-075F-6C9A-CF976DD6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965700"/>
          <a:ext cx="9502342" cy="443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14</xdr:row>
      <xdr:rowOff>57150</xdr:rowOff>
    </xdr:from>
    <xdr:to>
      <xdr:col>7</xdr:col>
      <xdr:colOff>508000</xdr:colOff>
      <xdr:row>27</xdr:row>
      <xdr:rowOff>254000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D0A3B437-E1B8-7779-998E-0B7CCDA17C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7500" y="4324350"/>
              <a:ext cx="6934200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E5E0B227-A678-264F-B2FC-43EFA611CDE0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6-08-20T11:44:59.00" personId="{E5E0B227-A678-264F-B2FC-43EFA611CDE0}" id="{A1DE763A-DEFC-DC4C-950D-5273C9077E33}">
    <text>Vanskelig comp y/y grunnet bra vær og outlet. Forventer at DACH fortsatt i svakt Q4 25/26</text>
  </threadedComment>
  <threadedComment ref="T12" dT="2026-09-29T10:25:21.89" personId="{E5E0B227-A678-264F-B2FC-43EFA611CDE0}" id="{A43C6DF7-148C-0F4B-B5FF-1C7DBA162250}">
    <text>Transaction cost ICIW</text>
  </threadedComment>
  <threadedComment ref="Y91" dT="2026-01-05T15:59:17.92" personId="{E5E0B227-A678-264F-B2FC-43EFA611CDE0}" id="{11AA9603-14E5-C641-8DBE-ECCCCBBB328F}">
    <text>New issue 1,38</text>
  </threadedComment>
  <threadedComment ref="Z91" dT="2026-01-05T15:58:17.02" personId="{E5E0B227-A678-264F-B2FC-43EFA611CDE0}" id="{A1DE14F8-BD69-9F49-8CD2-623B4E407075}">
    <text xml:space="preserve">New issue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3E1EB-91BB-024D-B961-C65E16C9DDD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be9651d-2004-4c2d-88df-da1c177fab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G61"/>
  <sheetViews>
    <sheetView showGridLines="0" topLeftCell="A19" zoomScaleNormal="100" workbookViewId="0">
      <selection activeCell="L66" sqref="L66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6384" width="10.83203125" style="2"/>
  </cols>
  <sheetData>
    <row r="5" spans="1:7" x14ac:dyDescent="0.25">
      <c r="A5" s="1"/>
      <c r="G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  <row r="19" spans="1:1" x14ac:dyDescent="0.25">
      <c r="A19" s="1"/>
    </row>
    <row r="42" spans="1:1" x14ac:dyDescent="0.25">
      <c r="A42" s="2" t="s">
        <v>131</v>
      </c>
    </row>
    <row r="43" spans="1:1" x14ac:dyDescent="0.25">
      <c r="A43" s="2" t="s">
        <v>132</v>
      </c>
    </row>
    <row r="45" spans="1:1" x14ac:dyDescent="0.25">
      <c r="A45" s="2" t="s">
        <v>158</v>
      </c>
    </row>
    <row r="46" spans="1:1" x14ac:dyDescent="0.25">
      <c r="A46" s="2" t="s">
        <v>159</v>
      </c>
    </row>
    <row r="48" spans="1:1" x14ac:dyDescent="0.25">
      <c r="A48" s="2" t="s">
        <v>133</v>
      </c>
    </row>
    <row r="49" spans="1:1" x14ac:dyDescent="0.25">
      <c r="A49" s="2" t="s">
        <v>160</v>
      </c>
    </row>
    <row r="51" spans="1:1" x14ac:dyDescent="0.25">
      <c r="A51" s="1" t="s">
        <v>134</v>
      </c>
    </row>
    <row r="52" spans="1:1" x14ac:dyDescent="0.25">
      <c r="A52" s="2" t="s">
        <v>135</v>
      </c>
    </row>
    <row r="53" spans="1:1" x14ac:dyDescent="0.25">
      <c r="A53" s="2" t="s">
        <v>138</v>
      </c>
    </row>
    <row r="54" spans="1:1" x14ac:dyDescent="0.25">
      <c r="A54" s="2" t="s">
        <v>137</v>
      </c>
    </row>
    <row r="57" spans="1:1" x14ac:dyDescent="0.25">
      <c r="A57" s="1" t="s">
        <v>147</v>
      </c>
    </row>
    <row r="58" spans="1:1" x14ac:dyDescent="0.25">
      <c r="A58" s="2" t="s">
        <v>163</v>
      </c>
    </row>
    <row r="59" spans="1:1" x14ac:dyDescent="0.25">
      <c r="A59" s="2" t="s">
        <v>162</v>
      </c>
    </row>
    <row r="60" spans="1:1" x14ac:dyDescent="0.25">
      <c r="A60" s="2" t="s">
        <v>161</v>
      </c>
    </row>
    <row r="61" spans="1:1" x14ac:dyDescent="0.25">
      <c r="A61" s="2" t="s">
        <v>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K133"/>
  <sheetViews>
    <sheetView showGridLines="0" tabSelected="1" workbookViewId="0">
      <pane xSplit="3" ySplit="3" topLeftCell="Q4" activePane="bottomRight" state="frozen"/>
      <selection pane="topRight" activeCell="D1" sqref="D1"/>
      <selection pane="bottomLeft" activeCell="A4" sqref="A4"/>
      <selection pane="bottomRight" activeCell="X20" sqref="X20"/>
    </sheetView>
  </sheetViews>
  <sheetFormatPr baseColWidth="10" defaultRowHeight="19" x14ac:dyDescent="0.25"/>
  <cols>
    <col min="1" max="1" width="16.33203125" style="2" bestFit="1" customWidth="1"/>
    <col min="2" max="2" width="10.83203125" style="3"/>
    <col min="3" max="3" width="37.1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9" width="11.33203125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1" width="10.83203125" style="2"/>
    <col min="32" max="32" width="10.83203125" style="3"/>
    <col min="33" max="41" width="10.83203125" style="2"/>
    <col min="42" max="42" width="14.1640625" style="2" bestFit="1" customWidth="1"/>
    <col min="43" max="43" width="14.83203125" style="2" customWidth="1"/>
    <col min="44" max="16384" width="10.83203125" style="2"/>
  </cols>
  <sheetData>
    <row r="1" spans="1:40" x14ac:dyDescent="0.25">
      <c r="D1" s="4" t="s">
        <v>127</v>
      </c>
      <c r="E1" s="4" t="s">
        <v>123</v>
      </c>
      <c r="F1" s="4" t="s">
        <v>122</v>
      </c>
      <c r="G1" s="4" t="s">
        <v>115</v>
      </c>
      <c r="H1" s="4" t="s">
        <v>127</v>
      </c>
      <c r="I1" s="4" t="s">
        <v>123</v>
      </c>
      <c r="J1" s="4" t="s">
        <v>122</v>
      </c>
      <c r="K1" s="4" t="s">
        <v>115</v>
      </c>
      <c r="L1" s="4" t="s">
        <v>127</v>
      </c>
      <c r="M1" s="4" t="s">
        <v>123</v>
      </c>
      <c r="N1" s="4" t="s">
        <v>122</v>
      </c>
      <c r="O1" s="4" t="s">
        <v>115</v>
      </c>
      <c r="P1" s="4" t="s">
        <v>127</v>
      </c>
      <c r="Q1" s="4" t="s">
        <v>123</v>
      </c>
      <c r="R1" s="4" t="s">
        <v>122</v>
      </c>
      <c r="S1" s="4" t="s">
        <v>115</v>
      </c>
      <c r="T1" s="4" t="s">
        <v>127</v>
      </c>
      <c r="U1" s="4" t="s">
        <v>123</v>
      </c>
      <c r="V1" s="4" t="s">
        <v>122</v>
      </c>
      <c r="W1" s="4" t="s">
        <v>115</v>
      </c>
      <c r="AD1" s="1"/>
    </row>
    <row r="3" spans="1:40" x14ac:dyDescent="0.25">
      <c r="A3" s="1" t="s">
        <v>0</v>
      </c>
      <c r="C3" s="2" t="s">
        <v>10</v>
      </c>
      <c r="D3" s="4" t="s">
        <v>125</v>
      </c>
      <c r="E3" s="4" t="s">
        <v>124</v>
      </c>
      <c r="F3" s="4" t="s">
        <v>119</v>
      </c>
      <c r="G3" s="4" t="s">
        <v>118</v>
      </c>
      <c r="H3" s="4" t="s">
        <v>117</v>
      </c>
      <c r="I3" s="4" t="s">
        <v>116</v>
      </c>
      <c r="J3" s="4" t="s">
        <v>109</v>
      </c>
      <c r="K3" s="4" t="s">
        <v>108</v>
      </c>
      <c r="L3" s="4" t="s">
        <v>107</v>
      </c>
      <c r="M3" s="4" t="s">
        <v>106</v>
      </c>
      <c r="N3" s="4" t="s">
        <v>105</v>
      </c>
      <c r="O3" s="4" t="s">
        <v>104</v>
      </c>
      <c r="P3" s="4" t="s">
        <v>103</v>
      </c>
      <c r="Q3" s="4" t="s">
        <v>102</v>
      </c>
      <c r="R3" s="4" t="s">
        <v>101</v>
      </c>
      <c r="S3" s="4" t="s">
        <v>31</v>
      </c>
      <c r="T3" s="4" t="s">
        <v>149</v>
      </c>
      <c r="U3" s="4" t="s">
        <v>150</v>
      </c>
      <c r="V3" s="4" t="s">
        <v>151</v>
      </c>
      <c r="W3" s="4" t="s">
        <v>152</v>
      </c>
      <c r="X3" s="4"/>
      <c r="Y3" s="4" t="s">
        <v>90</v>
      </c>
      <c r="Z3" s="4" t="s">
        <v>89</v>
      </c>
      <c r="AA3" s="4" t="s">
        <v>88</v>
      </c>
      <c r="AB3" s="4" t="s">
        <v>87</v>
      </c>
      <c r="AC3" s="4" t="s">
        <v>86</v>
      </c>
      <c r="AD3" s="4" t="s">
        <v>84</v>
      </c>
      <c r="AE3" s="4" t="s">
        <v>85</v>
      </c>
      <c r="AF3" s="5" t="s">
        <v>91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  <c r="AL3" s="4" t="s">
        <v>97</v>
      </c>
      <c r="AM3" s="4" t="s">
        <v>98</v>
      </c>
      <c r="AN3" s="4" t="s">
        <v>99</v>
      </c>
    </row>
    <row r="4" spans="1:40" x14ac:dyDescent="0.25">
      <c r="A4" s="2" t="s">
        <v>1</v>
      </c>
      <c r="B4" s="3">
        <v>49</v>
      </c>
      <c r="C4" s="2" t="s">
        <v>167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v>392</v>
      </c>
      <c r="Q4" s="4">
        <v>726</v>
      </c>
      <c r="R4" s="4">
        <v>487</v>
      </c>
      <c r="S4" s="4">
        <v>414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G4" s="4"/>
      <c r="AH4" s="4"/>
      <c r="AI4" s="4"/>
      <c r="AJ4" s="4"/>
      <c r="AK4" s="4"/>
      <c r="AL4" s="4"/>
      <c r="AM4" s="4"/>
      <c r="AN4" s="4"/>
    </row>
    <row r="5" spans="1:40" x14ac:dyDescent="0.25">
      <c r="A5" s="2" t="s">
        <v>2</v>
      </c>
      <c r="B5" s="12">
        <v>105.75545</v>
      </c>
      <c r="C5" s="2" t="s">
        <v>168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8">
        <v>104</v>
      </c>
      <c r="Q5" s="48">
        <v>124</v>
      </c>
      <c r="R5" s="48">
        <v>118</v>
      </c>
      <c r="S5" s="48">
        <v>123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"/>
      <c r="AG5" s="4"/>
      <c r="AH5" s="4"/>
      <c r="AI5" s="4"/>
      <c r="AJ5" s="4"/>
      <c r="AK5" s="4"/>
      <c r="AL5" s="4"/>
      <c r="AM5" s="4"/>
      <c r="AN5" s="4"/>
    </row>
    <row r="6" spans="1:40" x14ac:dyDescent="0.25">
      <c r="A6" s="2" t="s">
        <v>11</v>
      </c>
      <c r="B6" s="10">
        <f>B4*B5</f>
        <v>5182.0170499999995</v>
      </c>
      <c r="C6" s="1" t="s">
        <v>16</v>
      </c>
      <c r="D6" s="1">
        <v>287</v>
      </c>
      <c r="E6" s="1">
        <v>509</v>
      </c>
      <c r="F6" s="1">
        <v>414</v>
      </c>
      <c r="G6" s="1">
        <v>362</v>
      </c>
      <c r="H6" s="1">
        <v>342</v>
      </c>
      <c r="I6" s="1">
        <v>613</v>
      </c>
      <c r="J6" s="1">
        <v>484</v>
      </c>
      <c r="K6" s="1">
        <v>407</v>
      </c>
      <c r="L6" s="1">
        <v>350</v>
      </c>
      <c r="M6" s="1">
        <v>689</v>
      </c>
      <c r="N6" s="1">
        <v>486</v>
      </c>
      <c r="O6" s="1">
        <v>405</v>
      </c>
      <c r="P6" s="1">
        <v>392</v>
      </c>
      <c r="Q6" s="1">
        <v>726</v>
      </c>
      <c r="R6" s="1">
        <v>487</v>
      </c>
      <c r="S6" s="1">
        <v>414</v>
      </c>
      <c r="T6" s="1">
        <f>SUM(T4:T5)</f>
        <v>0</v>
      </c>
      <c r="U6" s="1"/>
      <c r="V6" s="1"/>
      <c r="X6" s="17"/>
      <c r="Y6" s="17">
        <v>387.50700000000001</v>
      </c>
      <c r="Z6" s="17">
        <v>912.73500000000001</v>
      </c>
      <c r="AA6" s="17">
        <v>1356</v>
      </c>
      <c r="AB6" s="17">
        <v>1562</v>
      </c>
      <c r="AC6" s="17">
        <v>1842</v>
      </c>
      <c r="AD6" s="17">
        <v>1925</v>
      </c>
      <c r="AE6" s="17">
        <v>2019</v>
      </c>
      <c r="AF6" s="19">
        <f>AE6*1.37</f>
        <v>2766.03</v>
      </c>
      <c r="AG6" s="17">
        <f>AF6*1.08</f>
        <v>2987.3124000000003</v>
      </c>
      <c r="AH6" s="17">
        <f>AG6*1.08</f>
        <v>3226.2973920000004</v>
      </c>
      <c r="AI6" s="17">
        <f t="shared" ref="AI6:AN6" si="0">AH6*1.08</f>
        <v>3484.4011833600007</v>
      </c>
      <c r="AJ6" s="17">
        <f t="shared" si="0"/>
        <v>3763.1532780288012</v>
      </c>
      <c r="AK6" s="17">
        <f t="shared" si="0"/>
        <v>4064.2055402711057</v>
      </c>
      <c r="AL6" s="17">
        <f t="shared" si="0"/>
        <v>4389.3419834927945</v>
      </c>
      <c r="AM6" s="17">
        <f t="shared" si="0"/>
        <v>4740.4893421722181</v>
      </c>
      <c r="AN6" s="17">
        <f t="shared" si="0"/>
        <v>5119.7284895459961</v>
      </c>
    </row>
    <row r="7" spans="1:40" x14ac:dyDescent="0.25">
      <c r="A7" s="2" t="s">
        <v>12</v>
      </c>
      <c r="B7" s="10">
        <f>S54</f>
        <v>328</v>
      </c>
      <c r="C7" s="2" t="s">
        <v>17</v>
      </c>
      <c r="D7" s="2">
        <v>-79</v>
      </c>
      <c r="E7" s="2">
        <v>-149</v>
      </c>
      <c r="F7" s="2">
        <v>-113</v>
      </c>
      <c r="G7" s="2">
        <v>-92</v>
      </c>
      <c r="H7" s="2">
        <v>-95</v>
      </c>
      <c r="I7" s="2">
        <v>-183</v>
      </c>
      <c r="J7" s="2">
        <v>-136</v>
      </c>
      <c r="K7" s="2">
        <v>-114</v>
      </c>
      <c r="L7" s="2">
        <v>-105</v>
      </c>
      <c r="M7" s="2">
        <v>-203</v>
      </c>
      <c r="N7" s="2">
        <v>-149</v>
      </c>
      <c r="O7" s="2">
        <v>-124</v>
      </c>
      <c r="P7" s="2">
        <v>-119</v>
      </c>
      <c r="Q7" s="2">
        <v>-219</v>
      </c>
      <c r="R7" s="2">
        <v>-141</v>
      </c>
      <c r="S7" s="2">
        <v>-115</v>
      </c>
      <c r="X7" s="18"/>
      <c r="Y7" s="18">
        <v>-115.72</v>
      </c>
      <c r="Z7" s="18">
        <v>-248.804</v>
      </c>
      <c r="AA7" s="18">
        <v>-369</v>
      </c>
      <c r="AB7" s="18">
        <v>-434</v>
      </c>
      <c r="AC7" s="18">
        <v>-528</v>
      </c>
      <c r="AD7" s="18">
        <v>-581</v>
      </c>
      <c r="AE7" s="18">
        <v>-594</v>
      </c>
      <c r="AF7" s="9">
        <f>AF6*-0.3</f>
        <v>-829.80900000000008</v>
      </c>
      <c r="AG7" s="18">
        <f t="shared" ref="AG7:AN7" si="1">AG6*-0.3</f>
        <v>-896.1937200000001</v>
      </c>
      <c r="AH7" s="18">
        <f t="shared" si="1"/>
        <v>-967.88921760000005</v>
      </c>
      <c r="AI7" s="18">
        <f t="shared" si="1"/>
        <v>-1045.3203550080002</v>
      </c>
      <c r="AJ7" s="18">
        <f t="shared" si="1"/>
        <v>-1128.9459834086404</v>
      </c>
      <c r="AK7" s="18">
        <f t="shared" si="1"/>
        <v>-1219.2616620813317</v>
      </c>
      <c r="AL7" s="18">
        <f t="shared" si="1"/>
        <v>-1316.8025950478384</v>
      </c>
      <c r="AM7" s="18">
        <f t="shared" si="1"/>
        <v>-1422.1468026516654</v>
      </c>
      <c r="AN7" s="18">
        <f t="shared" si="1"/>
        <v>-1535.9185468637988</v>
      </c>
    </row>
    <row r="8" spans="1:40" x14ac:dyDescent="0.25">
      <c r="A8" s="2" t="s">
        <v>13</v>
      </c>
      <c r="B8" s="10">
        <v>0</v>
      </c>
      <c r="C8" s="2" t="s">
        <v>18</v>
      </c>
      <c r="D8" s="2">
        <f t="shared" ref="D8:P8" si="2">SUM(D6:D7)</f>
        <v>208</v>
      </c>
      <c r="E8" s="2">
        <f t="shared" si="2"/>
        <v>360</v>
      </c>
      <c r="F8" s="2">
        <f t="shared" si="2"/>
        <v>301</v>
      </c>
      <c r="G8" s="2">
        <f t="shared" si="2"/>
        <v>270</v>
      </c>
      <c r="H8" s="2">
        <f t="shared" si="2"/>
        <v>247</v>
      </c>
      <c r="I8" s="2">
        <f t="shared" si="2"/>
        <v>430</v>
      </c>
      <c r="J8" s="2">
        <f t="shared" si="2"/>
        <v>348</v>
      </c>
      <c r="K8" s="2">
        <f t="shared" si="2"/>
        <v>293</v>
      </c>
      <c r="L8" s="2">
        <f t="shared" si="2"/>
        <v>245</v>
      </c>
      <c r="M8" s="2">
        <f t="shared" si="2"/>
        <v>486</v>
      </c>
      <c r="N8" s="2">
        <f t="shared" si="2"/>
        <v>337</v>
      </c>
      <c r="O8" s="2">
        <f t="shared" si="2"/>
        <v>281</v>
      </c>
      <c r="P8" s="2">
        <f t="shared" si="2"/>
        <v>273</v>
      </c>
      <c r="Q8" s="2">
        <f t="shared" ref="Q8:R8" si="3">SUM(Q6:Q7)</f>
        <v>507</v>
      </c>
      <c r="R8" s="2">
        <f t="shared" si="3"/>
        <v>346</v>
      </c>
      <c r="S8" s="2">
        <f t="shared" ref="S8" si="4">SUM(S6:S7)</f>
        <v>299</v>
      </c>
      <c r="X8" s="18"/>
      <c r="Y8" s="18">
        <f t="shared" ref="Y8:AD8" si="5">SUM(Y6:Y7)</f>
        <v>271.78700000000003</v>
      </c>
      <c r="Z8" s="18">
        <f t="shared" si="5"/>
        <v>663.93100000000004</v>
      </c>
      <c r="AA8" s="18">
        <f t="shared" si="5"/>
        <v>987</v>
      </c>
      <c r="AB8" s="18">
        <f t="shared" si="5"/>
        <v>1128</v>
      </c>
      <c r="AC8" s="18">
        <f t="shared" si="5"/>
        <v>1314</v>
      </c>
      <c r="AD8" s="18">
        <f t="shared" si="5"/>
        <v>1344</v>
      </c>
      <c r="AE8" s="18">
        <f t="shared" ref="AE8:AN8" si="6">SUM(AE6:AE7)</f>
        <v>1425</v>
      </c>
      <c r="AF8" s="9">
        <f t="shared" si="6"/>
        <v>1936.221</v>
      </c>
      <c r="AG8" s="18">
        <f t="shared" si="6"/>
        <v>2091.11868</v>
      </c>
      <c r="AH8" s="18">
        <f t="shared" si="6"/>
        <v>2258.4081744000005</v>
      </c>
      <c r="AI8" s="18">
        <f t="shared" si="6"/>
        <v>2439.0808283520005</v>
      </c>
      <c r="AJ8" s="18">
        <f t="shared" si="6"/>
        <v>2634.2072946201606</v>
      </c>
      <c r="AK8" s="18">
        <f t="shared" si="6"/>
        <v>2844.9438781897743</v>
      </c>
      <c r="AL8" s="18">
        <f t="shared" si="6"/>
        <v>3072.5393884449559</v>
      </c>
      <c r="AM8" s="18">
        <f t="shared" si="6"/>
        <v>3318.3425395205527</v>
      </c>
      <c r="AN8" s="18">
        <f t="shared" si="6"/>
        <v>3583.8099426821973</v>
      </c>
    </row>
    <row r="9" spans="1:40" x14ac:dyDescent="0.25">
      <c r="A9" s="6" t="s">
        <v>14</v>
      </c>
      <c r="B9" s="11">
        <f>B6-B7+B8</f>
        <v>4854.0170499999995</v>
      </c>
      <c r="C9" s="2" t="s">
        <v>19</v>
      </c>
      <c r="D9" s="2">
        <v>-136</v>
      </c>
      <c r="E9" s="2">
        <v>-207</v>
      </c>
      <c r="F9" s="2">
        <v>-186</v>
      </c>
      <c r="G9" s="2">
        <v>-174</v>
      </c>
      <c r="H9" s="2">
        <v>-154</v>
      </c>
      <c r="I9" s="2">
        <v>-252</v>
      </c>
      <c r="J9" s="2">
        <v>-216</v>
      </c>
      <c r="K9" s="2">
        <v>-185</v>
      </c>
      <c r="L9" s="2">
        <v>-158</v>
      </c>
      <c r="M9" s="2">
        <v>-290</v>
      </c>
      <c r="N9" s="2">
        <v>-200</v>
      </c>
      <c r="O9" s="2">
        <v>-183</v>
      </c>
      <c r="P9" s="2">
        <v>-169</v>
      </c>
      <c r="Q9" s="2">
        <v>-287</v>
      </c>
      <c r="R9" s="2">
        <v>-204</v>
      </c>
      <c r="S9" s="2">
        <v>-191</v>
      </c>
      <c r="X9" s="18"/>
      <c r="Y9" s="18">
        <v>-156.999</v>
      </c>
      <c r="Z9" s="18">
        <v>-363.697</v>
      </c>
      <c r="AA9" s="18">
        <v>-539</v>
      </c>
      <c r="AB9" s="18">
        <v>-701</v>
      </c>
      <c r="AC9" s="18">
        <v>-805</v>
      </c>
      <c r="AD9" s="18">
        <v>-831</v>
      </c>
      <c r="AE9" s="18">
        <v>-851</v>
      </c>
      <c r="AF9" s="9">
        <f>AE9*1.42</f>
        <v>-1208.4199999999998</v>
      </c>
      <c r="AG9" s="18">
        <f>AF9*1.065</f>
        <v>-1286.9672999999998</v>
      </c>
      <c r="AH9" s="18">
        <f t="shared" ref="AH9:AN9" si="7">AG9*1.065</f>
        <v>-1370.6201744999996</v>
      </c>
      <c r="AI9" s="18">
        <f t="shared" si="7"/>
        <v>-1459.7104858424996</v>
      </c>
      <c r="AJ9" s="18">
        <f t="shared" si="7"/>
        <v>-1554.5916674222619</v>
      </c>
      <c r="AK9" s="18">
        <f t="shared" si="7"/>
        <v>-1655.640125804709</v>
      </c>
      <c r="AL9" s="18">
        <f t="shared" si="7"/>
        <v>-1763.256733982015</v>
      </c>
      <c r="AM9" s="18">
        <f t="shared" si="7"/>
        <v>-1877.8684216908459</v>
      </c>
      <c r="AN9" s="18">
        <f t="shared" si="7"/>
        <v>-1999.9298691007509</v>
      </c>
    </row>
    <row r="10" spans="1:40" x14ac:dyDescent="0.25">
      <c r="C10" s="2" t="s">
        <v>20</v>
      </c>
      <c r="D10" s="2">
        <v>-21</v>
      </c>
      <c r="E10" s="2">
        <v>-41</v>
      </c>
      <c r="F10" s="2">
        <v>-22</v>
      </c>
      <c r="G10" s="2">
        <v>-25</v>
      </c>
      <c r="H10" s="2">
        <v>-24</v>
      </c>
      <c r="I10" s="2">
        <v>-31</v>
      </c>
      <c r="J10" s="2">
        <v>-28</v>
      </c>
      <c r="K10" s="2">
        <v>-31</v>
      </c>
      <c r="L10" s="2">
        <v>-25</v>
      </c>
      <c r="M10" s="2">
        <v>-36</v>
      </c>
      <c r="N10" s="2">
        <v>-51</v>
      </c>
      <c r="O10" s="2">
        <v>-31</v>
      </c>
      <c r="P10" s="2">
        <v>-27</v>
      </c>
      <c r="Q10" s="2">
        <v>-38</v>
      </c>
      <c r="R10" s="2">
        <v>-35</v>
      </c>
      <c r="S10" s="2">
        <v>-38</v>
      </c>
      <c r="X10" s="18"/>
      <c r="Y10" s="18">
        <v>-29.635000000000002</v>
      </c>
      <c r="Z10" s="18">
        <v>-48.594999999999999</v>
      </c>
      <c r="AA10" s="18">
        <v>-77</v>
      </c>
      <c r="AB10" s="18">
        <v>-110</v>
      </c>
      <c r="AC10" s="18">
        <v>-114</v>
      </c>
      <c r="AD10" s="18">
        <v>-143</v>
      </c>
      <c r="AE10" s="18">
        <v>-138</v>
      </c>
      <c r="AF10" s="9">
        <f t="shared" ref="AF10:AF12" si="8">AE10*1.42</f>
        <v>-195.95999999999998</v>
      </c>
      <c r="AG10" s="18">
        <f t="shared" ref="AG10:AN12" si="9">AF10*1.055</f>
        <v>-206.73779999999996</v>
      </c>
      <c r="AH10" s="18">
        <f t="shared" si="9"/>
        <v>-218.10837899999996</v>
      </c>
      <c r="AI10" s="18">
        <f t="shared" si="9"/>
        <v>-230.10433984499994</v>
      </c>
      <c r="AJ10" s="18">
        <f t="shared" si="9"/>
        <v>-242.76007853647494</v>
      </c>
      <c r="AK10" s="18">
        <f t="shared" si="9"/>
        <v>-256.11188285598104</v>
      </c>
      <c r="AL10" s="18">
        <f t="shared" si="9"/>
        <v>-270.19803641305998</v>
      </c>
      <c r="AM10" s="18">
        <f t="shared" si="9"/>
        <v>-285.05892841577827</v>
      </c>
      <c r="AN10" s="18">
        <f t="shared" si="9"/>
        <v>-300.73716947864608</v>
      </c>
    </row>
    <row r="11" spans="1:40" x14ac:dyDescent="0.25">
      <c r="C11" s="2" t="s">
        <v>21</v>
      </c>
      <c r="D11" s="2">
        <v>-1</v>
      </c>
      <c r="E11" s="2">
        <v>-2</v>
      </c>
      <c r="F11" s="2">
        <v>-2</v>
      </c>
      <c r="G11" s="2">
        <v>-2</v>
      </c>
      <c r="H11" s="2">
        <v>-2</v>
      </c>
      <c r="I11" s="2">
        <v>-2</v>
      </c>
      <c r="J11" s="2">
        <v>-2</v>
      </c>
      <c r="K11" s="2">
        <v>-2</v>
      </c>
      <c r="L11" s="2">
        <v>-2</v>
      </c>
      <c r="M11" s="2">
        <v>-2</v>
      </c>
      <c r="N11" s="2">
        <v>-2</v>
      </c>
      <c r="O11" s="2">
        <v>-2</v>
      </c>
      <c r="P11" s="2">
        <v>-3</v>
      </c>
      <c r="Q11" s="2">
        <v>-3</v>
      </c>
      <c r="R11" s="2">
        <v>-3</v>
      </c>
      <c r="S11" s="2">
        <v>-3</v>
      </c>
      <c r="X11" s="18"/>
      <c r="Y11" s="18">
        <v>-1.982</v>
      </c>
      <c r="Z11" s="18">
        <v>-3.871</v>
      </c>
      <c r="AA11" s="18">
        <v>-5</v>
      </c>
      <c r="AB11" s="18">
        <v>-7</v>
      </c>
      <c r="AC11" s="18">
        <v>-9</v>
      </c>
      <c r="AD11" s="18">
        <v>-9</v>
      </c>
      <c r="AE11" s="18">
        <v>-12</v>
      </c>
      <c r="AF11" s="9">
        <f t="shared" si="8"/>
        <v>-17.04</v>
      </c>
      <c r="AG11" s="18">
        <f t="shared" si="9"/>
        <v>-17.977199999999996</v>
      </c>
      <c r="AH11" s="18">
        <f t="shared" si="9"/>
        <v>-18.965945999999995</v>
      </c>
      <c r="AI11" s="18">
        <f t="shared" si="9"/>
        <v>-20.009073029999993</v>
      </c>
      <c r="AJ11" s="18">
        <f t="shared" si="9"/>
        <v>-21.109572046649991</v>
      </c>
      <c r="AK11" s="18">
        <f t="shared" si="9"/>
        <v>-22.270598509215738</v>
      </c>
      <c r="AL11" s="18">
        <f t="shared" si="9"/>
        <v>-23.4954814272226</v>
      </c>
      <c r="AM11" s="18">
        <f t="shared" si="9"/>
        <v>-24.787732905719842</v>
      </c>
      <c r="AN11" s="18">
        <f t="shared" si="9"/>
        <v>-26.151058215534434</v>
      </c>
    </row>
    <row r="12" spans="1:40" s="1" customFormat="1" x14ac:dyDescent="0.25">
      <c r="A12" s="2" t="s">
        <v>178</v>
      </c>
      <c r="B12" s="8">
        <f>(B8-B7)/S32</f>
        <v>-0.75576036866359442</v>
      </c>
      <c r="C12" s="2" t="s">
        <v>30</v>
      </c>
      <c r="D12" s="2">
        <v>0</v>
      </c>
      <c r="E12" s="2">
        <v>-5</v>
      </c>
      <c r="F12" s="2">
        <v>-4</v>
      </c>
      <c r="G12" s="2">
        <v>-1</v>
      </c>
      <c r="H12" s="2">
        <v>0</v>
      </c>
      <c r="I12" s="2">
        <v>-2</v>
      </c>
      <c r="J12" s="2">
        <v>0</v>
      </c>
      <c r="K12" s="2">
        <v>-1</v>
      </c>
      <c r="L12" s="2">
        <v>-3</v>
      </c>
      <c r="M12" s="2">
        <v>0</v>
      </c>
      <c r="N12" s="2">
        <v>-4</v>
      </c>
      <c r="O12" s="2">
        <v>-2</v>
      </c>
      <c r="P12" s="2">
        <v>0</v>
      </c>
      <c r="Q12" s="2">
        <v>-1</v>
      </c>
      <c r="R12" s="2">
        <v>0</v>
      </c>
      <c r="S12" s="2">
        <v>-1</v>
      </c>
      <c r="T12" s="2">
        <v>-21</v>
      </c>
      <c r="U12" s="2"/>
      <c r="V12" s="2"/>
      <c r="W12" s="2"/>
      <c r="X12" s="17"/>
      <c r="Y12" s="18">
        <v>0</v>
      </c>
      <c r="Z12" s="18">
        <v>-17.3</v>
      </c>
      <c r="AA12" s="18">
        <v>0</v>
      </c>
      <c r="AB12" s="18">
        <v>0</v>
      </c>
      <c r="AC12" s="18">
        <v>0</v>
      </c>
      <c r="AD12" s="18">
        <v>-4</v>
      </c>
      <c r="AE12" s="18">
        <v>-2</v>
      </c>
      <c r="AF12" s="9">
        <f t="shared" si="8"/>
        <v>-2.84</v>
      </c>
      <c r="AG12" s="18">
        <f t="shared" si="9"/>
        <v>-2.9961999999999995</v>
      </c>
      <c r="AH12" s="18">
        <f t="shared" si="9"/>
        <v>-3.1609909999999992</v>
      </c>
      <c r="AI12" s="18">
        <f t="shared" si="9"/>
        <v>-3.3348455049999988</v>
      </c>
      <c r="AJ12" s="18">
        <f t="shared" si="9"/>
        <v>-3.5182620077749984</v>
      </c>
      <c r="AK12" s="18">
        <f t="shared" si="9"/>
        <v>-3.7117664182026231</v>
      </c>
      <c r="AL12" s="18">
        <f t="shared" si="9"/>
        <v>-3.9159135712037672</v>
      </c>
      <c r="AM12" s="18">
        <f t="shared" si="9"/>
        <v>-4.131288817619974</v>
      </c>
      <c r="AN12" s="18">
        <f t="shared" si="9"/>
        <v>-4.358509702589072</v>
      </c>
    </row>
    <row r="13" spans="1:40" x14ac:dyDescent="0.25">
      <c r="C13" s="1" t="s">
        <v>22</v>
      </c>
      <c r="D13" s="1">
        <f t="shared" ref="D13:P13" si="10">SUM(D8:D12)</f>
        <v>50</v>
      </c>
      <c r="E13" s="1">
        <f t="shared" si="10"/>
        <v>105</v>
      </c>
      <c r="F13" s="1">
        <f t="shared" si="10"/>
        <v>87</v>
      </c>
      <c r="G13" s="1">
        <f t="shared" si="10"/>
        <v>68</v>
      </c>
      <c r="H13" s="1">
        <f t="shared" si="10"/>
        <v>67</v>
      </c>
      <c r="I13" s="1">
        <f t="shared" si="10"/>
        <v>143</v>
      </c>
      <c r="J13" s="1">
        <f t="shared" si="10"/>
        <v>102</v>
      </c>
      <c r="K13" s="1">
        <f t="shared" si="10"/>
        <v>74</v>
      </c>
      <c r="L13" s="1">
        <f t="shared" si="10"/>
        <v>57</v>
      </c>
      <c r="M13" s="1">
        <f t="shared" si="10"/>
        <v>158</v>
      </c>
      <c r="N13" s="1">
        <f t="shared" si="10"/>
        <v>80</v>
      </c>
      <c r="O13" s="1">
        <f t="shared" si="10"/>
        <v>63</v>
      </c>
      <c r="P13" s="1">
        <f t="shared" si="10"/>
        <v>74</v>
      </c>
      <c r="Q13" s="1">
        <f t="shared" ref="Q13:R13" si="11">SUM(Q8:Q12)</f>
        <v>178</v>
      </c>
      <c r="R13" s="1">
        <f t="shared" si="11"/>
        <v>104</v>
      </c>
      <c r="S13" s="1">
        <f t="shared" ref="S13" si="12">SUM(S8:S12)</f>
        <v>66</v>
      </c>
      <c r="T13" s="1"/>
      <c r="U13" s="1"/>
      <c r="V13" s="1"/>
      <c r="X13" s="18"/>
      <c r="Y13" s="17">
        <f t="shared" ref="Y13:AD13" si="13">SUM(Y8:Y12)</f>
        <v>83.171000000000035</v>
      </c>
      <c r="Z13" s="17">
        <f t="shared" si="13"/>
        <v>230.46800000000002</v>
      </c>
      <c r="AA13" s="17">
        <f t="shared" si="13"/>
        <v>366</v>
      </c>
      <c r="AB13" s="17">
        <f t="shared" si="13"/>
        <v>310</v>
      </c>
      <c r="AC13" s="17">
        <f t="shared" si="13"/>
        <v>386</v>
      </c>
      <c r="AD13" s="17">
        <f t="shared" si="13"/>
        <v>357</v>
      </c>
      <c r="AE13" s="17">
        <f t="shared" ref="AE13:AN13" si="14">SUM(AE8:AE12)</f>
        <v>422</v>
      </c>
      <c r="AF13" s="19">
        <f t="shared" si="14"/>
        <v>511.96100000000018</v>
      </c>
      <c r="AG13" s="17">
        <f t="shared" si="14"/>
        <v>576.44018000000017</v>
      </c>
      <c r="AH13" s="17">
        <f t="shared" si="14"/>
        <v>647.55268390000083</v>
      </c>
      <c r="AI13" s="17">
        <f t="shared" si="14"/>
        <v>725.92208412950106</v>
      </c>
      <c r="AJ13" s="17">
        <f t="shared" si="14"/>
        <v>812.2277146069988</v>
      </c>
      <c r="AK13" s="17">
        <f t="shared" si="14"/>
        <v>907.20950460166591</v>
      </c>
      <c r="AL13" s="17">
        <f t="shared" si="14"/>
        <v>1011.6732230514546</v>
      </c>
      <c r="AM13" s="17">
        <f t="shared" si="14"/>
        <v>1126.4961676905889</v>
      </c>
      <c r="AN13" s="17">
        <f t="shared" si="14"/>
        <v>1252.6333361846766</v>
      </c>
    </row>
    <row r="14" spans="1:40" x14ac:dyDescent="0.25">
      <c r="C14" s="2" t="s">
        <v>23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  <c r="I14" s="2">
        <v>2</v>
      </c>
      <c r="J14" s="2">
        <v>2</v>
      </c>
      <c r="K14" s="2">
        <v>2</v>
      </c>
      <c r="L14" s="2">
        <v>2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  <c r="R14" s="2">
        <v>1</v>
      </c>
      <c r="S14" s="2">
        <v>1</v>
      </c>
      <c r="X14" s="17"/>
      <c r="Y14" s="18">
        <v>0</v>
      </c>
      <c r="Z14" s="18">
        <v>0</v>
      </c>
      <c r="AA14" s="18">
        <v>0</v>
      </c>
      <c r="AB14" s="18">
        <v>1</v>
      </c>
      <c r="AC14" s="18">
        <v>8</v>
      </c>
      <c r="AD14" s="18">
        <v>4</v>
      </c>
      <c r="AE14" s="18">
        <v>3</v>
      </c>
      <c r="AF14" s="9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</row>
    <row r="15" spans="1:40" x14ac:dyDescent="0.25">
      <c r="C15" s="2" t="s">
        <v>24</v>
      </c>
      <c r="D15" s="2">
        <v>-1</v>
      </c>
      <c r="E15" s="2">
        <v>-2</v>
      </c>
      <c r="F15" s="2">
        <v>-2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  <c r="N15" s="2">
        <v>-1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X15" s="18"/>
      <c r="Y15" s="18">
        <v>-7</v>
      </c>
      <c r="Z15" s="18">
        <v>-12</v>
      </c>
      <c r="AA15" s="18">
        <v>-3</v>
      </c>
      <c r="AB15" s="18">
        <v>-5</v>
      </c>
      <c r="AC15" s="18">
        <v>-4</v>
      </c>
      <c r="AD15" s="18">
        <v>-4</v>
      </c>
      <c r="AE15" s="18">
        <v>-4</v>
      </c>
      <c r="AF15" s="9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</row>
    <row r="16" spans="1:40" x14ac:dyDescent="0.25">
      <c r="C16" s="2" t="s">
        <v>25</v>
      </c>
      <c r="D16" s="2">
        <f t="shared" ref="D16:P16" si="15">SUM(D13:D15)</f>
        <v>49</v>
      </c>
      <c r="E16" s="2">
        <f t="shared" si="15"/>
        <v>103</v>
      </c>
      <c r="F16" s="2">
        <f t="shared" si="15"/>
        <v>85</v>
      </c>
      <c r="G16" s="2">
        <f t="shared" si="15"/>
        <v>68</v>
      </c>
      <c r="H16" s="2">
        <f t="shared" si="15"/>
        <v>67</v>
      </c>
      <c r="I16" s="2">
        <f t="shared" si="15"/>
        <v>144</v>
      </c>
      <c r="J16" s="2">
        <f t="shared" si="15"/>
        <v>103</v>
      </c>
      <c r="K16" s="2">
        <f t="shared" si="15"/>
        <v>75</v>
      </c>
      <c r="L16" s="2">
        <f t="shared" si="15"/>
        <v>58</v>
      </c>
      <c r="M16" s="2">
        <f t="shared" si="15"/>
        <v>158</v>
      </c>
      <c r="N16" s="2">
        <f t="shared" si="15"/>
        <v>79</v>
      </c>
      <c r="O16" s="2">
        <f t="shared" si="15"/>
        <v>63</v>
      </c>
      <c r="P16" s="2">
        <f t="shared" si="15"/>
        <v>73</v>
      </c>
      <c r="Q16" s="2">
        <f t="shared" ref="Q16:R16" si="16">SUM(Q13:Q15)</f>
        <v>178</v>
      </c>
      <c r="R16" s="2">
        <f t="shared" si="16"/>
        <v>104</v>
      </c>
      <c r="S16" s="2">
        <f t="shared" ref="S16" si="17">SUM(S13:S15)</f>
        <v>66</v>
      </c>
      <c r="X16" s="17"/>
      <c r="Y16" s="18">
        <f t="shared" ref="Y16:AD16" si="18">SUM(Y13:Y15)</f>
        <v>76.171000000000035</v>
      </c>
      <c r="Z16" s="18">
        <f t="shared" si="18"/>
        <v>218.46800000000002</v>
      </c>
      <c r="AA16" s="18">
        <f t="shared" si="18"/>
        <v>363</v>
      </c>
      <c r="AB16" s="18">
        <f t="shared" si="18"/>
        <v>306</v>
      </c>
      <c r="AC16" s="18">
        <f t="shared" si="18"/>
        <v>390</v>
      </c>
      <c r="AD16" s="18">
        <f t="shared" si="18"/>
        <v>357</v>
      </c>
      <c r="AE16" s="18">
        <f t="shared" ref="AE16:AN16" si="19">SUM(AE13:AE15)</f>
        <v>421</v>
      </c>
      <c r="AF16" s="9">
        <f t="shared" si="19"/>
        <v>511.96100000000018</v>
      </c>
      <c r="AG16" s="18">
        <f t="shared" si="19"/>
        <v>576.44018000000017</v>
      </c>
      <c r="AH16" s="18">
        <f t="shared" si="19"/>
        <v>647.55268390000083</v>
      </c>
      <c r="AI16" s="18">
        <f t="shared" si="19"/>
        <v>725.92208412950106</v>
      </c>
      <c r="AJ16" s="18">
        <f t="shared" si="19"/>
        <v>812.2277146069988</v>
      </c>
      <c r="AK16" s="18">
        <f t="shared" si="19"/>
        <v>907.20950460166591</v>
      </c>
      <c r="AL16" s="18">
        <f t="shared" si="19"/>
        <v>1011.6732230514546</v>
      </c>
      <c r="AM16" s="18">
        <f t="shared" si="19"/>
        <v>1126.4961676905889</v>
      </c>
      <c r="AN16" s="18">
        <f t="shared" si="19"/>
        <v>1252.6333361846766</v>
      </c>
    </row>
    <row r="17" spans="1:141" x14ac:dyDescent="0.25">
      <c r="C17" s="2" t="s">
        <v>26</v>
      </c>
      <c r="D17" s="2">
        <v>-10</v>
      </c>
      <c r="E17" s="2">
        <v>-21</v>
      </c>
      <c r="F17" s="2">
        <v>-18</v>
      </c>
      <c r="G17" s="2">
        <v>-14</v>
      </c>
      <c r="H17" s="2">
        <v>-14</v>
      </c>
      <c r="I17" s="2">
        <v>-30</v>
      </c>
      <c r="J17" s="2">
        <v>-22</v>
      </c>
      <c r="K17" s="2">
        <v>-15</v>
      </c>
      <c r="L17" s="2">
        <v>-12</v>
      </c>
      <c r="M17" s="2">
        <v>-33</v>
      </c>
      <c r="N17" s="2">
        <v>-17</v>
      </c>
      <c r="O17" s="2">
        <v>-12</v>
      </c>
      <c r="P17" s="2">
        <v>-16</v>
      </c>
      <c r="Q17" s="2">
        <v>-37</v>
      </c>
      <c r="R17" s="2">
        <v>-22</v>
      </c>
      <c r="S17" s="2">
        <v>-13</v>
      </c>
      <c r="X17" s="18"/>
      <c r="Y17" s="18">
        <v>-16.5</v>
      </c>
      <c r="Z17" s="18">
        <v>-46.835000000000001</v>
      </c>
      <c r="AA17" s="18">
        <v>-75</v>
      </c>
      <c r="AB17" s="18">
        <v>-63</v>
      </c>
      <c r="AC17" s="18">
        <v>-81</v>
      </c>
      <c r="AD17" s="18">
        <v>-74</v>
      </c>
      <c r="AE17" s="18">
        <v>-88</v>
      </c>
      <c r="AF17" s="9">
        <f t="shared" ref="AF17:AN17" si="20">AF16*-0.2</f>
        <v>-102.39220000000005</v>
      </c>
      <c r="AG17" s="18">
        <f t="shared" si="20"/>
        <v>-115.28803600000003</v>
      </c>
      <c r="AH17" s="18">
        <f t="shared" si="20"/>
        <v>-129.51053678000017</v>
      </c>
      <c r="AI17" s="18">
        <f t="shared" si="20"/>
        <v>-145.18441682590023</v>
      </c>
      <c r="AJ17" s="18">
        <f t="shared" si="20"/>
        <v>-162.44554292139978</v>
      </c>
      <c r="AK17" s="18">
        <f t="shared" si="20"/>
        <v>-181.44190092033318</v>
      </c>
      <c r="AL17" s="18">
        <f t="shared" si="20"/>
        <v>-202.33464461029092</v>
      </c>
      <c r="AM17" s="18">
        <f t="shared" si="20"/>
        <v>-225.29923353811779</v>
      </c>
      <c r="AN17" s="18">
        <f t="shared" si="20"/>
        <v>-250.52666723693534</v>
      </c>
    </row>
    <row r="18" spans="1:141" x14ac:dyDescent="0.25">
      <c r="A18" s="18"/>
      <c r="C18" s="1" t="s">
        <v>27</v>
      </c>
      <c r="D18" s="1">
        <f t="shared" ref="D18:P18" si="21">SUM(D16:D17)</f>
        <v>39</v>
      </c>
      <c r="E18" s="1">
        <f t="shared" si="21"/>
        <v>82</v>
      </c>
      <c r="F18" s="1">
        <f t="shared" si="21"/>
        <v>67</v>
      </c>
      <c r="G18" s="1">
        <f t="shared" si="21"/>
        <v>54</v>
      </c>
      <c r="H18" s="1">
        <f t="shared" si="21"/>
        <v>53</v>
      </c>
      <c r="I18" s="1">
        <f t="shared" si="21"/>
        <v>114</v>
      </c>
      <c r="J18" s="1">
        <f t="shared" si="21"/>
        <v>81</v>
      </c>
      <c r="K18" s="1">
        <f t="shared" si="21"/>
        <v>60</v>
      </c>
      <c r="L18" s="1">
        <f t="shared" si="21"/>
        <v>46</v>
      </c>
      <c r="M18" s="1">
        <f t="shared" si="21"/>
        <v>125</v>
      </c>
      <c r="N18" s="1">
        <f t="shared" si="21"/>
        <v>62</v>
      </c>
      <c r="O18" s="1">
        <f t="shared" si="21"/>
        <v>51</v>
      </c>
      <c r="P18" s="1">
        <f t="shared" si="21"/>
        <v>57</v>
      </c>
      <c r="Q18" s="1">
        <f t="shared" ref="Q18:R18" si="22">SUM(Q16:Q17)</f>
        <v>141</v>
      </c>
      <c r="R18" s="1">
        <f t="shared" si="22"/>
        <v>82</v>
      </c>
      <c r="S18" s="1">
        <f t="shared" ref="S18" si="23">SUM(S16:S17)</f>
        <v>53</v>
      </c>
      <c r="T18" s="1"/>
      <c r="U18" s="1"/>
      <c r="V18" s="1"/>
      <c r="X18" s="18"/>
      <c r="Y18" s="17">
        <f t="shared" ref="Y18:AD18" si="24">SUM(Y16:Y17)</f>
        <v>59.671000000000035</v>
      </c>
      <c r="Z18" s="17">
        <f t="shared" si="24"/>
        <v>171.63300000000001</v>
      </c>
      <c r="AA18" s="17">
        <f t="shared" si="24"/>
        <v>288</v>
      </c>
      <c r="AB18" s="17">
        <f t="shared" si="24"/>
        <v>243</v>
      </c>
      <c r="AC18" s="17">
        <f t="shared" si="24"/>
        <v>309</v>
      </c>
      <c r="AD18" s="17">
        <f t="shared" si="24"/>
        <v>283</v>
      </c>
      <c r="AE18" s="17">
        <f t="shared" ref="AE18:AN18" si="25">SUM(AE16:AE17)</f>
        <v>333</v>
      </c>
      <c r="AF18" s="19">
        <f t="shared" si="25"/>
        <v>409.56880000000012</v>
      </c>
      <c r="AG18" s="17">
        <f t="shared" si="25"/>
        <v>461.15214400000013</v>
      </c>
      <c r="AH18" s="17">
        <f t="shared" si="25"/>
        <v>518.04214712000066</v>
      </c>
      <c r="AI18" s="17">
        <f t="shared" si="25"/>
        <v>580.7376673036008</v>
      </c>
      <c r="AJ18" s="17">
        <f t="shared" si="25"/>
        <v>649.782171685599</v>
      </c>
      <c r="AK18" s="17">
        <f t="shared" si="25"/>
        <v>725.76760368133273</v>
      </c>
      <c r="AL18" s="17">
        <f t="shared" si="25"/>
        <v>809.33857844116369</v>
      </c>
      <c r="AM18" s="17">
        <f t="shared" si="25"/>
        <v>901.19693415247116</v>
      </c>
      <c r="AN18" s="17">
        <f t="shared" si="25"/>
        <v>1002.1066689477414</v>
      </c>
      <c r="AO18" s="17">
        <f>AN18*(1+$AQ$22)</f>
        <v>992.08560225826398</v>
      </c>
      <c r="AP18" s="17">
        <f t="shared" ref="AP18:DA18" si="26">AO18*(1+$AQ$22)</f>
        <v>982.16474623568138</v>
      </c>
      <c r="AQ18" s="17">
        <f t="shared" si="26"/>
        <v>972.34309877332453</v>
      </c>
      <c r="AR18" s="17">
        <f t="shared" si="26"/>
        <v>962.61966778559122</v>
      </c>
      <c r="AS18" s="17">
        <f t="shared" si="26"/>
        <v>952.99347110773533</v>
      </c>
      <c r="AT18" s="17">
        <f t="shared" si="26"/>
        <v>943.46353639665801</v>
      </c>
      <c r="AU18" s="17">
        <f t="shared" si="26"/>
        <v>934.02890103269146</v>
      </c>
      <c r="AV18" s="17">
        <f t="shared" si="26"/>
        <v>924.68861202236451</v>
      </c>
      <c r="AW18" s="17">
        <f t="shared" si="26"/>
        <v>915.44172590214089</v>
      </c>
      <c r="AX18" s="17">
        <f t="shared" si="26"/>
        <v>906.28730864311945</v>
      </c>
      <c r="AY18" s="17">
        <f t="shared" si="26"/>
        <v>897.22443555668826</v>
      </c>
      <c r="AZ18" s="17">
        <f t="shared" si="26"/>
        <v>888.25219120112138</v>
      </c>
      <c r="BA18" s="17">
        <f t="shared" si="26"/>
        <v>879.36966928911011</v>
      </c>
      <c r="BB18" s="17">
        <f t="shared" si="26"/>
        <v>870.575972596219</v>
      </c>
      <c r="BC18" s="17">
        <f t="shared" si="26"/>
        <v>861.87021287025675</v>
      </c>
      <c r="BD18" s="17">
        <f t="shared" si="26"/>
        <v>853.25151074155417</v>
      </c>
      <c r="BE18" s="17">
        <f t="shared" si="26"/>
        <v>844.71899563413865</v>
      </c>
      <c r="BF18" s="17">
        <f t="shared" si="26"/>
        <v>836.27180567779726</v>
      </c>
      <c r="BG18" s="17">
        <f t="shared" si="26"/>
        <v>827.90908762101924</v>
      </c>
      <c r="BH18" s="17">
        <f t="shared" si="26"/>
        <v>819.62999674480909</v>
      </c>
      <c r="BI18" s="17">
        <f t="shared" si="26"/>
        <v>811.43369677736098</v>
      </c>
      <c r="BJ18" s="17">
        <f t="shared" si="26"/>
        <v>803.31935980958735</v>
      </c>
      <c r="BK18" s="17">
        <f t="shared" si="26"/>
        <v>795.28616621149149</v>
      </c>
      <c r="BL18" s="17">
        <f t="shared" si="26"/>
        <v>787.33330454937652</v>
      </c>
      <c r="BM18" s="17">
        <f t="shared" si="26"/>
        <v>779.4599715038828</v>
      </c>
      <c r="BN18" s="17">
        <f t="shared" si="26"/>
        <v>771.66537178884391</v>
      </c>
      <c r="BO18" s="17">
        <f t="shared" si="26"/>
        <v>763.94871807095547</v>
      </c>
      <c r="BP18" s="17">
        <f t="shared" si="26"/>
        <v>756.30923089024589</v>
      </c>
      <c r="BQ18" s="17">
        <f t="shared" si="26"/>
        <v>748.74613858134342</v>
      </c>
      <c r="BR18" s="17">
        <f t="shared" si="26"/>
        <v>741.25867719553003</v>
      </c>
      <c r="BS18" s="17">
        <f t="shared" si="26"/>
        <v>733.84609042357476</v>
      </c>
      <c r="BT18" s="17">
        <f t="shared" si="26"/>
        <v>726.50762951933905</v>
      </c>
      <c r="BU18" s="17">
        <f t="shared" si="26"/>
        <v>719.24255322414569</v>
      </c>
      <c r="BV18" s="17">
        <f t="shared" si="26"/>
        <v>712.05012769190421</v>
      </c>
      <c r="BW18" s="17">
        <f t="shared" si="26"/>
        <v>704.92962641498514</v>
      </c>
      <c r="BX18" s="17">
        <f t="shared" si="26"/>
        <v>697.88033015083533</v>
      </c>
      <c r="BY18" s="17">
        <f t="shared" si="26"/>
        <v>690.90152684932696</v>
      </c>
      <c r="BZ18" s="17">
        <f t="shared" si="26"/>
        <v>683.99251158083371</v>
      </c>
      <c r="CA18" s="17">
        <f t="shared" si="26"/>
        <v>677.15258646502537</v>
      </c>
      <c r="CB18" s="17">
        <f t="shared" si="26"/>
        <v>670.38106060037512</v>
      </c>
      <c r="CC18" s="17">
        <f t="shared" si="26"/>
        <v>663.67724999437132</v>
      </c>
      <c r="CD18" s="17">
        <f t="shared" si="26"/>
        <v>657.04047749442759</v>
      </c>
      <c r="CE18" s="17">
        <f t="shared" si="26"/>
        <v>650.47007271948326</v>
      </c>
      <c r="CF18" s="17">
        <f t="shared" si="26"/>
        <v>643.9653719922884</v>
      </c>
      <c r="CG18" s="17">
        <f t="shared" si="26"/>
        <v>637.52571827236545</v>
      </c>
      <c r="CH18" s="17">
        <f t="shared" si="26"/>
        <v>631.15046108964179</v>
      </c>
      <c r="CI18" s="17">
        <f t="shared" si="26"/>
        <v>624.83895647874533</v>
      </c>
      <c r="CJ18" s="17">
        <f t="shared" si="26"/>
        <v>618.5905669139579</v>
      </c>
      <c r="CK18" s="17">
        <f t="shared" si="26"/>
        <v>612.40466124481827</v>
      </c>
      <c r="CL18" s="17">
        <f t="shared" si="26"/>
        <v>606.28061463237009</v>
      </c>
      <c r="CM18" s="17">
        <f t="shared" si="26"/>
        <v>600.21780848604635</v>
      </c>
      <c r="CN18" s="17">
        <f t="shared" si="26"/>
        <v>594.21563040118588</v>
      </c>
      <c r="CO18" s="17">
        <f t="shared" si="26"/>
        <v>588.27347409717402</v>
      </c>
      <c r="CP18" s="17">
        <f t="shared" si="26"/>
        <v>582.39073935620229</v>
      </c>
      <c r="CQ18" s="17">
        <f t="shared" si="26"/>
        <v>576.56683196264021</v>
      </c>
      <c r="CR18" s="17">
        <f t="shared" si="26"/>
        <v>570.80116364301375</v>
      </c>
      <c r="CS18" s="17">
        <f t="shared" si="26"/>
        <v>565.09315200658364</v>
      </c>
      <c r="CT18" s="17">
        <f t="shared" si="26"/>
        <v>559.44222048651784</v>
      </c>
      <c r="CU18" s="17">
        <f t="shared" si="26"/>
        <v>553.84779828165267</v>
      </c>
      <c r="CV18" s="17">
        <f t="shared" si="26"/>
        <v>548.30932029883616</v>
      </c>
      <c r="CW18" s="17">
        <f t="shared" si="26"/>
        <v>542.8262270958478</v>
      </c>
      <c r="CX18" s="17">
        <f t="shared" si="26"/>
        <v>537.3979648248893</v>
      </c>
      <c r="CY18" s="17">
        <f t="shared" si="26"/>
        <v>532.02398517664039</v>
      </c>
      <c r="CZ18" s="17">
        <f t="shared" si="26"/>
        <v>526.70374532487403</v>
      </c>
      <c r="DA18" s="17">
        <f t="shared" si="26"/>
        <v>521.43670787162534</v>
      </c>
      <c r="DB18" s="17">
        <f t="shared" ref="DB18:EK18" si="27">DA18*(1+$AQ$22)</f>
        <v>516.22234079290911</v>
      </c>
      <c r="DC18" s="17">
        <f t="shared" si="27"/>
        <v>511.06011738498</v>
      </c>
      <c r="DD18" s="17">
        <f t="shared" si="27"/>
        <v>505.94951621113017</v>
      </c>
      <c r="DE18" s="17">
        <f t="shared" si="27"/>
        <v>500.89002104901886</v>
      </c>
      <c r="DF18" s="17">
        <f t="shared" si="27"/>
        <v>495.88112083852866</v>
      </c>
      <c r="DG18" s="17">
        <f t="shared" si="27"/>
        <v>490.92230963014339</v>
      </c>
      <c r="DH18" s="17">
        <f t="shared" si="27"/>
        <v>486.01308653384194</v>
      </c>
      <c r="DI18" s="17">
        <f t="shared" si="27"/>
        <v>481.15295566850352</v>
      </c>
      <c r="DJ18" s="17">
        <f t="shared" si="27"/>
        <v>476.34142611181846</v>
      </c>
      <c r="DK18" s="17">
        <f t="shared" si="27"/>
        <v>471.57801185070025</v>
      </c>
      <c r="DL18" s="17">
        <f t="shared" si="27"/>
        <v>466.86223173219327</v>
      </c>
      <c r="DM18" s="17">
        <f t="shared" si="27"/>
        <v>462.19360941487133</v>
      </c>
      <c r="DN18" s="17">
        <f t="shared" si="27"/>
        <v>457.5716733207226</v>
      </c>
      <c r="DO18" s="17">
        <f t="shared" si="27"/>
        <v>452.99595658751537</v>
      </c>
      <c r="DP18" s="17">
        <f t="shared" si="27"/>
        <v>448.46599702164019</v>
      </c>
      <c r="DQ18" s="17">
        <f t="shared" si="27"/>
        <v>443.98133705142379</v>
      </c>
      <c r="DR18" s="17">
        <f t="shared" si="27"/>
        <v>439.54152368090956</v>
      </c>
      <c r="DS18" s="17">
        <f t="shared" si="27"/>
        <v>435.14610844410049</v>
      </c>
      <c r="DT18" s="17">
        <f t="shared" si="27"/>
        <v>430.79464735965951</v>
      </c>
      <c r="DU18" s="17">
        <f t="shared" si="27"/>
        <v>426.48670088606292</v>
      </c>
      <c r="DV18" s="17">
        <f t="shared" si="27"/>
        <v>422.2218338772023</v>
      </c>
      <c r="DW18" s="17">
        <f t="shared" si="27"/>
        <v>417.99961553843025</v>
      </c>
      <c r="DX18" s="17">
        <f t="shared" si="27"/>
        <v>413.81961938304596</v>
      </c>
      <c r="DY18" s="17">
        <f t="shared" si="27"/>
        <v>409.68142318921548</v>
      </c>
      <c r="DZ18" s="17">
        <f t="shared" si="27"/>
        <v>405.58460895732333</v>
      </c>
      <c r="EA18" s="17">
        <f t="shared" si="27"/>
        <v>401.52876286775006</v>
      </c>
      <c r="EB18" s="17">
        <f t="shared" si="27"/>
        <v>397.51347523907253</v>
      </c>
      <c r="EC18" s="17">
        <f t="shared" si="27"/>
        <v>393.53834048668182</v>
      </c>
      <c r="ED18" s="17">
        <f t="shared" si="27"/>
        <v>389.60295708181502</v>
      </c>
      <c r="EE18" s="17">
        <f t="shared" si="27"/>
        <v>385.70692751099688</v>
      </c>
      <c r="EF18" s="17">
        <f t="shared" si="27"/>
        <v>381.84985823588693</v>
      </c>
      <c r="EG18" s="17">
        <f t="shared" si="27"/>
        <v>378.03135965352806</v>
      </c>
      <c r="EH18" s="17">
        <f t="shared" si="27"/>
        <v>374.25104605699278</v>
      </c>
      <c r="EI18" s="17">
        <f t="shared" si="27"/>
        <v>370.50853559642286</v>
      </c>
      <c r="EJ18" s="17">
        <f t="shared" si="27"/>
        <v>366.80345024045863</v>
      </c>
      <c r="EK18" s="17">
        <f t="shared" si="27"/>
        <v>363.13541573805406</v>
      </c>
    </row>
    <row r="19" spans="1:141" x14ac:dyDescent="0.25">
      <c r="C19" s="2" t="s">
        <v>28</v>
      </c>
      <c r="D19" s="14">
        <v>111.065657</v>
      </c>
      <c r="E19" s="14">
        <v>111.065657</v>
      </c>
      <c r="F19" s="14">
        <v>111.065657</v>
      </c>
      <c r="G19" s="14">
        <v>111.065657</v>
      </c>
      <c r="H19" s="14">
        <v>111.065657</v>
      </c>
      <c r="I19" s="14">
        <v>111.065657</v>
      </c>
      <c r="J19" s="14">
        <v>111.065657</v>
      </c>
      <c r="K19" s="14">
        <v>111.065657</v>
      </c>
      <c r="L19" s="14">
        <v>111.065657</v>
      </c>
      <c r="M19" s="14">
        <v>111.065657</v>
      </c>
      <c r="N19" s="14">
        <v>105.75545</v>
      </c>
      <c r="O19" s="14">
        <v>105.75545</v>
      </c>
      <c r="P19" s="14">
        <v>105.75545</v>
      </c>
      <c r="Q19" s="14">
        <v>105.75545</v>
      </c>
      <c r="R19" s="14">
        <v>105.75545</v>
      </c>
      <c r="S19" s="14">
        <v>105.75545</v>
      </c>
      <c r="Y19" s="14">
        <v>107.767</v>
      </c>
      <c r="Z19" s="14">
        <v>107.767</v>
      </c>
      <c r="AA19" s="14">
        <v>112.91891800000001</v>
      </c>
      <c r="AB19" s="14">
        <v>112.91891800000001</v>
      </c>
      <c r="AC19" s="14">
        <v>112.91891800000001</v>
      </c>
      <c r="AD19" s="14">
        <v>111.065657</v>
      </c>
      <c r="AE19" s="14">
        <v>105.75545</v>
      </c>
      <c r="AF19" s="12">
        <v>105.75545</v>
      </c>
      <c r="AG19" s="14">
        <v>105.75545</v>
      </c>
      <c r="AH19" s="14">
        <v>105.75545</v>
      </c>
      <c r="AI19" s="14">
        <v>105.75545</v>
      </c>
      <c r="AJ19" s="14">
        <v>105.75545</v>
      </c>
      <c r="AK19" s="14">
        <v>105.75545</v>
      </c>
      <c r="AL19" s="14">
        <v>105.75545</v>
      </c>
      <c r="AM19" s="14">
        <v>105.75545</v>
      </c>
      <c r="AN19" s="14">
        <v>105.75545</v>
      </c>
    </row>
    <row r="20" spans="1:141" x14ac:dyDescent="0.25">
      <c r="C20" s="2" t="s">
        <v>29</v>
      </c>
      <c r="D20" s="13">
        <f t="shared" ref="D20:P20" si="28">D18/D19</f>
        <v>0.35114364830165279</v>
      </c>
      <c r="E20" s="13">
        <f t="shared" si="28"/>
        <v>0.73830202976244941</v>
      </c>
      <c r="F20" s="13">
        <f t="shared" si="28"/>
        <v>0.60324678041565993</v>
      </c>
      <c r="G20" s="13">
        <f t="shared" si="28"/>
        <v>0.48619889764844232</v>
      </c>
      <c r="H20" s="13">
        <f t="shared" si="28"/>
        <v>0.47719521435865631</v>
      </c>
      <c r="I20" s="13">
        <f t="shared" si="28"/>
        <v>1.0264198950356005</v>
      </c>
      <c r="J20" s="13">
        <f t="shared" si="28"/>
        <v>0.72929834647266345</v>
      </c>
      <c r="K20" s="13">
        <f t="shared" si="28"/>
        <v>0.54022099738715812</v>
      </c>
      <c r="L20" s="13">
        <f t="shared" si="28"/>
        <v>0.41416943133015455</v>
      </c>
      <c r="M20" s="13">
        <f t="shared" si="28"/>
        <v>1.125460411223246</v>
      </c>
      <c r="N20" s="13">
        <f t="shared" si="28"/>
        <v>0.58625820229595738</v>
      </c>
      <c r="O20" s="13">
        <f t="shared" si="28"/>
        <v>0.48224465027570684</v>
      </c>
      <c r="P20" s="13">
        <f t="shared" si="28"/>
        <v>0.5389793150140253</v>
      </c>
      <c r="Q20" s="13">
        <f t="shared" ref="Q20:R20" si="29">Q18/Q19</f>
        <v>1.3332646213504837</v>
      </c>
      <c r="R20" s="13">
        <f t="shared" si="29"/>
        <v>0.77537375142368548</v>
      </c>
      <c r="S20" s="13">
        <f t="shared" ref="S20" si="30">S18/S19</f>
        <v>0.5011562051884797</v>
      </c>
      <c r="Y20" s="13">
        <f t="shared" ref="Y20:AD20" si="31">Y18/Y19</f>
        <v>0.55370382399064688</v>
      </c>
      <c r="Z20" s="13">
        <f t="shared" si="31"/>
        <v>1.5926303970603248</v>
      </c>
      <c r="AA20" s="13">
        <f t="shared" si="31"/>
        <v>2.5505026535943252</v>
      </c>
      <c r="AB20" s="13">
        <f t="shared" si="31"/>
        <v>2.1519866139702115</v>
      </c>
      <c r="AC20" s="13">
        <f t="shared" si="31"/>
        <v>2.7364768054189113</v>
      </c>
      <c r="AD20" s="13">
        <f t="shared" si="31"/>
        <v>2.5480423710094291</v>
      </c>
      <c r="AE20" s="13">
        <f t="shared" ref="AE20:AN20" si="32">AE18/AE19</f>
        <v>3.1487738929766742</v>
      </c>
      <c r="AF20" s="8">
        <f t="shared" si="32"/>
        <v>3.8727914258792349</v>
      </c>
      <c r="AG20" s="13">
        <f t="shared" si="32"/>
        <v>4.3605520471994605</v>
      </c>
      <c r="AH20" s="13">
        <f t="shared" si="32"/>
        <v>4.8984912561953138</v>
      </c>
      <c r="AI20" s="13">
        <f t="shared" si="32"/>
        <v>5.4913261425638193</v>
      </c>
      <c r="AJ20" s="13">
        <f t="shared" si="32"/>
        <v>6.1441956105864897</v>
      </c>
      <c r="AK20" s="13">
        <f t="shared" si="32"/>
        <v>6.8626969454655313</v>
      </c>
      <c r="AL20" s="13">
        <f t="shared" si="32"/>
        <v>7.6529254846077786</v>
      </c>
      <c r="AM20" s="13">
        <f t="shared" si="32"/>
        <v>8.5215176537234836</v>
      </c>
      <c r="AN20" s="13">
        <f t="shared" si="32"/>
        <v>9.4756976491305309</v>
      </c>
    </row>
    <row r="21" spans="1:141" x14ac:dyDescent="0.25">
      <c r="AP21" s="2" t="s">
        <v>111</v>
      </c>
      <c r="AQ21" s="23">
        <v>0.08</v>
      </c>
    </row>
    <row r="22" spans="1:141" x14ac:dyDescent="0.25">
      <c r="C22" s="1" t="s">
        <v>5</v>
      </c>
      <c r="D22" s="16"/>
      <c r="E22" s="16"/>
      <c r="F22" s="16"/>
      <c r="G22" s="16"/>
      <c r="H22" s="16">
        <f t="shared" ref="H22:O22" si="33">(H6-D6)/D6</f>
        <v>0.19163763066202091</v>
      </c>
      <c r="I22" s="16">
        <f t="shared" si="33"/>
        <v>0.20432220039292731</v>
      </c>
      <c r="J22" s="16">
        <f t="shared" si="33"/>
        <v>0.16908212560386474</v>
      </c>
      <c r="K22" s="16">
        <f t="shared" si="33"/>
        <v>0.12430939226519337</v>
      </c>
      <c r="L22" s="16">
        <f t="shared" si="33"/>
        <v>2.3391812865497075E-2</v>
      </c>
      <c r="M22" s="16">
        <f t="shared" si="33"/>
        <v>0.12398042414355628</v>
      </c>
      <c r="N22" s="16">
        <f t="shared" si="33"/>
        <v>4.1322314049586778E-3</v>
      </c>
      <c r="O22" s="16">
        <f t="shared" si="33"/>
        <v>-4.9140049140049139E-3</v>
      </c>
      <c r="P22" s="16">
        <f>(P6-L6)/L6</f>
        <v>0.12</v>
      </c>
      <c r="Q22" s="16">
        <f t="shared" ref="Q22:S22" si="34">(Q6-M6)/M6</f>
        <v>5.3701015965166909E-2</v>
      </c>
      <c r="R22" s="16">
        <f t="shared" si="34"/>
        <v>2.05761316872428E-3</v>
      </c>
      <c r="S22" s="16">
        <f t="shared" si="34"/>
        <v>2.2222222222222223E-2</v>
      </c>
      <c r="T22" s="16"/>
      <c r="U22" s="16"/>
      <c r="V22" s="16"/>
      <c r="X22" s="16"/>
      <c r="Y22" s="16"/>
      <c r="Z22" s="16">
        <f t="shared" ref="Z22:AA22" si="35">(Z6-Y6)/Y6</f>
        <v>1.3554026120818463</v>
      </c>
      <c r="AA22" s="16">
        <f t="shared" si="35"/>
        <v>0.48564479284786927</v>
      </c>
      <c r="AB22" s="16">
        <f t="shared" ref="AB22:AC22" si="36">(AB6-AA6)/AA6</f>
        <v>0.15191740412979352</v>
      </c>
      <c r="AC22" s="16">
        <f t="shared" si="36"/>
        <v>0.17925736235595391</v>
      </c>
      <c r="AD22" s="16">
        <f>(AD6-AC6)/AC6</f>
        <v>4.5059717698154179E-2</v>
      </c>
      <c r="AE22" s="16">
        <f t="shared" ref="AE22:AN22" si="37">(AE6-AD6)/AD6</f>
        <v>4.8831168831168829E-2</v>
      </c>
      <c r="AF22" s="20">
        <f t="shared" si="37"/>
        <v>0.37000000000000011</v>
      </c>
      <c r="AG22" s="16">
        <f t="shared" si="37"/>
        <v>8.0000000000000016E-2</v>
      </c>
      <c r="AH22" s="16">
        <f t="shared" si="37"/>
        <v>8.0000000000000043E-2</v>
      </c>
      <c r="AI22" s="16">
        <f t="shared" si="37"/>
        <v>8.0000000000000085E-2</v>
      </c>
      <c r="AJ22" s="16">
        <f t="shared" si="37"/>
        <v>8.0000000000000127E-2</v>
      </c>
      <c r="AK22" s="16">
        <f t="shared" si="37"/>
        <v>8.0000000000000127E-2</v>
      </c>
      <c r="AL22" s="16">
        <f t="shared" si="37"/>
        <v>8.0000000000000071E-2</v>
      </c>
      <c r="AM22" s="16">
        <f t="shared" si="37"/>
        <v>8.0000000000000016E-2</v>
      </c>
      <c r="AN22" s="16">
        <f t="shared" si="37"/>
        <v>8.0000000000000113E-2</v>
      </c>
      <c r="AP22" s="2" t="s">
        <v>110</v>
      </c>
      <c r="AQ22" s="23">
        <v>-0.01</v>
      </c>
    </row>
    <row r="23" spans="1:141" x14ac:dyDescent="0.25">
      <c r="C23" s="15" t="s">
        <v>169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21"/>
      <c r="AG23" s="15"/>
      <c r="AH23" s="15"/>
      <c r="AI23" s="15"/>
      <c r="AJ23" s="15"/>
      <c r="AK23" s="15"/>
      <c r="AL23" s="15"/>
      <c r="AM23" s="15"/>
      <c r="AN23" s="15"/>
      <c r="AP23" s="22" t="s">
        <v>112</v>
      </c>
      <c r="AQ23" s="24">
        <f>NPV(AQ21,AE18:EK18)</f>
        <v>9091.8540513312437</v>
      </c>
    </row>
    <row r="24" spans="1:141" x14ac:dyDescent="0.25">
      <c r="A24" s="40"/>
      <c r="B24" s="39"/>
      <c r="C24" s="15" t="s">
        <v>170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21"/>
      <c r="AG24" s="15"/>
      <c r="AH24" s="15"/>
      <c r="AI24" s="15"/>
      <c r="AJ24" s="15"/>
      <c r="AK24" s="15"/>
      <c r="AL24" s="15"/>
      <c r="AM24" s="15"/>
      <c r="AN24" s="15"/>
      <c r="AP24" s="2" t="s">
        <v>2</v>
      </c>
      <c r="AQ24" s="14">
        <v>105.75545</v>
      </c>
    </row>
    <row r="25" spans="1:141" x14ac:dyDescent="0.25">
      <c r="A25" s="40"/>
      <c r="B25" s="39"/>
      <c r="C25" s="1" t="s">
        <v>121</v>
      </c>
      <c r="D25" s="16"/>
      <c r="E25" s="16">
        <v>0.3</v>
      </c>
      <c r="F25" s="16">
        <v>0.13</v>
      </c>
      <c r="G25" s="16">
        <v>0.14000000000000001</v>
      </c>
      <c r="H25" s="16">
        <v>0.24</v>
      </c>
      <c r="I25" s="16">
        <v>0.21</v>
      </c>
      <c r="J25" s="16">
        <v>0.16</v>
      </c>
      <c r="K25" s="16">
        <v>0.13</v>
      </c>
      <c r="L25" s="16">
        <v>0.05</v>
      </c>
      <c r="M25" s="16">
        <v>0.11</v>
      </c>
      <c r="N25" s="16">
        <v>0.02</v>
      </c>
      <c r="O25" s="16">
        <v>0.04</v>
      </c>
      <c r="P25" s="16">
        <v>0.15</v>
      </c>
      <c r="Q25" s="16">
        <v>0.11</v>
      </c>
      <c r="R25" s="16">
        <v>0.05</v>
      </c>
      <c r="S25" s="16">
        <v>0.03</v>
      </c>
      <c r="T25" s="16"/>
      <c r="U25" s="16"/>
      <c r="V25" s="16"/>
      <c r="X25" s="16"/>
      <c r="Y25" s="16"/>
      <c r="Z25" s="16"/>
      <c r="AA25" s="16"/>
      <c r="AB25" s="16"/>
      <c r="AC25" s="16"/>
      <c r="AD25" s="16">
        <v>0.06</v>
      </c>
      <c r="AE25" s="16">
        <v>0.08</v>
      </c>
      <c r="AF25" s="20"/>
      <c r="AG25" s="16"/>
      <c r="AH25" s="16"/>
      <c r="AI25" s="16"/>
      <c r="AJ25" s="16"/>
      <c r="AK25" s="16"/>
      <c r="AL25" s="16"/>
      <c r="AM25" s="16"/>
      <c r="AN25" s="16"/>
      <c r="AP25" s="2" t="s">
        <v>113</v>
      </c>
      <c r="AQ25" s="13">
        <f>AQ23/AQ24</f>
        <v>85.97054857533341</v>
      </c>
    </row>
    <row r="26" spans="1:141" s="40" customFormat="1" x14ac:dyDescent="0.25">
      <c r="A26" s="2"/>
      <c r="B26" s="3"/>
      <c r="C26" s="2" t="s">
        <v>8</v>
      </c>
      <c r="D26" s="15">
        <f t="shared" ref="D26:S26" si="38">D8/D6</f>
        <v>0.72473867595818819</v>
      </c>
      <c r="E26" s="15">
        <f t="shared" si="38"/>
        <v>0.70726915520628686</v>
      </c>
      <c r="F26" s="15">
        <f t="shared" si="38"/>
        <v>0.72705314009661837</v>
      </c>
      <c r="G26" s="15">
        <f t="shared" si="38"/>
        <v>0.7458563535911602</v>
      </c>
      <c r="H26" s="15">
        <f t="shared" si="38"/>
        <v>0.72222222222222221</v>
      </c>
      <c r="I26" s="15">
        <f t="shared" si="38"/>
        <v>0.70146818923327892</v>
      </c>
      <c r="J26" s="15">
        <f t="shared" si="38"/>
        <v>0.71900826446280997</v>
      </c>
      <c r="K26" s="15">
        <f t="shared" si="38"/>
        <v>0.71990171990171992</v>
      </c>
      <c r="L26" s="15">
        <f t="shared" si="38"/>
        <v>0.7</v>
      </c>
      <c r="M26" s="15">
        <f t="shared" si="38"/>
        <v>0.7053701015965167</v>
      </c>
      <c r="N26" s="15">
        <f t="shared" si="38"/>
        <v>0.69341563786008231</v>
      </c>
      <c r="O26" s="15">
        <f t="shared" si="38"/>
        <v>0.6938271604938272</v>
      </c>
      <c r="P26" s="15">
        <f t="shared" si="38"/>
        <v>0.6964285714285714</v>
      </c>
      <c r="Q26" s="15">
        <f t="shared" si="38"/>
        <v>0.69834710743801653</v>
      </c>
      <c r="R26" s="15">
        <f t="shared" si="38"/>
        <v>0.71047227926078027</v>
      </c>
      <c r="S26" s="15">
        <f t="shared" si="38"/>
        <v>0.72222222222222221</v>
      </c>
      <c r="T26" s="15"/>
      <c r="U26" s="15"/>
      <c r="V26" s="15"/>
      <c r="W26" s="2"/>
      <c r="X26" s="15"/>
      <c r="Y26" s="15">
        <f t="shared" ref="Y26:AN26" si="39">Y8/Y6</f>
        <v>0.70137313648527644</v>
      </c>
      <c r="Z26" s="15">
        <f t="shared" si="39"/>
        <v>0.72740828389401091</v>
      </c>
      <c r="AA26" s="15">
        <f t="shared" si="39"/>
        <v>0.72787610619469023</v>
      </c>
      <c r="AB26" s="15">
        <f t="shared" si="39"/>
        <v>0.72215108834827146</v>
      </c>
      <c r="AC26" s="15">
        <f t="shared" si="39"/>
        <v>0.71335504885993484</v>
      </c>
      <c r="AD26" s="15">
        <f t="shared" si="39"/>
        <v>0.69818181818181824</v>
      </c>
      <c r="AE26" s="15">
        <f t="shared" si="39"/>
        <v>0.70579494799405651</v>
      </c>
      <c r="AF26" s="21">
        <f t="shared" si="39"/>
        <v>0.7</v>
      </c>
      <c r="AG26" s="15">
        <f t="shared" si="39"/>
        <v>0.7</v>
      </c>
      <c r="AH26" s="15">
        <f t="shared" si="39"/>
        <v>0.70000000000000007</v>
      </c>
      <c r="AI26" s="15">
        <f t="shared" si="39"/>
        <v>0.7</v>
      </c>
      <c r="AJ26" s="15">
        <f t="shared" si="39"/>
        <v>0.7</v>
      </c>
      <c r="AK26" s="15">
        <f t="shared" si="39"/>
        <v>0.70000000000000007</v>
      </c>
      <c r="AL26" s="15">
        <f t="shared" si="39"/>
        <v>0.7</v>
      </c>
      <c r="AM26" s="15">
        <f t="shared" si="39"/>
        <v>0.7</v>
      </c>
      <c r="AN26" s="15">
        <f t="shared" si="39"/>
        <v>0.7</v>
      </c>
      <c r="AP26" s="41" t="s">
        <v>114</v>
      </c>
      <c r="AQ26" s="41">
        <f>(AQ25-B4)/B4</f>
        <v>0.75450099133333492</v>
      </c>
    </row>
    <row r="27" spans="1:141" s="40" customFormat="1" x14ac:dyDescent="0.25">
      <c r="A27" s="45"/>
      <c r="B27" s="46"/>
      <c r="C27" s="2" t="s">
        <v>6</v>
      </c>
      <c r="D27" s="15">
        <f t="shared" ref="D27:S27" si="40">D13/D6</f>
        <v>0.17421602787456447</v>
      </c>
      <c r="E27" s="15">
        <f t="shared" si="40"/>
        <v>0.206286836935167</v>
      </c>
      <c r="F27" s="15">
        <f t="shared" si="40"/>
        <v>0.21014492753623187</v>
      </c>
      <c r="G27" s="15">
        <f t="shared" si="40"/>
        <v>0.18784530386740331</v>
      </c>
      <c r="H27" s="15">
        <f t="shared" si="40"/>
        <v>0.195906432748538</v>
      </c>
      <c r="I27" s="15">
        <f t="shared" si="40"/>
        <v>0.23327895595432299</v>
      </c>
      <c r="J27" s="15">
        <f t="shared" si="40"/>
        <v>0.21074380165289255</v>
      </c>
      <c r="K27" s="15">
        <f t="shared" si="40"/>
        <v>0.18181818181818182</v>
      </c>
      <c r="L27" s="15">
        <f t="shared" si="40"/>
        <v>0.16285714285714287</v>
      </c>
      <c r="M27" s="15">
        <f t="shared" si="40"/>
        <v>0.22931785195936139</v>
      </c>
      <c r="N27" s="15">
        <f t="shared" si="40"/>
        <v>0.16460905349794239</v>
      </c>
      <c r="O27" s="15">
        <f t="shared" si="40"/>
        <v>0.15555555555555556</v>
      </c>
      <c r="P27" s="15">
        <f t="shared" si="40"/>
        <v>0.18877551020408162</v>
      </c>
      <c r="Q27" s="15">
        <f t="shared" si="40"/>
        <v>0.24517906336088155</v>
      </c>
      <c r="R27" s="15">
        <f t="shared" si="40"/>
        <v>0.2135523613963039</v>
      </c>
      <c r="S27" s="15">
        <f t="shared" si="40"/>
        <v>0.15942028985507245</v>
      </c>
      <c r="T27" s="15"/>
      <c r="U27" s="15"/>
      <c r="V27" s="15"/>
      <c r="W27" s="2"/>
      <c r="X27" s="15"/>
      <c r="Y27" s="15">
        <f t="shared" ref="Y27:AN27" si="41">Y13/Y6</f>
        <v>0.2146309615052116</v>
      </c>
      <c r="Z27" s="15">
        <f t="shared" si="41"/>
        <v>0.25250264315491355</v>
      </c>
      <c r="AA27" s="15">
        <f t="shared" si="41"/>
        <v>0.26991150442477874</v>
      </c>
      <c r="AB27" s="15">
        <f t="shared" si="41"/>
        <v>0.19846350832266324</v>
      </c>
      <c r="AC27" s="15">
        <f t="shared" si="41"/>
        <v>0.20955483170466885</v>
      </c>
      <c r="AD27" s="15">
        <f t="shared" si="41"/>
        <v>0.18545454545454546</v>
      </c>
      <c r="AE27" s="15">
        <f t="shared" si="41"/>
        <v>0.20901436354631006</v>
      </c>
      <c r="AF27" s="21">
        <f t="shared" si="41"/>
        <v>0.18508873728773736</v>
      </c>
      <c r="AG27" s="15">
        <f t="shared" si="41"/>
        <v>0.1929628049614095</v>
      </c>
      <c r="AH27" s="15">
        <f t="shared" si="41"/>
        <v>0.20071078552947011</v>
      </c>
      <c r="AI27" s="15">
        <f t="shared" si="41"/>
        <v>0.20833481735576037</v>
      </c>
      <c r="AJ27" s="15">
        <f t="shared" si="41"/>
        <v>0.21583700014272511</v>
      </c>
      <c r="AK27" s="15">
        <f t="shared" si="41"/>
        <v>0.22321939567582741</v>
      </c>
      <c r="AL27" s="15">
        <f t="shared" si="41"/>
        <v>0.23048402855282221</v>
      </c>
      <c r="AM27" s="15">
        <f t="shared" si="41"/>
        <v>0.23763288689821174</v>
      </c>
      <c r="AN27" s="15">
        <f t="shared" si="41"/>
        <v>0.2446679230631929</v>
      </c>
      <c r="AP27" s="41"/>
      <c r="AQ27" s="41"/>
    </row>
    <row r="28" spans="1:141" x14ac:dyDescent="0.25">
      <c r="C28" s="40" t="s">
        <v>9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>
        <f t="shared" ref="Y28:AE28" si="42">Y18/Y61</f>
        <v>9.5158435262410954E-2</v>
      </c>
      <c r="Z28" s="40">
        <f t="shared" si="42"/>
        <v>0.22598156682027651</v>
      </c>
      <c r="AA28" s="40">
        <f t="shared" si="42"/>
        <v>0.29553617239610058</v>
      </c>
      <c r="AB28" s="40">
        <f t="shared" si="42"/>
        <v>0.21353251318101935</v>
      </c>
      <c r="AC28" s="40">
        <f t="shared" si="42"/>
        <v>0.24680511182108625</v>
      </c>
      <c r="AD28" s="40">
        <f t="shared" si="42"/>
        <v>0.2319672131147541</v>
      </c>
      <c r="AE28" s="40">
        <f t="shared" si="42"/>
        <v>0.26199842643587729</v>
      </c>
      <c r="AF28" s="39"/>
      <c r="AG28" s="40"/>
      <c r="AH28" s="40"/>
      <c r="AI28" s="40"/>
      <c r="AJ28" s="40"/>
      <c r="AK28" s="40"/>
      <c r="AL28" s="40"/>
      <c r="AM28" s="40"/>
      <c r="AN28" s="40"/>
      <c r="AP28" s="1"/>
      <c r="AQ28" s="1"/>
    </row>
    <row r="29" spans="1:141" s="45" customFormat="1" x14ac:dyDescent="0.25">
      <c r="A29" s="2"/>
      <c r="B29" s="3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39"/>
      <c r="AG29" s="40"/>
      <c r="AH29" s="40"/>
      <c r="AI29" s="40"/>
      <c r="AJ29" s="40"/>
      <c r="AK29" s="40"/>
      <c r="AL29" s="40"/>
      <c r="AM29" s="40"/>
      <c r="AN29" s="40"/>
      <c r="AP29" s="47"/>
      <c r="AQ29" s="47"/>
    </row>
    <row r="30" spans="1:141" x14ac:dyDescent="0.25">
      <c r="A30" s="18"/>
      <c r="B30" s="9"/>
      <c r="C30" s="2" t="s">
        <v>164</v>
      </c>
      <c r="D30" s="2">
        <f t="shared" ref="D30:S30" si="43">D13-D11</f>
        <v>51</v>
      </c>
      <c r="E30" s="2">
        <f t="shared" si="43"/>
        <v>107</v>
      </c>
      <c r="F30" s="2">
        <f t="shared" si="43"/>
        <v>89</v>
      </c>
      <c r="G30" s="2">
        <f t="shared" si="43"/>
        <v>70</v>
      </c>
      <c r="H30" s="2">
        <f t="shared" si="43"/>
        <v>69</v>
      </c>
      <c r="I30" s="2">
        <f t="shared" si="43"/>
        <v>145</v>
      </c>
      <c r="J30" s="2">
        <f t="shared" si="43"/>
        <v>104</v>
      </c>
      <c r="K30" s="2">
        <f t="shared" si="43"/>
        <v>76</v>
      </c>
      <c r="L30" s="2">
        <f t="shared" si="43"/>
        <v>59</v>
      </c>
      <c r="M30" s="2">
        <f t="shared" si="43"/>
        <v>160</v>
      </c>
      <c r="N30" s="2">
        <f t="shared" si="43"/>
        <v>82</v>
      </c>
      <c r="O30" s="2">
        <f t="shared" si="43"/>
        <v>65</v>
      </c>
      <c r="P30" s="2">
        <f t="shared" si="43"/>
        <v>77</v>
      </c>
      <c r="Q30" s="2">
        <f t="shared" si="43"/>
        <v>181</v>
      </c>
      <c r="R30" s="2">
        <f t="shared" si="43"/>
        <v>107</v>
      </c>
      <c r="S30" s="2">
        <f t="shared" si="43"/>
        <v>69</v>
      </c>
      <c r="Y30" s="18">
        <f t="shared" ref="Y30:AN30" si="44">Y13-Y11</f>
        <v>85.153000000000034</v>
      </c>
      <c r="Z30" s="18">
        <f t="shared" si="44"/>
        <v>234.33900000000003</v>
      </c>
      <c r="AA30" s="18">
        <f t="shared" si="44"/>
        <v>371</v>
      </c>
      <c r="AB30" s="18">
        <f t="shared" si="44"/>
        <v>317</v>
      </c>
      <c r="AC30" s="18">
        <f t="shared" si="44"/>
        <v>395</v>
      </c>
      <c r="AD30" s="18">
        <f t="shared" si="44"/>
        <v>366</v>
      </c>
      <c r="AE30" s="18">
        <f t="shared" si="44"/>
        <v>434</v>
      </c>
      <c r="AF30" s="9">
        <f t="shared" si="44"/>
        <v>529.0010000000002</v>
      </c>
      <c r="AG30" s="18">
        <f t="shared" si="44"/>
        <v>594.41738000000021</v>
      </c>
      <c r="AH30" s="18">
        <f t="shared" si="44"/>
        <v>666.51862990000086</v>
      </c>
      <c r="AI30" s="18">
        <f t="shared" si="44"/>
        <v>745.93115715950103</v>
      </c>
      <c r="AJ30" s="18">
        <f t="shared" si="44"/>
        <v>833.33728665364879</v>
      </c>
      <c r="AK30" s="18">
        <f t="shared" si="44"/>
        <v>929.4801031108816</v>
      </c>
      <c r="AL30" s="18">
        <f t="shared" si="44"/>
        <v>1035.1687044786772</v>
      </c>
      <c r="AM30" s="18">
        <f t="shared" si="44"/>
        <v>1151.2839005963087</v>
      </c>
      <c r="AN30" s="18">
        <f t="shared" si="44"/>
        <v>1278.7843944002111</v>
      </c>
      <c r="AP30" s="1"/>
      <c r="AQ30" s="1"/>
    </row>
    <row r="31" spans="1:141" x14ac:dyDescent="0.25">
      <c r="C31" s="45" t="s">
        <v>165</v>
      </c>
      <c r="D31" s="45">
        <f t="shared" ref="D31:S31" si="45">D30/D6</f>
        <v>0.17770034843205576</v>
      </c>
      <c r="E31" s="45">
        <f t="shared" si="45"/>
        <v>0.21021611001964635</v>
      </c>
      <c r="F31" s="45">
        <f t="shared" si="45"/>
        <v>0.21497584541062803</v>
      </c>
      <c r="G31" s="45">
        <f t="shared" si="45"/>
        <v>0.19337016574585636</v>
      </c>
      <c r="H31" s="45">
        <f t="shared" si="45"/>
        <v>0.20175438596491227</v>
      </c>
      <c r="I31" s="45">
        <f t="shared" si="45"/>
        <v>0.2365415986949429</v>
      </c>
      <c r="J31" s="45">
        <f t="shared" si="45"/>
        <v>0.21487603305785125</v>
      </c>
      <c r="K31" s="45">
        <f t="shared" si="45"/>
        <v>0.18673218673218672</v>
      </c>
      <c r="L31" s="45">
        <f t="shared" si="45"/>
        <v>0.16857142857142857</v>
      </c>
      <c r="M31" s="45">
        <f t="shared" si="45"/>
        <v>0.23222060957910015</v>
      </c>
      <c r="N31" s="45">
        <f t="shared" si="45"/>
        <v>0.16872427983539096</v>
      </c>
      <c r="O31" s="45">
        <f t="shared" si="45"/>
        <v>0.16049382716049382</v>
      </c>
      <c r="P31" s="45">
        <f t="shared" si="45"/>
        <v>0.19642857142857142</v>
      </c>
      <c r="Q31" s="45">
        <f t="shared" si="45"/>
        <v>0.24931129476584021</v>
      </c>
      <c r="R31" s="45">
        <f t="shared" si="45"/>
        <v>0.21971252566735114</v>
      </c>
      <c r="S31" s="45">
        <f t="shared" si="45"/>
        <v>0.16666666666666666</v>
      </c>
      <c r="T31" s="45"/>
      <c r="U31" s="45"/>
      <c r="V31" s="45"/>
      <c r="W31" s="45"/>
      <c r="X31" s="45"/>
      <c r="Y31" s="45">
        <f t="shared" ref="Y31:AN31" si="46">Y30/Y6</f>
        <v>0.21974570781947173</v>
      </c>
      <c r="Z31" s="45">
        <f t="shared" si="46"/>
        <v>0.25674374270735756</v>
      </c>
      <c r="AA31" s="45">
        <f t="shared" si="46"/>
        <v>0.27359882005899705</v>
      </c>
      <c r="AB31" s="45">
        <f t="shared" si="46"/>
        <v>0.2029449423815621</v>
      </c>
      <c r="AC31" s="45">
        <f t="shared" si="46"/>
        <v>0.21444082519001087</v>
      </c>
      <c r="AD31" s="45">
        <f t="shared" si="46"/>
        <v>0.19012987012987012</v>
      </c>
      <c r="AE31" s="45">
        <f t="shared" si="46"/>
        <v>0.21495789995047054</v>
      </c>
      <c r="AF31" s="46">
        <f t="shared" si="46"/>
        <v>0.191249191078911</v>
      </c>
      <c r="AG31" s="45">
        <f t="shared" si="46"/>
        <v>0.19898065565556525</v>
      </c>
      <c r="AH31" s="45">
        <f t="shared" si="46"/>
        <v>0.20658933412422409</v>
      </c>
      <c r="AI31" s="45">
        <f t="shared" si="46"/>
        <v>0.21407728843674689</v>
      </c>
      <c r="AJ31" s="45">
        <f t="shared" si="46"/>
        <v>0.22144654365239247</v>
      </c>
      <c r="AK31" s="45">
        <f t="shared" si="46"/>
        <v>0.22869908864128952</v>
      </c>
      <c r="AL31" s="45">
        <f t="shared" si="46"/>
        <v>0.23583687677371346</v>
      </c>
      <c r="AM31" s="45">
        <f t="shared" si="46"/>
        <v>0.24286182659547123</v>
      </c>
      <c r="AN31" s="45">
        <f t="shared" si="46"/>
        <v>0.24977582248968253</v>
      </c>
    </row>
    <row r="32" spans="1:141" s="18" customFormat="1" x14ac:dyDescent="0.25">
      <c r="A32" s="2"/>
      <c r="B32" s="3"/>
      <c r="C32" s="2" t="s">
        <v>166</v>
      </c>
      <c r="D32" s="2"/>
      <c r="E32" s="2"/>
      <c r="F32" s="2"/>
      <c r="G32" s="2">
        <f t="shared" ref="G32:R32" si="47">SUM(D30:G30)</f>
        <v>317</v>
      </c>
      <c r="H32" s="2">
        <f t="shared" si="47"/>
        <v>335</v>
      </c>
      <c r="I32" s="2">
        <f t="shared" si="47"/>
        <v>373</v>
      </c>
      <c r="J32" s="2">
        <f t="shared" si="47"/>
        <v>388</v>
      </c>
      <c r="K32" s="2">
        <f t="shared" si="47"/>
        <v>394</v>
      </c>
      <c r="L32" s="2">
        <f t="shared" si="47"/>
        <v>384</v>
      </c>
      <c r="M32" s="2">
        <f t="shared" si="47"/>
        <v>399</v>
      </c>
      <c r="N32" s="2">
        <f t="shared" si="47"/>
        <v>377</v>
      </c>
      <c r="O32" s="2">
        <f t="shared" si="47"/>
        <v>366</v>
      </c>
      <c r="P32" s="2">
        <f t="shared" si="47"/>
        <v>384</v>
      </c>
      <c r="Q32" s="2">
        <f t="shared" si="47"/>
        <v>405</v>
      </c>
      <c r="R32" s="2">
        <f t="shared" si="47"/>
        <v>430</v>
      </c>
      <c r="S32" s="2">
        <f>SUM(P30:S30)</f>
        <v>434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3"/>
      <c r="AG32" s="2"/>
      <c r="AH32" s="2"/>
      <c r="AI32" s="2"/>
      <c r="AJ32" s="2"/>
      <c r="AK32" s="2"/>
      <c r="AL32" s="2"/>
      <c r="AM32" s="2"/>
      <c r="AN32" s="2"/>
    </row>
    <row r="34" spans="3:40" x14ac:dyDescent="0.25">
      <c r="C34" s="18" t="s">
        <v>120</v>
      </c>
      <c r="D34" s="18">
        <v>835</v>
      </c>
      <c r="E34" s="18">
        <v>876</v>
      </c>
      <c r="F34" s="18">
        <v>930</v>
      </c>
      <c r="G34" s="18">
        <v>842</v>
      </c>
      <c r="H34" s="18">
        <v>887</v>
      </c>
      <c r="I34" s="18">
        <v>957</v>
      </c>
      <c r="J34" s="18">
        <v>969</v>
      </c>
      <c r="K34" s="18">
        <v>939</v>
      </c>
      <c r="L34" s="18">
        <v>937</v>
      </c>
      <c r="M34" s="18">
        <v>1004</v>
      </c>
      <c r="N34" s="18">
        <v>1018</v>
      </c>
      <c r="O34" s="18">
        <v>930</v>
      </c>
      <c r="P34" s="18">
        <v>944</v>
      </c>
      <c r="Q34" s="18">
        <v>1007</v>
      </c>
      <c r="R34" s="18">
        <v>932</v>
      </c>
      <c r="S34" s="18">
        <v>904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9"/>
      <c r="AG34" s="18"/>
      <c r="AH34" s="18"/>
      <c r="AI34" s="18"/>
      <c r="AJ34" s="18"/>
      <c r="AK34" s="18"/>
      <c r="AL34" s="18"/>
      <c r="AM34" s="18"/>
      <c r="AN34" s="18"/>
    </row>
    <row r="37" spans="3:40" x14ac:dyDescent="0.25">
      <c r="C37" s="1" t="s">
        <v>15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7"/>
      <c r="Z37" s="17"/>
      <c r="AA37" s="17"/>
      <c r="AB37" s="1"/>
      <c r="AC37" s="1"/>
    </row>
    <row r="38" spans="3:40" x14ac:dyDescent="0.25">
      <c r="C38" s="2" t="s">
        <v>32</v>
      </c>
      <c r="D38" s="18">
        <v>9</v>
      </c>
      <c r="E38" s="18">
        <v>9</v>
      </c>
      <c r="F38" s="18">
        <v>9</v>
      </c>
      <c r="G38" s="18">
        <v>9</v>
      </c>
      <c r="H38" s="18">
        <v>9</v>
      </c>
      <c r="I38" s="18">
        <v>8</v>
      </c>
      <c r="J38" s="18">
        <v>7</v>
      </c>
      <c r="K38" s="18">
        <v>6</v>
      </c>
      <c r="L38" s="18">
        <v>6</v>
      </c>
      <c r="M38" s="18">
        <v>5</v>
      </c>
      <c r="N38" s="18">
        <v>4</v>
      </c>
      <c r="O38" s="18">
        <v>3</v>
      </c>
      <c r="P38" s="18">
        <v>3</v>
      </c>
      <c r="Q38" s="18">
        <v>2</v>
      </c>
      <c r="R38" s="18">
        <v>2</v>
      </c>
      <c r="S38" s="2">
        <v>1</v>
      </c>
      <c r="Y38" s="18">
        <v>7.67</v>
      </c>
      <c r="Z38" s="18">
        <v>8.8000000000000007</v>
      </c>
      <c r="AA38" s="18">
        <v>9.3000000000000007</v>
      </c>
      <c r="AB38" s="18">
        <v>9</v>
      </c>
      <c r="AC38" s="18">
        <v>6</v>
      </c>
      <c r="AD38" s="18">
        <v>3</v>
      </c>
      <c r="AE38" s="2">
        <v>1</v>
      </c>
    </row>
    <row r="39" spans="3:40" x14ac:dyDescent="0.25">
      <c r="C39" s="2" t="s">
        <v>33</v>
      </c>
      <c r="D39" s="18">
        <v>171</v>
      </c>
      <c r="E39" s="18">
        <v>171</v>
      </c>
      <c r="F39" s="18">
        <v>171</v>
      </c>
      <c r="G39" s="18">
        <v>171</v>
      </c>
      <c r="H39" s="18">
        <v>171</v>
      </c>
      <c r="I39" s="18">
        <v>171</v>
      </c>
      <c r="J39" s="18">
        <v>171</v>
      </c>
      <c r="K39" s="18">
        <v>171</v>
      </c>
      <c r="L39" s="18">
        <v>171</v>
      </c>
      <c r="M39" s="18">
        <v>171</v>
      </c>
      <c r="N39" s="18">
        <v>171</v>
      </c>
      <c r="O39" s="18">
        <v>171</v>
      </c>
      <c r="P39" s="18">
        <v>171</v>
      </c>
      <c r="Q39" s="18">
        <v>171</v>
      </c>
      <c r="R39" s="18">
        <v>171</v>
      </c>
      <c r="S39" s="2">
        <v>171</v>
      </c>
      <c r="Y39" s="18">
        <v>171.2</v>
      </c>
      <c r="Z39" s="18">
        <v>171.2</v>
      </c>
      <c r="AA39" s="18">
        <v>171.2</v>
      </c>
      <c r="AB39" s="18">
        <v>171</v>
      </c>
      <c r="AC39" s="18">
        <v>171</v>
      </c>
      <c r="AD39" s="18">
        <v>171</v>
      </c>
      <c r="AE39" s="2">
        <v>171</v>
      </c>
    </row>
    <row r="40" spans="3:40" x14ac:dyDescent="0.25">
      <c r="C40" s="2" t="s">
        <v>34</v>
      </c>
      <c r="D40" s="18">
        <v>617</v>
      </c>
      <c r="E40" s="18">
        <v>617</v>
      </c>
      <c r="F40" s="18">
        <v>617</v>
      </c>
      <c r="G40" s="18">
        <v>617</v>
      </c>
      <c r="H40" s="18">
        <v>617</v>
      </c>
      <c r="I40" s="18">
        <v>617</v>
      </c>
      <c r="J40" s="18">
        <v>617</v>
      </c>
      <c r="K40" s="18">
        <v>617</v>
      </c>
      <c r="L40" s="18">
        <v>617</v>
      </c>
      <c r="M40" s="18">
        <v>617</v>
      </c>
      <c r="N40" s="18">
        <v>617</v>
      </c>
      <c r="O40" s="18">
        <v>617</v>
      </c>
      <c r="P40" s="18">
        <v>617</v>
      </c>
      <c r="Q40" s="18">
        <v>617</v>
      </c>
      <c r="R40" s="18">
        <v>617</v>
      </c>
      <c r="S40" s="2">
        <v>617</v>
      </c>
      <c r="Y40" s="18">
        <v>616.83000000000004</v>
      </c>
      <c r="Z40" s="18">
        <v>616.79999999999995</v>
      </c>
      <c r="AA40" s="18">
        <v>616.79999999999995</v>
      </c>
      <c r="AB40" s="18">
        <v>617</v>
      </c>
      <c r="AC40" s="18">
        <v>617</v>
      </c>
      <c r="AD40" s="18">
        <v>617</v>
      </c>
      <c r="AE40" s="2">
        <v>617</v>
      </c>
    </row>
    <row r="41" spans="3:40" x14ac:dyDescent="0.25">
      <c r="C41" s="2" t="s">
        <v>35</v>
      </c>
      <c r="D41" s="18">
        <v>0</v>
      </c>
      <c r="E41" s="2">
        <v>0</v>
      </c>
      <c r="F41" s="18">
        <v>1</v>
      </c>
      <c r="G41" s="18">
        <v>2</v>
      </c>
      <c r="H41" s="18">
        <v>2</v>
      </c>
      <c r="I41" s="18">
        <v>8</v>
      </c>
      <c r="J41" s="18">
        <v>8</v>
      </c>
      <c r="K41" s="18">
        <v>8</v>
      </c>
      <c r="L41" s="18">
        <v>8</v>
      </c>
      <c r="M41" s="18">
        <v>8</v>
      </c>
      <c r="N41" s="18">
        <v>9</v>
      </c>
      <c r="O41" s="18">
        <v>9</v>
      </c>
      <c r="P41" s="18">
        <v>9</v>
      </c>
      <c r="Q41" s="18">
        <v>10</v>
      </c>
      <c r="R41" s="18">
        <v>10</v>
      </c>
      <c r="S41" s="2">
        <v>10</v>
      </c>
      <c r="Y41" s="18">
        <v>0</v>
      </c>
      <c r="Z41" s="18">
        <v>0</v>
      </c>
      <c r="AA41" s="18">
        <v>0</v>
      </c>
      <c r="AB41" s="18">
        <v>2</v>
      </c>
      <c r="AC41" s="18">
        <v>8</v>
      </c>
      <c r="AD41" s="18">
        <v>9</v>
      </c>
      <c r="AE41" s="2">
        <v>10</v>
      </c>
    </row>
    <row r="42" spans="3:40" x14ac:dyDescent="0.25">
      <c r="C42" s="2" t="s">
        <v>36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3</v>
      </c>
      <c r="S42" s="2">
        <v>3</v>
      </c>
      <c r="Y42" s="18">
        <v>0.43</v>
      </c>
      <c r="Z42" s="18">
        <v>0.4</v>
      </c>
      <c r="AA42" s="18">
        <v>0.3</v>
      </c>
      <c r="AB42" s="18">
        <v>1</v>
      </c>
      <c r="AC42" s="18">
        <v>2</v>
      </c>
      <c r="AD42" s="18">
        <v>2</v>
      </c>
      <c r="AE42" s="2">
        <v>3</v>
      </c>
    </row>
    <row r="43" spans="3:40" x14ac:dyDescent="0.25">
      <c r="C43" s="2" t="s">
        <v>37</v>
      </c>
      <c r="D43" s="18">
        <v>7</v>
      </c>
      <c r="E43" s="18">
        <v>1</v>
      </c>
      <c r="F43" s="18">
        <v>15</v>
      </c>
      <c r="G43" s="18">
        <v>14</v>
      </c>
      <c r="H43" s="18">
        <v>13</v>
      </c>
      <c r="I43" s="18">
        <v>1</v>
      </c>
      <c r="J43" s="18">
        <v>1</v>
      </c>
      <c r="K43" s="18">
        <v>1</v>
      </c>
      <c r="L43" s="18">
        <v>1</v>
      </c>
      <c r="M43" s="18">
        <v>1</v>
      </c>
      <c r="N43" s="18">
        <v>1</v>
      </c>
      <c r="O43" s="18">
        <v>2</v>
      </c>
      <c r="P43" s="18">
        <v>2</v>
      </c>
      <c r="Q43" s="18">
        <v>2</v>
      </c>
      <c r="R43" s="18">
        <v>2</v>
      </c>
      <c r="S43" s="2">
        <v>2</v>
      </c>
      <c r="Y43" s="18">
        <v>1.47</v>
      </c>
      <c r="Z43" s="18">
        <v>1.1000000000000001</v>
      </c>
      <c r="AA43" s="18">
        <v>1</v>
      </c>
      <c r="AB43" s="18">
        <v>14</v>
      </c>
      <c r="AC43" s="18">
        <v>1</v>
      </c>
      <c r="AD43" s="18">
        <v>2</v>
      </c>
      <c r="AE43" s="2">
        <v>2</v>
      </c>
    </row>
    <row r="44" spans="3:40" x14ac:dyDescent="0.25">
      <c r="C44" s="2" t="s">
        <v>38</v>
      </c>
      <c r="D44" s="18">
        <v>1</v>
      </c>
      <c r="E44" s="18">
        <v>15</v>
      </c>
      <c r="F44" s="18">
        <v>2</v>
      </c>
      <c r="G44" s="18">
        <v>2</v>
      </c>
      <c r="H44" s="18">
        <v>2</v>
      </c>
      <c r="I44" s="18">
        <v>12</v>
      </c>
      <c r="J44" s="18">
        <v>12</v>
      </c>
      <c r="K44" s="18">
        <v>11</v>
      </c>
      <c r="L44" s="18">
        <v>10</v>
      </c>
      <c r="M44" s="18">
        <v>9</v>
      </c>
      <c r="N44" s="18">
        <v>11</v>
      </c>
      <c r="O44" s="18">
        <v>11</v>
      </c>
      <c r="P44" s="18">
        <v>18</v>
      </c>
      <c r="Q44" s="18">
        <v>17</v>
      </c>
      <c r="R44" s="18">
        <v>16</v>
      </c>
      <c r="S44" s="2">
        <v>15</v>
      </c>
      <c r="Y44" s="18">
        <v>6.04</v>
      </c>
      <c r="Z44" s="18">
        <v>5.5</v>
      </c>
      <c r="AA44" s="18">
        <v>7.5</v>
      </c>
      <c r="AB44" s="18">
        <v>2</v>
      </c>
      <c r="AC44" s="18">
        <v>11</v>
      </c>
      <c r="AD44" s="18">
        <v>11</v>
      </c>
      <c r="AE44" s="2">
        <v>15</v>
      </c>
    </row>
    <row r="45" spans="3:40" x14ac:dyDescent="0.25">
      <c r="C45" s="2" t="s">
        <v>126</v>
      </c>
      <c r="D45" s="18">
        <v>0</v>
      </c>
      <c r="E45" s="2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3</v>
      </c>
      <c r="Q45" s="18">
        <v>0</v>
      </c>
      <c r="R45" s="18">
        <v>0</v>
      </c>
      <c r="S45" s="2">
        <v>0</v>
      </c>
      <c r="Y45" s="18">
        <v>0</v>
      </c>
      <c r="Z45" s="18">
        <v>2.1</v>
      </c>
      <c r="AA45" s="18">
        <v>7.9</v>
      </c>
      <c r="AB45" s="18">
        <v>0</v>
      </c>
      <c r="AC45" s="18">
        <v>0</v>
      </c>
      <c r="AD45" s="18">
        <v>0</v>
      </c>
      <c r="AE45" s="2">
        <v>0</v>
      </c>
    </row>
    <row r="46" spans="3:40" x14ac:dyDescent="0.25">
      <c r="C46" s="2" t="s">
        <v>39</v>
      </c>
      <c r="D46" s="18">
        <v>416</v>
      </c>
      <c r="E46" s="18">
        <v>2</v>
      </c>
      <c r="F46" s="18">
        <v>375</v>
      </c>
      <c r="G46" s="18">
        <v>323</v>
      </c>
      <c r="H46" s="18">
        <v>420</v>
      </c>
      <c r="I46" s="18">
        <v>2</v>
      </c>
      <c r="J46" s="18">
        <v>2</v>
      </c>
      <c r="K46" s="18">
        <v>2</v>
      </c>
      <c r="L46" s="18">
        <v>2</v>
      </c>
      <c r="M46" s="18">
        <v>2</v>
      </c>
      <c r="N46" s="18">
        <v>2</v>
      </c>
      <c r="O46" s="18">
        <v>1</v>
      </c>
      <c r="P46" s="18">
        <v>1</v>
      </c>
      <c r="Q46" s="18">
        <v>1</v>
      </c>
      <c r="R46" s="18">
        <v>1</v>
      </c>
      <c r="S46" s="2">
        <v>1</v>
      </c>
      <c r="Y46" s="18">
        <v>1.49</v>
      </c>
      <c r="Z46" s="18">
        <v>1.5</v>
      </c>
      <c r="AA46" s="18">
        <v>1.4</v>
      </c>
      <c r="AB46" s="18">
        <v>323</v>
      </c>
      <c r="AC46" s="18">
        <v>2</v>
      </c>
      <c r="AD46" s="18">
        <v>1</v>
      </c>
      <c r="AE46" s="2">
        <v>1</v>
      </c>
    </row>
    <row r="47" spans="3:40" x14ac:dyDescent="0.25">
      <c r="C47" s="2" t="s">
        <v>40</v>
      </c>
      <c r="D47" s="18">
        <v>99</v>
      </c>
      <c r="E47" s="18">
        <v>384</v>
      </c>
      <c r="F47" s="18">
        <v>10</v>
      </c>
      <c r="G47" s="18">
        <v>72</v>
      </c>
      <c r="H47" s="18">
        <v>61</v>
      </c>
      <c r="I47" s="18">
        <v>322</v>
      </c>
      <c r="J47" s="18">
        <v>382</v>
      </c>
      <c r="K47" s="18">
        <v>362</v>
      </c>
      <c r="L47" s="18">
        <v>447</v>
      </c>
      <c r="M47" s="18">
        <v>403</v>
      </c>
      <c r="N47" s="18">
        <v>484</v>
      </c>
      <c r="O47" s="18">
        <v>439</v>
      </c>
      <c r="P47" s="18">
        <v>500</v>
      </c>
      <c r="Q47" s="18">
        <v>378</v>
      </c>
      <c r="R47" s="18">
        <v>369</v>
      </c>
      <c r="S47" s="2">
        <v>336</v>
      </c>
      <c r="Y47" s="18">
        <v>20.149999999999999</v>
      </c>
      <c r="Z47" s="18">
        <v>82.6</v>
      </c>
      <c r="AA47" s="18">
        <v>306.60000000000002</v>
      </c>
      <c r="AB47" s="18">
        <v>72</v>
      </c>
      <c r="AC47" s="18">
        <v>362</v>
      </c>
      <c r="AD47" s="18">
        <v>439</v>
      </c>
      <c r="AE47" s="2">
        <v>336</v>
      </c>
    </row>
    <row r="48" spans="3:40" x14ac:dyDescent="0.25">
      <c r="C48" s="2" t="s">
        <v>41</v>
      </c>
      <c r="D48" s="18">
        <v>10</v>
      </c>
      <c r="E48" s="18">
        <v>51</v>
      </c>
      <c r="F48" s="18">
        <v>12</v>
      </c>
      <c r="G48" s="18">
        <v>8</v>
      </c>
      <c r="H48" s="18">
        <v>18</v>
      </c>
      <c r="I48" s="18">
        <v>94</v>
      </c>
      <c r="J48" s="18">
        <v>64</v>
      </c>
      <c r="K48" s="18">
        <v>76</v>
      </c>
      <c r="L48" s="18">
        <v>118</v>
      </c>
      <c r="M48" s="18">
        <v>161</v>
      </c>
      <c r="N48" s="18">
        <v>38</v>
      </c>
      <c r="O48" s="18">
        <v>72</v>
      </c>
      <c r="P48" s="18">
        <v>66</v>
      </c>
      <c r="Q48" s="18">
        <v>88</v>
      </c>
      <c r="R48" s="18">
        <v>21</v>
      </c>
      <c r="S48" s="2">
        <v>172</v>
      </c>
      <c r="Y48" s="18">
        <v>2.82</v>
      </c>
      <c r="Z48" s="18">
        <v>53.2</v>
      </c>
      <c r="AA48" s="18">
        <v>126.9</v>
      </c>
      <c r="AB48" s="18">
        <v>8</v>
      </c>
      <c r="AC48" s="18">
        <v>76</v>
      </c>
      <c r="AD48" s="18">
        <v>72</v>
      </c>
      <c r="AE48" s="2">
        <v>172</v>
      </c>
    </row>
    <row r="49" spans="3:31" x14ac:dyDescent="0.25">
      <c r="C49" s="2" t="s">
        <v>42</v>
      </c>
      <c r="D49" s="18">
        <v>0</v>
      </c>
      <c r="E49" s="18">
        <v>10</v>
      </c>
      <c r="F49" s="18">
        <v>0</v>
      </c>
      <c r="G49" s="18">
        <v>0</v>
      </c>
      <c r="H49" s="18">
        <v>0</v>
      </c>
      <c r="I49" s="18">
        <v>22</v>
      </c>
      <c r="J49" s="18">
        <v>15</v>
      </c>
      <c r="K49" s="18">
        <v>10</v>
      </c>
      <c r="L49" s="18">
        <v>12</v>
      </c>
      <c r="M49" s="18">
        <v>28</v>
      </c>
      <c r="N49" s="18">
        <v>21</v>
      </c>
      <c r="O49" s="18">
        <v>10</v>
      </c>
      <c r="P49" s="18">
        <v>20</v>
      </c>
      <c r="Q49" s="18">
        <v>28</v>
      </c>
      <c r="R49" s="18">
        <v>19</v>
      </c>
      <c r="S49" s="2">
        <v>12</v>
      </c>
      <c r="Y49" s="18">
        <v>1.79</v>
      </c>
      <c r="Z49" s="18">
        <v>7.1</v>
      </c>
      <c r="AA49" s="18">
        <v>8</v>
      </c>
      <c r="AB49" s="18">
        <v>0</v>
      </c>
      <c r="AC49" s="18">
        <v>10</v>
      </c>
      <c r="AD49" s="18">
        <v>10</v>
      </c>
      <c r="AE49" s="2">
        <v>12</v>
      </c>
    </row>
    <row r="50" spans="3:31" x14ac:dyDescent="0.25">
      <c r="C50" s="2" t="s">
        <v>43</v>
      </c>
      <c r="D50" s="18">
        <v>4</v>
      </c>
      <c r="E50" s="18">
        <v>0</v>
      </c>
      <c r="F50" s="18">
        <v>1</v>
      </c>
      <c r="G50" s="18">
        <v>7</v>
      </c>
      <c r="H50" s="18">
        <v>5</v>
      </c>
      <c r="I50" s="18">
        <v>1</v>
      </c>
      <c r="J50" s="18">
        <v>0</v>
      </c>
      <c r="K50" s="18">
        <v>0</v>
      </c>
      <c r="L50" s="18">
        <v>0</v>
      </c>
      <c r="M50" s="18">
        <v>1</v>
      </c>
      <c r="N50" s="18">
        <v>1</v>
      </c>
      <c r="O50" s="17">
        <v>1</v>
      </c>
      <c r="P50" s="18">
        <v>3</v>
      </c>
      <c r="Q50" s="18">
        <v>1</v>
      </c>
      <c r="R50" s="18">
        <v>5</v>
      </c>
      <c r="S50" s="2">
        <v>2</v>
      </c>
      <c r="Y50" s="18">
        <v>0.01</v>
      </c>
      <c r="Z50" s="18">
        <v>0</v>
      </c>
      <c r="AA50" s="18">
        <v>0.3</v>
      </c>
      <c r="AB50" s="18">
        <v>7</v>
      </c>
      <c r="AC50" s="18">
        <v>0</v>
      </c>
      <c r="AD50" s="17">
        <v>1</v>
      </c>
      <c r="AE50" s="2">
        <v>2</v>
      </c>
    </row>
    <row r="51" spans="3:31" x14ac:dyDescent="0.25">
      <c r="C51" s="2" t="s">
        <v>44</v>
      </c>
      <c r="D51" s="18">
        <v>83</v>
      </c>
      <c r="E51" s="18">
        <v>1</v>
      </c>
      <c r="F51" s="18">
        <v>32</v>
      </c>
      <c r="G51" s="18">
        <v>44</v>
      </c>
      <c r="H51" s="18">
        <v>39</v>
      </c>
      <c r="I51" s="18">
        <v>5</v>
      </c>
      <c r="J51" s="18">
        <v>5</v>
      </c>
      <c r="K51" s="18">
        <v>5</v>
      </c>
      <c r="L51" s="18">
        <v>5</v>
      </c>
      <c r="M51" s="18">
        <v>20</v>
      </c>
      <c r="N51" s="18">
        <v>20</v>
      </c>
      <c r="O51" s="18">
        <v>1</v>
      </c>
      <c r="P51" s="18">
        <v>4</v>
      </c>
      <c r="Q51" s="18">
        <v>4</v>
      </c>
      <c r="R51" s="18">
        <v>4</v>
      </c>
      <c r="S51" s="2">
        <v>0</v>
      </c>
      <c r="Y51" s="18">
        <v>0</v>
      </c>
      <c r="Z51" s="18">
        <v>2.7</v>
      </c>
      <c r="AA51" s="18">
        <v>5.2</v>
      </c>
      <c r="AB51" s="18">
        <v>44</v>
      </c>
      <c r="AC51" s="18">
        <v>5</v>
      </c>
      <c r="AD51" s="18">
        <v>1</v>
      </c>
      <c r="AE51" s="2">
        <v>0</v>
      </c>
    </row>
    <row r="52" spans="3:31" x14ac:dyDescent="0.25">
      <c r="C52" s="2" t="s">
        <v>45</v>
      </c>
      <c r="D52" s="18">
        <v>5</v>
      </c>
      <c r="E52" s="18">
        <v>60</v>
      </c>
      <c r="F52" s="18">
        <v>0</v>
      </c>
      <c r="G52" s="18">
        <v>2</v>
      </c>
      <c r="H52" s="18">
        <v>1</v>
      </c>
      <c r="I52" s="18">
        <v>39</v>
      </c>
      <c r="J52" s="18">
        <v>36</v>
      </c>
      <c r="K52" s="18">
        <v>32</v>
      </c>
      <c r="L52" s="18">
        <v>34</v>
      </c>
      <c r="M52" s="18">
        <v>33</v>
      </c>
      <c r="N52" s="18">
        <v>34</v>
      </c>
      <c r="O52" s="18">
        <v>16</v>
      </c>
      <c r="P52" s="18">
        <v>30</v>
      </c>
      <c r="Q52" s="18">
        <v>34</v>
      </c>
      <c r="R52" s="18">
        <v>34</v>
      </c>
      <c r="S52" s="2">
        <v>36</v>
      </c>
      <c r="Y52" s="18">
        <v>3.21</v>
      </c>
      <c r="Z52" s="18">
        <v>16.899999999999999</v>
      </c>
      <c r="AA52" s="18">
        <v>50.1</v>
      </c>
      <c r="AB52" s="18">
        <v>2</v>
      </c>
      <c r="AC52" s="18">
        <v>32</v>
      </c>
      <c r="AD52" s="18">
        <v>16</v>
      </c>
      <c r="AE52" s="2">
        <v>36</v>
      </c>
    </row>
    <row r="53" spans="3:31" x14ac:dyDescent="0.25">
      <c r="C53" s="2" t="s">
        <v>46</v>
      </c>
      <c r="D53" s="18">
        <v>10</v>
      </c>
      <c r="E53" s="18">
        <v>7</v>
      </c>
      <c r="F53" s="18">
        <v>9</v>
      </c>
      <c r="G53" s="18">
        <v>11</v>
      </c>
      <c r="H53" s="18">
        <v>13</v>
      </c>
      <c r="I53" s="18">
        <v>13</v>
      </c>
      <c r="J53" s="18">
        <v>18</v>
      </c>
      <c r="K53" s="18">
        <v>20</v>
      </c>
      <c r="L53" s="18">
        <v>22</v>
      </c>
      <c r="M53" s="18">
        <v>12</v>
      </c>
      <c r="N53" s="18">
        <v>14</v>
      </c>
      <c r="O53" s="18">
        <v>17</v>
      </c>
      <c r="P53" s="18">
        <v>19</v>
      </c>
      <c r="Q53" s="18">
        <v>17</v>
      </c>
      <c r="R53" s="18">
        <v>15</v>
      </c>
      <c r="S53" s="2">
        <v>18</v>
      </c>
      <c r="Y53" s="18">
        <v>6.6</v>
      </c>
      <c r="Z53" s="18">
        <v>1.9</v>
      </c>
      <c r="AA53" s="18">
        <v>7.1</v>
      </c>
      <c r="AB53" s="18">
        <v>11</v>
      </c>
      <c r="AC53" s="18">
        <v>20</v>
      </c>
      <c r="AD53" s="18">
        <v>17</v>
      </c>
      <c r="AE53" s="2">
        <v>18</v>
      </c>
    </row>
    <row r="54" spans="3:31" x14ac:dyDescent="0.25">
      <c r="C54" s="2" t="s">
        <v>47</v>
      </c>
      <c r="D54" s="18">
        <v>142</v>
      </c>
      <c r="E54" s="18">
        <v>65</v>
      </c>
      <c r="F54" s="18">
        <v>146</v>
      </c>
      <c r="G54" s="18">
        <v>154</v>
      </c>
      <c r="H54" s="18">
        <v>177</v>
      </c>
      <c r="I54" s="18">
        <v>353</v>
      </c>
      <c r="J54" s="18">
        <v>285</v>
      </c>
      <c r="K54" s="18">
        <v>295</v>
      </c>
      <c r="L54" s="18">
        <v>142</v>
      </c>
      <c r="M54" s="18">
        <v>280</v>
      </c>
      <c r="N54" s="18">
        <v>159</v>
      </c>
      <c r="O54" s="18">
        <v>189</v>
      </c>
      <c r="P54" s="18">
        <v>181</v>
      </c>
      <c r="Q54" s="18">
        <v>358</v>
      </c>
      <c r="R54" s="18">
        <v>368</v>
      </c>
      <c r="S54" s="2">
        <v>328</v>
      </c>
      <c r="Y54" s="18">
        <v>116.71</v>
      </c>
      <c r="Z54" s="18">
        <v>296.3</v>
      </c>
      <c r="AA54" s="18">
        <v>74.8</v>
      </c>
      <c r="AB54" s="18">
        <v>154</v>
      </c>
      <c r="AC54" s="18">
        <v>295</v>
      </c>
      <c r="AD54" s="18">
        <v>189</v>
      </c>
      <c r="AE54" s="2">
        <v>328</v>
      </c>
    </row>
    <row r="55" spans="3:31" x14ac:dyDescent="0.25">
      <c r="C55" s="1" t="s">
        <v>48</v>
      </c>
      <c r="D55" s="17">
        <f t="shared" ref="D55:N55" si="48">SUM(D38:D54)</f>
        <v>1575</v>
      </c>
      <c r="E55" s="17">
        <f t="shared" si="48"/>
        <v>1394</v>
      </c>
      <c r="F55" s="17">
        <f t="shared" si="48"/>
        <v>1401</v>
      </c>
      <c r="G55" s="17">
        <f t="shared" si="48"/>
        <v>1437</v>
      </c>
      <c r="H55" s="17">
        <f t="shared" si="48"/>
        <v>1549</v>
      </c>
      <c r="I55" s="17">
        <f t="shared" si="48"/>
        <v>1670</v>
      </c>
      <c r="J55" s="17">
        <f t="shared" si="48"/>
        <v>1625</v>
      </c>
      <c r="K55" s="17">
        <f t="shared" si="48"/>
        <v>1618</v>
      </c>
      <c r="L55" s="17">
        <f t="shared" si="48"/>
        <v>1597</v>
      </c>
      <c r="M55" s="17">
        <f t="shared" si="48"/>
        <v>1753</v>
      </c>
      <c r="N55" s="17">
        <f t="shared" si="48"/>
        <v>1588</v>
      </c>
      <c r="O55" s="17">
        <f>SUM(O38:O54)</f>
        <v>1561</v>
      </c>
      <c r="P55" s="17">
        <f>SUM(P38:P54)</f>
        <v>1649</v>
      </c>
      <c r="Q55" s="17">
        <f t="shared" ref="Q55:T55" si="49">SUM(Q38:Q54)</f>
        <v>1730</v>
      </c>
      <c r="R55" s="17">
        <f t="shared" si="49"/>
        <v>1657</v>
      </c>
      <c r="S55" s="17">
        <f t="shared" si="49"/>
        <v>1724</v>
      </c>
      <c r="T55" s="17">
        <f t="shared" si="49"/>
        <v>0</v>
      </c>
      <c r="Y55" s="17">
        <f t="shared" ref="Y55:AA55" si="50">SUM(Y38:Y54)</f>
        <v>956.42000000000007</v>
      </c>
      <c r="Z55" s="17">
        <f t="shared" si="50"/>
        <v>1268.1000000000001</v>
      </c>
      <c r="AA55" s="17">
        <f t="shared" si="50"/>
        <v>1394.3999999999999</v>
      </c>
      <c r="AB55" s="17">
        <f t="shared" ref="AB55" si="51">SUM(AB38:AB54)</f>
        <v>1437</v>
      </c>
      <c r="AC55" s="17">
        <f t="shared" ref="AC55" si="52">SUM(AC38:AC54)</f>
        <v>1618</v>
      </c>
      <c r="AD55" s="17">
        <f>SUM(AD38:AD54)</f>
        <v>1561</v>
      </c>
      <c r="AE55" s="17">
        <f t="shared" ref="AE55" si="53">SUM(AE38:AE54)</f>
        <v>1724</v>
      </c>
    </row>
    <row r="56" spans="3:31" x14ac:dyDescent="0.25">
      <c r="C56" s="2" t="s">
        <v>49</v>
      </c>
      <c r="D56" s="18">
        <v>1</v>
      </c>
      <c r="E56" s="18">
        <v>1</v>
      </c>
      <c r="F56" s="18">
        <v>1</v>
      </c>
      <c r="G56" s="18">
        <v>1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2">
        <v>1</v>
      </c>
      <c r="Y56" s="18">
        <v>0.11</v>
      </c>
      <c r="Z56" s="18">
        <v>1.1000000000000001</v>
      </c>
      <c r="AA56" s="18">
        <v>1.1000000000000001</v>
      </c>
      <c r="AB56" s="18">
        <v>1</v>
      </c>
      <c r="AC56" s="18">
        <v>1</v>
      </c>
      <c r="AD56" s="18">
        <v>1</v>
      </c>
      <c r="AE56" s="2">
        <v>1</v>
      </c>
    </row>
    <row r="57" spans="3:31" x14ac:dyDescent="0.25">
      <c r="C57" s="2" t="s">
        <v>50</v>
      </c>
      <c r="D57" s="18">
        <v>716</v>
      </c>
      <c r="E57" s="18">
        <v>724</v>
      </c>
      <c r="F57" s="18">
        <v>723</v>
      </c>
      <c r="G57" s="18">
        <v>723</v>
      </c>
      <c r="H57" s="18">
        <v>723</v>
      </c>
      <c r="I57" s="18">
        <v>725</v>
      </c>
      <c r="J57" s="18">
        <v>724</v>
      </c>
      <c r="K57" s="18">
        <v>724</v>
      </c>
      <c r="L57" s="18">
        <v>724</v>
      </c>
      <c r="M57" s="18">
        <v>728</v>
      </c>
      <c r="N57" s="18">
        <v>746</v>
      </c>
      <c r="O57" s="18">
        <v>746</v>
      </c>
      <c r="P57" s="18">
        <v>746</v>
      </c>
      <c r="Q57" s="18">
        <v>748</v>
      </c>
      <c r="R57" s="18">
        <v>805</v>
      </c>
      <c r="S57" s="2">
        <v>806</v>
      </c>
      <c r="Y57" s="18">
        <v>645.76</v>
      </c>
      <c r="Z57" s="18">
        <v>716.4</v>
      </c>
      <c r="AA57" s="18">
        <v>715.6</v>
      </c>
      <c r="AB57" s="18">
        <v>723</v>
      </c>
      <c r="AC57" s="18">
        <v>724</v>
      </c>
      <c r="AD57" s="18">
        <v>746</v>
      </c>
      <c r="AE57" s="2">
        <v>806</v>
      </c>
    </row>
    <row r="58" spans="3:31" x14ac:dyDescent="0.25">
      <c r="C58" s="2" t="s">
        <v>51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2">
        <v>0</v>
      </c>
      <c r="Y58" s="18">
        <v>-0.32</v>
      </c>
      <c r="Z58" s="18">
        <v>-0.2</v>
      </c>
      <c r="AA58" s="18">
        <v>-0.1</v>
      </c>
      <c r="AB58" s="18">
        <v>0</v>
      </c>
      <c r="AC58" s="18">
        <v>0</v>
      </c>
      <c r="AD58" s="18">
        <v>0</v>
      </c>
      <c r="AE58" s="2">
        <v>0</v>
      </c>
    </row>
    <row r="59" spans="3:31" x14ac:dyDescent="0.25">
      <c r="C59" s="2" t="s">
        <v>52</v>
      </c>
      <c r="D59" s="18">
        <v>258</v>
      </c>
      <c r="E59" s="18">
        <v>171</v>
      </c>
      <c r="F59" s="18">
        <v>171</v>
      </c>
      <c r="G59" s="18">
        <v>171</v>
      </c>
      <c r="H59" s="18">
        <v>413</v>
      </c>
      <c r="I59" s="18">
        <v>316</v>
      </c>
      <c r="J59" s="18">
        <v>299</v>
      </c>
      <c r="K59" s="18">
        <v>219</v>
      </c>
      <c r="L59" s="18">
        <v>458</v>
      </c>
      <c r="M59" s="18">
        <v>268</v>
      </c>
      <c r="N59" s="18">
        <v>241</v>
      </c>
      <c r="O59" s="18">
        <v>190</v>
      </c>
      <c r="P59" s="18">
        <v>442</v>
      </c>
      <c r="Q59" s="18">
        <v>260</v>
      </c>
      <c r="R59" s="18">
        <v>198</v>
      </c>
      <c r="S59" s="2">
        <v>130</v>
      </c>
      <c r="Y59" s="18">
        <v>-78.180000000000007</v>
      </c>
      <c r="Z59" s="18">
        <v>-129.4</v>
      </c>
      <c r="AA59" s="18">
        <v>-30.1</v>
      </c>
      <c r="AB59" s="18">
        <v>171</v>
      </c>
      <c r="AC59" s="18">
        <v>219</v>
      </c>
      <c r="AD59" s="18">
        <v>190</v>
      </c>
      <c r="AE59" s="2">
        <v>130</v>
      </c>
    </row>
    <row r="60" spans="3:31" x14ac:dyDescent="0.25">
      <c r="C60" s="2" t="s">
        <v>53</v>
      </c>
      <c r="D60" s="18">
        <v>39</v>
      </c>
      <c r="E60" s="18">
        <v>121</v>
      </c>
      <c r="F60" s="18">
        <v>189</v>
      </c>
      <c r="G60" s="18">
        <v>243</v>
      </c>
      <c r="H60" s="18">
        <v>53</v>
      </c>
      <c r="I60" s="18">
        <v>167</v>
      </c>
      <c r="J60" s="18">
        <v>248</v>
      </c>
      <c r="K60" s="18">
        <v>308</v>
      </c>
      <c r="L60" s="18">
        <v>46</v>
      </c>
      <c r="M60" s="18">
        <v>170</v>
      </c>
      <c r="N60" s="18">
        <v>233</v>
      </c>
      <c r="O60" s="18">
        <v>283</v>
      </c>
      <c r="P60" s="18">
        <v>58</v>
      </c>
      <c r="Q60" s="18">
        <v>199</v>
      </c>
      <c r="R60" s="18">
        <v>281</v>
      </c>
      <c r="S60" s="2">
        <v>334</v>
      </c>
      <c r="Y60" s="18">
        <v>59.7</v>
      </c>
      <c r="Z60" s="18">
        <v>171.6</v>
      </c>
      <c r="AA60" s="18">
        <v>288</v>
      </c>
      <c r="AB60" s="18">
        <v>243</v>
      </c>
      <c r="AC60" s="18">
        <v>308</v>
      </c>
      <c r="AD60" s="18">
        <v>283</v>
      </c>
      <c r="AE60" s="2">
        <v>334</v>
      </c>
    </row>
    <row r="61" spans="3:31" x14ac:dyDescent="0.25">
      <c r="C61" s="7" t="s">
        <v>54</v>
      </c>
      <c r="D61" s="26">
        <f t="shared" ref="D61:O61" si="54">SUM(D56:D60)</f>
        <v>1014</v>
      </c>
      <c r="E61" s="26">
        <f t="shared" si="54"/>
        <v>1017</v>
      </c>
      <c r="F61" s="26">
        <f t="shared" si="54"/>
        <v>1084</v>
      </c>
      <c r="G61" s="26">
        <f t="shared" si="54"/>
        <v>1138</v>
      </c>
      <c r="H61" s="26">
        <f t="shared" si="54"/>
        <v>1190</v>
      </c>
      <c r="I61" s="26">
        <f t="shared" si="54"/>
        <v>1209</v>
      </c>
      <c r="J61" s="26">
        <f t="shared" si="54"/>
        <v>1272</v>
      </c>
      <c r="K61" s="26">
        <f t="shared" si="54"/>
        <v>1252</v>
      </c>
      <c r="L61" s="26">
        <f t="shared" si="54"/>
        <v>1229</v>
      </c>
      <c r="M61" s="26">
        <f t="shared" si="54"/>
        <v>1167</v>
      </c>
      <c r="N61" s="26">
        <f t="shared" si="54"/>
        <v>1221</v>
      </c>
      <c r="O61" s="26">
        <f t="shared" si="54"/>
        <v>1220</v>
      </c>
      <c r="P61" s="26">
        <f>SUM(P56:P60)</f>
        <v>1247</v>
      </c>
      <c r="Q61" s="26">
        <f t="shared" ref="Q61:T61" si="55">SUM(Q56:Q60)</f>
        <v>1208</v>
      </c>
      <c r="R61" s="26">
        <f t="shared" si="55"/>
        <v>1285</v>
      </c>
      <c r="S61" s="26">
        <f t="shared" si="55"/>
        <v>1271</v>
      </c>
      <c r="T61" s="26">
        <f t="shared" si="55"/>
        <v>0</v>
      </c>
      <c r="Y61" s="26">
        <f t="shared" ref="Y61:AA61" si="56">SUM(Y56:Y60)</f>
        <v>627.06999999999994</v>
      </c>
      <c r="Z61" s="26">
        <f t="shared" si="56"/>
        <v>759.5</v>
      </c>
      <c r="AA61" s="26">
        <f t="shared" si="56"/>
        <v>974.5</v>
      </c>
      <c r="AB61" s="26">
        <f t="shared" ref="AB61" si="57">SUM(AB56:AB60)</f>
        <v>1138</v>
      </c>
      <c r="AC61" s="26">
        <f t="shared" ref="AC61" si="58">SUM(AC56:AC60)</f>
        <v>1252</v>
      </c>
      <c r="AD61" s="26">
        <f t="shared" ref="AD61" si="59">SUM(AD56:AD60)</f>
        <v>1220</v>
      </c>
      <c r="AE61" s="26">
        <f t="shared" ref="AE61" si="60">SUM(AE56:AE60)</f>
        <v>1271</v>
      </c>
    </row>
    <row r="62" spans="3:31" x14ac:dyDescent="0.25">
      <c r="C62" s="2" t="s">
        <v>55</v>
      </c>
      <c r="D62" s="18">
        <v>165</v>
      </c>
      <c r="E62" s="18">
        <v>30</v>
      </c>
      <c r="F62" s="18">
        <v>12</v>
      </c>
      <c r="G62" s="18">
        <v>11</v>
      </c>
      <c r="H62" s="18">
        <v>10</v>
      </c>
      <c r="I62" s="18">
        <v>10</v>
      </c>
      <c r="J62" s="18">
        <v>9</v>
      </c>
      <c r="K62" s="18">
        <v>8</v>
      </c>
      <c r="L62" s="18">
        <v>7</v>
      </c>
      <c r="M62" s="18">
        <v>7</v>
      </c>
      <c r="N62" s="18">
        <v>7</v>
      </c>
      <c r="O62" s="18">
        <v>7</v>
      </c>
      <c r="P62" s="18">
        <v>12</v>
      </c>
      <c r="Q62" s="18">
        <v>10</v>
      </c>
      <c r="R62" s="18">
        <v>9</v>
      </c>
      <c r="S62" s="2">
        <v>8</v>
      </c>
      <c r="Y62" s="18">
        <v>5.44</v>
      </c>
      <c r="Z62" s="18">
        <v>4.5999999999999996</v>
      </c>
      <c r="AA62" s="18">
        <v>6.5</v>
      </c>
      <c r="AB62" s="18">
        <v>11</v>
      </c>
      <c r="AC62" s="18">
        <v>8</v>
      </c>
      <c r="AD62" s="18">
        <v>7</v>
      </c>
      <c r="AE62" s="2">
        <v>8</v>
      </c>
    </row>
    <row r="63" spans="3:31" x14ac:dyDescent="0.25">
      <c r="C63" s="2" t="s">
        <v>56</v>
      </c>
      <c r="D63" s="18">
        <v>35</v>
      </c>
      <c r="E63" s="18">
        <v>35</v>
      </c>
      <c r="F63" s="18">
        <v>35</v>
      </c>
      <c r="G63" s="18">
        <v>35</v>
      </c>
      <c r="H63" s="18">
        <v>35</v>
      </c>
      <c r="I63" s="18">
        <v>35</v>
      </c>
      <c r="J63" s="18">
        <v>35</v>
      </c>
      <c r="K63" s="18">
        <v>36</v>
      </c>
      <c r="L63" s="18">
        <v>35</v>
      </c>
      <c r="M63" s="18">
        <v>35</v>
      </c>
      <c r="N63" s="18">
        <v>35</v>
      </c>
      <c r="O63" s="18">
        <v>35</v>
      </c>
      <c r="P63" s="18">
        <v>35</v>
      </c>
      <c r="Q63" s="18">
        <v>35</v>
      </c>
      <c r="R63" s="18">
        <v>35</v>
      </c>
      <c r="S63" s="2">
        <v>35</v>
      </c>
      <c r="Y63" s="18">
        <v>35.35</v>
      </c>
      <c r="Z63" s="18">
        <v>35.700000000000003</v>
      </c>
      <c r="AA63" s="18">
        <v>36.4</v>
      </c>
      <c r="AB63" s="18">
        <v>35</v>
      </c>
      <c r="AC63" s="18">
        <v>36</v>
      </c>
      <c r="AD63" s="18">
        <v>35</v>
      </c>
      <c r="AE63" s="2">
        <v>35</v>
      </c>
    </row>
    <row r="64" spans="3:31" x14ac:dyDescent="0.25">
      <c r="C64" s="2" t="s">
        <v>57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2">
        <v>0</v>
      </c>
      <c r="N64" s="2">
        <v>0</v>
      </c>
      <c r="O64" s="18">
        <v>0</v>
      </c>
      <c r="P64" s="18">
        <v>3</v>
      </c>
      <c r="Q64" s="18">
        <v>7</v>
      </c>
      <c r="R64" s="18">
        <v>8</v>
      </c>
      <c r="S64" s="2">
        <v>0</v>
      </c>
      <c r="X64" s="1"/>
      <c r="Y64" s="18">
        <v>230</v>
      </c>
      <c r="Z64" s="18">
        <v>228.5</v>
      </c>
      <c r="AA64" s="18">
        <v>19.899999999999999</v>
      </c>
      <c r="AB64" s="18">
        <v>0</v>
      </c>
      <c r="AC64" s="18">
        <v>0</v>
      </c>
      <c r="AD64" s="18">
        <v>0</v>
      </c>
      <c r="AE64" s="2">
        <v>0</v>
      </c>
    </row>
    <row r="65" spans="3:31" x14ac:dyDescent="0.25">
      <c r="C65" s="2" t="s">
        <v>58</v>
      </c>
      <c r="D65" s="18">
        <v>2</v>
      </c>
      <c r="E65" s="18">
        <v>3</v>
      </c>
      <c r="F65" s="18">
        <v>4</v>
      </c>
      <c r="G65" s="18">
        <v>4</v>
      </c>
      <c r="H65" s="18">
        <v>4</v>
      </c>
      <c r="I65" s="18">
        <v>3</v>
      </c>
      <c r="J65" s="18">
        <v>4</v>
      </c>
      <c r="K65" s="18">
        <v>4</v>
      </c>
      <c r="L65" s="18">
        <v>4</v>
      </c>
      <c r="M65" s="18">
        <v>4</v>
      </c>
      <c r="N65" s="18">
        <v>5</v>
      </c>
      <c r="O65" s="18">
        <v>5</v>
      </c>
      <c r="P65" s="18">
        <v>7</v>
      </c>
      <c r="Q65" s="18">
        <v>0</v>
      </c>
      <c r="R65" s="18">
        <v>0</v>
      </c>
      <c r="S65" s="2">
        <v>8</v>
      </c>
      <c r="Y65" s="18">
        <v>1.28</v>
      </c>
      <c r="Z65" s="18">
        <v>1.5</v>
      </c>
      <c r="AA65" s="18">
        <v>1.6</v>
      </c>
      <c r="AB65" s="18">
        <v>4</v>
      </c>
      <c r="AC65" s="18">
        <v>4</v>
      </c>
      <c r="AD65" s="18">
        <v>5</v>
      </c>
      <c r="AE65" s="2">
        <v>8</v>
      </c>
    </row>
    <row r="66" spans="3:31" x14ac:dyDescent="0.25">
      <c r="C66" s="2" t="s">
        <v>59</v>
      </c>
      <c r="D66" s="18">
        <v>183</v>
      </c>
      <c r="E66" s="18">
        <v>117</v>
      </c>
      <c r="F66" s="18">
        <v>61</v>
      </c>
      <c r="G66" s="18">
        <v>91</v>
      </c>
      <c r="H66" s="18">
        <v>109</v>
      </c>
      <c r="I66" s="18">
        <v>140</v>
      </c>
      <c r="J66" s="18">
        <v>78</v>
      </c>
      <c r="K66" s="18">
        <v>140</v>
      </c>
      <c r="L66" s="18">
        <v>142</v>
      </c>
      <c r="M66" s="18">
        <v>194</v>
      </c>
      <c r="N66" s="18">
        <v>51</v>
      </c>
      <c r="O66" s="18">
        <v>119</v>
      </c>
      <c r="P66" s="18">
        <v>132</v>
      </c>
      <c r="Q66" s="18">
        <v>143</v>
      </c>
      <c r="R66" s="18">
        <v>55</v>
      </c>
      <c r="S66" s="2">
        <v>205</v>
      </c>
      <c r="Y66" s="18">
        <v>13.47</v>
      </c>
      <c r="Z66" s="18">
        <v>99</v>
      </c>
      <c r="AA66" s="18">
        <v>184.7</v>
      </c>
      <c r="AB66" s="18">
        <v>91</v>
      </c>
      <c r="AC66" s="18">
        <v>140</v>
      </c>
      <c r="AD66" s="18">
        <v>119</v>
      </c>
      <c r="AE66" s="2">
        <v>205</v>
      </c>
    </row>
    <row r="67" spans="3:31" x14ac:dyDescent="0.25">
      <c r="C67" s="2" t="s">
        <v>60</v>
      </c>
      <c r="D67" s="18">
        <v>34</v>
      </c>
      <c r="E67" s="18">
        <v>69</v>
      </c>
      <c r="F67" s="18">
        <v>59</v>
      </c>
      <c r="G67" s="18">
        <v>43</v>
      </c>
      <c r="H67" s="18">
        <v>45</v>
      </c>
      <c r="I67" s="18">
        <v>91</v>
      </c>
      <c r="J67" s="18">
        <v>48</v>
      </c>
      <c r="K67" s="18">
        <v>46</v>
      </c>
      <c r="L67" s="18">
        <v>34</v>
      </c>
      <c r="M67" s="18">
        <v>118</v>
      </c>
      <c r="N67" s="18">
        <v>56</v>
      </c>
      <c r="O67" s="18">
        <v>54</v>
      </c>
      <c r="P67" s="18">
        <v>48</v>
      </c>
      <c r="Q67" s="18">
        <v>105</v>
      </c>
      <c r="R67" s="18">
        <v>58</v>
      </c>
      <c r="S67" s="2">
        <v>48</v>
      </c>
      <c r="Y67" s="18">
        <v>11.15</v>
      </c>
      <c r="Z67" s="18">
        <v>35.700000000000003</v>
      </c>
      <c r="AA67" s="18">
        <v>42.7</v>
      </c>
      <c r="AB67" s="18">
        <v>43</v>
      </c>
      <c r="AC67" s="18">
        <v>46</v>
      </c>
      <c r="AD67" s="18">
        <v>54</v>
      </c>
      <c r="AE67" s="2">
        <v>48</v>
      </c>
    </row>
    <row r="68" spans="3:31" x14ac:dyDescent="0.25">
      <c r="C68" s="2" t="s">
        <v>153</v>
      </c>
      <c r="D68" s="18">
        <v>56</v>
      </c>
      <c r="E68" s="18">
        <v>13</v>
      </c>
      <c r="F68" s="18">
        <v>15</v>
      </c>
      <c r="G68" s="18">
        <v>20</v>
      </c>
      <c r="H68" s="18">
        <v>19</v>
      </c>
      <c r="I68" s="18">
        <v>12</v>
      </c>
      <c r="J68" s="18">
        <v>17</v>
      </c>
      <c r="K68" s="18">
        <v>22</v>
      </c>
      <c r="L68" s="18">
        <v>18</v>
      </c>
      <c r="M68" s="18">
        <v>34</v>
      </c>
      <c r="N68" s="18">
        <v>33</v>
      </c>
      <c r="O68" s="18">
        <v>9</v>
      </c>
      <c r="P68" s="18">
        <v>4</v>
      </c>
      <c r="Q68" s="18">
        <v>15</v>
      </c>
      <c r="R68" s="18">
        <v>15</v>
      </c>
      <c r="S68" s="7">
        <v>7</v>
      </c>
      <c r="T68" s="7"/>
      <c r="U68" s="7"/>
      <c r="V68" s="7"/>
      <c r="X68" s="1"/>
      <c r="Y68" s="18">
        <v>14.43</v>
      </c>
      <c r="Z68" s="18">
        <v>36.200000000000003</v>
      </c>
      <c r="AA68" s="18">
        <v>50.4</v>
      </c>
      <c r="AB68" s="18">
        <v>20</v>
      </c>
      <c r="AC68" s="18">
        <v>22</v>
      </c>
      <c r="AD68" s="18">
        <v>9</v>
      </c>
      <c r="AE68" s="7">
        <v>7</v>
      </c>
    </row>
    <row r="69" spans="3:31" x14ac:dyDescent="0.25">
      <c r="C69" s="2" t="s">
        <v>61</v>
      </c>
      <c r="D69" s="18">
        <v>41</v>
      </c>
      <c r="E69" s="18">
        <v>48</v>
      </c>
      <c r="F69" s="18">
        <v>49</v>
      </c>
      <c r="G69" s="18">
        <v>32</v>
      </c>
      <c r="H69" s="18">
        <v>63</v>
      </c>
      <c r="I69" s="18">
        <v>83</v>
      </c>
      <c r="J69" s="18">
        <v>56</v>
      </c>
      <c r="K69" s="18">
        <v>37</v>
      </c>
      <c r="L69" s="18">
        <v>48</v>
      </c>
      <c r="M69" s="18">
        <v>102</v>
      </c>
      <c r="N69" s="18">
        <v>70</v>
      </c>
      <c r="O69" s="18">
        <v>34</v>
      </c>
      <c r="P69" s="18">
        <v>71</v>
      </c>
      <c r="Q69" s="18">
        <v>103</v>
      </c>
      <c r="R69" s="18">
        <v>72</v>
      </c>
      <c r="S69" s="2">
        <v>47</v>
      </c>
      <c r="Y69" s="18">
        <v>6.59</v>
      </c>
      <c r="Z69" s="18">
        <v>25.7</v>
      </c>
      <c r="AA69" s="18">
        <v>31.3</v>
      </c>
      <c r="AB69" s="18">
        <v>32</v>
      </c>
      <c r="AC69" s="18">
        <v>37</v>
      </c>
      <c r="AD69" s="18">
        <v>34</v>
      </c>
      <c r="AE69" s="2">
        <v>47</v>
      </c>
    </row>
    <row r="70" spans="3:31" x14ac:dyDescent="0.25">
      <c r="C70" s="2" t="s">
        <v>62</v>
      </c>
      <c r="D70" s="18">
        <v>47</v>
      </c>
      <c r="E70" s="18">
        <v>65</v>
      </c>
      <c r="F70" s="18">
        <v>83</v>
      </c>
      <c r="G70" s="18">
        <v>63</v>
      </c>
      <c r="H70" s="18">
        <v>72</v>
      </c>
      <c r="I70" s="18">
        <v>86</v>
      </c>
      <c r="J70" s="18">
        <v>104</v>
      </c>
      <c r="K70" s="18">
        <v>73</v>
      </c>
      <c r="L70" s="18">
        <v>78</v>
      </c>
      <c r="M70" s="18">
        <v>92</v>
      </c>
      <c r="N70" s="18">
        <v>108</v>
      </c>
      <c r="O70" s="18">
        <v>77</v>
      </c>
      <c r="P70" s="18">
        <v>91</v>
      </c>
      <c r="Q70" s="18">
        <v>102</v>
      </c>
      <c r="R70" s="18">
        <v>119</v>
      </c>
      <c r="S70" s="2">
        <v>96</v>
      </c>
      <c r="Y70" s="18">
        <v>11.82</v>
      </c>
      <c r="Z70" s="18">
        <v>41.7</v>
      </c>
      <c r="AA70" s="18">
        <v>46.4</v>
      </c>
      <c r="AB70" s="18">
        <v>63</v>
      </c>
      <c r="AC70" s="18">
        <v>73</v>
      </c>
      <c r="AD70" s="18">
        <v>77</v>
      </c>
      <c r="AE70" s="2">
        <v>96</v>
      </c>
    </row>
    <row r="71" spans="3:31" x14ac:dyDescent="0.25">
      <c r="C71" s="7" t="s">
        <v>63</v>
      </c>
      <c r="D71" s="26">
        <f t="shared" ref="D71:L71" si="61">SUM(D62:D70)</f>
        <v>563</v>
      </c>
      <c r="E71" s="26">
        <f t="shared" si="61"/>
        <v>380</v>
      </c>
      <c r="F71" s="26">
        <f t="shared" si="61"/>
        <v>318</v>
      </c>
      <c r="G71" s="26">
        <f t="shared" si="61"/>
        <v>299</v>
      </c>
      <c r="H71" s="26">
        <f t="shared" si="61"/>
        <v>357</v>
      </c>
      <c r="I71" s="26">
        <f t="shared" si="61"/>
        <v>460</v>
      </c>
      <c r="J71" s="26">
        <f t="shared" si="61"/>
        <v>351</v>
      </c>
      <c r="K71" s="26">
        <f t="shared" si="61"/>
        <v>366</v>
      </c>
      <c r="L71" s="26">
        <f t="shared" si="61"/>
        <v>366</v>
      </c>
      <c r="M71" s="26">
        <f>SUM(M62:M70)</f>
        <v>586</v>
      </c>
      <c r="N71" s="26">
        <f>SUM(N62:N70)</f>
        <v>365</v>
      </c>
      <c r="O71" s="26">
        <f>SUM(O62:O70)</f>
        <v>340</v>
      </c>
      <c r="P71" s="26">
        <f>SUM(P62:P70)</f>
        <v>403</v>
      </c>
      <c r="Q71" s="26">
        <f t="shared" ref="Q71:R71" si="62">SUM(Q62:Q70)</f>
        <v>520</v>
      </c>
      <c r="R71" s="26">
        <f t="shared" si="62"/>
        <v>371</v>
      </c>
      <c r="S71" s="26">
        <f t="shared" ref="S71:T71" si="63">SUM(S62:S70)</f>
        <v>454</v>
      </c>
      <c r="T71" s="26">
        <f t="shared" si="63"/>
        <v>0</v>
      </c>
      <c r="Y71" s="26">
        <f t="shared" ref="Y71:AA71" si="64">SUM(Y62:Y70)</f>
        <v>329.53</v>
      </c>
      <c r="Z71" s="26">
        <f t="shared" si="64"/>
        <v>508.59999999999997</v>
      </c>
      <c r="AA71" s="26">
        <f t="shared" si="64"/>
        <v>419.89999999999992</v>
      </c>
      <c r="AB71" s="26">
        <f t="shared" ref="AB71" si="65">SUM(AB62:AB70)</f>
        <v>299</v>
      </c>
      <c r="AC71" s="26">
        <f t="shared" ref="AC71" si="66">SUM(AC62:AC70)</f>
        <v>366</v>
      </c>
      <c r="AD71" s="26">
        <f>SUM(AD62:AD70)</f>
        <v>340</v>
      </c>
      <c r="AE71" s="26">
        <f t="shared" ref="AE71" si="67">SUM(AE62:AE70)</f>
        <v>454</v>
      </c>
    </row>
    <row r="72" spans="3:31" x14ac:dyDescent="0.25">
      <c r="C72" s="1" t="s">
        <v>64</v>
      </c>
      <c r="D72" s="17">
        <f t="shared" ref="D72:O72" si="68">D61+D71</f>
        <v>1577</v>
      </c>
      <c r="E72" s="17">
        <f t="shared" si="68"/>
        <v>1397</v>
      </c>
      <c r="F72" s="17">
        <f t="shared" si="68"/>
        <v>1402</v>
      </c>
      <c r="G72" s="17">
        <f t="shared" si="68"/>
        <v>1437</v>
      </c>
      <c r="H72" s="17">
        <f t="shared" si="68"/>
        <v>1547</v>
      </c>
      <c r="I72" s="17">
        <f t="shared" si="68"/>
        <v>1669</v>
      </c>
      <c r="J72" s="17">
        <f t="shared" si="68"/>
        <v>1623</v>
      </c>
      <c r="K72" s="17">
        <f t="shared" si="68"/>
        <v>1618</v>
      </c>
      <c r="L72" s="17">
        <f t="shared" si="68"/>
        <v>1595</v>
      </c>
      <c r="M72" s="17">
        <f t="shared" si="68"/>
        <v>1753</v>
      </c>
      <c r="N72" s="17">
        <f t="shared" si="68"/>
        <v>1586</v>
      </c>
      <c r="O72" s="17">
        <f t="shared" si="68"/>
        <v>1560</v>
      </c>
      <c r="P72" s="17">
        <f>P61+P71</f>
        <v>1650</v>
      </c>
      <c r="Q72" s="17">
        <f t="shared" ref="Q72:R72" si="69">Q61+Q71</f>
        <v>1728</v>
      </c>
      <c r="R72" s="17">
        <f t="shared" si="69"/>
        <v>1656</v>
      </c>
      <c r="S72" s="17">
        <f t="shared" ref="S72:T72" si="70">S61+S71</f>
        <v>1725</v>
      </c>
      <c r="T72" s="17">
        <f t="shared" si="70"/>
        <v>0</v>
      </c>
      <c r="W72" s="1"/>
      <c r="Y72" s="17">
        <f t="shared" ref="Y72:AA72" si="71">Y61+Y71</f>
        <v>956.59999999999991</v>
      </c>
      <c r="Z72" s="17">
        <f t="shared" si="71"/>
        <v>1268.0999999999999</v>
      </c>
      <c r="AA72" s="17">
        <f t="shared" si="71"/>
        <v>1394.3999999999999</v>
      </c>
      <c r="AB72" s="17">
        <f t="shared" ref="AB72" si="72">AB61+AB71</f>
        <v>1437</v>
      </c>
      <c r="AC72" s="17">
        <f t="shared" ref="AC72" si="73">AC61+AC71</f>
        <v>1618</v>
      </c>
      <c r="AD72" s="17">
        <f t="shared" ref="AD72" si="74">AD61+AD71</f>
        <v>1560</v>
      </c>
      <c r="AE72" s="17">
        <f t="shared" ref="AE72" si="75">AE61+AE71</f>
        <v>1725</v>
      </c>
    </row>
    <row r="73" spans="3:31" x14ac:dyDescent="0.25">
      <c r="W73" s="1"/>
    </row>
    <row r="74" spans="3:31" x14ac:dyDescent="0.25">
      <c r="C74" s="1" t="s">
        <v>65</v>
      </c>
      <c r="W74" s="1"/>
      <c r="X74" s="1"/>
      <c r="Y74" s="1"/>
      <c r="Z74" s="1"/>
      <c r="AA74" s="1"/>
      <c r="AB74" s="1"/>
      <c r="AC74" s="1"/>
    </row>
    <row r="75" spans="3:31" x14ac:dyDescent="0.25">
      <c r="C75" s="2" t="s">
        <v>66</v>
      </c>
      <c r="D75" s="2">
        <f t="shared" ref="D75:S75" si="76">D13</f>
        <v>50</v>
      </c>
      <c r="E75" s="2">
        <f t="shared" si="76"/>
        <v>105</v>
      </c>
      <c r="F75" s="2">
        <f t="shared" si="76"/>
        <v>87</v>
      </c>
      <c r="G75" s="2">
        <f t="shared" si="76"/>
        <v>68</v>
      </c>
      <c r="H75" s="2">
        <f t="shared" si="76"/>
        <v>67</v>
      </c>
      <c r="I75" s="2">
        <f t="shared" si="76"/>
        <v>143</v>
      </c>
      <c r="J75" s="2">
        <f t="shared" si="76"/>
        <v>102</v>
      </c>
      <c r="K75" s="2">
        <f t="shared" si="76"/>
        <v>74</v>
      </c>
      <c r="L75" s="2">
        <f t="shared" si="76"/>
        <v>57</v>
      </c>
      <c r="M75" s="2">
        <f t="shared" si="76"/>
        <v>158</v>
      </c>
      <c r="N75" s="2">
        <f t="shared" si="76"/>
        <v>80</v>
      </c>
      <c r="O75" s="2">
        <f t="shared" si="76"/>
        <v>63</v>
      </c>
      <c r="P75" s="2">
        <f t="shared" si="76"/>
        <v>74</v>
      </c>
      <c r="Q75" s="2">
        <f t="shared" si="76"/>
        <v>178</v>
      </c>
      <c r="R75" s="2">
        <f t="shared" si="76"/>
        <v>104</v>
      </c>
      <c r="S75" s="2">
        <f t="shared" si="76"/>
        <v>66</v>
      </c>
      <c r="W75" s="1"/>
      <c r="X75" s="18"/>
      <c r="Y75" s="18">
        <f t="shared" ref="Y75:AE75" si="77">Y13</f>
        <v>83.171000000000035</v>
      </c>
      <c r="Z75" s="18">
        <f t="shared" si="77"/>
        <v>230.46800000000002</v>
      </c>
      <c r="AA75" s="2">
        <f t="shared" si="77"/>
        <v>366</v>
      </c>
      <c r="AB75" s="2">
        <f t="shared" si="77"/>
        <v>310</v>
      </c>
      <c r="AC75" s="2">
        <f t="shared" si="77"/>
        <v>386</v>
      </c>
      <c r="AD75" s="2">
        <f t="shared" si="77"/>
        <v>357</v>
      </c>
      <c r="AE75" s="2">
        <f t="shared" si="77"/>
        <v>422</v>
      </c>
    </row>
    <row r="76" spans="3:31" x14ac:dyDescent="0.25">
      <c r="C76" s="2" t="s">
        <v>67</v>
      </c>
      <c r="D76" s="2">
        <v>50</v>
      </c>
      <c r="E76" s="2">
        <v>105</v>
      </c>
      <c r="F76" s="2">
        <v>87</v>
      </c>
      <c r="G76" s="2">
        <v>68</v>
      </c>
      <c r="H76" s="2">
        <v>67</v>
      </c>
      <c r="I76" s="2">
        <v>143</v>
      </c>
      <c r="J76" s="2">
        <v>101</v>
      </c>
      <c r="K76" s="2">
        <v>74</v>
      </c>
      <c r="L76" s="2">
        <v>57</v>
      </c>
      <c r="M76" s="2">
        <v>158</v>
      </c>
      <c r="N76" s="2">
        <v>80</v>
      </c>
      <c r="O76" s="2">
        <v>63</v>
      </c>
      <c r="P76" s="2">
        <v>75</v>
      </c>
      <c r="Q76" s="2">
        <v>177</v>
      </c>
      <c r="R76" s="2">
        <v>105</v>
      </c>
      <c r="S76" s="2">
        <v>66</v>
      </c>
      <c r="T76" s="1"/>
      <c r="U76" s="1"/>
      <c r="W76" s="1"/>
      <c r="X76" s="18"/>
      <c r="Y76" s="18">
        <v>83</v>
      </c>
      <c r="Z76" s="18">
        <v>230.405</v>
      </c>
      <c r="AA76" s="2">
        <v>367</v>
      </c>
      <c r="AB76" s="2">
        <v>310</v>
      </c>
      <c r="AC76" s="2">
        <v>386</v>
      </c>
      <c r="AD76" s="2">
        <v>357</v>
      </c>
      <c r="AE76" s="2">
        <v>422</v>
      </c>
    </row>
    <row r="77" spans="3:31" x14ac:dyDescent="0.25">
      <c r="C77" s="2" t="s">
        <v>21</v>
      </c>
      <c r="D77" s="2">
        <v>1</v>
      </c>
      <c r="E77" s="2">
        <v>2</v>
      </c>
      <c r="F77" s="2">
        <v>2</v>
      </c>
      <c r="G77" s="2">
        <v>2</v>
      </c>
      <c r="H77" s="2">
        <v>2</v>
      </c>
      <c r="I77" s="2">
        <v>2</v>
      </c>
      <c r="J77" s="2">
        <v>2</v>
      </c>
      <c r="K77" s="2">
        <v>2</v>
      </c>
      <c r="L77" s="2">
        <v>2</v>
      </c>
      <c r="M77" s="2">
        <v>2</v>
      </c>
      <c r="N77" s="2">
        <v>2</v>
      </c>
      <c r="O77" s="2">
        <v>2</v>
      </c>
      <c r="P77" s="2">
        <v>3</v>
      </c>
      <c r="Q77" s="2">
        <v>3</v>
      </c>
      <c r="R77" s="2">
        <v>3</v>
      </c>
      <c r="S77" s="2">
        <v>3</v>
      </c>
      <c r="T77" s="1"/>
      <c r="U77" s="1"/>
      <c r="W77" s="1"/>
      <c r="X77" s="18"/>
      <c r="Y77" s="18">
        <v>1.98</v>
      </c>
      <c r="Z77" s="18">
        <v>3.871</v>
      </c>
      <c r="AA77" s="2">
        <v>5</v>
      </c>
      <c r="AB77" s="2">
        <v>7</v>
      </c>
      <c r="AC77" s="2">
        <v>9</v>
      </c>
      <c r="AD77" s="2">
        <v>9</v>
      </c>
      <c r="AE77" s="2">
        <v>12</v>
      </c>
    </row>
    <row r="78" spans="3:31" x14ac:dyDescent="0.25">
      <c r="C78" s="2" t="s">
        <v>68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1"/>
      <c r="U78" s="1"/>
      <c r="W78" s="1"/>
      <c r="X78" s="18"/>
      <c r="Y78" s="18">
        <v>0</v>
      </c>
      <c r="Z78" s="18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</row>
    <row r="79" spans="3:31" x14ac:dyDescent="0.25">
      <c r="C79" s="2" t="s">
        <v>69</v>
      </c>
      <c r="D79" s="2">
        <v>0</v>
      </c>
      <c r="E79" s="2">
        <v>0</v>
      </c>
      <c r="F79" s="2">
        <v>0</v>
      </c>
      <c r="G79" s="2">
        <v>1</v>
      </c>
      <c r="H79" s="2">
        <v>1</v>
      </c>
      <c r="I79" s="2">
        <v>2</v>
      </c>
      <c r="J79" s="2">
        <v>2</v>
      </c>
      <c r="K79" s="2">
        <v>2</v>
      </c>
      <c r="L79" s="2">
        <v>1</v>
      </c>
      <c r="M79" s="2">
        <v>1</v>
      </c>
      <c r="N79" s="2">
        <v>0</v>
      </c>
      <c r="O79" s="2">
        <v>1</v>
      </c>
      <c r="P79" s="2">
        <v>0</v>
      </c>
      <c r="Q79" s="2">
        <v>1</v>
      </c>
      <c r="R79" s="2">
        <v>1</v>
      </c>
      <c r="S79" s="2">
        <v>1</v>
      </c>
      <c r="X79" s="18"/>
      <c r="Y79" s="18">
        <v>0</v>
      </c>
      <c r="Z79" s="18">
        <v>0</v>
      </c>
      <c r="AA79" s="2">
        <v>0</v>
      </c>
      <c r="AB79" s="2">
        <v>1</v>
      </c>
      <c r="AC79" s="2">
        <v>8</v>
      </c>
      <c r="AD79" s="2">
        <v>4</v>
      </c>
      <c r="AE79" s="2">
        <v>3</v>
      </c>
    </row>
    <row r="80" spans="3:31" x14ac:dyDescent="0.25">
      <c r="C80" s="2" t="s">
        <v>70</v>
      </c>
      <c r="D80" s="2">
        <v>-1</v>
      </c>
      <c r="E80" s="2">
        <v>-2</v>
      </c>
      <c r="F80" s="2">
        <v>-1</v>
      </c>
      <c r="G80" s="2">
        <v>-1</v>
      </c>
      <c r="H80" s="2">
        <v>-1</v>
      </c>
      <c r="I80" s="2">
        <v>-1</v>
      </c>
      <c r="J80" s="2">
        <v>-1</v>
      </c>
      <c r="K80" s="2">
        <v>-1</v>
      </c>
      <c r="L80" s="2">
        <v>-1</v>
      </c>
      <c r="M80" s="2">
        <v>-1</v>
      </c>
      <c r="N80" s="2">
        <v>-1</v>
      </c>
      <c r="O80" s="2">
        <v>-1</v>
      </c>
      <c r="P80" s="2">
        <v>-1</v>
      </c>
      <c r="Q80" s="2">
        <v>-1</v>
      </c>
      <c r="R80" s="2">
        <v>-1</v>
      </c>
      <c r="S80" s="2">
        <v>-1</v>
      </c>
      <c r="X80" s="18"/>
      <c r="Y80" s="18">
        <v>-6.9</v>
      </c>
      <c r="Z80" s="18">
        <v>-11.815</v>
      </c>
      <c r="AA80" s="2">
        <v>-3</v>
      </c>
      <c r="AB80" s="2">
        <v>-5</v>
      </c>
      <c r="AC80" s="2">
        <v>-4</v>
      </c>
      <c r="AD80" s="2">
        <v>-4</v>
      </c>
      <c r="AE80" s="2">
        <v>-4</v>
      </c>
    </row>
    <row r="81" spans="3:31" x14ac:dyDescent="0.25">
      <c r="C81" s="2" t="s">
        <v>71</v>
      </c>
      <c r="D81" s="2">
        <v>-10</v>
      </c>
      <c r="E81" s="2">
        <v>-62</v>
      </c>
      <c r="F81" s="2">
        <v>-13</v>
      </c>
      <c r="G81" s="2">
        <v>-15</v>
      </c>
      <c r="H81" s="2">
        <v>-12</v>
      </c>
      <c r="I81" s="2">
        <v>-36</v>
      </c>
      <c r="J81" s="2">
        <v>-16</v>
      </c>
      <c r="K81" s="2">
        <v>-11</v>
      </c>
      <c r="L81" s="2">
        <v>-15</v>
      </c>
      <c r="M81" s="2">
        <v>-32</v>
      </c>
      <c r="N81" s="2">
        <v>-18</v>
      </c>
      <c r="O81" s="2">
        <v>-16</v>
      </c>
      <c r="P81" s="2">
        <v>-24</v>
      </c>
      <c r="Q81" s="2">
        <v>-26</v>
      </c>
      <c r="R81" s="2">
        <v>-22</v>
      </c>
      <c r="S81" s="2">
        <v>-18</v>
      </c>
      <c r="X81" s="18"/>
      <c r="Y81" s="18">
        <v>-8.1999999999999993</v>
      </c>
      <c r="Z81" s="18">
        <v>-27.5</v>
      </c>
      <c r="AA81" s="2">
        <v>-63</v>
      </c>
      <c r="AB81" s="2">
        <v>-100</v>
      </c>
      <c r="AC81" s="2">
        <v>-74</v>
      </c>
      <c r="AD81" s="2">
        <v>-83</v>
      </c>
      <c r="AE81" s="2">
        <v>-90</v>
      </c>
    </row>
    <row r="82" spans="3:31" x14ac:dyDescent="0.25">
      <c r="C82" s="2" t="s">
        <v>72</v>
      </c>
      <c r="D82" s="2">
        <f>-82-33+3</f>
        <v>-112</v>
      </c>
      <c r="E82" s="2">
        <f>79+31-7</f>
        <v>103</v>
      </c>
      <c r="F82" s="2">
        <f>46+27-47</f>
        <v>26</v>
      </c>
      <c r="G82" s="2">
        <f>-4-17-23</f>
        <v>-44</v>
      </c>
      <c r="H82" s="2">
        <f>-96+4+59</f>
        <v>-33</v>
      </c>
      <c r="I82" s="2">
        <f>60-1+112</f>
        <v>171</v>
      </c>
      <c r="J82" s="2">
        <f>-23+2-117</f>
        <v>-138</v>
      </c>
      <c r="K82" s="2">
        <f>13+2+10</f>
        <v>25</v>
      </c>
      <c r="L82" s="2">
        <f>-129-5-8</f>
        <v>-142</v>
      </c>
      <c r="M82" s="2">
        <f>-14+10+203</f>
        <v>199</v>
      </c>
      <c r="N82" s="2">
        <f>48-1-219</f>
        <v>-172</v>
      </c>
      <c r="O82" s="2">
        <f>22+16-1</f>
        <v>37</v>
      </c>
      <c r="P82" s="2">
        <f>-65-19+58</f>
        <v>-26</v>
      </c>
      <c r="Q82" s="2">
        <f>91-1+116</f>
        <v>206</v>
      </c>
      <c r="R82" s="2">
        <f>86-154</f>
        <v>-68</v>
      </c>
      <c r="S82" s="2">
        <f>-111+3+88</f>
        <v>-20</v>
      </c>
      <c r="X82" s="18"/>
      <c r="Y82" s="18">
        <f>45.798-3.4+8.5</f>
        <v>50.898000000000003</v>
      </c>
      <c r="Z82" s="18">
        <f>-118.031-10.988+158.8</f>
        <v>29.781000000000006</v>
      </c>
      <c r="AA82" s="2">
        <f>-296-44+100</f>
        <v>-240</v>
      </c>
      <c r="AB82" s="2">
        <f>40+8-73</f>
        <v>-25</v>
      </c>
      <c r="AC82" s="2">
        <f>-46+5+66</f>
        <v>25</v>
      </c>
      <c r="AD82" s="2">
        <f>-74+20-10</f>
        <v>-64</v>
      </c>
      <c r="AE82" s="2">
        <v>92</v>
      </c>
    </row>
    <row r="83" spans="3:31" x14ac:dyDescent="0.25">
      <c r="C83" s="1" t="s">
        <v>73</v>
      </c>
      <c r="D83" s="1">
        <f t="shared" ref="D83:O83" si="78">SUM(D76:D82)</f>
        <v>-72</v>
      </c>
      <c r="E83" s="1">
        <f t="shared" si="78"/>
        <v>146</v>
      </c>
      <c r="F83" s="1">
        <f t="shared" si="78"/>
        <v>101</v>
      </c>
      <c r="G83" s="1">
        <f t="shared" si="78"/>
        <v>11</v>
      </c>
      <c r="H83" s="1">
        <f t="shared" si="78"/>
        <v>24</v>
      </c>
      <c r="I83" s="1">
        <f t="shared" si="78"/>
        <v>281</v>
      </c>
      <c r="J83" s="1">
        <f t="shared" si="78"/>
        <v>-50</v>
      </c>
      <c r="K83" s="1">
        <f t="shared" si="78"/>
        <v>91</v>
      </c>
      <c r="L83" s="1">
        <f t="shared" si="78"/>
        <v>-98</v>
      </c>
      <c r="M83" s="1">
        <f t="shared" si="78"/>
        <v>327</v>
      </c>
      <c r="N83" s="1">
        <f t="shared" si="78"/>
        <v>-109</v>
      </c>
      <c r="O83" s="1">
        <f t="shared" si="78"/>
        <v>86</v>
      </c>
      <c r="P83" s="1">
        <f>SUM(P76:P82)</f>
        <v>27</v>
      </c>
      <c r="Q83" s="1">
        <f t="shared" ref="Q83:S83" si="79">SUM(Q76:Q82)</f>
        <v>360</v>
      </c>
      <c r="R83" s="1">
        <f t="shared" si="79"/>
        <v>18</v>
      </c>
      <c r="S83" s="1">
        <f t="shared" si="79"/>
        <v>31</v>
      </c>
      <c r="X83" s="17"/>
      <c r="Y83" s="17">
        <f t="shared" ref="Y83" si="80">SUM(Y76:Y82)</f>
        <v>120.77799999999999</v>
      </c>
      <c r="Z83" s="17">
        <f t="shared" ref="Z83" si="81">SUM(Z76:Z82)</f>
        <v>224.74200000000002</v>
      </c>
      <c r="AA83" s="1">
        <f t="shared" ref="AA83" si="82">SUM(AA76:AA82)</f>
        <v>66</v>
      </c>
      <c r="AB83" s="1">
        <f t="shared" ref="AB83" si="83">SUM(AB76:AB82)</f>
        <v>188</v>
      </c>
      <c r="AC83" s="1">
        <f t="shared" ref="AC83" si="84">SUM(AC76:AC82)</f>
        <v>350</v>
      </c>
      <c r="AD83" s="1">
        <f t="shared" ref="AD83:AE83" si="85">SUM(AD76:AD82)</f>
        <v>219</v>
      </c>
      <c r="AE83" s="1">
        <f t="shared" si="85"/>
        <v>435</v>
      </c>
    </row>
    <row r="84" spans="3:31" x14ac:dyDescent="0.25">
      <c r="X84" s="18"/>
      <c r="Y84" s="18"/>
      <c r="Z84" s="18"/>
    </row>
    <row r="85" spans="3:31" x14ac:dyDescent="0.25">
      <c r="C85" s="2" t="s">
        <v>74</v>
      </c>
      <c r="D85" s="2">
        <v>-1</v>
      </c>
      <c r="E85" s="2">
        <v>-2</v>
      </c>
      <c r="F85" s="2">
        <v>-1</v>
      </c>
      <c r="G85" s="2">
        <v>-2</v>
      </c>
      <c r="H85" s="2">
        <v>-1</v>
      </c>
      <c r="I85" s="2">
        <v>-8</v>
      </c>
      <c r="J85" s="2">
        <v>0</v>
      </c>
      <c r="K85" s="2">
        <v>-1</v>
      </c>
      <c r="L85" s="2">
        <v>0</v>
      </c>
      <c r="M85" s="2">
        <v>-1</v>
      </c>
      <c r="N85" s="2">
        <v>0</v>
      </c>
      <c r="O85" s="2">
        <v>-2</v>
      </c>
      <c r="P85" s="2">
        <v>-1</v>
      </c>
      <c r="Q85" s="2">
        <v>-2</v>
      </c>
      <c r="R85" s="2">
        <v>-1</v>
      </c>
      <c r="S85" s="2">
        <v>-2</v>
      </c>
      <c r="X85" s="18"/>
      <c r="Y85" s="18">
        <v>-7</v>
      </c>
      <c r="Z85" s="18">
        <v>-3.2</v>
      </c>
      <c r="AA85" s="2">
        <v>-3</v>
      </c>
      <c r="AB85" s="2">
        <v>-6</v>
      </c>
      <c r="AC85" s="2">
        <v>-10</v>
      </c>
      <c r="AD85" s="2">
        <v>-3</v>
      </c>
      <c r="AE85" s="2">
        <v>-6</v>
      </c>
    </row>
    <row r="86" spans="3:31" x14ac:dyDescent="0.25">
      <c r="C86" s="1" t="s">
        <v>75</v>
      </c>
      <c r="D86" s="1">
        <f t="shared" ref="D86:O86" si="86">D85</f>
        <v>-1</v>
      </c>
      <c r="E86" s="1">
        <f t="shared" si="86"/>
        <v>-2</v>
      </c>
      <c r="F86" s="1">
        <f t="shared" si="86"/>
        <v>-1</v>
      </c>
      <c r="G86" s="1">
        <f t="shared" si="86"/>
        <v>-2</v>
      </c>
      <c r="H86" s="1">
        <f t="shared" si="86"/>
        <v>-1</v>
      </c>
      <c r="I86" s="1">
        <f t="shared" si="86"/>
        <v>-8</v>
      </c>
      <c r="J86" s="1">
        <f t="shared" si="86"/>
        <v>0</v>
      </c>
      <c r="K86" s="1">
        <f t="shared" si="86"/>
        <v>-1</v>
      </c>
      <c r="L86" s="1">
        <f t="shared" si="86"/>
        <v>0</v>
      </c>
      <c r="M86" s="1">
        <f t="shared" si="86"/>
        <v>-1</v>
      </c>
      <c r="N86" s="1">
        <f t="shared" si="86"/>
        <v>0</v>
      </c>
      <c r="O86" s="1">
        <f t="shared" si="86"/>
        <v>-2</v>
      </c>
      <c r="P86" s="1">
        <f>P85</f>
        <v>-1</v>
      </c>
      <c r="Q86" s="1">
        <f t="shared" ref="Q86:S86" si="87">Q85</f>
        <v>-2</v>
      </c>
      <c r="R86" s="1">
        <f t="shared" si="87"/>
        <v>-1</v>
      </c>
      <c r="S86" s="1">
        <f t="shared" si="87"/>
        <v>-2</v>
      </c>
      <c r="T86" s="7"/>
      <c r="U86" s="7"/>
      <c r="X86" s="17"/>
      <c r="Y86" s="17">
        <f t="shared" ref="Y86" si="88">Y85</f>
        <v>-7</v>
      </c>
      <c r="Z86" s="17">
        <f t="shared" ref="Z86" si="89">Z85</f>
        <v>-3.2</v>
      </c>
      <c r="AA86" s="1">
        <f t="shared" ref="AA86" si="90">AA85</f>
        <v>-3</v>
      </c>
      <c r="AB86" s="1">
        <f t="shared" ref="AB86" si="91">AB85</f>
        <v>-6</v>
      </c>
      <c r="AC86" s="1">
        <f t="shared" ref="AC86" si="92">AC85</f>
        <v>-10</v>
      </c>
      <c r="AD86" s="1">
        <f t="shared" ref="AD86:AE86" si="93">AD85</f>
        <v>-3</v>
      </c>
      <c r="AE86" s="1">
        <f t="shared" si="93"/>
        <v>-6</v>
      </c>
    </row>
    <row r="87" spans="3:31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7"/>
      <c r="Y87" s="17"/>
      <c r="Z87" s="17"/>
      <c r="AA87" s="1"/>
      <c r="AB87" s="1"/>
      <c r="AC87" s="1"/>
      <c r="AD87" s="1"/>
    </row>
    <row r="88" spans="3:31" x14ac:dyDescent="0.25">
      <c r="C88" s="2" t="s">
        <v>76</v>
      </c>
      <c r="D88" s="2">
        <v>0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-1</v>
      </c>
      <c r="K88" s="2">
        <v>-1</v>
      </c>
      <c r="L88" s="2">
        <v>-1</v>
      </c>
      <c r="M88" s="2">
        <v>-1</v>
      </c>
      <c r="N88" s="2">
        <v>-1</v>
      </c>
      <c r="O88" s="2">
        <v>-1</v>
      </c>
      <c r="P88" s="2">
        <v>-2</v>
      </c>
      <c r="Q88" s="2">
        <v>-2</v>
      </c>
      <c r="R88" s="2">
        <v>-2</v>
      </c>
      <c r="S88" s="2">
        <v>-2</v>
      </c>
      <c r="X88" s="18"/>
      <c r="Y88" s="18">
        <v>-1.2350000000000001</v>
      </c>
      <c r="Z88" s="18">
        <v>-1.5609999999999999</v>
      </c>
      <c r="AA88" s="2">
        <v>-2</v>
      </c>
      <c r="AB88" s="2">
        <v>-3</v>
      </c>
      <c r="AC88" s="2">
        <v>-4</v>
      </c>
      <c r="AD88" s="2">
        <v>-4</v>
      </c>
      <c r="AE88" s="2">
        <v>-8</v>
      </c>
    </row>
    <row r="89" spans="3:31" x14ac:dyDescent="0.25">
      <c r="C89" s="2" t="s">
        <v>77</v>
      </c>
      <c r="D89" s="2">
        <v>140</v>
      </c>
      <c r="E89" s="2">
        <v>-142</v>
      </c>
      <c r="F89" s="2">
        <v>-17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X89" s="18"/>
      <c r="Y89" s="18">
        <f>230-130.625</f>
        <v>99.375</v>
      </c>
      <c r="Z89" s="18">
        <v>-1.5</v>
      </c>
      <c r="AA89" s="2">
        <v>-209</v>
      </c>
      <c r="AB89" s="2">
        <v>-19</v>
      </c>
      <c r="AC89" s="2">
        <v>-1</v>
      </c>
      <c r="AD89" s="2">
        <v>-1</v>
      </c>
      <c r="AE89" s="2">
        <v>0</v>
      </c>
    </row>
    <row r="90" spans="3:31" x14ac:dyDescent="0.25">
      <c r="C90" s="2" t="s">
        <v>100</v>
      </c>
      <c r="D90" s="2">
        <v>0</v>
      </c>
      <c r="E90" s="2">
        <v>-87</v>
      </c>
      <c r="F90" s="2">
        <v>0</v>
      </c>
      <c r="G90" s="2">
        <v>0</v>
      </c>
      <c r="H90" s="2">
        <v>0</v>
      </c>
      <c r="I90" s="2">
        <v>-97</v>
      </c>
      <c r="J90" s="2">
        <v>0</v>
      </c>
      <c r="K90" s="2">
        <v>0</v>
      </c>
      <c r="L90" s="2">
        <v>0</v>
      </c>
      <c r="M90" s="2">
        <v>-132</v>
      </c>
      <c r="N90" s="2">
        <v>20</v>
      </c>
      <c r="O90" s="2">
        <v>0</v>
      </c>
      <c r="P90" s="2">
        <v>0</v>
      </c>
      <c r="Q90" s="2">
        <v>-143</v>
      </c>
      <c r="R90" s="2">
        <v>0</v>
      </c>
      <c r="S90" s="2">
        <v>0</v>
      </c>
      <c r="X90" s="18"/>
      <c r="Y90" s="18">
        <v>-132</v>
      </c>
      <c r="Z90" s="18">
        <v>-110</v>
      </c>
      <c r="AA90" s="2">
        <v>-72</v>
      </c>
      <c r="AB90" s="2">
        <v>-87</v>
      </c>
      <c r="AC90" s="2">
        <v>-97</v>
      </c>
      <c r="AD90" s="2">
        <v>-132</v>
      </c>
      <c r="AE90" s="2">
        <v>-143</v>
      </c>
    </row>
    <row r="91" spans="3:31" x14ac:dyDescent="0.25">
      <c r="C91" s="2" t="s">
        <v>78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-17</v>
      </c>
      <c r="K91" s="2">
        <v>-81</v>
      </c>
      <c r="L91" s="2">
        <v>-69</v>
      </c>
      <c r="M91" s="2">
        <v>-59</v>
      </c>
      <c r="N91" s="2">
        <v>-27</v>
      </c>
      <c r="O91" s="2">
        <v>-51</v>
      </c>
      <c r="P91" s="2">
        <v>-32</v>
      </c>
      <c r="Q91" s="2">
        <v>-39</v>
      </c>
      <c r="R91" s="2">
        <v>-62</v>
      </c>
      <c r="S91" s="2">
        <v>-68</v>
      </c>
      <c r="X91" s="18"/>
      <c r="Y91" s="18">
        <v>1.38</v>
      </c>
      <c r="Z91" s="18">
        <v>53.281999999999996</v>
      </c>
      <c r="AA91" s="2">
        <v>0</v>
      </c>
      <c r="AB91" s="2">
        <v>0</v>
      </c>
      <c r="AC91" s="2">
        <v>-98</v>
      </c>
      <c r="AD91" s="2">
        <v>-205</v>
      </c>
      <c r="AE91" s="2">
        <v>-201</v>
      </c>
    </row>
    <row r="92" spans="3:31" x14ac:dyDescent="0.25">
      <c r="C92" s="2" t="s">
        <v>79</v>
      </c>
      <c r="D92" s="2">
        <v>0</v>
      </c>
      <c r="E92" s="2">
        <v>9</v>
      </c>
      <c r="F92" s="2">
        <v>-1</v>
      </c>
      <c r="G92" s="2">
        <v>0</v>
      </c>
      <c r="H92" s="2">
        <v>0</v>
      </c>
      <c r="I92" s="2">
        <v>2</v>
      </c>
      <c r="J92" s="2">
        <v>0</v>
      </c>
      <c r="K92" s="2">
        <v>0</v>
      </c>
      <c r="L92" s="2">
        <v>0</v>
      </c>
      <c r="M92" s="2">
        <v>3</v>
      </c>
      <c r="N92" s="2">
        <v>-2</v>
      </c>
      <c r="O92" s="2">
        <v>0</v>
      </c>
      <c r="P92" s="2">
        <v>0</v>
      </c>
      <c r="Q92" s="2">
        <v>3</v>
      </c>
      <c r="R92" s="2">
        <v>56</v>
      </c>
      <c r="S92" s="2">
        <v>1</v>
      </c>
      <c r="X92" s="18"/>
      <c r="Y92" s="18">
        <v>0</v>
      </c>
      <c r="Z92" s="18">
        <v>17.399000000000001</v>
      </c>
      <c r="AA92" s="2">
        <v>-1</v>
      </c>
      <c r="AB92" s="2">
        <v>7</v>
      </c>
      <c r="AC92" s="2">
        <v>1</v>
      </c>
      <c r="AD92" s="2">
        <v>22</v>
      </c>
      <c r="AE92" s="2">
        <v>60</v>
      </c>
    </row>
    <row r="93" spans="3:31" x14ac:dyDescent="0.25">
      <c r="C93" s="1" t="s">
        <v>80</v>
      </c>
      <c r="D93" s="1">
        <f t="shared" ref="D93:S93" si="94">SUM(D88:D92)</f>
        <v>140</v>
      </c>
      <c r="E93" s="1">
        <f t="shared" si="94"/>
        <v>-221</v>
      </c>
      <c r="F93" s="1">
        <f t="shared" si="94"/>
        <v>-19</v>
      </c>
      <c r="G93" s="1">
        <f t="shared" si="94"/>
        <v>-1</v>
      </c>
      <c r="H93" s="1">
        <f t="shared" si="94"/>
        <v>-1</v>
      </c>
      <c r="I93" s="1">
        <f t="shared" si="94"/>
        <v>-96</v>
      </c>
      <c r="J93" s="1">
        <f t="shared" si="94"/>
        <v>-18</v>
      </c>
      <c r="K93" s="1">
        <f t="shared" si="94"/>
        <v>-82</v>
      </c>
      <c r="L93" s="1">
        <f t="shared" si="94"/>
        <v>-70</v>
      </c>
      <c r="M93" s="1">
        <f t="shared" si="94"/>
        <v>-189</v>
      </c>
      <c r="N93" s="1">
        <f t="shared" si="94"/>
        <v>-10</v>
      </c>
      <c r="O93" s="1">
        <f t="shared" si="94"/>
        <v>-52</v>
      </c>
      <c r="P93" s="1">
        <f t="shared" si="94"/>
        <v>-34</v>
      </c>
      <c r="Q93" s="1">
        <f t="shared" si="94"/>
        <v>-181</v>
      </c>
      <c r="R93" s="1">
        <f t="shared" si="94"/>
        <v>-8</v>
      </c>
      <c r="S93" s="1">
        <f t="shared" si="94"/>
        <v>-69</v>
      </c>
      <c r="X93" s="17"/>
      <c r="Y93" s="17">
        <f t="shared" ref="Y93" si="95">SUM(Y88:Y92)</f>
        <v>-32.479999999999997</v>
      </c>
      <c r="Z93" s="17">
        <f t="shared" ref="Z93:AE93" si="96">SUM(Z88:Z92)</f>
        <v>-42.38000000000001</v>
      </c>
      <c r="AA93" s="1">
        <f t="shared" si="96"/>
        <v>-284</v>
      </c>
      <c r="AB93" s="1">
        <f t="shared" si="96"/>
        <v>-102</v>
      </c>
      <c r="AC93" s="1">
        <f t="shared" si="96"/>
        <v>-199</v>
      </c>
      <c r="AD93" s="1">
        <f t="shared" si="96"/>
        <v>-320</v>
      </c>
      <c r="AE93" s="1">
        <f t="shared" si="96"/>
        <v>-292</v>
      </c>
    </row>
    <row r="94" spans="3:31" x14ac:dyDescent="0.25">
      <c r="X94" s="18"/>
      <c r="Y94" s="18"/>
      <c r="Z94" s="18"/>
    </row>
    <row r="95" spans="3:31" x14ac:dyDescent="0.25">
      <c r="C95" s="2" t="s">
        <v>81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-1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X95" s="18"/>
      <c r="Y95" s="18">
        <v>-1.2</v>
      </c>
      <c r="Z95" s="18">
        <v>0</v>
      </c>
      <c r="AA95" s="2">
        <v>0</v>
      </c>
      <c r="AB95" s="2">
        <v>0</v>
      </c>
      <c r="AC95" s="2">
        <v>0</v>
      </c>
      <c r="AD95" s="2">
        <v>-1</v>
      </c>
      <c r="AE95" s="2">
        <v>1</v>
      </c>
    </row>
    <row r="96" spans="3:31" x14ac:dyDescent="0.25">
      <c r="X96" s="18"/>
      <c r="Y96" s="18"/>
      <c r="Z96" s="18"/>
    </row>
    <row r="97" spans="3:34" x14ac:dyDescent="0.25">
      <c r="C97" s="2" t="s">
        <v>82</v>
      </c>
      <c r="D97" s="2">
        <f t="shared" ref="D97:R97" si="97">D83+D86+D93</f>
        <v>67</v>
      </c>
      <c r="E97" s="2">
        <f t="shared" si="97"/>
        <v>-77</v>
      </c>
      <c r="F97" s="2">
        <f t="shared" si="97"/>
        <v>81</v>
      </c>
      <c r="G97" s="2">
        <f t="shared" si="97"/>
        <v>8</v>
      </c>
      <c r="H97" s="2">
        <f t="shared" si="97"/>
        <v>22</v>
      </c>
      <c r="I97" s="2">
        <f t="shared" si="97"/>
        <v>177</v>
      </c>
      <c r="J97" s="2">
        <f t="shared" si="97"/>
        <v>-68</v>
      </c>
      <c r="K97" s="2">
        <f t="shared" si="97"/>
        <v>8</v>
      </c>
      <c r="L97" s="2">
        <f t="shared" si="97"/>
        <v>-168</v>
      </c>
      <c r="M97" s="2">
        <f t="shared" si="97"/>
        <v>137</v>
      </c>
      <c r="N97" s="2">
        <f t="shared" si="97"/>
        <v>-119</v>
      </c>
      <c r="O97" s="2">
        <f t="shared" si="97"/>
        <v>32</v>
      </c>
      <c r="P97" s="2">
        <f t="shared" si="97"/>
        <v>-8</v>
      </c>
      <c r="Q97" s="2">
        <f t="shared" si="97"/>
        <v>177</v>
      </c>
      <c r="R97" s="2">
        <f t="shared" si="97"/>
        <v>9</v>
      </c>
      <c r="S97" s="2">
        <f t="shared" ref="S97" si="98">S83+S86+S93</f>
        <v>-40</v>
      </c>
      <c r="X97" s="18"/>
      <c r="Y97" s="18">
        <f t="shared" ref="Y97" si="99">Y83+Y86+Y93</f>
        <v>81.298000000000002</v>
      </c>
      <c r="Z97" s="18">
        <f t="shared" ref="Z97:AE97" si="100">Z83+Z86+Z93</f>
        <v>179.16200000000003</v>
      </c>
      <c r="AA97" s="2">
        <f t="shared" si="100"/>
        <v>-221</v>
      </c>
      <c r="AB97" s="2">
        <f t="shared" si="100"/>
        <v>80</v>
      </c>
      <c r="AC97" s="2">
        <f t="shared" si="100"/>
        <v>141</v>
      </c>
      <c r="AD97" s="2">
        <f t="shared" si="100"/>
        <v>-104</v>
      </c>
      <c r="AE97" s="2">
        <f t="shared" si="100"/>
        <v>137</v>
      </c>
    </row>
    <row r="98" spans="3:34" x14ac:dyDescent="0.25">
      <c r="X98" s="18"/>
      <c r="Y98" s="18"/>
      <c r="Z98" s="18"/>
    </row>
    <row r="99" spans="3:34" x14ac:dyDescent="0.25">
      <c r="C99" s="2" t="s">
        <v>83</v>
      </c>
      <c r="D99" s="2">
        <f t="shared" ref="D99:Q99" si="101">D83+D85</f>
        <v>-73</v>
      </c>
      <c r="E99" s="2">
        <f t="shared" si="101"/>
        <v>144</v>
      </c>
      <c r="F99" s="2">
        <f t="shared" si="101"/>
        <v>100</v>
      </c>
      <c r="G99" s="2">
        <f t="shared" si="101"/>
        <v>9</v>
      </c>
      <c r="H99" s="2">
        <f t="shared" si="101"/>
        <v>23</v>
      </c>
      <c r="I99" s="2">
        <f t="shared" si="101"/>
        <v>273</v>
      </c>
      <c r="J99" s="2">
        <f t="shared" si="101"/>
        <v>-50</v>
      </c>
      <c r="K99" s="2">
        <f t="shared" si="101"/>
        <v>90</v>
      </c>
      <c r="L99" s="2">
        <f t="shared" si="101"/>
        <v>-98</v>
      </c>
      <c r="M99" s="2">
        <f t="shared" si="101"/>
        <v>326</v>
      </c>
      <c r="N99" s="2">
        <f t="shared" si="101"/>
        <v>-109</v>
      </c>
      <c r="O99" s="2">
        <f t="shared" si="101"/>
        <v>84</v>
      </c>
      <c r="P99" s="2">
        <f t="shared" si="101"/>
        <v>26</v>
      </c>
      <c r="Q99" s="2">
        <f t="shared" si="101"/>
        <v>358</v>
      </c>
      <c r="R99" s="2">
        <f>R83+R85</f>
        <v>17</v>
      </c>
      <c r="S99" s="2">
        <f>S83+S85</f>
        <v>29</v>
      </c>
      <c r="X99" s="18"/>
      <c r="Y99" s="37">
        <f t="shared" ref="Y99:AD99" si="102">Y83+Y85</f>
        <v>113.77799999999999</v>
      </c>
      <c r="Z99" s="37">
        <f t="shared" si="102"/>
        <v>221.54200000000003</v>
      </c>
      <c r="AA99" s="2">
        <f t="shared" si="102"/>
        <v>63</v>
      </c>
      <c r="AB99" s="2">
        <f t="shared" si="102"/>
        <v>182</v>
      </c>
      <c r="AC99" s="2">
        <f t="shared" si="102"/>
        <v>340</v>
      </c>
      <c r="AD99" s="2">
        <f t="shared" si="102"/>
        <v>216</v>
      </c>
      <c r="AE99" s="2">
        <f t="shared" ref="AE99" si="103">AE83+AE85</f>
        <v>429</v>
      </c>
    </row>
    <row r="106" spans="3:34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X106" s="1"/>
      <c r="Y106" s="1"/>
      <c r="Z106" s="1"/>
      <c r="AA106" s="1"/>
      <c r="AB106" s="1"/>
      <c r="AC106" s="1"/>
      <c r="AD106" s="1"/>
      <c r="AE106" s="1"/>
      <c r="AF106" s="42"/>
      <c r="AG106" s="1"/>
    </row>
    <row r="107" spans="3:34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X107" s="1"/>
      <c r="Y107" s="1"/>
      <c r="Z107" s="1"/>
      <c r="AA107" s="1"/>
      <c r="AB107" s="1"/>
      <c r="AC107" s="1"/>
      <c r="AD107" s="1"/>
      <c r="AE107" s="1"/>
      <c r="AF107" s="42"/>
      <c r="AG107" s="1"/>
    </row>
    <row r="108" spans="3:34" x14ac:dyDescent="0.25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43"/>
      <c r="AG108" s="7"/>
      <c r="AH108" s="7"/>
    </row>
    <row r="119" spans="3:33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X119" s="1"/>
      <c r="Y119" s="1"/>
      <c r="Z119" s="1"/>
      <c r="AA119" s="1"/>
      <c r="AB119" s="1"/>
      <c r="AC119" s="1"/>
      <c r="AD119" s="1"/>
      <c r="AE119" s="1"/>
      <c r="AF119" s="42"/>
      <c r="AG119" s="1"/>
    </row>
    <row r="132" spans="3:33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X132" s="1"/>
      <c r="Y132" s="1"/>
      <c r="Z132" s="1"/>
      <c r="AA132" s="1"/>
      <c r="AB132" s="1"/>
      <c r="AC132" s="1"/>
      <c r="AD132" s="1"/>
      <c r="AE132" s="1"/>
      <c r="AF132" s="42"/>
      <c r="AG132" s="1"/>
    </row>
    <row r="133" spans="3:33" x14ac:dyDescent="0.25">
      <c r="Q133" s="1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CFAE-F01B-F742-AD7C-7F9281128E4B}">
  <dimension ref="A2:G69"/>
  <sheetViews>
    <sheetView showGridLines="0" workbookViewId="0">
      <selection activeCell="I17" sqref="I17"/>
    </sheetView>
  </sheetViews>
  <sheetFormatPr baseColWidth="10" defaultRowHeight="24" x14ac:dyDescent="0.3"/>
  <cols>
    <col min="1" max="2" width="10.83203125" style="53"/>
    <col min="3" max="3" width="22.5" style="53" customWidth="1"/>
    <col min="4" max="4" width="18.1640625" style="53" customWidth="1"/>
    <col min="5" max="5" width="14.6640625" style="53" customWidth="1"/>
    <col min="6" max="6" width="11.33203125" style="53" customWidth="1"/>
    <col min="7" max="7" width="16.83203125" style="53" customWidth="1"/>
    <col min="8" max="16384" width="10.83203125" style="53"/>
  </cols>
  <sheetData>
    <row r="2" spans="1:7" x14ac:dyDescent="0.3">
      <c r="A2" s="53" t="s">
        <v>172</v>
      </c>
    </row>
    <row r="3" spans="1:7" x14ac:dyDescent="0.3">
      <c r="A3" s="54">
        <f>Modell!AF13</f>
        <v>511.96100000000018</v>
      </c>
    </row>
    <row r="5" spans="1:7" x14ac:dyDescent="0.3">
      <c r="C5" s="55" t="s">
        <v>10</v>
      </c>
      <c r="D5" s="55" t="s">
        <v>172</v>
      </c>
      <c r="E5" s="55" t="s">
        <v>3</v>
      </c>
      <c r="F5" s="55" t="s">
        <v>173</v>
      </c>
      <c r="G5" s="55" t="s">
        <v>174</v>
      </c>
    </row>
    <row r="6" spans="1:7" x14ac:dyDescent="0.3">
      <c r="C6" s="55" t="s">
        <v>167</v>
      </c>
      <c r="D6" s="55">
        <v>440</v>
      </c>
      <c r="E6" s="55">
        <v>12.5</v>
      </c>
      <c r="F6" s="60">
        <f>D6*E6</f>
        <v>5500</v>
      </c>
      <c r="G6" s="58">
        <f>F6/Modell!$B$5</f>
        <v>52.00677601012525</v>
      </c>
    </row>
    <row r="7" spans="1:7" x14ac:dyDescent="0.3">
      <c r="C7" s="55" t="s">
        <v>168</v>
      </c>
      <c r="D7" s="55">
        <v>70</v>
      </c>
      <c r="E7" s="55">
        <v>10</v>
      </c>
      <c r="F7" s="60">
        <f>D7*E7</f>
        <v>700</v>
      </c>
      <c r="G7" s="58">
        <f>F7/Modell!$B$5</f>
        <v>6.6190442194704859</v>
      </c>
    </row>
    <row r="8" spans="1:7" x14ac:dyDescent="0.3">
      <c r="C8" s="56" t="s">
        <v>175</v>
      </c>
      <c r="D8" s="56">
        <f>SUM(D6:D7)</f>
        <v>510</v>
      </c>
      <c r="E8" s="56"/>
      <c r="F8" s="61">
        <f>SUM(F6:F7)</f>
        <v>6200</v>
      </c>
      <c r="G8" s="59">
        <f>SUM(G6:G7)</f>
        <v>58.625820229595739</v>
      </c>
    </row>
    <row r="9" spans="1:7" x14ac:dyDescent="0.3">
      <c r="C9" s="57"/>
      <c r="D9" s="57"/>
      <c r="E9" s="57"/>
      <c r="F9" s="57"/>
      <c r="G9" s="57"/>
    </row>
    <row r="10" spans="1:7" x14ac:dyDescent="0.3">
      <c r="C10" s="55" t="s">
        <v>47</v>
      </c>
      <c r="D10" s="55"/>
      <c r="E10" s="55"/>
      <c r="F10" s="55">
        <f>Modell!B7</f>
        <v>328</v>
      </c>
      <c r="G10" s="58">
        <f>F10/Modell!$B$5</f>
        <v>3.1014950056947419</v>
      </c>
    </row>
    <row r="11" spans="1:7" x14ac:dyDescent="0.3">
      <c r="C11" s="55" t="s">
        <v>176</v>
      </c>
      <c r="D11" s="55"/>
      <c r="E11" s="55"/>
      <c r="F11" s="55">
        <f>Modell!B8</f>
        <v>0</v>
      </c>
      <c r="G11" s="58">
        <f>F11/Modell!$B$5</f>
        <v>0</v>
      </c>
    </row>
    <row r="12" spans="1:7" x14ac:dyDescent="0.3">
      <c r="C12" s="57"/>
      <c r="D12" s="57"/>
      <c r="E12" s="57"/>
      <c r="F12" s="57"/>
      <c r="G12" s="57"/>
    </row>
    <row r="13" spans="1:7" x14ac:dyDescent="0.3">
      <c r="C13" s="56" t="s">
        <v>177</v>
      </c>
      <c r="D13" s="56"/>
      <c r="E13" s="56"/>
      <c r="F13" s="56"/>
      <c r="G13" s="59">
        <f>G8+G10-G11</f>
        <v>61.727315235290483</v>
      </c>
    </row>
    <row r="62" spans="1:2" x14ac:dyDescent="0.3">
      <c r="A62" s="55"/>
      <c r="B62" s="58"/>
    </row>
    <row r="63" spans="1:2" x14ac:dyDescent="0.3">
      <c r="A63" s="55"/>
      <c r="B63" s="58"/>
    </row>
    <row r="64" spans="1:2" x14ac:dyDescent="0.3">
      <c r="A64" s="56"/>
      <c r="B64" s="59"/>
    </row>
    <row r="65" spans="1:2" x14ac:dyDescent="0.3">
      <c r="A65" s="57"/>
      <c r="B65" s="57"/>
    </row>
    <row r="66" spans="1:2" x14ac:dyDescent="0.3">
      <c r="A66" s="55"/>
      <c r="B66" s="58"/>
    </row>
    <row r="67" spans="1:2" x14ac:dyDescent="0.3">
      <c r="A67" s="55"/>
      <c r="B67" s="58"/>
    </row>
    <row r="68" spans="1:2" x14ac:dyDescent="0.3">
      <c r="A68" s="57"/>
      <c r="B68" s="57"/>
    </row>
    <row r="69" spans="1:2" x14ac:dyDescent="0.3">
      <c r="A69" s="56"/>
      <c r="B69" s="5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49"/>
  <sheetViews>
    <sheetView showGridLines="0"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W8" sqref="W8"/>
    </sheetView>
  </sheetViews>
  <sheetFormatPr baseColWidth="10" defaultRowHeight="19" x14ac:dyDescent="0.25"/>
  <cols>
    <col min="1" max="1" width="10.83203125" style="2"/>
    <col min="2" max="2" width="13.83203125" style="2" customWidth="1"/>
    <col min="3" max="3" width="10.83203125" style="2" customWidth="1"/>
    <col min="4" max="16384" width="10.83203125" style="2"/>
  </cols>
  <sheetData>
    <row r="3" spans="2:27" x14ac:dyDescent="0.25">
      <c r="C3" s="4" t="s">
        <v>127</v>
      </c>
      <c r="D3" s="4" t="s">
        <v>123</v>
      </c>
      <c r="E3" s="4" t="s">
        <v>122</v>
      </c>
      <c r="F3" s="4" t="s">
        <v>115</v>
      </c>
      <c r="G3" s="4"/>
      <c r="H3" s="4" t="s">
        <v>127</v>
      </c>
      <c r="I3" s="4" t="s">
        <v>123</v>
      </c>
      <c r="J3" s="4" t="s">
        <v>122</v>
      </c>
      <c r="K3" s="4" t="s">
        <v>115</v>
      </c>
      <c r="L3" s="4"/>
      <c r="M3" s="4" t="s">
        <v>127</v>
      </c>
      <c r="N3" s="4" t="s">
        <v>123</v>
      </c>
      <c r="O3" s="4" t="s">
        <v>122</v>
      </c>
      <c r="P3" s="4" t="s">
        <v>115</v>
      </c>
      <c r="Q3" s="4"/>
      <c r="R3" s="4" t="s">
        <v>127</v>
      </c>
      <c r="S3" s="4" t="s">
        <v>123</v>
      </c>
      <c r="T3" s="4" t="s">
        <v>122</v>
      </c>
      <c r="U3" s="4" t="s">
        <v>115</v>
      </c>
      <c r="W3" s="4" t="s">
        <v>127</v>
      </c>
      <c r="X3" s="4" t="s">
        <v>123</v>
      </c>
      <c r="Y3" s="4" t="s">
        <v>122</v>
      </c>
      <c r="Z3" s="4" t="s">
        <v>115</v>
      </c>
    </row>
    <row r="4" spans="2:27" x14ac:dyDescent="0.25">
      <c r="B4" s="1" t="s">
        <v>167</v>
      </c>
    </row>
    <row r="5" spans="2:27" x14ac:dyDescent="0.25">
      <c r="B5" s="1" t="s">
        <v>171</v>
      </c>
      <c r="C5" s="4" t="s">
        <v>125</v>
      </c>
      <c r="D5" s="4" t="s">
        <v>124</v>
      </c>
      <c r="E5" s="4" t="s">
        <v>119</v>
      </c>
      <c r="F5" s="4" t="s">
        <v>118</v>
      </c>
      <c r="G5" s="32" t="s">
        <v>143</v>
      </c>
      <c r="H5" s="4" t="s">
        <v>117</v>
      </c>
      <c r="I5" s="4" t="s">
        <v>116</v>
      </c>
      <c r="J5" s="4" t="s">
        <v>109</v>
      </c>
      <c r="K5" s="4" t="s">
        <v>108</v>
      </c>
      <c r="L5" s="32" t="s">
        <v>145</v>
      </c>
      <c r="M5" s="4" t="s">
        <v>107</v>
      </c>
      <c r="N5" s="4" t="s">
        <v>106</v>
      </c>
      <c r="O5" s="4" t="s">
        <v>105</v>
      </c>
      <c r="P5" s="4" t="s">
        <v>104</v>
      </c>
      <c r="Q5" s="32" t="s">
        <v>144</v>
      </c>
      <c r="R5" s="4" t="s">
        <v>103</v>
      </c>
      <c r="S5" s="4" t="s">
        <v>102</v>
      </c>
      <c r="T5" s="4" t="s">
        <v>101</v>
      </c>
      <c r="U5" s="4" t="s">
        <v>31</v>
      </c>
      <c r="V5" s="32" t="s">
        <v>128</v>
      </c>
      <c r="W5" s="4" t="s">
        <v>149</v>
      </c>
      <c r="X5" s="4" t="s">
        <v>150</v>
      </c>
      <c r="Y5" s="4" t="s">
        <v>151</v>
      </c>
      <c r="Z5" s="4" t="s">
        <v>152</v>
      </c>
      <c r="AA5" s="32" t="s">
        <v>129</v>
      </c>
    </row>
    <row r="6" spans="2:27" s="18" customFormat="1" x14ac:dyDescent="0.25">
      <c r="B6" s="17" t="s">
        <v>135</v>
      </c>
      <c r="C6" s="18">
        <v>84</v>
      </c>
      <c r="D6" s="18">
        <v>129</v>
      </c>
      <c r="E6" s="18">
        <v>91</v>
      </c>
      <c r="F6" s="18">
        <v>84</v>
      </c>
      <c r="G6" s="38">
        <f>SUM(C6:F6)</f>
        <v>388</v>
      </c>
      <c r="H6" s="18">
        <v>95</v>
      </c>
      <c r="I6" s="18">
        <v>139</v>
      </c>
      <c r="J6" s="18">
        <v>95</v>
      </c>
      <c r="K6" s="18">
        <v>90</v>
      </c>
      <c r="L6" s="38">
        <f>SUM(H6:K6)</f>
        <v>419</v>
      </c>
      <c r="M6" s="18">
        <v>90</v>
      </c>
      <c r="N6" s="18">
        <v>151</v>
      </c>
      <c r="O6" s="18">
        <v>104</v>
      </c>
      <c r="P6" s="18">
        <v>101</v>
      </c>
      <c r="Q6" s="38">
        <f>SUM(M6:P6)</f>
        <v>446</v>
      </c>
      <c r="R6" s="18">
        <v>105</v>
      </c>
      <c r="S6" s="18">
        <v>157</v>
      </c>
      <c r="T6" s="18">
        <v>109</v>
      </c>
      <c r="U6" s="18">
        <v>108</v>
      </c>
      <c r="V6" s="38">
        <f>SUM(R6:U6)</f>
        <v>479</v>
      </c>
      <c r="AA6" s="38">
        <f>SUM(W6:Z6)</f>
        <v>0</v>
      </c>
    </row>
    <row r="7" spans="2:27" x14ac:dyDescent="0.25">
      <c r="B7" s="30" t="s">
        <v>139</v>
      </c>
      <c r="C7" s="30"/>
      <c r="D7" s="30"/>
      <c r="E7" s="30"/>
      <c r="F7" s="30"/>
      <c r="G7" s="33"/>
      <c r="H7" s="30">
        <f t="shared" ref="H7:S7" si="0">(H6-C6)/C6</f>
        <v>0.13095238095238096</v>
      </c>
      <c r="I7" s="30">
        <f t="shared" si="0"/>
        <v>7.7519379844961239E-2</v>
      </c>
      <c r="J7" s="30">
        <f t="shared" si="0"/>
        <v>4.3956043956043959E-2</v>
      </c>
      <c r="K7" s="30">
        <f t="shared" si="0"/>
        <v>7.1428571428571425E-2</v>
      </c>
      <c r="L7" s="33">
        <f t="shared" si="0"/>
        <v>7.9896907216494839E-2</v>
      </c>
      <c r="M7" s="30">
        <f t="shared" si="0"/>
        <v>-5.2631578947368418E-2</v>
      </c>
      <c r="N7" s="30">
        <f t="shared" si="0"/>
        <v>8.6330935251798566E-2</v>
      </c>
      <c r="O7" s="30">
        <f t="shared" si="0"/>
        <v>9.4736842105263161E-2</v>
      </c>
      <c r="P7" s="30">
        <f t="shared" si="0"/>
        <v>0.12222222222222222</v>
      </c>
      <c r="Q7" s="33">
        <f t="shared" si="0"/>
        <v>6.4439140811455853E-2</v>
      </c>
      <c r="R7" s="30">
        <f t="shared" si="0"/>
        <v>0.16666666666666666</v>
      </c>
      <c r="S7" s="30">
        <f t="shared" si="0"/>
        <v>3.9735099337748346E-2</v>
      </c>
      <c r="T7" s="30">
        <f t="shared" ref="T7" si="1">(T6-O6)/O6</f>
        <v>4.807692307692308E-2</v>
      </c>
      <c r="U7" s="30">
        <f t="shared" ref="U7" si="2">(U6-P6)/P6</f>
        <v>6.9306930693069313E-2</v>
      </c>
      <c r="V7" s="33">
        <f>(V6-Q6)/Q6</f>
        <v>7.3991031390134535E-2</v>
      </c>
      <c r="W7" s="30">
        <f t="shared" ref="W7" si="3">(W6-R6)/R6</f>
        <v>-1</v>
      </c>
      <c r="X7" s="30">
        <f t="shared" ref="X7" si="4">(X6-S6)/S6</f>
        <v>-1</v>
      </c>
      <c r="Y7" s="30">
        <f t="shared" ref="Y7" si="5">(Y6-T6)/T6</f>
        <v>-1</v>
      </c>
      <c r="Z7" s="30">
        <f t="shared" ref="Z7" si="6">(Z6-U6)/U6</f>
        <v>-1</v>
      </c>
      <c r="AA7" s="33">
        <f>(AA6-V6)/V6</f>
        <v>-1</v>
      </c>
    </row>
    <row r="8" spans="2:27" ht="20" thickBot="1" x14ac:dyDescent="0.3">
      <c r="B8" s="31" t="s">
        <v>140</v>
      </c>
      <c r="C8" s="31"/>
      <c r="D8" s="31"/>
      <c r="E8" s="31"/>
      <c r="F8" s="31"/>
      <c r="G8" s="34"/>
      <c r="H8" s="31"/>
      <c r="I8" s="31"/>
      <c r="J8" s="31"/>
      <c r="K8" s="31"/>
      <c r="L8" s="34"/>
      <c r="M8" s="31">
        <v>-0.04</v>
      </c>
      <c r="N8" s="31">
        <v>0.09</v>
      </c>
      <c r="O8" s="31">
        <v>0.1</v>
      </c>
      <c r="P8" s="31">
        <v>0.15</v>
      </c>
      <c r="Q8" s="34"/>
      <c r="R8" s="31">
        <v>0.19</v>
      </c>
      <c r="S8" s="31">
        <v>0.06</v>
      </c>
      <c r="T8" s="31">
        <v>0.06</v>
      </c>
      <c r="U8" s="31">
        <v>7.0000000000000007E-2</v>
      </c>
      <c r="V8" s="34">
        <v>0.09</v>
      </c>
      <c r="W8" s="31"/>
      <c r="X8" s="31"/>
      <c r="Y8" s="31"/>
      <c r="Z8" s="31"/>
      <c r="AA8" s="34"/>
    </row>
    <row r="9" spans="2:27" s="18" customFormat="1" x14ac:dyDescent="0.25">
      <c r="B9" s="17" t="s">
        <v>136</v>
      </c>
      <c r="C9" s="18">
        <v>146</v>
      </c>
      <c r="D9" s="18">
        <v>277</v>
      </c>
      <c r="E9" s="18">
        <v>235</v>
      </c>
      <c r="F9" s="18">
        <v>205</v>
      </c>
      <c r="G9" s="38">
        <f>SUM(C9:F9)</f>
        <v>863</v>
      </c>
      <c r="H9" s="18">
        <v>180</v>
      </c>
      <c r="I9" s="18">
        <v>347</v>
      </c>
      <c r="J9" s="18">
        <v>277</v>
      </c>
      <c r="K9" s="18">
        <v>231</v>
      </c>
      <c r="L9" s="38">
        <f>SUM(H9:K9)</f>
        <v>1035</v>
      </c>
      <c r="M9" s="18">
        <v>188</v>
      </c>
      <c r="N9" s="18">
        <v>399</v>
      </c>
      <c r="O9" s="18">
        <v>279</v>
      </c>
      <c r="P9" s="18">
        <v>226</v>
      </c>
      <c r="Q9" s="38">
        <f>SUM(M9:P9)</f>
        <v>1092</v>
      </c>
      <c r="R9" s="18">
        <v>216</v>
      </c>
      <c r="S9" s="18">
        <v>434</v>
      </c>
      <c r="T9" s="18">
        <v>285</v>
      </c>
      <c r="U9" s="18">
        <v>231</v>
      </c>
      <c r="V9" s="38">
        <f>SUM(R9:U9)</f>
        <v>1166</v>
      </c>
      <c r="AA9" s="38">
        <f>SUM(W9:Z9)</f>
        <v>0</v>
      </c>
    </row>
    <row r="10" spans="2:27" x14ac:dyDescent="0.25">
      <c r="B10" s="30" t="s">
        <v>139</v>
      </c>
      <c r="C10" s="30"/>
      <c r="D10" s="30"/>
      <c r="E10" s="30"/>
      <c r="F10" s="30"/>
      <c r="G10" s="33"/>
      <c r="H10" s="30">
        <f t="shared" ref="H10" si="7">(H9-C9)/C9</f>
        <v>0.23287671232876711</v>
      </c>
      <c r="I10" s="30">
        <f t="shared" ref="I10" si="8">(I9-D9)/D9</f>
        <v>0.25270758122743681</v>
      </c>
      <c r="J10" s="30">
        <f t="shared" ref="J10" si="9">(J9-E9)/E9</f>
        <v>0.17872340425531916</v>
      </c>
      <c r="K10" s="30">
        <f t="shared" ref="K10" si="10">(K9-F9)/F9</f>
        <v>0.12682926829268293</v>
      </c>
      <c r="L10" s="33">
        <f>(L9-G9)/G9</f>
        <v>0.19930475086906141</v>
      </c>
      <c r="M10" s="30">
        <f t="shared" ref="M10" si="11">(M9-H9)/H9</f>
        <v>4.4444444444444446E-2</v>
      </c>
      <c r="N10" s="30">
        <f t="shared" ref="N10" si="12">(N9-I9)/I9</f>
        <v>0.14985590778097982</v>
      </c>
      <c r="O10" s="30">
        <f t="shared" ref="O10" si="13">(O9-J9)/J9</f>
        <v>7.2202166064981952E-3</v>
      </c>
      <c r="P10" s="30">
        <f t="shared" ref="P10" si="14">(P9-K9)/K9</f>
        <v>-2.1645021645021644E-2</v>
      </c>
      <c r="Q10" s="33">
        <f>(Q9-L9)/L9</f>
        <v>5.5072463768115941E-2</v>
      </c>
      <c r="R10" s="30">
        <f>(R9-M9)/M9</f>
        <v>0.14893617021276595</v>
      </c>
      <c r="S10" s="30">
        <f>(S9-N9)/N9</f>
        <v>8.771929824561403E-2</v>
      </c>
      <c r="T10" s="30">
        <f t="shared" ref="T10:U10" si="15">(T9-O9)/O9</f>
        <v>2.1505376344086023E-2</v>
      </c>
      <c r="U10" s="30">
        <f t="shared" si="15"/>
        <v>2.2123893805309734E-2</v>
      </c>
      <c r="V10" s="33">
        <f>(V9-Q9)/Q9</f>
        <v>6.7765567765567761E-2</v>
      </c>
      <c r="W10" s="30">
        <f>(W9-R9)/R9</f>
        <v>-1</v>
      </c>
      <c r="X10" s="30">
        <f>(X9-S9)/S9</f>
        <v>-1</v>
      </c>
      <c r="Y10" s="30">
        <f t="shared" ref="Y10" si="16">(Y9-T9)/T9</f>
        <v>-1</v>
      </c>
      <c r="Z10" s="30">
        <f t="shared" ref="Z10" si="17">(Z9-U9)/U9</f>
        <v>-1</v>
      </c>
      <c r="AA10" s="33">
        <f>(AA9-V9)/V9</f>
        <v>-1</v>
      </c>
    </row>
    <row r="11" spans="2:27" ht="20" thickBot="1" x14ac:dyDescent="0.3">
      <c r="B11" s="31" t="s">
        <v>141</v>
      </c>
      <c r="C11" s="31"/>
      <c r="D11" s="31"/>
      <c r="E11" s="31"/>
      <c r="F11" s="31"/>
      <c r="G11" s="34"/>
      <c r="H11" s="31"/>
      <c r="I11" s="31"/>
      <c r="J11" s="31"/>
      <c r="K11" s="31"/>
      <c r="L11" s="34"/>
      <c r="M11" s="31">
        <v>0.08</v>
      </c>
      <c r="N11" s="31">
        <v>0.15</v>
      </c>
      <c r="O11" s="31">
        <v>0.01</v>
      </c>
      <c r="P11" s="31">
        <v>0.03</v>
      </c>
      <c r="Q11" s="34"/>
      <c r="R11" s="31">
        <v>0.18</v>
      </c>
      <c r="S11" s="31">
        <v>0.14000000000000001</v>
      </c>
      <c r="T11" s="31">
        <v>7.0000000000000007E-2</v>
      </c>
      <c r="U11" s="31">
        <v>0.03</v>
      </c>
      <c r="V11" s="34">
        <v>0.1</v>
      </c>
      <c r="W11" s="31"/>
      <c r="X11" s="31"/>
      <c r="Y11" s="31"/>
      <c r="Z11" s="31"/>
      <c r="AA11" s="34"/>
    </row>
    <row r="12" spans="2:27" s="18" customFormat="1" x14ac:dyDescent="0.25">
      <c r="B12" s="17" t="s">
        <v>142</v>
      </c>
      <c r="C12" s="18">
        <v>46</v>
      </c>
      <c r="D12" s="18">
        <v>103</v>
      </c>
      <c r="E12" s="18">
        <v>88</v>
      </c>
      <c r="F12" s="18">
        <v>73</v>
      </c>
      <c r="G12" s="38">
        <f>SUM(C12:F12)</f>
        <v>310</v>
      </c>
      <c r="H12" s="18">
        <v>66</v>
      </c>
      <c r="I12" s="18">
        <v>127</v>
      </c>
      <c r="J12" s="18">
        <v>106</v>
      </c>
      <c r="K12" s="18">
        <v>86</v>
      </c>
      <c r="L12" s="38">
        <f>SUM(H12:K12)</f>
        <v>385</v>
      </c>
      <c r="M12" s="18">
        <v>72</v>
      </c>
      <c r="N12" s="18">
        <v>134</v>
      </c>
      <c r="O12" s="18">
        <v>103</v>
      </c>
      <c r="P12" s="18">
        <v>78</v>
      </c>
      <c r="Q12" s="38">
        <f>SUM(M12:P12)</f>
        <v>387</v>
      </c>
      <c r="R12" s="18">
        <v>71</v>
      </c>
      <c r="S12" s="18">
        <v>135</v>
      </c>
      <c r="T12" s="18">
        <v>93</v>
      </c>
      <c r="U12" s="18">
        <v>75</v>
      </c>
      <c r="V12" s="38">
        <f>SUM(R12:U12)</f>
        <v>374</v>
      </c>
      <c r="AA12" s="38">
        <f>SUM(W12:Z12)</f>
        <v>0</v>
      </c>
    </row>
    <row r="13" spans="2:27" x14ac:dyDescent="0.25">
      <c r="B13" s="30" t="s">
        <v>139</v>
      </c>
      <c r="C13" s="30"/>
      <c r="D13" s="30"/>
      <c r="E13" s="30"/>
      <c r="F13" s="30"/>
      <c r="G13" s="33"/>
      <c r="H13" s="30">
        <f t="shared" ref="H13" si="18">(H12-C12)/C12</f>
        <v>0.43478260869565216</v>
      </c>
      <c r="I13" s="30">
        <f t="shared" ref="I13" si="19">(I12-D12)/D12</f>
        <v>0.23300970873786409</v>
      </c>
      <c r="J13" s="30">
        <f t="shared" ref="J13" si="20">(J12-E12)/E12</f>
        <v>0.20454545454545456</v>
      </c>
      <c r="K13" s="30">
        <f t="shared" ref="K13" si="21">(K12-F12)/F12</f>
        <v>0.17808219178082191</v>
      </c>
      <c r="L13" s="33">
        <f>(L12-G12)/G12</f>
        <v>0.24193548387096775</v>
      </c>
      <c r="M13" s="30">
        <f t="shared" ref="M13" si="22">(M12-H12)/H12</f>
        <v>9.0909090909090912E-2</v>
      </c>
      <c r="N13" s="30">
        <f t="shared" ref="N13" si="23">(N12-I12)/I12</f>
        <v>5.5118110236220472E-2</v>
      </c>
      <c r="O13" s="30">
        <f t="shared" ref="O13" si="24">(O12-J12)/J12</f>
        <v>-2.8301886792452831E-2</v>
      </c>
      <c r="P13" s="30">
        <f t="shared" ref="P13" si="25">(P12-K12)/K12</f>
        <v>-9.3023255813953487E-2</v>
      </c>
      <c r="Q13" s="33">
        <f>(Q12-L12)/L12</f>
        <v>5.1948051948051948E-3</v>
      </c>
      <c r="R13" s="30">
        <f>(R12-M12)/M12</f>
        <v>-1.3888888888888888E-2</v>
      </c>
      <c r="S13" s="30">
        <f>(S12-N12)/N12</f>
        <v>7.462686567164179E-3</v>
      </c>
      <c r="T13" s="30">
        <f t="shared" ref="T13:U13" si="26">(T12-O12)/O12</f>
        <v>-9.7087378640776698E-2</v>
      </c>
      <c r="U13" s="30">
        <f t="shared" si="26"/>
        <v>-3.8461538461538464E-2</v>
      </c>
      <c r="V13" s="33">
        <f>(V12-Q12)/Q12</f>
        <v>-3.3591731266149873E-2</v>
      </c>
      <c r="W13" s="30">
        <f>(W12-R12)/R12</f>
        <v>-1</v>
      </c>
      <c r="X13" s="30">
        <f>(X12-S12)/S12</f>
        <v>-1</v>
      </c>
      <c r="Y13" s="30">
        <f t="shared" ref="Y13" si="27">(Y12-T12)/T12</f>
        <v>-1</v>
      </c>
      <c r="Z13" s="30">
        <f t="shared" ref="Z13" si="28">(Z12-U12)/U12</f>
        <v>-1</v>
      </c>
      <c r="AA13" s="33">
        <f>(AA12-V12)/V12</f>
        <v>-1</v>
      </c>
    </row>
    <row r="14" spans="2:27" ht="20" thickBot="1" x14ac:dyDescent="0.3">
      <c r="B14" s="31" t="s">
        <v>140</v>
      </c>
      <c r="C14" s="31"/>
      <c r="D14" s="31"/>
      <c r="E14" s="31"/>
      <c r="F14" s="31"/>
      <c r="G14" s="34"/>
      <c r="H14" s="31"/>
      <c r="I14" s="31"/>
      <c r="J14" s="31"/>
      <c r="K14" s="31"/>
      <c r="L14" s="34"/>
      <c r="M14" s="31">
        <v>0.11</v>
      </c>
      <c r="N14" s="31">
        <v>0.04</v>
      </c>
      <c r="O14" s="31">
        <v>-0.03</v>
      </c>
      <c r="P14" s="31">
        <v>-0.05</v>
      </c>
      <c r="Q14" s="34"/>
      <c r="R14" s="31">
        <v>0.02</v>
      </c>
      <c r="S14" s="31">
        <v>0.06</v>
      </c>
      <c r="T14" s="31">
        <v>-0.04</v>
      </c>
      <c r="U14" s="31">
        <v>-0.03</v>
      </c>
      <c r="V14" s="44">
        <v>0.01</v>
      </c>
      <c r="W14" s="31"/>
      <c r="X14" s="31"/>
      <c r="Y14" s="31"/>
      <c r="Z14" s="31"/>
      <c r="AA14" s="44"/>
    </row>
    <row r="16" spans="2:27" x14ac:dyDescent="0.25">
      <c r="C16" s="4" t="s">
        <v>125</v>
      </c>
      <c r="D16" s="4" t="s">
        <v>124</v>
      </c>
      <c r="E16" s="4" t="s">
        <v>119</v>
      </c>
      <c r="F16" s="4" t="s">
        <v>118</v>
      </c>
      <c r="G16" s="32" t="s">
        <v>143</v>
      </c>
      <c r="H16" s="4" t="s">
        <v>117</v>
      </c>
      <c r="I16" s="4" t="s">
        <v>116</v>
      </c>
      <c r="J16" s="4" t="s">
        <v>109</v>
      </c>
      <c r="K16" s="4" t="s">
        <v>108</v>
      </c>
      <c r="L16" s="32" t="s">
        <v>145</v>
      </c>
      <c r="M16" s="4" t="s">
        <v>107</v>
      </c>
      <c r="N16" s="4" t="s">
        <v>106</v>
      </c>
      <c r="O16" s="4" t="s">
        <v>105</v>
      </c>
      <c r="P16" s="4" t="s">
        <v>104</v>
      </c>
      <c r="Q16" s="32" t="s">
        <v>144</v>
      </c>
      <c r="R16" s="4" t="s">
        <v>103</v>
      </c>
      <c r="S16" s="4" t="s">
        <v>102</v>
      </c>
      <c r="T16" s="4" t="s">
        <v>101</v>
      </c>
      <c r="U16" s="4" t="s">
        <v>31</v>
      </c>
      <c r="V16" s="32" t="s">
        <v>128</v>
      </c>
      <c r="W16" s="4" t="s">
        <v>149</v>
      </c>
      <c r="X16" s="4" t="s">
        <v>150</v>
      </c>
      <c r="Y16" s="4" t="s">
        <v>151</v>
      </c>
      <c r="Z16" s="4" t="s">
        <v>152</v>
      </c>
      <c r="AA16" s="32" t="s">
        <v>129</v>
      </c>
    </row>
    <row r="17" spans="2:27" x14ac:dyDescent="0.25">
      <c r="B17" s="1" t="s">
        <v>155</v>
      </c>
      <c r="C17" s="18">
        <v>126</v>
      </c>
      <c r="D17" s="18">
        <v>235</v>
      </c>
      <c r="E17" s="18">
        <v>206</v>
      </c>
      <c r="F17" s="18">
        <v>177</v>
      </c>
      <c r="G17" s="38">
        <f>SUM(C17:F17)</f>
        <v>744</v>
      </c>
      <c r="H17" s="18">
        <v>158</v>
      </c>
      <c r="I17" s="18">
        <v>301</v>
      </c>
      <c r="J17" s="18">
        <v>242</v>
      </c>
      <c r="K17" s="18">
        <v>204</v>
      </c>
      <c r="L17" s="38">
        <f>SUM(H17:K17)</f>
        <v>905</v>
      </c>
      <c r="M17" s="18">
        <v>165</v>
      </c>
      <c r="N17" s="18">
        <v>339</v>
      </c>
      <c r="O17" s="18">
        <v>239</v>
      </c>
      <c r="P17" s="18">
        <v>193</v>
      </c>
      <c r="Q17" s="38">
        <f>SUM(M17:P17)</f>
        <v>936</v>
      </c>
      <c r="R17" s="18">
        <v>183</v>
      </c>
      <c r="S17" s="18">
        <v>359</v>
      </c>
      <c r="T17" s="18">
        <v>239</v>
      </c>
      <c r="U17" s="18">
        <v>193</v>
      </c>
      <c r="V17" s="38">
        <f>SUM(R17:U17)</f>
        <v>974</v>
      </c>
      <c r="W17" s="18"/>
      <c r="X17" s="18"/>
      <c r="Y17" s="18"/>
      <c r="Z17" s="18"/>
      <c r="AA17" s="38">
        <f>SUM(W17:Z17)</f>
        <v>0</v>
      </c>
    </row>
    <row r="18" spans="2:27" s="30" customFormat="1" x14ac:dyDescent="0.25">
      <c r="B18" s="30" t="s">
        <v>139</v>
      </c>
      <c r="G18" s="33"/>
      <c r="H18" s="30">
        <f t="shared" ref="H18" si="29">(H17-C17)/C17</f>
        <v>0.25396825396825395</v>
      </c>
      <c r="I18" s="30">
        <f t="shared" ref="I18" si="30">(I17-D17)/D17</f>
        <v>0.28085106382978725</v>
      </c>
      <c r="J18" s="30">
        <f t="shared" ref="J18" si="31">(J17-E17)/E17</f>
        <v>0.17475728155339806</v>
      </c>
      <c r="K18" s="30">
        <f t="shared" ref="K18" si="32">(K17-F17)/F17</f>
        <v>0.15254237288135594</v>
      </c>
      <c r="L18" s="33">
        <f t="shared" ref="L18" si="33">(L17-G17)/G17</f>
        <v>0.21639784946236559</v>
      </c>
      <c r="M18" s="30">
        <f t="shared" ref="M18" si="34">(M17-H17)/H17</f>
        <v>4.4303797468354431E-2</v>
      </c>
      <c r="N18" s="30">
        <f t="shared" ref="N18" si="35">(N17-I17)/I17</f>
        <v>0.12624584717607973</v>
      </c>
      <c r="O18" s="30">
        <f t="shared" ref="O18" si="36">(O17-J17)/J17</f>
        <v>-1.2396694214876033E-2</v>
      </c>
      <c r="P18" s="30">
        <f t="shared" ref="P18" si="37">(P17-K17)/K17</f>
        <v>-5.3921568627450983E-2</v>
      </c>
      <c r="Q18" s="33">
        <f t="shared" ref="Q18" si="38">(Q17-L17)/L17</f>
        <v>3.4254143646408837E-2</v>
      </c>
      <c r="R18" s="30">
        <f t="shared" ref="R18" si="39">(R17-M17)/M17</f>
        <v>0.10909090909090909</v>
      </c>
      <c r="S18" s="30">
        <f t="shared" ref="S18" si="40">(S17-N17)/N17</f>
        <v>5.8997050147492625E-2</v>
      </c>
      <c r="T18" s="30">
        <f t="shared" ref="T18" si="41">(T17-O17)/O17</f>
        <v>0</v>
      </c>
      <c r="U18" s="30">
        <f t="shared" ref="U18" si="42">(U17-P17)/P17</f>
        <v>0</v>
      </c>
      <c r="V18" s="33">
        <f>(V17-Q17)/Q17</f>
        <v>4.05982905982906E-2</v>
      </c>
      <c r="W18" s="30">
        <f t="shared" ref="W18" si="43">(W17-R17)/R17</f>
        <v>-1</v>
      </c>
      <c r="X18" s="30">
        <f t="shared" ref="X18" si="44">(X17-S17)/S17</f>
        <v>-1</v>
      </c>
      <c r="Y18" s="30">
        <f t="shared" ref="Y18" si="45">(Y17-T17)/T17</f>
        <v>-1</v>
      </c>
      <c r="Z18" s="30">
        <f t="shared" ref="Z18" si="46">(Z17-U17)/U17</f>
        <v>-1</v>
      </c>
      <c r="AA18" s="33">
        <f>(AA17-V17)/V17</f>
        <v>-1</v>
      </c>
    </row>
    <row r="19" spans="2:27" s="30" customFormat="1" ht="20" thickBot="1" x14ac:dyDescent="0.3">
      <c r="B19" s="31" t="s">
        <v>140</v>
      </c>
      <c r="C19" s="31"/>
      <c r="D19" s="31"/>
      <c r="E19" s="31"/>
      <c r="F19" s="31"/>
      <c r="G19" s="34"/>
      <c r="H19" s="31"/>
      <c r="I19" s="31"/>
      <c r="J19" s="31"/>
      <c r="K19" s="31"/>
      <c r="L19" s="34"/>
      <c r="M19" s="31">
        <v>7.0000000000000007E-2</v>
      </c>
      <c r="N19" s="31">
        <v>0.12</v>
      </c>
      <c r="O19" s="31">
        <v>-0.01</v>
      </c>
      <c r="P19" s="31">
        <v>-0.01</v>
      </c>
      <c r="Q19" s="34"/>
      <c r="R19" s="31">
        <v>0.14000000000000001</v>
      </c>
      <c r="S19" s="31">
        <v>0.11</v>
      </c>
      <c r="T19" s="31">
        <v>0.05</v>
      </c>
      <c r="U19" s="31">
        <v>0.01</v>
      </c>
      <c r="V19" s="34"/>
      <c r="W19" s="31"/>
      <c r="X19" s="31"/>
      <c r="Y19" s="31"/>
      <c r="Z19" s="31"/>
      <c r="AA19" s="34"/>
    </row>
    <row r="20" spans="2:27" x14ac:dyDescent="0.25">
      <c r="B20" s="1" t="s">
        <v>156</v>
      </c>
      <c r="C20" s="18">
        <v>37</v>
      </c>
      <c r="D20" s="18">
        <v>61</v>
      </c>
      <c r="E20" s="18">
        <v>44</v>
      </c>
      <c r="F20" s="18">
        <v>41</v>
      </c>
      <c r="G20" s="38">
        <f>SUM(C20:F20)</f>
        <v>183</v>
      </c>
      <c r="H20" s="18">
        <v>43</v>
      </c>
      <c r="I20" s="18">
        <v>64</v>
      </c>
      <c r="J20" s="18">
        <v>47</v>
      </c>
      <c r="K20" s="18">
        <v>45</v>
      </c>
      <c r="L20" s="38">
        <f>SUM(H20:K20)</f>
        <v>199</v>
      </c>
      <c r="M20" s="18">
        <v>44</v>
      </c>
      <c r="N20" s="18">
        <v>74</v>
      </c>
      <c r="O20" s="18">
        <v>52</v>
      </c>
      <c r="P20" s="18">
        <v>51</v>
      </c>
      <c r="Q20" s="38">
        <f>SUM(M20:P20)</f>
        <v>221</v>
      </c>
      <c r="R20" s="18">
        <v>52</v>
      </c>
      <c r="S20" s="18">
        <v>76</v>
      </c>
      <c r="T20" s="18">
        <v>58</v>
      </c>
      <c r="U20" s="18">
        <v>57</v>
      </c>
      <c r="V20" s="38">
        <f>SUM(R20:U20)</f>
        <v>243</v>
      </c>
      <c r="W20" s="18"/>
      <c r="X20" s="18"/>
      <c r="Y20" s="18"/>
      <c r="Z20" s="18"/>
      <c r="AA20" s="38">
        <f>SUM(W20:Z20)</f>
        <v>0</v>
      </c>
    </row>
    <row r="21" spans="2:27" s="15" customFormat="1" x14ac:dyDescent="0.25">
      <c r="B21" s="30" t="s">
        <v>139</v>
      </c>
      <c r="C21" s="30"/>
      <c r="D21" s="30"/>
      <c r="E21" s="30"/>
      <c r="F21" s="30"/>
      <c r="G21" s="33"/>
      <c r="H21" s="30">
        <f t="shared" ref="H21" si="47">(H20-C20)/C20</f>
        <v>0.16216216216216217</v>
      </c>
      <c r="I21" s="30">
        <f t="shared" ref="I21" si="48">(I20-D20)/D20</f>
        <v>4.9180327868852458E-2</v>
      </c>
      <c r="J21" s="30">
        <f t="shared" ref="J21" si="49">(J20-E20)/E20</f>
        <v>6.8181818181818177E-2</v>
      </c>
      <c r="K21" s="30">
        <f t="shared" ref="K21" si="50">(K20-F20)/F20</f>
        <v>9.7560975609756101E-2</v>
      </c>
      <c r="L21" s="33">
        <f>(L20-G20)/G20</f>
        <v>8.7431693989071038E-2</v>
      </c>
      <c r="M21" s="30">
        <f t="shared" ref="M21" si="51">(M20-H20)/H20</f>
        <v>2.3255813953488372E-2</v>
      </c>
      <c r="N21" s="30">
        <f t="shared" ref="N21" si="52">(N20-I20)/I20</f>
        <v>0.15625</v>
      </c>
      <c r="O21" s="30">
        <f t="shared" ref="O21" si="53">(O20-J20)/J20</f>
        <v>0.10638297872340426</v>
      </c>
      <c r="P21" s="30">
        <f t="shared" ref="P21" si="54">(P20-K20)/K20</f>
        <v>0.13333333333333333</v>
      </c>
      <c r="Q21" s="33">
        <f>(Q20-L20)/L20</f>
        <v>0.11055276381909548</v>
      </c>
      <c r="R21" s="30">
        <f>(R20-M20)/M20</f>
        <v>0.18181818181818182</v>
      </c>
      <c r="S21" s="30">
        <f>(S20-N20)/N20</f>
        <v>2.7027027027027029E-2</v>
      </c>
      <c r="T21" s="30">
        <f t="shared" ref="T21" si="55">(T20-O20)/O20</f>
        <v>0.11538461538461539</v>
      </c>
      <c r="U21" s="30">
        <f t="shared" ref="U21" si="56">(U20-P20)/P20</f>
        <v>0.11764705882352941</v>
      </c>
      <c r="V21" s="33">
        <f>(V20-Q20)/Q20</f>
        <v>9.9547511312217188E-2</v>
      </c>
      <c r="W21" s="30">
        <f>(W20-R20)/R20</f>
        <v>-1</v>
      </c>
      <c r="X21" s="30">
        <f>(X20-S20)/S20</f>
        <v>-1</v>
      </c>
      <c r="Y21" s="30">
        <f t="shared" ref="Y21" si="57">(Y20-T20)/T20</f>
        <v>-1</v>
      </c>
      <c r="Z21" s="30">
        <f t="shared" ref="Z21" si="58">(Z20-U20)/U20</f>
        <v>-1</v>
      </c>
      <c r="AA21" s="33">
        <f>(AA20-V20)/V20</f>
        <v>-1</v>
      </c>
    </row>
    <row r="22" spans="2:27" s="15" customFormat="1" ht="20" thickBot="1" x14ac:dyDescent="0.3">
      <c r="B22" s="31" t="s">
        <v>140</v>
      </c>
      <c r="C22" s="31"/>
      <c r="D22" s="31"/>
      <c r="E22" s="31"/>
      <c r="F22" s="31"/>
      <c r="G22" s="34"/>
      <c r="H22" s="31"/>
      <c r="I22" s="31"/>
      <c r="J22" s="31"/>
      <c r="K22" s="31"/>
      <c r="L22" s="34"/>
      <c r="M22" s="31">
        <v>0.02</v>
      </c>
      <c r="N22" s="31">
        <v>0.15</v>
      </c>
      <c r="O22" s="31">
        <v>0.1</v>
      </c>
      <c r="P22" s="31">
        <v>0.13</v>
      </c>
      <c r="Q22" s="34"/>
      <c r="R22" s="31">
        <v>0.18</v>
      </c>
      <c r="S22" s="31">
        <v>0.02</v>
      </c>
      <c r="T22" s="31">
        <v>0.12</v>
      </c>
      <c r="U22" s="31">
        <v>0.12</v>
      </c>
      <c r="V22" s="34"/>
      <c r="W22" s="31"/>
      <c r="X22" s="31"/>
      <c r="Y22" s="31"/>
      <c r="Z22" s="31"/>
      <c r="AA22" s="34"/>
    </row>
    <row r="23" spans="2:27" x14ac:dyDescent="0.25">
      <c r="B23" s="1" t="s">
        <v>157</v>
      </c>
      <c r="C23" s="18">
        <v>85</v>
      </c>
      <c r="D23" s="18">
        <v>181</v>
      </c>
      <c r="E23" s="18">
        <v>143</v>
      </c>
      <c r="F23" s="18">
        <v>123</v>
      </c>
      <c r="G23" s="38">
        <f>SUM(C23:F23)</f>
        <v>532</v>
      </c>
      <c r="H23" s="18">
        <v>110</v>
      </c>
      <c r="I23" s="18">
        <v>214</v>
      </c>
      <c r="J23" s="18">
        <v>168</v>
      </c>
      <c r="K23" s="18">
        <v>139</v>
      </c>
      <c r="L23" s="38">
        <f>SUM(H23:K23)</f>
        <v>631</v>
      </c>
      <c r="M23" s="18">
        <v>141</v>
      </c>
      <c r="N23" s="18">
        <v>271</v>
      </c>
      <c r="O23" s="18">
        <v>195</v>
      </c>
      <c r="P23" s="18">
        <v>161</v>
      </c>
      <c r="Q23" s="38">
        <f>SUM(M23:P23)</f>
        <v>768</v>
      </c>
      <c r="R23" s="18">
        <v>158</v>
      </c>
      <c r="S23" s="18">
        <v>291</v>
      </c>
      <c r="T23" s="18">
        <v>190</v>
      </c>
      <c r="U23" s="18">
        <v>164</v>
      </c>
      <c r="V23" s="38">
        <f>SUM(R23:U23)</f>
        <v>803</v>
      </c>
      <c r="W23" s="18"/>
      <c r="X23" s="18"/>
      <c r="Y23" s="18"/>
      <c r="Z23" s="18"/>
      <c r="AA23" s="38">
        <f>SUM(W23:Z23)</f>
        <v>0</v>
      </c>
    </row>
    <row r="24" spans="2:27" s="15" customFormat="1" x14ac:dyDescent="0.25">
      <c r="B24" s="30" t="s">
        <v>139</v>
      </c>
      <c r="C24" s="30"/>
      <c r="D24" s="30"/>
      <c r="E24" s="30"/>
      <c r="F24" s="30"/>
      <c r="G24" s="33"/>
      <c r="H24" s="30">
        <f t="shared" ref="H24" si="59">(H23-C23)/C23</f>
        <v>0.29411764705882354</v>
      </c>
      <c r="I24" s="30">
        <f t="shared" ref="I24" si="60">(I23-D23)/D23</f>
        <v>0.18232044198895028</v>
      </c>
      <c r="J24" s="30">
        <f t="shared" ref="J24" si="61">(J23-E23)/E23</f>
        <v>0.17482517482517482</v>
      </c>
      <c r="K24" s="30">
        <f t="shared" ref="K24" si="62">(K23-F23)/F23</f>
        <v>0.13008130081300814</v>
      </c>
      <c r="L24" s="33">
        <f>(L23-G23)/G23</f>
        <v>0.18609022556390978</v>
      </c>
      <c r="M24" s="30">
        <f t="shared" ref="M24" si="63">(M23-H23)/H23</f>
        <v>0.2818181818181818</v>
      </c>
      <c r="N24" s="30">
        <f t="shared" ref="N24" si="64">(N23-I23)/I23</f>
        <v>0.26635514018691586</v>
      </c>
      <c r="O24" s="30">
        <f t="shared" ref="O24" si="65">(O23-J23)/J23</f>
        <v>0.16071428571428573</v>
      </c>
      <c r="P24" s="30">
        <f t="shared" ref="P24" si="66">(P23-K23)/K23</f>
        <v>0.15827338129496402</v>
      </c>
      <c r="Q24" s="33">
        <f>(Q23-L23)/L23</f>
        <v>0.21711568938193343</v>
      </c>
      <c r="R24" s="30">
        <f>(R23-M23)/M23</f>
        <v>0.12056737588652482</v>
      </c>
      <c r="S24" s="30">
        <f>(S23-N23)/N23</f>
        <v>7.3800738007380073E-2</v>
      </c>
      <c r="T24" s="30">
        <f t="shared" ref="T24" si="67">(T23-O23)/O23</f>
        <v>-2.564102564102564E-2</v>
      </c>
      <c r="U24" s="30">
        <f t="shared" ref="U24" si="68">(U23-P23)/P23</f>
        <v>1.8633540372670808E-2</v>
      </c>
      <c r="V24" s="33">
        <f>(V23-Q23)/Q23</f>
        <v>4.5572916666666664E-2</v>
      </c>
      <c r="W24" s="30">
        <f>(W23-R23)/R23</f>
        <v>-1</v>
      </c>
      <c r="X24" s="30">
        <f>(X23-S23)/S23</f>
        <v>-1</v>
      </c>
      <c r="Y24" s="30">
        <f t="shared" ref="Y24" si="69">(Y23-T23)/T23</f>
        <v>-1</v>
      </c>
      <c r="Z24" s="30">
        <f t="shared" ref="Z24" si="70">(Z23-U23)/U23</f>
        <v>-1</v>
      </c>
      <c r="AA24" s="33">
        <f>(AA23-V23)/V23</f>
        <v>-1</v>
      </c>
    </row>
    <row r="25" spans="2:27" s="15" customFormat="1" ht="20" thickBot="1" x14ac:dyDescent="0.3">
      <c r="B25" s="31" t="s">
        <v>140</v>
      </c>
      <c r="C25" s="31"/>
      <c r="D25" s="31"/>
      <c r="E25" s="31"/>
      <c r="F25" s="31"/>
      <c r="G25" s="34"/>
      <c r="H25" s="31"/>
      <c r="I25" s="31"/>
      <c r="J25" s="31"/>
      <c r="K25" s="31"/>
      <c r="L25" s="34"/>
      <c r="M25" s="31">
        <v>0.04</v>
      </c>
      <c r="N25" s="31">
        <v>0.08</v>
      </c>
      <c r="O25" s="31">
        <v>0.03</v>
      </c>
      <c r="P25" s="31">
        <v>7.0000000000000007E-2</v>
      </c>
      <c r="Q25" s="34"/>
      <c r="R25" s="31">
        <v>0.15</v>
      </c>
      <c r="S25" s="31">
        <v>0.13</v>
      </c>
      <c r="T25" s="31">
        <v>0.02</v>
      </c>
      <c r="U25" s="31">
        <v>0.03</v>
      </c>
      <c r="V25" s="35"/>
      <c r="W25" s="31"/>
      <c r="X25" s="31"/>
      <c r="Y25" s="31"/>
      <c r="Z25" s="31"/>
      <c r="AA25" s="35"/>
    </row>
    <row r="27" spans="2:27" x14ac:dyDescent="0.25">
      <c r="R27" s="4" t="s">
        <v>127</v>
      </c>
      <c r="S27" s="4" t="s">
        <v>123</v>
      </c>
      <c r="T27" s="4" t="s">
        <v>122</v>
      </c>
      <c r="U27" s="4" t="s">
        <v>115</v>
      </c>
      <c r="W27" s="4" t="s">
        <v>127</v>
      </c>
      <c r="X27" s="4" t="s">
        <v>123</v>
      </c>
      <c r="Y27" s="4" t="s">
        <v>122</v>
      </c>
      <c r="Z27" s="4" t="s">
        <v>115</v>
      </c>
    </row>
    <row r="28" spans="2:27" x14ac:dyDescent="0.25">
      <c r="B28" s="1" t="s">
        <v>168</v>
      </c>
    </row>
    <row r="29" spans="2:27" x14ac:dyDescent="0.25">
      <c r="B29" s="1" t="s">
        <v>171</v>
      </c>
      <c r="R29" s="4" t="s">
        <v>103</v>
      </c>
      <c r="S29" s="4" t="s">
        <v>102</v>
      </c>
      <c r="T29" s="4" t="s">
        <v>101</v>
      </c>
      <c r="U29" s="4" t="s">
        <v>31</v>
      </c>
      <c r="V29" s="32" t="s">
        <v>128</v>
      </c>
      <c r="W29" s="4" t="s">
        <v>149</v>
      </c>
      <c r="X29" s="4" t="s">
        <v>150</v>
      </c>
      <c r="Y29" s="4" t="s">
        <v>151</v>
      </c>
      <c r="Z29" s="4" t="s">
        <v>152</v>
      </c>
      <c r="AA29" s="32" t="s">
        <v>129</v>
      </c>
    </row>
    <row r="30" spans="2:27" x14ac:dyDescent="0.25">
      <c r="B30" s="17" t="s">
        <v>135</v>
      </c>
      <c r="R30" s="18">
        <v>88</v>
      </c>
      <c r="S30" s="18">
        <v>103</v>
      </c>
      <c r="T30" s="18">
        <v>98</v>
      </c>
      <c r="U30" s="18">
        <v>98</v>
      </c>
      <c r="V30" s="38">
        <f>SUM(R30:U30)</f>
        <v>387</v>
      </c>
      <c r="W30" s="18"/>
      <c r="X30" s="18"/>
      <c r="Y30" s="18"/>
      <c r="Z30" s="18"/>
      <c r="AA30" s="38">
        <f>SUM(W30:Z30)</f>
        <v>0</v>
      </c>
    </row>
    <row r="31" spans="2:27" x14ac:dyDescent="0.25">
      <c r="B31" s="30" t="s">
        <v>139</v>
      </c>
      <c r="R31" s="30"/>
      <c r="S31" s="30"/>
      <c r="T31" s="30"/>
      <c r="U31" s="30"/>
      <c r="V31" s="33"/>
      <c r="W31" s="30">
        <f t="shared" ref="W31" si="71">(W30-R30)/R30</f>
        <v>-1</v>
      </c>
      <c r="X31" s="30">
        <f t="shared" ref="X31" si="72">(X30-S30)/S30</f>
        <v>-1</v>
      </c>
      <c r="Y31" s="30">
        <f t="shared" ref="Y31" si="73">(Y30-T30)/T30</f>
        <v>-1</v>
      </c>
      <c r="Z31" s="30">
        <f t="shared" ref="Z31" si="74">(Z30-U30)/U30</f>
        <v>-1</v>
      </c>
      <c r="AA31" s="33">
        <f>(AA30-V30)/V30</f>
        <v>-1</v>
      </c>
    </row>
    <row r="32" spans="2:27" ht="20" thickBot="1" x14ac:dyDescent="0.3">
      <c r="B32" s="31" t="s">
        <v>140</v>
      </c>
      <c r="R32" s="31"/>
      <c r="S32" s="31"/>
      <c r="T32" s="31"/>
      <c r="U32" s="31"/>
      <c r="V32" s="34"/>
      <c r="W32" s="31"/>
      <c r="X32" s="31"/>
      <c r="Y32" s="31"/>
      <c r="Z32" s="31"/>
      <c r="AA32" s="34"/>
    </row>
    <row r="33" spans="2:27" x14ac:dyDescent="0.25">
      <c r="B33" s="17" t="s">
        <v>136</v>
      </c>
      <c r="R33" s="18">
        <v>13</v>
      </c>
      <c r="S33" s="18">
        <v>16</v>
      </c>
      <c r="T33" s="18">
        <v>15</v>
      </c>
      <c r="U33" s="18">
        <v>20</v>
      </c>
      <c r="V33" s="38">
        <f>SUM(R33:U33)</f>
        <v>64</v>
      </c>
      <c r="W33" s="18"/>
      <c r="X33" s="18"/>
      <c r="Y33" s="18"/>
      <c r="Z33" s="18"/>
      <c r="AA33" s="38">
        <f>SUM(W33:Z33)</f>
        <v>0</v>
      </c>
    </row>
    <row r="34" spans="2:27" x14ac:dyDescent="0.25">
      <c r="B34" s="30" t="s">
        <v>139</v>
      </c>
      <c r="R34" s="30"/>
      <c r="S34" s="30"/>
      <c r="T34" s="30"/>
      <c r="U34" s="30"/>
      <c r="V34" s="33"/>
      <c r="W34" s="30">
        <f>(W33-R33)/R33</f>
        <v>-1</v>
      </c>
      <c r="X34" s="30">
        <f>(X33-S33)/S33</f>
        <v>-1</v>
      </c>
      <c r="Y34" s="30">
        <f t="shared" ref="Y34" si="75">(Y33-T33)/T33</f>
        <v>-1</v>
      </c>
      <c r="Z34" s="30">
        <f t="shared" ref="Z34" si="76">(Z33-U33)/U33</f>
        <v>-1</v>
      </c>
      <c r="AA34" s="33">
        <f>(AA33-V33)/V33</f>
        <v>-1</v>
      </c>
    </row>
    <row r="35" spans="2:27" ht="20" thickBot="1" x14ac:dyDescent="0.3">
      <c r="B35" s="31" t="s">
        <v>141</v>
      </c>
      <c r="R35" s="31"/>
      <c r="S35" s="31"/>
      <c r="T35" s="31"/>
      <c r="U35" s="31"/>
      <c r="V35" s="34"/>
      <c r="W35" s="31"/>
      <c r="X35" s="31"/>
      <c r="Y35" s="31"/>
      <c r="Z35" s="31"/>
      <c r="AA35" s="34"/>
    </row>
    <row r="36" spans="2:27" x14ac:dyDescent="0.25">
      <c r="B36" s="17" t="s">
        <v>142</v>
      </c>
      <c r="R36" s="18">
        <v>3</v>
      </c>
      <c r="S36" s="18">
        <v>5</v>
      </c>
      <c r="T36" s="18">
        <v>5</v>
      </c>
      <c r="U36" s="18">
        <v>6</v>
      </c>
      <c r="V36" s="38">
        <f>SUM(R36:U36)</f>
        <v>19</v>
      </c>
      <c r="W36" s="18"/>
      <c r="X36" s="18"/>
      <c r="Y36" s="18"/>
      <c r="Z36" s="18"/>
      <c r="AA36" s="38">
        <f>SUM(W36:Z36)</f>
        <v>0</v>
      </c>
    </row>
    <row r="37" spans="2:27" x14ac:dyDescent="0.25">
      <c r="B37" s="30" t="s">
        <v>139</v>
      </c>
      <c r="R37" s="30"/>
      <c r="S37" s="30"/>
      <c r="T37" s="30"/>
      <c r="U37" s="30"/>
      <c r="V37" s="33"/>
      <c r="W37" s="30">
        <f>(W36-R36)/R36</f>
        <v>-1</v>
      </c>
      <c r="X37" s="30">
        <f>(X36-S36)/S36</f>
        <v>-1</v>
      </c>
      <c r="Y37" s="30">
        <f t="shared" ref="Y37" si="77">(Y36-T36)/T36</f>
        <v>-1</v>
      </c>
      <c r="Z37" s="30">
        <f t="shared" ref="Z37" si="78">(Z36-U36)/U36</f>
        <v>-1</v>
      </c>
      <c r="AA37" s="33">
        <f>(AA36-V36)/V36</f>
        <v>-1</v>
      </c>
    </row>
    <row r="38" spans="2:27" ht="20" thickBot="1" x14ac:dyDescent="0.3">
      <c r="B38" s="31" t="s">
        <v>140</v>
      </c>
      <c r="R38" s="31"/>
      <c r="S38" s="31"/>
      <c r="T38" s="31"/>
      <c r="U38" s="31"/>
      <c r="V38" s="44"/>
      <c r="W38" s="31"/>
      <c r="X38" s="31"/>
      <c r="Y38" s="31"/>
      <c r="Z38" s="31"/>
      <c r="AA38" s="44"/>
    </row>
    <row r="40" spans="2:27" x14ac:dyDescent="0.25">
      <c r="R40" s="4" t="s">
        <v>103</v>
      </c>
      <c r="S40" s="4" t="s">
        <v>102</v>
      </c>
      <c r="T40" s="4" t="s">
        <v>101</v>
      </c>
      <c r="U40" s="4" t="s">
        <v>31</v>
      </c>
      <c r="V40" s="32" t="s">
        <v>128</v>
      </c>
      <c r="W40" s="4" t="s">
        <v>149</v>
      </c>
      <c r="X40" s="4" t="s">
        <v>150</v>
      </c>
      <c r="Y40" s="4" t="s">
        <v>151</v>
      </c>
      <c r="Z40" s="4" t="s">
        <v>152</v>
      </c>
      <c r="AA40" s="32" t="s">
        <v>129</v>
      </c>
    </row>
    <row r="41" spans="2:27" x14ac:dyDescent="0.25">
      <c r="B41" s="1" t="s">
        <v>155</v>
      </c>
      <c r="R41" s="18"/>
      <c r="S41" s="18"/>
      <c r="T41" s="18"/>
      <c r="U41" s="18"/>
      <c r="V41" s="38">
        <f>SUM(R41:U41)</f>
        <v>0</v>
      </c>
      <c r="W41" s="18"/>
      <c r="X41" s="18"/>
      <c r="Y41" s="18"/>
      <c r="Z41" s="18"/>
      <c r="AA41" s="38">
        <f>SUM(W41:Z41)</f>
        <v>0</v>
      </c>
    </row>
    <row r="42" spans="2:27" x14ac:dyDescent="0.25">
      <c r="B42" s="30" t="s">
        <v>139</v>
      </c>
      <c r="R42" s="30" t="e">
        <f t="shared" ref="R42" si="79">(R41-M41)/M41</f>
        <v>#DIV/0!</v>
      </c>
      <c r="S42" s="30" t="e">
        <f t="shared" ref="S42" si="80">(S41-N41)/N41</f>
        <v>#DIV/0!</v>
      </c>
      <c r="T42" s="30" t="e">
        <f t="shared" ref="T42" si="81">(T41-O41)/O41</f>
        <v>#DIV/0!</v>
      </c>
      <c r="U42" s="30" t="e">
        <f t="shared" ref="U42" si="82">(U41-P41)/P41</f>
        <v>#DIV/0!</v>
      </c>
      <c r="V42" s="33" t="e">
        <f>(V41-Q41)/Q41</f>
        <v>#DIV/0!</v>
      </c>
      <c r="W42" s="30" t="e">
        <f t="shared" ref="W42" si="83">(W41-R41)/R41</f>
        <v>#DIV/0!</v>
      </c>
      <c r="X42" s="30" t="e">
        <f t="shared" ref="X42" si="84">(X41-S41)/S41</f>
        <v>#DIV/0!</v>
      </c>
      <c r="Y42" s="30" t="e">
        <f t="shared" ref="Y42" si="85">(Y41-T41)/T41</f>
        <v>#DIV/0!</v>
      </c>
      <c r="Z42" s="30" t="e">
        <f t="shared" ref="Z42" si="86">(Z41-U41)/U41</f>
        <v>#DIV/0!</v>
      </c>
      <c r="AA42" s="33" t="e">
        <f>(AA41-V41)/V41</f>
        <v>#DIV/0!</v>
      </c>
    </row>
    <row r="43" spans="2:27" ht="20" thickBot="1" x14ac:dyDescent="0.3">
      <c r="B43" s="30" t="s">
        <v>140</v>
      </c>
      <c r="R43" s="31"/>
      <c r="S43" s="31"/>
      <c r="T43" s="31"/>
      <c r="U43" s="31"/>
      <c r="V43" s="34"/>
      <c r="W43" s="31"/>
      <c r="X43" s="31"/>
      <c r="Y43" s="31"/>
      <c r="Z43" s="31"/>
      <c r="AA43" s="34"/>
    </row>
    <row r="44" spans="2:27" x14ac:dyDescent="0.25">
      <c r="B44" s="1" t="s">
        <v>156</v>
      </c>
      <c r="R44" s="18"/>
      <c r="S44" s="18"/>
      <c r="T44" s="18"/>
      <c r="U44" s="18"/>
      <c r="V44" s="38">
        <f>SUM(R44:U44)</f>
        <v>0</v>
      </c>
      <c r="W44" s="18"/>
      <c r="X44" s="18"/>
      <c r="Y44" s="18"/>
      <c r="Z44" s="18"/>
      <c r="AA44" s="38">
        <f>SUM(W44:Z44)</f>
        <v>0</v>
      </c>
    </row>
    <row r="45" spans="2:27" x14ac:dyDescent="0.25">
      <c r="B45" s="30" t="s">
        <v>139</v>
      </c>
      <c r="R45" s="30" t="e">
        <f>(R44-M44)/M44</f>
        <v>#DIV/0!</v>
      </c>
      <c r="S45" s="30" t="e">
        <f>(S44-N44)/N44</f>
        <v>#DIV/0!</v>
      </c>
      <c r="T45" s="30" t="e">
        <f t="shared" ref="T45" si="87">(T44-O44)/O44</f>
        <v>#DIV/0!</v>
      </c>
      <c r="U45" s="30" t="e">
        <f t="shared" ref="U45" si="88">(U44-P44)/P44</f>
        <v>#DIV/0!</v>
      </c>
      <c r="V45" s="33" t="e">
        <f>(V44-Q44)/Q44</f>
        <v>#DIV/0!</v>
      </c>
      <c r="W45" s="30" t="e">
        <f>(W44-R44)/R44</f>
        <v>#DIV/0!</v>
      </c>
      <c r="X45" s="30" t="e">
        <f>(X44-S44)/S44</f>
        <v>#DIV/0!</v>
      </c>
      <c r="Y45" s="30" t="e">
        <f t="shared" ref="Y45" si="89">(Y44-T44)/T44</f>
        <v>#DIV/0!</v>
      </c>
      <c r="Z45" s="30" t="e">
        <f t="shared" ref="Z45" si="90">(Z44-U44)/U44</f>
        <v>#DIV/0!</v>
      </c>
      <c r="AA45" s="33" t="e">
        <f>(AA44-V44)/V44</f>
        <v>#DIV/0!</v>
      </c>
    </row>
    <row r="46" spans="2:27" ht="20" thickBot="1" x14ac:dyDescent="0.3">
      <c r="B46" s="30" t="s">
        <v>140</v>
      </c>
      <c r="R46" s="31"/>
      <c r="S46" s="31"/>
      <c r="T46" s="31"/>
      <c r="U46" s="31"/>
      <c r="V46" s="34"/>
      <c r="W46" s="31"/>
      <c r="X46" s="31"/>
      <c r="Y46" s="31"/>
      <c r="Z46" s="31"/>
      <c r="AA46" s="34"/>
    </row>
    <row r="47" spans="2:27" x14ac:dyDescent="0.25">
      <c r="B47" s="1" t="s">
        <v>157</v>
      </c>
      <c r="R47" s="18"/>
      <c r="S47" s="18"/>
      <c r="T47" s="18"/>
      <c r="U47" s="18"/>
      <c r="V47" s="38">
        <f>SUM(R47:U47)</f>
        <v>0</v>
      </c>
      <c r="W47" s="18"/>
      <c r="X47" s="18"/>
      <c r="Y47" s="18"/>
      <c r="Z47" s="18"/>
      <c r="AA47" s="38">
        <f>SUM(W47:Z47)</f>
        <v>0</v>
      </c>
    </row>
    <row r="48" spans="2:27" x14ac:dyDescent="0.25">
      <c r="B48" s="30" t="s">
        <v>139</v>
      </c>
      <c r="R48" s="30" t="e">
        <f>(R47-M47)/M47</f>
        <v>#DIV/0!</v>
      </c>
      <c r="S48" s="30" t="e">
        <f>(S47-N47)/N47</f>
        <v>#DIV/0!</v>
      </c>
      <c r="T48" s="30" t="e">
        <f t="shared" ref="T48" si="91">(T47-O47)/O47</f>
        <v>#DIV/0!</v>
      </c>
      <c r="U48" s="30" t="e">
        <f t="shared" ref="U48" si="92">(U47-P47)/P47</f>
        <v>#DIV/0!</v>
      </c>
      <c r="V48" s="33" t="e">
        <f>(V47-Q47)/Q47</f>
        <v>#DIV/0!</v>
      </c>
      <c r="W48" s="30" t="e">
        <f>(W47-R47)/R47</f>
        <v>#DIV/0!</v>
      </c>
      <c r="X48" s="30" t="e">
        <f>(X47-S47)/S47</f>
        <v>#DIV/0!</v>
      </c>
      <c r="Y48" s="30" t="e">
        <f t="shared" ref="Y48" si="93">(Y47-T47)/T47</f>
        <v>#DIV/0!</v>
      </c>
      <c r="Z48" s="30" t="e">
        <f t="shared" ref="Z48" si="94">(Z47-U47)/U47</f>
        <v>#DIV/0!</v>
      </c>
      <c r="AA48" s="33" t="e">
        <f>(AA47-V47)/V47</f>
        <v>#DIV/0!</v>
      </c>
    </row>
    <row r="49" spans="2:27" ht="20" thickBot="1" x14ac:dyDescent="0.3">
      <c r="B49" s="30" t="s">
        <v>140</v>
      </c>
      <c r="R49" s="31"/>
      <c r="S49" s="31"/>
      <c r="T49" s="31"/>
      <c r="U49" s="31"/>
      <c r="V49" s="35"/>
      <c r="W49" s="31"/>
      <c r="X49" s="31"/>
      <c r="Y49" s="31"/>
      <c r="Z49" s="31"/>
      <c r="AA49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4989-A5FA-8E44-90F7-85601A4D34EF}">
  <dimension ref="B2:L1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8" sqref="F28"/>
    </sheetView>
  </sheetViews>
  <sheetFormatPr baseColWidth="10" defaultRowHeight="19" x14ac:dyDescent="0.25"/>
  <cols>
    <col min="1" max="1" width="10.83203125" style="2"/>
    <col min="2" max="2" width="24.1640625" style="2" customWidth="1"/>
    <col min="3" max="16384" width="10.83203125" style="2"/>
  </cols>
  <sheetData>
    <row r="2" spans="2:12" x14ac:dyDescent="0.25">
      <c r="C2" s="4" t="s">
        <v>127</v>
      </c>
      <c r="D2" s="4" t="s">
        <v>123</v>
      </c>
      <c r="E2" s="4" t="s">
        <v>122</v>
      </c>
      <c r="F2" s="4" t="s">
        <v>115</v>
      </c>
      <c r="H2" s="4" t="s">
        <v>127</v>
      </c>
      <c r="I2" s="4" t="s">
        <v>123</v>
      </c>
      <c r="J2" s="4" t="s">
        <v>122</v>
      </c>
      <c r="K2" s="4" t="s">
        <v>115</v>
      </c>
    </row>
    <row r="4" spans="2:12" x14ac:dyDescent="0.25">
      <c r="B4" s="2" t="s">
        <v>10</v>
      </c>
      <c r="C4" s="4" t="s">
        <v>103</v>
      </c>
      <c r="D4" s="4" t="s">
        <v>102</v>
      </c>
      <c r="E4" s="4" t="s">
        <v>101</v>
      </c>
      <c r="F4" s="4" t="s">
        <v>31</v>
      </c>
      <c r="G4" s="32" t="s">
        <v>128</v>
      </c>
      <c r="H4" s="4" t="s">
        <v>149</v>
      </c>
      <c r="I4" s="4" t="s">
        <v>150</v>
      </c>
      <c r="J4" s="4" t="s">
        <v>151</v>
      </c>
      <c r="K4" s="4" t="s">
        <v>152</v>
      </c>
      <c r="L4" s="32" t="s">
        <v>129</v>
      </c>
    </row>
    <row r="5" spans="2:12" x14ac:dyDescent="0.25">
      <c r="B5" s="1" t="s">
        <v>167</v>
      </c>
      <c r="G5" s="49"/>
      <c r="L5" s="49"/>
    </row>
    <row r="6" spans="2:12" s="17" customFormat="1" x14ac:dyDescent="0.25">
      <c r="B6" s="17" t="s">
        <v>16</v>
      </c>
      <c r="C6" s="17">
        <v>392</v>
      </c>
      <c r="D6" s="17">
        <v>726</v>
      </c>
      <c r="E6" s="17">
        <v>487</v>
      </c>
      <c r="F6" s="17">
        <v>414</v>
      </c>
      <c r="G6" s="38">
        <f>SUM(C6:F6)</f>
        <v>2019</v>
      </c>
      <c r="L6" s="38">
        <f>SUM(H6:K6)</f>
        <v>0</v>
      </c>
    </row>
    <row r="7" spans="2:12" s="30" customFormat="1" x14ac:dyDescent="0.25">
      <c r="B7" s="30" t="s">
        <v>139</v>
      </c>
      <c r="G7" s="50"/>
      <c r="H7" s="30">
        <f>(H6-C6)/C6</f>
        <v>-1</v>
      </c>
      <c r="I7" s="30">
        <f t="shared" ref="I7:K7" si="0">(I6-D6)/D6</f>
        <v>-1</v>
      </c>
      <c r="J7" s="30">
        <f t="shared" si="0"/>
        <v>-1</v>
      </c>
      <c r="K7" s="30">
        <f t="shared" si="0"/>
        <v>-1</v>
      </c>
      <c r="L7" s="50">
        <f>(L6-G6)/G6</f>
        <v>-1</v>
      </c>
    </row>
    <row r="8" spans="2:12" s="18" customFormat="1" x14ac:dyDescent="0.25">
      <c r="B8" s="18" t="s">
        <v>18</v>
      </c>
      <c r="C8" s="18">
        <v>273</v>
      </c>
      <c r="D8" s="18">
        <v>506</v>
      </c>
      <c r="E8" s="18">
        <v>345</v>
      </c>
      <c r="F8" s="18">
        <v>299</v>
      </c>
      <c r="G8" s="38">
        <f>SUM(C8:F8)</f>
        <v>1423</v>
      </c>
      <c r="L8" s="38">
        <f>SUM(H8:K8)</f>
        <v>0</v>
      </c>
    </row>
    <row r="9" spans="2:12" s="30" customFormat="1" x14ac:dyDescent="0.25">
      <c r="B9" s="30" t="s">
        <v>8</v>
      </c>
      <c r="C9" s="30">
        <f t="shared" ref="C9:E9" si="1">C8/C6</f>
        <v>0.6964285714285714</v>
      </c>
      <c r="D9" s="30">
        <f t="shared" si="1"/>
        <v>0.69696969696969702</v>
      </c>
      <c r="E9" s="30">
        <f t="shared" si="1"/>
        <v>0.70841889117043122</v>
      </c>
      <c r="F9" s="30">
        <f>F8/F6</f>
        <v>0.72222222222222221</v>
      </c>
      <c r="G9" s="50">
        <f>G8/G6</f>
        <v>0.7048043585933631</v>
      </c>
      <c r="H9" s="30" t="e">
        <f t="shared" ref="H9" si="2">H8/H6</f>
        <v>#DIV/0!</v>
      </c>
      <c r="I9" s="30" t="e">
        <f t="shared" ref="I9" si="3">I8/I6</f>
        <v>#DIV/0!</v>
      </c>
      <c r="J9" s="30" t="e">
        <f t="shared" ref="J9" si="4">J8/J6</f>
        <v>#DIV/0!</v>
      </c>
      <c r="K9" s="30" t="e">
        <f>K8/K6</f>
        <v>#DIV/0!</v>
      </c>
      <c r="L9" s="50" t="e">
        <f>L8/L6</f>
        <v>#DIV/0!</v>
      </c>
    </row>
    <row r="10" spans="2:12" s="17" customFormat="1" x14ac:dyDescent="0.25">
      <c r="B10" s="17" t="s">
        <v>22</v>
      </c>
      <c r="C10" s="17">
        <v>77</v>
      </c>
      <c r="D10" s="17">
        <v>181</v>
      </c>
      <c r="E10" s="17">
        <v>108</v>
      </c>
      <c r="F10" s="17">
        <v>69</v>
      </c>
      <c r="G10" s="38">
        <f>SUM(C10:F10)</f>
        <v>435</v>
      </c>
      <c r="L10" s="38">
        <f>SUM(H10:K10)</f>
        <v>0</v>
      </c>
    </row>
    <row r="11" spans="2:12" s="31" customFormat="1" ht="20" thickBot="1" x14ac:dyDescent="0.3">
      <c r="B11" s="31" t="s">
        <v>6</v>
      </c>
      <c r="C11" s="31">
        <f t="shared" ref="C11:E11" si="5">C10/C6</f>
        <v>0.19642857142857142</v>
      </c>
      <c r="D11" s="31">
        <f t="shared" si="5"/>
        <v>0.24931129476584021</v>
      </c>
      <c r="E11" s="31">
        <f t="shared" si="5"/>
        <v>0.22176591375770022</v>
      </c>
      <c r="F11" s="31">
        <f>F10/F6</f>
        <v>0.16666666666666666</v>
      </c>
      <c r="G11" s="51">
        <f>G10/G6</f>
        <v>0.21545319465081725</v>
      </c>
      <c r="H11" s="31" t="e">
        <f t="shared" ref="H11" si="6">H10/H6</f>
        <v>#DIV/0!</v>
      </c>
      <c r="I11" s="31" t="e">
        <f t="shared" ref="I11" si="7">I10/I6</f>
        <v>#DIV/0!</v>
      </c>
      <c r="J11" s="31" t="e">
        <f t="shared" ref="J11" si="8">J10/J6</f>
        <v>#DIV/0!</v>
      </c>
      <c r="K11" s="31" t="e">
        <f>K10/K6</f>
        <v>#DIV/0!</v>
      </c>
      <c r="L11" s="51" t="e">
        <f>L10/L6</f>
        <v>#DIV/0!</v>
      </c>
    </row>
    <row r="12" spans="2:12" x14ac:dyDescent="0.25">
      <c r="B12" s="1" t="s">
        <v>168</v>
      </c>
      <c r="G12" s="49"/>
      <c r="L12" s="49"/>
    </row>
    <row r="13" spans="2:12" s="17" customFormat="1" x14ac:dyDescent="0.25">
      <c r="B13" s="17" t="s">
        <v>16</v>
      </c>
      <c r="C13" s="17">
        <v>104</v>
      </c>
      <c r="D13" s="17">
        <v>124</v>
      </c>
      <c r="E13" s="17">
        <v>118</v>
      </c>
      <c r="F13" s="17">
        <v>123</v>
      </c>
      <c r="G13" s="38">
        <f>SUM(C13:F13)</f>
        <v>469</v>
      </c>
      <c r="L13" s="38">
        <f>SUM(H13:K13)</f>
        <v>0</v>
      </c>
    </row>
    <row r="14" spans="2:12" x14ac:dyDescent="0.25">
      <c r="B14" s="30" t="s">
        <v>139</v>
      </c>
      <c r="G14" s="50"/>
      <c r="H14" s="30">
        <f>(H13-C13)/C13</f>
        <v>-1</v>
      </c>
      <c r="I14" s="30">
        <f t="shared" ref="I14" si="9">(I13-D13)/D13</f>
        <v>-1</v>
      </c>
      <c r="J14" s="30">
        <f t="shared" ref="J14" si="10">(J13-E13)/E13</f>
        <v>-1</v>
      </c>
      <c r="K14" s="30">
        <f t="shared" ref="K14" si="11">(K13-F13)/F13</f>
        <v>-1</v>
      </c>
      <c r="L14" s="50">
        <f>(L13-G13)/G13</f>
        <v>-1</v>
      </c>
    </row>
    <row r="15" spans="2:12" s="18" customFormat="1" x14ac:dyDescent="0.25">
      <c r="B15" s="18" t="s">
        <v>18</v>
      </c>
      <c r="C15" s="18">
        <v>73</v>
      </c>
      <c r="D15" s="18">
        <v>88</v>
      </c>
      <c r="E15" s="18">
        <v>84</v>
      </c>
      <c r="F15" s="18">
        <v>93</v>
      </c>
      <c r="G15" s="38">
        <f>SUM(C15:F15)</f>
        <v>338</v>
      </c>
      <c r="L15" s="38">
        <f>SUM(H15:K15)</f>
        <v>0</v>
      </c>
    </row>
    <row r="16" spans="2:12" x14ac:dyDescent="0.25">
      <c r="B16" s="30" t="s">
        <v>8</v>
      </c>
      <c r="C16" s="30">
        <f t="shared" ref="C16" si="12">C15/C13</f>
        <v>0.70192307692307687</v>
      </c>
      <c r="D16" s="30">
        <f t="shared" ref="D16" si="13">D15/D13</f>
        <v>0.70967741935483875</v>
      </c>
      <c r="E16" s="30">
        <f t="shared" ref="E16" si="14">E15/E13</f>
        <v>0.71186440677966101</v>
      </c>
      <c r="F16" s="30">
        <f>F15/F13</f>
        <v>0.75609756097560976</v>
      </c>
      <c r="G16" s="50">
        <f>G15/G13</f>
        <v>0.72068230277185497</v>
      </c>
      <c r="H16" s="30" t="e">
        <f t="shared" ref="H16" si="15">H15/H13</f>
        <v>#DIV/0!</v>
      </c>
      <c r="I16" s="30" t="e">
        <f t="shared" ref="I16" si="16">I15/I13</f>
        <v>#DIV/0!</v>
      </c>
      <c r="J16" s="30" t="e">
        <f t="shared" ref="J16" si="17">J15/J13</f>
        <v>#DIV/0!</v>
      </c>
      <c r="K16" s="30" t="e">
        <f>K15/K13</f>
        <v>#DIV/0!</v>
      </c>
      <c r="L16" s="50" t="e">
        <f>L15/L13</f>
        <v>#DIV/0!</v>
      </c>
    </row>
    <row r="17" spans="2:12" s="17" customFormat="1" x14ac:dyDescent="0.25">
      <c r="B17" s="17" t="s">
        <v>22</v>
      </c>
      <c r="C17" s="17">
        <v>14</v>
      </c>
      <c r="D17" s="17">
        <v>18</v>
      </c>
      <c r="E17" s="17">
        <v>18</v>
      </c>
      <c r="F17" s="17">
        <v>19</v>
      </c>
      <c r="G17" s="38">
        <f>SUM(C17:F17)</f>
        <v>69</v>
      </c>
      <c r="L17" s="38">
        <f>SUM(H17:K17)</f>
        <v>0</v>
      </c>
    </row>
    <row r="18" spans="2:12" s="52" customFormat="1" ht="20" thickBot="1" x14ac:dyDescent="0.3">
      <c r="B18" s="31" t="s">
        <v>6</v>
      </c>
      <c r="C18" s="31">
        <f t="shared" ref="C18" si="18">C17/C13</f>
        <v>0.13461538461538461</v>
      </c>
      <c r="D18" s="31">
        <f t="shared" ref="D18" si="19">D17/D13</f>
        <v>0.14516129032258066</v>
      </c>
      <c r="E18" s="31">
        <f t="shared" ref="E18" si="20">E17/E13</f>
        <v>0.15254237288135594</v>
      </c>
      <c r="F18" s="31">
        <f>F17/F13</f>
        <v>0.15447154471544716</v>
      </c>
      <c r="G18" s="51">
        <f>G17/G13</f>
        <v>0.14712153518123666</v>
      </c>
      <c r="H18" s="31" t="e">
        <f t="shared" ref="H18" si="21">H17/H13</f>
        <v>#DIV/0!</v>
      </c>
      <c r="I18" s="31" t="e">
        <f t="shared" ref="I18" si="22">I17/I13</f>
        <v>#DIV/0!</v>
      </c>
      <c r="J18" s="31" t="e">
        <f t="shared" ref="J18" si="23">J17/J13</f>
        <v>#DIV/0!</v>
      </c>
      <c r="K18" s="31" t="e">
        <f>K17/K13</f>
        <v>#DIV/0!</v>
      </c>
      <c r="L18" s="51" t="e">
        <f>L17/L13</f>
        <v>#DIV/0!</v>
      </c>
    </row>
  </sheetData>
  <pageMargins left="0.7" right="0.7" top="0.75" bottom="0.75" header="0.3" footer="0.3"/>
  <ignoredErrors>
    <ignoredError sqref="G16 G9 L7" formula="1"/>
    <ignoredError sqref="H16:L18 H9:L12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20"/>
  <sheetViews>
    <sheetView showGridLines="0" workbookViewId="0">
      <selection activeCell="E25" sqref="E25"/>
    </sheetView>
  </sheetViews>
  <sheetFormatPr baseColWidth="10" defaultRowHeight="16" x14ac:dyDescent="0.2"/>
  <cols>
    <col min="3" max="3" width="29.5" bestFit="1" customWidth="1"/>
    <col min="4" max="4" width="22" customWidth="1"/>
    <col min="5" max="5" width="22.83203125" customWidth="1"/>
    <col min="6" max="6" width="23.33203125" customWidth="1"/>
  </cols>
  <sheetData>
    <row r="4" spans="3:6" ht="62" x14ac:dyDescent="0.7">
      <c r="C4" s="28"/>
      <c r="D4" s="28" t="s">
        <v>129</v>
      </c>
      <c r="E4" s="28" t="s">
        <v>130</v>
      </c>
      <c r="F4" s="28" t="s">
        <v>154</v>
      </c>
    </row>
    <row r="5" spans="3:6" ht="62" x14ac:dyDescent="0.7">
      <c r="C5" s="28" t="s">
        <v>3</v>
      </c>
      <c r="D5" s="29">
        <f>Modell!$B$9/Modell!AF13</f>
        <v>9.4812242534099234</v>
      </c>
      <c r="E5" s="29">
        <f>Modell!$B$9/Modell!AG13</f>
        <v>8.4206778403268103</v>
      </c>
      <c r="F5" s="29">
        <f>Modell!$B$9/Modell!AH13</f>
        <v>7.4959415205660509</v>
      </c>
    </row>
    <row r="6" spans="3:6" ht="62" x14ac:dyDescent="0.7">
      <c r="C6" s="28" t="s">
        <v>4</v>
      </c>
      <c r="D6" s="29">
        <f>Modell!$B$4/Modell!AF20</f>
        <v>12.652372568418293</v>
      </c>
      <c r="E6" s="29">
        <f>Modell!$B$4/Modell!AG20</f>
        <v>11.237109308549583</v>
      </c>
      <c r="F6" s="29">
        <f>Modell!$B$4/Modell!AH20</f>
        <v>10.003080017347745</v>
      </c>
    </row>
    <row r="20" spans="6:6" x14ac:dyDescent="0.2">
      <c r="F20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XEK24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52" sqref="E52"/>
    </sheetView>
  </sheetViews>
  <sheetFormatPr baseColWidth="10" defaultRowHeight="19" x14ac:dyDescent="0.25"/>
  <cols>
    <col min="1" max="1" width="10.83203125" style="2"/>
    <col min="2" max="2" width="21.1640625" style="3" customWidth="1"/>
    <col min="3" max="3" width="31.5" style="2" customWidth="1"/>
    <col min="4" max="20" width="10.83203125" style="2"/>
    <col min="21" max="21" width="14.1640625" style="2" customWidth="1"/>
    <col min="22" max="16384" width="10.83203125" style="2"/>
  </cols>
  <sheetData>
    <row r="3" spans="1:16365" x14ac:dyDescent="0.25">
      <c r="A3" s="1" t="s">
        <v>7</v>
      </c>
      <c r="D3" s="4" t="s">
        <v>90</v>
      </c>
      <c r="E3" s="4" t="s">
        <v>89</v>
      </c>
      <c r="F3" s="4" t="s">
        <v>88</v>
      </c>
      <c r="G3" s="4" t="s">
        <v>87</v>
      </c>
      <c r="H3" s="4" t="s">
        <v>86</v>
      </c>
      <c r="I3" s="4" t="s">
        <v>84</v>
      </c>
      <c r="J3" s="4" t="s">
        <v>85</v>
      </c>
      <c r="K3" s="4" t="s">
        <v>91</v>
      </c>
      <c r="L3" s="4" t="s">
        <v>92</v>
      </c>
      <c r="M3" s="4" t="s">
        <v>93</v>
      </c>
      <c r="N3" s="4" t="s">
        <v>94</v>
      </c>
      <c r="O3" s="4" t="s">
        <v>95</v>
      </c>
      <c r="P3" s="4" t="s">
        <v>96</v>
      </c>
      <c r="Q3" s="4" t="s">
        <v>97</v>
      </c>
      <c r="R3" s="4" t="s">
        <v>98</v>
      </c>
      <c r="S3" s="4" t="s">
        <v>99</v>
      </c>
    </row>
    <row r="4" spans="1:16365" x14ac:dyDescent="0.25">
      <c r="A4" s="1" t="s">
        <v>146</v>
      </c>
      <c r="C4" s="1" t="s">
        <v>16</v>
      </c>
      <c r="D4" s="17">
        <v>387.50700000000001</v>
      </c>
      <c r="E4" s="17">
        <v>912.73500000000001</v>
      </c>
      <c r="F4" s="17">
        <v>1356</v>
      </c>
      <c r="G4" s="17">
        <v>1562</v>
      </c>
      <c r="H4" s="17">
        <v>1842</v>
      </c>
      <c r="I4" s="17">
        <v>1925</v>
      </c>
      <c r="J4" s="17">
        <f>I4*1.06</f>
        <v>2040.5</v>
      </c>
      <c r="K4" s="17">
        <f>J4</f>
        <v>2040.5</v>
      </c>
      <c r="L4" s="17">
        <f t="shared" ref="L4:S4" si="0">K4</f>
        <v>2040.5</v>
      </c>
      <c r="M4" s="17">
        <f t="shared" si="0"/>
        <v>2040.5</v>
      </c>
      <c r="N4" s="17">
        <f t="shared" si="0"/>
        <v>2040.5</v>
      </c>
      <c r="O4" s="17">
        <f t="shared" si="0"/>
        <v>2040.5</v>
      </c>
      <c r="P4" s="17">
        <f t="shared" si="0"/>
        <v>2040.5</v>
      </c>
      <c r="Q4" s="17">
        <f t="shared" si="0"/>
        <v>2040.5</v>
      </c>
      <c r="R4" s="17">
        <f t="shared" si="0"/>
        <v>2040.5</v>
      </c>
      <c r="S4" s="17">
        <f t="shared" si="0"/>
        <v>2040.5</v>
      </c>
    </row>
    <row r="5" spans="1:16365" x14ac:dyDescent="0.25">
      <c r="A5" s="36">
        <f>V23</f>
        <v>33.408435966170899</v>
      </c>
      <c r="C5" s="2" t="s">
        <v>17</v>
      </c>
      <c r="D5" s="18">
        <v>-115.72</v>
      </c>
      <c r="E5" s="18">
        <v>-248.804</v>
      </c>
      <c r="F5" s="18">
        <v>-369</v>
      </c>
      <c r="G5" s="18">
        <v>-434</v>
      </c>
      <c r="H5" s="18">
        <v>-528</v>
      </c>
      <c r="I5" s="18">
        <v>-581</v>
      </c>
      <c r="J5" s="18">
        <f>J4*-0.3</f>
        <v>-612.15</v>
      </c>
      <c r="K5" s="18">
        <f>K4*-0.32</f>
        <v>-652.96</v>
      </c>
      <c r="L5" s="18">
        <f t="shared" ref="L5:S5" si="1">L4*-0.32</f>
        <v>-652.96</v>
      </c>
      <c r="M5" s="18">
        <f t="shared" si="1"/>
        <v>-652.96</v>
      </c>
      <c r="N5" s="18">
        <f t="shared" si="1"/>
        <v>-652.96</v>
      </c>
      <c r="O5" s="18">
        <f t="shared" si="1"/>
        <v>-652.96</v>
      </c>
      <c r="P5" s="18">
        <f t="shared" si="1"/>
        <v>-652.96</v>
      </c>
      <c r="Q5" s="18">
        <f t="shared" si="1"/>
        <v>-652.96</v>
      </c>
      <c r="R5" s="18">
        <f t="shared" si="1"/>
        <v>-652.96</v>
      </c>
      <c r="S5" s="18">
        <f t="shared" si="1"/>
        <v>-652.96</v>
      </c>
    </row>
    <row r="6" spans="1:16365" x14ac:dyDescent="0.25">
      <c r="A6" s="16">
        <f>V24</f>
        <v>-0.31819518436385918</v>
      </c>
      <c r="C6" s="2" t="s">
        <v>18</v>
      </c>
      <c r="D6" s="18">
        <f t="shared" ref="D6:I6" si="2">SUM(D4:D5)</f>
        <v>271.78700000000003</v>
      </c>
      <c r="E6" s="18">
        <f t="shared" si="2"/>
        <v>663.93100000000004</v>
      </c>
      <c r="F6" s="18">
        <f t="shared" si="2"/>
        <v>987</v>
      </c>
      <c r="G6" s="18">
        <f t="shared" si="2"/>
        <v>1128</v>
      </c>
      <c r="H6" s="18">
        <f t="shared" si="2"/>
        <v>1314</v>
      </c>
      <c r="I6" s="18">
        <f t="shared" si="2"/>
        <v>1344</v>
      </c>
      <c r="J6" s="18">
        <f t="shared" ref="J6:S6" si="3">SUM(J4:J5)</f>
        <v>1428.35</v>
      </c>
      <c r="K6" s="18">
        <f t="shared" si="3"/>
        <v>1387.54</v>
      </c>
      <c r="L6" s="18">
        <f t="shared" si="3"/>
        <v>1387.54</v>
      </c>
      <c r="M6" s="18">
        <f t="shared" si="3"/>
        <v>1387.54</v>
      </c>
      <c r="N6" s="18">
        <f t="shared" si="3"/>
        <v>1387.54</v>
      </c>
      <c r="O6" s="18">
        <f t="shared" si="3"/>
        <v>1387.54</v>
      </c>
      <c r="P6" s="18">
        <f t="shared" si="3"/>
        <v>1387.54</v>
      </c>
      <c r="Q6" s="18">
        <f t="shared" si="3"/>
        <v>1387.54</v>
      </c>
      <c r="R6" s="18">
        <f t="shared" si="3"/>
        <v>1387.54</v>
      </c>
      <c r="S6" s="18">
        <f t="shared" si="3"/>
        <v>1387.54</v>
      </c>
    </row>
    <row r="7" spans="1:16365" x14ac:dyDescent="0.25">
      <c r="C7" s="2" t="s">
        <v>19</v>
      </c>
      <c r="D7" s="18">
        <v>-156.999</v>
      </c>
      <c r="E7" s="18">
        <v>-363.697</v>
      </c>
      <c r="F7" s="18">
        <v>-539</v>
      </c>
      <c r="G7" s="18">
        <v>-701</v>
      </c>
      <c r="H7" s="18">
        <v>-805</v>
      </c>
      <c r="I7" s="18">
        <v>-831</v>
      </c>
      <c r="J7" s="18">
        <f>I7*1.03</f>
        <v>-855.93000000000006</v>
      </c>
      <c r="K7" s="18">
        <f>J7*1</f>
        <v>-855.93000000000006</v>
      </c>
      <c r="L7" s="18">
        <f>K7</f>
        <v>-855.93000000000006</v>
      </c>
      <c r="M7" s="18">
        <f t="shared" ref="M7:S7" si="4">L7</f>
        <v>-855.93000000000006</v>
      </c>
      <c r="N7" s="18">
        <f t="shared" si="4"/>
        <v>-855.93000000000006</v>
      </c>
      <c r="O7" s="18">
        <f t="shared" si="4"/>
        <v>-855.93000000000006</v>
      </c>
      <c r="P7" s="18">
        <f t="shared" si="4"/>
        <v>-855.93000000000006</v>
      </c>
      <c r="Q7" s="18">
        <f t="shared" si="4"/>
        <v>-855.93000000000006</v>
      </c>
      <c r="R7" s="18">
        <f t="shared" si="4"/>
        <v>-855.93000000000006</v>
      </c>
      <c r="S7" s="18">
        <f t="shared" si="4"/>
        <v>-855.93000000000006</v>
      </c>
    </row>
    <row r="8" spans="1:16365" x14ac:dyDescent="0.25">
      <c r="C8" s="2" t="s">
        <v>20</v>
      </c>
      <c r="D8" s="18">
        <v>-29.635000000000002</v>
      </c>
      <c r="E8" s="18">
        <v>-48.594999999999999</v>
      </c>
      <c r="F8" s="18">
        <v>-77</v>
      </c>
      <c r="G8" s="18">
        <v>-110</v>
      </c>
      <c r="H8" s="18">
        <v>-114</v>
      </c>
      <c r="I8" s="18">
        <v>-143</v>
      </c>
      <c r="J8" s="18">
        <f t="shared" ref="J8:J10" si="5">I8*1.03</f>
        <v>-147.29</v>
      </c>
      <c r="K8" s="18">
        <f t="shared" ref="K8:K10" si="6">J8*1</f>
        <v>-147.29</v>
      </c>
      <c r="L8" s="18">
        <f t="shared" ref="L8:S10" si="7">K8</f>
        <v>-147.29</v>
      </c>
      <c r="M8" s="18">
        <f t="shared" si="7"/>
        <v>-147.29</v>
      </c>
      <c r="N8" s="18">
        <f t="shared" si="7"/>
        <v>-147.29</v>
      </c>
      <c r="O8" s="18">
        <f t="shared" si="7"/>
        <v>-147.29</v>
      </c>
      <c r="P8" s="18">
        <f t="shared" si="7"/>
        <v>-147.29</v>
      </c>
      <c r="Q8" s="18">
        <f t="shared" si="7"/>
        <v>-147.29</v>
      </c>
      <c r="R8" s="18">
        <f t="shared" si="7"/>
        <v>-147.29</v>
      </c>
      <c r="S8" s="18">
        <f t="shared" si="7"/>
        <v>-147.29</v>
      </c>
    </row>
    <row r="9" spans="1:16365" x14ac:dyDescent="0.25">
      <c r="C9" s="2" t="s">
        <v>21</v>
      </c>
      <c r="D9" s="18">
        <v>-1.982</v>
      </c>
      <c r="E9" s="18">
        <v>-3.871</v>
      </c>
      <c r="F9" s="18">
        <v>-5</v>
      </c>
      <c r="G9" s="18">
        <v>-7</v>
      </c>
      <c r="H9" s="18">
        <v>-9</v>
      </c>
      <c r="I9" s="18">
        <v>-9</v>
      </c>
      <c r="J9" s="18">
        <f t="shared" si="5"/>
        <v>-9.27</v>
      </c>
      <c r="K9" s="18">
        <f t="shared" si="6"/>
        <v>-9.27</v>
      </c>
      <c r="L9" s="18">
        <f t="shared" si="7"/>
        <v>-9.27</v>
      </c>
      <c r="M9" s="18">
        <f t="shared" si="7"/>
        <v>-9.27</v>
      </c>
      <c r="N9" s="18">
        <f t="shared" si="7"/>
        <v>-9.27</v>
      </c>
      <c r="O9" s="18">
        <f t="shared" si="7"/>
        <v>-9.27</v>
      </c>
      <c r="P9" s="18">
        <f t="shared" si="7"/>
        <v>-9.27</v>
      </c>
      <c r="Q9" s="18">
        <f t="shared" si="7"/>
        <v>-9.27</v>
      </c>
      <c r="R9" s="18">
        <f t="shared" si="7"/>
        <v>-9.27</v>
      </c>
      <c r="S9" s="18">
        <f t="shared" si="7"/>
        <v>-9.27</v>
      </c>
    </row>
    <row r="10" spans="1:16365" x14ac:dyDescent="0.25">
      <c r="C10" s="2" t="s">
        <v>30</v>
      </c>
      <c r="D10" s="18">
        <v>0</v>
      </c>
      <c r="E10" s="18">
        <v>-17.3</v>
      </c>
      <c r="F10" s="18">
        <v>0</v>
      </c>
      <c r="G10" s="18">
        <v>0</v>
      </c>
      <c r="H10" s="18">
        <v>0</v>
      </c>
      <c r="I10" s="18">
        <v>-4</v>
      </c>
      <c r="J10" s="18">
        <f t="shared" si="5"/>
        <v>-4.12</v>
      </c>
      <c r="K10" s="18">
        <f t="shared" si="6"/>
        <v>-4.12</v>
      </c>
      <c r="L10" s="18">
        <f t="shared" si="7"/>
        <v>-4.12</v>
      </c>
      <c r="M10" s="18">
        <f t="shared" si="7"/>
        <v>-4.12</v>
      </c>
      <c r="N10" s="18">
        <f t="shared" si="7"/>
        <v>-4.12</v>
      </c>
      <c r="O10" s="18">
        <f t="shared" si="7"/>
        <v>-4.12</v>
      </c>
      <c r="P10" s="18">
        <f t="shared" si="7"/>
        <v>-4.12</v>
      </c>
      <c r="Q10" s="18">
        <f t="shared" si="7"/>
        <v>-4.12</v>
      </c>
      <c r="R10" s="18">
        <f t="shared" si="7"/>
        <v>-4.12</v>
      </c>
      <c r="S10" s="18">
        <f t="shared" si="7"/>
        <v>-4.12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</row>
    <row r="11" spans="1:16365" x14ac:dyDescent="0.25">
      <c r="C11" s="1" t="s">
        <v>22</v>
      </c>
      <c r="D11" s="17">
        <f t="shared" ref="D11:I11" si="8">SUM(D6:D10)</f>
        <v>83.171000000000035</v>
      </c>
      <c r="E11" s="17">
        <f t="shared" si="8"/>
        <v>230.46800000000002</v>
      </c>
      <c r="F11" s="17">
        <f t="shared" si="8"/>
        <v>366</v>
      </c>
      <c r="G11" s="17">
        <f t="shared" si="8"/>
        <v>310</v>
      </c>
      <c r="H11" s="17">
        <f t="shared" si="8"/>
        <v>386</v>
      </c>
      <c r="I11" s="17">
        <f t="shared" si="8"/>
        <v>357</v>
      </c>
      <c r="J11" s="17">
        <f t="shared" ref="J11:S11" si="9">SUM(J6:J10)</f>
        <v>411.7399999999999</v>
      </c>
      <c r="K11" s="17">
        <f t="shared" si="9"/>
        <v>370.92999999999995</v>
      </c>
      <c r="L11" s="17">
        <f t="shared" si="9"/>
        <v>370.92999999999995</v>
      </c>
      <c r="M11" s="17">
        <f t="shared" si="9"/>
        <v>370.92999999999995</v>
      </c>
      <c r="N11" s="17">
        <f t="shared" si="9"/>
        <v>370.92999999999995</v>
      </c>
      <c r="O11" s="17">
        <f t="shared" si="9"/>
        <v>370.92999999999995</v>
      </c>
      <c r="P11" s="17">
        <f t="shared" si="9"/>
        <v>370.92999999999995</v>
      </c>
      <c r="Q11" s="17">
        <f t="shared" si="9"/>
        <v>370.92999999999995</v>
      </c>
      <c r="R11" s="17">
        <f t="shared" si="9"/>
        <v>370.92999999999995</v>
      </c>
      <c r="S11" s="17">
        <f t="shared" si="9"/>
        <v>370.92999999999995</v>
      </c>
    </row>
    <row r="12" spans="1:16365" x14ac:dyDescent="0.25">
      <c r="C12" s="2" t="s">
        <v>23</v>
      </c>
      <c r="D12" s="18">
        <v>0</v>
      </c>
      <c r="E12" s="18">
        <v>0</v>
      </c>
      <c r="F12" s="18">
        <v>0</v>
      </c>
      <c r="G12" s="18">
        <v>1</v>
      </c>
      <c r="H12" s="18">
        <v>8</v>
      </c>
      <c r="I12" s="18">
        <v>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</row>
    <row r="13" spans="1:16365" x14ac:dyDescent="0.25">
      <c r="C13" s="2" t="s">
        <v>24</v>
      </c>
      <c r="D13" s="18">
        <v>-7</v>
      </c>
      <c r="E13" s="18">
        <v>-12</v>
      </c>
      <c r="F13" s="18">
        <v>-3</v>
      </c>
      <c r="G13" s="18">
        <v>-5</v>
      </c>
      <c r="H13" s="18">
        <v>-4</v>
      </c>
      <c r="I13" s="18">
        <v>-4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16365" x14ac:dyDescent="0.25">
      <c r="C14" s="2" t="s">
        <v>25</v>
      </c>
      <c r="D14" s="18">
        <f t="shared" ref="D14:I14" si="10">SUM(D11:D13)</f>
        <v>76.171000000000035</v>
      </c>
      <c r="E14" s="18">
        <f t="shared" si="10"/>
        <v>218.46800000000002</v>
      </c>
      <c r="F14" s="18">
        <f t="shared" si="10"/>
        <v>363</v>
      </c>
      <c r="G14" s="18">
        <f t="shared" si="10"/>
        <v>306</v>
      </c>
      <c r="H14" s="18">
        <f t="shared" si="10"/>
        <v>390</v>
      </c>
      <c r="I14" s="18">
        <f t="shared" si="10"/>
        <v>357</v>
      </c>
      <c r="J14" s="18">
        <f t="shared" ref="J14:S14" si="11">SUM(J11:J13)</f>
        <v>411.7399999999999</v>
      </c>
      <c r="K14" s="18">
        <f t="shared" si="11"/>
        <v>370.92999999999995</v>
      </c>
      <c r="L14" s="18">
        <f t="shared" si="11"/>
        <v>370.92999999999995</v>
      </c>
      <c r="M14" s="18">
        <f t="shared" si="11"/>
        <v>370.92999999999995</v>
      </c>
      <c r="N14" s="18">
        <f t="shared" si="11"/>
        <v>370.92999999999995</v>
      </c>
      <c r="O14" s="18">
        <f t="shared" si="11"/>
        <v>370.92999999999995</v>
      </c>
      <c r="P14" s="18">
        <f t="shared" si="11"/>
        <v>370.92999999999995</v>
      </c>
      <c r="Q14" s="18">
        <f t="shared" si="11"/>
        <v>370.92999999999995</v>
      </c>
      <c r="R14" s="18">
        <f t="shared" si="11"/>
        <v>370.92999999999995</v>
      </c>
      <c r="S14" s="18">
        <f t="shared" si="11"/>
        <v>370.92999999999995</v>
      </c>
    </row>
    <row r="15" spans="1:16365" x14ac:dyDescent="0.25">
      <c r="C15" s="2" t="s">
        <v>26</v>
      </c>
      <c r="D15" s="18">
        <v>-16.5</v>
      </c>
      <c r="E15" s="18">
        <v>-46.835000000000001</v>
      </c>
      <c r="F15" s="18">
        <v>-75</v>
      </c>
      <c r="G15" s="18">
        <v>-63</v>
      </c>
      <c r="H15" s="18">
        <v>-81</v>
      </c>
      <c r="I15" s="18">
        <v>-74</v>
      </c>
      <c r="J15" s="18">
        <f>J14*-0.2</f>
        <v>-82.347999999999985</v>
      </c>
      <c r="K15" s="18">
        <f t="shared" ref="K15:S15" si="12">K14*-0.2</f>
        <v>-74.185999999999993</v>
      </c>
      <c r="L15" s="18">
        <f t="shared" si="12"/>
        <v>-74.185999999999993</v>
      </c>
      <c r="M15" s="18">
        <f t="shared" si="12"/>
        <v>-74.185999999999993</v>
      </c>
      <c r="N15" s="18">
        <f t="shared" si="12"/>
        <v>-74.185999999999993</v>
      </c>
      <c r="O15" s="18">
        <f t="shared" si="12"/>
        <v>-74.185999999999993</v>
      </c>
      <c r="P15" s="18">
        <f t="shared" si="12"/>
        <v>-74.185999999999993</v>
      </c>
      <c r="Q15" s="18">
        <f t="shared" si="12"/>
        <v>-74.185999999999993</v>
      </c>
      <c r="R15" s="18">
        <f t="shared" si="12"/>
        <v>-74.185999999999993</v>
      </c>
      <c r="S15" s="18">
        <f t="shared" si="12"/>
        <v>-74.185999999999993</v>
      </c>
    </row>
    <row r="16" spans="1:16365" x14ac:dyDescent="0.25">
      <c r="C16" s="1" t="s">
        <v>27</v>
      </c>
      <c r="D16" s="17">
        <f t="shared" ref="D16:I16" si="13">SUM(D14:D15)</f>
        <v>59.671000000000035</v>
      </c>
      <c r="E16" s="17">
        <f t="shared" si="13"/>
        <v>171.63300000000001</v>
      </c>
      <c r="F16" s="17">
        <f t="shared" si="13"/>
        <v>288</v>
      </c>
      <c r="G16" s="17">
        <f t="shared" si="13"/>
        <v>243</v>
      </c>
      <c r="H16" s="17">
        <f t="shared" si="13"/>
        <v>309</v>
      </c>
      <c r="I16" s="17">
        <f t="shared" si="13"/>
        <v>283</v>
      </c>
      <c r="J16" s="17">
        <f t="shared" ref="J16:S16" si="14">SUM(J14:J15)</f>
        <v>329.39199999999994</v>
      </c>
      <c r="K16" s="17">
        <f t="shared" si="14"/>
        <v>296.74399999999997</v>
      </c>
      <c r="L16" s="17">
        <f t="shared" si="14"/>
        <v>296.74399999999997</v>
      </c>
      <c r="M16" s="17">
        <f t="shared" si="14"/>
        <v>296.74399999999997</v>
      </c>
      <c r="N16" s="17">
        <f t="shared" si="14"/>
        <v>296.74399999999997</v>
      </c>
      <c r="O16" s="17">
        <f t="shared" si="14"/>
        <v>296.74399999999997</v>
      </c>
      <c r="P16" s="17">
        <f t="shared" si="14"/>
        <v>296.74399999999997</v>
      </c>
      <c r="Q16" s="17">
        <f t="shared" si="14"/>
        <v>296.74399999999997</v>
      </c>
      <c r="R16" s="17">
        <f t="shared" si="14"/>
        <v>296.74399999999997</v>
      </c>
      <c r="S16" s="17">
        <f t="shared" si="14"/>
        <v>296.74399999999997</v>
      </c>
      <c r="T16" s="17">
        <f>S16*(1+$V$20)</f>
        <v>293.77655999999996</v>
      </c>
      <c r="U16" s="17">
        <f t="shared" ref="U16:CF16" si="15">T16*(1+$V$20)</f>
        <v>290.83879439999998</v>
      </c>
      <c r="V16" s="17">
        <f t="shared" si="15"/>
        <v>287.93040645599996</v>
      </c>
      <c r="W16" s="17">
        <f t="shared" si="15"/>
        <v>285.05110239143994</v>
      </c>
      <c r="X16" s="17">
        <f t="shared" si="15"/>
        <v>282.20059136752553</v>
      </c>
      <c r="Y16" s="17">
        <f t="shared" si="15"/>
        <v>279.37858545385029</v>
      </c>
      <c r="Z16" s="17">
        <f t="shared" si="15"/>
        <v>276.58479959931179</v>
      </c>
      <c r="AA16" s="17">
        <f t="shared" si="15"/>
        <v>273.81895160331868</v>
      </c>
      <c r="AB16" s="17">
        <f t="shared" si="15"/>
        <v>271.08076208728551</v>
      </c>
      <c r="AC16" s="17">
        <f t="shared" si="15"/>
        <v>268.36995446641265</v>
      </c>
      <c r="AD16" s="17">
        <f t="shared" si="15"/>
        <v>265.68625492174851</v>
      </c>
      <c r="AE16" s="17">
        <f t="shared" si="15"/>
        <v>263.02939237253105</v>
      </c>
      <c r="AF16" s="17">
        <f t="shared" si="15"/>
        <v>260.39909844880572</v>
      </c>
      <c r="AG16" s="17">
        <f t="shared" si="15"/>
        <v>257.79510746431765</v>
      </c>
      <c r="AH16" s="17">
        <f t="shared" si="15"/>
        <v>255.21715638967447</v>
      </c>
      <c r="AI16" s="17">
        <f t="shared" si="15"/>
        <v>252.66498482577774</v>
      </c>
      <c r="AJ16" s="17">
        <f t="shared" si="15"/>
        <v>250.13833497751995</v>
      </c>
      <c r="AK16" s="17">
        <f t="shared" si="15"/>
        <v>247.63695162774474</v>
      </c>
      <c r="AL16" s="17">
        <f t="shared" si="15"/>
        <v>245.16058211146728</v>
      </c>
      <c r="AM16" s="17">
        <f t="shared" si="15"/>
        <v>242.70897629035261</v>
      </c>
      <c r="AN16" s="17">
        <f t="shared" si="15"/>
        <v>240.28188652744907</v>
      </c>
      <c r="AO16" s="17">
        <f t="shared" si="15"/>
        <v>237.87906766217458</v>
      </c>
      <c r="AP16" s="17">
        <f t="shared" si="15"/>
        <v>235.50027698555283</v>
      </c>
      <c r="AQ16" s="17">
        <f t="shared" si="15"/>
        <v>233.1452742156973</v>
      </c>
      <c r="AR16" s="17">
        <f t="shared" si="15"/>
        <v>230.81382147354032</v>
      </c>
      <c r="AS16" s="17">
        <f t="shared" si="15"/>
        <v>228.50568325880491</v>
      </c>
      <c r="AT16" s="17">
        <f t="shared" si="15"/>
        <v>226.22062642621685</v>
      </c>
      <c r="AU16" s="17">
        <f t="shared" si="15"/>
        <v>223.95842016195468</v>
      </c>
      <c r="AV16" s="17">
        <f t="shared" si="15"/>
        <v>221.71883596033513</v>
      </c>
      <c r="AW16" s="17">
        <f t="shared" si="15"/>
        <v>219.50164760073179</v>
      </c>
      <c r="AX16" s="17">
        <f t="shared" si="15"/>
        <v>217.30663112472448</v>
      </c>
      <c r="AY16" s="17">
        <f t="shared" si="15"/>
        <v>215.13356481347722</v>
      </c>
      <c r="AZ16" s="17">
        <f t="shared" si="15"/>
        <v>212.98222916534246</v>
      </c>
      <c r="BA16" s="17">
        <f t="shared" si="15"/>
        <v>210.85240687368903</v>
      </c>
      <c r="BB16" s="17">
        <f t="shared" si="15"/>
        <v>208.74388280495214</v>
      </c>
      <c r="BC16" s="17">
        <f t="shared" si="15"/>
        <v>206.65644397690261</v>
      </c>
      <c r="BD16" s="17">
        <f t="shared" si="15"/>
        <v>204.58987953713358</v>
      </c>
      <c r="BE16" s="17">
        <f t="shared" si="15"/>
        <v>202.54398074176225</v>
      </c>
      <c r="BF16" s="17">
        <f t="shared" si="15"/>
        <v>200.51854093434463</v>
      </c>
      <c r="BG16" s="17">
        <f t="shared" si="15"/>
        <v>198.51335552500117</v>
      </c>
      <c r="BH16" s="17">
        <f t="shared" si="15"/>
        <v>196.52822196975117</v>
      </c>
      <c r="BI16" s="17">
        <f t="shared" si="15"/>
        <v>194.56293975005366</v>
      </c>
      <c r="BJ16" s="17">
        <f t="shared" si="15"/>
        <v>192.61731035255312</v>
      </c>
      <c r="BK16" s="17">
        <f t="shared" si="15"/>
        <v>190.69113724902758</v>
      </c>
      <c r="BL16" s="17">
        <f t="shared" si="15"/>
        <v>188.78422587653731</v>
      </c>
      <c r="BM16" s="17">
        <f t="shared" si="15"/>
        <v>186.89638361777193</v>
      </c>
      <c r="BN16" s="17">
        <f t="shared" si="15"/>
        <v>185.0274197815942</v>
      </c>
      <c r="BO16" s="17">
        <f t="shared" si="15"/>
        <v>183.17714558377827</v>
      </c>
      <c r="BP16" s="17">
        <f t="shared" si="15"/>
        <v>181.34537412794049</v>
      </c>
      <c r="BQ16" s="17">
        <f t="shared" si="15"/>
        <v>179.53192038666108</v>
      </c>
      <c r="BR16" s="17">
        <f t="shared" si="15"/>
        <v>177.73660118279446</v>
      </c>
      <c r="BS16" s="17">
        <f t="shared" si="15"/>
        <v>175.95923517096651</v>
      </c>
      <c r="BT16" s="17">
        <f t="shared" si="15"/>
        <v>174.19964281925684</v>
      </c>
      <c r="BU16" s="17">
        <f t="shared" si="15"/>
        <v>172.45764639106426</v>
      </c>
      <c r="BV16" s="17">
        <f t="shared" si="15"/>
        <v>170.73306992715362</v>
      </c>
      <c r="BW16" s="17">
        <f t="shared" si="15"/>
        <v>169.02573922788207</v>
      </c>
      <c r="BX16" s="17">
        <f t="shared" si="15"/>
        <v>167.33548183560325</v>
      </c>
      <c r="BY16" s="17">
        <f t="shared" si="15"/>
        <v>165.6621270172472</v>
      </c>
      <c r="BZ16" s="17">
        <f t="shared" si="15"/>
        <v>164.00550574707472</v>
      </c>
      <c r="CA16" s="17">
        <f t="shared" si="15"/>
        <v>162.36545068960396</v>
      </c>
      <c r="CB16" s="17">
        <f t="shared" si="15"/>
        <v>160.74179618270793</v>
      </c>
      <c r="CC16" s="17">
        <f t="shared" si="15"/>
        <v>159.13437822088085</v>
      </c>
      <c r="CD16" s="17">
        <f t="shared" si="15"/>
        <v>157.54303443867204</v>
      </c>
      <c r="CE16" s="17">
        <f t="shared" si="15"/>
        <v>155.96760409428532</v>
      </c>
      <c r="CF16" s="17">
        <f t="shared" si="15"/>
        <v>154.40792805334246</v>
      </c>
      <c r="CG16" s="17">
        <f t="shared" ref="CG16:DP16" si="16">CF16*(1+$V$20)</f>
        <v>152.86384877280904</v>
      </c>
      <c r="CH16" s="17">
        <f t="shared" si="16"/>
        <v>151.33521028508093</v>
      </c>
      <c r="CI16" s="17">
        <f t="shared" si="16"/>
        <v>149.82185818223013</v>
      </c>
      <c r="CJ16" s="17">
        <f t="shared" si="16"/>
        <v>148.32363960040783</v>
      </c>
      <c r="CK16" s="17">
        <f t="shared" si="16"/>
        <v>146.84040320440374</v>
      </c>
      <c r="CL16" s="17">
        <f t="shared" si="16"/>
        <v>145.37199917235969</v>
      </c>
      <c r="CM16" s="17">
        <f t="shared" si="16"/>
        <v>143.91827918063609</v>
      </c>
      <c r="CN16" s="17">
        <f t="shared" si="16"/>
        <v>142.47909638882973</v>
      </c>
      <c r="CO16" s="17">
        <f t="shared" si="16"/>
        <v>141.05430542494145</v>
      </c>
      <c r="CP16" s="17">
        <f t="shared" si="16"/>
        <v>139.64376237069203</v>
      </c>
      <c r="CQ16" s="17">
        <f t="shared" si="16"/>
        <v>138.2473247469851</v>
      </c>
      <c r="CR16" s="17">
        <f t="shared" si="16"/>
        <v>136.86485149951525</v>
      </c>
      <c r="CS16" s="17">
        <f t="shared" si="16"/>
        <v>135.4962029845201</v>
      </c>
      <c r="CT16" s="17">
        <f t="shared" si="16"/>
        <v>134.14124095467488</v>
      </c>
      <c r="CU16" s="17">
        <f t="shared" si="16"/>
        <v>132.79982854512812</v>
      </c>
      <c r="CV16" s="17">
        <f t="shared" si="16"/>
        <v>131.47183025967684</v>
      </c>
      <c r="CW16" s="17">
        <f t="shared" si="16"/>
        <v>130.15711195708008</v>
      </c>
      <c r="CX16" s="17">
        <f t="shared" si="16"/>
        <v>128.85554083750927</v>
      </c>
      <c r="CY16" s="17">
        <f t="shared" si="16"/>
        <v>127.56698542913418</v>
      </c>
      <c r="CZ16" s="17">
        <f t="shared" si="16"/>
        <v>126.29131557484284</v>
      </c>
      <c r="DA16" s="17">
        <f t="shared" si="16"/>
        <v>125.02840241909441</v>
      </c>
      <c r="DB16" s="17">
        <f t="shared" si="16"/>
        <v>123.77811839490346</v>
      </c>
      <c r="DC16" s="17">
        <f t="shared" si="16"/>
        <v>122.54033721095442</v>
      </c>
      <c r="DD16" s="17">
        <f t="shared" si="16"/>
        <v>121.31493383884488</v>
      </c>
      <c r="DE16" s="17">
        <f t="shared" si="16"/>
        <v>120.10178450045643</v>
      </c>
      <c r="DF16" s="17">
        <f t="shared" si="16"/>
        <v>118.90076665545186</v>
      </c>
      <c r="DG16" s="17">
        <f t="shared" si="16"/>
        <v>117.71175898889734</v>
      </c>
      <c r="DH16" s="17">
        <f t="shared" si="16"/>
        <v>116.53464139900836</v>
      </c>
      <c r="DI16" s="17">
        <f t="shared" si="16"/>
        <v>115.36929498501829</v>
      </c>
      <c r="DJ16" s="17">
        <f t="shared" si="16"/>
        <v>114.2156020351681</v>
      </c>
      <c r="DK16" s="17">
        <f t="shared" si="16"/>
        <v>113.07344601481643</v>
      </c>
      <c r="DL16" s="17">
        <f t="shared" si="16"/>
        <v>111.94271155466826</v>
      </c>
      <c r="DM16" s="17">
        <f t="shared" si="16"/>
        <v>110.82328443912158</v>
      </c>
      <c r="DN16" s="17">
        <f t="shared" si="16"/>
        <v>109.71505159473037</v>
      </c>
      <c r="DO16" s="17">
        <f t="shared" si="16"/>
        <v>108.61790107878306</v>
      </c>
      <c r="DP16" s="17">
        <f t="shared" si="16"/>
        <v>107.53172206799523</v>
      </c>
    </row>
    <row r="17" spans="3:22" x14ac:dyDescent="0.25">
      <c r="C17" s="2" t="s">
        <v>28</v>
      </c>
      <c r="D17" s="14">
        <v>107.767</v>
      </c>
      <c r="E17" s="14">
        <v>107.767</v>
      </c>
      <c r="F17" s="14">
        <v>112.91891800000001</v>
      </c>
      <c r="G17" s="14">
        <v>112.91891800000001</v>
      </c>
      <c r="H17" s="14">
        <v>112.91891800000001</v>
      </c>
      <c r="I17" s="14">
        <v>111.065657</v>
      </c>
      <c r="J17" s="14">
        <v>105.75545</v>
      </c>
      <c r="K17" s="14">
        <v>105.75545</v>
      </c>
      <c r="L17" s="14">
        <v>105.75545</v>
      </c>
      <c r="M17" s="14">
        <v>105.75545</v>
      </c>
      <c r="N17" s="14">
        <v>105.75545</v>
      </c>
      <c r="O17" s="14">
        <v>105.75545</v>
      </c>
      <c r="P17" s="14">
        <v>105.75545</v>
      </c>
      <c r="Q17" s="14">
        <v>105.75545</v>
      </c>
      <c r="R17" s="14">
        <v>105.75545</v>
      </c>
      <c r="S17" s="14">
        <v>105.75545</v>
      </c>
    </row>
    <row r="18" spans="3:22" x14ac:dyDescent="0.25">
      <c r="C18" s="2" t="s">
        <v>29</v>
      </c>
      <c r="D18" s="13">
        <f t="shared" ref="D18:I18" si="17">D16/D17</f>
        <v>0.55370382399064688</v>
      </c>
      <c r="E18" s="13">
        <f t="shared" si="17"/>
        <v>1.5926303970603248</v>
      </c>
      <c r="F18" s="13">
        <f t="shared" si="17"/>
        <v>2.5505026535943252</v>
      </c>
      <c r="G18" s="13">
        <f t="shared" si="17"/>
        <v>2.1519866139702115</v>
      </c>
      <c r="H18" s="13">
        <f t="shared" si="17"/>
        <v>2.7364768054189113</v>
      </c>
      <c r="I18" s="13">
        <f t="shared" si="17"/>
        <v>2.5480423710094291</v>
      </c>
      <c r="J18" s="13">
        <f t="shared" ref="J18:S18" si="18">J16/J17</f>
        <v>3.1146574479140314</v>
      </c>
      <c r="K18" s="13">
        <f t="shared" si="18"/>
        <v>2.8059452255179282</v>
      </c>
      <c r="L18" s="13">
        <f t="shared" si="18"/>
        <v>2.8059452255179282</v>
      </c>
      <c r="M18" s="13">
        <f t="shared" si="18"/>
        <v>2.8059452255179282</v>
      </c>
      <c r="N18" s="13">
        <f t="shared" si="18"/>
        <v>2.8059452255179282</v>
      </c>
      <c r="O18" s="13">
        <f t="shared" si="18"/>
        <v>2.8059452255179282</v>
      </c>
      <c r="P18" s="13">
        <f t="shared" si="18"/>
        <v>2.8059452255179282</v>
      </c>
      <c r="Q18" s="13">
        <f t="shared" si="18"/>
        <v>2.8059452255179282</v>
      </c>
      <c r="R18" s="13">
        <f t="shared" si="18"/>
        <v>2.8059452255179282</v>
      </c>
      <c r="S18" s="13">
        <f t="shared" si="18"/>
        <v>2.8059452255179282</v>
      </c>
    </row>
    <row r="19" spans="3:22" x14ac:dyDescent="0.25">
      <c r="U19" s="2" t="s">
        <v>111</v>
      </c>
      <c r="V19" s="23">
        <v>0.08</v>
      </c>
    </row>
    <row r="20" spans="3:22" x14ac:dyDescent="0.25">
      <c r="C20" s="1" t="s">
        <v>5</v>
      </c>
      <c r="D20" s="16"/>
      <c r="E20" s="16">
        <f t="shared" ref="E20:H20" si="19">(E4-D4)/D4</f>
        <v>1.3554026120818463</v>
      </c>
      <c r="F20" s="16">
        <f t="shared" si="19"/>
        <v>0.48564479284786927</v>
      </c>
      <c r="G20" s="16">
        <f t="shared" si="19"/>
        <v>0.15191740412979352</v>
      </c>
      <c r="H20" s="16">
        <f t="shared" si="19"/>
        <v>0.17925736235595391</v>
      </c>
      <c r="I20" s="16">
        <f>(I4-H4)/H4</f>
        <v>4.5059717698154179E-2</v>
      </c>
      <c r="J20" s="16">
        <f t="shared" ref="J20:S20" si="20">(J4-I4)/I4</f>
        <v>0.06</v>
      </c>
      <c r="K20" s="16">
        <f t="shared" si="20"/>
        <v>0</v>
      </c>
      <c r="L20" s="16">
        <f t="shared" si="20"/>
        <v>0</v>
      </c>
      <c r="M20" s="16">
        <f t="shared" si="20"/>
        <v>0</v>
      </c>
      <c r="N20" s="16">
        <f t="shared" si="20"/>
        <v>0</v>
      </c>
      <c r="O20" s="16">
        <f t="shared" si="20"/>
        <v>0</v>
      </c>
      <c r="P20" s="16">
        <f t="shared" si="20"/>
        <v>0</v>
      </c>
      <c r="Q20" s="16">
        <f t="shared" si="20"/>
        <v>0</v>
      </c>
      <c r="R20" s="16">
        <f t="shared" si="20"/>
        <v>0</v>
      </c>
      <c r="S20" s="16">
        <f t="shared" si="20"/>
        <v>0</v>
      </c>
      <c r="U20" s="2" t="s">
        <v>110</v>
      </c>
      <c r="V20" s="23">
        <v>-0.01</v>
      </c>
    </row>
    <row r="21" spans="3:22" x14ac:dyDescent="0.25">
      <c r="C21" s="2" t="s">
        <v>8</v>
      </c>
      <c r="D21" s="15">
        <f t="shared" ref="D21:S21" si="21">D6/D4</f>
        <v>0.70137313648527644</v>
      </c>
      <c r="E21" s="15">
        <f t="shared" si="21"/>
        <v>0.72740828389401091</v>
      </c>
      <c r="F21" s="15">
        <f t="shared" si="21"/>
        <v>0.72787610619469023</v>
      </c>
      <c r="G21" s="15">
        <f t="shared" si="21"/>
        <v>0.72215108834827146</v>
      </c>
      <c r="H21" s="15">
        <f t="shared" si="21"/>
        <v>0.71335504885993484</v>
      </c>
      <c r="I21" s="15">
        <f t="shared" si="21"/>
        <v>0.69818181818181824</v>
      </c>
      <c r="J21" s="15">
        <f t="shared" si="21"/>
        <v>0.7</v>
      </c>
      <c r="K21" s="15">
        <f t="shared" si="21"/>
        <v>0.67999999999999994</v>
      </c>
      <c r="L21" s="15">
        <f t="shared" si="21"/>
        <v>0.67999999999999994</v>
      </c>
      <c r="M21" s="15">
        <f t="shared" si="21"/>
        <v>0.67999999999999994</v>
      </c>
      <c r="N21" s="15">
        <f t="shared" si="21"/>
        <v>0.67999999999999994</v>
      </c>
      <c r="O21" s="15">
        <f t="shared" si="21"/>
        <v>0.67999999999999994</v>
      </c>
      <c r="P21" s="15">
        <f t="shared" si="21"/>
        <v>0.67999999999999994</v>
      </c>
      <c r="Q21" s="15">
        <f t="shared" si="21"/>
        <v>0.67999999999999994</v>
      </c>
      <c r="R21" s="15">
        <f t="shared" si="21"/>
        <v>0.67999999999999994</v>
      </c>
      <c r="S21" s="15">
        <f t="shared" si="21"/>
        <v>0.67999999999999994</v>
      </c>
      <c r="U21" s="22" t="s">
        <v>112</v>
      </c>
      <c r="V21" s="25">
        <f>NPV(V19,J16:DP16)</f>
        <v>3533.1241793985878</v>
      </c>
    </row>
    <row r="22" spans="3:22" x14ac:dyDescent="0.25">
      <c r="C22" s="2" t="s">
        <v>6</v>
      </c>
      <c r="D22" s="15">
        <f t="shared" ref="D22:S22" si="22">D11/D4</f>
        <v>0.2146309615052116</v>
      </c>
      <c r="E22" s="15">
        <f t="shared" si="22"/>
        <v>0.25250264315491355</v>
      </c>
      <c r="F22" s="15">
        <f t="shared" si="22"/>
        <v>0.26991150442477874</v>
      </c>
      <c r="G22" s="15">
        <f t="shared" si="22"/>
        <v>0.19846350832266324</v>
      </c>
      <c r="H22" s="15">
        <f t="shared" si="22"/>
        <v>0.20955483170466885</v>
      </c>
      <c r="I22" s="15">
        <f t="shared" si="22"/>
        <v>0.18545454545454546</v>
      </c>
      <c r="J22" s="15">
        <f t="shared" si="22"/>
        <v>0.20178387650085758</v>
      </c>
      <c r="K22" s="15">
        <f t="shared" si="22"/>
        <v>0.18178387650085762</v>
      </c>
      <c r="L22" s="15">
        <f t="shared" si="22"/>
        <v>0.18178387650085762</v>
      </c>
      <c r="M22" s="15">
        <f t="shared" si="22"/>
        <v>0.18178387650085762</v>
      </c>
      <c r="N22" s="15">
        <f t="shared" si="22"/>
        <v>0.18178387650085762</v>
      </c>
      <c r="O22" s="15">
        <f t="shared" si="22"/>
        <v>0.18178387650085762</v>
      </c>
      <c r="P22" s="15">
        <f t="shared" si="22"/>
        <v>0.18178387650085762</v>
      </c>
      <c r="Q22" s="15">
        <f t="shared" si="22"/>
        <v>0.18178387650085762</v>
      </c>
      <c r="R22" s="15">
        <f t="shared" si="22"/>
        <v>0.18178387650085762</v>
      </c>
      <c r="S22" s="15">
        <f t="shared" si="22"/>
        <v>0.18178387650085762</v>
      </c>
      <c r="U22" s="2" t="s">
        <v>2</v>
      </c>
      <c r="V22" s="14">
        <v>105.75545</v>
      </c>
    </row>
    <row r="23" spans="3:22" x14ac:dyDescent="0.25">
      <c r="U23" s="2" t="s">
        <v>113</v>
      </c>
      <c r="V23" s="13">
        <f>V21/V22</f>
        <v>33.408435966170899</v>
      </c>
    </row>
    <row r="24" spans="3:22" x14ac:dyDescent="0.25">
      <c r="U24" s="1" t="s">
        <v>114</v>
      </c>
      <c r="V24" s="16">
        <f>(V23-Modell!B4)/Modell!B4</f>
        <v>-0.31819518436385918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Info</vt:lpstr>
      <vt:lpstr>Modell</vt:lpstr>
      <vt:lpstr>SOTP</vt:lpstr>
      <vt:lpstr>Salg region</vt:lpstr>
      <vt:lpstr>Resultat per business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2026-10-01T06:54:05Z</dcterms:modified>
</cp:coreProperties>
</file>