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BD223B00-AA85-9445-853C-8ED38445C7AB}" xr6:coauthVersionLast="47" xr6:coauthVersionMax="47" xr10:uidLastSave="{00000000-0000-0000-0000-000000000000}"/>
  <bookViews>
    <workbookView xWindow="25080" yWindow="500" windowWidth="26120" windowHeight="26740" activeTab="1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" sheetId="5" r:id="rId6"/>
  </sheets>
  <definedNames>
    <definedName name="_xlchart.v1.0" hidden="1">SOTP!$C$5:$C$14</definedName>
    <definedName name="_xlchart.v1.1" hidden="1">SOTP!$G$5:$G$14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R10" i="1"/>
  <c r="Q10" i="1"/>
  <c r="P10" i="1"/>
  <c r="AD93" i="2" l="1"/>
  <c r="AE93" i="2"/>
  <c r="AA30" i="2"/>
  <c r="AG5" i="2"/>
  <c r="AH5" i="2"/>
  <c r="AI5" i="2"/>
  <c r="AJ5" i="2"/>
  <c r="AK5" i="2"/>
  <c r="AL5" i="2"/>
  <c r="AM5" i="2"/>
  <c r="AN5" i="2"/>
  <c r="AO5" i="2"/>
  <c r="AF5" i="2"/>
  <c r="B8" i="2"/>
  <c r="N12" i="5"/>
  <c r="O12" i="5" s="1"/>
  <c r="P12" i="5" s="1"/>
  <c r="Q12" i="5" s="1"/>
  <c r="R12" i="5" s="1"/>
  <c r="S12" i="5" s="1"/>
  <c r="M12" i="5"/>
  <c r="L15" i="5"/>
  <c r="M15" i="5" s="1"/>
  <c r="N15" i="5" s="1"/>
  <c r="O15" i="5" s="1"/>
  <c r="P15" i="5" s="1"/>
  <c r="Q15" i="5" s="1"/>
  <c r="R15" i="5" s="1"/>
  <c r="S15" i="5" s="1"/>
  <c r="K15" i="5"/>
  <c r="M14" i="5"/>
  <c r="N14" i="5" s="1"/>
  <c r="O14" i="5" s="1"/>
  <c r="P14" i="5" s="1"/>
  <c r="Q14" i="5" s="1"/>
  <c r="R14" i="5" s="1"/>
  <c r="S14" i="5" s="1"/>
  <c r="L14" i="5"/>
  <c r="K14" i="5"/>
  <c r="Z93" i="2"/>
  <c r="AC93" i="2"/>
  <c r="AB93" i="2"/>
  <c r="AA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U93" i="2"/>
  <c r="D9" i="6" l="1"/>
  <c r="AC34" i="2"/>
  <c r="AF8" i="2"/>
  <c r="AF7" i="2"/>
  <c r="AF4" i="2"/>
  <c r="B7" i="2"/>
  <c r="U42" i="2"/>
  <c r="U78" i="2" l="1"/>
  <c r="U87" i="2"/>
  <c r="U80" i="2"/>
  <c r="U76" i="2"/>
  <c r="U66" i="2"/>
  <c r="U67" i="2" s="1"/>
  <c r="U54" i="2"/>
  <c r="U22" i="2"/>
  <c r="U6" i="2"/>
  <c r="U9" i="2" s="1"/>
  <c r="U11" i="2" s="1"/>
  <c r="U28" i="2" s="1"/>
  <c r="U35" i="2"/>
  <c r="U36" i="2" s="1"/>
  <c r="U33" i="2"/>
  <c r="T35" i="2"/>
  <c r="T36" i="2" s="1"/>
  <c r="U26" i="2" l="1"/>
  <c r="U91" i="2"/>
  <c r="U27" i="2"/>
  <c r="U13" i="2"/>
  <c r="U29" i="2" s="1"/>
  <c r="K12" i="5"/>
  <c r="K10" i="5"/>
  <c r="L10" i="5" s="1"/>
  <c r="K8" i="5"/>
  <c r="L8" i="5" s="1"/>
  <c r="K7" i="5"/>
  <c r="L12" i="5"/>
  <c r="AG12" i="2"/>
  <c r="AG10" i="2"/>
  <c r="AD34" i="2"/>
  <c r="AE34" i="2"/>
  <c r="AG7" i="2"/>
  <c r="AH7" i="2" s="1"/>
  <c r="AI7" i="2" s="1"/>
  <c r="AJ7" i="2" s="1"/>
  <c r="AK7" i="2" s="1"/>
  <c r="AL7" i="2" s="1"/>
  <c r="AM7" i="2" s="1"/>
  <c r="AN7" i="2" s="1"/>
  <c r="AO7" i="2" s="1"/>
  <c r="AG8" i="2"/>
  <c r="AH8" i="2" s="1"/>
  <c r="AI8" i="2" s="1"/>
  <c r="AJ8" i="2" s="1"/>
  <c r="AK8" i="2" s="1"/>
  <c r="AL8" i="2" s="1"/>
  <c r="AM8" i="2" s="1"/>
  <c r="AN8" i="2" s="1"/>
  <c r="AO8" i="2" s="1"/>
  <c r="J15" i="5"/>
  <c r="J14" i="5"/>
  <c r="J8" i="5"/>
  <c r="J7" i="5"/>
  <c r="J6" i="5"/>
  <c r="J9" i="5" s="1"/>
  <c r="J11" i="5" s="1"/>
  <c r="J13" i="5" s="1"/>
  <c r="J16" i="5" s="1"/>
  <c r="J5" i="5"/>
  <c r="J4" i="5"/>
  <c r="U16" i="2" l="1"/>
  <c r="J17" i="5"/>
  <c r="J18" i="5" s="1"/>
  <c r="J20" i="5" s="1"/>
  <c r="AH10" i="2"/>
  <c r="AI10" i="2" s="1"/>
  <c r="AJ10" i="2" s="1"/>
  <c r="AK10" i="2" s="1"/>
  <c r="AL10" i="2" s="1"/>
  <c r="AM10" i="2" s="1"/>
  <c r="AN10" i="2" s="1"/>
  <c r="AO10" i="2" s="1"/>
  <c r="AG4" i="2"/>
  <c r="AH4" i="2" s="1"/>
  <c r="AI4" i="2" s="1"/>
  <c r="AJ4" i="2" s="1"/>
  <c r="AK4" i="2" s="1"/>
  <c r="AL4" i="2" s="1"/>
  <c r="AM4" i="2" s="1"/>
  <c r="AN4" i="2" s="1"/>
  <c r="AO4" i="2" s="1"/>
  <c r="E35" i="2"/>
  <c r="E36" i="2" s="1"/>
  <c r="F35" i="2"/>
  <c r="F36" i="2" s="1"/>
  <c r="G35" i="2"/>
  <c r="G36" i="2" s="1"/>
  <c r="H35" i="2"/>
  <c r="H36" i="2" s="1"/>
  <c r="I35" i="2"/>
  <c r="I36" i="2" s="1"/>
  <c r="J35" i="2"/>
  <c r="J36" i="2" s="1"/>
  <c r="K35" i="2"/>
  <c r="K36" i="2" s="1"/>
  <c r="L35" i="2"/>
  <c r="L36" i="2" s="1"/>
  <c r="M35" i="2"/>
  <c r="M36" i="2" s="1"/>
  <c r="N35" i="2"/>
  <c r="N36" i="2" s="1"/>
  <c r="O35" i="2"/>
  <c r="O36" i="2" s="1"/>
  <c r="P35" i="2"/>
  <c r="P36" i="2" s="1"/>
  <c r="Q35" i="2"/>
  <c r="Q36" i="2" s="1"/>
  <c r="R35" i="2"/>
  <c r="R36" i="2" s="1"/>
  <c r="S35" i="2"/>
  <c r="S36" i="2"/>
  <c r="T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Q51" i="4"/>
  <c r="T87" i="2"/>
  <c r="T80" i="2"/>
  <c r="T76" i="2"/>
  <c r="T66" i="2"/>
  <c r="T67" i="2" s="1"/>
  <c r="T54" i="2"/>
  <c r="Q18" i="4"/>
  <c r="T42" i="2"/>
  <c r="T22" i="2"/>
  <c r="T6" i="2"/>
  <c r="T9" i="2" s="1"/>
  <c r="T11" i="2" s="1"/>
  <c r="U18" i="2" l="1"/>
  <c r="U20" i="2" s="1"/>
  <c r="U70" i="2"/>
  <c r="T91" i="2"/>
  <c r="T27" i="2"/>
  <c r="T26" i="2"/>
  <c r="T13" i="2" l="1"/>
  <c r="T28" i="2"/>
  <c r="T29" i="2" l="1"/>
  <c r="T16" i="2"/>
  <c r="T18" i="2" l="1"/>
  <c r="T20" i="2" s="1"/>
  <c r="T70" i="2"/>
  <c r="G41" i="4" l="1"/>
  <c r="G39" i="4"/>
  <c r="I40" i="4"/>
  <c r="I42" i="4"/>
  <c r="L41" i="4"/>
  <c r="L39" i="4"/>
  <c r="L40" i="4" s="1"/>
  <c r="F6" i="6"/>
  <c r="G58" i="4"/>
  <c r="G56" i="4"/>
  <c r="L58" i="4"/>
  <c r="L56" i="4"/>
  <c r="L57" i="4" s="1"/>
  <c r="F60" i="4"/>
  <c r="E60" i="4"/>
  <c r="D60" i="4"/>
  <c r="C60" i="4"/>
  <c r="F43" i="4"/>
  <c r="E43" i="4"/>
  <c r="D43" i="4"/>
  <c r="C43" i="4"/>
  <c r="F27" i="4"/>
  <c r="E27" i="4"/>
  <c r="D27" i="4"/>
  <c r="C27" i="4"/>
  <c r="E10" i="4"/>
  <c r="D10" i="4"/>
  <c r="C10" i="4"/>
  <c r="F10" i="4"/>
  <c r="Q58" i="4"/>
  <c r="Q59" i="4" s="1"/>
  <c r="Q56" i="4"/>
  <c r="Q57" i="4" s="1"/>
  <c r="V58" i="4"/>
  <c r="V59" i="4" s="1"/>
  <c r="V56" i="4"/>
  <c r="Q41" i="4"/>
  <c r="Q39" i="4"/>
  <c r="V41" i="4"/>
  <c r="V39" i="4"/>
  <c r="V40" i="4" s="1"/>
  <c r="AA68" i="4"/>
  <c r="AA66" i="4"/>
  <c r="AA64" i="4"/>
  <c r="V68" i="4"/>
  <c r="V66" i="4"/>
  <c r="V64" i="4"/>
  <c r="Q68" i="4"/>
  <c r="Q66" i="4"/>
  <c r="Q64" i="4"/>
  <c r="G68" i="4"/>
  <c r="G66" i="4"/>
  <c r="G64" i="4"/>
  <c r="L68" i="4"/>
  <c r="L66" i="4"/>
  <c r="L64" i="4"/>
  <c r="G51" i="4"/>
  <c r="G49" i="4"/>
  <c r="G47" i="4"/>
  <c r="L51" i="4"/>
  <c r="L49" i="4"/>
  <c r="L47" i="4"/>
  <c r="Q49" i="4"/>
  <c r="Q47" i="4"/>
  <c r="AA51" i="4"/>
  <c r="AA49" i="4"/>
  <c r="AA47" i="4"/>
  <c r="V51" i="4"/>
  <c r="V49" i="4"/>
  <c r="V47" i="4"/>
  <c r="AA35" i="4"/>
  <c r="AA33" i="4"/>
  <c r="AA31" i="4"/>
  <c r="AA25" i="4"/>
  <c r="AA26" i="4" s="1"/>
  <c r="AA23" i="4"/>
  <c r="V35" i="4"/>
  <c r="V33" i="4"/>
  <c r="V31" i="4"/>
  <c r="V25" i="4"/>
  <c r="V23" i="4"/>
  <c r="Q23" i="4"/>
  <c r="Q35" i="4"/>
  <c r="Q33" i="4"/>
  <c r="Q31" i="4"/>
  <c r="Q25" i="4"/>
  <c r="L35" i="4"/>
  <c r="L33" i="4"/>
  <c r="L31" i="4"/>
  <c r="L25" i="4"/>
  <c r="L23" i="4"/>
  <c r="G35" i="4"/>
  <c r="G33" i="4"/>
  <c r="G31" i="4"/>
  <c r="G25" i="4"/>
  <c r="G23" i="4"/>
  <c r="G18" i="4"/>
  <c r="G16" i="4"/>
  <c r="G14" i="4"/>
  <c r="L18" i="4"/>
  <c r="L16" i="4"/>
  <c r="L14" i="4"/>
  <c r="AA18" i="4"/>
  <c r="AA16" i="4"/>
  <c r="AA14" i="4"/>
  <c r="Q16" i="4"/>
  <c r="Q14" i="4"/>
  <c r="V18" i="4"/>
  <c r="V16" i="4"/>
  <c r="V14" i="4"/>
  <c r="L6" i="4"/>
  <c r="G8" i="4"/>
  <c r="G6" i="4"/>
  <c r="L8" i="4"/>
  <c r="Q8" i="4"/>
  <c r="Q6" i="4"/>
  <c r="Q10" i="4" s="1"/>
  <c r="Q19" i="4" s="1"/>
  <c r="AA8" i="4"/>
  <c r="AA6" i="4"/>
  <c r="V8" i="4"/>
  <c r="V6" i="4"/>
  <c r="J60" i="4"/>
  <c r="J59" i="4"/>
  <c r="J57" i="4"/>
  <c r="J43" i="4"/>
  <c r="J42" i="4"/>
  <c r="J40" i="4"/>
  <c r="J27" i="4"/>
  <c r="J26" i="4"/>
  <c r="J24" i="4"/>
  <c r="J10" i="4"/>
  <c r="J9" i="4"/>
  <c r="J7" i="4"/>
  <c r="Q27" i="4" l="1"/>
  <c r="V42" i="4"/>
  <c r="G43" i="4"/>
  <c r="G52" i="4" s="1"/>
  <c r="Q15" i="4"/>
  <c r="Q17" i="4"/>
  <c r="V26" i="4"/>
  <c r="G60" i="4"/>
  <c r="G65" i="4" s="1"/>
  <c r="J28" i="4"/>
  <c r="AA9" i="4"/>
  <c r="Q26" i="4"/>
  <c r="G27" i="4"/>
  <c r="G34" i="4" s="1"/>
  <c r="V24" i="4"/>
  <c r="AA7" i="4"/>
  <c r="Q40" i="4"/>
  <c r="L9" i="4"/>
  <c r="AA24" i="4"/>
  <c r="V57" i="4"/>
  <c r="AA27" i="4"/>
  <c r="AA34" i="4" s="1"/>
  <c r="Q42" i="4"/>
  <c r="G10" i="4"/>
  <c r="G19" i="4" s="1"/>
  <c r="Q9" i="4"/>
  <c r="J61" i="4"/>
  <c r="J44" i="4"/>
  <c r="L24" i="4"/>
  <c r="J11" i="4"/>
  <c r="L26" i="4"/>
  <c r="L10" i="4"/>
  <c r="L19" i="4" s="1"/>
  <c r="V27" i="4"/>
  <c r="V28" i="4" s="1"/>
  <c r="Q24" i="4"/>
  <c r="Q32" i="4"/>
  <c r="Q34" i="4"/>
  <c r="Q36" i="4"/>
  <c r="L27" i="4"/>
  <c r="Q28" i="4" s="1"/>
  <c r="L7" i="4"/>
  <c r="Q7" i="4"/>
  <c r="AA10" i="4"/>
  <c r="F8" i="6"/>
  <c r="G8" i="6" s="1"/>
  <c r="F7" i="6"/>
  <c r="G7" i="6" s="1"/>
  <c r="G6" i="6"/>
  <c r="F5" i="6"/>
  <c r="G5" i="6" s="1"/>
  <c r="AA60" i="4"/>
  <c r="AA67" i="4" s="1"/>
  <c r="Z60" i="4"/>
  <c r="Y60" i="4"/>
  <c r="X60" i="4"/>
  <c r="W60" i="4"/>
  <c r="V60" i="4"/>
  <c r="U60" i="4"/>
  <c r="T60" i="4"/>
  <c r="S60" i="4"/>
  <c r="S69" i="4" s="1"/>
  <c r="R60" i="4"/>
  <c r="Q60" i="4"/>
  <c r="Q65" i="4" s="1"/>
  <c r="P60" i="4"/>
  <c r="O60" i="4"/>
  <c r="O61" i="4" s="1"/>
  <c r="N60" i="4"/>
  <c r="N69" i="4" s="1"/>
  <c r="M60" i="4"/>
  <c r="M69" i="4" s="1"/>
  <c r="L60" i="4"/>
  <c r="K60" i="4"/>
  <c r="K61" i="4" s="1"/>
  <c r="I60" i="4"/>
  <c r="I61" i="4" s="1"/>
  <c r="H60" i="4"/>
  <c r="H61" i="4" s="1"/>
  <c r="AA59" i="4"/>
  <c r="Z59" i="4"/>
  <c r="Y59" i="4"/>
  <c r="X59" i="4"/>
  <c r="W59" i="4"/>
  <c r="U59" i="4"/>
  <c r="T59" i="4"/>
  <c r="S59" i="4"/>
  <c r="R59" i="4"/>
  <c r="P59" i="4"/>
  <c r="O59" i="4"/>
  <c r="N59" i="4"/>
  <c r="M59" i="4"/>
  <c r="L59" i="4"/>
  <c r="K59" i="4"/>
  <c r="I59" i="4"/>
  <c r="H59" i="4"/>
  <c r="AA57" i="4"/>
  <c r="Z57" i="4"/>
  <c r="Y57" i="4"/>
  <c r="X57" i="4"/>
  <c r="W57" i="4"/>
  <c r="U57" i="4"/>
  <c r="T57" i="4"/>
  <c r="S57" i="4"/>
  <c r="R57" i="4"/>
  <c r="P57" i="4"/>
  <c r="O57" i="4"/>
  <c r="N57" i="4"/>
  <c r="M57" i="4"/>
  <c r="K57" i="4"/>
  <c r="I57" i="4"/>
  <c r="H57" i="4"/>
  <c r="AA43" i="4"/>
  <c r="AA48" i="4" s="1"/>
  <c r="Z43" i="4"/>
  <c r="Y43" i="4"/>
  <c r="X43" i="4"/>
  <c r="W43" i="4"/>
  <c r="V43" i="4"/>
  <c r="V44" i="4" s="1"/>
  <c r="U43" i="4"/>
  <c r="T43" i="4"/>
  <c r="T44" i="4" s="1"/>
  <c r="S43" i="4"/>
  <c r="S52" i="4" s="1"/>
  <c r="R43" i="4"/>
  <c r="Q43" i="4"/>
  <c r="Q48" i="4" s="1"/>
  <c r="P43" i="4"/>
  <c r="O43" i="4"/>
  <c r="N43" i="4"/>
  <c r="N52" i="4" s="1"/>
  <c r="M43" i="4"/>
  <c r="M52" i="4" s="1"/>
  <c r="L43" i="4"/>
  <c r="L44" i="4" s="1"/>
  <c r="K43" i="4"/>
  <c r="K44" i="4" s="1"/>
  <c r="O44" i="4"/>
  <c r="I43" i="4"/>
  <c r="I44" i="4" s="1"/>
  <c r="H43" i="4"/>
  <c r="H44" i="4" s="1"/>
  <c r="AA42" i="4"/>
  <c r="Z42" i="4"/>
  <c r="Y42" i="4"/>
  <c r="X42" i="4"/>
  <c r="W42" i="4"/>
  <c r="U42" i="4"/>
  <c r="T42" i="4"/>
  <c r="S42" i="4"/>
  <c r="R42" i="4"/>
  <c r="P42" i="4"/>
  <c r="O42" i="4"/>
  <c r="N42" i="4"/>
  <c r="M42" i="4"/>
  <c r="L42" i="4"/>
  <c r="K42" i="4"/>
  <c r="H42" i="4"/>
  <c r="AA40" i="4"/>
  <c r="Z40" i="4"/>
  <c r="Y40" i="4"/>
  <c r="X40" i="4"/>
  <c r="W40" i="4"/>
  <c r="U40" i="4"/>
  <c r="T40" i="4"/>
  <c r="S40" i="4"/>
  <c r="R40" i="4"/>
  <c r="P40" i="4"/>
  <c r="O40" i="4"/>
  <c r="N40" i="4"/>
  <c r="M40" i="4"/>
  <c r="K40" i="4"/>
  <c r="H40" i="4"/>
  <c r="Z27" i="4"/>
  <c r="Y27" i="4"/>
  <c r="X27" i="4"/>
  <c r="W27" i="4"/>
  <c r="U27" i="4"/>
  <c r="T27" i="4"/>
  <c r="S27" i="4"/>
  <c r="R27" i="4"/>
  <c r="P27" i="4"/>
  <c r="O27" i="4"/>
  <c r="N27" i="4"/>
  <c r="N36" i="4" s="1"/>
  <c r="M27" i="4"/>
  <c r="K27" i="4"/>
  <c r="K28" i="4" s="1"/>
  <c r="I27" i="4"/>
  <c r="I28" i="4" s="1"/>
  <c r="H27" i="4"/>
  <c r="H28" i="4" s="1"/>
  <c r="Z26" i="4"/>
  <c r="Y26" i="4"/>
  <c r="X26" i="4"/>
  <c r="W26" i="4"/>
  <c r="U26" i="4"/>
  <c r="T26" i="4"/>
  <c r="S26" i="4"/>
  <c r="R26" i="4"/>
  <c r="P26" i="4"/>
  <c r="O26" i="4"/>
  <c r="N26" i="4"/>
  <c r="M26" i="4"/>
  <c r="K26" i="4"/>
  <c r="I26" i="4"/>
  <c r="H26" i="4"/>
  <c r="Z24" i="4"/>
  <c r="Y24" i="4"/>
  <c r="X24" i="4"/>
  <c r="W24" i="4"/>
  <c r="U24" i="4"/>
  <c r="T24" i="4"/>
  <c r="S24" i="4"/>
  <c r="R24" i="4"/>
  <c r="P24" i="4"/>
  <c r="O24" i="4"/>
  <c r="N24" i="4"/>
  <c r="M24" i="4"/>
  <c r="K24" i="4"/>
  <c r="I24" i="4"/>
  <c r="H24" i="4"/>
  <c r="T9" i="4"/>
  <c r="S9" i="4"/>
  <c r="R9" i="4"/>
  <c r="P9" i="4"/>
  <c r="O9" i="4"/>
  <c r="N9" i="4"/>
  <c r="M9" i="4"/>
  <c r="K9" i="4"/>
  <c r="I9" i="4"/>
  <c r="H9" i="4"/>
  <c r="Z9" i="4"/>
  <c r="Y9" i="4"/>
  <c r="X9" i="4"/>
  <c r="W9" i="4"/>
  <c r="V9" i="4"/>
  <c r="T7" i="4"/>
  <c r="S7" i="4"/>
  <c r="R7" i="4"/>
  <c r="P7" i="4"/>
  <c r="O7" i="4"/>
  <c r="N7" i="4"/>
  <c r="M7" i="4"/>
  <c r="K7" i="4"/>
  <c r="I7" i="4"/>
  <c r="H7" i="4"/>
  <c r="Z7" i="4"/>
  <c r="Y7" i="4"/>
  <c r="X7" i="4"/>
  <c r="W7" i="4"/>
  <c r="V7" i="4"/>
  <c r="U9" i="4"/>
  <c r="U7" i="4"/>
  <c r="P10" i="4"/>
  <c r="T10" i="4"/>
  <c r="S10" i="4"/>
  <c r="S19" i="4" s="1"/>
  <c r="R10" i="4"/>
  <c r="O10" i="4"/>
  <c r="N10" i="4"/>
  <c r="N19" i="4" s="1"/>
  <c r="M10" i="4"/>
  <c r="K10" i="4"/>
  <c r="K11" i="4" s="1"/>
  <c r="I10" i="4"/>
  <c r="I11" i="4" s="1"/>
  <c r="H10" i="4"/>
  <c r="H11" i="4" s="1"/>
  <c r="Z10" i="4"/>
  <c r="Y10" i="4"/>
  <c r="X10" i="4"/>
  <c r="W10" i="4"/>
  <c r="W11" i="4" s="1"/>
  <c r="V10" i="4"/>
  <c r="V11" i="4" s="1"/>
  <c r="U10" i="4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S42" i="2"/>
  <c r="L7" i="5"/>
  <c r="M7" i="5" s="1"/>
  <c r="N7" i="5" s="1"/>
  <c r="O7" i="5" s="1"/>
  <c r="P7" i="5" s="1"/>
  <c r="Q7" i="5" s="1"/>
  <c r="R7" i="5" s="1"/>
  <c r="S7" i="5" s="1"/>
  <c r="K4" i="5"/>
  <c r="L4" i="5" s="1"/>
  <c r="I22" i="5"/>
  <c r="H22" i="5"/>
  <c r="G22" i="5"/>
  <c r="F22" i="5"/>
  <c r="E22" i="5"/>
  <c r="M10" i="5"/>
  <c r="N10" i="5" s="1"/>
  <c r="O10" i="5" s="1"/>
  <c r="P10" i="5" s="1"/>
  <c r="Q10" i="5" s="1"/>
  <c r="R10" i="5" s="1"/>
  <c r="S10" i="5" s="1"/>
  <c r="I9" i="5"/>
  <c r="I27" i="5" s="1"/>
  <c r="M8" i="5"/>
  <c r="N8" i="5" s="1"/>
  <c r="O8" i="5" s="1"/>
  <c r="P8" i="5" s="1"/>
  <c r="Q8" i="5" s="1"/>
  <c r="R8" i="5" s="1"/>
  <c r="S8" i="5" s="1"/>
  <c r="I6" i="5"/>
  <c r="I26" i="5" s="1"/>
  <c r="H6" i="5"/>
  <c r="H9" i="5" s="1"/>
  <c r="G6" i="5"/>
  <c r="G26" i="5" s="1"/>
  <c r="F6" i="5"/>
  <c r="F26" i="5" s="1"/>
  <c r="E6" i="5"/>
  <c r="E9" i="5" s="1"/>
  <c r="D6" i="5"/>
  <c r="D26" i="5" s="1"/>
  <c r="J22" i="5"/>
  <c r="F12" i="6"/>
  <c r="G12" i="6" s="1"/>
  <c r="G69" i="4" l="1"/>
  <c r="U11" i="4"/>
  <c r="G15" i="4"/>
  <c r="G67" i="4"/>
  <c r="AA69" i="4"/>
  <c r="M11" i="4"/>
  <c r="M19" i="4"/>
  <c r="M28" i="4"/>
  <c r="M36" i="4"/>
  <c r="W28" i="4"/>
  <c r="G17" i="4"/>
  <c r="X11" i="4"/>
  <c r="L61" i="4"/>
  <c r="G50" i="4"/>
  <c r="G48" i="4"/>
  <c r="AA65" i="4"/>
  <c r="AA32" i="4"/>
  <c r="K5" i="5"/>
  <c r="Z11" i="4"/>
  <c r="Z44" i="4"/>
  <c r="U61" i="4"/>
  <c r="G32" i="4"/>
  <c r="AA11" i="4"/>
  <c r="Y28" i="4"/>
  <c r="AA50" i="4"/>
  <c r="AA52" i="4"/>
  <c r="Z28" i="4"/>
  <c r="R28" i="4"/>
  <c r="X44" i="4"/>
  <c r="AA61" i="4"/>
  <c r="G36" i="4"/>
  <c r="AA28" i="4"/>
  <c r="V19" i="4"/>
  <c r="V17" i="4"/>
  <c r="R61" i="4"/>
  <c r="P11" i="4"/>
  <c r="S28" i="4"/>
  <c r="S36" i="4"/>
  <c r="T61" i="4"/>
  <c r="Q50" i="4"/>
  <c r="V15" i="4"/>
  <c r="AA36" i="4"/>
  <c r="AA15" i="4"/>
  <c r="AA19" i="4"/>
  <c r="AA17" i="4"/>
  <c r="L50" i="4"/>
  <c r="L48" i="4"/>
  <c r="L52" i="4"/>
  <c r="L69" i="4"/>
  <c r="L65" i="4"/>
  <c r="L67" i="4"/>
  <c r="G9" i="6"/>
  <c r="M61" i="4"/>
  <c r="M44" i="4"/>
  <c r="N61" i="4"/>
  <c r="N44" i="4"/>
  <c r="Q11" i="4"/>
  <c r="L17" i="4"/>
  <c r="L11" i="4"/>
  <c r="N11" i="4"/>
  <c r="L15" i="4"/>
  <c r="V61" i="4"/>
  <c r="Q69" i="4"/>
  <c r="Q67" i="4"/>
  <c r="V69" i="4"/>
  <c r="V67" i="4"/>
  <c r="V65" i="4"/>
  <c r="Q52" i="4"/>
  <c r="V48" i="4"/>
  <c r="AA44" i="4"/>
  <c r="V50" i="4"/>
  <c r="V52" i="4"/>
  <c r="V36" i="4"/>
  <c r="V32" i="4"/>
  <c r="V34" i="4"/>
  <c r="L28" i="4"/>
  <c r="L32" i="4"/>
  <c r="L36" i="4"/>
  <c r="L34" i="4"/>
  <c r="R44" i="4"/>
  <c r="R11" i="4"/>
  <c r="X61" i="4"/>
  <c r="S61" i="4"/>
  <c r="S44" i="4"/>
  <c r="S11" i="4"/>
  <c r="T28" i="4"/>
  <c r="Y11" i="4"/>
  <c r="T11" i="4"/>
  <c r="M4" i="5"/>
  <c r="L5" i="5"/>
  <c r="D9" i="5"/>
  <c r="D11" i="5" s="1"/>
  <c r="D28" i="5" s="1"/>
  <c r="P28" i="4"/>
  <c r="X28" i="4"/>
  <c r="Q44" i="4"/>
  <c r="Y44" i="4"/>
  <c r="Q61" i="4"/>
  <c r="Y61" i="4"/>
  <c r="O11" i="4"/>
  <c r="F9" i="5"/>
  <c r="F11" i="5" s="1"/>
  <c r="F13" i="5" s="1"/>
  <c r="G9" i="5"/>
  <c r="G11" i="5" s="1"/>
  <c r="G28" i="5" s="1"/>
  <c r="F9" i="6"/>
  <c r="I11" i="5"/>
  <c r="I28" i="5" s="1"/>
  <c r="P61" i="4"/>
  <c r="Z61" i="4"/>
  <c r="W61" i="4"/>
  <c r="U44" i="4"/>
  <c r="W44" i="4"/>
  <c r="P44" i="4"/>
  <c r="U28" i="4"/>
  <c r="N28" i="4"/>
  <c r="O28" i="4"/>
  <c r="F28" i="5"/>
  <c r="G13" i="5"/>
  <c r="E11" i="5"/>
  <c r="E27" i="5"/>
  <c r="H11" i="5"/>
  <c r="H27" i="5"/>
  <c r="J26" i="5"/>
  <c r="D13" i="5"/>
  <c r="E26" i="5"/>
  <c r="H26" i="5"/>
  <c r="G27" i="5" l="1"/>
  <c r="D27" i="5"/>
  <c r="I13" i="5"/>
  <c r="I29" i="5" s="1"/>
  <c r="N4" i="5"/>
  <c r="M5" i="5"/>
  <c r="F27" i="5"/>
  <c r="K22" i="5"/>
  <c r="K6" i="5"/>
  <c r="H28" i="5"/>
  <c r="H13" i="5"/>
  <c r="E13" i="5"/>
  <c r="E28" i="5"/>
  <c r="D29" i="5"/>
  <c r="D16" i="5"/>
  <c r="D18" i="5" s="1"/>
  <c r="D20" i="5" s="1"/>
  <c r="G29" i="5"/>
  <c r="G16" i="5"/>
  <c r="G18" i="5" s="1"/>
  <c r="G20" i="5" s="1"/>
  <c r="J27" i="5"/>
  <c r="F29" i="5"/>
  <c r="F16" i="5"/>
  <c r="F18" i="5" s="1"/>
  <c r="F20" i="5" s="1"/>
  <c r="O4" i="5" l="1"/>
  <c r="N5" i="5"/>
  <c r="I16" i="5"/>
  <c r="I18" i="5" s="1"/>
  <c r="I20" i="5" s="1"/>
  <c r="J28" i="5"/>
  <c r="H16" i="5"/>
  <c r="H18" i="5" s="1"/>
  <c r="H20" i="5" s="1"/>
  <c r="H29" i="5"/>
  <c r="L6" i="5"/>
  <c r="L22" i="5"/>
  <c r="K26" i="5"/>
  <c r="K9" i="5"/>
  <c r="E29" i="5"/>
  <c r="E16" i="5"/>
  <c r="E18" i="5" s="1"/>
  <c r="E20" i="5" s="1"/>
  <c r="P4" i="5" l="1"/>
  <c r="O5" i="5"/>
  <c r="L9" i="5"/>
  <c r="L26" i="5"/>
  <c r="M6" i="5"/>
  <c r="M22" i="5"/>
  <c r="K27" i="5"/>
  <c r="K11" i="5"/>
  <c r="J29" i="5"/>
  <c r="Q4" i="5" l="1"/>
  <c r="P5" i="5"/>
  <c r="M9" i="5"/>
  <c r="M26" i="5"/>
  <c r="K28" i="5"/>
  <c r="K13" i="5"/>
  <c r="N22" i="5"/>
  <c r="N6" i="5"/>
  <c r="L11" i="5"/>
  <c r="L27" i="5"/>
  <c r="R4" i="5" l="1"/>
  <c r="Q5" i="5"/>
  <c r="N26" i="5"/>
  <c r="N9" i="5"/>
  <c r="L13" i="5"/>
  <c r="L28" i="5"/>
  <c r="O22" i="5"/>
  <c r="O6" i="5"/>
  <c r="K29" i="5"/>
  <c r="K16" i="5"/>
  <c r="M27" i="5"/>
  <c r="M11" i="5"/>
  <c r="S4" i="5" l="1"/>
  <c r="S5" i="5" s="1"/>
  <c r="R5" i="5"/>
  <c r="O9" i="5"/>
  <c r="O26" i="5"/>
  <c r="L29" i="5"/>
  <c r="L16" i="5"/>
  <c r="M13" i="5"/>
  <c r="M28" i="5"/>
  <c r="K17" i="5"/>
  <c r="K18" i="5" s="1"/>
  <c r="N11" i="5"/>
  <c r="N27" i="5"/>
  <c r="P22" i="5"/>
  <c r="P6" i="5"/>
  <c r="K20" i="5" l="1"/>
  <c r="P9" i="5"/>
  <c r="P26" i="5"/>
  <c r="M29" i="5"/>
  <c r="M16" i="5"/>
  <c r="Q22" i="5"/>
  <c r="Q6" i="5"/>
  <c r="L17" i="5"/>
  <c r="L18" i="5" s="1"/>
  <c r="L20" i="5" s="1"/>
  <c r="N13" i="5"/>
  <c r="N28" i="5"/>
  <c r="O11" i="5"/>
  <c r="O27" i="5"/>
  <c r="Q9" i="5" l="1"/>
  <c r="Q26" i="5"/>
  <c r="M17" i="5"/>
  <c r="M18" i="5" s="1"/>
  <c r="N29" i="5"/>
  <c r="N16" i="5"/>
  <c r="R22" i="5"/>
  <c r="R6" i="5"/>
  <c r="O13" i="5"/>
  <c r="O28" i="5"/>
  <c r="P11" i="5"/>
  <c r="P27" i="5"/>
  <c r="M20" i="5" l="1"/>
  <c r="R26" i="5"/>
  <c r="R9" i="5"/>
  <c r="O29" i="5"/>
  <c r="O16" i="5"/>
  <c r="S22" i="5"/>
  <c r="S6" i="5"/>
  <c r="N17" i="5"/>
  <c r="N18" i="5" s="1"/>
  <c r="N20" i="5" s="1"/>
  <c r="P28" i="5"/>
  <c r="P13" i="5"/>
  <c r="Q27" i="5"/>
  <c r="Q11" i="5"/>
  <c r="S26" i="5" l="1"/>
  <c r="S9" i="5"/>
  <c r="P16" i="5"/>
  <c r="P29" i="5"/>
  <c r="Q28" i="5"/>
  <c r="Q13" i="5"/>
  <c r="O17" i="5"/>
  <c r="O18" i="5" s="1"/>
  <c r="R27" i="5"/>
  <c r="R11" i="5"/>
  <c r="O20" i="5" l="1"/>
  <c r="Q29" i="5"/>
  <c r="Q16" i="5"/>
  <c r="P17" i="5"/>
  <c r="P18" i="5" s="1"/>
  <c r="P20" i="5" s="1"/>
  <c r="R28" i="5"/>
  <c r="R13" i="5"/>
  <c r="S27" i="5"/>
  <c r="S11" i="5"/>
  <c r="S28" i="5" l="1"/>
  <c r="S13" i="5"/>
  <c r="R29" i="5"/>
  <c r="R16" i="5"/>
  <c r="Q17" i="5"/>
  <c r="Q18" i="5" s="1"/>
  <c r="Q20" i="5" s="1"/>
  <c r="R17" i="5" l="1"/>
  <c r="R18" i="5" s="1"/>
  <c r="R20" i="5" s="1"/>
  <c r="S29" i="5"/>
  <c r="S16" i="5"/>
  <c r="S17" i="5" l="1"/>
  <c r="S18" i="5" s="1"/>
  <c r="S20" i="5" l="1"/>
  <c r="T18" i="5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EG18" i="5" s="1"/>
  <c r="EH18" i="5" s="1"/>
  <c r="EI18" i="5" s="1"/>
  <c r="EJ18" i="5" s="1"/>
  <c r="EK18" i="5" s="1"/>
  <c r="EL18" i="5" s="1"/>
  <c r="EM18" i="5" s="1"/>
  <c r="EN18" i="5" s="1"/>
  <c r="EO18" i="5" s="1"/>
  <c r="EP18" i="5" s="1"/>
  <c r="EQ18" i="5" s="1"/>
  <c r="ER18" i="5" s="1"/>
  <c r="ES18" i="5" s="1"/>
  <c r="ET18" i="5" s="1"/>
  <c r="EU18" i="5" s="1"/>
  <c r="EV18" i="5" s="1"/>
  <c r="EW18" i="5" s="1"/>
  <c r="EX18" i="5" s="1"/>
  <c r="EY18" i="5" s="1"/>
  <c r="EZ18" i="5" s="1"/>
  <c r="FA18" i="5" s="1"/>
  <c r="FB18" i="5" s="1"/>
  <c r="FC18" i="5" s="1"/>
  <c r="FD18" i="5" s="1"/>
  <c r="FE18" i="5" s="1"/>
  <c r="FF18" i="5" s="1"/>
  <c r="FG18" i="5" s="1"/>
  <c r="FH18" i="5" s="1"/>
  <c r="FI18" i="5" s="1"/>
  <c r="FJ18" i="5" s="1"/>
  <c r="FK18" i="5" s="1"/>
  <c r="FL18" i="5" s="1"/>
  <c r="FM18" i="5" s="1"/>
  <c r="FN18" i="5" s="1"/>
  <c r="FO18" i="5" s="1"/>
  <c r="FP18" i="5" s="1"/>
  <c r="FQ18" i="5" s="1"/>
  <c r="FR18" i="5" s="1"/>
  <c r="FS18" i="5" s="1"/>
  <c r="FT18" i="5" s="1"/>
  <c r="FU18" i="5" s="1"/>
  <c r="FV18" i="5" s="1"/>
  <c r="FW18" i="5" s="1"/>
  <c r="FX18" i="5" s="1"/>
  <c r="FY18" i="5" s="1"/>
  <c r="FZ18" i="5" s="1"/>
  <c r="GA18" i="5" s="1"/>
  <c r="GB18" i="5" s="1"/>
  <c r="GC18" i="5" s="1"/>
  <c r="GD18" i="5" s="1"/>
  <c r="GE18" i="5" s="1"/>
  <c r="GF18" i="5" s="1"/>
  <c r="GG18" i="5" s="1"/>
  <c r="GH18" i="5" s="1"/>
  <c r="GI18" i="5" s="1"/>
  <c r="GJ18" i="5" s="1"/>
  <c r="GK18" i="5" s="1"/>
  <c r="GL18" i="5" s="1"/>
  <c r="GM18" i="5" s="1"/>
  <c r="GN18" i="5" s="1"/>
  <c r="GO18" i="5" s="1"/>
  <c r="GP18" i="5" s="1"/>
  <c r="GQ18" i="5" s="1"/>
  <c r="GR18" i="5" s="1"/>
  <c r="GS18" i="5" s="1"/>
  <c r="V23" i="5" s="1"/>
  <c r="V25" i="5" s="1"/>
  <c r="A5" i="5" l="1"/>
  <c r="V26" i="5"/>
  <c r="A6" i="5" s="1"/>
  <c r="AF15" i="2" l="1"/>
  <c r="AG15" i="2" s="1"/>
  <c r="AH15" i="2" s="1"/>
  <c r="AI15" i="2" s="1"/>
  <c r="AJ15" i="2" s="1"/>
  <c r="AK15" i="2" s="1"/>
  <c r="AL15" i="2" s="1"/>
  <c r="AM15" i="2" s="1"/>
  <c r="AN15" i="2" s="1"/>
  <c r="AO15" i="2" s="1"/>
  <c r="AF14" i="2"/>
  <c r="AG14" i="2" s="1"/>
  <c r="AH14" i="2" s="1"/>
  <c r="AI14" i="2" s="1"/>
  <c r="AJ14" i="2" s="1"/>
  <c r="AK14" i="2" s="1"/>
  <c r="AL14" i="2" s="1"/>
  <c r="AM14" i="2" s="1"/>
  <c r="AN14" i="2" s="1"/>
  <c r="AO14" i="2" s="1"/>
  <c r="AH12" i="2"/>
  <c r="AI12" i="2" s="1"/>
  <c r="AJ12" i="2" s="1"/>
  <c r="AK12" i="2" s="1"/>
  <c r="AL12" i="2" s="1"/>
  <c r="AM12" i="2" s="1"/>
  <c r="AN12" i="2" s="1"/>
  <c r="AO12" i="2" s="1"/>
  <c r="F11" i="6" l="1"/>
  <c r="F14" i="6" s="1"/>
  <c r="AI6" i="2" l="1"/>
  <c r="AI26" i="2" s="1"/>
  <c r="G11" i="6"/>
  <c r="G14" i="6" s="1"/>
  <c r="AF22" i="2"/>
  <c r="AG22" i="2"/>
  <c r="AH22" i="2"/>
  <c r="AI22" i="2"/>
  <c r="AJ22" i="2"/>
  <c r="AF6" i="2"/>
  <c r="AF26" i="2" s="1"/>
  <c r="AG6" i="2"/>
  <c r="AG9" i="2" s="1"/>
  <c r="AH6" i="2"/>
  <c r="AH26" i="2" s="1"/>
  <c r="R22" i="2"/>
  <c r="Q22" i="2"/>
  <c r="P22" i="2"/>
  <c r="O22" i="2"/>
  <c r="N22" i="2"/>
  <c r="M22" i="2"/>
  <c r="L22" i="2"/>
  <c r="K22" i="2"/>
  <c r="J22" i="2"/>
  <c r="I22" i="2"/>
  <c r="H22" i="2"/>
  <c r="S22" i="2"/>
  <c r="AA22" i="2"/>
  <c r="AB22" i="2"/>
  <c r="AC22" i="2"/>
  <c r="AD22" i="2"/>
  <c r="AE22" i="2"/>
  <c r="AE66" i="2"/>
  <c r="AE67" i="2" s="1"/>
  <c r="AD66" i="2"/>
  <c r="AD67" i="2" s="1"/>
  <c r="AC66" i="2"/>
  <c r="AC67" i="2" s="1"/>
  <c r="AB66" i="2"/>
  <c r="AB67" i="2" s="1"/>
  <c r="AA66" i="2"/>
  <c r="AA67" i="2" s="1"/>
  <c r="Z66" i="2"/>
  <c r="Z67" i="2" s="1"/>
  <c r="AE54" i="2"/>
  <c r="AD54" i="2"/>
  <c r="AC54" i="2"/>
  <c r="AB54" i="2"/>
  <c r="AA54" i="2"/>
  <c r="Z54" i="2"/>
  <c r="AE87" i="2"/>
  <c r="AD87" i="2"/>
  <c r="AC87" i="2"/>
  <c r="AB87" i="2"/>
  <c r="AA87" i="2"/>
  <c r="Z87" i="2"/>
  <c r="AE80" i="2"/>
  <c r="AD80" i="2"/>
  <c r="AC80" i="2"/>
  <c r="AB80" i="2"/>
  <c r="AA80" i="2"/>
  <c r="Z80" i="2"/>
  <c r="AE76" i="2"/>
  <c r="AD76" i="2"/>
  <c r="AC76" i="2"/>
  <c r="AB76" i="2"/>
  <c r="AA76" i="2"/>
  <c r="Z76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S87" i="2"/>
  <c r="S80" i="2"/>
  <c r="S76" i="2"/>
  <c r="O66" i="2"/>
  <c r="O67" i="2" s="1"/>
  <c r="N66" i="2"/>
  <c r="N67" i="2" s="1"/>
  <c r="M66" i="2"/>
  <c r="M67" i="2" s="1"/>
  <c r="L66" i="2"/>
  <c r="L67" i="2" s="1"/>
  <c r="K66" i="2"/>
  <c r="K67" i="2" s="1"/>
  <c r="J66" i="2"/>
  <c r="J67" i="2" s="1"/>
  <c r="I66" i="2"/>
  <c r="I67" i="2" s="1"/>
  <c r="H66" i="2"/>
  <c r="H67" i="2" s="1"/>
  <c r="G66" i="2"/>
  <c r="G67" i="2" s="1"/>
  <c r="F66" i="2"/>
  <c r="F67" i="2" s="1"/>
  <c r="E66" i="2"/>
  <c r="E67" i="2" s="1"/>
  <c r="D66" i="2"/>
  <c r="D67" i="2" s="1"/>
  <c r="O54" i="2"/>
  <c r="N54" i="2"/>
  <c r="M54" i="2"/>
  <c r="L54" i="2"/>
  <c r="K54" i="2"/>
  <c r="J54" i="2"/>
  <c r="I54" i="2"/>
  <c r="H54" i="2"/>
  <c r="G54" i="2"/>
  <c r="F54" i="2"/>
  <c r="E54" i="2"/>
  <c r="D54" i="2"/>
  <c r="S66" i="2"/>
  <c r="S67" i="2" s="1"/>
  <c r="R66" i="2"/>
  <c r="R67" i="2" s="1"/>
  <c r="Q66" i="2"/>
  <c r="Q67" i="2" s="1"/>
  <c r="S54" i="2"/>
  <c r="R54" i="2"/>
  <c r="Q54" i="2"/>
  <c r="P66" i="2"/>
  <c r="P67" i="2" s="1"/>
  <c r="P54" i="2"/>
  <c r="AD6" i="2"/>
  <c r="AD9" i="2" s="1"/>
  <c r="AD11" i="2" s="1"/>
  <c r="AD13" i="2" s="1"/>
  <c r="AD16" i="2" s="1"/>
  <c r="AD18" i="2" s="1"/>
  <c r="AD20" i="2" s="1"/>
  <c r="AC6" i="2"/>
  <c r="AC9" i="2" s="1"/>
  <c r="AC11" i="2" s="1"/>
  <c r="AC13" i="2" s="1"/>
  <c r="AC16" i="2" s="1"/>
  <c r="AB6" i="2"/>
  <c r="AB9" i="2" s="1"/>
  <c r="AB11" i="2" s="1"/>
  <c r="AB13" i="2" s="1"/>
  <c r="AB16" i="2" s="1"/>
  <c r="AA6" i="2"/>
  <c r="AA9" i="2" s="1"/>
  <c r="AA11" i="2" s="1"/>
  <c r="AA13" i="2" s="1"/>
  <c r="AA16" i="2" s="1"/>
  <c r="Z6" i="2"/>
  <c r="Z9" i="2" s="1"/>
  <c r="Z11" i="2" s="1"/>
  <c r="Z13" i="2" s="1"/>
  <c r="Z16" i="2" s="1"/>
  <c r="Z18" i="2" s="1"/>
  <c r="Z20" i="2" s="1"/>
  <c r="AE6" i="2"/>
  <c r="AE9" i="2" s="1"/>
  <c r="AE11" i="2" s="1"/>
  <c r="AE13" i="2" s="1"/>
  <c r="AE16" i="2" s="1"/>
  <c r="AE18" i="2" s="1"/>
  <c r="AE20" i="2" s="1"/>
  <c r="N6" i="2"/>
  <c r="N9" i="2" s="1"/>
  <c r="N11" i="2" s="1"/>
  <c r="N13" i="2" s="1"/>
  <c r="N16" i="2" s="1"/>
  <c r="M6" i="2"/>
  <c r="M9" i="2" s="1"/>
  <c r="M11" i="2" s="1"/>
  <c r="M13" i="2" s="1"/>
  <c r="M16" i="2" s="1"/>
  <c r="L6" i="2"/>
  <c r="L9" i="2" s="1"/>
  <c r="L11" i="2" s="1"/>
  <c r="L13" i="2" s="1"/>
  <c r="L16" i="2" s="1"/>
  <c r="K6" i="2"/>
  <c r="K26" i="2" s="1"/>
  <c r="J6" i="2"/>
  <c r="J9" i="2" s="1"/>
  <c r="J11" i="2" s="1"/>
  <c r="J13" i="2" s="1"/>
  <c r="J16" i="2" s="1"/>
  <c r="J18" i="2" s="1"/>
  <c r="J20" i="2" s="1"/>
  <c r="I6" i="2"/>
  <c r="I9" i="2" s="1"/>
  <c r="I11" i="2" s="1"/>
  <c r="I13" i="2" s="1"/>
  <c r="I16" i="2" s="1"/>
  <c r="I18" i="2" s="1"/>
  <c r="I20" i="2" s="1"/>
  <c r="H6" i="2"/>
  <c r="H9" i="2" s="1"/>
  <c r="H11" i="2" s="1"/>
  <c r="H13" i="2" s="1"/>
  <c r="H16" i="2" s="1"/>
  <c r="H18" i="2" s="1"/>
  <c r="H20" i="2" s="1"/>
  <c r="G6" i="2"/>
  <c r="G9" i="2" s="1"/>
  <c r="G11" i="2" s="1"/>
  <c r="G13" i="2" s="1"/>
  <c r="G16" i="2" s="1"/>
  <c r="G18" i="2" s="1"/>
  <c r="G20" i="2" s="1"/>
  <c r="F6" i="2"/>
  <c r="F9" i="2" s="1"/>
  <c r="F11" i="2" s="1"/>
  <c r="F13" i="2" s="1"/>
  <c r="F16" i="2" s="1"/>
  <c r="E6" i="2"/>
  <c r="E9" i="2" s="1"/>
  <c r="E11" i="2" s="1"/>
  <c r="E13" i="2" s="1"/>
  <c r="E16" i="2" s="1"/>
  <c r="D6" i="2"/>
  <c r="D9" i="2" s="1"/>
  <c r="D11" i="2" s="1"/>
  <c r="D13" i="2" s="1"/>
  <c r="D16" i="2" s="1"/>
  <c r="R6" i="2"/>
  <c r="R9" i="2" s="1"/>
  <c r="R11" i="2" s="1"/>
  <c r="R13" i="2" s="1"/>
  <c r="R16" i="2" s="1"/>
  <c r="R18" i="2" s="1"/>
  <c r="R20" i="2" s="1"/>
  <c r="Q6" i="2"/>
  <c r="Q9" i="2" s="1"/>
  <c r="Q11" i="2" s="1"/>
  <c r="Q13" i="2" s="1"/>
  <c r="Q16" i="2" s="1"/>
  <c r="Q18" i="2" s="1"/>
  <c r="Q20" i="2" s="1"/>
  <c r="P6" i="2"/>
  <c r="P9" i="2" s="1"/>
  <c r="P11" i="2" s="1"/>
  <c r="P13" i="2" s="1"/>
  <c r="P16" i="2" s="1"/>
  <c r="P18" i="2" s="1"/>
  <c r="P20" i="2" s="1"/>
  <c r="O6" i="2"/>
  <c r="O9" i="2" s="1"/>
  <c r="O11" i="2" s="1"/>
  <c r="O13" i="2" s="1"/>
  <c r="O16" i="2" s="1"/>
  <c r="O18" i="2" s="1"/>
  <c r="O20" i="2" s="1"/>
  <c r="S6" i="2"/>
  <c r="S9" i="2" s="1"/>
  <c r="S11" i="2" s="1"/>
  <c r="S13" i="2" s="1"/>
  <c r="S16" i="2" s="1"/>
  <c r="S18" i="2" s="1"/>
  <c r="S20" i="2" s="1"/>
  <c r="B6" i="2"/>
  <c r="B15" i="2" s="1"/>
  <c r="AJ6" i="2" l="1"/>
  <c r="AJ26" i="2" s="1"/>
  <c r="K9" i="2"/>
  <c r="K11" i="2" s="1"/>
  <c r="K13" i="2" s="1"/>
  <c r="K16" i="2" s="1"/>
  <c r="K18" i="2" s="1"/>
  <c r="K20" i="2" s="1"/>
  <c r="Z28" i="2"/>
  <c r="AI9" i="2"/>
  <c r="AI27" i="2" s="1"/>
  <c r="I27" i="2"/>
  <c r="Z29" i="2"/>
  <c r="I28" i="2"/>
  <c r="AH9" i="2"/>
  <c r="AA29" i="2"/>
  <c r="AG11" i="2"/>
  <c r="AG27" i="2"/>
  <c r="AG26" i="2"/>
  <c r="AC27" i="2"/>
  <c r="I29" i="2"/>
  <c r="AF9" i="2"/>
  <c r="AB26" i="2"/>
  <c r="AB27" i="2"/>
  <c r="AC29" i="2"/>
  <c r="AA26" i="2"/>
  <c r="AB29" i="2"/>
  <c r="Z26" i="2"/>
  <c r="AJ9" i="2"/>
  <c r="I26" i="2"/>
  <c r="J70" i="2"/>
  <c r="J29" i="2"/>
  <c r="J26" i="2"/>
  <c r="J28" i="2"/>
  <c r="J27" i="2"/>
  <c r="K28" i="2"/>
  <c r="K29" i="2"/>
  <c r="K27" i="2"/>
  <c r="P70" i="2"/>
  <c r="Q28" i="2"/>
  <c r="Q70" i="2"/>
  <c r="Q26" i="2"/>
  <c r="Q27" i="2"/>
  <c r="Q29" i="2"/>
  <c r="R27" i="2"/>
  <c r="R70" i="2"/>
  <c r="R29" i="2"/>
  <c r="R28" i="2"/>
  <c r="R26" i="2"/>
  <c r="N91" i="2"/>
  <c r="R91" i="2"/>
  <c r="AD27" i="2"/>
  <c r="S27" i="2"/>
  <c r="D26" i="2"/>
  <c r="L26" i="2"/>
  <c r="D27" i="2"/>
  <c r="L28" i="2"/>
  <c r="L29" i="2"/>
  <c r="I70" i="2"/>
  <c r="AD29" i="2"/>
  <c r="AA28" i="2"/>
  <c r="AC26" i="2"/>
  <c r="H26" i="2"/>
  <c r="P26" i="2"/>
  <c r="H27" i="2"/>
  <c r="P27" i="2"/>
  <c r="H28" i="2"/>
  <c r="P28" i="2"/>
  <c r="H29" i="2"/>
  <c r="P29" i="2"/>
  <c r="I91" i="2"/>
  <c r="S26" i="2"/>
  <c r="D29" i="2"/>
  <c r="AD28" i="2"/>
  <c r="AA27" i="2"/>
  <c r="E26" i="2"/>
  <c r="M26" i="2"/>
  <c r="E27" i="2"/>
  <c r="M27" i="2"/>
  <c r="E28" i="2"/>
  <c r="M28" i="2"/>
  <c r="E29" i="2"/>
  <c r="M29" i="2"/>
  <c r="Q91" i="2"/>
  <c r="S28" i="2"/>
  <c r="S29" i="2"/>
  <c r="D28" i="2"/>
  <c r="M91" i="2"/>
  <c r="AE28" i="2"/>
  <c r="AC28" i="2"/>
  <c r="Z27" i="2"/>
  <c r="F26" i="2"/>
  <c r="N26" i="2"/>
  <c r="F27" i="2"/>
  <c r="N27" i="2"/>
  <c r="F28" i="2"/>
  <c r="N28" i="2"/>
  <c r="F29" i="2"/>
  <c r="N29" i="2"/>
  <c r="J91" i="2"/>
  <c r="S91" i="2"/>
  <c r="L27" i="2"/>
  <c r="H70" i="2"/>
  <c r="AE29" i="2"/>
  <c r="AB28" i="2"/>
  <c r="AD26" i="2"/>
  <c r="G26" i="2"/>
  <c r="O26" i="2"/>
  <c r="G27" i="2"/>
  <c r="O27" i="2"/>
  <c r="G28" i="2"/>
  <c r="O28" i="2"/>
  <c r="G29" i="2"/>
  <c r="O29" i="2"/>
  <c r="D91" i="2"/>
  <c r="E91" i="2"/>
  <c r="F91" i="2"/>
  <c r="L18" i="2"/>
  <c r="L20" i="2" s="1"/>
  <c r="L70" i="2"/>
  <c r="M18" i="2"/>
  <c r="M20" i="2" s="1"/>
  <c r="M70" i="2"/>
  <c r="D18" i="2"/>
  <c r="D20" i="2" s="1"/>
  <c r="D70" i="2"/>
  <c r="F18" i="2"/>
  <c r="F20" i="2" s="1"/>
  <c r="F70" i="2"/>
  <c r="E18" i="2"/>
  <c r="E20" i="2" s="1"/>
  <c r="E70" i="2"/>
  <c r="N18" i="2"/>
  <c r="N20" i="2" s="1"/>
  <c r="N70" i="2"/>
  <c r="K91" i="2"/>
  <c r="K70" i="2"/>
  <c r="L91" i="2"/>
  <c r="AE70" i="2"/>
  <c r="S70" i="2"/>
  <c r="O91" i="2"/>
  <c r="AE26" i="2"/>
  <c r="AD70" i="2"/>
  <c r="G70" i="2"/>
  <c r="O70" i="2"/>
  <c r="H91" i="2"/>
  <c r="P91" i="2"/>
  <c r="AE27" i="2"/>
  <c r="Z91" i="2"/>
  <c r="AA91" i="2"/>
  <c r="Z70" i="2"/>
  <c r="AA18" i="2"/>
  <c r="AA20" i="2" s="1"/>
  <c r="AA70" i="2"/>
  <c r="AB91" i="2"/>
  <c r="AC91" i="2"/>
  <c r="AB18" i="2"/>
  <c r="AB20" i="2" s="1"/>
  <c r="AB70" i="2"/>
  <c r="AC18" i="2"/>
  <c r="AC20" i="2" s="1"/>
  <c r="AC70" i="2"/>
  <c r="AE91" i="2"/>
  <c r="AD91" i="2"/>
  <c r="G91" i="2"/>
  <c r="B9" i="2"/>
  <c r="E5" i="3" s="1"/>
  <c r="B13" i="2" l="1"/>
  <c r="AI11" i="2"/>
  <c r="AI28" i="2" s="1"/>
  <c r="AK22" i="2"/>
  <c r="AK6" i="2"/>
  <c r="AH11" i="2"/>
  <c r="AH13" i="2" s="1"/>
  <c r="F5" i="3"/>
  <c r="D5" i="3"/>
  <c r="AH27" i="2"/>
  <c r="AJ11" i="2"/>
  <c r="AJ27" i="2"/>
  <c r="AF11" i="2"/>
  <c r="AF27" i="2"/>
  <c r="AI13" i="2"/>
  <c r="AG13" i="2"/>
  <c r="AG28" i="2"/>
  <c r="E6" i="3" l="1"/>
  <c r="F6" i="3"/>
  <c r="AH29" i="2"/>
  <c r="AK26" i="2"/>
  <c r="AK9" i="2"/>
  <c r="AL6" i="2"/>
  <c r="AL22" i="2"/>
  <c r="AH28" i="2"/>
  <c r="AH16" i="2"/>
  <c r="AH17" i="2" s="1"/>
  <c r="AH18" i="2" s="1"/>
  <c r="AH20" i="2" s="1"/>
  <c r="AG29" i="2"/>
  <c r="AG16" i="2"/>
  <c r="AI16" i="2"/>
  <c r="AI29" i="2"/>
  <c r="AF13" i="2"/>
  <c r="AF28" i="2"/>
  <c r="AJ28" i="2"/>
  <c r="AJ13" i="2"/>
  <c r="F7" i="3" l="1"/>
  <c r="D6" i="3"/>
  <c r="A3" i="6"/>
  <c r="AL26" i="2"/>
  <c r="AL9" i="2"/>
  <c r="AK27" i="2"/>
  <c r="AK11" i="2"/>
  <c r="AM6" i="2"/>
  <c r="AM22" i="2"/>
  <c r="AI17" i="2"/>
  <c r="AI18" i="2" s="1"/>
  <c r="AI20" i="2" s="1"/>
  <c r="AG17" i="2"/>
  <c r="AG18" i="2" s="1"/>
  <c r="AF16" i="2"/>
  <c r="AF29" i="2"/>
  <c r="AJ16" i="2"/>
  <c r="AJ29" i="2"/>
  <c r="AL27" i="2" l="1"/>
  <c r="AL11" i="2"/>
  <c r="AM26" i="2"/>
  <c r="AM9" i="2"/>
  <c r="AN22" i="2"/>
  <c r="AN6" i="2"/>
  <c r="AK28" i="2"/>
  <c r="AK13" i="2"/>
  <c r="AJ17" i="2"/>
  <c r="AJ18" i="2" s="1"/>
  <c r="AG20" i="2"/>
  <c r="AF17" i="2"/>
  <c r="AF18" i="2" s="1"/>
  <c r="AF20" i="2" s="1"/>
  <c r="D7" i="3" l="1"/>
  <c r="E7" i="3"/>
  <c r="AN26" i="2"/>
  <c r="AN9" i="2"/>
  <c r="AO6" i="2"/>
  <c r="AO22" i="2"/>
  <c r="AM11" i="2"/>
  <c r="AM27" i="2"/>
  <c r="AK16" i="2"/>
  <c r="AK17" i="2" s="1"/>
  <c r="AK18" i="2" s="1"/>
  <c r="AK20" i="2" s="1"/>
  <c r="AK29" i="2"/>
  <c r="AL13" i="2"/>
  <c r="AL28" i="2"/>
  <c r="AJ20" i="2"/>
  <c r="AM13" i="2" l="1"/>
  <c r="AM28" i="2"/>
  <c r="AO26" i="2"/>
  <c r="AO9" i="2"/>
  <c r="AL16" i="2"/>
  <c r="AL17" i="2" s="1"/>
  <c r="AL18" i="2" s="1"/>
  <c r="AL20" i="2" s="1"/>
  <c r="AL29" i="2"/>
  <c r="AN11" i="2"/>
  <c r="AN27" i="2"/>
  <c r="AN13" i="2" l="1"/>
  <c r="AN28" i="2"/>
  <c r="AO27" i="2"/>
  <c r="AO11" i="2"/>
  <c r="AM29" i="2"/>
  <c r="AM16" i="2"/>
  <c r="AM17" i="2" s="1"/>
  <c r="AM18" i="2" s="1"/>
  <c r="AM20" i="2" l="1"/>
  <c r="AO13" i="2"/>
  <c r="AO28" i="2"/>
  <c r="AN16" i="2"/>
  <c r="AN17" i="2" s="1"/>
  <c r="AN18" i="2" s="1"/>
  <c r="AN20" i="2" s="1"/>
  <c r="AN29" i="2"/>
  <c r="AO29" i="2" l="1"/>
  <c r="AO16" i="2"/>
  <c r="AO17" i="2" s="1"/>
  <c r="AO18" i="2" s="1"/>
  <c r="AO20" i="2" l="1"/>
  <c r="AP18" i="2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AR23" i="2" l="1"/>
  <c r="AR25" i="2" s="1"/>
  <c r="AR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tc={E75197AB-E86D-FB48-A915-430CB3242452}</author>
  </authors>
  <commentList>
    <comment ref="C34" authorId="0" shapeId="0" xr:uid="{E75197AB-E86D-FB48-A915-430CB3242452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Andelen abonnenter som avlsutter abonnementet sitt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tc={E4F9CB44-7CE8-E34A-8197-16C34480E249}</author>
    <author>tc={1492FEDF-8F6E-414F-9152-00D32F0811FD}</author>
  </authors>
  <commentList>
    <comment ref="B21" authorId="0" shapeId="0" xr:uid="{E4F9CB44-7CE8-E34A-8197-16C34480E249}">
      <text>
        <t>[Kommentartråd]
Din versjon av Excel lar deg lese denne kommentartråden. Eventuelle endringer i den vil imidlertid bli fjernet hvis filen åpnes i en nyere versjon av Excel. Finn ut mer: https://go.microsoft.com/fwlink/?linkid=870924
Kommentar:
    % av alle eye examination som er eyeview</t>
      </text>
    </comment>
    <comment ref="B54" authorId="1" shapeId="0" xr:uid="{1492FEDF-8F6E-414F-9152-00D32F0811F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% av alle eye examination som er eyeview</t>
      </text>
    </comment>
  </commentList>
</comments>
</file>

<file path=xl/sharedStrings.xml><?xml version="1.0" encoding="utf-8"?>
<sst xmlns="http://schemas.openxmlformats.org/spreadsheetml/2006/main" count="353" uniqueCount="221">
  <si>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</si>
  <si>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</si>
  <si>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</si>
  <si>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</si>
  <si>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</si>
  <si>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</si>
  <si>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</si>
  <si>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</si>
  <si>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</si>
  <si>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</si>
  <si>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</si>
  <si>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</si>
  <si>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</si>
  <si>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</si>
  <si>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</si>
  <si>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</si>
  <si>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</si>
  <si>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</si>
  <si>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</si>
  <si>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</si>
  <si>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</si>
  <si>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</si>
  <si>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</si>
  <si>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</si>
  <si>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</si>
  <si>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</si>
  <si>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</si>
  <si>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</si>
  <si>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</si>
  <si>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</si>
  <si>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Q325</t>
  </si>
  <si>
    <t>Q425</t>
  </si>
  <si>
    <t>Q125</t>
  </si>
  <si>
    <t>Revenue y/y</t>
  </si>
  <si>
    <t>EBIT margin</t>
  </si>
  <si>
    <t>Nedside</t>
  </si>
  <si>
    <t>Gross margin</t>
  </si>
  <si>
    <t>ROE</t>
  </si>
  <si>
    <t>EBITDA margin</t>
  </si>
  <si>
    <t>SEKm</t>
  </si>
  <si>
    <t>MC SEKm</t>
  </si>
  <si>
    <t>Cash SEKm</t>
  </si>
  <si>
    <t>Debt SEKm</t>
  </si>
  <si>
    <t>EV SEKm</t>
  </si>
  <si>
    <t>Balanse SEKm</t>
  </si>
  <si>
    <t>FY 2020</t>
  </si>
  <si>
    <t>FY 2021</t>
  </si>
  <si>
    <t>FY 2022</t>
  </si>
  <si>
    <t>FY 2023</t>
  </si>
  <si>
    <t>Revenue</t>
  </si>
  <si>
    <t>Goods for resale</t>
  </si>
  <si>
    <t>Gross profit</t>
  </si>
  <si>
    <t>Other external expenses</t>
  </si>
  <si>
    <t>Persnonnel costs</t>
  </si>
  <si>
    <t>EBITDA</t>
  </si>
  <si>
    <t>Depreciation</t>
  </si>
  <si>
    <t>EBITA</t>
  </si>
  <si>
    <t>Amortization</t>
  </si>
  <si>
    <t>EBIT</t>
  </si>
  <si>
    <t>Fincial income</t>
  </si>
  <si>
    <t>Financial expenses</t>
  </si>
  <si>
    <t>PTP</t>
  </si>
  <si>
    <t>Tax</t>
  </si>
  <si>
    <t>Net income</t>
  </si>
  <si>
    <t>Share</t>
  </si>
  <si>
    <t>EPS</t>
  </si>
  <si>
    <t>Intangible non-current assets</t>
  </si>
  <si>
    <t>Tangible non-current assets</t>
  </si>
  <si>
    <t>Right of use assets</t>
  </si>
  <si>
    <t>Financial non-current assets</t>
  </si>
  <si>
    <t>Deferred tax assets</t>
  </si>
  <si>
    <t>Inventories</t>
  </si>
  <si>
    <t>Account receivables</t>
  </si>
  <si>
    <t>Current receivables</t>
  </si>
  <si>
    <t>Cash</t>
  </si>
  <si>
    <t>Total assets</t>
  </si>
  <si>
    <t>Total equity</t>
  </si>
  <si>
    <t>Non-current loans from banks</t>
  </si>
  <si>
    <t>Non-current lease liabilities</t>
  </si>
  <si>
    <t>Other non-current liabilities, IB</t>
  </si>
  <si>
    <t>Deferred tax liabilities</t>
  </si>
  <si>
    <t>Non-current liabilities, non IB</t>
  </si>
  <si>
    <t>Current loans from banks</t>
  </si>
  <si>
    <t>Current lease liabilities</t>
  </si>
  <si>
    <t>Other current liablities, IB</t>
  </si>
  <si>
    <t>Account payable</t>
  </si>
  <si>
    <t>Other current liabilities, non IB</t>
  </si>
  <si>
    <t>Total debt</t>
  </si>
  <si>
    <t>Total E/D</t>
  </si>
  <si>
    <t>Cash flow SEKm</t>
  </si>
  <si>
    <t>Model PTP</t>
  </si>
  <si>
    <t>Reported PTP</t>
  </si>
  <si>
    <t>Adjustment for non-cash</t>
  </si>
  <si>
    <t>D/A</t>
  </si>
  <si>
    <t>Income tax paid</t>
  </si>
  <si>
    <t>WC</t>
  </si>
  <si>
    <t>CFFO</t>
  </si>
  <si>
    <t>Capex</t>
  </si>
  <si>
    <t>other investing activities</t>
  </si>
  <si>
    <t>CFFI</t>
  </si>
  <si>
    <t>Buybacks</t>
  </si>
  <si>
    <t>Amortization of debt to banks</t>
  </si>
  <si>
    <t>Amortization of lease</t>
  </si>
  <si>
    <t>Borrowings</t>
  </si>
  <si>
    <t>Dividends</t>
  </si>
  <si>
    <t>CFFF</t>
  </si>
  <si>
    <t>FX</t>
  </si>
  <si>
    <t>CIC</t>
  </si>
  <si>
    <t>FCF</t>
  </si>
  <si>
    <t>Organic growth</t>
  </si>
  <si>
    <t>EBITA margin</t>
  </si>
  <si>
    <t>Like-for-like</t>
  </si>
  <si>
    <t>Q126</t>
  </si>
  <si>
    <t>Q226</t>
  </si>
  <si>
    <t>Q326</t>
  </si>
  <si>
    <t>Q426</t>
  </si>
  <si>
    <t xml:space="preserve">Press releases: </t>
  </si>
  <si>
    <t>Discount</t>
  </si>
  <si>
    <t>TV</t>
  </si>
  <si>
    <t>NPV</t>
  </si>
  <si>
    <t>NPV/Share</t>
  </si>
  <si>
    <t>EV/EBITDA</t>
  </si>
  <si>
    <t>Opp/nedside</t>
  </si>
  <si>
    <t>Nullvekst og dårligste marginene</t>
  </si>
  <si>
    <t>28.04.26: Synsam inngår samarbeid med Haaland og entrer det internasjonale markedet. 26.mai skal denne kolleksjonen av 64 ulike rammer bli lasnert til både kjernemarkedet, men også gjennom e-commerce i Europa</t>
  </si>
  <si>
    <t>Number of stores</t>
  </si>
  <si>
    <t>Directly owned</t>
  </si>
  <si>
    <t>Fanchised</t>
  </si>
  <si>
    <t>23.04.26: Åpner NK Eyewear &amp; Optics i Gøteborg som er et frittstående premiumkonsept, 180 KVM</t>
  </si>
  <si>
    <t>12.03.26: Synsam lanserer nytt merke ved navn Alicia Lind som utvider deres made in Sweden portefølje</t>
  </si>
  <si>
    <t>02.03.26: Synsam kjøper tilbake 80 646 aksjer</t>
  </si>
  <si>
    <t>Sweden</t>
  </si>
  <si>
    <t>Synsam Lifestyle</t>
  </si>
  <si>
    <t>y/y</t>
  </si>
  <si>
    <t>Non-recurring rev</t>
  </si>
  <si>
    <t>Total revenue</t>
  </si>
  <si>
    <t>Demark</t>
  </si>
  <si>
    <t>Norway</t>
  </si>
  <si>
    <t>Finland</t>
  </si>
  <si>
    <t>Denmark</t>
  </si>
  <si>
    <t>Value</t>
  </si>
  <si>
    <t>Value/Share</t>
  </si>
  <si>
    <t>Enterprise value</t>
  </si>
  <si>
    <t>Debt</t>
  </si>
  <si>
    <t>Equity value</t>
  </si>
  <si>
    <t>EBIT 26E</t>
  </si>
  <si>
    <t>Active customers Synsam Lifestyle (thousand)</t>
  </si>
  <si>
    <t>Churn</t>
  </si>
  <si>
    <t>q/q</t>
  </si>
  <si>
    <t xml:space="preserve">  → Churnet (est.)</t>
  </si>
  <si>
    <t xml:space="preserve">  → Brutto nye (est.)</t>
  </si>
  <si>
    <t xml:space="preserve">  → Churn ex. Denmark</t>
  </si>
  <si>
    <r>
      <rPr>
        <b/>
        <sz val="14"/>
        <color theme="1"/>
        <rFont val="Calibri"/>
        <family val="2"/>
        <scheme val="minor"/>
      </rPr>
      <t>Synsam lifestyle:</t>
    </r>
    <r>
      <rPr>
        <sz val="14"/>
        <color theme="1"/>
        <rFont val="Calibri"/>
        <family val="2"/>
        <scheme val="minor"/>
      </rPr>
      <t xml:space="preserve"> Brilleabonnement som kunden betaler fast hver måned. </t>
    </r>
  </si>
  <si>
    <t>Du får tilgang til 3 par briller, styrke, solbriller og sportsbriller</t>
  </si>
  <si>
    <t>Mulighet til å bytte ett åar briller årlig</t>
  </si>
  <si>
    <t>Gratis synstest hvert år</t>
  </si>
  <si>
    <t>Linser inkludert ved synsendring</t>
  </si>
  <si>
    <r>
      <rPr>
        <b/>
        <sz val="14"/>
        <color theme="1"/>
        <rFont val="Calibri"/>
        <family val="2"/>
        <scheme val="minor"/>
      </rPr>
      <t xml:space="preserve">Synsam EyeView: </t>
    </r>
    <r>
      <rPr>
        <sz val="14"/>
        <color theme="1"/>
        <rFont val="Calibri"/>
        <family val="2"/>
        <scheme val="minor"/>
      </rPr>
      <t>Synsams svar på optikermangel i Sverige og Norge</t>
    </r>
  </si>
  <si>
    <t>optiker kan gjennomføre synsundersøkelse delvus eller fullt ut på distanse.</t>
  </si>
  <si>
    <t xml:space="preserve">En tekniker er fysisk tilstede i butikken med pasienten og betjener utstyret, </t>
  </si>
  <si>
    <t>mens kvalifiserte optiker kan sitte et annet sted og tolke resultat digitalt.</t>
  </si>
  <si>
    <t>Tilbakekjøpsprogram</t>
  </si>
  <si>
    <t>Dato kjøp</t>
  </si>
  <si>
    <t>Antall aksjer</t>
  </si>
  <si>
    <t>Akummelert antall aksjer</t>
  </si>
  <si>
    <t xml:space="preserve">Kjøp </t>
  </si>
  <si>
    <t xml:space="preserve">Akkumelert kjøp </t>
  </si>
  <si>
    <t>23.02.26: Synsam kjøper tilbake 100 000 aksjer</t>
  </si>
  <si>
    <t>12.02.26: Synsam kjøpet tilbake 125 000 aksjer</t>
  </si>
  <si>
    <t>12.02.26: Synsam utvider sin svenske produksjon og lanserer nytt merek kalt Isak V</t>
  </si>
  <si>
    <t>Finne info om egen prod og egne merker</t>
  </si>
  <si>
    <t>09.02.26: Synsam kjøper tilbake 125 000 aksjer</t>
  </si>
  <si>
    <t>02.02.26: Synsam kjøper tilbake 125 000 aksjer</t>
  </si>
  <si>
    <t>26.01.26: Synsam kjøper tilbake 115 000 aksjer</t>
  </si>
  <si>
    <t>19.01.26: Synsam kjøper tilbake 100 000 aksjer</t>
  </si>
  <si>
    <t>12.01.26: Synsam kjøper tilbake 70 000 aksjer</t>
  </si>
  <si>
    <t>05.01.26: Synsam kjøper tilbake 55 000 aksjer</t>
  </si>
  <si>
    <t>29.12.25 Synsam kjøper tilbake 40 000 aksjer</t>
  </si>
  <si>
    <t>22.12.25 Synsam kjøper tilbake 80 000 aksjer</t>
  </si>
  <si>
    <t>15.12.25 Synsam kjøper tilbake 100 000 aksjer</t>
  </si>
  <si>
    <t>08.12.25 Synsam kjøper tilbake 100 000 aksjer</t>
  </si>
  <si>
    <t>01.12.25: Synsam kjøper tilbake 100 000 aksjer</t>
  </si>
  <si>
    <t>24.11.25: Synsam kjøper tilbake 90 000 aksjer</t>
  </si>
  <si>
    <t>17.11.25: Synsam kjøper tilbake 80 000 aksjer</t>
  </si>
  <si>
    <t>13.11.25: Synsam ekspanderer sin smart glasses portefølje med lansering av AI sports glasses fra Oakley</t>
  </si>
  <si>
    <t>10.11.25: Synsam kjøper tilbake 76 000 aksjer</t>
  </si>
  <si>
    <t>06.11.25: Synsam lanserer Nuance, øyeglass med høreassistante</t>
  </si>
  <si>
    <t>03.11.25: Synsam kjøper tilbake 90 000 aksjer</t>
  </si>
  <si>
    <t>27.10.25: Synsam kjøper tilbake 99 306 aksjer</t>
  </si>
  <si>
    <t>20.10.25: Synsam kjøper tilbake 100 000 aksjer</t>
  </si>
  <si>
    <t>13.10.25: Synsam kjøper tilbake 100 000 aksjer</t>
  </si>
  <si>
    <t>06.10.25: Synsam kjøper tilbake 100 000 aksjer</t>
  </si>
  <si>
    <t>29.09.25: Synsam kjøper tilbake 99 796 aksjer</t>
  </si>
  <si>
    <t>22.09.25: Synsam kjøper tilbake 100 000 aksjer</t>
  </si>
  <si>
    <t>15.09.25: Synsam kjøper tilbake 100 000 aksjer</t>
  </si>
  <si>
    <t>08.09.25: Synsam kjøper tilbake 100 000 aksjer</t>
  </si>
  <si>
    <t>01.09.25: Synsam kjøper tilbake 100 000 aksjer</t>
  </si>
  <si>
    <t>08.06.26: Synsam kjøper tilbake 125 000 aksjer</t>
  </si>
  <si>
    <t>P/B</t>
  </si>
  <si>
    <t>15.06.26: Synsam kjøper tilbake 125 000 aksjer</t>
  </si>
  <si>
    <t>22.06.26: Synsam kjøper tilbake 99 445 aksjer</t>
  </si>
  <si>
    <t>29.06.26: Synsam kjøper tilbake 125 000 aksjer</t>
  </si>
  <si>
    <t>06.07.26: Synsam kjøper tilbake 125 000 aksjer</t>
  </si>
  <si>
    <t>13.07.26: Synsam kjøper tilbake 130 000 aksjer</t>
  </si>
  <si>
    <t>Gearing</t>
  </si>
  <si>
    <t>Eyeview %</t>
  </si>
  <si>
    <t>Share of sales Synsam lifestyle</t>
  </si>
  <si>
    <t>Tar 2 år for en nyetablert butikk til å bli like lønnsom som en etablert butikk</t>
  </si>
  <si>
    <t>14.09.26: Synsam inngår samarbeid med Carola og blir en ambasadør for Synsam. Hennes egen kolleksjon vil bli tilgjengligjort for salg tidlig 2027</t>
  </si>
  <si>
    <t>20.07.26: Synsam kjøper tilbake 100 000 aksjer</t>
  </si>
  <si>
    <t>27.07.26: Synsam kjøper tilbake 50 000 aksjer</t>
  </si>
  <si>
    <t>03.08.26: Synsam kjøper tilbake 122 000 aksjer</t>
  </si>
  <si>
    <t>10.08.26: Synsam kjøper tilbake 104 000 aksjer</t>
  </si>
  <si>
    <t>17.08.26: Synsam kjøper tilbake  100 000 aksjer</t>
  </si>
  <si>
    <t>24.08.26: Synsam kjøper tilbale 95 000 aksjer</t>
  </si>
  <si>
    <t>31.08.26: Synsam kjøper tilbake 100 000 aksjer</t>
  </si>
  <si>
    <t>07.09.26: Synsam kjøper tilbake 100 000 aksjer</t>
  </si>
  <si>
    <t>14.09.26: Synsam kjøper tilbake 100 000 aksjer</t>
  </si>
  <si>
    <t>21.09.26: Synsam kjøper tilbake 100 000 aksjer</t>
  </si>
  <si>
    <t>28.09.26: Synsam kjøper tilbake 100 000 akskjer</t>
  </si>
  <si>
    <t>21.08.25: Synsam starter tilbakekjøpsprgram for å justerer kapitalstrukturen sin 160 SEKm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</si>
</sst>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kr&quot;\ #,##0.00_);[Red]\(&quot;kr&quot;\ #,##0.00\)"/>
    <numFmt numFmtId="164" formatCode="#,##0.0"/>
    <numFmt numFmtId="165" formatCode="0.0"/>
    <numFmt numFmtId="166" formatCode="#,##0.000"/>
    <numFmt numFmtId="167" formatCode="#,##0.0000"/>
    <numFmt numFmtId="168" formatCode="0.00%"/>
    <numFmt numFmtId="169" formatCode="0.0\ %"/>
  </numFmts>
  <fonts count="1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rgb="FF666666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10" fontId="2" fillId="0" borderId="0" xfId="0" applyNumberFormat="1" applyFont="1"/>
    <xf numFmtId="10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  <xf numFmtId="3" fontId="4" fillId="0" borderId="0" xfId="0" applyNumberFormat="1" applyFont="1"/>
    <xf numFmtId="3" fontId="2" fillId="0" borderId="1" xfId="0" applyNumberFormat="1" applyFont="1" applyBorder="1"/>
    <xf numFmtId="10" fontId="4" fillId="0" borderId="0" xfId="0" applyNumberFormat="1" applyFont="1"/>
    <xf numFmtId="0" fontId="8" fillId="0" borderId="0" xfId="0" applyFont="1"/>
    <xf numFmtId="0" fontId="1" fillId="0" borderId="1" xfId="0" applyFont="1" applyBorder="1"/>
    <xf numFmtId="0" fontId="9" fillId="0" borderId="0" xfId="0" applyFont="1"/>
    <xf numFmtId="3" fontId="9" fillId="0" borderId="0" xfId="0" applyNumberFormat="1" applyFont="1"/>
    <xf numFmtId="1" fontId="9" fillId="0" borderId="0" xfId="0" applyNumberFormat="1" applyFont="1"/>
    <xf numFmtId="10" fontId="3" fillId="0" borderId="0" xfId="0" applyNumberFormat="1" applyFont="1"/>
    <xf numFmtId="10" fontId="2" fillId="0" borderId="1" xfId="0" applyNumberFormat="1" applyFont="1" applyBorder="1"/>
    <xf numFmtId="3" fontId="1" fillId="0" borderId="1" xfId="0" applyNumberFormat="1" applyFont="1" applyBorder="1"/>
    <xf numFmtId="0" fontId="4" fillId="0" borderId="1" xfId="0" applyFont="1" applyBorder="1"/>
    <xf numFmtId="164" fontId="2" fillId="0" borderId="0" xfId="0" applyNumberFormat="1" applyFont="1"/>
    <xf numFmtId="4" fontId="2" fillId="0" borderId="0" xfId="0" applyNumberFormat="1" applyFont="1"/>
    <xf numFmtId="10" fontId="1" fillId="0" borderId="1" xfId="0" applyNumberFormat="1" applyFont="1" applyBorder="1"/>
    <xf numFmtId="4" fontId="1" fillId="0" borderId="0" xfId="0" applyNumberFormat="1" applyFont="1"/>
    <xf numFmtId="10" fontId="2" fillId="0" borderId="3" xfId="0" applyNumberFormat="1" applyFont="1" applyBorder="1"/>
    <xf numFmtId="9" fontId="2" fillId="0" borderId="0" xfId="0" applyNumberFormat="1" applyFont="1"/>
    <xf numFmtId="8" fontId="2" fillId="0" borderId="3" xfId="0" applyNumberFormat="1" applyFont="1" applyBorder="1"/>
    <xf numFmtId="8" fontId="1" fillId="0" borderId="0" xfId="0" applyNumberFormat="1" applyFont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/>
    <xf numFmtId="165" fontId="6" fillId="0" borderId="2" xfId="0" applyNumberFormat="1" applyFont="1" applyBorder="1"/>
    <xf numFmtId="166" fontId="2" fillId="0" borderId="0" xfId="0" applyNumberFormat="1" applyFont="1"/>
    <xf numFmtId="167" fontId="2" fillId="0" borderId="0" xfId="0" applyNumberFormat="1" applyFont="1"/>
    <xf numFmtId="0" fontId="2" fillId="0" borderId="4" xfId="0" applyFont="1" applyBorder="1"/>
    <xf numFmtId="3" fontId="2" fillId="0" borderId="4" xfId="0" applyNumberFormat="1" applyFont="1" applyBorder="1"/>
    <xf numFmtId="3" fontId="1" fillId="0" borderId="4" xfId="0" applyNumberFormat="1" applyFont="1" applyBorder="1"/>
    <xf numFmtId="0" fontId="1" fillId="0" borderId="6" xfId="0" applyFont="1" applyBorder="1"/>
    <xf numFmtId="0" fontId="2" fillId="0" borderId="6" xfId="0" applyFont="1" applyBorder="1"/>
    <xf numFmtId="10" fontId="4" fillId="0" borderId="6" xfId="0" applyNumberFormat="1" applyFont="1" applyBorder="1"/>
    <xf numFmtId="0" fontId="2" fillId="0" borderId="5" xfId="0" applyFont="1" applyBorder="1"/>
    <xf numFmtId="0" fontId="1" fillId="0" borderId="6" xfId="0" applyFont="1" applyBorder="1" applyAlignment="1">
      <alignment horizontal="right"/>
    </xf>
    <xf numFmtId="3" fontId="2" fillId="0" borderId="6" xfId="0" applyNumberFormat="1" applyFont="1" applyBorder="1"/>
    <xf numFmtId="3" fontId="2" fillId="0" borderId="5" xfId="0" applyNumberFormat="1" applyFont="1" applyBorder="1"/>
    <xf numFmtId="0" fontId="8" fillId="0" borderId="2" xfId="0" applyFont="1" applyBorder="1"/>
    <xf numFmtId="0" fontId="9" fillId="0" borderId="2" xfId="0" applyFont="1" applyBorder="1"/>
    <xf numFmtId="3" fontId="8" fillId="0" borderId="2" xfId="0" applyNumberFormat="1" applyFont="1" applyBorder="1"/>
    <xf numFmtId="1" fontId="8" fillId="0" borderId="2" xfId="0" applyNumberFormat="1" applyFont="1" applyBorder="1"/>
    <xf numFmtId="3" fontId="9" fillId="0" borderId="2" xfId="0" applyNumberFormat="1" applyFont="1" applyBorder="1"/>
    <xf numFmtId="1" fontId="9" fillId="0" borderId="2" xfId="0" applyNumberFormat="1" applyFont="1" applyBorder="1"/>
    <xf numFmtId="0" fontId="9" fillId="2" borderId="2" xfId="0" applyFont="1" applyFill="1" applyBorder="1"/>
    <xf numFmtId="3" fontId="9" fillId="2" borderId="2" xfId="0" applyNumberFormat="1" applyFont="1" applyFill="1" applyBorder="1"/>
    <xf numFmtId="1" fontId="9" fillId="2" borderId="2" xfId="0" applyNumberFormat="1" applyFont="1" applyFill="1" applyBorder="1"/>
    <xf numFmtId="0" fontId="8" fillId="2" borderId="2" xfId="0" applyFont="1" applyFill="1" applyBorder="1"/>
    <xf numFmtId="1" fontId="8" fillId="2" borderId="2" xfId="0" applyNumberFormat="1" applyFont="1" applyFill="1" applyBorder="1"/>
    <xf numFmtId="3" fontId="8" fillId="2" borderId="2" xfId="0" applyNumberFormat="1" applyFont="1" applyFill="1" applyBorder="1"/>
    <xf numFmtId="3" fontId="1" fillId="0" borderId="6" xfId="0" applyNumberFormat="1" applyFont="1" applyBorder="1"/>
    <xf numFmtId="10" fontId="3" fillId="0" borderId="6" xfId="0" applyNumberFormat="1" applyFont="1" applyBorder="1"/>
    <xf numFmtId="10" fontId="10" fillId="0" borderId="0" xfId="0" applyNumberFormat="1" applyFont="1"/>
    <xf numFmtId="1" fontId="11" fillId="0" borderId="0" xfId="0" applyNumberFormat="1" applyFont="1"/>
    <xf numFmtId="1" fontId="12" fillId="0" borderId="0" xfId="0" applyNumberFormat="1" applyFont="1"/>
    <xf numFmtId="10" fontId="13" fillId="0" borderId="0" xfId="0" applyNumberFormat="1" applyFont="1"/>
    <xf numFmtId="168" fontId="2" fillId="0" borderId="0" xfId="0" applyNumberFormat="1" applyFont="1"/>
    <xf numFmtId="0" fontId="14" fillId="0" borderId="0" xfId="0" applyFont="1"/>
    <xf numFmtId="0" fontId="13" fillId="0" borderId="0" xfId="0" applyFont="1"/>
    <xf numFmtId="3" fontId="8" fillId="0" borderId="0" xfId="0" applyNumberFormat="1" applyFont="1"/>
    <xf numFmtId="9" fontId="2" fillId="0" borderId="4" xfId="0" applyNumberFormat="1" applyFont="1" applyBorder="1"/>
    <xf numFmtId="9" fontId="2" fillId="0" borderId="5" xfId="0" applyNumberFormat="1" applyFont="1" applyBorder="1"/>
    <xf numFmtId="9" fontId="1" fillId="0" borderId="4" xfId="0" applyNumberFormat="1" applyFont="1" applyBorder="1"/>
    <xf numFmtId="9" fontId="2" fillId="0" borderId="1" xfId="0" applyNumberFormat="1" applyFont="1" applyBorder="1"/>
    <xf numFmtId="9" fontId="13" fillId="0" borderId="0" xfId="0" applyNumberFormat="1" applyFont="1"/>
    <xf numFmtId="169" fontId="2" fillId="0" borderId="0" xfId="0" applyNumberFormat="1" applyFont="1"/>
    <xf numFmtId="169" fontId="2" fillId="0" borderId="1" xfId="0" applyNumberFormat="1" applyFont="1" applyBorder="1"/>
    <xf numFmtId="169" fontId="1" fillId="0" borderId="0" xfId="0" applyNumberFormat="1" applyFont="1"/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SOTP/Synsam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SOTP/Synsam</a:t>
          </a:r>
        </a:p>
      </cx:txPr>
    </cx:title>
    <cx:plotArea>
      <cx:plotAreaRegion>
        <cx:series layoutId="waterfall" uniqueId="{9804EFC6-854E-FC43-AB5A-6789FA49BBFA}">
          <cx:dataPt idx="4"/>
          <cx:dataPt idx="7">
            <cx:spPr>
              <a:solidFill>
                <a:srgbClr val="FF0000"/>
              </a:solidFill>
            </cx:spPr>
          </cx:dataPt>
          <cx:dataPt idx="9"/>
          <cx:dataLabels pos="outEnd">
            <cx:visibility seriesName="0" categoryName="0" value="1"/>
          </cx:dataLabels>
          <cx:dataId val="0"/>
          <cx:layoutPr>
            <cx:subtotals>
              <cx:idx val="4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161636</xdr:colOff>
      <xdr:row>17</xdr:row>
      <xdr:rowOff>158173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1775F290-C097-41F7-E09E-3AD297775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18000" cy="4279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832554</xdr:colOff>
      <xdr:row>15</xdr:row>
      <xdr:rowOff>18344</xdr:rowOff>
    </xdr:from>
    <xdr:to>
      <xdr:col>7</xdr:col>
      <xdr:colOff>691445</xdr:colOff>
      <xdr:row>33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9BE5A4B4-E8E5-8F87-CFBD-05E27F1A1D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5354" y="4971344"/>
              <a:ext cx="9485491" cy="60522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0B6F202D-2CD8-E046-B6A2-C3528C400E70}" userId="a530012ce760c12d" providerId="Windows Live"/>
  <person displayName="(Student) Hodt, August" id="{E139B73C-2778-974C-B36A-A0085D09F5E5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4" dT="2026-05-10T18:47:09.66" personId="{E139B73C-2778-974C-B36A-A0085D09F5E5}" id="{E75197AB-E86D-FB48-A915-430CB3242452}">
    <text xml:space="preserve">Andelen abonnenter som avlsutter abonnementet sitt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1" dT="2026-08-21T07:41:48.75" personId="{0B6F202D-2CD8-E046-B6A2-C3528C400E70}" id="{E4F9CB44-7CE8-E34A-8197-16C34480E249}">
    <text>% av alle eye examination som er eyeview</text>
  </threadedComment>
  <threadedComment ref="B54" dT="2026-08-21T07:41:48.75" personId="{0B6F202D-2CD8-E046-B6A2-C3528C400E70}" id="{1492FEDF-8F6E-414F-9152-00D32F0811FD}">
    <text>% av alle eye examination som er eyeview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931E78-DE76-684A-A4FA-2D18EF51D099}">
  <we:reference id="wa200009404" version="1.0.0.5" store="nb-NO" storeType="OMEX"/>
  <we:alternateReferences>
    <we:reference id="wa200009404" version="1.0.0.5" store="nb-NO" storeType="OMEX"/>
  </we:alternateReferences>
  <we:properties>
    <we:property name="claude.fileId" value="&quot;cd6a33a3-891a-45a9-ba9d-53a308be15e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R78"/>
  <sheetViews>
    <sheetView showGridLines="0" topLeftCell="G1" zoomScale="110" zoomScaleNormal="110" workbookViewId="0">
      <selection activeCell="P12" sqref="P12"/>
    </sheetView>
  </sheetViews>
  <sheetFormatPr baseColWidth="10" defaultRowHeight="19" x14ac:dyDescent="0.25"/>
  <cols>
    <col min="1" max="6" width="10.83203125" style="2"/>
    <col min="7" max="7" width="18.83203125" style="2" customWidth="1"/>
    <col min="8" max="13" width="10.83203125" style="2"/>
    <col min="14" max="14" width="21" style="82" customWidth="1"/>
    <col min="15" max="15" width="15" style="15" customWidth="1"/>
    <col min="16" max="16" width="26.5" style="2" customWidth="1"/>
    <col min="17" max="17" width="11.6640625" style="15" customWidth="1"/>
    <col min="18" max="18" width="17" style="15" customWidth="1"/>
    <col min="19" max="16384" width="10.83203125" style="2"/>
  </cols>
  <sheetData>
    <row r="1" spans="1:18" x14ac:dyDescent="0.25">
      <c r="I1" s="1"/>
      <c r="N1" s="2"/>
      <c r="O1" s="2"/>
      <c r="Q1" s="2"/>
      <c r="R1" s="2"/>
    </row>
    <row r="2" spans="1:18" x14ac:dyDescent="0.25">
      <c r="N2" s="2"/>
      <c r="O2" s="2"/>
      <c r="Q2" s="2"/>
      <c r="R2" s="2"/>
    </row>
    <row r="3" spans="1:18" x14ac:dyDescent="0.25">
      <c r="G3" s="2" t="s">
        <v>152</v>
      </c>
      <c r="N3" s="2"/>
      <c r="O3" s="2"/>
      <c r="Q3" s="2"/>
      <c r="R3" s="2"/>
    </row>
    <row r="4" spans="1:18" x14ac:dyDescent="0.25">
      <c r="G4" s="2" t="s">
        <v>153</v>
      </c>
      <c r="N4" s="2"/>
      <c r="O4" s="2"/>
      <c r="Q4" s="2"/>
      <c r="R4" s="2"/>
    </row>
    <row r="5" spans="1:18" x14ac:dyDescent="0.25">
      <c r="A5" s="1"/>
      <c r="G5" s="2" t="s">
        <v>155</v>
      </c>
      <c r="N5" s="2"/>
      <c r="O5" s="2"/>
      <c r="Q5" s="2"/>
      <c r="R5" s="2"/>
    </row>
    <row r="6" spans="1:18" x14ac:dyDescent="0.25">
      <c r="A6" s="1"/>
      <c r="G6" s="2" t="s">
        <v>154</v>
      </c>
      <c r="N6" s="2"/>
      <c r="O6" s="2"/>
      <c r="Q6" s="2"/>
      <c r="R6" s="2"/>
    </row>
    <row r="7" spans="1:18" x14ac:dyDescent="0.25">
      <c r="A7" s="1"/>
      <c r="G7" s="2" t="s">
        <v>156</v>
      </c>
      <c r="N7" s="2"/>
      <c r="O7" s="2"/>
      <c r="Q7" s="2"/>
      <c r="R7" s="2"/>
    </row>
    <row r="8" spans="1:18" x14ac:dyDescent="0.25">
      <c r="A8" s="1"/>
      <c r="N8" s="71" t="s">
        <v>161</v>
      </c>
      <c r="O8" s="71"/>
      <c r="P8" s="72"/>
      <c r="Q8" s="72"/>
      <c r="R8" s="72"/>
    </row>
    <row r="9" spans="1:18" x14ac:dyDescent="0.25">
      <c r="G9" s="2" t="s">
        <v>157</v>
      </c>
      <c r="N9" s="71" t="s">
        <v>162</v>
      </c>
      <c r="O9" s="71" t="s">
        <v>163</v>
      </c>
      <c r="P9" s="71" t="s">
        <v>164</v>
      </c>
      <c r="Q9" s="71" t="s">
        <v>165</v>
      </c>
      <c r="R9" s="71" t="s">
        <v>166</v>
      </c>
    </row>
    <row r="10" spans="1:18" x14ac:dyDescent="0.25">
      <c r="G10" s="2" t="s">
        <v>158</v>
      </c>
      <c r="N10" s="82">
        <v>45901</v>
      </c>
      <c r="O10" s="15">
        <v>100000</v>
      </c>
      <c r="P10" s="15">
        <f>O10</f>
        <v>100000</v>
      </c>
      <c r="Q10" s="15">
        <f>1147566+1117700+1136668+1149502+1167842</f>
        <v>5719278</v>
      </c>
      <c r="R10" s="15">
        <f>Q10</f>
        <v>5719278</v>
      </c>
    </row>
    <row r="11" spans="1:18" x14ac:dyDescent="0.25">
      <c r="G11" s="2" t="s">
        <v>159</v>
      </c>
      <c r="N11" s="82">
        <v>45908</v>
      </c>
      <c r="O11" s="15">
        <v>100000</v>
      </c>
      <c r="P11" s="15">
        <f>SUM(O10:O11)</f>
        <v>200000</v>
      </c>
    </row>
    <row r="12" spans="1:18" x14ac:dyDescent="0.25">
      <c r="G12" s="2" t="s">
        <v>160</v>
      </c>
    </row>
    <row r="15" spans="1:18" x14ac:dyDescent="0.25">
      <c r="G15" s="2" t="s">
        <v>170</v>
      </c>
    </row>
    <row r="17" spans="1:7" x14ac:dyDescent="0.25">
      <c r="G17" s="2" t="s">
        <v>207</v>
      </c>
    </row>
    <row r="19" spans="1:7" x14ac:dyDescent="0.25">
      <c r="A19" s="1"/>
    </row>
    <row r="26" spans="1:7" x14ac:dyDescent="0.25">
      <c r="A26" s="1" t="s">
        <v>116</v>
      </c>
    </row>
    <row r="27" spans="1:7" x14ac:dyDescent="0.25">
      <c r="A27" s="2" t="s">
        <v>219</v>
      </c>
    </row>
    <row r="28" spans="1:7" x14ac:dyDescent="0.25">
      <c r="A28" s="2" t="s">
        <v>218</v>
      </c>
    </row>
    <row r="29" spans="1:7" x14ac:dyDescent="0.25">
      <c r="A29" s="2" t="s">
        <v>208</v>
      </c>
    </row>
    <row r="30" spans="1:7" x14ac:dyDescent="0.25">
      <c r="A30" s="2" t="s">
        <v>217</v>
      </c>
    </row>
    <row r="31" spans="1:7" x14ac:dyDescent="0.25">
      <c r="A31" s="2" t="s">
        <v>216</v>
      </c>
    </row>
    <row r="32" spans="1:7" x14ac:dyDescent="0.25">
      <c r="A32" s="2" t="s">
        <v>215</v>
      </c>
    </row>
    <row r="33" spans="1:1" x14ac:dyDescent="0.25">
      <c r="A33" s="2" t="s">
        <v>214</v>
      </c>
    </row>
    <row r="34" spans="1:1" x14ac:dyDescent="0.25">
      <c r="A34" s="2" t="s">
        <v>213</v>
      </c>
    </row>
    <row r="35" spans="1:1" x14ac:dyDescent="0.25">
      <c r="A35" s="2" t="s">
        <v>212</v>
      </c>
    </row>
    <row r="36" spans="1:1" x14ac:dyDescent="0.25">
      <c r="A36" s="2" t="s">
        <v>211</v>
      </c>
    </row>
    <row r="37" spans="1:1" x14ac:dyDescent="0.25">
      <c r="A37" s="2" t="s">
        <v>210</v>
      </c>
    </row>
    <row r="38" spans="1:1" x14ac:dyDescent="0.25">
      <c r="A38" s="2" t="s">
        <v>209</v>
      </c>
    </row>
    <row r="39" spans="1:1" x14ac:dyDescent="0.25">
      <c r="A39" s="2" t="s">
        <v>203</v>
      </c>
    </row>
    <row r="40" spans="1:1" x14ac:dyDescent="0.25">
      <c r="A40" s="2" t="s">
        <v>202</v>
      </c>
    </row>
    <row r="41" spans="1:1" x14ac:dyDescent="0.25">
      <c r="A41" s="2" t="s">
        <v>201</v>
      </c>
    </row>
    <row r="42" spans="1:1" x14ac:dyDescent="0.25">
      <c r="A42" s="2" t="s">
        <v>200</v>
      </c>
    </row>
    <row r="43" spans="1:1" x14ac:dyDescent="0.25">
      <c r="A43" s="2" t="s">
        <v>199</v>
      </c>
    </row>
    <row r="44" spans="1:1" x14ac:dyDescent="0.25">
      <c r="A44" s="2" t="s">
        <v>197</v>
      </c>
    </row>
    <row r="45" spans="1:1" x14ac:dyDescent="0.25">
      <c r="A45" s="2" t="s">
        <v>124</v>
      </c>
    </row>
    <row r="46" spans="1:1" x14ac:dyDescent="0.25">
      <c r="A46" s="2" t="s">
        <v>128</v>
      </c>
    </row>
    <row r="47" spans="1:1" x14ac:dyDescent="0.25">
      <c r="A47" s="2" t="s">
        <v>129</v>
      </c>
    </row>
    <row r="48" spans="1:1" x14ac:dyDescent="0.25">
      <c r="A48" s="2" t="s">
        <v>130</v>
      </c>
    </row>
    <row r="49" spans="1:1" x14ac:dyDescent="0.25">
      <c r="A49" s="2" t="s">
        <v>167</v>
      </c>
    </row>
    <row r="50" spans="1:1" x14ac:dyDescent="0.25">
      <c r="A50" s="2" t="s">
        <v>168</v>
      </c>
    </row>
    <row r="51" spans="1:1" x14ac:dyDescent="0.25">
      <c r="A51" s="2" t="s">
        <v>169</v>
      </c>
    </row>
    <row r="52" spans="1:1" x14ac:dyDescent="0.25">
      <c r="A52" s="2" t="s">
        <v>171</v>
      </c>
    </row>
    <row r="53" spans="1:1" x14ac:dyDescent="0.25">
      <c r="A53" s="2" t="s">
        <v>172</v>
      </c>
    </row>
    <row r="54" spans="1:1" x14ac:dyDescent="0.25">
      <c r="A54" s="2" t="s">
        <v>173</v>
      </c>
    </row>
    <row r="55" spans="1:1" x14ac:dyDescent="0.25">
      <c r="A55" s="2" t="s">
        <v>174</v>
      </c>
    </row>
    <row r="56" spans="1:1" x14ac:dyDescent="0.25">
      <c r="A56" s="2" t="s">
        <v>175</v>
      </c>
    </row>
    <row r="57" spans="1:1" x14ac:dyDescent="0.25">
      <c r="A57" s="2" t="s">
        <v>176</v>
      </c>
    </row>
    <row r="58" spans="1:1" x14ac:dyDescent="0.25">
      <c r="A58" s="2" t="s">
        <v>177</v>
      </c>
    </row>
    <row r="59" spans="1:1" x14ac:dyDescent="0.25">
      <c r="A59" s="2" t="s">
        <v>178</v>
      </c>
    </row>
    <row r="60" spans="1:1" x14ac:dyDescent="0.25">
      <c r="A60" s="2" t="s">
        <v>179</v>
      </c>
    </row>
    <row r="61" spans="1:1" x14ac:dyDescent="0.25">
      <c r="A61" s="2" t="s">
        <v>180</v>
      </c>
    </row>
    <row r="62" spans="1:1" x14ac:dyDescent="0.25">
      <c r="A62" s="2" t="s">
        <v>181</v>
      </c>
    </row>
    <row r="63" spans="1:1" x14ac:dyDescent="0.25">
      <c r="A63" s="2" t="s">
        <v>182</v>
      </c>
    </row>
    <row r="64" spans="1:1" x14ac:dyDescent="0.25">
      <c r="A64" s="2" t="s">
        <v>183</v>
      </c>
    </row>
    <row r="65" spans="1:1" x14ac:dyDescent="0.25">
      <c r="A65" s="2" t="s">
        <v>184</v>
      </c>
    </row>
    <row r="66" spans="1:1" x14ac:dyDescent="0.25">
      <c r="A66" s="2" t="s">
        <v>185</v>
      </c>
    </row>
    <row r="67" spans="1:1" x14ac:dyDescent="0.25">
      <c r="A67" s="2" t="s">
        <v>186</v>
      </c>
    </row>
    <row r="68" spans="1:1" x14ac:dyDescent="0.25">
      <c r="A68" s="2" t="s">
        <v>187</v>
      </c>
    </row>
    <row r="69" spans="1:1" x14ac:dyDescent="0.25">
      <c r="A69" s="2" t="s">
        <v>188</v>
      </c>
    </row>
    <row r="70" spans="1:1" x14ac:dyDescent="0.25">
      <c r="A70" s="2" t="s">
        <v>189</v>
      </c>
    </row>
    <row r="71" spans="1:1" x14ac:dyDescent="0.25">
      <c r="A71" s="2" t="s">
        <v>190</v>
      </c>
    </row>
    <row r="72" spans="1:1" x14ac:dyDescent="0.25">
      <c r="A72" s="2" t="s">
        <v>191</v>
      </c>
    </row>
    <row r="73" spans="1:1" x14ac:dyDescent="0.25">
      <c r="A73" s="2" t="s">
        <v>192</v>
      </c>
    </row>
    <row r="74" spans="1:1" x14ac:dyDescent="0.25">
      <c r="A74" s="2" t="s">
        <v>193</v>
      </c>
    </row>
    <row r="75" spans="1:1" x14ac:dyDescent="0.25">
      <c r="A75" s="2" t="s">
        <v>194</v>
      </c>
    </row>
    <row r="76" spans="1:1" x14ac:dyDescent="0.25">
      <c r="A76" s="2" t="s">
        <v>195</v>
      </c>
    </row>
    <row r="77" spans="1:1" x14ac:dyDescent="0.25">
      <c r="A77" s="2" t="s">
        <v>196</v>
      </c>
    </row>
    <row r="78" spans="1:1" x14ac:dyDescent="0.25">
      <c r="A78" s="2" t="s">
        <v>220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GW135"/>
  <sheetViews>
    <sheetView showGridLines="0" tabSelected="1"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W24" sqref="W24"/>
    </sheetView>
  </sheetViews>
  <sheetFormatPr baseColWidth="10" defaultRowHeight="19" x14ac:dyDescent="0.25"/>
  <cols>
    <col min="1" max="1" width="16.33203125" style="2" bestFit="1" customWidth="1"/>
    <col min="2" max="2" width="10.83203125" style="3"/>
    <col min="3" max="3" width="44.33203125" style="2" bestFit="1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0.66406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26" width="10.83203125" style="2"/>
    <col min="27" max="27" width="12.1640625" style="2" bestFit="1" customWidth="1"/>
    <col min="28" max="28" width="11.1640625" style="2" bestFit="1" customWidth="1"/>
    <col min="29" max="31" width="10.83203125" style="2"/>
    <col min="32" max="32" width="10.83203125" style="3"/>
    <col min="33" max="42" width="10.83203125" style="2"/>
    <col min="43" max="43" width="16" style="2" customWidth="1"/>
    <col min="44" max="44" width="14" style="2" bestFit="1" customWidth="1"/>
    <col min="45" max="16384" width="10.83203125" style="2"/>
  </cols>
  <sheetData>
    <row r="1" spans="1:4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AF1" s="18"/>
      <c r="AJ1" s="1"/>
    </row>
    <row r="3" spans="1:41" x14ac:dyDescent="0.25">
      <c r="A3" s="1" t="s">
        <v>0</v>
      </c>
      <c r="C3" s="2" t="s">
        <v>39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32</v>
      </c>
      <c r="Q3" s="4" t="s">
        <v>29</v>
      </c>
      <c r="R3" s="4" t="s">
        <v>30</v>
      </c>
      <c r="S3" s="4" t="s">
        <v>31</v>
      </c>
      <c r="T3" s="4" t="s">
        <v>112</v>
      </c>
      <c r="U3" s="4" t="s">
        <v>113</v>
      </c>
      <c r="V3" s="4" t="s">
        <v>114</v>
      </c>
      <c r="W3" s="4" t="s">
        <v>115</v>
      </c>
      <c r="Y3" s="4"/>
      <c r="Z3" s="4" t="s">
        <v>45</v>
      </c>
      <c r="AA3" s="4" t="s">
        <v>46</v>
      </c>
      <c r="AB3" s="4" t="s">
        <v>47</v>
      </c>
      <c r="AC3" s="4" t="s">
        <v>48</v>
      </c>
      <c r="AD3" s="4" t="s">
        <v>15</v>
      </c>
      <c r="AE3" s="4" t="s">
        <v>16</v>
      </c>
      <c r="AF3" s="37" t="s">
        <v>17</v>
      </c>
      <c r="AG3" s="4" t="s">
        <v>18</v>
      </c>
      <c r="AH3" s="4" t="s">
        <v>19</v>
      </c>
      <c r="AI3" s="4" t="s">
        <v>20</v>
      </c>
      <c r="AJ3" s="4" t="s">
        <v>21</v>
      </c>
      <c r="AK3" s="4" t="s">
        <v>22</v>
      </c>
      <c r="AL3" s="4" t="s">
        <v>23</v>
      </c>
      <c r="AM3" s="4" t="s">
        <v>24</v>
      </c>
      <c r="AN3" s="4" t="s">
        <v>25</v>
      </c>
      <c r="AO3" s="4" t="s">
        <v>26</v>
      </c>
    </row>
    <row r="4" spans="1:41" s="16" customFormat="1" x14ac:dyDescent="0.25">
      <c r="A4" s="2" t="s">
        <v>1</v>
      </c>
      <c r="B4" s="3">
        <v>53</v>
      </c>
      <c r="C4" s="1" t="s">
        <v>49</v>
      </c>
      <c r="D4" s="16">
        <v>1204</v>
      </c>
      <c r="E4" s="16">
        <v>1415</v>
      </c>
      <c r="F4" s="16">
        <v>1335</v>
      </c>
      <c r="G4" s="16">
        <v>1395</v>
      </c>
      <c r="H4" s="16">
        <v>1425</v>
      </c>
      <c r="I4" s="16">
        <v>1584</v>
      </c>
      <c r="J4" s="16">
        <v>1479</v>
      </c>
      <c r="K4" s="16">
        <v>1497</v>
      </c>
      <c r="L4" s="16">
        <v>1536</v>
      </c>
      <c r="M4" s="16">
        <v>1744</v>
      </c>
      <c r="N4" s="16">
        <v>1583</v>
      </c>
      <c r="O4" s="16">
        <v>1659</v>
      </c>
      <c r="P4" s="16">
        <v>1735</v>
      </c>
      <c r="Q4" s="16">
        <v>1877</v>
      </c>
      <c r="R4" s="16">
        <v>1753</v>
      </c>
      <c r="S4" s="16">
        <v>1834</v>
      </c>
      <c r="T4" s="16">
        <v>1801</v>
      </c>
      <c r="U4" s="16">
        <v>2081</v>
      </c>
      <c r="Z4" s="16">
        <v>3860</v>
      </c>
      <c r="AA4" s="16">
        <v>4728</v>
      </c>
      <c r="AB4" s="16">
        <v>5349</v>
      </c>
      <c r="AC4" s="16">
        <v>5985</v>
      </c>
      <c r="AD4" s="16">
        <v>6522</v>
      </c>
      <c r="AE4" s="16">
        <v>7200</v>
      </c>
      <c r="AF4" s="27">
        <f>AE4*1.073</f>
        <v>7725.5999999999995</v>
      </c>
      <c r="AG4" s="16">
        <f>AF4*1.06</f>
        <v>8189.1359999999995</v>
      </c>
      <c r="AH4" s="16">
        <f t="shared" ref="AH4:AO4" si="0">AG4*1.06</f>
        <v>8680.48416</v>
      </c>
      <c r="AI4" s="16">
        <f t="shared" si="0"/>
        <v>9201.3132096000008</v>
      </c>
      <c r="AJ4" s="16">
        <f t="shared" si="0"/>
        <v>9753.3920021760023</v>
      </c>
      <c r="AK4" s="16">
        <f t="shared" si="0"/>
        <v>10338.595522306563</v>
      </c>
      <c r="AL4" s="16">
        <f t="shared" si="0"/>
        <v>10958.911253644957</v>
      </c>
      <c r="AM4" s="16">
        <f t="shared" si="0"/>
        <v>11616.445928863655</v>
      </c>
      <c r="AN4" s="16">
        <f t="shared" si="0"/>
        <v>12313.432684595475</v>
      </c>
      <c r="AO4" s="16">
        <f t="shared" si="0"/>
        <v>13052.238645671205</v>
      </c>
    </row>
    <row r="5" spans="1:41" s="15" customFormat="1" x14ac:dyDescent="0.25">
      <c r="A5" s="2" t="s">
        <v>2</v>
      </c>
      <c r="B5" s="11">
        <v>142.81814</v>
      </c>
      <c r="C5" s="2" t="s">
        <v>50</v>
      </c>
      <c r="D5" s="15">
        <v>-246</v>
      </c>
      <c r="E5" s="15">
        <v>-368</v>
      </c>
      <c r="F5" s="15">
        <v>-345</v>
      </c>
      <c r="G5" s="15">
        <v>-319</v>
      </c>
      <c r="H5" s="15">
        <v>-331</v>
      </c>
      <c r="I5" s="15">
        <v>-407</v>
      </c>
      <c r="J5" s="15">
        <v>-364</v>
      </c>
      <c r="K5" s="15">
        <v>-345</v>
      </c>
      <c r="L5" s="15">
        <v>-369</v>
      </c>
      <c r="M5" s="15">
        <v>-443</v>
      </c>
      <c r="N5" s="15">
        <v>-407</v>
      </c>
      <c r="O5" s="15">
        <v>-371</v>
      </c>
      <c r="P5" s="15">
        <v>-442</v>
      </c>
      <c r="Q5" s="15">
        <v>-495</v>
      </c>
      <c r="R5" s="15">
        <v>-465</v>
      </c>
      <c r="S5" s="15">
        <v>-419</v>
      </c>
      <c r="T5" s="15">
        <v>-429</v>
      </c>
      <c r="U5" s="15">
        <v>-541</v>
      </c>
      <c r="Z5" s="15">
        <v>-953</v>
      </c>
      <c r="AA5" s="15">
        <v>-1088</v>
      </c>
      <c r="AB5" s="15">
        <v>-1279</v>
      </c>
      <c r="AC5" s="15">
        <v>-1447</v>
      </c>
      <c r="AD5" s="15">
        <v>-1591</v>
      </c>
      <c r="AE5" s="15">
        <v>-1821</v>
      </c>
      <c r="AF5" s="18">
        <f>AF4*-0.25</f>
        <v>-1931.3999999999999</v>
      </c>
      <c r="AG5" s="15">
        <f t="shared" ref="AG5:AO5" si="1">AG4*-0.25</f>
        <v>-2047.2839999999999</v>
      </c>
      <c r="AH5" s="15">
        <f t="shared" si="1"/>
        <v>-2170.12104</v>
      </c>
      <c r="AI5" s="15">
        <f t="shared" si="1"/>
        <v>-2300.3283024000002</v>
      </c>
      <c r="AJ5" s="15">
        <f t="shared" si="1"/>
        <v>-2438.3480005440006</v>
      </c>
      <c r="AK5" s="15">
        <f t="shared" si="1"/>
        <v>-2584.6488805766407</v>
      </c>
      <c r="AL5" s="15">
        <f t="shared" si="1"/>
        <v>-2739.7278134112394</v>
      </c>
      <c r="AM5" s="15">
        <f t="shared" si="1"/>
        <v>-2904.1114822159138</v>
      </c>
      <c r="AN5" s="15">
        <f t="shared" si="1"/>
        <v>-3078.3581711488687</v>
      </c>
      <c r="AO5" s="15">
        <f t="shared" si="1"/>
        <v>-3263.0596614178012</v>
      </c>
    </row>
    <row r="6" spans="1:41" s="15" customFormat="1" x14ac:dyDescent="0.25">
      <c r="A6" s="2" t="s">
        <v>40</v>
      </c>
      <c r="B6" s="8">
        <f>B4*B5</f>
        <v>7569.3614200000002</v>
      </c>
      <c r="C6" s="2" t="s">
        <v>51</v>
      </c>
      <c r="D6" s="15">
        <f t="shared" ref="D6:N6" si="2">SUM(D4:D5)</f>
        <v>958</v>
      </c>
      <c r="E6" s="15">
        <f t="shared" si="2"/>
        <v>1047</v>
      </c>
      <c r="F6" s="15">
        <f t="shared" si="2"/>
        <v>990</v>
      </c>
      <c r="G6" s="15">
        <f t="shared" si="2"/>
        <v>1076</v>
      </c>
      <c r="H6" s="15">
        <f t="shared" si="2"/>
        <v>1094</v>
      </c>
      <c r="I6" s="15">
        <f t="shared" si="2"/>
        <v>1177</v>
      </c>
      <c r="J6" s="15">
        <f t="shared" si="2"/>
        <v>1115</v>
      </c>
      <c r="K6" s="15">
        <f t="shared" si="2"/>
        <v>1152</v>
      </c>
      <c r="L6" s="15">
        <f t="shared" si="2"/>
        <v>1167</v>
      </c>
      <c r="M6" s="15">
        <f t="shared" si="2"/>
        <v>1301</v>
      </c>
      <c r="N6" s="15">
        <f t="shared" si="2"/>
        <v>1176</v>
      </c>
      <c r="O6" s="15">
        <f>SUM(O4:O5)</f>
        <v>1288</v>
      </c>
      <c r="P6" s="15">
        <f t="shared" ref="P6:R6" si="3">SUM(P4:P5)</f>
        <v>1293</v>
      </c>
      <c r="Q6" s="15">
        <f t="shared" si="3"/>
        <v>1382</v>
      </c>
      <c r="R6" s="15">
        <f t="shared" si="3"/>
        <v>1288</v>
      </c>
      <c r="S6" s="15">
        <f>SUM(S4:S5)</f>
        <v>1415</v>
      </c>
      <c r="T6" s="15">
        <f>SUM(T4:T5)</f>
        <v>1372</v>
      </c>
      <c r="U6" s="15">
        <f>SUM(U4:U5)</f>
        <v>1540</v>
      </c>
      <c r="Z6" s="15">
        <f t="shared" ref="Z6:AD6" si="4">SUM(Z4:Z5)</f>
        <v>2907</v>
      </c>
      <c r="AA6" s="15">
        <f t="shared" si="4"/>
        <v>3640</v>
      </c>
      <c r="AB6" s="15">
        <f t="shared" si="4"/>
        <v>4070</v>
      </c>
      <c r="AC6" s="15">
        <f t="shared" si="4"/>
        <v>4538</v>
      </c>
      <c r="AD6" s="15">
        <f t="shared" si="4"/>
        <v>4931</v>
      </c>
      <c r="AE6" s="15">
        <f>SUM(AE4:AE5)</f>
        <v>5379</v>
      </c>
      <c r="AF6" s="18">
        <f t="shared" ref="AF6:AO6" si="5">SUM(AF4:AF5)</f>
        <v>5794.2</v>
      </c>
      <c r="AG6" s="15">
        <f t="shared" si="5"/>
        <v>6141.8519999999999</v>
      </c>
      <c r="AH6" s="15">
        <f t="shared" si="5"/>
        <v>6510.36312</v>
      </c>
      <c r="AI6" s="15">
        <f t="shared" si="5"/>
        <v>6900.9849072000006</v>
      </c>
      <c r="AJ6" s="15">
        <f t="shared" si="5"/>
        <v>7315.0440016320017</v>
      </c>
      <c r="AK6" s="15">
        <f t="shared" si="5"/>
        <v>7753.9466417299227</v>
      </c>
      <c r="AL6" s="15">
        <f t="shared" si="5"/>
        <v>8219.183440233719</v>
      </c>
      <c r="AM6" s="15">
        <f t="shared" si="5"/>
        <v>8712.3344466477411</v>
      </c>
      <c r="AN6" s="15">
        <f t="shared" si="5"/>
        <v>9235.0745134466051</v>
      </c>
      <c r="AO6" s="15">
        <f t="shared" si="5"/>
        <v>9789.1789842534035</v>
      </c>
    </row>
    <row r="7" spans="1:41" s="15" customFormat="1" x14ac:dyDescent="0.25">
      <c r="A7" s="2" t="s">
        <v>41</v>
      </c>
      <c r="B7" s="8">
        <f>U53</f>
        <v>648</v>
      </c>
      <c r="C7" s="2" t="s">
        <v>52</v>
      </c>
      <c r="D7" s="15">
        <v>-153</v>
      </c>
      <c r="E7" s="15">
        <v>-168</v>
      </c>
      <c r="F7" s="15">
        <v>-168</v>
      </c>
      <c r="G7" s="15">
        <v>-179</v>
      </c>
      <c r="H7" s="15">
        <v>-176</v>
      </c>
      <c r="I7" s="15">
        <v>-169</v>
      </c>
      <c r="J7" s="15">
        <v>-164</v>
      </c>
      <c r="K7" s="15">
        <v>-173</v>
      </c>
      <c r="L7" s="15">
        <v>-174</v>
      </c>
      <c r="M7" s="15">
        <v>-178</v>
      </c>
      <c r="N7" s="15">
        <v>-174</v>
      </c>
      <c r="O7" s="15">
        <v>-186</v>
      </c>
      <c r="P7" s="15">
        <v>-191</v>
      </c>
      <c r="Q7" s="15">
        <v>-204</v>
      </c>
      <c r="R7" s="15">
        <v>-188</v>
      </c>
      <c r="S7" s="15">
        <v>-221</v>
      </c>
      <c r="T7" s="15">
        <v>-210</v>
      </c>
      <c r="U7" s="15">
        <v>-243</v>
      </c>
      <c r="Z7" s="15">
        <v>-468</v>
      </c>
      <c r="AA7" s="15">
        <v>-629</v>
      </c>
      <c r="AB7" s="15">
        <v>-667</v>
      </c>
      <c r="AC7" s="15">
        <v>-682</v>
      </c>
      <c r="AD7" s="15">
        <v>-711</v>
      </c>
      <c r="AE7" s="15">
        <v>-805</v>
      </c>
      <c r="AF7" s="18">
        <f>AE7*1.07</f>
        <v>-861.35</v>
      </c>
      <c r="AG7" s="15">
        <f>AF7*1.055</f>
        <v>-908.72424999999998</v>
      </c>
      <c r="AH7" s="15">
        <f>AG7*1.055</f>
        <v>-958.70408374999988</v>
      </c>
      <c r="AI7" s="15">
        <f>AH7*1.06</f>
        <v>-1016.226328775</v>
      </c>
      <c r="AJ7" s="15">
        <f t="shared" ref="AJ7:AO7" si="6">AI7*1.06</f>
        <v>-1077.1999085015</v>
      </c>
      <c r="AK7" s="15">
        <f t="shared" si="6"/>
        <v>-1141.8319030115899</v>
      </c>
      <c r="AL7" s="15">
        <f t="shared" si="6"/>
        <v>-1210.3418171922854</v>
      </c>
      <c r="AM7" s="15">
        <f t="shared" si="6"/>
        <v>-1282.9623262238226</v>
      </c>
      <c r="AN7" s="15">
        <f t="shared" si="6"/>
        <v>-1359.9400657972521</v>
      </c>
      <c r="AO7" s="15">
        <f t="shared" si="6"/>
        <v>-1441.5364697450873</v>
      </c>
    </row>
    <row r="8" spans="1:41" s="15" customFormat="1" x14ac:dyDescent="0.25">
      <c r="A8" s="2" t="s">
        <v>42</v>
      </c>
      <c r="B8" s="8">
        <f>U56+U61+U57+U62</f>
        <v>3653</v>
      </c>
      <c r="C8" s="2" t="s">
        <v>53</v>
      </c>
      <c r="D8" s="15">
        <v>-512</v>
      </c>
      <c r="E8" s="15">
        <v>-531</v>
      </c>
      <c r="F8" s="15">
        <v>-520</v>
      </c>
      <c r="G8" s="15">
        <v>-624</v>
      </c>
      <c r="H8" s="15">
        <v>-600</v>
      </c>
      <c r="I8" s="15">
        <v>-607</v>
      </c>
      <c r="J8" s="15">
        <v>-577</v>
      </c>
      <c r="K8" s="15">
        <v>-631</v>
      </c>
      <c r="L8" s="15">
        <v>-634</v>
      </c>
      <c r="M8" s="15">
        <v>-654</v>
      </c>
      <c r="N8" s="15">
        <v>-621</v>
      </c>
      <c r="O8" s="15">
        <v>-715</v>
      </c>
      <c r="P8" s="15">
        <v>-727</v>
      </c>
      <c r="Q8" s="15">
        <v>-708</v>
      </c>
      <c r="R8" s="15">
        <v>-682</v>
      </c>
      <c r="S8" s="15">
        <v>-768</v>
      </c>
      <c r="T8" s="15">
        <v>-762</v>
      </c>
      <c r="U8" s="15">
        <v>-784</v>
      </c>
      <c r="Z8" s="15">
        <v>-1505</v>
      </c>
      <c r="AA8" s="15">
        <v>-1823</v>
      </c>
      <c r="AB8" s="15">
        <v>-2186</v>
      </c>
      <c r="AC8" s="15">
        <v>-2415</v>
      </c>
      <c r="AD8" s="15">
        <v>-2624</v>
      </c>
      <c r="AE8" s="15">
        <v>-2886</v>
      </c>
      <c r="AF8" s="18">
        <f>AE8*1.07</f>
        <v>-3088.02</v>
      </c>
      <c r="AG8" s="15">
        <f>AF8*1.055</f>
        <v>-3257.8610999999996</v>
      </c>
      <c r="AH8" s="15">
        <f>AG8*1.055</f>
        <v>-3437.0434604999996</v>
      </c>
      <c r="AI8" s="15">
        <f>AH8*1.06</f>
        <v>-3643.2660681299999</v>
      </c>
      <c r="AJ8" s="15">
        <f t="shared" ref="AJ8:AO8" si="7">AI8*1.06</f>
        <v>-3861.8620322177999</v>
      </c>
      <c r="AK8" s="15">
        <f t="shared" si="7"/>
        <v>-4093.5737541508679</v>
      </c>
      <c r="AL8" s="15">
        <f t="shared" si="7"/>
        <v>-4339.18817939992</v>
      </c>
      <c r="AM8" s="15">
        <f t="shared" si="7"/>
        <v>-4599.5394701639152</v>
      </c>
      <c r="AN8" s="15">
        <f t="shared" si="7"/>
        <v>-4875.5118383737499</v>
      </c>
      <c r="AO8" s="15">
        <f t="shared" si="7"/>
        <v>-5168.0425486761751</v>
      </c>
    </row>
    <row r="9" spans="1:41" s="16" customFormat="1" x14ac:dyDescent="0.25">
      <c r="A9" s="5" t="s">
        <v>43</v>
      </c>
      <c r="B9" s="9">
        <f>B6-B7+B8</f>
        <v>10574.361420000001</v>
      </c>
      <c r="C9" s="1" t="s">
        <v>54</v>
      </c>
      <c r="D9" s="16">
        <f t="shared" ref="D9:N9" si="8">SUM(D6:D8)</f>
        <v>293</v>
      </c>
      <c r="E9" s="16">
        <f t="shared" si="8"/>
        <v>348</v>
      </c>
      <c r="F9" s="16">
        <f t="shared" si="8"/>
        <v>302</v>
      </c>
      <c r="G9" s="16">
        <f t="shared" si="8"/>
        <v>273</v>
      </c>
      <c r="H9" s="16">
        <f t="shared" si="8"/>
        <v>318</v>
      </c>
      <c r="I9" s="16">
        <f t="shared" si="8"/>
        <v>401</v>
      </c>
      <c r="J9" s="16">
        <f t="shared" si="8"/>
        <v>374</v>
      </c>
      <c r="K9" s="16">
        <f t="shared" si="8"/>
        <v>348</v>
      </c>
      <c r="L9" s="16">
        <f t="shared" si="8"/>
        <v>359</v>
      </c>
      <c r="M9" s="16">
        <f t="shared" si="8"/>
        <v>469</v>
      </c>
      <c r="N9" s="16">
        <f t="shared" si="8"/>
        <v>381</v>
      </c>
      <c r="O9" s="16">
        <f>SUM(O6:O8)</f>
        <v>387</v>
      </c>
      <c r="P9" s="16">
        <f t="shared" ref="P9:R9" si="9">SUM(P6:P8)</f>
        <v>375</v>
      </c>
      <c r="Q9" s="16">
        <f t="shared" si="9"/>
        <v>470</v>
      </c>
      <c r="R9" s="16">
        <f t="shared" si="9"/>
        <v>418</v>
      </c>
      <c r="S9" s="16">
        <f>SUM(S6:S8)</f>
        <v>426</v>
      </c>
      <c r="T9" s="16">
        <f>SUM(T6:T8)</f>
        <v>400</v>
      </c>
      <c r="U9" s="16">
        <f>SUM(U6:U8)</f>
        <v>513</v>
      </c>
      <c r="W9" s="30"/>
      <c r="X9" s="30"/>
      <c r="Y9" s="32"/>
      <c r="Z9" s="16">
        <f t="shared" ref="Z9:AD9" si="10">SUM(Z6:Z8)</f>
        <v>934</v>
      </c>
      <c r="AA9" s="16">
        <f t="shared" si="10"/>
        <v>1188</v>
      </c>
      <c r="AB9" s="16">
        <f t="shared" si="10"/>
        <v>1217</v>
      </c>
      <c r="AC9" s="16">
        <f t="shared" si="10"/>
        <v>1441</v>
      </c>
      <c r="AD9" s="16">
        <f t="shared" si="10"/>
        <v>1596</v>
      </c>
      <c r="AE9" s="16">
        <f>SUM(AE6:AE8)</f>
        <v>1688</v>
      </c>
      <c r="AF9" s="27">
        <f t="shared" ref="AF9:AO9" si="11">SUM(AF6:AF8)</f>
        <v>1844.8299999999995</v>
      </c>
      <c r="AG9" s="16">
        <f t="shared" si="11"/>
        <v>1975.26665</v>
      </c>
      <c r="AH9" s="16">
        <f t="shared" si="11"/>
        <v>2114.6155757500005</v>
      </c>
      <c r="AI9" s="16">
        <f t="shared" si="11"/>
        <v>2241.4925102950006</v>
      </c>
      <c r="AJ9" s="16">
        <f t="shared" si="11"/>
        <v>2375.9820609127014</v>
      </c>
      <c r="AK9" s="16">
        <f t="shared" si="11"/>
        <v>2518.5409845674649</v>
      </c>
      <c r="AL9" s="16">
        <f t="shared" si="11"/>
        <v>2669.6534436415131</v>
      </c>
      <c r="AM9" s="16">
        <f t="shared" si="11"/>
        <v>2829.832650260003</v>
      </c>
      <c r="AN9" s="16">
        <f t="shared" si="11"/>
        <v>2999.6226092756033</v>
      </c>
      <c r="AO9" s="16">
        <f t="shared" si="11"/>
        <v>3179.5999658321407</v>
      </c>
    </row>
    <row r="10" spans="1:41" s="15" customFormat="1" x14ac:dyDescent="0.25">
      <c r="A10" s="2"/>
      <c r="B10" s="3"/>
      <c r="C10" s="2" t="s">
        <v>55</v>
      </c>
      <c r="D10" s="15">
        <v>-116</v>
      </c>
      <c r="E10" s="15">
        <v>-123</v>
      </c>
      <c r="F10" s="15">
        <v>-134</v>
      </c>
      <c r="G10" s="15">
        <v>-146</v>
      </c>
      <c r="H10" s="15">
        <v>-147</v>
      </c>
      <c r="I10" s="15">
        <v>-144</v>
      </c>
      <c r="J10" s="15">
        <v>-151</v>
      </c>
      <c r="K10" s="15">
        <v>-148</v>
      </c>
      <c r="L10" s="15">
        <v>-153</v>
      </c>
      <c r="M10" s="15">
        <v>-157</v>
      </c>
      <c r="N10" s="15">
        <v>-161</v>
      </c>
      <c r="O10" s="15">
        <v>-168</v>
      </c>
      <c r="P10" s="15">
        <v>-168</v>
      </c>
      <c r="Q10" s="15">
        <v>-171</v>
      </c>
      <c r="R10" s="15">
        <v>-179</v>
      </c>
      <c r="S10" s="15">
        <v>-180</v>
      </c>
      <c r="T10" s="15">
        <v>-182</v>
      </c>
      <c r="U10" s="15">
        <v>-187</v>
      </c>
      <c r="V10" s="16"/>
      <c r="Z10" s="15">
        <v>-445</v>
      </c>
      <c r="AA10" s="15">
        <v>-464</v>
      </c>
      <c r="AB10" s="15">
        <v>-556</v>
      </c>
      <c r="AC10" s="15">
        <v>-622</v>
      </c>
      <c r="AD10" s="15">
        <v>-649</v>
      </c>
      <c r="AE10" s="15">
        <v>-702</v>
      </c>
      <c r="AF10" s="18">
        <v>-740</v>
      </c>
      <c r="AG10" s="15">
        <f>AF10*1.06</f>
        <v>-784.40000000000009</v>
      </c>
      <c r="AH10" s="15">
        <f t="shared" ref="AH10:AO10" si="12">AG10*1.01</f>
        <v>-792.24400000000014</v>
      </c>
      <c r="AI10" s="15">
        <f t="shared" si="12"/>
        <v>-800.16644000000019</v>
      </c>
      <c r="AJ10" s="15">
        <f t="shared" si="12"/>
        <v>-808.16810440000017</v>
      </c>
      <c r="AK10" s="15">
        <f t="shared" si="12"/>
        <v>-816.24978544400017</v>
      </c>
      <c r="AL10" s="15">
        <f t="shared" si="12"/>
        <v>-824.41228329844023</v>
      </c>
      <c r="AM10" s="15">
        <f t="shared" si="12"/>
        <v>-832.65640613142466</v>
      </c>
      <c r="AN10" s="15">
        <f t="shared" si="12"/>
        <v>-840.98297019273889</v>
      </c>
      <c r="AO10" s="15">
        <f t="shared" si="12"/>
        <v>-849.39279989466627</v>
      </c>
    </row>
    <row r="11" spans="1:41" s="16" customFormat="1" x14ac:dyDescent="0.25">
      <c r="A11" s="2"/>
      <c r="B11" s="3"/>
      <c r="C11" s="1" t="s">
        <v>56</v>
      </c>
      <c r="D11" s="16">
        <f t="shared" ref="D11:N11" si="13">SUM(D9:D10)</f>
        <v>177</v>
      </c>
      <c r="E11" s="16">
        <f t="shared" si="13"/>
        <v>225</v>
      </c>
      <c r="F11" s="16">
        <f t="shared" si="13"/>
        <v>168</v>
      </c>
      <c r="G11" s="16">
        <f t="shared" si="13"/>
        <v>127</v>
      </c>
      <c r="H11" s="16">
        <f t="shared" si="13"/>
        <v>171</v>
      </c>
      <c r="I11" s="16">
        <f t="shared" si="13"/>
        <v>257</v>
      </c>
      <c r="J11" s="16">
        <f t="shared" si="13"/>
        <v>223</v>
      </c>
      <c r="K11" s="16">
        <f t="shared" si="13"/>
        <v>200</v>
      </c>
      <c r="L11" s="16">
        <f t="shared" si="13"/>
        <v>206</v>
      </c>
      <c r="M11" s="16">
        <f t="shared" si="13"/>
        <v>312</v>
      </c>
      <c r="N11" s="16">
        <f t="shared" si="13"/>
        <v>220</v>
      </c>
      <c r="O11" s="16">
        <f>SUM(O9:O10)</f>
        <v>219</v>
      </c>
      <c r="P11" s="16">
        <f t="shared" ref="P11:R11" si="14">SUM(P9:P10)</f>
        <v>207</v>
      </c>
      <c r="Q11" s="16">
        <f t="shared" si="14"/>
        <v>299</v>
      </c>
      <c r="R11" s="16">
        <f t="shared" si="14"/>
        <v>239</v>
      </c>
      <c r="S11" s="16">
        <f>SUM(S9:S10)</f>
        <v>246</v>
      </c>
      <c r="T11" s="16">
        <f>SUM(T9:T10)</f>
        <v>218</v>
      </c>
      <c r="U11" s="16">
        <f>SUM(U9:U10)</f>
        <v>326</v>
      </c>
      <c r="W11" s="30"/>
      <c r="X11" s="30"/>
      <c r="Y11" s="32"/>
      <c r="Z11" s="16">
        <f t="shared" ref="Z11:AD11" si="15">SUM(Z9:Z10)</f>
        <v>489</v>
      </c>
      <c r="AA11" s="16">
        <f t="shared" si="15"/>
        <v>724</v>
      </c>
      <c r="AB11" s="16">
        <f t="shared" si="15"/>
        <v>661</v>
      </c>
      <c r="AC11" s="16">
        <f t="shared" si="15"/>
        <v>819</v>
      </c>
      <c r="AD11" s="16">
        <f t="shared" si="15"/>
        <v>947</v>
      </c>
      <c r="AE11" s="16">
        <f>SUM(AE9:AE10)</f>
        <v>986</v>
      </c>
      <c r="AF11" s="27">
        <f t="shared" ref="AF11:AO11" si="16">SUM(AF9:AF10)</f>
        <v>1104.8299999999995</v>
      </c>
      <c r="AG11" s="16">
        <f t="shared" si="16"/>
        <v>1190.8666499999999</v>
      </c>
      <c r="AH11" s="16">
        <f t="shared" si="16"/>
        <v>1322.3715757500004</v>
      </c>
      <c r="AI11" s="16">
        <f t="shared" si="16"/>
        <v>1441.3260702950004</v>
      </c>
      <c r="AJ11" s="16">
        <f t="shared" si="16"/>
        <v>1567.8139565127012</v>
      </c>
      <c r="AK11" s="16">
        <f t="shared" si="16"/>
        <v>1702.2911991234646</v>
      </c>
      <c r="AL11" s="16">
        <f t="shared" si="16"/>
        <v>1845.2411603430728</v>
      </c>
      <c r="AM11" s="16">
        <f t="shared" si="16"/>
        <v>1997.1762441285782</v>
      </c>
      <c r="AN11" s="16">
        <f t="shared" si="16"/>
        <v>2158.6396390828645</v>
      </c>
      <c r="AO11" s="16">
        <f t="shared" si="16"/>
        <v>2330.2071659374742</v>
      </c>
    </row>
    <row r="12" spans="1:41" s="15" customFormat="1" x14ac:dyDescent="0.25">
      <c r="A12" s="2"/>
      <c r="B12" s="3"/>
      <c r="C12" s="2" t="s">
        <v>57</v>
      </c>
      <c r="D12" s="15">
        <v>-36</v>
      </c>
      <c r="E12" s="15">
        <v>-36</v>
      </c>
      <c r="F12" s="15">
        <v>-36</v>
      </c>
      <c r="G12" s="15">
        <v>-37</v>
      </c>
      <c r="H12" s="15">
        <v>-38</v>
      </c>
      <c r="I12" s="15">
        <v>-38</v>
      </c>
      <c r="J12" s="15">
        <v>-39</v>
      </c>
      <c r="K12" s="15">
        <v>-39</v>
      </c>
      <c r="L12" s="15">
        <v>-35</v>
      </c>
      <c r="M12" s="15">
        <v>-37</v>
      </c>
      <c r="N12" s="15">
        <v>-33</v>
      </c>
      <c r="O12" s="15">
        <v>-33</v>
      </c>
      <c r="P12" s="15">
        <v>-33</v>
      </c>
      <c r="Q12" s="15">
        <v>-32</v>
      </c>
      <c r="R12" s="15">
        <v>-32</v>
      </c>
      <c r="S12" s="15">
        <v>-32</v>
      </c>
      <c r="T12" s="15">
        <v>-32</v>
      </c>
      <c r="U12" s="15">
        <v>-36</v>
      </c>
      <c r="V12" s="16"/>
      <c r="X12" s="30"/>
      <c r="Y12" s="30"/>
      <c r="Z12" s="15">
        <v>-87</v>
      </c>
      <c r="AA12" s="15">
        <v>-91</v>
      </c>
      <c r="AB12" s="15">
        <v>-109</v>
      </c>
      <c r="AC12" s="15">
        <v>-123</v>
      </c>
      <c r="AD12" s="15">
        <v>-128</v>
      </c>
      <c r="AE12" s="15">
        <v>-124</v>
      </c>
      <c r="AF12" s="18">
        <v>-128</v>
      </c>
      <c r="AG12" s="15">
        <f>AF12*1.04</f>
        <v>-133.12</v>
      </c>
      <c r="AH12" s="15">
        <f t="shared" ref="AH12:AO12" si="17">AG12*1.01</f>
        <v>-134.4512</v>
      </c>
      <c r="AI12" s="15">
        <f t="shared" si="17"/>
        <v>-135.79571200000001</v>
      </c>
      <c r="AJ12" s="15">
        <f t="shared" si="17"/>
        <v>-137.15366912000002</v>
      </c>
      <c r="AK12" s="15">
        <f t="shared" si="17"/>
        <v>-138.52520581120001</v>
      </c>
      <c r="AL12" s="15">
        <f t="shared" si="17"/>
        <v>-139.91045786931201</v>
      </c>
      <c r="AM12" s="15">
        <f t="shared" si="17"/>
        <v>-141.30956244800512</v>
      </c>
      <c r="AN12" s="15">
        <f t="shared" si="17"/>
        <v>-142.72265807248519</v>
      </c>
      <c r="AO12" s="15">
        <f t="shared" si="17"/>
        <v>-144.14988465321005</v>
      </c>
    </row>
    <row r="13" spans="1:41" s="16" customFormat="1" x14ac:dyDescent="0.25">
      <c r="A13" s="2" t="s">
        <v>204</v>
      </c>
      <c r="B13" s="10">
        <f>(B8-B7)/AF9</f>
        <v>1.6288763734327829</v>
      </c>
      <c r="C13" s="1" t="s">
        <v>58</v>
      </c>
      <c r="D13" s="16">
        <f t="shared" ref="D13:N13" si="18">SUM(D11:D12)</f>
        <v>141</v>
      </c>
      <c r="E13" s="16">
        <f t="shared" si="18"/>
        <v>189</v>
      </c>
      <c r="F13" s="16">
        <f t="shared" si="18"/>
        <v>132</v>
      </c>
      <c r="G13" s="16">
        <f t="shared" si="18"/>
        <v>90</v>
      </c>
      <c r="H13" s="16">
        <f t="shared" si="18"/>
        <v>133</v>
      </c>
      <c r="I13" s="16">
        <f t="shared" si="18"/>
        <v>219</v>
      </c>
      <c r="J13" s="16">
        <f t="shared" si="18"/>
        <v>184</v>
      </c>
      <c r="K13" s="16">
        <f t="shared" si="18"/>
        <v>161</v>
      </c>
      <c r="L13" s="16">
        <f t="shared" si="18"/>
        <v>171</v>
      </c>
      <c r="M13" s="16">
        <f t="shared" si="18"/>
        <v>275</v>
      </c>
      <c r="N13" s="16">
        <f t="shared" si="18"/>
        <v>187</v>
      </c>
      <c r="O13" s="16">
        <f>SUM(O11:O12)</f>
        <v>186</v>
      </c>
      <c r="P13" s="16">
        <f t="shared" ref="P13:R13" si="19">SUM(P11:P12)</f>
        <v>174</v>
      </c>
      <c r="Q13" s="16">
        <f t="shared" si="19"/>
        <v>267</v>
      </c>
      <c r="R13" s="16">
        <f t="shared" si="19"/>
        <v>207</v>
      </c>
      <c r="S13" s="16">
        <f>SUM(S11:S12)</f>
        <v>214</v>
      </c>
      <c r="T13" s="16">
        <f>SUM(T11:T12)</f>
        <v>186</v>
      </c>
      <c r="U13" s="16">
        <f>SUM(U11:U12)</f>
        <v>290</v>
      </c>
      <c r="V13" s="32"/>
      <c r="W13" s="30"/>
      <c r="X13" s="30"/>
      <c r="Y13" s="32"/>
      <c r="Z13" s="16">
        <f t="shared" ref="Z13:AD13" si="20">SUM(Z11:Z12)</f>
        <v>402</v>
      </c>
      <c r="AA13" s="16">
        <f t="shared" si="20"/>
        <v>633</v>
      </c>
      <c r="AB13" s="16">
        <f t="shared" si="20"/>
        <v>552</v>
      </c>
      <c r="AC13" s="16">
        <f t="shared" si="20"/>
        <v>696</v>
      </c>
      <c r="AD13" s="16">
        <f t="shared" si="20"/>
        <v>819</v>
      </c>
      <c r="AE13" s="16">
        <f>SUM(AE11:AE12)</f>
        <v>862</v>
      </c>
      <c r="AF13" s="27">
        <f t="shared" ref="AF13:AO13" si="21">SUM(AF11:AF12)</f>
        <v>976.82999999999947</v>
      </c>
      <c r="AG13" s="16">
        <f t="shared" si="21"/>
        <v>1057.74665</v>
      </c>
      <c r="AH13" s="16">
        <f t="shared" si="21"/>
        <v>1187.9203757500004</v>
      </c>
      <c r="AI13" s="16">
        <f t="shared" si="21"/>
        <v>1305.5303582950003</v>
      </c>
      <c r="AJ13" s="16">
        <f t="shared" si="21"/>
        <v>1430.6602873927013</v>
      </c>
      <c r="AK13" s="16">
        <f t="shared" si="21"/>
        <v>1563.7659933122645</v>
      </c>
      <c r="AL13" s="16">
        <f t="shared" si="21"/>
        <v>1705.3307024737608</v>
      </c>
      <c r="AM13" s="16">
        <f t="shared" si="21"/>
        <v>1855.866681680573</v>
      </c>
      <c r="AN13" s="16">
        <f t="shared" si="21"/>
        <v>2015.9169810103792</v>
      </c>
      <c r="AO13" s="16">
        <f t="shared" si="21"/>
        <v>2186.0572812842643</v>
      </c>
    </row>
    <row r="14" spans="1:41" s="15" customFormat="1" x14ac:dyDescent="0.25">
      <c r="A14" s="16"/>
      <c r="B14" s="27"/>
      <c r="C14" s="2" t="s">
        <v>59</v>
      </c>
      <c r="D14" s="15">
        <v>53</v>
      </c>
      <c r="E14" s="15">
        <v>19</v>
      </c>
      <c r="F14" s="15">
        <v>52</v>
      </c>
      <c r="G14" s="15">
        <v>60</v>
      </c>
      <c r="H14" s="15">
        <v>60</v>
      </c>
      <c r="I14" s="15">
        <v>69</v>
      </c>
      <c r="J14" s="15">
        <v>69</v>
      </c>
      <c r="K14" s="15">
        <v>75</v>
      </c>
      <c r="L14" s="15">
        <v>79</v>
      </c>
      <c r="M14" s="15">
        <v>84</v>
      </c>
      <c r="N14" s="15">
        <v>76</v>
      </c>
      <c r="O14" s="15">
        <v>87</v>
      </c>
      <c r="P14" s="15">
        <v>87</v>
      </c>
      <c r="Q14" s="15">
        <v>84</v>
      </c>
      <c r="R14" s="15">
        <v>77</v>
      </c>
      <c r="S14" s="15">
        <v>95</v>
      </c>
      <c r="T14" s="15">
        <v>120</v>
      </c>
      <c r="U14" s="15">
        <v>74</v>
      </c>
      <c r="Y14" s="30"/>
      <c r="Z14" s="15">
        <v>98</v>
      </c>
      <c r="AA14" s="15">
        <v>148</v>
      </c>
      <c r="AB14" s="15">
        <v>185</v>
      </c>
      <c r="AC14" s="15">
        <v>273</v>
      </c>
      <c r="AD14" s="15">
        <v>326</v>
      </c>
      <c r="AE14" s="15">
        <v>321</v>
      </c>
      <c r="AF14" s="18">
        <f>AE14*1.02</f>
        <v>327.42</v>
      </c>
      <c r="AG14" s="15">
        <f t="shared" ref="AG14:AO14" si="22">AF14*1.02</f>
        <v>333.96840000000003</v>
      </c>
      <c r="AH14" s="15">
        <f t="shared" si="22"/>
        <v>340.64776800000004</v>
      </c>
      <c r="AI14" s="15">
        <f t="shared" si="22"/>
        <v>347.46072336000003</v>
      </c>
      <c r="AJ14" s="15">
        <f t="shared" si="22"/>
        <v>354.40993782720005</v>
      </c>
      <c r="AK14" s="15">
        <f t="shared" si="22"/>
        <v>361.49813658374404</v>
      </c>
      <c r="AL14" s="15">
        <f t="shared" si="22"/>
        <v>368.72809931541894</v>
      </c>
      <c r="AM14" s="15">
        <f t="shared" si="22"/>
        <v>376.10266130172732</v>
      </c>
      <c r="AN14" s="15">
        <f t="shared" si="22"/>
        <v>383.62471452776185</v>
      </c>
      <c r="AO14" s="15">
        <f t="shared" si="22"/>
        <v>391.29720881831707</v>
      </c>
    </row>
    <row r="15" spans="1:41" s="15" customFormat="1" x14ac:dyDescent="0.25">
      <c r="A15" s="2" t="s">
        <v>198</v>
      </c>
      <c r="B15" s="11">
        <f>B6/+T55</f>
        <v>2.9045899539524176</v>
      </c>
      <c r="C15" s="2" t="s">
        <v>60</v>
      </c>
      <c r="D15" s="15">
        <v>-66</v>
      </c>
      <c r="E15" s="15">
        <v>-79</v>
      </c>
      <c r="F15" s="15">
        <v>-87</v>
      </c>
      <c r="G15" s="15">
        <v>-91</v>
      </c>
      <c r="H15" s="15">
        <v>-149</v>
      </c>
      <c r="I15" s="15">
        <v>-124</v>
      </c>
      <c r="J15" s="15">
        <v>-137</v>
      </c>
      <c r="K15" s="15">
        <v>-144</v>
      </c>
      <c r="L15" s="15">
        <v>-172</v>
      </c>
      <c r="M15" s="15">
        <v>-147</v>
      </c>
      <c r="N15" s="15">
        <v>-172</v>
      </c>
      <c r="O15" s="15">
        <v>-160</v>
      </c>
      <c r="P15" s="15">
        <v>-146</v>
      </c>
      <c r="Q15" s="15">
        <v>-204</v>
      </c>
      <c r="R15" s="15">
        <v>-119</v>
      </c>
      <c r="S15" s="15">
        <v>-147</v>
      </c>
      <c r="T15" s="15">
        <v>-142</v>
      </c>
      <c r="U15" s="15">
        <v>-164</v>
      </c>
      <c r="Y15" s="30"/>
      <c r="Z15" s="15">
        <v>-636</v>
      </c>
      <c r="AA15" s="15">
        <v>-618</v>
      </c>
      <c r="AB15" s="15">
        <v>-322</v>
      </c>
      <c r="AC15" s="15">
        <v>-554</v>
      </c>
      <c r="AD15" s="15">
        <v>-652</v>
      </c>
      <c r="AE15" s="15">
        <v>-593</v>
      </c>
      <c r="AF15" s="18">
        <f>AE15*1.02</f>
        <v>-604.86</v>
      </c>
      <c r="AG15" s="15">
        <f t="shared" ref="AG15:AO15" si="23">AF15*1.02</f>
        <v>-616.95720000000006</v>
      </c>
      <c r="AH15" s="15">
        <f t="shared" si="23"/>
        <v>-629.29634400000009</v>
      </c>
      <c r="AI15" s="15">
        <f t="shared" si="23"/>
        <v>-641.88227088000008</v>
      </c>
      <c r="AJ15" s="15">
        <f t="shared" si="23"/>
        <v>-654.71991629760009</v>
      </c>
      <c r="AK15" s="15">
        <f t="shared" si="23"/>
        <v>-667.81431462355215</v>
      </c>
      <c r="AL15" s="15">
        <f t="shared" si="23"/>
        <v>-681.1706009160232</v>
      </c>
      <c r="AM15" s="15">
        <f t="shared" si="23"/>
        <v>-694.79401293434364</v>
      </c>
      <c r="AN15" s="15">
        <f t="shared" si="23"/>
        <v>-708.68989319303057</v>
      </c>
      <c r="AO15" s="15">
        <f t="shared" si="23"/>
        <v>-722.86369105689118</v>
      </c>
    </row>
    <row r="16" spans="1:41" s="15" customFormat="1" x14ac:dyDescent="0.25">
      <c r="A16" s="1"/>
      <c r="B16" s="21"/>
      <c r="C16" s="2" t="s">
        <v>61</v>
      </c>
      <c r="D16" s="15">
        <f t="shared" ref="D16:N16" si="24">SUM(D13:D15)</f>
        <v>128</v>
      </c>
      <c r="E16" s="15">
        <f t="shared" si="24"/>
        <v>129</v>
      </c>
      <c r="F16" s="15">
        <f t="shared" si="24"/>
        <v>97</v>
      </c>
      <c r="G16" s="15">
        <f t="shared" si="24"/>
        <v>59</v>
      </c>
      <c r="H16" s="15">
        <f t="shared" si="24"/>
        <v>44</v>
      </c>
      <c r="I16" s="15">
        <f t="shared" si="24"/>
        <v>164</v>
      </c>
      <c r="J16" s="15">
        <f t="shared" si="24"/>
        <v>116</v>
      </c>
      <c r="K16" s="15">
        <f t="shared" si="24"/>
        <v>92</v>
      </c>
      <c r="L16" s="15">
        <f t="shared" si="24"/>
        <v>78</v>
      </c>
      <c r="M16" s="15">
        <f t="shared" si="24"/>
        <v>212</v>
      </c>
      <c r="N16" s="15">
        <f t="shared" si="24"/>
        <v>91</v>
      </c>
      <c r="O16" s="15">
        <f>SUM(O13:O15)</f>
        <v>113</v>
      </c>
      <c r="P16" s="15">
        <f t="shared" ref="P16:R16" si="25">SUM(P13:P15)</f>
        <v>115</v>
      </c>
      <c r="Q16" s="15">
        <f t="shared" si="25"/>
        <v>147</v>
      </c>
      <c r="R16" s="15">
        <f t="shared" si="25"/>
        <v>165</v>
      </c>
      <c r="S16" s="15">
        <f>SUM(S13:S15)</f>
        <v>162</v>
      </c>
      <c r="T16" s="15">
        <f>SUM(T13:T15)</f>
        <v>164</v>
      </c>
      <c r="U16" s="15">
        <f>SUM(U13:U15)</f>
        <v>200</v>
      </c>
      <c r="Y16" s="30"/>
      <c r="Z16" s="15">
        <f t="shared" ref="Z16:AD16" si="26">SUM(Z13:Z15)</f>
        <v>-136</v>
      </c>
      <c r="AA16" s="15">
        <f t="shared" si="26"/>
        <v>163</v>
      </c>
      <c r="AB16" s="15">
        <f t="shared" si="26"/>
        <v>415</v>
      </c>
      <c r="AC16" s="15">
        <f t="shared" si="26"/>
        <v>415</v>
      </c>
      <c r="AD16" s="15">
        <f t="shared" si="26"/>
        <v>493</v>
      </c>
      <c r="AE16" s="15">
        <f>SUM(AE13:AE15)</f>
        <v>590</v>
      </c>
      <c r="AF16" s="18">
        <f t="shared" ref="AF16:AO16" si="27">SUM(AF13:AF15)</f>
        <v>699.38999999999953</v>
      </c>
      <c r="AG16" s="15">
        <f t="shared" si="27"/>
        <v>774.75784999999996</v>
      </c>
      <c r="AH16" s="15">
        <f t="shared" si="27"/>
        <v>899.27179975000035</v>
      </c>
      <c r="AI16" s="15">
        <f t="shared" si="27"/>
        <v>1011.1088107750002</v>
      </c>
      <c r="AJ16" s="15">
        <f t="shared" si="27"/>
        <v>1130.3503089223013</v>
      </c>
      <c r="AK16" s="15">
        <f t="shared" si="27"/>
        <v>1257.4498152724564</v>
      </c>
      <c r="AL16" s="15">
        <f t="shared" si="27"/>
        <v>1392.8882008731564</v>
      </c>
      <c r="AM16" s="15">
        <f t="shared" si="27"/>
        <v>1537.1753300479568</v>
      </c>
      <c r="AN16" s="15">
        <f t="shared" si="27"/>
        <v>1690.8518023451106</v>
      </c>
      <c r="AO16" s="15">
        <f t="shared" si="27"/>
        <v>1854.49079904569</v>
      </c>
    </row>
    <row r="17" spans="1:205" s="15" customFormat="1" x14ac:dyDescent="0.25">
      <c r="B17" s="18"/>
      <c r="C17" s="2" t="s">
        <v>62</v>
      </c>
      <c r="D17" s="15">
        <v>-30</v>
      </c>
      <c r="E17" s="15">
        <v>-31</v>
      </c>
      <c r="F17" s="15">
        <v>-18</v>
      </c>
      <c r="G17" s="15">
        <v>-8</v>
      </c>
      <c r="H17" s="15">
        <v>-25</v>
      </c>
      <c r="I17" s="15">
        <v>-24</v>
      </c>
      <c r="J17" s="15">
        <v>-25</v>
      </c>
      <c r="K17" s="15">
        <v>-30</v>
      </c>
      <c r="L17" s="15">
        <v>-21</v>
      </c>
      <c r="M17" s="15">
        <v>-44</v>
      </c>
      <c r="N17" s="15">
        <v>-25</v>
      </c>
      <c r="O17" s="15">
        <v>-37</v>
      </c>
      <c r="P17" s="15">
        <v>-28</v>
      </c>
      <c r="Q17" s="15">
        <v>-33</v>
      </c>
      <c r="R17" s="15">
        <v>-35</v>
      </c>
      <c r="S17" s="15">
        <v>-40</v>
      </c>
      <c r="T17" s="15">
        <v>-34</v>
      </c>
      <c r="U17" s="15">
        <v>-8</v>
      </c>
      <c r="Y17" s="30"/>
      <c r="Z17" s="15">
        <v>-59</v>
      </c>
      <c r="AA17" s="15">
        <v>-112</v>
      </c>
      <c r="AB17" s="15">
        <v>-87</v>
      </c>
      <c r="AC17" s="15">
        <v>-104</v>
      </c>
      <c r="AD17" s="15">
        <v>-127</v>
      </c>
      <c r="AE17" s="15">
        <v>-136</v>
      </c>
      <c r="AF17" s="18">
        <f>AF16*-0.2</f>
        <v>-139.8779999999999</v>
      </c>
      <c r="AG17" s="15">
        <f t="shared" ref="AG17:AO17" si="28">AG16*-0.2</f>
        <v>-154.95157</v>
      </c>
      <c r="AH17" s="15">
        <f t="shared" si="28"/>
        <v>-179.85435995000009</v>
      </c>
      <c r="AI17" s="15">
        <f t="shared" si="28"/>
        <v>-202.22176215500005</v>
      </c>
      <c r="AJ17" s="15">
        <f t="shared" si="28"/>
        <v>-226.07006178446028</v>
      </c>
      <c r="AK17" s="15">
        <f t="shared" si="28"/>
        <v>-251.48996305449128</v>
      </c>
      <c r="AL17" s="15">
        <f t="shared" si="28"/>
        <v>-278.57764017463131</v>
      </c>
      <c r="AM17" s="15">
        <f t="shared" si="28"/>
        <v>-307.43506600959137</v>
      </c>
      <c r="AN17" s="15">
        <f t="shared" si="28"/>
        <v>-338.17036046902217</v>
      </c>
      <c r="AO17" s="15">
        <f t="shared" si="28"/>
        <v>-370.89815980913801</v>
      </c>
    </row>
    <row r="18" spans="1:205" s="16" customFormat="1" x14ac:dyDescent="0.25">
      <c r="A18" s="1"/>
      <c r="B18" s="21"/>
      <c r="C18" s="1" t="s">
        <v>63</v>
      </c>
      <c r="D18" s="16">
        <f t="shared" ref="D18:N18" si="29">SUM(D16:D17)</f>
        <v>98</v>
      </c>
      <c r="E18" s="16">
        <f t="shared" si="29"/>
        <v>98</v>
      </c>
      <c r="F18" s="16">
        <f t="shared" si="29"/>
        <v>79</v>
      </c>
      <c r="G18" s="16">
        <f t="shared" si="29"/>
        <v>51</v>
      </c>
      <c r="H18" s="16">
        <f t="shared" si="29"/>
        <v>19</v>
      </c>
      <c r="I18" s="16">
        <f t="shared" si="29"/>
        <v>140</v>
      </c>
      <c r="J18" s="16">
        <f t="shared" si="29"/>
        <v>91</v>
      </c>
      <c r="K18" s="16">
        <f t="shared" si="29"/>
        <v>62</v>
      </c>
      <c r="L18" s="16">
        <f t="shared" si="29"/>
        <v>57</v>
      </c>
      <c r="M18" s="16">
        <f t="shared" si="29"/>
        <v>168</v>
      </c>
      <c r="N18" s="16">
        <f t="shared" si="29"/>
        <v>66</v>
      </c>
      <c r="O18" s="16">
        <f>SUM(O16:O17)</f>
        <v>76</v>
      </c>
      <c r="P18" s="16">
        <f t="shared" ref="P18:R18" si="30">SUM(P16:P17)</f>
        <v>87</v>
      </c>
      <c r="Q18" s="16">
        <f t="shared" si="30"/>
        <v>114</v>
      </c>
      <c r="R18" s="16">
        <f t="shared" si="30"/>
        <v>130</v>
      </c>
      <c r="S18" s="16">
        <f>SUM(S16:S17)</f>
        <v>122</v>
      </c>
      <c r="T18" s="16">
        <f>SUM(T16:T17)</f>
        <v>130</v>
      </c>
      <c r="U18" s="16">
        <f>SUM(U16:U17)</f>
        <v>192</v>
      </c>
      <c r="Y18" s="32"/>
      <c r="Z18" s="16">
        <f t="shared" ref="Z18:AD18" si="31">SUM(Z16:Z17)</f>
        <v>-195</v>
      </c>
      <c r="AA18" s="16">
        <f t="shared" si="31"/>
        <v>51</v>
      </c>
      <c r="AB18" s="16">
        <f t="shared" si="31"/>
        <v>328</v>
      </c>
      <c r="AC18" s="16">
        <f t="shared" si="31"/>
        <v>311</v>
      </c>
      <c r="AD18" s="16">
        <f t="shared" si="31"/>
        <v>366</v>
      </c>
      <c r="AE18" s="16">
        <f>SUM(AE16:AE17)</f>
        <v>454</v>
      </c>
      <c r="AF18" s="27">
        <f t="shared" ref="AF18:AO18" si="32">SUM(AF16:AF17)</f>
        <v>559.5119999999996</v>
      </c>
      <c r="AG18" s="16">
        <f t="shared" si="32"/>
        <v>619.80628000000002</v>
      </c>
      <c r="AH18" s="16">
        <f t="shared" si="32"/>
        <v>719.41743980000024</v>
      </c>
      <c r="AI18" s="16">
        <f t="shared" si="32"/>
        <v>808.88704862000009</v>
      </c>
      <c r="AJ18" s="16">
        <f t="shared" si="32"/>
        <v>904.28024713784112</v>
      </c>
      <c r="AK18" s="16">
        <f t="shared" si="32"/>
        <v>1005.9598522179651</v>
      </c>
      <c r="AL18" s="16">
        <f t="shared" si="32"/>
        <v>1114.310560698525</v>
      </c>
      <c r="AM18" s="16">
        <f t="shared" si="32"/>
        <v>1229.7402640383655</v>
      </c>
      <c r="AN18" s="16">
        <f t="shared" si="32"/>
        <v>1352.6814418760885</v>
      </c>
      <c r="AO18" s="16">
        <f t="shared" si="32"/>
        <v>1483.592639236552</v>
      </c>
      <c r="AP18" s="16">
        <f>AO18*(1+$AR$22)</f>
        <v>1468.7567128441865</v>
      </c>
      <c r="AQ18" s="16">
        <f t="shared" ref="AQ18:DB18" si="33">AP18*(1+$AR$22)</f>
        <v>1454.0691457157445</v>
      </c>
      <c r="AR18" s="16">
        <f t="shared" si="33"/>
        <v>1439.5284542585871</v>
      </c>
      <c r="AS18" s="16">
        <f t="shared" si="33"/>
        <v>1425.1331697160012</v>
      </c>
      <c r="AT18" s="16">
        <f t="shared" si="33"/>
        <v>1410.8818380188413</v>
      </c>
      <c r="AU18" s="16">
        <f t="shared" si="33"/>
        <v>1396.7730196386528</v>
      </c>
      <c r="AV18" s="16">
        <f t="shared" si="33"/>
        <v>1382.8052894422663</v>
      </c>
      <c r="AW18" s="16">
        <f t="shared" si="33"/>
        <v>1368.9772365478436</v>
      </c>
      <c r="AX18" s="16">
        <f t="shared" si="33"/>
        <v>1355.2874641823653</v>
      </c>
      <c r="AY18" s="16">
        <f t="shared" si="33"/>
        <v>1341.7345895405417</v>
      </c>
      <c r="AZ18" s="16">
        <f t="shared" si="33"/>
        <v>1328.3172436451364</v>
      </c>
      <c r="BA18" s="16">
        <f t="shared" si="33"/>
        <v>1315.034071208685</v>
      </c>
      <c r="BB18" s="16">
        <f t="shared" si="33"/>
        <v>1301.883730496598</v>
      </c>
      <c r="BC18" s="16">
        <f t="shared" si="33"/>
        <v>1288.8648931916321</v>
      </c>
      <c r="BD18" s="16">
        <f t="shared" si="33"/>
        <v>1275.9762442597157</v>
      </c>
      <c r="BE18" s="16">
        <f t="shared" si="33"/>
        <v>1263.2164818171186</v>
      </c>
      <c r="BF18" s="16">
        <f t="shared" si="33"/>
        <v>1250.5843169989473</v>
      </c>
      <c r="BG18" s="16">
        <f t="shared" si="33"/>
        <v>1238.0784738289578</v>
      </c>
      <c r="BH18" s="16">
        <f t="shared" si="33"/>
        <v>1225.6976890906683</v>
      </c>
      <c r="BI18" s="16">
        <f t="shared" si="33"/>
        <v>1213.4407121997615</v>
      </c>
      <c r="BJ18" s="16">
        <f t="shared" si="33"/>
        <v>1201.3063050777639</v>
      </c>
      <c r="BK18" s="16">
        <f t="shared" si="33"/>
        <v>1189.2932420269863</v>
      </c>
      <c r="BL18" s="16">
        <f t="shared" si="33"/>
        <v>1177.4003096067163</v>
      </c>
      <c r="BM18" s="16">
        <f t="shared" si="33"/>
        <v>1165.6263065106491</v>
      </c>
      <c r="BN18" s="16">
        <f t="shared" si="33"/>
        <v>1153.9700434455426</v>
      </c>
      <c r="BO18" s="16">
        <f t="shared" si="33"/>
        <v>1142.4303430110872</v>
      </c>
      <c r="BP18" s="16">
        <f t="shared" si="33"/>
        <v>1131.0060395809762</v>
      </c>
      <c r="BQ18" s="16">
        <f t="shared" si="33"/>
        <v>1119.6959791851664</v>
      </c>
      <c r="BR18" s="16">
        <f t="shared" si="33"/>
        <v>1108.4990193933147</v>
      </c>
      <c r="BS18" s="16">
        <f t="shared" si="33"/>
        <v>1097.4140291993815</v>
      </c>
      <c r="BT18" s="16">
        <f t="shared" si="33"/>
        <v>1086.4398889073877</v>
      </c>
      <c r="BU18" s="16">
        <f t="shared" si="33"/>
        <v>1075.5754900183138</v>
      </c>
      <c r="BV18" s="16">
        <f t="shared" si="33"/>
        <v>1064.8197351181307</v>
      </c>
      <c r="BW18" s="16">
        <f t="shared" si="33"/>
        <v>1054.1715377669493</v>
      </c>
      <c r="BX18" s="16">
        <f t="shared" si="33"/>
        <v>1043.6298223892798</v>
      </c>
      <c r="BY18" s="16">
        <f t="shared" si="33"/>
        <v>1033.1935241653869</v>
      </c>
      <c r="BZ18" s="16">
        <f t="shared" si="33"/>
        <v>1022.8615889237329</v>
      </c>
      <c r="CA18" s="16">
        <f t="shared" si="33"/>
        <v>1012.6329730344956</v>
      </c>
      <c r="CB18" s="16">
        <f t="shared" si="33"/>
        <v>1002.5066433041507</v>
      </c>
      <c r="CC18" s="16">
        <f t="shared" si="33"/>
        <v>992.48157687110916</v>
      </c>
      <c r="CD18" s="16">
        <f t="shared" si="33"/>
        <v>982.55676110239801</v>
      </c>
      <c r="CE18" s="16">
        <f t="shared" si="33"/>
        <v>972.73119349137403</v>
      </c>
      <c r="CF18" s="16">
        <f t="shared" si="33"/>
        <v>963.00388155646033</v>
      </c>
      <c r="CG18" s="16">
        <f t="shared" si="33"/>
        <v>953.37384274089573</v>
      </c>
      <c r="CH18" s="16">
        <f t="shared" si="33"/>
        <v>943.84010431348679</v>
      </c>
      <c r="CI18" s="16">
        <f t="shared" si="33"/>
        <v>934.40170327035196</v>
      </c>
      <c r="CJ18" s="16">
        <f t="shared" si="33"/>
        <v>925.05768623764845</v>
      </c>
      <c r="CK18" s="16">
        <f t="shared" si="33"/>
        <v>915.80710937527192</v>
      </c>
      <c r="CL18" s="16">
        <f t="shared" si="33"/>
        <v>906.64903828151921</v>
      </c>
      <c r="CM18" s="16">
        <f t="shared" si="33"/>
        <v>897.58254789870398</v>
      </c>
      <c r="CN18" s="16">
        <f t="shared" si="33"/>
        <v>888.6067224197169</v>
      </c>
      <c r="CO18" s="16">
        <f t="shared" si="33"/>
        <v>879.72065519551973</v>
      </c>
      <c r="CP18" s="16">
        <f t="shared" si="33"/>
        <v>870.92344864356448</v>
      </c>
      <c r="CQ18" s="16">
        <f t="shared" si="33"/>
        <v>862.21421415712882</v>
      </c>
      <c r="CR18" s="16">
        <f t="shared" si="33"/>
        <v>853.59207201555751</v>
      </c>
      <c r="CS18" s="16">
        <f t="shared" si="33"/>
        <v>845.05615129540195</v>
      </c>
      <c r="CT18" s="16">
        <f t="shared" si="33"/>
        <v>836.60558978244796</v>
      </c>
      <c r="CU18" s="16">
        <f t="shared" si="33"/>
        <v>828.23953388462348</v>
      </c>
      <c r="CV18" s="16">
        <f t="shared" si="33"/>
        <v>819.9571385457773</v>
      </c>
      <c r="CW18" s="16">
        <f t="shared" si="33"/>
        <v>811.75756716031947</v>
      </c>
      <c r="CX18" s="16">
        <f t="shared" si="33"/>
        <v>803.6399914887163</v>
      </c>
      <c r="CY18" s="16">
        <f t="shared" si="33"/>
        <v>795.60359157382914</v>
      </c>
      <c r="CZ18" s="16">
        <f t="shared" si="33"/>
        <v>787.64755565809082</v>
      </c>
      <c r="DA18" s="16">
        <f t="shared" si="33"/>
        <v>779.77108010150994</v>
      </c>
      <c r="DB18" s="16">
        <f t="shared" si="33"/>
        <v>771.97336930049482</v>
      </c>
      <c r="DC18" s="16">
        <f t="shared" ref="DC18:FN18" si="34">DB18*(1+$AR$22)</f>
        <v>764.25363560748985</v>
      </c>
      <c r="DD18" s="16">
        <f t="shared" si="34"/>
        <v>756.611099251415</v>
      </c>
      <c r="DE18" s="16">
        <f t="shared" si="34"/>
        <v>749.04498825890084</v>
      </c>
      <c r="DF18" s="16">
        <f t="shared" si="34"/>
        <v>741.55453837631183</v>
      </c>
      <c r="DG18" s="16">
        <f t="shared" si="34"/>
        <v>734.13899299254865</v>
      </c>
      <c r="DH18" s="16">
        <f t="shared" si="34"/>
        <v>726.79760306262312</v>
      </c>
      <c r="DI18" s="16">
        <f t="shared" si="34"/>
        <v>719.52962703199694</v>
      </c>
      <c r="DJ18" s="16">
        <f t="shared" si="34"/>
        <v>712.33433076167694</v>
      </c>
      <c r="DK18" s="16">
        <f t="shared" si="34"/>
        <v>705.21098745406016</v>
      </c>
      <c r="DL18" s="16">
        <f t="shared" si="34"/>
        <v>698.15887757951953</v>
      </c>
      <c r="DM18" s="16">
        <f t="shared" si="34"/>
        <v>691.17728880372431</v>
      </c>
      <c r="DN18" s="16">
        <f t="shared" si="34"/>
        <v>684.26551591568705</v>
      </c>
      <c r="DO18" s="16">
        <f t="shared" si="34"/>
        <v>677.42286075653021</v>
      </c>
      <c r="DP18" s="16">
        <f t="shared" si="34"/>
        <v>670.64863214896491</v>
      </c>
      <c r="DQ18" s="16">
        <f t="shared" si="34"/>
        <v>663.9421458274752</v>
      </c>
      <c r="DR18" s="16">
        <f t="shared" si="34"/>
        <v>657.3027243692004</v>
      </c>
      <c r="DS18" s="16">
        <f t="shared" si="34"/>
        <v>650.72969712550844</v>
      </c>
      <c r="DT18" s="16">
        <f t="shared" si="34"/>
        <v>644.22240015425336</v>
      </c>
      <c r="DU18" s="16">
        <f t="shared" si="34"/>
        <v>637.78017615271085</v>
      </c>
      <c r="DV18" s="16">
        <f t="shared" si="34"/>
        <v>631.40237439118368</v>
      </c>
      <c r="DW18" s="16">
        <f t="shared" si="34"/>
        <v>625.0883506472718</v>
      </c>
      <c r="DX18" s="16">
        <f t="shared" si="34"/>
        <v>618.83746714079905</v>
      </c>
      <c r="DY18" s="16">
        <f t="shared" si="34"/>
        <v>612.64909246939101</v>
      </c>
      <c r="DZ18" s="16">
        <f t="shared" si="34"/>
        <v>606.52260154469707</v>
      </c>
      <c r="EA18" s="16">
        <f t="shared" si="34"/>
        <v>600.45737552925004</v>
      </c>
      <c r="EB18" s="16">
        <f t="shared" si="34"/>
        <v>594.4528017739575</v>
      </c>
      <c r="EC18" s="16">
        <f t="shared" si="34"/>
        <v>588.50827375621793</v>
      </c>
      <c r="ED18" s="16">
        <f t="shared" si="34"/>
        <v>582.6231910186558</v>
      </c>
      <c r="EE18" s="16">
        <f t="shared" si="34"/>
        <v>576.7969591084692</v>
      </c>
      <c r="EF18" s="16">
        <f t="shared" si="34"/>
        <v>571.0289895173845</v>
      </c>
      <c r="EG18" s="16">
        <f t="shared" si="34"/>
        <v>565.3186996222106</v>
      </c>
      <c r="EH18" s="16">
        <f t="shared" si="34"/>
        <v>559.66551262598853</v>
      </c>
      <c r="EI18" s="16">
        <f t="shared" si="34"/>
        <v>554.06885749972867</v>
      </c>
      <c r="EJ18" s="16">
        <f t="shared" si="34"/>
        <v>548.5281689247314</v>
      </c>
      <c r="EK18" s="16">
        <f t="shared" si="34"/>
        <v>543.04288723548405</v>
      </c>
      <c r="EL18" s="16">
        <f t="shared" si="34"/>
        <v>537.61245836312924</v>
      </c>
      <c r="EM18" s="16">
        <f t="shared" si="34"/>
        <v>532.23633377949795</v>
      </c>
      <c r="EN18" s="16">
        <f t="shared" si="34"/>
        <v>526.91397044170299</v>
      </c>
      <c r="EO18" s="16">
        <f t="shared" si="34"/>
        <v>521.64483073728593</v>
      </c>
      <c r="EP18" s="16">
        <f t="shared" si="34"/>
        <v>516.42838242991309</v>
      </c>
      <c r="EQ18" s="16">
        <f t="shared" si="34"/>
        <v>511.26409860561392</v>
      </c>
      <c r="ER18" s="16">
        <f t="shared" si="34"/>
        <v>506.15145761955779</v>
      </c>
      <c r="ES18" s="16">
        <f t="shared" si="34"/>
        <v>501.08994304336221</v>
      </c>
      <c r="ET18" s="16">
        <f t="shared" si="34"/>
        <v>496.07904361292856</v>
      </c>
      <c r="EU18" s="16">
        <f t="shared" si="34"/>
        <v>491.11825317679927</v>
      </c>
      <c r="EV18" s="16">
        <f t="shared" si="34"/>
        <v>486.20707064503125</v>
      </c>
      <c r="EW18" s="16">
        <f t="shared" si="34"/>
        <v>481.34499993858094</v>
      </c>
      <c r="EX18" s="16">
        <f t="shared" si="34"/>
        <v>476.53154993919514</v>
      </c>
      <c r="EY18" s="16">
        <f t="shared" si="34"/>
        <v>471.76623443980321</v>
      </c>
      <c r="EZ18" s="16">
        <f t="shared" si="34"/>
        <v>467.04857209540518</v>
      </c>
      <c r="FA18" s="16">
        <f t="shared" si="34"/>
        <v>462.37808637445113</v>
      </c>
      <c r="FB18" s="16">
        <f t="shared" si="34"/>
        <v>457.75430551070662</v>
      </c>
      <c r="FC18" s="16">
        <f t="shared" si="34"/>
        <v>453.17676245559954</v>
      </c>
      <c r="FD18" s="16">
        <f t="shared" si="34"/>
        <v>448.64499483104356</v>
      </c>
      <c r="FE18" s="16">
        <f t="shared" si="34"/>
        <v>444.15854488273311</v>
      </c>
      <c r="FF18" s="16">
        <f t="shared" si="34"/>
        <v>439.7169594339058</v>
      </c>
      <c r="FG18" s="16">
        <f t="shared" si="34"/>
        <v>435.31978983956674</v>
      </c>
      <c r="FH18" s="16">
        <f t="shared" si="34"/>
        <v>430.96659194117109</v>
      </c>
      <c r="FI18" s="16">
        <f t="shared" si="34"/>
        <v>426.65692602175938</v>
      </c>
      <c r="FJ18" s="16">
        <f t="shared" si="34"/>
        <v>422.3903567615418</v>
      </c>
      <c r="FK18" s="16">
        <f t="shared" si="34"/>
        <v>418.16645319392637</v>
      </c>
      <c r="FL18" s="16">
        <f t="shared" si="34"/>
        <v>413.98478866198712</v>
      </c>
      <c r="FM18" s="16">
        <f t="shared" si="34"/>
        <v>409.84494077536726</v>
      </c>
      <c r="FN18" s="16">
        <f t="shared" si="34"/>
        <v>405.7464913676136</v>
      </c>
      <c r="FO18" s="16">
        <f t="shared" ref="FO18:GW18" si="35">FN18*(1+$AR$22)</f>
        <v>401.68902645393746</v>
      </c>
      <c r="FP18" s="16">
        <f t="shared" si="35"/>
        <v>397.67213618939809</v>
      </c>
      <c r="FQ18" s="16">
        <f t="shared" si="35"/>
        <v>393.69541482750412</v>
      </c>
      <c r="FR18" s="16">
        <f t="shared" si="35"/>
        <v>389.75846067922907</v>
      </c>
      <c r="FS18" s="16">
        <f t="shared" si="35"/>
        <v>385.86087607243678</v>
      </c>
      <c r="FT18" s="16">
        <f t="shared" si="35"/>
        <v>382.00226731171239</v>
      </c>
      <c r="FU18" s="16">
        <f t="shared" si="35"/>
        <v>378.18224463859525</v>
      </c>
      <c r="FV18" s="16">
        <f t="shared" si="35"/>
        <v>374.40042219220931</v>
      </c>
      <c r="FW18" s="16">
        <f t="shared" si="35"/>
        <v>370.65641797028724</v>
      </c>
      <c r="FX18" s="16">
        <f t="shared" si="35"/>
        <v>366.94985379058437</v>
      </c>
      <c r="FY18" s="16">
        <f t="shared" si="35"/>
        <v>363.28035525267853</v>
      </c>
      <c r="FZ18" s="16">
        <f t="shared" si="35"/>
        <v>359.64755170015172</v>
      </c>
      <c r="GA18" s="16">
        <f t="shared" si="35"/>
        <v>356.0510761831502</v>
      </c>
      <c r="GB18" s="16">
        <f t="shared" si="35"/>
        <v>352.49056542131871</v>
      </c>
      <c r="GC18" s="16">
        <f t="shared" si="35"/>
        <v>348.96565976710554</v>
      </c>
      <c r="GD18" s="16">
        <f t="shared" si="35"/>
        <v>345.47600316943448</v>
      </c>
      <c r="GE18" s="16">
        <f t="shared" si="35"/>
        <v>342.02124313774016</v>
      </c>
      <c r="GF18" s="16">
        <f t="shared" si="35"/>
        <v>338.60103070636274</v>
      </c>
      <c r="GG18" s="16">
        <f t="shared" si="35"/>
        <v>335.21502039929908</v>
      </c>
      <c r="GH18" s="16">
        <f t="shared" si="35"/>
        <v>331.86287019530607</v>
      </c>
      <c r="GI18" s="16">
        <f t="shared" si="35"/>
        <v>328.54424149335301</v>
      </c>
      <c r="GJ18" s="16">
        <f t="shared" si="35"/>
        <v>325.25879907841949</v>
      </c>
      <c r="GK18" s="16">
        <f t="shared" si="35"/>
        <v>322.00621108763528</v>
      </c>
      <c r="GL18" s="16">
        <f t="shared" si="35"/>
        <v>318.78614897675891</v>
      </c>
      <c r="GM18" s="16">
        <f t="shared" si="35"/>
        <v>315.5982874869913</v>
      </c>
      <c r="GN18" s="16">
        <f t="shared" si="35"/>
        <v>312.4423046121214</v>
      </c>
      <c r="GO18" s="16">
        <f t="shared" si="35"/>
        <v>309.31788156600021</v>
      </c>
      <c r="GP18" s="16">
        <f t="shared" si="35"/>
        <v>306.22470275034021</v>
      </c>
      <c r="GQ18" s="16">
        <f t="shared" si="35"/>
        <v>303.1624557228368</v>
      </c>
      <c r="GR18" s="16">
        <f t="shared" si="35"/>
        <v>300.13083116560841</v>
      </c>
      <c r="GS18" s="16">
        <f t="shared" si="35"/>
        <v>297.12952285395232</v>
      </c>
      <c r="GT18" s="16">
        <f t="shared" si="35"/>
        <v>294.15822762541279</v>
      </c>
      <c r="GU18" s="16">
        <f t="shared" si="35"/>
        <v>291.21664534915868</v>
      </c>
      <c r="GV18" s="16">
        <f t="shared" si="35"/>
        <v>288.3044788956671</v>
      </c>
      <c r="GW18" s="16">
        <f t="shared" si="35"/>
        <v>285.42143410671042</v>
      </c>
    </row>
    <row r="19" spans="1:205" s="29" customFormat="1" x14ac:dyDescent="0.25">
      <c r="A19" s="40"/>
      <c r="B19" s="8"/>
      <c r="C19" s="29" t="s">
        <v>64</v>
      </c>
      <c r="L19" s="29">
        <v>147.6</v>
      </c>
      <c r="M19" s="29">
        <v>146.64874800000001</v>
      </c>
      <c r="N19" s="29">
        <v>147.82344599999999</v>
      </c>
      <c r="O19" s="29">
        <v>146.64874800000001</v>
      </c>
      <c r="P19" s="29">
        <v>144.51324199999999</v>
      </c>
      <c r="Q19" s="29">
        <v>142.81814</v>
      </c>
      <c r="R19" s="29">
        <v>143.9736</v>
      </c>
      <c r="S19" s="29">
        <v>142.81814</v>
      </c>
      <c r="T19" s="29">
        <v>141.96249399999999</v>
      </c>
      <c r="U19" s="29">
        <v>141.96249399999999</v>
      </c>
      <c r="Y19" s="30"/>
      <c r="Z19" s="29">
        <v>37.181941999999999</v>
      </c>
      <c r="AA19" s="29">
        <v>150</v>
      </c>
      <c r="AB19" s="29">
        <v>149.05500000000001</v>
      </c>
      <c r="AC19" s="29">
        <v>147.423677</v>
      </c>
      <c r="AD19" s="29">
        <v>146.64874800000001</v>
      </c>
      <c r="AE19" s="29">
        <v>142.81814</v>
      </c>
      <c r="AF19" s="8">
        <v>141.96249399999999</v>
      </c>
      <c r="AG19" s="29">
        <v>141.96249399999999</v>
      </c>
      <c r="AH19" s="29">
        <v>141.96249399999999</v>
      </c>
      <c r="AI19" s="29">
        <v>141.96249399999999</v>
      </c>
      <c r="AJ19" s="29">
        <v>141.96249399999999</v>
      </c>
      <c r="AK19" s="29">
        <v>141.96249399999999</v>
      </c>
      <c r="AL19" s="29">
        <v>141.96249399999999</v>
      </c>
      <c r="AM19" s="29">
        <v>141.96249399999999</v>
      </c>
      <c r="AN19" s="29">
        <v>141.96249399999999</v>
      </c>
      <c r="AO19" s="29">
        <v>141.96249399999999</v>
      </c>
    </row>
    <row r="20" spans="1:205" s="15" customFormat="1" x14ac:dyDescent="0.25">
      <c r="A20" s="2"/>
      <c r="B20" s="3"/>
      <c r="C20" s="2" t="s">
        <v>65</v>
      </c>
      <c r="D20" s="30" t="e">
        <f t="shared" ref="D20:R20" si="36">D18/D19</f>
        <v>#DIV/0!</v>
      </c>
      <c r="E20" s="30" t="e">
        <f t="shared" si="36"/>
        <v>#DIV/0!</v>
      </c>
      <c r="F20" s="30" t="e">
        <f t="shared" si="36"/>
        <v>#DIV/0!</v>
      </c>
      <c r="G20" s="30" t="e">
        <f t="shared" si="36"/>
        <v>#DIV/0!</v>
      </c>
      <c r="H20" s="30" t="e">
        <f t="shared" si="36"/>
        <v>#DIV/0!</v>
      </c>
      <c r="I20" s="30" t="e">
        <f t="shared" si="36"/>
        <v>#DIV/0!</v>
      </c>
      <c r="J20" s="30" t="e">
        <f t="shared" si="36"/>
        <v>#DIV/0!</v>
      </c>
      <c r="K20" s="30" t="e">
        <f t="shared" si="36"/>
        <v>#DIV/0!</v>
      </c>
      <c r="L20" s="30">
        <f t="shared" si="36"/>
        <v>0.38617886178861788</v>
      </c>
      <c r="M20" s="30">
        <f t="shared" si="36"/>
        <v>1.1455945058596748</v>
      </c>
      <c r="N20" s="30">
        <f t="shared" si="36"/>
        <v>0.44647856470616987</v>
      </c>
      <c r="O20" s="30">
        <f t="shared" si="36"/>
        <v>0.51824513360318625</v>
      </c>
      <c r="P20" s="30">
        <f t="shared" si="36"/>
        <v>0.60202095528380717</v>
      </c>
      <c r="Q20" s="30">
        <f t="shared" si="36"/>
        <v>0.79821792945910097</v>
      </c>
      <c r="R20" s="30">
        <f t="shared" si="36"/>
        <v>0.90294331738596523</v>
      </c>
      <c r="S20" s="30">
        <f>S18/S19</f>
        <v>0.85423322275447644</v>
      </c>
      <c r="T20" s="30">
        <f>T18/T19</f>
        <v>0.91573482782008608</v>
      </c>
      <c r="U20" s="30">
        <f>U18/U19</f>
        <v>1.3524698995496656</v>
      </c>
      <c r="V20" s="30"/>
      <c r="W20" s="32"/>
      <c r="X20" s="32"/>
      <c r="Y20" s="32"/>
      <c r="Z20" s="30">
        <f t="shared" ref="Z20:AD20" si="37">Z18/Z19</f>
        <v>-5.2444813129986594</v>
      </c>
      <c r="AA20" s="30">
        <f t="shared" si="37"/>
        <v>0.34</v>
      </c>
      <c r="AB20" s="30">
        <f t="shared" si="37"/>
        <v>2.2005300057025927</v>
      </c>
      <c r="AC20" s="30">
        <f t="shared" si="37"/>
        <v>2.1095661587656642</v>
      </c>
      <c r="AD20" s="30">
        <f t="shared" si="37"/>
        <v>2.4957594591942915</v>
      </c>
      <c r="AE20" s="30">
        <f>AE18/AE19</f>
        <v>3.1788678945125599</v>
      </c>
      <c r="AF20" s="38">
        <f t="shared" ref="AF20:AO20" si="38">AF18/AF19</f>
        <v>3.9412663460251665</v>
      </c>
      <c r="AG20" s="30">
        <f t="shared" si="38"/>
        <v>4.3659861315200619</v>
      </c>
      <c r="AH20" s="30">
        <f t="shared" si="38"/>
        <v>5.067658502815541</v>
      </c>
      <c r="AI20" s="30">
        <f t="shared" si="38"/>
        <v>5.6978926322610262</v>
      </c>
      <c r="AJ20" s="30">
        <f t="shared" si="38"/>
        <v>6.3698532031836601</v>
      </c>
      <c r="AK20" s="30">
        <f t="shared" si="38"/>
        <v>7.0860959389595202</v>
      </c>
      <c r="AL20" s="30">
        <f t="shared" si="38"/>
        <v>7.8493306879951339</v>
      </c>
      <c r="AM20" s="30">
        <f t="shared" si="38"/>
        <v>8.6624306842507686</v>
      </c>
      <c r="AN20" s="30">
        <f t="shared" si="38"/>
        <v>9.5284423636294289</v>
      </c>
      <c r="AO20" s="30">
        <f t="shared" si="38"/>
        <v>10.450595769587931</v>
      </c>
    </row>
    <row r="21" spans="1:205" x14ac:dyDescent="0.25">
      <c r="L21" s="12"/>
      <c r="M21" s="12"/>
      <c r="N21" s="12"/>
      <c r="O21" s="12"/>
      <c r="P21" s="12"/>
      <c r="Q21" s="12"/>
      <c r="R21" s="12"/>
      <c r="S21" s="12"/>
      <c r="T21" s="12"/>
      <c r="W21" s="30"/>
      <c r="AD21" s="12"/>
      <c r="AE21" s="12"/>
      <c r="AQ21" s="2" t="s">
        <v>117</v>
      </c>
      <c r="AR21" s="34">
        <v>0.08</v>
      </c>
    </row>
    <row r="22" spans="1:205" s="14" customFormat="1" x14ac:dyDescent="0.25">
      <c r="A22" s="1"/>
      <c r="B22" s="31"/>
      <c r="C22" s="14" t="s">
        <v>33</v>
      </c>
      <c r="H22" s="14">
        <f t="shared" ref="H22:R22" si="39">(H4-D4)/D4</f>
        <v>0.18355481727574752</v>
      </c>
      <c r="I22" s="14">
        <f t="shared" si="39"/>
        <v>0.11943462897526502</v>
      </c>
      <c r="J22" s="14">
        <f t="shared" si="39"/>
        <v>0.10786516853932585</v>
      </c>
      <c r="K22" s="14">
        <f t="shared" si="39"/>
        <v>7.3118279569892475E-2</v>
      </c>
      <c r="L22" s="14">
        <f t="shared" si="39"/>
        <v>7.7894736842105267E-2</v>
      </c>
      <c r="M22" s="14">
        <f t="shared" si="39"/>
        <v>0.10101010101010101</v>
      </c>
      <c r="N22" s="14">
        <f t="shared" si="39"/>
        <v>7.0317782285327923E-2</v>
      </c>
      <c r="O22" s="14">
        <f t="shared" si="39"/>
        <v>0.10821643286573146</v>
      </c>
      <c r="P22" s="14">
        <f t="shared" si="39"/>
        <v>0.12955729166666666</v>
      </c>
      <c r="Q22" s="14">
        <f t="shared" si="39"/>
        <v>7.6261467889908258E-2</v>
      </c>
      <c r="R22" s="14">
        <f t="shared" si="39"/>
        <v>0.10739102969046115</v>
      </c>
      <c r="S22" s="14">
        <f>(S4-O4)/O4</f>
        <v>0.10548523206751055</v>
      </c>
      <c r="T22" s="14">
        <f>(T4-P4)/P4</f>
        <v>3.804034582132565E-2</v>
      </c>
      <c r="U22" s="14">
        <f>(U4-Q4)/Q4</f>
        <v>0.10868407032498668</v>
      </c>
      <c r="AA22" s="14">
        <f t="shared" ref="AA22:AD22" si="40">(AA4-Z4)/Z4</f>
        <v>0.22487046632124352</v>
      </c>
      <c r="AB22" s="14">
        <f t="shared" si="40"/>
        <v>0.13134517766497461</v>
      </c>
      <c r="AC22" s="14">
        <f t="shared" si="40"/>
        <v>0.11890072910824454</v>
      </c>
      <c r="AD22" s="14">
        <f t="shared" si="40"/>
        <v>8.9724310776942359E-2</v>
      </c>
      <c r="AE22" s="14">
        <f>(AE4-AD4)/AD4</f>
        <v>0.10395584176632934</v>
      </c>
      <c r="AF22" s="31">
        <f t="shared" ref="AF22:AO22" si="41">(AF4-AE4)/AE4</f>
        <v>7.2999999999999926E-2</v>
      </c>
      <c r="AG22" s="14">
        <f t="shared" si="41"/>
        <v>6.0000000000000012E-2</v>
      </c>
      <c r="AH22" s="14">
        <f t="shared" si="41"/>
        <v>6.000000000000006E-2</v>
      </c>
      <c r="AI22" s="14">
        <f t="shared" si="41"/>
        <v>6.0000000000000102E-2</v>
      </c>
      <c r="AJ22" s="14">
        <f t="shared" si="41"/>
        <v>6.000000000000015E-2</v>
      </c>
      <c r="AK22" s="14">
        <f t="shared" si="41"/>
        <v>6.000000000000006E-2</v>
      </c>
      <c r="AL22" s="14">
        <f t="shared" si="41"/>
        <v>6.0000000000000067E-2</v>
      </c>
      <c r="AM22" s="14">
        <f t="shared" si="41"/>
        <v>6.0000000000000039E-2</v>
      </c>
      <c r="AN22" s="14">
        <f t="shared" si="41"/>
        <v>6.0000000000000005E-2</v>
      </c>
      <c r="AO22" s="14">
        <f t="shared" si="41"/>
        <v>6.0000000000000123E-2</v>
      </c>
      <c r="AQ22" s="13" t="s">
        <v>118</v>
      </c>
      <c r="AR22" s="34">
        <v>-0.01</v>
      </c>
    </row>
    <row r="23" spans="1:205" s="13" customFormat="1" x14ac:dyDescent="0.25">
      <c r="B23" s="26"/>
      <c r="C23" s="13" t="s">
        <v>109</v>
      </c>
      <c r="D23" s="13">
        <v>0.123</v>
      </c>
      <c r="E23" s="13">
        <v>0.13700000000000001</v>
      </c>
      <c r="F23" s="13">
        <v>9.6000000000000002E-2</v>
      </c>
      <c r="G23" s="13">
        <v>6.8000000000000005E-2</v>
      </c>
      <c r="H23" s="13">
        <v>0.17499999999999999</v>
      </c>
      <c r="I23" s="13">
        <v>0.10199999999999999</v>
      </c>
      <c r="J23" s="13">
        <v>7.0000000000000007E-2</v>
      </c>
      <c r="K23" s="13">
        <v>7.3999999999999996E-2</v>
      </c>
      <c r="L23" s="13">
        <v>7.6999999999999999E-2</v>
      </c>
      <c r="M23" s="13">
        <v>9.5000000000000001E-2</v>
      </c>
      <c r="N23" s="13">
        <v>9.4E-2</v>
      </c>
      <c r="O23" s="13">
        <v>0.10100000000000001</v>
      </c>
      <c r="P23" s="13">
        <v>0.128</v>
      </c>
      <c r="Q23" s="13">
        <v>9.0999999999999998E-2</v>
      </c>
      <c r="R23" s="13">
        <v>0.124</v>
      </c>
      <c r="S23" s="13">
        <v>0.114</v>
      </c>
      <c r="T23" s="13">
        <v>5.6000000000000001E-2</v>
      </c>
      <c r="U23" s="13">
        <v>9.8000000000000004E-2</v>
      </c>
      <c r="Z23" s="13">
        <v>3.2000000000000001E-2</v>
      </c>
      <c r="AA23" s="13">
        <v>0.23200000000000001</v>
      </c>
      <c r="AB23" s="13">
        <v>0.106</v>
      </c>
      <c r="AC23" s="13">
        <v>0.10299999999999999</v>
      </c>
      <c r="AD23" s="13">
        <v>9.1999999999999998E-2</v>
      </c>
      <c r="AE23" s="13">
        <v>0.114</v>
      </c>
      <c r="AF23" s="26"/>
      <c r="AQ23" s="33" t="s">
        <v>119</v>
      </c>
      <c r="AR23" s="35">
        <f>NPV(AR21,AF18:GW18)</f>
        <v>13702.00482363594</v>
      </c>
    </row>
    <row r="24" spans="1:205" s="14" customFormat="1" x14ac:dyDescent="0.25">
      <c r="B24" s="31"/>
      <c r="C24" s="14" t="s">
        <v>111</v>
      </c>
      <c r="D24" s="14">
        <v>8.1000000000000003E-2</v>
      </c>
      <c r="E24" s="14">
        <v>9.5000000000000001E-2</v>
      </c>
      <c r="F24" s="14">
        <v>5.5E-2</v>
      </c>
      <c r="G24" s="14">
        <v>0.04</v>
      </c>
      <c r="H24" s="14">
        <v>0.14000000000000001</v>
      </c>
      <c r="I24" s="14">
        <v>7.0000000000000007E-2</v>
      </c>
      <c r="J24" s="14">
        <v>3.9E-2</v>
      </c>
      <c r="K24" s="14">
        <v>4.2999999999999997E-2</v>
      </c>
      <c r="L24" s="14">
        <v>5.0999999999999997E-2</v>
      </c>
      <c r="M24" s="14">
        <v>6.8000000000000005E-2</v>
      </c>
      <c r="N24" s="14">
        <v>6.3E-2</v>
      </c>
      <c r="O24" s="14">
        <v>6.0999999999999999E-2</v>
      </c>
      <c r="P24" s="14">
        <v>8.8999999999999996E-2</v>
      </c>
      <c r="Q24" s="14">
        <v>5.6000000000000001E-2</v>
      </c>
      <c r="R24" s="14">
        <v>9.0999999999999998E-2</v>
      </c>
      <c r="S24" s="14">
        <v>9.0999999999999998E-2</v>
      </c>
      <c r="T24" s="14">
        <v>3.7999999999999999E-2</v>
      </c>
      <c r="U24" s="14">
        <v>0.08</v>
      </c>
      <c r="AF24" s="31"/>
      <c r="AQ24" s="13" t="s">
        <v>2</v>
      </c>
      <c r="AR24" s="12">
        <v>141.96249399999999</v>
      </c>
    </row>
    <row r="25" spans="1:205" x14ac:dyDescent="0.25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31"/>
      <c r="AG25" s="14"/>
      <c r="AH25" s="14"/>
      <c r="AI25" s="14"/>
      <c r="AJ25" s="14"/>
      <c r="AK25" s="14"/>
      <c r="AL25" s="14"/>
      <c r="AM25" s="14"/>
      <c r="AN25" s="14"/>
      <c r="AO25" s="14"/>
      <c r="AQ25" s="1" t="s">
        <v>120</v>
      </c>
      <c r="AR25" s="36">
        <f>AR23/AR24</f>
        <v>96.518484830478826</v>
      </c>
    </row>
    <row r="26" spans="1:205" s="79" customFormat="1" x14ac:dyDescent="0.25">
      <c r="B26" s="80"/>
      <c r="C26" s="79" t="s">
        <v>36</v>
      </c>
      <c r="D26" s="79">
        <f t="shared" ref="D26:S26" si="42">D6/D4</f>
        <v>0.79568106312292364</v>
      </c>
      <c r="E26" s="79">
        <f t="shared" si="42"/>
        <v>0.73992932862190808</v>
      </c>
      <c r="F26" s="79">
        <f t="shared" si="42"/>
        <v>0.7415730337078652</v>
      </c>
      <c r="G26" s="79">
        <f t="shared" si="42"/>
        <v>0.77132616487455197</v>
      </c>
      <c r="H26" s="79">
        <f t="shared" si="42"/>
        <v>0.76771929824561402</v>
      </c>
      <c r="I26" s="79">
        <f t="shared" si="42"/>
        <v>0.74305555555555558</v>
      </c>
      <c r="J26" s="79">
        <f t="shared" si="42"/>
        <v>0.75388776200135221</v>
      </c>
      <c r="K26" s="79">
        <f t="shared" si="42"/>
        <v>0.76953907815631262</v>
      </c>
      <c r="L26" s="79">
        <f t="shared" si="42"/>
        <v>0.759765625</v>
      </c>
      <c r="M26" s="79">
        <f t="shared" si="42"/>
        <v>0.7459862385321101</v>
      </c>
      <c r="N26" s="79">
        <f t="shared" si="42"/>
        <v>0.74289324068224893</v>
      </c>
      <c r="O26" s="79">
        <f t="shared" si="42"/>
        <v>0.77637130801687759</v>
      </c>
      <c r="P26" s="79">
        <f t="shared" si="42"/>
        <v>0.74524495677233427</v>
      </c>
      <c r="Q26" s="79">
        <f t="shared" si="42"/>
        <v>0.73628129994672353</v>
      </c>
      <c r="R26" s="79">
        <f t="shared" si="42"/>
        <v>0.7347404449515117</v>
      </c>
      <c r="S26" s="79">
        <f t="shared" si="42"/>
        <v>0.7715376226826608</v>
      </c>
      <c r="T26" s="79">
        <f t="shared" ref="T26:U26" si="43">T6/T4</f>
        <v>0.76179900055524707</v>
      </c>
      <c r="U26" s="79">
        <f t="shared" si="43"/>
        <v>0.7400288322921672</v>
      </c>
      <c r="Z26" s="79">
        <f t="shared" ref="Z26:AO26" si="44">Z6/Z4</f>
        <v>0.75310880829015547</v>
      </c>
      <c r="AA26" s="79">
        <f t="shared" si="44"/>
        <v>0.76988155668358715</v>
      </c>
      <c r="AB26" s="79">
        <f t="shared" si="44"/>
        <v>0.76088988595999252</v>
      </c>
      <c r="AC26" s="79">
        <f t="shared" si="44"/>
        <v>0.7582289055973267</v>
      </c>
      <c r="AD26" s="79">
        <f t="shared" si="44"/>
        <v>0.75605642440969023</v>
      </c>
      <c r="AE26" s="79">
        <f t="shared" si="44"/>
        <v>0.74708333333333332</v>
      </c>
      <c r="AF26" s="80">
        <f t="shared" si="44"/>
        <v>0.75</v>
      </c>
      <c r="AG26" s="79">
        <f t="shared" si="44"/>
        <v>0.75</v>
      </c>
      <c r="AH26" s="79">
        <f t="shared" si="44"/>
        <v>0.75</v>
      </c>
      <c r="AI26" s="79">
        <f t="shared" si="44"/>
        <v>0.75</v>
      </c>
      <c r="AJ26" s="79">
        <f t="shared" si="44"/>
        <v>0.75</v>
      </c>
      <c r="AK26" s="79">
        <f t="shared" si="44"/>
        <v>0.75</v>
      </c>
      <c r="AL26" s="79">
        <f t="shared" si="44"/>
        <v>0.75000000000000011</v>
      </c>
      <c r="AM26" s="79">
        <f t="shared" si="44"/>
        <v>0.75</v>
      </c>
      <c r="AN26" s="79">
        <f t="shared" si="44"/>
        <v>0.74999999999999989</v>
      </c>
      <c r="AO26" s="79">
        <f t="shared" si="44"/>
        <v>0.75</v>
      </c>
      <c r="AQ26" s="81" t="s">
        <v>122</v>
      </c>
      <c r="AR26" s="81">
        <f>(AR25-B4)/B4</f>
        <v>0.82110348736752503</v>
      </c>
    </row>
    <row r="27" spans="1:205" s="79" customFormat="1" x14ac:dyDescent="0.25">
      <c r="B27" s="80"/>
      <c r="C27" s="79" t="s">
        <v>38</v>
      </c>
      <c r="D27" s="79">
        <f t="shared" ref="D27:S27" si="45">D9/D4</f>
        <v>0.24335548172757476</v>
      </c>
      <c r="E27" s="79">
        <f t="shared" si="45"/>
        <v>0.24593639575971732</v>
      </c>
      <c r="F27" s="79">
        <f t="shared" si="45"/>
        <v>0.22621722846441947</v>
      </c>
      <c r="G27" s="79">
        <f t="shared" si="45"/>
        <v>0.19569892473118281</v>
      </c>
      <c r="H27" s="79">
        <f t="shared" si="45"/>
        <v>0.22315789473684211</v>
      </c>
      <c r="I27" s="79">
        <f t="shared" si="45"/>
        <v>0.25315656565656564</v>
      </c>
      <c r="J27" s="79">
        <f t="shared" si="45"/>
        <v>0.25287356321839083</v>
      </c>
      <c r="K27" s="79">
        <f t="shared" si="45"/>
        <v>0.23246492985971945</v>
      </c>
      <c r="L27" s="79">
        <f t="shared" si="45"/>
        <v>0.23372395833333334</v>
      </c>
      <c r="M27" s="79">
        <f t="shared" si="45"/>
        <v>0.26892201834862384</v>
      </c>
      <c r="N27" s="79">
        <f t="shared" si="45"/>
        <v>0.2406822488945041</v>
      </c>
      <c r="O27" s="79">
        <f t="shared" si="45"/>
        <v>0.23327305605786619</v>
      </c>
      <c r="P27" s="79">
        <f t="shared" si="45"/>
        <v>0.21613832853025935</v>
      </c>
      <c r="Q27" s="79">
        <f t="shared" si="45"/>
        <v>0.25039957378795952</v>
      </c>
      <c r="R27" s="79">
        <f t="shared" si="45"/>
        <v>0.23844837421563034</v>
      </c>
      <c r="S27" s="79">
        <f t="shared" si="45"/>
        <v>0.23227917121046893</v>
      </c>
      <c r="T27" s="79">
        <f t="shared" ref="T27" si="46">T9/T4</f>
        <v>0.2220988339811216</v>
      </c>
      <c r="U27" s="79">
        <f>U9/U4</f>
        <v>0.24651609802979338</v>
      </c>
      <c r="Z27" s="79">
        <f t="shared" ref="Z27:AO27" si="47">Z9/Z4</f>
        <v>0.24196891191709843</v>
      </c>
      <c r="AA27" s="79">
        <f t="shared" si="47"/>
        <v>0.2512690355329949</v>
      </c>
      <c r="AB27" s="79">
        <f t="shared" si="47"/>
        <v>0.22751916246027296</v>
      </c>
      <c r="AC27" s="79">
        <f t="shared" si="47"/>
        <v>0.24076858813700919</v>
      </c>
      <c r="AD27" s="79">
        <f t="shared" si="47"/>
        <v>0.24471021159153633</v>
      </c>
      <c r="AE27" s="79">
        <f t="shared" si="47"/>
        <v>0.23444444444444446</v>
      </c>
      <c r="AF27" s="80">
        <f t="shared" si="47"/>
        <v>0.23879439784612194</v>
      </c>
      <c r="AG27" s="79">
        <f t="shared" si="47"/>
        <v>0.24120574502609313</v>
      </c>
      <c r="AH27" s="79">
        <f t="shared" si="47"/>
        <v>0.24360571792691349</v>
      </c>
      <c r="AI27" s="79">
        <f t="shared" si="47"/>
        <v>0.24360571792691346</v>
      </c>
      <c r="AJ27" s="79">
        <f t="shared" si="47"/>
        <v>0.24360571792691352</v>
      </c>
      <c r="AK27" s="79">
        <f t="shared" si="47"/>
        <v>0.24360571792691363</v>
      </c>
      <c r="AL27" s="79">
        <f t="shared" si="47"/>
        <v>0.24360571792691366</v>
      </c>
      <c r="AM27" s="79">
        <f t="shared" si="47"/>
        <v>0.24360571792691355</v>
      </c>
      <c r="AN27" s="79">
        <f t="shared" si="47"/>
        <v>0.24360571792691357</v>
      </c>
      <c r="AO27" s="79">
        <f t="shared" si="47"/>
        <v>0.24360571792691363</v>
      </c>
    </row>
    <row r="28" spans="1:205" s="79" customFormat="1" x14ac:dyDescent="0.25">
      <c r="B28" s="80"/>
      <c r="C28" s="79" t="s">
        <v>110</v>
      </c>
      <c r="D28" s="79">
        <f t="shared" ref="D28:S28" si="48">D11/D4</f>
        <v>0.14700996677740863</v>
      </c>
      <c r="E28" s="79">
        <f t="shared" si="48"/>
        <v>0.15901060070671377</v>
      </c>
      <c r="F28" s="79">
        <f t="shared" si="48"/>
        <v>0.12584269662921349</v>
      </c>
      <c r="G28" s="79">
        <f t="shared" si="48"/>
        <v>9.1039426523297495E-2</v>
      </c>
      <c r="H28" s="79">
        <f t="shared" si="48"/>
        <v>0.12</v>
      </c>
      <c r="I28" s="79">
        <f t="shared" si="48"/>
        <v>0.16224747474747475</v>
      </c>
      <c r="J28" s="79">
        <f t="shared" si="48"/>
        <v>0.15077755240027046</v>
      </c>
      <c r="K28" s="79">
        <f t="shared" si="48"/>
        <v>0.13360053440213762</v>
      </c>
      <c r="L28" s="79">
        <f t="shared" si="48"/>
        <v>0.13411458333333334</v>
      </c>
      <c r="M28" s="79">
        <f t="shared" si="48"/>
        <v>0.17889908256880735</v>
      </c>
      <c r="N28" s="79">
        <f t="shared" si="48"/>
        <v>0.13897662665824384</v>
      </c>
      <c r="O28" s="79">
        <f t="shared" si="48"/>
        <v>0.13200723327305605</v>
      </c>
      <c r="P28" s="79">
        <f t="shared" si="48"/>
        <v>0.11930835734870317</v>
      </c>
      <c r="Q28" s="79">
        <f t="shared" si="48"/>
        <v>0.15929675013319125</v>
      </c>
      <c r="R28" s="79">
        <f t="shared" si="48"/>
        <v>0.13633770678836279</v>
      </c>
      <c r="S28" s="79">
        <f t="shared" si="48"/>
        <v>0.13413304252998909</v>
      </c>
      <c r="T28" s="79">
        <f t="shared" ref="T28:U28" si="49">T11/T4</f>
        <v>0.12104386451971128</v>
      </c>
      <c r="U28" s="79">
        <f t="shared" si="49"/>
        <v>0.15665545410860163</v>
      </c>
      <c r="Z28" s="79">
        <f t="shared" ref="Z28:AO28" si="50">Z11/Z4</f>
        <v>0.12668393782383419</v>
      </c>
      <c r="AA28" s="79">
        <f t="shared" si="50"/>
        <v>0.15313028764805414</v>
      </c>
      <c r="AB28" s="79">
        <f t="shared" si="50"/>
        <v>0.12357449990652458</v>
      </c>
      <c r="AC28" s="79">
        <f t="shared" si="50"/>
        <v>0.1368421052631579</v>
      </c>
      <c r="AD28" s="79">
        <f t="shared" si="50"/>
        <v>0.14520085863232138</v>
      </c>
      <c r="AE28" s="79">
        <f t="shared" si="50"/>
        <v>0.13694444444444445</v>
      </c>
      <c r="AF28" s="80">
        <f t="shared" si="50"/>
        <v>0.14300895723309512</v>
      </c>
      <c r="AG28" s="79">
        <f t="shared" si="50"/>
        <v>0.14542030441306628</v>
      </c>
      <c r="AH28" s="79">
        <f t="shared" si="50"/>
        <v>0.15233845847487848</v>
      </c>
      <c r="AI28" s="79">
        <f t="shared" si="50"/>
        <v>0.15664351788299333</v>
      </c>
      <c r="AJ28" s="79">
        <f t="shared" si="50"/>
        <v>0.16074550845110283</v>
      </c>
      <c r="AK28" s="79">
        <f t="shared" si="50"/>
        <v>0.16465400889807513</v>
      </c>
      <c r="AL28" s="79">
        <f t="shared" si="50"/>
        <v>0.1683781461164166</v>
      </c>
      <c r="AM28" s="79">
        <f t="shared" si="50"/>
        <v>0.17192661648483618</v>
      </c>
      <c r="AN28" s="79">
        <f t="shared" si="50"/>
        <v>0.17530770617550023</v>
      </c>
      <c r="AO28" s="79">
        <f t="shared" si="50"/>
        <v>0.17852931050339713</v>
      </c>
    </row>
    <row r="29" spans="1:205" s="79" customFormat="1" x14ac:dyDescent="0.25">
      <c r="B29" s="80"/>
      <c r="C29" s="79" t="s">
        <v>34</v>
      </c>
      <c r="D29" s="79">
        <f t="shared" ref="D29:S29" si="51">D13/D4</f>
        <v>0.11710963455149502</v>
      </c>
      <c r="E29" s="79">
        <f t="shared" si="51"/>
        <v>0.13356890459363957</v>
      </c>
      <c r="F29" s="79">
        <f t="shared" si="51"/>
        <v>9.8876404494382023E-2</v>
      </c>
      <c r="G29" s="79">
        <f t="shared" si="51"/>
        <v>6.4516129032258063E-2</v>
      </c>
      <c r="H29" s="79">
        <f t="shared" si="51"/>
        <v>9.3333333333333338E-2</v>
      </c>
      <c r="I29" s="79">
        <f t="shared" si="51"/>
        <v>0.13825757575757575</v>
      </c>
      <c r="J29" s="79">
        <f t="shared" si="51"/>
        <v>0.12440838404327248</v>
      </c>
      <c r="K29" s="79">
        <f t="shared" si="51"/>
        <v>0.10754843019372078</v>
      </c>
      <c r="L29" s="79">
        <f t="shared" si="51"/>
        <v>0.111328125</v>
      </c>
      <c r="M29" s="79">
        <f t="shared" si="51"/>
        <v>0.15768348623853212</v>
      </c>
      <c r="N29" s="79">
        <f t="shared" si="51"/>
        <v>0.11813013265950727</v>
      </c>
      <c r="O29" s="79">
        <f t="shared" si="51"/>
        <v>0.11211573236889692</v>
      </c>
      <c r="P29" s="79">
        <f t="shared" si="51"/>
        <v>0.10028818443804034</v>
      </c>
      <c r="Q29" s="79">
        <f t="shared" si="51"/>
        <v>0.14224826851358552</v>
      </c>
      <c r="R29" s="79">
        <f t="shared" si="51"/>
        <v>0.11808328579577866</v>
      </c>
      <c r="S29" s="79">
        <f t="shared" si="51"/>
        <v>0.11668484187568157</v>
      </c>
      <c r="T29" s="79">
        <f t="shared" ref="T29:U29" si="52">T13/T4</f>
        <v>0.10327595780122155</v>
      </c>
      <c r="U29" s="79">
        <f t="shared" si="52"/>
        <v>0.13935607880826525</v>
      </c>
      <c r="V29" s="81"/>
      <c r="W29" s="81"/>
      <c r="X29" s="81"/>
      <c r="Y29" s="81"/>
      <c r="Z29" s="79">
        <f t="shared" ref="Z29:AO29" si="53">Z13/Z4</f>
        <v>0.10414507772020726</v>
      </c>
      <c r="AA29" s="79">
        <f t="shared" si="53"/>
        <v>0.13388324873096447</v>
      </c>
      <c r="AB29" s="79">
        <f t="shared" si="53"/>
        <v>0.10319685922602355</v>
      </c>
      <c r="AC29" s="79">
        <f t="shared" si="53"/>
        <v>0.11629072681704261</v>
      </c>
      <c r="AD29" s="79">
        <f t="shared" si="53"/>
        <v>0.12557497700091996</v>
      </c>
      <c r="AE29" s="79">
        <f t="shared" si="53"/>
        <v>0.11972222222222222</v>
      </c>
      <c r="AF29" s="80">
        <f t="shared" si="53"/>
        <v>0.12644066480273372</v>
      </c>
      <c r="AG29" s="79">
        <f t="shared" si="53"/>
        <v>0.12916462127384379</v>
      </c>
      <c r="AH29" s="79">
        <f t="shared" si="53"/>
        <v>0.13684955284222308</v>
      </c>
      <c r="AI29" s="79">
        <f t="shared" si="53"/>
        <v>0.14188522100659523</v>
      </c>
      <c r="AJ29" s="79">
        <f t="shared" si="53"/>
        <v>0.14668335765378013</v>
      </c>
      <c r="AK29" s="79">
        <f t="shared" si="53"/>
        <v>0.15125516710062614</v>
      </c>
      <c r="AL29" s="79">
        <f t="shared" si="53"/>
        <v>0.15561132515846993</v>
      </c>
      <c r="AM29" s="79">
        <f t="shared" si="53"/>
        <v>0.15976200406264171</v>
      </c>
      <c r="AN29" s="79">
        <f t="shared" si="53"/>
        <v>0.16371689622605079</v>
      </c>
      <c r="AO29" s="79">
        <f t="shared" si="53"/>
        <v>0.16748523687231795</v>
      </c>
    </row>
    <row r="30" spans="1:205" s="79" customFormat="1" x14ac:dyDescent="0.25">
      <c r="B30" s="80"/>
      <c r="C30" s="79" t="s">
        <v>37</v>
      </c>
      <c r="AA30" s="79">
        <f>AA18/AA55</f>
        <v>2.0572811617587738E-2</v>
      </c>
      <c r="AB30" s="79">
        <v>0.129</v>
      </c>
      <c r="AC30" s="79">
        <v>0.122</v>
      </c>
      <c r="AD30" s="79">
        <v>0.14499999999999999</v>
      </c>
      <c r="AE30" s="79">
        <v>0.184</v>
      </c>
      <c r="AF30" s="80"/>
    </row>
    <row r="31" spans="1:205" s="13" customFormat="1" x14ac:dyDescent="0.25">
      <c r="B31" s="26"/>
      <c r="T31" s="2"/>
      <c r="U31" s="2"/>
      <c r="V31" s="2"/>
      <c r="W31" s="2"/>
      <c r="X31" s="2"/>
      <c r="Y31" s="2"/>
      <c r="Z31" s="2"/>
      <c r="AF31" s="3"/>
      <c r="AG31" s="2"/>
      <c r="AH31" s="2"/>
      <c r="AI31" s="2"/>
      <c r="AJ31" s="2"/>
      <c r="AK31" s="2"/>
      <c r="AL31" s="2"/>
      <c r="AM31" s="2"/>
      <c r="AN31" s="2"/>
      <c r="AO31" s="2"/>
    </row>
    <row r="32" spans="1:205" x14ac:dyDescent="0.25">
      <c r="C32" s="2" t="s">
        <v>146</v>
      </c>
      <c r="D32" s="2">
        <v>419</v>
      </c>
      <c r="E32" s="2">
        <v>449</v>
      </c>
      <c r="F32" s="2">
        <v>478</v>
      </c>
      <c r="G32" s="2">
        <v>511</v>
      </c>
      <c r="H32" s="2">
        <v>542</v>
      </c>
      <c r="I32" s="2">
        <v>572</v>
      </c>
      <c r="J32" s="2">
        <v>595</v>
      </c>
      <c r="K32" s="2">
        <v>620</v>
      </c>
      <c r="L32" s="2">
        <v>645</v>
      </c>
      <c r="M32" s="2">
        <v>667</v>
      </c>
      <c r="N32" s="2">
        <v>683</v>
      </c>
      <c r="O32" s="2">
        <v>703</v>
      </c>
      <c r="P32" s="2">
        <v>718</v>
      </c>
      <c r="Q32" s="2">
        <v>730</v>
      </c>
      <c r="R32" s="2">
        <v>741</v>
      </c>
      <c r="S32" s="2">
        <v>756</v>
      </c>
      <c r="T32" s="2">
        <v>770</v>
      </c>
      <c r="U32" s="2">
        <v>782</v>
      </c>
      <c r="AB32" s="2">
        <v>511</v>
      </c>
      <c r="AC32" s="2">
        <v>620</v>
      </c>
      <c r="AD32" s="2">
        <v>703</v>
      </c>
      <c r="AE32" s="2">
        <v>756</v>
      </c>
    </row>
    <row r="33" spans="2:41" s="13" customFormat="1" x14ac:dyDescent="0.25">
      <c r="B33" s="26"/>
      <c r="C33" s="13" t="s">
        <v>148</v>
      </c>
      <c r="E33" s="13">
        <f t="shared" ref="E33:S33" si="54">(E32-D32)/D32</f>
        <v>7.1599045346062054E-2</v>
      </c>
      <c r="F33" s="13">
        <f t="shared" si="54"/>
        <v>6.4587973273942098E-2</v>
      </c>
      <c r="G33" s="13">
        <f t="shared" si="54"/>
        <v>6.903765690376569E-2</v>
      </c>
      <c r="H33" s="13">
        <f t="shared" si="54"/>
        <v>6.0665362035225046E-2</v>
      </c>
      <c r="I33" s="13">
        <f t="shared" si="54"/>
        <v>5.5350553505535055E-2</v>
      </c>
      <c r="J33" s="13">
        <f t="shared" si="54"/>
        <v>4.0209790209790208E-2</v>
      </c>
      <c r="K33" s="13">
        <f t="shared" si="54"/>
        <v>4.2016806722689079E-2</v>
      </c>
      <c r="L33" s="13">
        <f t="shared" si="54"/>
        <v>4.0322580645161289E-2</v>
      </c>
      <c r="M33" s="13">
        <f t="shared" si="54"/>
        <v>3.4108527131782945E-2</v>
      </c>
      <c r="N33" s="13">
        <f t="shared" si="54"/>
        <v>2.3988005997001498E-2</v>
      </c>
      <c r="O33" s="13">
        <f t="shared" si="54"/>
        <v>2.9282576866764276E-2</v>
      </c>
      <c r="P33" s="13">
        <f t="shared" si="54"/>
        <v>2.1337126600284494E-2</v>
      </c>
      <c r="Q33" s="13">
        <f t="shared" si="54"/>
        <v>1.6713091922005572E-2</v>
      </c>
      <c r="R33" s="13">
        <f t="shared" si="54"/>
        <v>1.5068493150684932E-2</v>
      </c>
      <c r="S33" s="13">
        <f t="shared" si="54"/>
        <v>2.0242914979757085E-2</v>
      </c>
      <c r="T33" s="13">
        <f>(T32-S32)/S32</f>
        <v>1.8518518518518517E-2</v>
      </c>
      <c r="U33" s="13">
        <f>(U32-T32)/T32</f>
        <v>1.5584415584415584E-2</v>
      </c>
      <c r="AF33" s="26"/>
    </row>
    <row r="34" spans="2:41" s="13" customFormat="1" x14ac:dyDescent="0.25">
      <c r="B34" s="26"/>
      <c r="C34" s="13" t="s">
        <v>147</v>
      </c>
      <c r="D34" s="13">
        <v>2.1999999999999999E-2</v>
      </c>
      <c r="E34" s="13">
        <v>2.12E-2</v>
      </c>
      <c r="F34" s="13">
        <v>2.1700000000000001E-2</v>
      </c>
      <c r="G34" s="13">
        <v>2.1100000000000001E-2</v>
      </c>
      <c r="H34" s="13">
        <v>2.1700000000000001E-2</v>
      </c>
      <c r="I34" s="13">
        <v>1.8599999999999998E-2</v>
      </c>
      <c r="J34" s="13">
        <v>2.0400000000000001E-2</v>
      </c>
      <c r="K34" s="13">
        <v>2.2800000000000001E-2</v>
      </c>
      <c r="L34" s="13">
        <v>2.3300000000000001E-2</v>
      </c>
      <c r="M34" s="13">
        <v>2.5100000000000001E-2</v>
      </c>
      <c r="N34" s="13">
        <v>2.5999999999999999E-2</v>
      </c>
      <c r="O34" s="13">
        <v>2.69E-2</v>
      </c>
      <c r="P34" s="13">
        <v>2.8400000000000002E-2</v>
      </c>
      <c r="Q34" s="13">
        <v>2.9100000000000001E-2</v>
      </c>
      <c r="R34" s="13">
        <v>2.8799999999999999E-2</v>
      </c>
      <c r="S34" s="13">
        <v>2.9700000000000001E-2</v>
      </c>
      <c r="T34" s="13">
        <v>3.04E-2</v>
      </c>
      <c r="U34" s="13">
        <v>3.0499999999999999E-2</v>
      </c>
      <c r="AC34" s="13">
        <f>(AC32-AB32)/AB32</f>
        <v>0.21330724070450097</v>
      </c>
      <c r="AD34" s="13">
        <f t="shared" ref="AD34" si="55">(AD32-AC32)/AC32</f>
        <v>0.13387096774193549</v>
      </c>
      <c r="AE34" s="13">
        <f>(AE32-AD32)/AD32</f>
        <v>7.5391180654338544E-2</v>
      </c>
      <c r="AF34" s="26"/>
    </row>
    <row r="35" spans="2:41" s="13" customFormat="1" x14ac:dyDescent="0.25">
      <c r="B35" s="26"/>
      <c r="C35" s="66" t="s">
        <v>149</v>
      </c>
      <c r="E35" s="67">
        <f>-E34*D32</f>
        <v>-8.8827999999999996</v>
      </c>
      <c r="F35" s="67">
        <f t="shared" ref="F35:R35" si="56">-F34*E32</f>
        <v>-9.7432999999999996</v>
      </c>
      <c r="G35" s="67">
        <f t="shared" si="56"/>
        <v>-10.085800000000001</v>
      </c>
      <c r="H35" s="67">
        <f t="shared" si="56"/>
        <v>-11.088700000000001</v>
      </c>
      <c r="I35" s="67">
        <f t="shared" si="56"/>
        <v>-10.081199999999999</v>
      </c>
      <c r="J35" s="67">
        <f t="shared" si="56"/>
        <v>-11.668800000000001</v>
      </c>
      <c r="K35" s="67">
        <f t="shared" si="56"/>
        <v>-13.566000000000001</v>
      </c>
      <c r="L35" s="67">
        <f t="shared" si="56"/>
        <v>-14.446000000000002</v>
      </c>
      <c r="M35" s="67">
        <f t="shared" si="56"/>
        <v>-16.189499999999999</v>
      </c>
      <c r="N35" s="67">
        <f t="shared" si="56"/>
        <v>-17.341999999999999</v>
      </c>
      <c r="O35" s="67">
        <f t="shared" si="56"/>
        <v>-18.372700000000002</v>
      </c>
      <c r="P35" s="67">
        <f t="shared" si="56"/>
        <v>-19.965199999999999</v>
      </c>
      <c r="Q35" s="67">
        <f t="shared" si="56"/>
        <v>-20.893800000000002</v>
      </c>
      <c r="R35" s="67">
        <f t="shared" si="56"/>
        <v>-21.024000000000001</v>
      </c>
      <c r="S35" s="67">
        <f>-S34*R32</f>
        <v>-22.0077</v>
      </c>
      <c r="T35" s="67">
        <f>-T34*S32</f>
        <v>-22.982399999999998</v>
      </c>
      <c r="U35" s="67">
        <f>-U34*T32</f>
        <v>-23.484999999999999</v>
      </c>
      <c r="AF35" s="26"/>
    </row>
    <row r="36" spans="2:41" s="13" customFormat="1" x14ac:dyDescent="0.25">
      <c r="B36" s="26"/>
      <c r="C36" s="66" t="s">
        <v>150</v>
      </c>
      <c r="E36" s="68">
        <f t="shared" ref="E36:R36" si="57">E32-D32-E35</f>
        <v>38.882800000000003</v>
      </c>
      <c r="F36" s="68">
        <f t="shared" si="57"/>
        <v>38.743299999999998</v>
      </c>
      <c r="G36" s="68">
        <f t="shared" si="57"/>
        <v>43.085799999999999</v>
      </c>
      <c r="H36" s="68">
        <f t="shared" si="57"/>
        <v>42.088700000000003</v>
      </c>
      <c r="I36" s="68">
        <f t="shared" si="57"/>
        <v>40.081199999999995</v>
      </c>
      <c r="J36" s="68">
        <f t="shared" si="57"/>
        <v>34.668800000000005</v>
      </c>
      <c r="K36" s="68">
        <f t="shared" si="57"/>
        <v>38.566000000000003</v>
      </c>
      <c r="L36" s="68">
        <f t="shared" si="57"/>
        <v>39.445999999999998</v>
      </c>
      <c r="M36" s="68">
        <f t="shared" si="57"/>
        <v>38.189499999999995</v>
      </c>
      <c r="N36" s="68">
        <f t="shared" si="57"/>
        <v>33.341999999999999</v>
      </c>
      <c r="O36" s="68">
        <f t="shared" si="57"/>
        <v>38.372700000000002</v>
      </c>
      <c r="P36" s="68">
        <f t="shared" si="57"/>
        <v>34.965199999999996</v>
      </c>
      <c r="Q36" s="68">
        <f t="shared" si="57"/>
        <v>32.893799999999999</v>
      </c>
      <c r="R36" s="68">
        <f t="shared" si="57"/>
        <v>32.024000000000001</v>
      </c>
      <c r="S36" s="68">
        <f>S32-R32-S35</f>
        <v>37.0077</v>
      </c>
      <c r="T36" s="68">
        <f>T32-S32-T35</f>
        <v>36.982399999999998</v>
      </c>
      <c r="U36" s="68">
        <f>U32-T32-U35</f>
        <v>35.484999999999999</v>
      </c>
      <c r="AF36" s="26"/>
    </row>
    <row r="37" spans="2:41" s="13" customFormat="1" x14ac:dyDescent="0.25">
      <c r="B37" s="26"/>
      <c r="C37" s="69" t="s">
        <v>151</v>
      </c>
      <c r="H37" s="70">
        <v>1.9699999999999999E-2</v>
      </c>
      <c r="I37" s="70">
        <v>1.84E-2</v>
      </c>
      <c r="J37" s="70">
        <v>1.8499999999999999E-2</v>
      </c>
      <c r="K37" s="70">
        <v>2.07E-2</v>
      </c>
      <c r="L37" s="70">
        <v>2.1299999999999999E-2</v>
      </c>
      <c r="M37" s="70">
        <v>2.3099999999999999E-2</v>
      </c>
      <c r="N37" s="70">
        <v>2.3699999999999999E-2</v>
      </c>
      <c r="O37" s="70">
        <v>2.58E-2</v>
      </c>
      <c r="P37" s="70">
        <v>2.6700000000000002E-2</v>
      </c>
      <c r="Q37" s="70">
        <v>2.6800000000000001E-2</v>
      </c>
      <c r="R37" s="70">
        <v>2.6700000000000002E-2</v>
      </c>
      <c r="S37" s="70">
        <v>2.7400000000000001E-2</v>
      </c>
      <c r="T37" s="70">
        <v>2.64E-2</v>
      </c>
      <c r="U37" s="13">
        <v>2.7099999999999999E-2</v>
      </c>
      <c r="AF37" s="26"/>
    </row>
    <row r="38" spans="2:41" s="34" customFormat="1" x14ac:dyDescent="0.25">
      <c r="B38" s="77"/>
      <c r="C38" s="78" t="s">
        <v>206</v>
      </c>
      <c r="U38" s="34">
        <v>0.54</v>
      </c>
      <c r="AF38" s="77"/>
    </row>
    <row r="39" spans="2:41" s="13" customFormat="1" x14ac:dyDescent="0.25">
      <c r="B39" s="26"/>
      <c r="T39" s="2"/>
      <c r="U39" s="2"/>
      <c r="V39" s="2"/>
      <c r="W39" s="2"/>
      <c r="X39" s="2"/>
      <c r="Y39" s="2"/>
      <c r="Z39" s="2"/>
      <c r="AF39" s="3"/>
      <c r="AG39" s="2"/>
      <c r="AH39" s="2"/>
      <c r="AI39" s="2"/>
      <c r="AJ39" s="2"/>
      <c r="AK39" s="2"/>
      <c r="AL39" s="2"/>
      <c r="AM39" s="2"/>
      <c r="AN39" s="2"/>
      <c r="AO39" s="2"/>
    </row>
    <row r="40" spans="2:41" s="1" customFormat="1" x14ac:dyDescent="0.25">
      <c r="B40" s="21"/>
      <c r="C40" s="1" t="s">
        <v>125</v>
      </c>
      <c r="D40" s="1">
        <v>509</v>
      </c>
      <c r="E40" s="1">
        <v>520</v>
      </c>
      <c r="F40" s="1">
        <v>520</v>
      </c>
      <c r="G40" s="1">
        <v>536</v>
      </c>
      <c r="H40" s="1">
        <v>537</v>
      </c>
      <c r="I40" s="1">
        <v>536</v>
      </c>
      <c r="J40" s="1">
        <v>542</v>
      </c>
      <c r="K40" s="1">
        <v>547</v>
      </c>
      <c r="L40" s="1">
        <v>553</v>
      </c>
      <c r="M40" s="1">
        <v>565</v>
      </c>
      <c r="N40" s="1">
        <v>574</v>
      </c>
      <c r="O40" s="1">
        <v>586</v>
      </c>
      <c r="P40" s="1">
        <v>588</v>
      </c>
      <c r="Q40" s="1">
        <v>598</v>
      </c>
      <c r="R40" s="1">
        <v>601</v>
      </c>
      <c r="S40" s="1">
        <v>603</v>
      </c>
      <c r="T40" s="1">
        <v>602</v>
      </c>
      <c r="U40" s="1">
        <v>604</v>
      </c>
      <c r="AF40" s="21"/>
    </row>
    <row r="41" spans="2:41" x14ac:dyDescent="0.25">
      <c r="C41" s="2" t="s">
        <v>126</v>
      </c>
      <c r="D41" s="2">
        <v>476</v>
      </c>
      <c r="E41" s="2">
        <v>487</v>
      </c>
      <c r="F41" s="2">
        <v>487</v>
      </c>
      <c r="G41" s="2">
        <v>503</v>
      </c>
      <c r="H41" s="2">
        <v>504</v>
      </c>
      <c r="I41" s="2">
        <v>504</v>
      </c>
      <c r="J41" s="2">
        <v>511</v>
      </c>
      <c r="K41" s="2">
        <v>517</v>
      </c>
      <c r="L41" s="2">
        <v>526</v>
      </c>
      <c r="M41" s="2">
        <v>538</v>
      </c>
      <c r="N41" s="2">
        <v>547</v>
      </c>
      <c r="O41" s="2">
        <v>560</v>
      </c>
      <c r="P41" s="2">
        <v>562</v>
      </c>
      <c r="Q41" s="2">
        <v>573</v>
      </c>
      <c r="R41" s="2">
        <v>576</v>
      </c>
      <c r="S41" s="2">
        <v>578</v>
      </c>
      <c r="T41" s="2">
        <v>579</v>
      </c>
      <c r="U41" s="2">
        <v>584</v>
      </c>
    </row>
    <row r="42" spans="2:41" x14ac:dyDescent="0.25">
      <c r="C42" s="2" t="s">
        <v>127</v>
      </c>
      <c r="D42" s="2">
        <f t="shared" ref="D42:R42" si="58">D40-D41</f>
        <v>33</v>
      </c>
      <c r="E42" s="2">
        <f t="shared" si="58"/>
        <v>33</v>
      </c>
      <c r="F42" s="2">
        <f t="shared" si="58"/>
        <v>33</v>
      </c>
      <c r="G42" s="2">
        <f t="shared" si="58"/>
        <v>33</v>
      </c>
      <c r="H42" s="2">
        <f t="shared" si="58"/>
        <v>33</v>
      </c>
      <c r="I42" s="2">
        <f t="shared" si="58"/>
        <v>32</v>
      </c>
      <c r="J42" s="2">
        <f t="shared" si="58"/>
        <v>31</v>
      </c>
      <c r="K42" s="2">
        <f t="shared" si="58"/>
        <v>30</v>
      </c>
      <c r="L42" s="2">
        <f t="shared" si="58"/>
        <v>27</v>
      </c>
      <c r="M42" s="2">
        <f t="shared" si="58"/>
        <v>27</v>
      </c>
      <c r="N42" s="2">
        <f t="shared" si="58"/>
        <v>27</v>
      </c>
      <c r="O42" s="2">
        <f t="shared" si="58"/>
        <v>26</v>
      </c>
      <c r="P42" s="2">
        <f t="shared" si="58"/>
        <v>26</v>
      </c>
      <c r="Q42" s="2">
        <f t="shared" si="58"/>
        <v>25</v>
      </c>
      <c r="R42" s="2">
        <f t="shared" si="58"/>
        <v>25</v>
      </c>
      <c r="S42" s="2">
        <f>S40-S41</f>
        <v>25</v>
      </c>
      <c r="T42" s="2">
        <f>T40-T41</f>
        <v>23</v>
      </c>
      <c r="U42" s="2">
        <f>U40-U41</f>
        <v>20</v>
      </c>
    </row>
    <row r="43" spans="2:41" x14ac:dyDescent="0.25"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AD43" s="13"/>
      <c r="AE43" s="13"/>
      <c r="AF43" s="26"/>
      <c r="AG43" s="13"/>
      <c r="AH43" s="13"/>
      <c r="AI43" s="13"/>
      <c r="AJ43" s="13"/>
      <c r="AK43" s="13"/>
      <c r="AL43" s="13"/>
      <c r="AM43" s="13"/>
      <c r="AN43" s="13"/>
      <c r="AO43" s="13"/>
    </row>
    <row r="44" spans="2:41" x14ac:dyDescent="0.25">
      <c r="C44" s="1" t="s">
        <v>44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2:41" x14ac:dyDescent="0.25">
      <c r="C45" s="2" t="s">
        <v>66</v>
      </c>
      <c r="D45" s="15">
        <v>4697</v>
      </c>
      <c r="E45" s="15">
        <v>4683</v>
      </c>
      <c r="F45" s="15">
        <v>4695</v>
      </c>
      <c r="G45" s="15">
        <v>4712</v>
      </c>
      <c r="H45" s="15">
        <v>4647</v>
      </c>
      <c r="I45" s="15">
        <v>4719</v>
      </c>
      <c r="J45" s="15">
        <v>4652</v>
      </c>
      <c r="K45" s="15">
        <v>4541</v>
      </c>
      <c r="L45" s="15">
        <v>4581</v>
      </c>
      <c r="M45" s="15">
        <v>4548</v>
      </c>
      <c r="N45" s="15">
        <v>4482</v>
      </c>
      <c r="O45" s="15">
        <v>4498</v>
      </c>
      <c r="P45" s="15">
        <v>4372</v>
      </c>
      <c r="Q45" s="15">
        <v>4385</v>
      </c>
      <c r="R45" s="15">
        <v>4351</v>
      </c>
      <c r="S45" s="15">
        <v>4273</v>
      </c>
      <c r="T45" s="15">
        <v>4319</v>
      </c>
      <c r="U45" s="15">
        <v>4376</v>
      </c>
      <c r="V45" s="15"/>
      <c r="W45" s="15"/>
      <c r="X45" s="15"/>
      <c r="Y45" s="15"/>
      <c r="Z45" s="15">
        <v>4666</v>
      </c>
      <c r="AA45" s="15">
        <v>4665</v>
      </c>
      <c r="AB45" s="15">
        <v>4712</v>
      </c>
      <c r="AC45" s="15">
        <v>4541</v>
      </c>
      <c r="AD45" s="15">
        <v>4498</v>
      </c>
      <c r="AE45" s="15">
        <v>4273</v>
      </c>
    </row>
    <row r="46" spans="2:41" x14ac:dyDescent="0.25">
      <c r="C46" s="2" t="s">
        <v>67</v>
      </c>
      <c r="D46" s="15">
        <v>569</v>
      </c>
      <c r="E46" s="15">
        <v>646</v>
      </c>
      <c r="F46" s="15">
        <v>651</v>
      </c>
      <c r="G46" s="15">
        <v>699</v>
      </c>
      <c r="H46" s="15">
        <v>703</v>
      </c>
      <c r="I46" s="15">
        <v>703</v>
      </c>
      <c r="J46" s="15">
        <v>681</v>
      </c>
      <c r="K46" s="15">
        <v>680</v>
      </c>
      <c r="L46" s="15">
        <v>695</v>
      </c>
      <c r="M46" s="15">
        <v>722</v>
      </c>
      <c r="N46" s="15">
        <v>743</v>
      </c>
      <c r="O46" s="15">
        <v>787</v>
      </c>
      <c r="P46" s="15">
        <v>787</v>
      </c>
      <c r="Q46" s="15">
        <v>815</v>
      </c>
      <c r="R46" s="15">
        <v>792</v>
      </c>
      <c r="S46" s="15">
        <v>778</v>
      </c>
      <c r="T46" s="15">
        <v>791</v>
      </c>
      <c r="U46" s="15">
        <v>810</v>
      </c>
      <c r="V46" s="15"/>
      <c r="W46" s="15"/>
      <c r="X46" s="15"/>
      <c r="Y46" s="15"/>
      <c r="Z46" s="15">
        <v>394</v>
      </c>
      <c r="AA46" s="15">
        <v>515</v>
      </c>
      <c r="AB46" s="15">
        <v>699</v>
      </c>
      <c r="AC46" s="15">
        <v>680</v>
      </c>
      <c r="AD46" s="15">
        <v>787</v>
      </c>
      <c r="AE46" s="15">
        <v>778</v>
      </c>
    </row>
    <row r="47" spans="2:41" x14ac:dyDescent="0.25">
      <c r="C47" s="2" t="s">
        <v>68</v>
      </c>
      <c r="D47" s="15">
        <v>723</v>
      </c>
      <c r="E47" s="15">
        <v>850</v>
      </c>
      <c r="F47" s="15">
        <v>848</v>
      </c>
      <c r="G47" s="15">
        <v>878</v>
      </c>
      <c r="H47" s="15">
        <v>875</v>
      </c>
      <c r="I47" s="15">
        <v>867</v>
      </c>
      <c r="J47" s="15">
        <v>823</v>
      </c>
      <c r="K47" s="15">
        <v>779</v>
      </c>
      <c r="L47" s="15">
        <v>812</v>
      </c>
      <c r="M47" s="15">
        <v>794</v>
      </c>
      <c r="N47" s="15">
        <v>797</v>
      </c>
      <c r="O47" s="15">
        <v>818</v>
      </c>
      <c r="P47" s="15">
        <v>809</v>
      </c>
      <c r="Q47" s="15">
        <v>827</v>
      </c>
      <c r="R47" s="15">
        <v>792</v>
      </c>
      <c r="S47" s="15">
        <v>807</v>
      </c>
      <c r="T47" s="15">
        <v>910</v>
      </c>
      <c r="U47" s="15">
        <v>928</v>
      </c>
      <c r="V47" s="15"/>
      <c r="W47" s="15"/>
      <c r="X47" s="15"/>
      <c r="Y47" s="15"/>
      <c r="Z47" s="15">
        <v>511</v>
      </c>
      <c r="AA47" s="15">
        <v>684</v>
      </c>
      <c r="AB47" s="15">
        <v>878</v>
      </c>
      <c r="AC47" s="15">
        <v>779</v>
      </c>
      <c r="AD47" s="15">
        <v>818</v>
      </c>
      <c r="AE47" s="15">
        <v>807</v>
      </c>
    </row>
    <row r="48" spans="2:41" x14ac:dyDescent="0.25">
      <c r="C48" s="2" t="s">
        <v>69</v>
      </c>
      <c r="D48" s="15">
        <v>24</v>
      </c>
      <c r="E48" s="15">
        <v>24</v>
      </c>
      <c r="F48" s="15">
        <v>26</v>
      </c>
      <c r="G48" s="15">
        <v>27</v>
      </c>
      <c r="H48" s="15">
        <v>30</v>
      </c>
      <c r="I48" s="15">
        <v>31</v>
      </c>
      <c r="J48" s="15">
        <v>35</v>
      </c>
      <c r="K48" s="15">
        <v>32</v>
      </c>
      <c r="L48" s="15">
        <v>35</v>
      </c>
      <c r="M48" s="15">
        <v>34</v>
      </c>
      <c r="N48" s="15">
        <v>36</v>
      </c>
      <c r="O48" s="15">
        <v>37</v>
      </c>
      <c r="P48" s="15">
        <v>35</v>
      </c>
      <c r="Q48" s="15">
        <v>35</v>
      </c>
      <c r="R48" s="15">
        <v>33</v>
      </c>
      <c r="S48" s="15">
        <v>46</v>
      </c>
      <c r="T48" s="15">
        <v>45</v>
      </c>
      <c r="U48" s="15">
        <v>43</v>
      </c>
      <c r="V48" s="15"/>
      <c r="W48" s="15"/>
      <c r="X48" s="15"/>
      <c r="Y48" s="15"/>
      <c r="Z48" s="15">
        <v>16</v>
      </c>
      <c r="AA48" s="15">
        <v>23</v>
      </c>
      <c r="AB48" s="15">
        <v>27</v>
      </c>
      <c r="AC48" s="15">
        <v>32</v>
      </c>
      <c r="AD48" s="15">
        <v>37</v>
      </c>
      <c r="AE48" s="15">
        <v>46</v>
      </c>
    </row>
    <row r="49" spans="2:41" x14ac:dyDescent="0.25">
      <c r="C49" s="2" t="s">
        <v>70</v>
      </c>
      <c r="D49" s="15">
        <v>58</v>
      </c>
      <c r="E49" s="15">
        <v>59</v>
      </c>
      <c r="F49" s="15">
        <v>60</v>
      </c>
      <c r="G49" s="15">
        <v>60</v>
      </c>
      <c r="H49" s="15">
        <v>61</v>
      </c>
      <c r="I49" s="15">
        <v>72</v>
      </c>
      <c r="J49" s="15">
        <v>70</v>
      </c>
      <c r="K49" s="15">
        <v>72</v>
      </c>
      <c r="L49" s="15">
        <v>76</v>
      </c>
      <c r="M49" s="15">
        <v>74</v>
      </c>
      <c r="N49" s="15">
        <v>73</v>
      </c>
      <c r="O49" s="15">
        <v>71</v>
      </c>
      <c r="P49" s="15">
        <v>91</v>
      </c>
      <c r="Q49" s="15">
        <v>85</v>
      </c>
      <c r="R49" s="15">
        <v>77</v>
      </c>
      <c r="S49" s="15">
        <v>85</v>
      </c>
      <c r="T49" s="15">
        <v>87</v>
      </c>
      <c r="U49" s="15">
        <v>96</v>
      </c>
      <c r="V49" s="15"/>
      <c r="W49" s="15"/>
      <c r="X49" s="15"/>
      <c r="Y49" s="15"/>
      <c r="Z49" s="15">
        <v>52</v>
      </c>
      <c r="AA49" s="15">
        <v>61</v>
      </c>
      <c r="AB49" s="15">
        <v>60</v>
      </c>
      <c r="AC49" s="15">
        <v>72</v>
      </c>
      <c r="AD49" s="15">
        <v>71</v>
      </c>
      <c r="AE49" s="15">
        <v>85</v>
      </c>
    </row>
    <row r="50" spans="2:41" x14ac:dyDescent="0.25">
      <c r="C50" s="2" t="s">
        <v>71</v>
      </c>
      <c r="D50" s="15">
        <v>537</v>
      </c>
      <c r="E50" s="15">
        <v>557</v>
      </c>
      <c r="F50" s="15">
        <v>595</v>
      </c>
      <c r="G50" s="15">
        <v>597</v>
      </c>
      <c r="H50" s="15">
        <v>676</v>
      </c>
      <c r="I50" s="15">
        <v>705</v>
      </c>
      <c r="J50" s="15">
        <v>719</v>
      </c>
      <c r="K50" s="15">
        <v>707</v>
      </c>
      <c r="L50" s="15">
        <v>773</v>
      </c>
      <c r="M50" s="15">
        <v>784</v>
      </c>
      <c r="N50" s="15">
        <v>768</v>
      </c>
      <c r="O50" s="15">
        <v>832</v>
      </c>
      <c r="P50" s="15">
        <v>836</v>
      </c>
      <c r="Q50" s="15">
        <v>874</v>
      </c>
      <c r="R50" s="15">
        <v>871</v>
      </c>
      <c r="S50" s="15">
        <v>893</v>
      </c>
      <c r="T50" s="15">
        <v>971</v>
      </c>
      <c r="U50" s="15">
        <v>1092</v>
      </c>
      <c r="V50" s="15"/>
      <c r="W50" s="15"/>
      <c r="X50" s="15"/>
      <c r="Y50" s="15"/>
      <c r="Z50" s="15">
        <v>383</v>
      </c>
      <c r="AA50" s="15">
        <v>451</v>
      </c>
      <c r="AB50" s="15">
        <v>597</v>
      </c>
      <c r="AC50" s="15">
        <v>707</v>
      </c>
      <c r="AD50" s="15">
        <v>832</v>
      </c>
      <c r="AE50" s="15">
        <v>893</v>
      </c>
    </row>
    <row r="51" spans="2:41" x14ac:dyDescent="0.25">
      <c r="C51" s="2" t="s">
        <v>72</v>
      </c>
      <c r="D51" s="15">
        <v>509</v>
      </c>
      <c r="E51" s="15">
        <v>376</v>
      </c>
      <c r="F51" s="15">
        <v>385</v>
      </c>
      <c r="G51" s="15">
        <v>414</v>
      </c>
      <c r="H51" s="15">
        <v>539</v>
      </c>
      <c r="I51" s="15">
        <v>482</v>
      </c>
      <c r="J51" s="15">
        <v>446</v>
      </c>
      <c r="K51" s="15">
        <v>486</v>
      </c>
      <c r="L51" s="15">
        <v>561</v>
      </c>
      <c r="M51" s="15">
        <v>559</v>
      </c>
      <c r="N51" s="15">
        <v>495</v>
      </c>
      <c r="O51" s="15">
        <v>607</v>
      </c>
      <c r="P51" s="15">
        <v>516</v>
      </c>
      <c r="Q51" s="15">
        <v>260</v>
      </c>
      <c r="R51" s="15">
        <v>212</v>
      </c>
      <c r="S51" s="15">
        <v>249</v>
      </c>
      <c r="T51" s="15">
        <v>342</v>
      </c>
      <c r="U51" s="15">
        <v>275</v>
      </c>
      <c r="V51" s="15"/>
      <c r="W51" s="15"/>
      <c r="X51" s="15"/>
      <c r="Y51" s="15"/>
      <c r="Z51" s="15">
        <v>313</v>
      </c>
      <c r="AA51" s="15">
        <v>308</v>
      </c>
      <c r="AB51" s="15">
        <v>414</v>
      </c>
      <c r="AC51" s="15">
        <v>486</v>
      </c>
      <c r="AD51" s="15">
        <v>607</v>
      </c>
      <c r="AE51" s="15">
        <v>249</v>
      </c>
    </row>
    <row r="52" spans="2:41" s="1" customFormat="1" x14ac:dyDescent="0.25">
      <c r="B52" s="21"/>
      <c r="C52" s="2" t="s">
        <v>73</v>
      </c>
      <c r="D52" s="15">
        <v>169</v>
      </c>
      <c r="E52" s="15">
        <v>189</v>
      </c>
      <c r="F52" s="15">
        <v>188</v>
      </c>
      <c r="G52" s="15">
        <v>189</v>
      </c>
      <c r="H52" s="15">
        <v>203</v>
      </c>
      <c r="I52" s="15">
        <v>213</v>
      </c>
      <c r="J52" s="15">
        <v>210</v>
      </c>
      <c r="K52" s="15">
        <v>158</v>
      </c>
      <c r="L52" s="15">
        <v>206</v>
      </c>
      <c r="M52" s="15">
        <v>158</v>
      </c>
      <c r="N52" s="15">
        <v>182</v>
      </c>
      <c r="O52" s="15">
        <v>175</v>
      </c>
      <c r="P52" s="15">
        <v>185</v>
      </c>
      <c r="Q52" s="15">
        <v>203</v>
      </c>
      <c r="R52" s="15">
        <v>193</v>
      </c>
      <c r="S52" s="15">
        <v>214</v>
      </c>
      <c r="T52" s="15">
        <v>237</v>
      </c>
      <c r="U52" s="15">
        <v>237</v>
      </c>
      <c r="V52" s="15"/>
      <c r="W52" s="15"/>
      <c r="X52" s="15"/>
      <c r="Y52" s="15"/>
      <c r="Z52" s="15">
        <v>114</v>
      </c>
      <c r="AA52" s="15">
        <v>141</v>
      </c>
      <c r="AB52" s="15">
        <v>188</v>
      </c>
      <c r="AC52" s="15">
        <v>157</v>
      </c>
      <c r="AD52" s="15">
        <v>174</v>
      </c>
      <c r="AE52" s="15">
        <v>214</v>
      </c>
      <c r="AF52" s="3"/>
      <c r="AG52" s="2"/>
      <c r="AH52" s="2"/>
      <c r="AI52" s="2"/>
      <c r="AJ52" s="2"/>
      <c r="AK52" s="2"/>
      <c r="AL52" s="2"/>
      <c r="AM52" s="2"/>
      <c r="AN52" s="2"/>
      <c r="AO52" s="2"/>
    </row>
    <row r="53" spans="2:41" s="6" customFormat="1" x14ac:dyDescent="0.25">
      <c r="B53" s="28"/>
      <c r="C53" s="2" t="s">
        <v>74</v>
      </c>
      <c r="D53" s="15">
        <v>560</v>
      </c>
      <c r="E53" s="15">
        <v>423</v>
      </c>
      <c r="F53" s="15">
        <v>508</v>
      </c>
      <c r="G53" s="15">
        <v>444</v>
      </c>
      <c r="H53" s="15">
        <v>502</v>
      </c>
      <c r="I53" s="15">
        <v>479</v>
      </c>
      <c r="J53" s="15">
        <v>446</v>
      </c>
      <c r="K53" s="15">
        <v>582</v>
      </c>
      <c r="L53" s="15">
        <v>568</v>
      </c>
      <c r="M53" s="15">
        <v>543</v>
      </c>
      <c r="N53" s="15">
        <v>567</v>
      </c>
      <c r="O53" s="15">
        <v>420</v>
      </c>
      <c r="P53" s="15">
        <v>533</v>
      </c>
      <c r="Q53" s="15">
        <v>575</v>
      </c>
      <c r="R53" s="15">
        <v>562</v>
      </c>
      <c r="S53" s="15">
        <v>600</v>
      </c>
      <c r="T53" s="15">
        <v>736</v>
      </c>
      <c r="U53" s="15">
        <v>648</v>
      </c>
      <c r="V53" s="15"/>
      <c r="W53" s="15"/>
      <c r="X53" s="15"/>
      <c r="Y53" s="15"/>
      <c r="Z53" s="15">
        <v>809</v>
      </c>
      <c r="AA53" s="15">
        <v>755</v>
      </c>
      <c r="AB53" s="15">
        <v>444</v>
      </c>
      <c r="AC53" s="15">
        <v>582</v>
      </c>
      <c r="AD53" s="15">
        <v>420</v>
      </c>
      <c r="AE53" s="15">
        <v>600</v>
      </c>
      <c r="AF53" s="21"/>
      <c r="AG53" s="1"/>
      <c r="AH53" s="1"/>
      <c r="AI53" s="1"/>
      <c r="AJ53" s="1"/>
      <c r="AK53" s="1"/>
      <c r="AL53" s="1"/>
      <c r="AM53" s="1"/>
      <c r="AN53" s="1"/>
      <c r="AO53" s="1"/>
    </row>
    <row r="54" spans="2:41" x14ac:dyDescent="0.25">
      <c r="C54" s="1" t="s">
        <v>75</v>
      </c>
      <c r="D54" s="16">
        <f t="shared" ref="D54:U54" si="59">SUM(D45:D53)</f>
        <v>7846</v>
      </c>
      <c r="E54" s="16">
        <f t="shared" si="59"/>
        <v>7807</v>
      </c>
      <c r="F54" s="16">
        <f t="shared" si="59"/>
        <v>7956</v>
      </c>
      <c r="G54" s="16">
        <f t="shared" si="59"/>
        <v>8020</v>
      </c>
      <c r="H54" s="16">
        <f t="shared" si="59"/>
        <v>8236</v>
      </c>
      <c r="I54" s="16">
        <f t="shared" si="59"/>
        <v>8271</v>
      </c>
      <c r="J54" s="16">
        <f t="shared" si="59"/>
        <v>8082</v>
      </c>
      <c r="K54" s="16">
        <f t="shared" si="59"/>
        <v>8037</v>
      </c>
      <c r="L54" s="16">
        <f t="shared" si="59"/>
        <v>8307</v>
      </c>
      <c r="M54" s="16">
        <f t="shared" si="59"/>
        <v>8216</v>
      </c>
      <c r="N54" s="16">
        <f t="shared" si="59"/>
        <v>8143</v>
      </c>
      <c r="O54" s="16">
        <f t="shared" si="59"/>
        <v>8245</v>
      </c>
      <c r="P54" s="16">
        <f t="shared" si="59"/>
        <v>8164</v>
      </c>
      <c r="Q54" s="16">
        <f t="shared" si="59"/>
        <v>8059</v>
      </c>
      <c r="R54" s="16">
        <f t="shared" si="59"/>
        <v>7883</v>
      </c>
      <c r="S54" s="16">
        <f t="shared" si="59"/>
        <v>7945</v>
      </c>
      <c r="T54" s="16">
        <f t="shared" si="59"/>
        <v>8438</v>
      </c>
      <c r="U54" s="16">
        <f t="shared" si="59"/>
        <v>8505</v>
      </c>
      <c r="V54" s="16"/>
      <c r="W54" s="16"/>
      <c r="X54" s="16"/>
      <c r="Y54" s="16"/>
      <c r="Z54" s="16">
        <f t="shared" ref="Z54:AE54" si="60">SUM(Z45:Z53)</f>
        <v>7258</v>
      </c>
      <c r="AA54" s="16">
        <f t="shared" si="60"/>
        <v>7603</v>
      </c>
      <c r="AB54" s="16">
        <f t="shared" si="60"/>
        <v>8019</v>
      </c>
      <c r="AC54" s="16">
        <f t="shared" si="60"/>
        <v>8036</v>
      </c>
      <c r="AD54" s="16">
        <f t="shared" si="60"/>
        <v>8244</v>
      </c>
      <c r="AE54" s="16">
        <f t="shared" si="60"/>
        <v>7945</v>
      </c>
      <c r="AF54" s="28"/>
      <c r="AG54" s="6"/>
      <c r="AH54" s="6"/>
      <c r="AI54" s="6"/>
      <c r="AJ54" s="6"/>
      <c r="AK54" s="6"/>
      <c r="AL54" s="6"/>
      <c r="AM54" s="6"/>
      <c r="AN54" s="6"/>
      <c r="AO54" s="6"/>
    </row>
    <row r="55" spans="2:41" x14ac:dyDescent="0.25">
      <c r="C55" s="6" t="s">
        <v>76</v>
      </c>
      <c r="D55" s="17">
        <v>2628</v>
      </c>
      <c r="E55" s="17">
        <v>2447</v>
      </c>
      <c r="F55" s="17">
        <v>2553</v>
      </c>
      <c r="G55" s="17">
        <v>2584</v>
      </c>
      <c r="H55" s="17">
        <v>2556</v>
      </c>
      <c r="I55" s="17">
        <v>2474</v>
      </c>
      <c r="J55" s="17">
        <v>2558</v>
      </c>
      <c r="K55" s="17">
        <v>2516</v>
      </c>
      <c r="L55" s="17">
        <v>2577</v>
      </c>
      <c r="M55" s="17">
        <v>2478</v>
      </c>
      <c r="N55" s="17">
        <v>2507</v>
      </c>
      <c r="O55" s="17">
        <v>2555</v>
      </c>
      <c r="P55" s="17">
        <v>2475</v>
      </c>
      <c r="Q55" s="17">
        <v>2382</v>
      </c>
      <c r="R55" s="17">
        <v>2465</v>
      </c>
      <c r="S55" s="17">
        <v>2436</v>
      </c>
      <c r="T55" s="17">
        <v>2606</v>
      </c>
      <c r="U55" s="17">
        <v>2552</v>
      </c>
      <c r="V55" s="17"/>
      <c r="W55" s="17"/>
      <c r="X55" s="17"/>
      <c r="Y55" s="17"/>
      <c r="Z55" s="17">
        <v>-1575</v>
      </c>
      <c r="AA55" s="17">
        <v>2479</v>
      </c>
      <c r="AB55" s="17">
        <v>2584</v>
      </c>
      <c r="AC55" s="17">
        <v>2516</v>
      </c>
      <c r="AD55" s="17">
        <v>2555</v>
      </c>
      <c r="AE55" s="17">
        <v>2436</v>
      </c>
    </row>
    <row r="56" spans="2:41" x14ac:dyDescent="0.25">
      <c r="C56" s="2" t="s">
        <v>77</v>
      </c>
      <c r="D56" s="15">
        <v>2425</v>
      </c>
      <c r="E56" s="15">
        <v>2452</v>
      </c>
      <c r="F56" s="15">
        <v>2471</v>
      </c>
      <c r="G56" s="15">
        <v>2488</v>
      </c>
      <c r="H56" s="15">
        <v>2500</v>
      </c>
      <c r="I56" s="15">
        <v>2539</v>
      </c>
      <c r="J56" s="15">
        <v>2520</v>
      </c>
      <c r="K56" s="15">
        <v>2029</v>
      </c>
      <c r="L56" s="15">
        <v>2056</v>
      </c>
      <c r="M56" s="15">
        <v>2048</v>
      </c>
      <c r="N56" s="15">
        <v>2046</v>
      </c>
      <c r="O56" s="15">
        <v>2608</v>
      </c>
      <c r="P56" s="15">
        <v>2672</v>
      </c>
      <c r="Q56" s="15">
        <v>2793</v>
      </c>
      <c r="R56" s="15">
        <v>2737</v>
      </c>
      <c r="S56" s="15">
        <v>2718</v>
      </c>
      <c r="T56" s="15">
        <v>2728</v>
      </c>
      <c r="U56" s="15">
        <v>2741</v>
      </c>
      <c r="V56" s="15"/>
      <c r="W56" s="15"/>
      <c r="X56" s="15"/>
      <c r="Y56" s="15"/>
      <c r="Z56" s="15">
        <v>2491</v>
      </c>
      <c r="AA56" s="15">
        <v>2416</v>
      </c>
      <c r="AB56" s="15">
        <v>2488</v>
      </c>
      <c r="AC56" s="15">
        <v>2029</v>
      </c>
      <c r="AD56" s="15">
        <v>2608</v>
      </c>
      <c r="AE56" s="15">
        <v>2718</v>
      </c>
    </row>
    <row r="57" spans="2:41" x14ac:dyDescent="0.25">
      <c r="C57" s="2" t="s">
        <v>78</v>
      </c>
      <c r="D57" s="15">
        <v>470</v>
      </c>
      <c r="E57" s="15">
        <v>590</v>
      </c>
      <c r="F57" s="15">
        <v>584</v>
      </c>
      <c r="G57" s="15">
        <v>592</v>
      </c>
      <c r="H57" s="15">
        <v>576</v>
      </c>
      <c r="I57" s="15">
        <v>561</v>
      </c>
      <c r="J57" s="15">
        <v>518</v>
      </c>
      <c r="K57" s="15">
        <v>440</v>
      </c>
      <c r="L57" s="15">
        <v>440</v>
      </c>
      <c r="M57" s="15">
        <v>423</v>
      </c>
      <c r="N57" s="15">
        <v>418</v>
      </c>
      <c r="O57" s="15">
        <v>432</v>
      </c>
      <c r="P57" s="15">
        <v>423</v>
      </c>
      <c r="Q57" s="15">
        <v>432</v>
      </c>
      <c r="R57" s="15">
        <v>399</v>
      </c>
      <c r="S57" s="15">
        <v>417</v>
      </c>
      <c r="T57" s="15">
        <v>482</v>
      </c>
      <c r="U57" s="15">
        <v>508</v>
      </c>
      <c r="V57" s="15"/>
      <c r="W57" s="15"/>
      <c r="X57" s="15"/>
      <c r="Y57" s="15"/>
      <c r="Z57" s="15">
        <v>304</v>
      </c>
      <c r="AA57" s="15">
        <v>443</v>
      </c>
      <c r="AB57" s="15">
        <v>592</v>
      </c>
      <c r="AC57" s="15">
        <v>440</v>
      </c>
      <c r="AD57" s="15">
        <v>432</v>
      </c>
      <c r="AE57" s="15">
        <v>417</v>
      </c>
    </row>
    <row r="58" spans="2:41" x14ac:dyDescent="0.25">
      <c r="C58" s="2" t="s">
        <v>79</v>
      </c>
      <c r="D58" s="15">
        <v>30</v>
      </c>
      <c r="E58" s="15">
        <v>31</v>
      </c>
      <c r="F58" s="15">
        <v>32</v>
      </c>
      <c r="G58" s="15">
        <v>41</v>
      </c>
      <c r="H58" s="15">
        <v>42</v>
      </c>
      <c r="I58" s="15">
        <v>45</v>
      </c>
      <c r="J58" s="15">
        <v>44</v>
      </c>
      <c r="K58" s="15">
        <v>44</v>
      </c>
      <c r="L58" s="15">
        <v>46</v>
      </c>
      <c r="M58" s="15">
        <v>45</v>
      </c>
      <c r="N58" s="15">
        <v>45</v>
      </c>
      <c r="O58" s="15">
        <v>46</v>
      </c>
      <c r="P58" s="15">
        <v>33</v>
      </c>
      <c r="Q58" s="15">
        <v>34</v>
      </c>
      <c r="R58" s="15">
        <v>33</v>
      </c>
      <c r="S58" s="15">
        <v>33</v>
      </c>
      <c r="T58" s="15">
        <v>34</v>
      </c>
      <c r="U58" s="15">
        <v>34</v>
      </c>
      <c r="V58" s="15"/>
      <c r="W58" s="15"/>
      <c r="X58" s="15"/>
      <c r="Y58" s="15"/>
      <c r="Z58" s="15">
        <v>3657</v>
      </c>
      <c r="AA58" s="15">
        <v>29</v>
      </c>
      <c r="AB58" s="15">
        <v>42</v>
      </c>
      <c r="AC58" s="15">
        <v>46</v>
      </c>
      <c r="AD58" s="15">
        <v>50</v>
      </c>
      <c r="AE58" s="15">
        <v>43</v>
      </c>
    </row>
    <row r="59" spans="2:41" x14ac:dyDescent="0.25">
      <c r="C59" s="2" t="s">
        <v>80</v>
      </c>
      <c r="D59" s="15">
        <v>505</v>
      </c>
      <c r="E59" s="15">
        <v>500</v>
      </c>
      <c r="F59" s="15">
        <v>498</v>
      </c>
      <c r="G59" s="15">
        <v>514</v>
      </c>
      <c r="H59" s="15">
        <v>504</v>
      </c>
      <c r="I59" s="15">
        <v>506</v>
      </c>
      <c r="J59" s="15">
        <v>498</v>
      </c>
      <c r="K59" s="15">
        <v>513</v>
      </c>
      <c r="L59" s="15">
        <v>512</v>
      </c>
      <c r="M59" s="15">
        <v>508</v>
      </c>
      <c r="N59" s="15">
        <v>499</v>
      </c>
      <c r="O59" s="15">
        <v>516</v>
      </c>
      <c r="P59" s="15">
        <v>501</v>
      </c>
      <c r="Q59" s="15">
        <v>499</v>
      </c>
      <c r="R59" s="15">
        <v>493</v>
      </c>
      <c r="S59" s="15">
        <v>515</v>
      </c>
      <c r="T59" s="15">
        <v>516</v>
      </c>
      <c r="U59" s="15">
        <v>487</v>
      </c>
      <c r="V59" s="15"/>
      <c r="W59" s="15"/>
      <c r="X59" s="15"/>
      <c r="Y59" s="15"/>
      <c r="Z59" s="15">
        <v>491</v>
      </c>
      <c r="AA59" s="15">
        <v>504</v>
      </c>
      <c r="AB59" s="15">
        <v>514</v>
      </c>
      <c r="AC59" s="15">
        <v>513</v>
      </c>
      <c r="AD59" s="15">
        <v>516</v>
      </c>
      <c r="AE59" s="15">
        <v>515</v>
      </c>
    </row>
    <row r="60" spans="2:41" x14ac:dyDescent="0.25">
      <c r="C60" s="2" t="s">
        <v>81</v>
      </c>
      <c r="D60" s="15">
        <v>10</v>
      </c>
      <c r="E60" s="15">
        <v>6</v>
      </c>
      <c r="F60" s="15">
        <v>7</v>
      </c>
      <c r="G60" s="15">
        <v>6</v>
      </c>
      <c r="H60" s="15">
        <v>7</v>
      </c>
      <c r="I60" s="15">
        <v>7</v>
      </c>
      <c r="J60" s="15">
        <v>6</v>
      </c>
      <c r="K60" s="15">
        <v>6</v>
      </c>
      <c r="L60" s="15">
        <v>7</v>
      </c>
      <c r="M60" s="15">
        <v>8</v>
      </c>
      <c r="N60" s="15">
        <v>10</v>
      </c>
      <c r="O60" s="15">
        <v>8</v>
      </c>
      <c r="P60" s="15">
        <v>17</v>
      </c>
      <c r="Q60" s="15">
        <v>13</v>
      </c>
      <c r="R60" s="15">
        <v>14</v>
      </c>
      <c r="S60" s="15">
        <v>15</v>
      </c>
      <c r="T60" s="15">
        <v>17</v>
      </c>
      <c r="U60" s="15">
        <v>15</v>
      </c>
      <c r="V60" s="15"/>
      <c r="W60" s="15"/>
      <c r="X60" s="15"/>
      <c r="Y60" s="15"/>
      <c r="Z60" s="15">
        <v>6</v>
      </c>
      <c r="AA60" s="15">
        <v>10</v>
      </c>
      <c r="AB60" s="15">
        <v>5</v>
      </c>
      <c r="AC60" s="15">
        <v>4</v>
      </c>
      <c r="AD60" s="15">
        <v>5</v>
      </c>
      <c r="AE60" s="15">
        <v>4</v>
      </c>
    </row>
    <row r="61" spans="2:41" x14ac:dyDescent="0.25">
      <c r="C61" s="2" t="s">
        <v>82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464</v>
      </c>
      <c r="L61" s="15">
        <v>470</v>
      </c>
      <c r="M61" s="15">
        <v>468</v>
      </c>
      <c r="N61" s="15">
        <v>468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/>
      <c r="W61" s="15"/>
      <c r="X61" s="15"/>
      <c r="Y61" s="15"/>
      <c r="Z61" s="15">
        <v>405</v>
      </c>
      <c r="AA61" s="15">
        <v>0</v>
      </c>
      <c r="AB61" s="15">
        <v>0</v>
      </c>
      <c r="AC61" s="15">
        <v>464</v>
      </c>
      <c r="AD61" s="15">
        <v>0</v>
      </c>
      <c r="AE61" s="15">
        <v>0</v>
      </c>
    </row>
    <row r="62" spans="2:41" x14ac:dyDescent="0.25">
      <c r="C62" s="2" t="s">
        <v>83</v>
      </c>
      <c r="D62" s="15">
        <v>283</v>
      </c>
      <c r="E62" s="15">
        <v>295</v>
      </c>
      <c r="F62" s="15">
        <v>303</v>
      </c>
      <c r="G62" s="15">
        <v>317</v>
      </c>
      <c r="H62" s="15">
        <v>330</v>
      </c>
      <c r="I62" s="15">
        <v>348</v>
      </c>
      <c r="J62" s="15">
        <v>346</v>
      </c>
      <c r="K62" s="15">
        <v>322</v>
      </c>
      <c r="L62" s="15">
        <v>348</v>
      </c>
      <c r="M62" s="15">
        <v>347</v>
      </c>
      <c r="N62" s="15">
        <v>360</v>
      </c>
      <c r="O62" s="15">
        <v>374</v>
      </c>
      <c r="P62" s="15">
        <v>376</v>
      </c>
      <c r="Q62" s="15">
        <v>385</v>
      </c>
      <c r="R62" s="15">
        <v>380</v>
      </c>
      <c r="S62" s="15">
        <v>379</v>
      </c>
      <c r="T62" s="15">
        <v>385</v>
      </c>
      <c r="U62" s="15">
        <v>404</v>
      </c>
      <c r="V62" s="15"/>
      <c r="W62" s="15"/>
      <c r="X62" s="15"/>
      <c r="Y62" s="15"/>
      <c r="Z62" s="15">
        <v>222</v>
      </c>
      <c r="AA62" s="15">
        <v>267</v>
      </c>
      <c r="AB62" s="15">
        <v>317</v>
      </c>
      <c r="AC62" s="15">
        <v>322</v>
      </c>
      <c r="AD62" s="15">
        <v>374</v>
      </c>
      <c r="AE62" s="15">
        <v>379</v>
      </c>
    </row>
    <row r="63" spans="2:41" x14ac:dyDescent="0.25">
      <c r="C63" s="2" t="s">
        <v>84</v>
      </c>
      <c r="D63" s="15">
        <v>0</v>
      </c>
      <c r="E63" s="15">
        <v>0</v>
      </c>
      <c r="F63" s="15">
        <v>1</v>
      </c>
      <c r="G63" s="15">
        <v>1</v>
      </c>
      <c r="H63" s="15">
        <v>1</v>
      </c>
      <c r="I63" s="15">
        <v>1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1</v>
      </c>
      <c r="S63" s="15">
        <v>1</v>
      </c>
      <c r="T63" s="15">
        <v>1</v>
      </c>
      <c r="U63" s="15">
        <v>0</v>
      </c>
      <c r="V63" s="15"/>
      <c r="W63" s="15"/>
      <c r="X63" s="15"/>
      <c r="Y63" s="15"/>
      <c r="Z63" s="15">
        <v>174</v>
      </c>
      <c r="AA63" s="15">
        <v>210</v>
      </c>
      <c r="AB63" s="15">
        <v>156</v>
      </c>
      <c r="AC63" s="15">
        <v>117</v>
      </c>
      <c r="AD63" s="15">
        <v>135</v>
      </c>
      <c r="AE63" s="15">
        <v>79</v>
      </c>
    </row>
    <row r="64" spans="2:41" s="6" customFormat="1" x14ac:dyDescent="0.25">
      <c r="B64" s="28"/>
      <c r="C64" s="2" t="s">
        <v>85</v>
      </c>
      <c r="D64" s="15">
        <v>732</v>
      </c>
      <c r="E64" s="15">
        <v>803</v>
      </c>
      <c r="F64" s="15">
        <v>793</v>
      </c>
      <c r="G64" s="15">
        <v>728</v>
      </c>
      <c r="H64" s="15">
        <v>943</v>
      </c>
      <c r="I64" s="15">
        <v>974</v>
      </c>
      <c r="J64" s="15">
        <v>781</v>
      </c>
      <c r="K64" s="15">
        <v>892</v>
      </c>
      <c r="L64" s="15">
        <v>966</v>
      </c>
      <c r="M64" s="15">
        <v>1022</v>
      </c>
      <c r="N64" s="15">
        <v>960</v>
      </c>
      <c r="O64" s="15">
        <v>812</v>
      </c>
      <c r="P64" s="15">
        <v>720</v>
      </c>
      <c r="Q64" s="15">
        <v>649</v>
      </c>
      <c r="R64" s="15">
        <v>515</v>
      </c>
      <c r="S64" s="15">
        <v>545</v>
      </c>
      <c r="T64" s="15">
        <v>689</v>
      </c>
      <c r="U64" s="15">
        <v>723</v>
      </c>
      <c r="V64" s="15"/>
      <c r="W64" s="15"/>
      <c r="X64" s="15"/>
      <c r="Y64" s="15"/>
      <c r="Z64" s="15">
        <v>458</v>
      </c>
      <c r="AA64" s="15">
        <v>703</v>
      </c>
      <c r="AB64" s="15">
        <v>728</v>
      </c>
      <c r="AC64" s="15">
        <v>892</v>
      </c>
      <c r="AD64" s="15">
        <v>812</v>
      </c>
      <c r="AE64" s="15">
        <v>545</v>
      </c>
      <c r="AF64" s="3"/>
      <c r="AG64" s="2"/>
      <c r="AH64" s="2"/>
      <c r="AI64" s="2"/>
      <c r="AJ64" s="2"/>
      <c r="AK64" s="2"/>
      <c r="AL64" s="2"/>
      <c r="AM64" s="2"/>
      <c r="AN64" s="2"/>
      <c r="AO64" s="2"/>
    </row>
    <row r="65" spans="2:41" s="1" customFormat="1" x14ac:dyDescent="0.25">
      <c r="B65" s="21"/>
      <c r="C65" s="2" t="s">
        <v>86</v>
      </c>
      <c r="D65" s="15">
        <v>764</v>
      </c>
      <c r="E65" s="15">
        <v>684</v>
      </c>
      <c r="F65" s="15">
        <v>716</v>
      </c>
      <c r="G65" s="15">
        <v>748</v>
      </c>
      <c r="H65" s="15">
        <v>777</v>
      </c>
      <c r="I65" s="15">
        <v>816</v>
      </c>
      <c r="J65" s="15">
        <v>812</v>
      </c>
      <c r="K65" s="15">
        <v>811</v>
      </c>
      <c r="L65" s="15">
        <v>886</v>
      </c>
      <c r="M65" s="15">
        <v>869</v>
      </c>
      <c r="N65" s="15">
        <v>830</v>
      </c>
      <c r="O65" s="15">
        <v>893</v>
      </c>
      <c r="P65" s="15">
        <v>948</v>
      </c>
      <c r="Q65" s="15">
        <v>872</v>
      </c>
      <c r="R65" s="15">
        <v>846</v>
      </c>
      <c r="S65" s="15">
        <v>888</v>
      </c>
      <c r="T65" s="15">
        <v>981</v>
      </c>
      <c r="U65" s="15">
        <v>1039</v>
      </c>
      <c r="V65" s="15"/>
      <c r="W65" s="15"/>
      <c r="X65" s="15"/>
      <c r="Y65" s="15"/>
      <c r="Z65" s="15">
        <v>625</v>
      </c>
      <c r="AA65" s="15">
        <v>542</v>
      </c>
      <c r="AB65" s="15">
        <v>593</v>
      </c>
      <c r="AC65" s="15">
        <v>693</v>
      </c>
      <c r="AD65" s="15">
        <v>757</v>
      </c>
      <c r="AE65" s="15">
        <v>809</v>
      </c>
      <c r="AF65" s="28"/>
      <c r="AG65" s="6"/>
      <c r="AH65" s="6"/>
      <c r="AI65" s="6"/>
      <c r="AJ65" s="6"/>
      <c r="AK65" s="6"/>
      <c r="AL65" s="6"/>
      <c r="AM65" s="6"/>
      <c r="AN65" s="6"/>
      <c r="AO65" s="6"/>
    </row>
    <row r="66" spans="2:41" x14ac:dyDescent="0.25">
      <c r="C66" s="6" t="s">
        <v>87</v>
      </c>
      <c r="D66" s="17">
        <f t="shared" ref="D66:S66" si="61">SUM(D56:D65)</f>
        <v>5219</v>
      </c>
      <c r="E66" s="17">
        <f t="shared" si="61"/>
        <v>5361</v>
      </c>
      <c r="F66" s="17">
        <f t="shared" si="61"/>
        <v>5405</v>
      </c>
      <c r="G66" s="17">
        <f t="shared" si="61"/>
        <v>5435</v>
      </c>
      <c r="H66" s="17">
        <f t="shared" si="61"/>
        <v>5680</v>
      </c>
      <c r="I66" s="17">
        <f t="shared" si="61"/>
        <v>5797</v>
      </c>
      <c r="J66" s="17">
        <f t="shared" si="61"/>
        <v>5525</v>
      </c>
      <c r="K66" s="17">
        <f t="shared" si="61"/>
        <v>5521</v>
      </c>
      <c r="L66" s="17">
        <f t="shared" si="61"/>
        <v>5731</v>
      </c>
      <c r="M66" s="17">
        <f t="shared" si="61"/>
        <v>5738</v>
      </c>
      <c r="N66" s="17">
        <f t="shared" si="61"/>
        <v>5636</v>
      </c>
      <c r="O66" s="17">
        <f t="shared" si="61"/>
        <v>5689</v>
      </c>
      <c r="P66" s="17">
        <f t="shared" si="61"/>
        <v>5690</v>
      </c>
      <c r="Q66" s="17">
        <f t="shared" si="61"/>
        <v>5677</v>
      </c>
      <c r="R66" s="17">
        <f t="shared" si="61"/>
        <v>5418</v>
      </c>
      <c r="S66" s="17">
        <f t="shared" si="61"/>
        <v>5511</v>
      </c>
      <c r="T66" s="17">
        <f t="shared" ref="T66:U66" si="62">SUM(T56:T65)</f>
        <v>5833</v>
      </c>
      <c r="U66" s="17">
        <f t="shared" si="62"/>
        <v>5951</v>
      </c>
      <c r="V66" s="17"/>
      <c r="W66" s="17"/>
      <c r="X66" s="17"/>
      <c r="Y66" s="17"/>
      <c r="Z66" s="17">
        <f t="shared" ref="Z66:AE66" si="63">SUM(Z56:Z65)</f>
        <v>8833</v>
      </c>
      <c r="AA66" s="17">
        <f t="shared" si="63"/>
        <v>5124</v>
      </c>
      <c r="AB66" s="17">
        <f t="shared" si="63"/>
        <v>5435</v>
      </c>
      <c r="AC66" s="17">
        <f t="shared" si="63"/>
        <v>5520</v>
      </c>
      <c r="AD66" s="17">
        <f t="shared" si="63"/>
        <v>5689</v>
      </c>
      <c r="AE66" s="17">
        <f t="shared" si="63"/>
        <v>5509</v>
      </c>
      <c r="AF66" s="21"/>
      <c r="AG66" s="1"/>
      <c r="AH66" s="1"/>
      <c r="AI66" s="1"/>
      <c r="AJ66" s="1"/>
      <c r="AK66" s="1"/>
      <c r="AL66" s="1"/>
      <c r="AM66" s="1"/>
      <c r="AN66" s="1"/>
      <c r="AO66" s="1"/>
    </row>
    <row r="67" spans="2:41" x14ac:dyDescent="0.25">
      <c r="C67" s="1" t="s">
        <v>88</v>
      </c>
      <c r="D67" s="16">
        <f t="shared" ref="D67:O67" si="64">D55+D66</f>
        <v>7847</v>
      </c>
      <c r="E67" s="16">
        <f t="shared" si="64"/>
        <v>7808</v>
      </c>
      <c r="F67" s="16">
        <f t="shared" si="64"/>
        <v>7958</v>
      </c>
      <c r="G67" s="16">
        <f t="shared" si="64"/>
        <v>8019</v>
      </c>
      <c r="H67" s="16">
        <f t="shared" si="64"/>
        <v>8236</v>
      </c>
      <c r="I67" s="16">
        <f t="shared" si="64"/>
        <v>8271</v>
      </c>
      <c r="J67" s="16">
        <f t="shared" si="64"/>
        <v>8083</v>
      </c>
      <c r="K67" s="16">
        <f t="shared" si="64"/>
        <v>8037</v>
      </c>
      <c r="L67" s="16">
        <f t="shared" si="64"/>
        <v>8308</v>
      </c>
      <c r="M67" s="16">
        <f t="shared" si="64"/>
        <v>8216</v>
      </c>
      <c r="N67" s="16">
        <f t="shared" si="64"/>
        <v>8143</v>
      </c>
      <c r="O67" s="16">
        <f t="shared" si="64"/>
        <v>8244</v>
      </c>
      <c r="P67" s="16">
        <f>P55+P66</f>
        <v>8165</v>
      </c>
      <c r="Q67" s="16">
        <f t="shared" ref="Q67:S67" si="65">Q55+Q66</f>
        <v>8059</v>
      </c>
      <c r="R67" s="16">
        <f t="shared" si="65"/>
        <v>7883</v>
      </c>
      <c r="S67" s="16">
        <f t="shared" si="65"/>
        <v>7947</v>
      </c>
      <c r="T67" s="16">
        <f t="shared" ref="T67:U67" si="66">T55+T66</f>
        <v>8439</v>
      </c>
      <c r="U67" s="16">
        <f t="shared" si="66"/>
        <v>8503</v>
      </c>
      <c r="V67" s="16"/>
      <c r="W67" s="16"/>
      <c r="X67" s="16"/>
      <c r="Y67" s="16"/>
      <c r="Z67" s="16">
        <f t="shared" ref="Z67" si="67">Z55+Z66</f>
        <v>7258</v>
      </c>
      <c r="AA67" s="16">
        <f t="shared" ref="AA67" si="68">AA55+AA66</f>
        <v>7603</v>
      </c>
      <c r="AB67" s="16">
        <f t="shared" ref="AB67" si="69">AB55+AB66</f>
        <v>8019</v>
      </c>
      <c r="AC67" s="16">
        <f t="shared" ref="AC67" si="70">AC55+AC66</f>
        <v>8036</v>
      </c>
      <c r="AD67" s="16">
        <f t="shared" ref="AD67" si="71">AD55+AD66</f>
        <v>8244</v>
      </c>
      <c r="AE67" s="16">
        <f t="shared" ref="AE67" si="72">AE55+AE66</f>
        <v>7945</v>
      </c>
    </row>
    <row r="68" spans="2:41" x14ac:dyDescent="0.25"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5"/>
    </row>
    <row r="69" spans="2:41" x14ac:dyDescent="0.25">
      <c r="C69" s="1" t="s">
        <v>89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2:41" x14ac:dyDescent="0.25">
      <c r="C70" s="2" t="s">
        <v>90</v>
      </c>
      <c r="D70" s="15">
        <f t="shared" ref="D70:U70" si="73">D16</f>
        <v>128</v>
      </c>
      <c r="E70" s="15">
        <f t="shared" si="73"/>
        <v>129</v>
      </c>
      <c r="F70" s="15">
        <f t="shared" si="73"/>
        <v>97</v>
      </c>
      <c r="G70" s="15">
        <f t="shared" si="73"/>
        <v>59</v>
      </c>
      <c r="H70" s="15">
        <f t="shared" si="73"/>
        <v>44</v>
      </c>
      <c r="I70" s="15">
        <f t="shared" si="73"/>
        <v>164</v>
      </c>
      <c r="J70" s="15">
        <f t="shared" si="73"/>
        <v>116</v>
      </c>
      <c r="K70" s="15">
        <f t="shared" si="73"/>
        <v>92</v>
      </c>
      <c r="L70" s="15">
        <f t="shared" si="73"/>
        <v>78</v>
      </c>
      <c r="M70" s="15">
        <f t="shared" si="73"/>
        <v>212</v>
      </c>
      <c r="N70" s="15">
        <f t="shared" si="73"/>
        <v>91</v>
      </c>
      <c r="O70" s="15">
        <f t="shared" si="73"/>
        <v>113</v>
      </c>
      <c r="P70" s="15">
        <f t="shared" si="73"/>
        <v>115</v>
      </c>
      <c r="Q70" s="15">
        <f t="shared" si="73"/>
        <v>147</v>
      </c>
      <c r="R70" s="15">
        <f t="shared" si="73"/>
        <v>165</v>
      </c>
      <c r="S70" s="15">
        <f t="shared" si="73"/>
        <v>162</v>
      </c>
      <c r="T70" s="15">
        <f t="shared" si="73"/>
        <v>164</v>
      </c>
      <c r="U70" s="15">
        <f t="shared" si="73"/>
        <v>200</v>
      </c>
      <c r="V70" s="15"/>
      <c r="W70" s="15"/>
      <c r="X70" s="15"/>
      <c r="Y70" s="15"/>
      <c r="Z70" s="15">
        <f t="shared" ref="Z70:AE70" si="74">Z16</f>
        <v>-136</v>
      </c>
      <c r="AA70" s="15">
        <f t="shared" si="74"/>
        <v>163</v>
      </c>
      <c r="AB70" s="15">
        <f t="shared" si="74"/>
        <v>415</v>
      </c>
      <c r="AC70" s="15">
        <f t="shared" si="74"/>
        <v>415</v>
      </c>
      <c r="AD70" s="15">
        <f t="shared" si="74"/>
        <v>493</v>
      </c>
      <c r="AE70" s="15">
        <f t="shared" si="74"/>
        <v>590</v>
      </c>
    </row>
    <row r="71" spans="2:41" x14ac:dyDescent="0.25">
      <c r="C71" s="2" t="s">
        <v>91</v>
      </c>
      <c r="D71" s="15">
        <v>129</v>
      </c>
      <c r="E71" s="15">
        <v>129</v>
      </c>
      <c r="F71" s="15">
        <v>98</v>
      </c>
      <c r="G71" s="15">
        <v>59</v>
      </c>
      <c r="H71" s="15">
        <v>45</v>
      </c>
      <c r="I71" s="15">
        <v>164</v>
      </c>
      <c r="J71" s="15">
        <v>115</v>
      </c>
      <c r="K71" s="15">
        <v>92</v>
      </c>
      <c r="L71" s="15">
        <v>77</v>
      </c>
      <c r="M71" s="15">
        <v>212</v>
      </c>
      <c r="N71" s="15">
        <v>91</v>
      </c>
      <c r="O71" s="15">
        <v>112</v>
      </c>
      <c r="P71" s="15">
        <v>115</v>
      </c>
      <c r="Q71" s="15">
        <v>147</v>
      </c>
      <c r="R71" s="15">
        <v>165</v>
      </c>
      <c r="S71" s="15">
        <v>163</v>
      </c>
      <c r="T71" s="15">
        <v>164</v>
      </c>
      <c r="U71" s="15">
        <v>200</v>
      </c>
      <c r="V71" s="15"/>
      <c r="W71" s="15"/>
      <c r="X71" s="15"/>
      <c r="Y71" s="15"/>
      <c r="Z71" s="15">
        <v>-136</v>
      </c>
      <c r="AA71" s="15">
        <v>163</v>
      </c>
      <c r="AB71" s="15">
        <v>415</v>
      </c>
      <c r="AC71" s="15">
        <v>415</v>
      </c>
      <c r="AD71" s="15">
        <v>493</v>
      </c>
      <c r="AE71" s="15">
        <v>590</v>
      </c>
    </row>
    <row r="72" spans="2:41" x14ac:dyDescent="0.25">
      <c r="C72" s="2" t="s">
        <v>92</v>
      </c>
      <c r="D72" s="15">
        <v>-24</v>
      </c>
      <c r="E72" s="15">
        <v>12</v>
      </c>
      <c r="F72" s="15">
        <v>-18</v>
      </c>
      <c r="G72" s="15">
        <v>-4</v>
      </c>
      <c r="H72" s="15">
        <v>70</v>
      </c>
      <c r="I72" s="15">
        <v>-1</v>
      </c>
      <c r="J72" s="15">
        <v>-7</v>
      </c>
      <c r="K72" s="15">
        <v>-2</v>
      </c>
      <c r="L72" s="15">
        <v>34</v>
      </c>
      <c r="M72" s="15">
        <v>-13</v>
      </c>
      <c r="N72" s="15">
        <v>30</v>
      </c>
      <c r="O72" s="15">
        <v>6</v>
      </c>
      <c r="P72" s="15">
        <v>18</v>
      </c>
      <c r="Q72" s="15">
        <v>91</v>
      </c>
      <c r="R72" s="15">
        <v>-21</v>
      </c>
      <c r="S72" s="15">
        <v>-39</v>
      </c>
      <c r="T72" s="15">
        <v>22</v>
      </c>
      <c r="U72" s="15">
        <v>31</v>
      </c>
      <c r="V72" s="15"/>
      <c r="W72" s="15"/>
      <c r="X72" s="15"/>
      <c r="Y72" s="15"/>
      <c r="Z72" s="15">
        <v>336</v>
      </c>
      <c r="AA72" s="15">
        <v>272</v>
      </c>
      <c r="AB72" s="15">
        <v>-34</v>
      </c>
      <c r="AC72" s="15">
        <v>61</v>
      </c>
      <c r="AD72" s="15">
        <v>58</v>
      </c>
      <c r="AE72" s="15">
        <v>48</v>
      </c>
    </row>
    <row r="73" spans="2:41" x14ac:dyDescent="0.25">
      <c r="C73" s="2" t="s">
        <v>93</v>
      </c>
      <c r="D73" s="15">
        <v>152</v>
      </c>
      <c r="E73" s="15">
        <v>159</v>
      </c>
      <c r="F73" s="15">
        <v>170</v>
      </c>
      <c r="G73" s="15">
        <v>183</v>
      </c>
      <c r="H73" s="15">
        <v>185</v>
      </c>
      <c r="I73" s="15">
        <v>183</v>
      </c>
      <c r="J73" s="15">
        <v>190</v>
      </c>
      <c r="K73" s="15">
        <v>187</v>
      </c>
      <c r="L73" s="15">
        <v>188</v>
      </c>
      <c r="M73" s="15">
        <v>194</v>
      </c>
      <c r="N73" s="15">
        <v>194</v>
      </c>
      <c r="O73" s="15">
        <v>201</v>
      </c>
      <c r="P73" s="15">
        <v>201</v>
      </c>
      <c r="Q73" s="15">
        <v>202</v>
      </c>
      <c r="R73" s="15">
        <v>212</v>
      </c>
      <c r="S73" s="15">
        <v>212</v>
      </c>
      <c r="T73" s="15">
        <v>213</v>
      </c>
      <c r="U73" s="15">
        <v>223</v>
      </c>
      <c r="V73" s="15"/>
      <c r="W73" s="15"/>
      <c r="X73" s="15"/>
      <c r="Y73" s="15"/>
      <c r="Z73" s="15">
        <v>532</v>
      </c>
      <c r="AA73" s="15">
        <v>555</v>
      </c>
      <c r="AB73" s="15">
        <v>665</v>
      </c>
      <c r="AC73" s="15">
        <v>744</v>
      </c>
      <c r="AD73" s="15">
        <v>777</v>
      </c>
      <c r="AE73" s="15">
        <v>827</v>
      </c>
    </row>
    <row r="74" spans="2:41" s="1" customFormat="1" x14ac:dyDescent="0.25">
      <c r="B74" s="21"/>
      <c r="C74" s="2" t="s">
        <v>94</v>
      </c>
      <c r="D74" s="15">
        <v>-90</v>
      </c>
      <c r="E74" s="15">
        <v>-56</v>
      </c>
      <c r="F74" s="15">
        <v>-15</v>
      </c>
      <c r="G74" s="15">
        <v>8</v>
      </c>
      <c r="H74" s="15">
        <v>-69</v>
      </c>
      <c r="I74" s="15">
        <v>-26</v>
      </c>
      <c r="J74" s="15">
        <v>-18</v>
      </c>
      <c r="K74" s="15">
        <v>-31</v>
      </c>
      <c r="L74" s="15">
        <v>-55</v>
      </c>
      <c r="M74" s="15">
        <v>-18</v>
      </c>
      <c r="N74" s="15">
        <v>-17</v>
      </c>
      <c r="O74" s="15">
        <v>-17</v>
      </c>
      <c r="P74" s="15">
        <v>-92</v>
      </c>
      <c r="Q74" s="15">
        <v>-39</v>
      </c>
      <c r="R74" s="15">
        <v>-28</v>
      </c>
      <c r="S74" s="15">
        <v>-32</v>
      </c>
      <c r="T74" s="15">
        <v>-50</v>
      </c>
      <c r="U74" s="15">
        <v>-40</v>
      </c>
      <c r="V74" s="15"/>
      <c r="W74" s="15"/>
      <c r="X74" s="15"/>
      <c r="Y74" s="15"/>
      <c r="Z74" s="15">
        <v>-19</v>
      </c>
      <c r="AA74" s="15">
        <v>-86</v>
      </c>
      <c r="AB74" s="15">
        <v>-153</v>
      </c>
      <c r="AC74" s="15">
        <v>-144</v>
      </c>
      <c r="AD74" s="15">
        <v>-107</v>
      </c>
      <c r="AE74" s="15">
        <v>-191</v>
      </c>
      <c r="AF74" s="3"/>
      <c r="AG74" s="2"/>
      <c r="AH74" s="2"/>
      <c r="AI74" s="2"/>
      <c r="AJ74" s="2"/>
      <c r="AK74" s="2"/>
      <c r="AL74" s="2"/>
      <c r="AM74" s="2"/>
      <c r="AN74" s="2"/>
      <c r="AO74" s="2"/>
    </row>
    <row r="75" spans="2:41" x14ac:dyDescent="0.25">
      <c r="C75" s="2" t="s">
        <v>95</v>
      </c>
      <c r="D75" s="15">
        <v>-220</v>
      </c>
      <c r="E75" s="15">
        <v>100</v>
      </c>
      <c r="F75" s="15">
        <v>-22</v>
      </c>
      <c r="G75" s="15">
        <v>-61</v>
      </c>
      <c r="H75" s="15">
        <v>26</v>
      </c>
      <c r="I75" s="15">
        <v>66</v>
      </c>
      <c r="J75" s="15">
        <v>-176</v>
      </c>
      <c r="K75" s="15">
        <v>158</v>
      </c>
      <c r="L75" s="15">
        <v>-27</v>
      </c>
      <c r="M75" s="15">
        <v>60</v>
      </c>
      <c r="N75" s="15">
        <v>-61</v>
      </c>
      <c r="O75" s="15">
        <v>-260</v>
      </c>
      <c r="P75" s="15">
        <v>68</v>
      </c>
      <c r="Q75" s="15">
        <v>12</v>
      </c>
      <c r="R75" s="15">
        <v>-93</v>
      </c>
      <c r="S75" s="15">
        <v>6</v>
      </c>
      <c r="T75" s="15">
        <v>24</v>
      </c>
      <c r="U75" s="15">
        <v>20</v>
      </c>
      <c r="V75" s="15"/>
      <c r="W75" s="15"/>
      <c r="X75" s="15"/>
      <c r="Y75" s="15"/>
      <c r="Z75" s="15">
        <v>185</v>
      </c>
      <c r="AA75" s="15">
        <v>76</v>
      </c>
      <c r="AB75" s="15">
        <v>-203</v>
      </c>
      <c r="AC75" s="15">
        <v>74</v>
      </c>
      <c r="AD75" s="15">
        <v>-288</v>
      </c>
      <c r="AE75" s="15">
        <v>-8</v>
      </c>
      <c r="AF75" s="21"/>
      <c r="AG75" s="1"/>
      <c r="AH75" s="1"/>
      <c r="AI75" s="1"/>
      <c r="AJ75" s="1"/>
      <c r="AK75" s="1"/>
      <c r="AL75" s="1"/>
      <c r="AM75" s="1"/>
      <c r="AN75" s="1"/>
      <c r="AO75" s="1"/>
    </row>
    <row r="76" spans="2:41" x14ac:dyDescent="0.25">
      <c r="C76" s="1" t="s">
        <v>96</v>
      </c>
      <c r="D76" s="16">
        <f t="shared" ref="D76:U76" si="75">SUM(D71:D75)</f>
        <v>-53</v>
      </c>
      <c r="E76" s="16">
        <f t="shared" si="75"/>
        <v>344</v>
      </c>
      <c r="F76" s="16">
        <f t="shared" si="75"/>
        <v>213</v>
      </c>
      <c r="G76" s="16">
        <f t="shared" si="75"/>
        <v>185</v>
      </c>
      <c r="H76" s="16">
        <f t="shared" si="75"/>
        <v>257</v>
      </c>
      <c r="I76" s="16">
        <f t="shared" si="75"/>
        <v>386</v>
      </c>
      <c r="J76" s="16">
        <f t="shared" si="75"/>
        <v>104</v>
      </c>
      <c r="K76" s="16">
        <f t="shared" si="75"/>
        <v>404</v>
      </c>
      <c r="L76" s="16">
        <f t="shared" si="75"/>
        <v>217</v>
      </c>
      <c r="M76" s="16">
        <f t="shared" si="75"/>
        <v>435</v>
      </c>
      <c r="N76" s="16">
        <f t="shared" si="75"/>
        <v>237</v>
      </c>
      <c r="O76" s="16">
        <f t="shared" si="75"/>
        <v>42</v>
      </c>
      <c r="P76" s="16">
        <f t="shared" si="75"/>
        <v>310</v>
      </c>
      <c r="Q76" s="16">
        <f t="shared" si="75"/>
        <v>413</v>
      </c>
      <c r="R76" s="16">
        <f t="shared" si="75"/>
        <v>235</v>
      </c>
      <c r="S76" s="16">
        <f t="shared" si="75"/>
        <v>310</v>
      </c>
      <c r="T76" s="16">
        <f t="shared" si="75"/>
        <v>373</v>
      </c>
      <c r="U76" s="16">
        <f t="shared" si="75"/>
        <v>434</v>
      </c>
      <c r="V76" s="16"/>
      <c r="W76" s="16"/>
      <c r="X76" s="16"/>
      <c r="Y76" s="16"/>
      <c r="Z76" s="16">
        <f t="shared" ref="Z76:AE76" si="76">SUM(Z71:Z75)</f>
        <v>898</v>
      </c>
      <c r="AA76" s="16">
        <f t="shared" si="76"/>
        <v>980</v>
      </c>
      <c r="AB76" s="16">
        <f t="shared" si="76"/>
        <v>690</v>
      </c>
      <c r="AC76" s="16">
        <f t="shared" si="76"/>
        <v>1150</v>
      </c>
      <c r="AD76" s="16">
        <f t="shared" si="76"/>
        <v>933</v>
      </c>
      <c r="AE76" s="16">
        <f t="shared" si="76"/>
        <v>1266</v>
      </c>
    </row>
    <row r="77" spans="2:41" x14ac:dyDescent="0.25"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6"/>
      <c r="U77" s="16"/>
      <c r="V77" s="16"/>
      <c r="W77" s="16"/>
      <c r="X77" s="16"/>
      <c r="Y77" s="16"/>
      <c r="Z77" s="15"/>
      <c r="AA77" s="15"/>
      <c r="AB77" s="15"/>
      <c r="AC77" s="15"/>
      <c r="AD77" s="15"/>
      <c r="AE77" s="15"/>
    </row>
    <row r="78" spans="2:41" s="1" customFormat="1" x14ac:dyDescent="0.25">
      <c r="B78" s="21"/>
      <c r="C78" s="2" t="s">
        <v>97</v>
      </c>
      <c r="D78" s="15">
        <v>-95</v>
      </c>
      <c r="E78" s="15">
        <v>-131</v>
      </c>
      <c r="F78" s="15">
        <v>-50</v>
      </c>
      <c r="G78" s="15">
        <v>-107</v>
      </c>
      <c r="H78" s="15">
        <v>-72</v>
      </c>
      <c r="I78" s="15">
        <v>-52</v>
      </c>
      <c r="J78" s="15">
        <v>-48</v>
      </c>
      <c r="K78" s="15">
        <v>-74</v>
      </c>
      <c r="L78" s="15">
        <v>-72</v>
      </c>
      <c r="M78" s="15">
        <v>-104</v>
      </c>
      <c r="N78" s="15">
        <v>-92</v>
      </c>
      <c r="O78" s="15">
        <v>-110</v>
      </c>
      <c r="P78" s="15">
        <v>-91</v>
      </c>
      <c r="Q78" s="15">
        <v>-93</v>
      </c>
      <c r="R78" s="15">
        <v>-60</v>
      </c>
      <c r="S78" s="15">
        <v>-74</v>
      </c>
      <c r="T78" s="15">
        <v>-77</v>
      </c>
      <c r="U78" s="15">
        <f>-27-81</f>
        <v>-108</v>
      </c>
      <c r="V78" s="16"/>
      <c r="W78" s="16"/>
      <c r="X78" s="16"/>
      <c r="Y78" s="16"/>
      <c r="Z78" s="15">
        <v>-160</v>
      </c>
      <c r="AA78" s="15">
        <v>-272</v>
      </c>
      <c r="AB78" s="15">
        <v>-382</v>
      </c>
      <c r="AC78" s="15">
        <v>-248</v>
      </c>
      <c r="AD78" s="15">
        <v>-377</v>
      </c>
      <c r="AE78" s="15">
        <v>-317</v>
      </c>
      <c r="AF78" s="3"/>
      <c r="AG78" s="2"/>
      <c r="AH78" s="2"/>
      <c r="AI78" s="2"/>
      <c r="AJ78" s="2"/>
      <c r="AK78" s="2"/>
      <c r="AL78" s="2"/>
      <c r="AM78" s="2"/>
      <c r="AN78" s="2"/>
      <c r="AO78" s="2"/>
    </row>
    <row r="79" spans="2:41" x14ac:dyDescent="0.25">
      <c r="C79" s="2" t="s">
        <v>98</v>
      </c>
      <c r="D79" s="15">
        <v>-1</v>
      </c>
      <c r="E79" s="15">
        <v>-1</v>
      </c>
      <c r="F79" s="15">
        <v>-2</v>
      </c>
      <c r="G79" s="15">
        <v>0</v>
      </c>
      <c r="H79" s="15">
        <v>-5</v>
      </c>
      <c r="I79" s="15">
        <v>-15</v>
      </c>
      <c r="J79" s="15">
        <v>1</v>
      </c>
      <c r="K79" s="15">
        <v>-4</v>
      </c>
      <c r="L79" s="15">
        <v>-10</v>
      </c>
      <c r="M79" s="15">
        <v>-1</v>
      </c>
      <c r="N79" s="15">
        <v>-3</v>
      </c>
      <c r="O79" s="15">
        <v>-7</v>
      </c>
      <c r="P79" s="15">
        <v>0</v>
      </c>
      <c r="Q79" s="15">
        <v>-2</v>
      </c>
      <c r="R79" s="15">
        <v>2</v>
      </c>
      <c r="S79" s="15">
        <v>0</v>
      </c>
      <c r="T79" s="15">
        <v>-1</v>
      </c>
      <c r="U79" s="15">
        <v>-34</v>
      </c>
      <c r="V79" s="16"/>
      <c r="W79" s="16"/>
      <c r="X79" s="16"/>
      <c r="Y79" s="16"/>
      <c r="Z79" s="15">
        <v>-5</v>
      </c>
      <c r="AA79" s="15">
        <v>-11</v>
      </c>
      <c r="AB79" s="15">
        <v>-3</v>
      </c>
      <c r="AC79" s="15">
        <v>-22</v>
      </c>
      <c r="AD79" s="15">
        <v>-21</v>
      </c>
      <c r="AE79" s="15">
        <v>-1</v>
      </c>
      <c r="AF79" s="21"/>
      <c r="AG79" s="1"/>
      <c r="AH79" s="1"/>
      <c r="AI79" s="1"/>
      <c r="AJ79" s="1"/>
      <c r="AK79" s="1"/>
      <c r="AL79" s="1"/>
      <c r="AM79" s="1"/>
      <c r="AN79" s="1"/>
      <c r="AO79" s="1"/>
    </row>
    <row r="80" spans="2:41" x14ac:dyDescent="0.25">
      <c r="C80" s="1" t="s">
        <v>99</v>
      </c>
      <c r="D80" s="16">
        <f t="shared" ref="D80:R80" si="77">SUM(D78:D79)</f>
        <v>-96</v>
      </c>
      <c r="E80" s="16">
        <f t="shared" si="77"/>
        <v>-132</v>
      </c>
      <c r="F80" s="16">
        <f t="shared" si="77"/>
        <v>-52</v>
      </c>
      <c r="G80" s="16">
        <f t="shared" si="77"/>
        <v>-107</v>
      </c>
      <c r="H80" s="16">
        <f t="shared" si="77"/>
        <v>-77</v>
      </c>
      <c r="I80" s="16">
        <f t="shared" si="77"/>
        <v>-67</v>
      </c>
      <c r="J80" s="16">
        <f t="shared" si="77"/>
        <v>-47</v>
      </c>
      <c r="K80" s="16">
        <f t="shared" si="77"/>
        <v>-78</v>
      </c>
      <c r="L80" s="16">
        <f t="shared" si="77"/>
        <v>-82</v>
      </c>
      <c r="M80" s="16">
        <f t="shared" si="77"/>
        <v>-105</v>
      </c>
      <c r="N80" s="16">
        <f t="shared" si="77"/>
        <v>-95</v>
      </c>
      <c r="O80" s="16">
        <f t="shared" si="77"/>
        <v>-117</v>
      </c>
      <c r="P80" s="16">
        <f t="shared" si="77"/>
        <v>-91</v>
      </c>
      <c r="Q80" s="16">
        <f t="shared" si="77"/>
        <v>-95</v>
      </c>
      <c r="R80" s="16">
        <f t="shared" si="77"/>
        <v>-58</v>
      </c>
      <c r="S80" s="16">
        <f>SUM(S78:S79)</f>
        <v>-74</v>
      </c>
      <c r="T80" s="16">
        <f>SUM(T78:T79)</f>
        <v>-78</v>
      </c>
      <c r="U80" s="16">
        <f>SUM(U78:U79)</f>
        <v>-142</v>
      </c>
      <c r="V80" s="16"/>
      <c r="W80" s="16"/>
      <c r="X80" s="16"/>
      <c r="Y80" s="16"/>
      <c r="Z80" s="16">
        <f t="shared" ref="Z80:AD80" si="78">SUM(Z78:Z79)</f>
        <v>-165</v>
      </c>
      <c r="AA80" s="16">
        <f t="shared" si="78"/>
        <v>-283</v>
      </c>
      <c r="AB80" s="16">
        <f t="shared" si="78"/>
        <v>-385</v>
      </c>
      <c r="AC80" s="16">
        <f t="shared" si="78"/>
        <v>-270</v>
      </c>
      <c r="AD80" s="16">
        <f t="shared" si="78"/>
        <v>-398</v>
      </c>
      <c r="AE80" s="16">
        <f>SUM(AE78:AE79)</f>
        <v>-318</v>
      </c>
    </row>
    <row r="81" spans="1:41" x14ac:dyDescent="0.25"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6"/>
      <c r="U81" s="16"/>
      <c r="V81" s="16"/>
      <c r="W81" s="16"/>
      <c r="X81" s="16"/>
      <c r="Y81" s="16"/>
      <c r="Z81" s="15"/>
      <c r="AA81" s="15"/>
      <c r="AB81" s="15"/>
      <c r="AC81" s="15"/>
      <c r="AD81" s="15"/>
      <c r="AE81" s="15"/>
    </row>
    <row r="82" spans="1:41" x14ac:dyDescent="0.25">
      <c r="C82" s="2" t="s">
        <v>100</v>
      </c>
      <c r="D82" s="15">
        <v>0</v>
      </c>
      <c r="E82" s="15">
        <v>0</v>
      </c>
      <c r="F82" s="15">
        <v>0</v>
      </c>
      <c r="G82" s="15">
        <v>-47</v>
      </c>
      <c r="H82" s="15">
        <v>0</v>
      </c>
      <c r="I82" s="15">
        <v>0</v>
      </c>
      <c r="J82" s="15">
        <v>0</v>
      </c>
      <c r="K82" s="15">
        <v>-30</v>
      </c>
      <c r="L82" s="15">
        <v>-36</v>
      </c>
      <c r="M82" s="15">
        <v>0</v>
      </c>
      <c r="N82" s="15">
        <v>0</v>
      </c>
      <c r="O82" s="15">
        <v>-50</v>
      </c>
      <c r="P82" s="15">
        <v>-102</v>
      </c>
      <c r="Q82" s="15">
        <v>0</v>
      </c>
      <c r="R82" s="15">
        <v>-32</v>
      </c>
      <c r="S82" s="15">
        <v>-72</v>
      </c>
      <c r="T82" s="15">
        <v>-56</v>
      </c>
      <c r="U82" s="15">
        <v>-29</v>
      </c>
      <c r="V82" s="16"/>
      <c r="W82" s="16"/>
      <c r="X82" s="16"/>
      <c r="Y82" s="16"/>
      <c r="Z82" s="15">
        <v>0</v>
      </c>
      <c r="AA82" s="15">
        <v>0</v>
      </c>
      <c r="AB82" s="15">
        <v>-47</v>
      </c>
      <c r="AC82" s="15">
        <v>-30</v>
      </c>
      <c r="AD82" s="15">
        <v>-85</v>
      </c>
      <c r="AE82" s="15">
        <v>-206</v>
      </c>
    </row>
    <row r="83" spans="1:41" x14ac:dyDescent="0.25">
      <c r="C83" s="2" t="s">
        <v>101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-470</v>
      </c>
      <c r="P83" s="15">
        <v>0</v>
      </c>
      <c r="Q83" s="15">
        <v>-2697</v>
      </c>
      <c r="R83" s="15">
        <v>-50</v>
      </c>
      <c r="S83" s="15">
        <v>0</v>
      </c>
      <c r="T83" s="15">
        <v>0</v>
      </c>
      <c r="U83" s="15">
        <v>0</v>
      </c>
      <c r="V83" s="15"/>
      <c r="W83" s="15"/>
      <c r="X83" s="15"/>
      <c r="Y83" s="15"/>
      <c r="Z83" s="15">
        <v>-342</v>
      </c>
      <c r="AA83" s="15">
        <v>-3172</v>
      </c>
      <c r="AB83" s="15">
        <v>0</v>
      </c>
      <c r="AC83" s="15">
        <v>0</v>
      </c>
      <c r="AD83" s="15">
        <v>-470</v>
      </c>
      <c r="AE83" s="15">
        <v>-2747</v>
      </c>
    </row>
    <row r="84" spans="1:41" x14ac:dyDescent="0.25">
      <c r="C84" s="2" t="s">
        <v>102</v>
      </c>
      <c r="D84" s="15">
        <v>-72</v>
      </c>
      <c r="E84" s="15">
        <v>-73</v>
      </c>
      <c r="F84" s="15">
        <v>-83</v>
      </c>
      <c r="G84" s="15">
        <v>-100</v>
      </c>
      <c r="H84" s="15">
        <v>-92</v>
      </c>
      <c r="I84" s="15">
        <v>-93</v>
      </c>
      <c r="J84" s="15">
        <v>-94</v>
      </c>
      <c r="K84" s="15">
        <v>-149</v>
      </c>
      <c r="L84" s="15">
        <v>-105</v>
      </c>
      <c r="M84" s="15">
        <v>-100</v>
      </c>
      <c r="N84" s="15">
        <v>-95</v>
      </c>
      <c r="O84" s="15">
        <v>-101</v>
      </c>
      <c r="P84" s="15">
        <v>-105</v>
      </c>
      <c r="Q84" s="15">
        <v>-108</v>
      </c>
      <c r="R84" s="15">
        <v>-112</v>
      </c>
      <c r="S84" s="15">
        <v>-111</v>
      </c>
      <c r="T84" s="15">
        <v>-148</v>
      </c>
      <c r="U84" s="15">
        <v>-93</v>
      </c>
      <c r="V84" s="15"/>
      <c r="W84" s="15"/>
      <c r="X84" s="15"/>
      <c r="Y84" s="15"/>
      <c r="Z84" s="15">
        <v>0</v>
      </c>
      <c r="AA84" s="15">
        <v>0</v>
      </c>
      <c r="AB84" s="15">
        <v>-328</v>
      </c>
      <c r="AC84" s="15">
        <v>-429</v>
      </c>
      <c r="AD84" s="15">
        <v>-401</v>
      </c>
      <c r="AE84" s="15">
        <v>-435</v>
      </c>
    </row>
    <row r="85" spans="1:41" s="1" customFormat="1" x14ac:dyDescent="0.25">
      <c r="A85" s="2"/>
      <c r="B85" s="3"/>
      <c r="C85" s="2" t="s">
        <v>103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550</v>
      </c>
      <c r="P85" s="15">
        <v>100</v>
      </c>
      <c r="Q85" s="15">
        <v>2790</v>
      </c>
      <c r="R85" s="15">
        <v>0</v>
      </c>
      <c r="S85" s="15">
        <v>0</v>
      </c>
      <c r="T85" s="15">
        <v>0</v>
      </c>
      <c r="U85" s="15">
        <v>0</v>
      </c>
      <c r="V85" s="15"/>
      <c r="W85" s="15"/>
      <c r="X85" s="15"/>
      <c r="Y85" s="15"/>
      <c r="Z85" s="15">
        <v>210</v>
      </c>
      <c r="AA85" s="15">
        <v>2392</v>
      </c>
      <c r="AB85" s="15">
        <v>0</v>
      </c>
      <c r="AC85" s="15">
        <v>0</v>
      </c>
      <c r="AD85" s="15">
        <v>550</v>
      </c>
      <c r="AE85" s="15">
        <v>2890</v>
      </c>
      <c r="AF85" s="3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5">
      <c r="C86" s="2" t="s">
        <v>104</v>
      </c>
      <c r="D86" s="15">
        <v>0</v>
      </c>
      <c r="E86" s="15">
        <v>-255</v>
      </c>
      <c r="F86" s="15">
        <v>0</v>
      </c>
      <c r="G86" s="15">
        <v>0</v>
      </c>
      <c r="H86" s="15">
        <v>0</v>
      </c>
      <c r="I86" s="15">
        <v>-253</v>
      </c>
      <c r="J86" s="15">
        <v>0</v>
      </c>
      <c r="K86" s="15">
        <v>0</v>
      </c>
      <c r="L86" s="15">
        <v>0</v>
      </c>
      <c r="M86" s="15">
        <v>-266</v>
      </c>
      <c r="N86" s="15">
        <v>0</v>
      </c>
      <c r="O86" s="15">
        <v>0</v>
      </c>
      <c r="P86" s="15">
        <v>0</v>
      </c>
      <c r="Q86" s="15">
        <v>-260</v>
      </c>
      <c r="R86" s="15">
        <v>0</v>
      </c>
      <c r="S86" s="15">
        <v>0</v>
      </c>
      <c r="T86" s="15">
        <v>0</v>
      </c>
      <c r="U86" s="15">
        <v>-256</v>
      </c>
      <c r="V86" s="15"/>
      <c r="W86" s="15"/>
      <c r="X86" s="15"/>
      <c r="Y86" s="15"/>
      <c r="Z86" s="15">
        <v>0</v>
      </c>
      <c r="AA86" s="15">
        <v>0</v>
      </c>
      <c r="AB86" s="15">
        <v>-256</v>
      </c>
      <c r="AC86" s="15">
        <v>-253</v>
      </c>
      <c r="AD86" s="15">
        <v>-266</v>
      </c>
      <c r="AE86" s="15">
        <v>-261</v>
      </c>
      <c r="AF86" s="21"/>
      <c r="AG86" s="1"/>
      <c r="AH86" s="1"/>
      <c r="AI86" s="1"/>
      <c r="AJ86" s="1"/>
      <c r="AK86" s="1"/>
      <c r="AL86" s="1"/>
      <c r="AM86" s="1"/>
      <c r="AN86" s="1"/>
      <c r="AO86" s="1"/>
    </row>
    <row r="87" spans="1:41" x14ac:dyDescent="0.25">
      <c r="C87" s="1" t="s">
        <v>105</v>
      </c>
      <c r="D87" s="16">
        <f t="shared" ref="D87:R87" si="79">SUM(D82:D86)</f>
        <v>-72</v>
      </c>
      <c r="E87" s="16">
        <f t="shared" si="79"/>
        <v>-328</v>
      </c>
      <c r="F87" s="16">
        <f t="shared" si="79"/>
        <v>-83</v>
      </c>
      <c r="G87" s="16">
        <f t="shared" si="79"/>
        <v>-147</v>
      </c>
      <c r="H87" s="16">
        <f t="shared" si="79"/>
        <v>-92</v>
      </c>
      <c r="I87" s="16">
        <f t="shared" si="79"/>
        <v>-346</v>
      </c>
      <c r="J87" s="16">
        <f t="shared" si="79"/>
        <v>-94</v>
      </c>
      <c r="K87" s="16">
        <f t="shared" si="79"/>
        <v>-179</v>
      </c>
      <c r="L87" s="16">
        <f t="shared" si="79"/>
        <v>-141</v>
      </c>
      <c r="M87" s="16">
        <f t="shared" si="79"/>
        <v>-366</v>
      </c>
      <c r="N87" s="16">
        <f t="shared" si="79"/>
        <v>-95</v>
      </c>
      <c r="O87" s="16">
        <f t="shared" si="79"/>
        <v>-71</v>
      </c>
      <c r="P87" s="16">
        <f t="shared" si="79"/>
        <v>-107</v>
      </c>
      <c r="Q87" s="16">
        <f t="shared" si="79"/>
        <v>-275</v>
      </c>
      <c r="R87" s="16">
        <f t="shared" si="79"/>
        <v>-194</v>
      </c>
      <c r="S87" s="16">
        <f>SUM(S82:S86)</f>
        <v>-183</v>
      </c>
      <c r="T87" s="16">
        <f>SUM(T82:T86)</f>
        <v>-204</v>
      </c>
      <c r="U87" s="16">
        <f>SUM(U82:U86)</f>
        <v>-378</v>
      </c>
      <c r="V87" s="16"/>
      <c r="W87" s="16"/>
      <c r="X87" s="16"/>
      <c r="Y87" s="16"/>
      <c r="Z87" s="16">
        <f t="shared" ref="Z87:AE87" si="80">SUM(Z82:Z86)</f>
        <v>-132</v>
      </c>
      <c r="AA87" s="16">
        <f t="shared" si="80"/>
        <v>-780</v>
      </c>
      <c r="AB87" s="16">
        <f t="shared" si="80"/>
        <v>-631</v>
      </c>
      <c r="AC87" s="16">
        <f t="shared" si="80"/>
        <v>-712</v>
      </c>
      <c r="AD87" s="16">
        <f t="shared" si="80"/>
        <v>-672</v>
      </c>
      <c r="AE87" s="16">
        <f t="shared" si="80"/>
        <v>-759</v>
      </c>
    </row>
    <row r="88" spans="1:41" x14ac:dyDescent="0.25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41" x14ac:dyDescent="0.25">
      <c r="C89" s="2" t="s">
        <v>106</v>
      </c>
      <c r="D89" s="15">
        <v>26</v>
      </c>
      <c r="E89" s="15">
        <v>-23</v>
      </c>
      <c r="F89" s="15">
        <v>6</v>
      </c>
      <c r="G89" s="15">
        <v>4</v>
      </c>
      <c r="H89" s="15">
        <v>-29</v>
      </c>
      <c r="I89" s="15">
        <v>5</v>
      </c>
      <c r="J89" s="15">
        <v>5</v>
      </c>
      <c r="K89" s="15">
        <v>-11</v>
      </c>
      <c r="L89" s="15">
        <v>-10</v>
      </c>
      <c r="M89" s="15">
        <v>11</v>
      </c>
      <c r="N89" s="15">
        <v>-23</v>
      </c>
      <c r="O89" s="15">
        <v>-3</v>
      </c>
      <c r="P89" s="15">
        <v>1</v>
      </c>
      <c r="Q89" s="15">
        <v>-1</v>
      </c>
      <c r="R89" s="15">
        <v>4</v>
      </c>
      <c r="S89" s="15">
        <v>-14</v>
      </c>
      <c r="T89" s="15">
        <v>45</v>
      </c>
      <c r="U89" s="15">
        <v>-2</v>
      </c>
      <c r="V89" s="15"/>
      <c r="W89" s="15"/>
      <c r="X89" s="15"/>
      <c r="Y89" s="15"/>
      <c r="Z89" s="15">
        <v>-15</v>
      </c>
      <c r="AA89" s="15">
        <v>29</v>
      </c>
      <c r="AB89" s="15">
        <v>15</v>
      </c>
      <c r="AC89" s="15">
        <v>-30</v>
      </c>
      <c r="AD89" s="15">
        <v>-25</v>
      </c>
      <c r="AE89" s="15">
        <v>-9</v>
      </c>
    </row>
    <row r="90" spans="1:41" x14ac:dyDescent="0.25"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41" x14ac:dyDescent="0.25">
      <c r="C91" s="2" t="s">
        <v>107</v>
      </c>
      <c r="D91" s="15">
        <f t="shared" ref="D91:S91" si="81">D76+D80+D87+D89</f>
        <v>-195</v>
      </c>
      <c r="E91" s="15">
        <f t="shared" si="81"/>
        <v>-139</v>
      </c>
      <c r="F91" s="15">
        <f t="shared" si="81"/>
        <v>84</v>
      </c>
      <c r="G91" s="15">
        <f t="shared" si="81"/>
        <v>-65</v>
      </c>
      <c r="H91" s="15">
        <f t="shared" si="81"/>
        <v>59</v>
      </c>
      <c r="I91" s="15">
        <f t="shared" si="81"/>
        <v>-22</v>
      </c>
      <c r="J91" s="15">
        <f t="shared" si="81"/>
        <v>-32</v>
      </c>
      <c r="K91" s="15">
        <f t="shared" si="81"/>
        <v>136</v>
      </c>
      <c r="L91" s="15">
        <f t="shared" si="81"/>
        <v>-16</v>
      </c>
      <c r="M91" s="15">
        <f t="shared" si="81"/>
        <v>-25</v>
      </c>
      <c r="N91" s="15">
        <f t="shared" si="81"/>
        <v>24</v>
      </c>
      <c r="O91" s="15">
        <f t="shared" si="81"/>
        <v>-149</v>
      </c>
      <c r="P91" s="15">
        <f t="shared" si="81"/>
        <v>113</v>
      </c>
      <c r="Q91" s="15">
        <f t="shared" si="81"/>
        <v>42</v>
      </c>
      <c r="R91" s="15">
        <f t="shared" si="81"/>
        <v>-13</v>
      </c>
      <c r="S91" s="15">
        <f t="shared" si="81"/>
        <v>39</v>
      </c>
      <c r="T91" s="15">
        <f t="shared" ref="T91:U91" si="82">T76+T80+T87+T89</f>
        <v>136</v>
      </c>
      <c r="U91" s="15">
        <f t="shared" si="82"/>
        <v>-88</v>
      </c>
      <c r="V91" s="15"/>
      <c r="W91" s="15"/>
      <c r="X91" s="15"/>
      <c r="Y91" s="15"/>
      <c r="Z91" s="15">
        <f t="shared" ref="Z91:AE91" si="83">Z76+Z80+Z87+Z89</f>
        <v>586</v>
      </c>
      <c r="AA91" s="15">
        <f t="shared" si="83"/>
        <v>-54</v>
      </c>
      <c r="AB91" s="15">
        <f t="shared" si="83"/>
        <v>-311</v>
      </c>
      <c r="AC91" s="15">
        <f t="shared" si="83"/>
        <v>138</v>
      </c>
      <c r="AD91" s="15">
        <f t="shared" si="83"/>
        <v>-162</v>
      </c>
      <c r="AE91" s="15">
        <f t="shared" si="83"/>
        <v>180</v>
      </c>
    </row>
    <row r="92" spans="1:41" x14ac:dyDescent="0.25"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41" x14ac:dyDescent="0.25">
      <c r="C93" s="2" t="s">
        <v>108</v>
      </c>
      <c r="D93" s="15">
        <f t="shared" ref="D93:T93" si="84">D76+D78+D84</f>
        <v>-220</v>
      </c>
      <c r="E93" s="15">
        <f t="shared" si="84"/>
        <v>140</v>
      </c>
      <c r="F93" s="15">
        <f t="shared" si="84"/>
        <v>80</v>
      </c>
      <c r="G93" s="15">
        <f t="shared" si="84"/>
        <v>-22</v>
      </c>
      <c r="H93" s="15">
        <f t="shared" si="84"/>
        <v>93</v>
      </c>
      <c r="I93" s="15">
        <f t="shared" si="84"/>
        <v>241</v>
      </c>
      <c r="J93" s="15">
        <f t="shared" si="84"/>
        <v>-38</v>
      </c>
      <c r="K93" s="15">
        <f t="shared" si="84"/>
        <v>181</v>
      </c>
      <c r="L93" s="15">
        <f t="shared" si="84"/>
        <v>40</v>
      </c>
      <c r="M93" s="15">
        <f t="shared" si="84"/>
        <v>231</v>
      </c>
      <c r="N93" s="15">
        <f t="shared" si="84"/>
        <v>50</v>
      </c>
      <c r="O93" s="15">
        <f t="shared" si="84"/>
        <v>-169</v>
      </c>
      <c r="P93" s="15">
        <f t="shared" si="84"/>
        <v>114</v>
      </c>
      <c r="Q93" s="15">
        <f t="shared" si="84"/>
        <v>212</v>
      </c>
      <c r="R93" s="15">
        <f t="shared" si="84"/>
        <v>63</v>
      </c>
      <c r="S93" s="15">
        <f t="shared" si="84"/>
        <v>125</v>
      </c>
      <c r="T93" s="15">
        <f t="shared" si="84"/>
        <v>148</v>
      </c>
      <c r="U93" s="15">
        <f>U76+U78+U84</f>
        <v>233</v>
      </c>
      <c r="V93" s="15"/>
      <c r="W93" s="40"/>
      <c r="X93" s="15"/>
      <c r="Y93" s="15"/>
      <c r="Z93" s="15">
        <f>Z76+Z78+Z84</f>
        <v>738</v>
      </c>
      <c r="AA93" s="15">
        <f t="shared" ref="AA93:AD93" si="85">AA76+AA78+AA84</f>
        <v>708</v>
      </c>
      <c r="AB93" s="15">
        <f t="shared" si="85"/>
        <v>-20</v>
      </c>
      <c r="AC93" s="15">
        <f t="shared" si="85"/>
        <v>473</v>
      </c>
      <c r="AD93" s="15">
        <f>AD76+AD78+AD84</f>
        <v>155</v>
      </c>
      <c r="AE93" s="15">
        <f>AE76+AE78+AE84</f>
        <v>514</v>
      </c>
    </row>
    <row r="94" spans="1:41" s="1" customFormat="1" x14ac:dyDescent="0.25">
      <c r="A94" s="2"/>
      <c r="B94" s="3"/>
      <c r="C94" s="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3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5">
      <c r="C95" s="1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21"/>
      <c r="AG95" s="1"/>
      <c r="AH95" s="1"/>
      <c r="AI95" s="1"/>
      <c r="AJ95" s="1"/>
      <c r="AK95" s="1"/>
      <c r="AL95" s="1"/>
      <c r="AM95" s="1"/>
      <c r="AN95" s="1"/>
      <c r="AO95" s="1"/>
    </row>
    <row r="96" spans="1:41" x14ac:dyDescent="0.25"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3:31" x14ac:dyDescent="0.25"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41"/>
    </row>
    <row r="98" spans="3:31" x14ac:dyDescent="0.25"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AD98" s="15"/>
      <c r="AE98" s="15"/>
    </row>
    <row r="99" spans="3:31" x14ac:dyDescent="0.25"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AD99" s="15"/>
      <c r="AE99" s="15"/>
    </row>
    <row r="108" spans="3:31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AD108" s="1"/>
    </row>
    <row r="109" spans="3:31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AD109" s="1"/>
    </row>
    <row r="110" spans="3:31" x14ac:dyDescent="0.25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21" spans="3:30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AD121" s="1"/>
    </row>
    <row r="134" spans="3:30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AD134" s="1"/>
    </row>
    <row r="135" spans="3:30" x14ac:dyDescent="0.25">
      <c r="Q135" s="1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A4:AC70"/>
  <sheetViews>
    <sheetView showGridLines="0" workbookViewId="0">
      <pane xSplit="2" ySplit="4" topLeftCell="Q13" activePane="bottomRight" state="frozen"/>
      <selection pane="topRight" activeCell="C1" sqref="C1"/>
      <selection pane="bottomLeft" activeCell="A5" sqref="A5"/>
      <selection pane="bottomRight" activeCell="X18" sqref="X18"/>
    </sheetView>
  </sheetViews>
  <sheetFormatPr baseColWidth="10" defaultRowHeight="19" x14ac:dyDescent="0.25"/>
  <cols>
    <col min="1" max="1" width="10.83203125" style="2"/>
    <col min="2" max="2" width="18" style="2" customWidth="1"/>
    <col min="3" max="3" width="13" style="2" customWidth="1"/>
    <col min="4" max="6" width="10.83203125" style="2"/>
    <col min="7" max="7" width="13.83203125" style="2" customWidth="1"/>
    <col min="8" max="8" width="12" style="2" customWidth="1"/>
    <col min="9" max="14" width="10.83203125" style="2" customWidth="1"/>
    <col min="15" max="15" width="11.83203125" style="2" customWidth="1"/>
    <col min="16" max="20" width="10.83203125" style="2"/>
    <col min="21" max="21" width="12.1640625" style="2" bestFit="1" customWidth="1"/>
    <col min="22" max="28" width="10.83203125" style="2"/>
    <col min="29" max="29" width="13.83203125" style="2" bestFit="1" customWidth="1"/>
    <col min="30" max="16384" width="10.83203125" style="2"/>
  </cols>
  <sheetData>
    <row r="4" spans="1:29" x14ac:dyDescent="0.25">
      <c r="B4" s="2" t="s">
        <v>39</v>
      </c>
      <c r="C4" s="4" t="s">
        <v>3</v>
      </c>
      <c r="D4" s="4" t="s">
        <v>4</v>
      </c>
      <c r="E4" s="4" t="s">
        <v>5</v>
      </c>
      <c r="F4" s="4" t="s">
        <v>6</v>
      </c>
      <c r="G4" s="49">
        <v>2022</v>
      </c>
      <c r="H4" s="4" t="s">
        <v>7</v>
      </c>
      <c r="I4" s="4" t="s">
        <v>8</v>
      </c>
      <c r="J4" s="4" t="s">
        <v>9</v>
      </c>
      <c r="K4" s="4" t="s">
        <v>10</v>
      </c>
      <c r="L4" s="49">
        <v>2023</v>
      </c>
      <c r="M4" s="4" t="s">
        <v>11</v>
      </c>
      <c r="N4" s="4" t="s">
        <v>12</v>
      </c>
      <c r="O4" s="4" t="s">
        <v>13</v>
      </c>
      <c r="P4" s="4" t="s">
        <v>14</v>
      </c>
      <c r="Q4" s="49">
        <v>2024</v>
      </c>
      <c r="R4" s="4" t="s">
        <v>32</v>
      </c>
      <c r="S4" s="4" t="s">
        <v>29</v>
      </c>
      <c r="T4" s="4" t="s">
        <v>30</v>
      </c>
      <c r="U4" s="4" t="s">
        <v>31</v>
      </c>
      <c r="V4" s="49">
        <v>2025</v>
      </c>
      <c r="W4" s="4" t="s">
        <v>112</v>
      </c>
      <c r="X4" s="4" t="s">
        <v>113</v>
      </c>
      <c r="Y4" s="4" t="s">
        <v>114</v>
      </c>
      <c r="Z4" s="4" t="s">
        <v>115</v>
      </c>
      <c r="AA4" s="45">
        <v>2026</v>
      </c>
    </row>
    <row r="5" spans="1:29" x14ac:dyDescent="0.25">
      <c r="B5" s="1" t="s">
        <v>131</v>
      </c>
      <c r="G5" s="46"/>
      <c r="H5" s="1"/>
      <c r="L5" s="46"/>
      <c r="N5" s="1"/>
      <c r="Q5" s="46"/>
      <c r="T5" s="1"/>
      <c r="V5" s="46"/>
      <c r="AA5" s="46"/>
    </row>
    <row r="6" spans="1:29" x14ac:dyDescent="0.25">
      <c r="B6" s="15" t="s">
        <v>132</v>
      </c>
      <c r="C6" s="15">
        <v>298</v>
      </c>
      <c r="D6" s="15">
        <v>359</v>
      </c>
      <c r="E6" s="15">
        <v>321</v>
      </c>
      <c r="F6" s="15">
        <v>396</v>
      </c>
      <c r="G6" s="50">
        <f>SUM(C6:F6)</f>
        <v>1374</v>
      </c>
      <c r="H6" s="15">
        <v>378</v>
      </c>
      <c r="I6" s="15">
        <v>403</v>
      </c>
      <c r="J6" s="15">
        <v>370</v>
      </c>
      <c r="K6" s="15">
        <v>435</v>
      </c>
      <c r="L6" s="50">
        <f>SUM(H6:K6)</f>
        <v>1586</v>
      </c>
      <c r="M6" s="15">
        <v>452</v>
      </c>
      <c r="N6" s="15">
        <v>468</v>
      </c>
      <c r="O6" s="15">
        <v>395</v>
      </c>
      <c r="P6" s="15">
        <v>484</v>
      </c>
      <c r="Q6" s="50">
        <f>SUM(M6:P6)</f>
        <v>1799</v>
      </c>
      <c r="R6" s="15">
        <v>488</v>
      </c>
      <c r="S6" s="15">
        <v>536</v>
      </c>
      <c r="T6" s="15">
        <v>477</v>
      </c>
      <c r="U6" s="2">
        <v>556</v>
      </c>
      <c r="V6" s="50">
        <f>SUM(R6:U6)</f>
        <v>2057</v>
      </c>
      <c r="W6" s="2">
        <v>532</v>
      </c>
      <c r="X6" s="2">
        <v>597</v>
      </c>
      <c r="AA6" s="50">
        <f>SUM(W6:Z6)</f>
        <v>1129</v>
      </c>
    </row>
    <row r="7" spans="1:29" s="19" customFormat="1" x14ac:dyDescent="0.25">
      <c r="A7" s="2"/>
      <c r="B7" s="19" t="s">
        <v>133</v>
      </c>
      <c r="G7" s="47"/>
      <c r="H7" s="19">
        <f t="shared" ref="H7:T7" si="0">(H6-C6)/C6</f>
        <v>0.26845637583892618</v>
      </c>
      <c r="I7" s="19">
        <f t="shared" si="0"/>
        <v>0.12256267409470752</v>
      </c>
      <c r="J7" s="19">
        <f>(J6-E6)/E6</f>
        <v>0.15264797507788161</v>
      </c>
      <c r="K7" s="19">
        <f t="shared" si="0"/>
        <v>9.8484848484848481E-2</v>
      </c>
      <c r="L7" s="47">
        <f t="shared" si="0"/>
        <v>0.15429403202328967</v>
      </c>
      <c r="M7" s="19">
        <f t="shared" si="0"/>
        <v>0.19576719576719576</v>
      </c>
      <c r="N7" s="19">
        <f t="shared" si="0"/>
        <v>0.16129032258064516</v>
      </c>
      <c r="O7" s="19">
        <f t="shared" si="0"/>
        <v>6.7567567567567571E-2</v>
      </c>
      <c r="P7" s="19">
        <f t="shared" si="0"/>
        <v>0.11264367816091954</v>
      </c>
      <c r="Q7" s="47">
        <f t="shared" si="0"/>
        <v>0.1343001261034048</v>
      </c>
      <c r="R7" s="19">
        <f t="shared" si="0"/>
        <v>7.9646017699115043E-2</v>
      </c>
      <c r="S7" s="19">
        <f t="shared" si="0"/>
        <v>0.14529914529914531</v>
      </c>
      <c r="T7" s="19">
        <f t="shared" si="0"/>
        <v>0.20759493670886076</v>
      </c>
      <c r="U7" s="19">
        <f>(U6-P6)/P6</f>
        <v>0.1487603305785124</v>
      </c>
      <c r="V7" s="47">
        <f t="shared" ref="V7:AA7" si="1">(V6-Q6)/Q6</f>
        <v>0.14341300722623679</v>
      </c>
      <c r="W7" s="19">
        <f t="shared" si="1"/>
        <v>9.0163934426229511E-2</v>
      </c>
      <c r="X7" s="19">
        <f t="shared" si="1"/>
        <v>0.11380597014925373</v>
      </c>
      <c r="Y7" s="19">
        <f t="shared" si="1"/>
        <v>-1</v>
      </c>
      <c r="Z7" s="19">
        <f t="shared" si="1"/>
        <v>-1</v>
      </c>
      <c r="AA7" s="47">
        <f t="shared" si="1"/>
        <v>-0.45114244044725327</v>
      </c>
    </row>
    <row r="8" spans="1:29" x14ac:dyDescent="0.25">
      <c r="B8" s="2" t="s">
        <v>134</v>
      </c>
      <c r="C8" s="15">
        <v>263</v>
      </c>
      <c r="D8" s="15">
        <v>323</v>
      </c>
      <c r="E8" s="15">
        <v>288</v>
      </c>
      <c r="F8" s="15">
        <v>286</v>
      </c>
      <c r="G8" s="50">
        <f>SUM(C8:F8)</f>
        <v>1160</v>
      </c>
      <c r="H8" s="16">
        <v>292</v>
      </c>
      <c r="I8" s="15">
        <v>348</v>
      </c>
      <c r="J8" s="15">
        <v>306</v>
      </c>
      <c r="K8" s="15">
        <v>304</v>
      </c>
      <c r="L8" s="50">
        <f>SUM(H8:K8)</f>
        <v>1250</v>
      </c>
      <c r="M8" s="15">
        <v>298</v>
      </c>
      <c r="N8" s="15">
        <v>352</v>
      </c>
      <c r="O8" s="15">
        <v>320</v>
      </c>
      <c r="P8" s="15">
        <v>323</v>
      </c>
      <c r="Q8" s="50">
        <f>SUM(M8:P8)</f>
        <v>1293</v>
      </c>
      <c r="R8" s="15">
        <v>330</v>
      </c>
      <c r="S8" s="15">
        <v>379</v>
      </c>
      <c r="T8" s="15">
        <v>352</v>
      </c>
      <c r="U8" s="2">
        <v>349</v>
      </c>
      <c r="V8" s="50">
        <f>SUM(R8:U8)</f>
        <v>1410</v>
      </c>
      <c r="W8" s="2">
        <v>340</v>
      </c>
      <c r="X8" s="2">
        <v>412</v>
      </c>
      <c r="AA8" s="50">
        <f>SUM(W8:Z8)</f>
        <v>752</v>
      </c>
    </row>
    <row r="9" spans="1:29" s="19" customFormat="1" x14ac:dyDescent="0.25">
      <c r="B9" s="19" t="s">
        <v>133</v>
      </c>
      <c r="G9" s="47"/>
      <c r="H9" s="19">
        <f t="shared" ref="H9:T9" si="2">(H8-C8)/C8</f>
        <v>0.11026615969581749</v>
      </c>
      <c r="I9" s="19">
        <f t="shared" si="2"/>
        <v>7.7399380804953566E-2</v>
      </c>
      <c r="J9" s="19">
        <f>(J8-E8)/E8</f>
        <v>6.25E-2</v>
      </c>
      <c r="K9" s="19">
        <f t="shared" si="2"/>
        <v>6.2937062937062943E-2</v>
      </c>
      <c r="L9" s="47">
        <f t="shared" si="2"/>
        <v>7.7586206896551727E-2</v>
      </c>
      <c r="M9" s="19">
        <f t="shared" si="2"/>
        <v>2.0547945205479451E-2</v>
      </c>
      <c r="N9" s="19">
        <f t="shared" si="2"/>
        <v>1.1494252873563218E-2</v>
      </c>
      <c r="O9" s="19">
        <f t="shared" si="2"/>
        <v>4.5751633986928102E-2</v>
      </c>
      <c r="P9" s="19">
        <f t="shared" si="2"/>
        <v>6.25E-2</v>
      </c>
      <c r="Q9" s="47">
        <f t="shared" si="2"/>
        <v>3.44E-2</v>
      </c>
      <c r="R9" s="19">
        <f t="shared" si="2"/>
        <v>0.10738255033557047</v>
      </c>
      <c r="S9" s="19">
        <f t="shared" si="2"/>
        <v>7.6704545454545456E-2</v>
      </c>
      <c r="T9" s="19">
        <f t="shared" si="2"/>
        <v>0.1</v>
      </c>
      <c r="U9" s="19">
        <f>(U8-P8)/P8</f>
        <v>8.0495356037151702E-2</v>
      </c>
      <c r="V9" s="47">
        <f t="shared" ref="V9:AA9" si="3">(V8-Q8)/Q8</f>
        <v>9.0487238979118326E-2</v>
      </c>
      <c r="W9" s="19">
        <f t="shared" si="3"/>
        <v>3.0303030303030304E-2</v>
      </c>
      <c r="X9" s="19">
        <f t="shared" si="3"/>
        <v>8.7071240105540904E-2</v>
      </c>
      <c r="Y9" s="19">
        <f t="shared" si="3"/>
        <v>-1</v>
      </c>
      <c r="Z9" s="19">
        <f t="shared" si="3"/>
        <v>-1</v>
      </c>
      <c r="AA9" s="47">
        <f t="shared" si="3"/>
        <v>-0.46666666666666667</v>
      </c>
    </row>
    <row r="10" spans="1:29" s="16" customFormat="1" x14ac:dyDescent="0.25">
      <c r="B10" s="16" t="s">
        <v>135</v>
      </c>
      <c r="C10" s="16">
        <f t="shared" ref="C10:E10" si="4">C6+C8</f>
        <v>561</v>
      </c>
      <c r="D10" s="16">
        <f t="shared" si="4"/>
        <v>682</v>
      </c>
      <c r="E10" s="16">
        <f t="shared" si="4"/>
        <v>609</v>
      </c>
      <c r="F10" s="16">
        <f>F6+F8</f>
        <v>682</v>
      </c>
      <c r="G10" s="64">
        <f t="shared" ref="G10" si="5">G6+G8</f>
        <v>2534</v>
      </c>
      <c r="H10" s="16">
        <f t="shared" ref="H10:T10" si="6">H6+H8</f>
        <v>670</v>
      </c>
      <c r="I10" s="16">
        <f t="shared" si="6"/>
        <v>751</v>
      </c>
      <c r="J10" s="16">
        <f>J6+J8</f>
        <v>676</v>
      </c>
      <c r="K10" s="16">
        <f t="shared" si="6"/>
        <v>739</v>
      </c>
      <c r="L10" s="64">
        <f t="shared" si="6"/>
        <v>2836</v>
      </c>
      <c r="M10" s="16">
        <f t="shared" si="6"/>
        <v>750</v>
      </c>
      <c r="N10" s="16">
        <f t="shared" si="6"/>
        <v>820</v>
      </c>
      <c r="O10" s="16">
        <f t="shared" si="6"/>
        <v>715</v>
      </c>
      <c r="P10" s="16">
        <f>P6+P8</f>
        <v>807</v>
      </c>
      <c r="Q10" s="64">
        <f t="shared" ref="Q10" si="7">Q6+Q8</f>
        <v>3092</v>
      </c>
      <c r="R10" s="16">
        <f t="shared" si="6"/>
        <v>818</v>
      </c>
      <c r="S10" s="16">
        <f t="shared" si="6"/>
        <v>915</v>
      </c>
      <c r="T10" s="16">
        <f t="shared" si="6"/>
        <v>829</v>
      </c>
      <c r="U10" s="16">
        <f>U6+U8</f>
        <v>905</v>
      </c>
      <c r="V10" s="64">
        <f t="shared" ref="V10:Z10" si="8">V6+V8</f>
        <v>3467</v>
      </c>
      <c r="W10" s="16">
        <f t="shared" si="8"/>
        <v>872</v>
      </c>
      <c r="X10" s="16">
        <f t="shared" si="8"/>
        <v>1009</v>
      </c>
      <c r="Y10" s="16">
        <f t="shared" si="8"/>
        <v>0</v>
      </c>
      <c r="Z10" s="16">
        <f t="shared" si="8"/>
        <v>0</v>
      </c>
      <c r="AA10" s="64">
        <f t="shared" ref="AA10" si="9">AA6+AA8</f>
        <v>1881</v>
      </c>
    </row>
    <row r="11" spans="1:29" s="19" customFormat="1" x14ac:dyDescent="0.25">
      <c r="B11" s="19" t="s">
        <v>133</v>
      </c>
      <c r="G11" s="47"/>
      <c r="H11" s="19">
        <f t="shared" ref="H11:T11" si="10">(H10-C10)/C10</f>
        <v>0.19429590017825313</v>
      </c>
      <c r="I11" s="19">
        <f t="shared" si="10"/>
        <v>0.10117302052785923</v>
      </c>
      <c r="J11" s="19">
        <f>(J10-E10)/E10</f>
        <v>0.11001642036124795</v>
      </c>
      <c r="K11" s="19">
        <f t="shared" si="10"/>
        <v>8.357771260997067E-2</v>
      </c>
      <c r="L11" s="47">
        <f t="shared" si="10"/>
        <v>0.11917916337805841</v>
      </c>
      <c r="M11" s="19">
        <f t="shared" si="10"/>
        <v>0.11940298507462686</v>
      </c>
      <c r="N11" s="19">
        <f t="shared" si="10"/>
        <v>9.1877496671105188E-2</v>
      </c>
      <c r="O11" s="19">
        <f t="shared" si="10"/>
        <v>5.7692307692307696E-2</v>
      </c>
      <c r="P11" s="19">
        <f t="shared" si="10"/>
        <v>9.2016238159675232E-2</v>
      </c>
      <c r="Q11" s="47">
        <f t="shared" si="10"/>
        <v>9.0267983074753172E-2</v>
      </c>
      <c r="R11" s="19">
        <f t="shared" si="10"/>
        <v>9.0666666666666673E-2</v>
      </c>
      <c r="S11" s="19">
        <f t="shared" si="10"/>
        <v>0.11585365853658537</v>
      </c>
      <c r="T11" s="19">
        <f t="shared" si="10"/>
        <v>0.15944055944055943</v>
      </c>
      <c r="U11" s="19">
        <f>(U10-P10)/P10</f>
        <v>0.12143742255266418</v>
      </c>
      <c r="V11" s="65">
        <f t="shared" ref="V11:AA11" si="11">(V10-Q10)/Q10</f>
        <v>0.12128072445019406</v>
      </c>
      <c r="W11" s="19">
        <f t="shared" si="11"/>
        <v>6.6014669926650366E-2</v>
      </c>
      <c r="X11" s="19">
        <f t="shared" si="11"/>
        <v>0.10273224043715846</v>
      </c>
      <c r="Y11" s="19">
        <f t="shared" si="11"/>
        <v>-1</v>
      </c>
      <c r="Z11" s="19">
        <f t="shared" si="11"/>
        <v>-1</v>
      </c>
      <c r="AA11" s="47">
        <f t="shared" si="11"/>
        <v>-0.4574560138448226</v>
      </c>
    </row>
    <row r="12" spans="1:29" s="19" customFormat="1" x14ac:dyDescent="0.25">
      <c r="B12" s="19" t="s">
        <v>109</v>
      </c>
      <c r="C12" s="19">
        <v>0.106</v>
      </c>
      <c r="D12" s="19">
        <v>0.16600000000000001</v>
      </c>
      <c r="E12" s="19">
        <v>0.107</v>
      </c>
      <c r="F12" s="19">
        <v>8.6999999999999994E-2</v>
      </c>
      <c r="G12" s="47"/>
      <c r="H12" s="25">
        <v>0.19400000000000001</v>
      </c>
      <c r="I12" s="19">
        <v>9.7000000000000003E-2</v>
      </c>
      <c r="J12" s="19">
        <v>0.104</v>
      </c>
      <c r="K12" s="19">
        <v>7.8E-2</v>
      </c>
      <c r="L12" s="47">
        <v>0.115</v>
      </c>
      <c r="M12" s="19">
        <v>0.108</v>
      </c>
      <c r="N12" s="19">
        <v>8.4000000000000005E-2</v>
      </c>
      <c r="O12" s="19">
        <v>0.05</v>
      </c>
      <c r="P12" s="19">
        <v>8.7999999999999995E-2</v>
      </c>
      <c r="Q12" s="47">
        <v>8.3000000000000004E-2</v>
      </c>
      <c r="R12" s="19">
        <v>8.5999999999999993E-2</v>
      </c>
      <c r="S12" s="19">
        <v>0.109</v>
      </c>
      <c r="T12" s="19">
        <v>0.151</v>
      </c>
      <c r="U12" s="19">
        <v>0.112</v>
      </c>
      <c r="V12" s="47">
        <v>0.114</v>
      </c>
      <c r="W12" s="19">
        <v>6.5000000000000002E-2</v>
      </c>
      <c r="X12" s="19">
        <v>8.8999999999999996E-2</v>
      </c>
      <c r="AA12" s="47"/>
    </row>
    <row r="13" spans="1:29" s="19" customFormat="1" x14ac:dyDescent="0.25">
      <c r="A13" s="2"/>
      <c r="B13" s="19" t="s">
        <v>111</v>
      </c>
      <c r="G13" s="47"/>
      <c r="H13" s="19">
        <v>0.16200000000000001</v>
      </c>
      <c r="I13" s="19">
        <v>6.9000000000000006E-2</v>
      </c>
      <c r="J13" s="19">
        <v>0.08</v>
      </c>
      <c r="K13" s="19">
        <v>5.6000000000000001E-2</v>
      </c>
      <c r="L13" s="47"/>
      <c r="M13" s="19">
        <v>8.6999999999999994E-2</v>
      </c>
      <c r="N13" s="19">
        <v>6.5000000000000002E-2</v>
      </c>
      <c r="O13" s="19">
        <v>2.3E-2</v>
      </c>
      <c r="P13" s="19">
        <v>5.8999999999999997E-2</v>
      </c>
      <c r="Q13" s="47"/>
      <c r="R13" s="19">
        <v>5.8000000000000003E-2</v>
      </c>
      <c r="S13" s="19">
        <v>8.5999999999999993E-2</v>
      </c>
      <c r="T13" s="19">
        <v>0.128</v>
      </c>
      <c r="U13" s="19">
        <v>9.4E-2</v>
      </c>
      <c r="V13" s="47">
        <v>9.0999999999999998E-2</v>
      </c>
      <c r="W13" s="19">
        <v>4.7E-2</v>
      </c>
      <c r="X13" s="19">
        <v>7.1999999999999995E-2</v>
      </c>
      <c r="AA13" s="47"/>
    </row>
    <row r="14" spans="1:29" s="15" customFormat="1" x14ac:dyDescent="0.25">
      <c r="B14" s="15" t="s">
        <v>51</v>
      </c>
      <c r="C14" s="15">
        <v>444</v>
      </c>
      <c r="D14" s="15">
        <v>510</v>
      </c>
      <c r="E14" s="15">
        <v>473</v>
      </c>
      <c r="F14" s="15">
        <v>550</v>
      </c>
      <c r="G14" s="64">
        <f>SUM(C14:F14)</f>
        <v>1977</v>
      </c>
      <c r="H14" s="16">
        <v>525</v>
      </c>
      <c r="I14" s="15">
        <v>570</v>
      </c>
      <c r="J14" s="15">
        <v>518</v>
      </c>
      <c r="K14" s="15">
        <v>580</v>
      </c>
      <c r="L14" s="64">
        <f>SUM(H14:K14)</f>
        <v>2193</v>
      </c>
      <c r="M14" s="15">
        <v>588</v>
      </c>
      <c r="N14" s="15">
        <v>604</v>
      </c>
      <c r="O14" s="15">
        <v>543</v>
      </c>
      <c r="P14" s="15">
        <v>628</v>
      </c>
      <c r="Q14" s="64">
        <f>SUM(M14:P14)</f>
        <v>2363</v>
      </c>
      <c r="R14" s="15">
        <v>610</v>
      </c>
      <c r="S14" s="15">
        <v>691</v>
      </c>
      <c r="T14" s="15">
        <v>622</v>
      </c>
      <c r="U14" s="15">
        <v>709</v>
      </c>
      <c r="V14" s="64">
        <f>SUM(R14:U14)</f>
        <v>2632</v>
      </c>
      <c r="W14" s="15">
        <v>679</v>
      </c>
      <c r="X14" s="15">
        <v>773</v>
      </c>
      <c r="AA14" s="64">
        <f>SUM(W14:Z14)</f>
        <v>1452</v>
      </c>
    </row>
    <row r="15" spans="1:29" s="19" customFormat="1" x14ac:dyDescent="0.25">
      <c r="B15" s="19" t="s">
        <v>36</v>
      </c>
      <c r="C15" s="19">
        <v>0.78500000000000003</v>
      </c>
      <c r="D15" s="19">
        <v>0.74399999999999999</v>
      </c>
      <c r="E15" s="19">
        <v>0.77100000000000002</v>
      </c>
      <c r="F15" s="19">
        <v>0.80300000000000005</v>
      </c>
      <c r="G15" s="65">
        <f>G14/G10</f>
        <v>0.78018942383583267</v>
      </c>
      <c r="H15" s="25">
        <v>0.78</v>
      </c>
      <c r="I15" s="19">
        <v>0.755</v>
      </c>
      <c r="J15" s="19">
        <v>0.76300000000000001</v>
      </c>
      <c r="K15" s="19">
        <v>0.78200000000000003</v>
      </c>
      <c r="L15" s="65">
        <f>L14/L10</f>
        <v>0.77327221438645977</v>
      </c>
      <c r="M15" s="19">
        <v>0.78</v>
      </c>
      <c r="N15" s="19">
        <v>0.73499999999999999</v>
      </c>
      <c r="O15" s="19">
        <v>0.75</v>
      </c>
      <c r="P15" s="19">
        <v>0.77500000000000002</v>
      </c>
      <c r="Q15" s="65">
        <f>Q14/Q10</f>
        <v>0.76423027166882274</v>
      </c>
      <c r="R15" s="19">
        <v>0.74199999999999999</v>
      </c>
      <c r="S15" s="19">
        <v>0.751</v>
      </c>
      <c r="T15" s="19">
        <v>0.747</v>
      </c>
      <c r="U15" s="19">
        <v>0.78</v>
      </c>
      <c r="V15" s="65">
        <f>V14/V10</f>
        <v>0.75915777329102974</v>
      </c>
      <c r="W15" s="19">
        <v>0.77500000000000002</v>
      </c>
      <c r="X15" s="19">
        <v>0.76300000000000001</v>
      </c>
      <c r="AA15" s="65">
        <f>AA14/AA10</f>
        <v>0.77192982456140347</v>
      </c>
    </row>
    <row r="16" spans="1:29" s="15" customFormat="1" x14ac:dyDescent="0.25">
      <c r="B16" s="15" t="s">
        <v>54</v>
      </c>
      <c r="C16" s="15">
        <v>152</v>
      </c>
      <c r="D16" s="15">
        <v>202</v>
      </c>
      <c r="E16" s="15">
        <v>191</v>
      </c>
      <c r="F16" s="15">
        <v>213</v>
      </c>
      <c r="G16" s="64">
        <f>SUM(C16:F16)</f>
        <v>758</v>
      </c>
      <c r="H16" s="15">
        <v>196</v>
      </c>
      <c r="I16" s="15">
        <v>224</v>
      </c>
      <c r="J16" s="15">
        <v>223</v>
      </c>
      <c r="K16" s="15">
        <v>252</v>
      </c>
      <c r="L16" s="64">
        <f>SUM(H16:K16)</f>
        <v>895</v>
      </c>
      <c r="M16" s="15">
        <v>257</v>
      </c>
      <c r="N16" s="15">
        <v>241</v>
      </c>
      <c r="O16" s="15">
        <v>222</v>
      </c>
      <c r="P16" s="15">
        <v>259</v>
      </c>
      <c r="Q16" s="64">
        <f>SUM(M16:P16)</f>
        <v>979</v>
      </c>
      <c r="R16" s="15">
        <v>240</v>
      </c>
      <c r="S16" s="15">
        <v>276</v>
      </c>
      <c r="T16" s="15">
        <v>258</v>
      </c>
      <c r="U16" s="15">
        <v>286</v>
      </c>
      <c r="V16" s="64">
        <f>SUM(R16:U16)</f>
        <v>1060</v>
      </c>
      <c r="W16" s="15">
        <v>267</v>
      </c>
      <c r="X16" s="15">
        <v>323</v>
      </c>
      <c r="AA16" s="64">
        <f>SUM(W16:Z16)</f>
        <v>590</v>
      </c>
      <c r="AC16" s="40"/>
    </row>
    <row r="17" spans="1:29" s="19" customFormat="1" x14ac:dyDescent="0.25">
      <c r="B17" s="19" t="s">
        <v>38</v>
      </c>
      <c r="C17" s="19">
        <v>0.26900000000000002</v>
      </c>
      <c r="D17" s="19">
        <v>0.29499999999999998</v>
      </c>
      <c r="E17" s="19">
        <v>0.312</v>
      </c>
      <c r="F17" s="19">
        <v>0.312</v>
      </c>
      <c r="G17" s="65">
        <f>G16/G10</f>
        <v>0.29913180741910023</v>
      </c>
      <c r="H17" s="19">
        <v>0.29199999999999998</v>
      </c>
      <c r="I17" s="19">
        <v>0.29699999999999999</v>
      </c>
      <c r="J17" s="19">
        <v>0.32800000000000001</v>
      </c>
      <c r="K17" s="19">
        <v>0.34100000000000003</v>
      </c>
      <c r="L17" s="65">
        <f>L16/L10</f>
        <v>0.31558533145275036</v>
      </c>
      <c r="M17" s="19">
        <v>0.34100000000000003</v>
      </c>
      <c r="N17" s="19">
        <v>0.29399999999999998</v>
      </c>
      <c r="O17" s="19">
        <v>0.308</v>
      </c>
      <c r="P17" s="19">
        <v>0.32</v>
      </c>
      <c r="Q17" s="65">
        <f>Q16/Q10</f>
        <v>0.3166235446313066</v>
      </c>
      <c r="R17" s="19">
        <v>0.29199999999999998</v>
      </c>
      <c r="S17" s="19">
        <v>0.30099999999999999</v>
      </c>
      <c r="T17" s="19">
        <v>0.31</v>
      </c>
      <c r="U17" s="19">
        <v>0.315</v>
      </c>
      <c r="V17" s="65">
        <f>V16/V10</f>
        <v>0.30573983270839344</v>
      </c>
      <c r="W17" s="19">
        <v>0.30499999999999999</v>
      </c>
      <c r="X17" s="19">
        <v>0.31900000000000001</v>
      </c>
      <c r="AA17" s="65">
        <f>AA16/AA10</f>
        <v>0.31366294524189259</v>
      </c>
    </row>
    <row r="18" spans="1:29" s="15" customFormat="1" x14ac:dyDescent="0.25">
      <c r="B18" s="15" t="s">
        <v>58</v>
      </c>
      <c r="G18" s="64">
        <f>SUM(C18:F18)</f>
        <v>0</v>
      </c>
      <c r="L18" s="64">
        <f>SUM(H18:K18)</f>
        <v>0</v>
      </c>
      <c r="M18" s="15">
        <v>191</v>
      </c>
      <c r="N18" s="15">
        <v>175</v>
      </c>
      <c r="O18" s="15">
        <v>155</v>
      </c>
      <c r="P18" s="15">
        <v>189</v>
      </c>
      <c r="Q18" s="64">
        <f>SUM(M18:P18)</f>
        <v>710</v>
      </c>
      <c r="R18" s="15">
        <v>168</v>
      </c>
      <c r="S18" s="15">
        <v>204</v>
      </c>
      <c r="T18" s="15">
        <v>182</v>
      </c>
      <c r="U18" s="15">
        <v>206</v>
      </c>
      <c r="V18" s="64">
        <f>SUM(R18:U18)</f>
        <v>760</v>
      </c>
      <c r="W18" s="15">
        <v>185</v>
      </c>
      <c r="X18" s="15">
        <v>240</v>
      </c>
      <c r="AA18" s="64">
        <f>SUM(W18:Z18)</f>
        <v>425</v>
      </c>
      <c r="AC18" s="41"/>
    </row>
    <row r="19" spans="1:29" s="19" customFormat="1" x14ac:dyDescent="0.25">
      <c r="B19" s="19" t="s">
        <v>34</v>
      </c>
      <c r="G19" s="65">
        <f>G18/G10</f>
        <v>0</v>
      </c>
      <c r="H19" s="25"/>
      <c r="L19" s="65">
        <f>L18/L10</f>
        <v>0</v>
      </c>
      <c r="M19" s="19">
        <f>M18/M10</f>
        <v>0.25466666666666665</v>
      </c>
      <c r="N19" s="19">
        <f>N18/N10</f>
        <v>0.21341463414634146</v>
      </c>
      <c r="O19" s="19">
        <v>0.214</v>
      </c>
      <c r="P19" s="19">
        <v>0.23400000000000001</v>
      </c>
      <c r="Q19" s="65">
        <f>Q18/Q10</f>
        <v>0.22962483829236741</v>
      </c>
      <c r="R19" s="19">
        <v>0.20499999999999999</v>
      </c>
      <c r="S19" s="19">
        <f>S18/S10</f>
        <v>0.22295081967213115</v>
      </c>
      <c r="T19" s="19">
        <v>0.219</v>
      </c>
      <c r="U19" s="19">
        <v>0.22700000000000001</v>
      </c>
      <c r="V19" s="65">
        <f>V18/V10</f>
        <v>0.21920969137582924</v>
      </c>
      <c r="W19" s="19">
        <v>0.21199999999999999</v>
      </c>
      <c r="X19" s="19">
        <v>0.23699999999999999</v>
      </c>
      <c r="AA19" s="65">
        <f>AA18/AA10</f>
        <v>0.22594364699627859</v>
      </c>
    </row>
    <row r="20" spans="1:29" x14ac:dyDescent="0.25">
      <c r="B20" s="2" t="s">
        <v>125</v>
      </c>
      <c r="C20" s="15">
        <v>231</v>
      </c>
      <c r="D20" s="15">
        <v>238</v>
      </c>
      <c r="E20" s="15">
        <v>238</v>
      </c>
      <c r="F20" s="15">
        <v>246</v>
      </c>
      <c r="G20" s="50"/>
      <c r="H20" s="16">
        <v>245</v>
      </c>
      <c r="I20" s="15">
        <v>244</v>
      </c>
      <c r="J20" s="15">
        <v>246</v>
      </c>
      <c r="K20" s="15">
        <v>250</v>
      </c>
      <c r="L20" s="50"/>
      <c r="M20" s="15">
        <v>251</v>
      </c>
      <c r="N20" s="15">
        <v>257</v>
      </c>
      <c r="O20" s="15">
        <v>258</v>
      </c>
      <c r="P20" s="15">
        <v>262</v>
      </c>
      <c r="Q20" s="50"/>
      <c r="R20" s="15">
        <v>263</v>
      </c>
      <c r="S20" s="15">
        <v>268</v>
      </c>
      <c r="T20" s="15">
        <v>269</v>
      </c>
      <c r="U20" s="2">
        <v>270</v>
      </c>
      <c r="V20" s="46"/>
      <c r="W20" s="2">
        <v>269</v>
      </c>
      <c r="X20" s="2">
        <v>273</v>
      </c>
      <c r="AA20" s="46"/>
      <c r="AC20" s="15"/>
    </row>
    <row r="21" spans="1:29" s="74" customFormat="1" ht="20" thickBot="1" x14ac:dyDescent="0.3">
      <c r="A21" s="34"/>
      <c r="B21" s="74" t="s">
        <v>205</v>
      </c>
      <c r="G21" s="75"/>
      <c r="H21" s="76"/>
      <c r="L21" s="75"/>
      <c r="Q21" s="75"/>
      <c r="V21" s="75"/>
      <c r="X21" s="74">
        <v>0.2</v>
      </c>
      <c r="AA21" s="75"/>
    </row>
    <row r="22" spans="1:29" x14ac:dyDescent="0.25">
      <c r="B22" s="1" t="s">
        <v>136</v>
      </c>
      <c r="G22" s="46"/>
      <c r="H22" s="1"/>
      <c r="L22" s="46"/>
      <c r="N22" s="1"/>
      <c r="Q22" s="46"/>
      <c r="T22" s="1"/>
      <c r="V22" s="46"/>
      <c r="AA22" s="46"/>
    </row>
    <row r="23" spans="1:29" x14ac:dyDescent="0.25">
      <c r="B23" s="15" t="s">
        <v>132</v>
      </c>
      <c r="C23" s="15">
        <v>118</v>
      </c>
      <c r="D23" s="15">
        <v>125</v>
      </c>
      <c r="E23" s="15">
        <v>125</v>
      </c>
      <c r="F23" s="15">
        <v>126</v>
      </c>
      <c r="G23" s="50">
        <f>SUM(C23:F23)</f>
        <v>494</v>
      </c>
      <c r="H23" s="15">
        <v>152</v>
      </c>
      <c r="I23" s="15">
        <v>150</v>
      </c>
      <c r="J23" s="15">
        <v>133</v>
      </c>
      <c r="K23" s="15">
        <v>123</v>
      </c>
      <c r="L23" s="50">
        <f>SUM(H23:K23)</f>
        <v>558</v>
      </c>
      <c r="M23" s="15">
        <v>141</v>
      </c>
      <c r="N23" s="15">
        <v>144</v>
      </c>
      <c r="O23" s="15">
        <v>139</v>
      </c>
      <c r="P23" s="15">
        <v>133</v>
      </c>
      <c r="Q23" s="50">
        <f>SUM(M23:P23)</f>
        <v>557</v>
      </c>
      <c r="R23" s="15">
        <v>130</v>
      </c>
      <c r="S23" s="15">
        <v>113</v>
      </c>
      <c r="T23" s="15">
        <v>117</v>
      </c>
      <c r="U23" s="2">
        <v>105</v>
      </c>
      <c r="V23" s="50">
        <f>SUM(R23:U23)</f>
        <v>465</v>
      </c>
      <c r="W23" s="2">
        <v>132</v>
      </c>
      <c r="X23" s="2">
        <v>146</v>
      </c>
      <c r="AA23" s="50">
        <f>SUM(W23:Z23)</f>
        <v>278</v>
      </c>
    </row>
    <row r="24" spans="1:29" x14ac:dyDescent="0.25">
      <c r="B24" s="19" t="s">
        <v>133</v>
      </c>
      <c r="C24" s="19"/>
      <c r="D24" s="19"/>
      <c r="E24" s="19"/>
      <c r="F24" s="19"/>
      <c r="G24" s="47"/>
      <c r="H24" s="19">
        <f t="shared" ref="H24" si="12">(H23-C23)/C23</f>
        <v>0.28813559322033899</v>
      </c>
      <c r="I24" s="19">
        <f t="shared" ref="I24" si="13">(I23-D23)/D23</f>
        <v>0.2</v>
      </c>
      <c r="J24" s="19">
        <f>(J23-E23)/E23</f>
        <v>6.4000000000000001E-2</v>
      </c>
      <c r="K24" s="19">
        <f t="shared" ref="K24:L24" si="14">(K23-F23)/F23</f>
        <v>-2.3809523809523808E-2</v>
      </c>
      <c r="L24" s="47">
        <f t="shared" si="14"/>
        <v>0.12955465587044535</v>
      </c>
      <c r="M24" s="19">
        <f t="shared" ref="M24" si="15">(M23-H23)/H23</f>
        <v>-7.2368421052631582E-2</v>
      </c>
      <c r="N24" s="19">
        <f t="shared" ref="N24" si="16">(N23-I23)/I23</f>
        <v>-0.04</v>
      </c>
      <c r="O24" s="19">
        <f t="shared" ref="O24" si="17">(O23-J23)/J23</f>
        <v>4.5112781954887216E-2</v>
      </c>
      <c r="P24" s="19">
        <f t="shared" ref="P24:Q24" si="18">(P23-K23)/K23</f>
        <v>8.1300813008130079E-2</v>
      </c>
      <c r="Q24" s="47">
        <f t="shared" si="18"/>
        <v>-1.7921146953405018E-3</v>
      </c>
      <c r="R24" s="19">
        <f t="shared" ref="R24" si="19">(R23-M23)/M23</f>
        <v>-7.8014184397163122E-2</v>
      </c>
      <c r="S24" s="19">
        <f t="shared" ref="S24" si="20">(S23-N23)/N23</f>
        <v>-0.21527777777777779</v>
      </c>
      <c r="T24" s="19">
        <f t="shared" ref="T24" si="21">(T23-O23)/O23</f>
        <v>-0.15827338129496402</v>
      </c>
      <c r="U24" s="19">
        <f>(U23-P23)/P23</f>
        <v>-0.21052631578947367</v>
      </c>
      <c r="V24" s="47">
        <f t="shared" ref="V24" si="22">(V23-Q23)/Q23</f>
        <v>-0.16517055655296231</v>
      </c>
      <c r="W24" s="19">
        <f t="shared" ref="W24" si="23">(W23-R23)/R23</f>
        <v>1.5384615384615385E-2</v>
      </c>
      <c r="X24" s="19">
        <f t="shared" ref="X24" si="24">(X23-S23)/S23</f>
        <v>0.29203539823008851</v>
      </c>
      <c r="Y24" s="19">
        <f t="shared" ref="Y24" si="25">(Y23-T23)/T23</f>
        <v>-1</v>
      </c>
      <c r="Z24" s="19">
        <f t="shared" ref="Z24:AA24" si="26">(Z23-U23)/U23</f>
        <v>-1</v>
      </c>
      <c r="AA24" s="47">
        <f t="shared" si="26"/>
        <v>-0.40215053763440861</v>
      </c>
    </row>
    <row r="25" spans="1:29" x14ac:dyDescent="0.25">
      <c r="B25" s="2" t="s">
        <v>134</v>
      </c>
      <c r="C25" s="15">
        <v>139</v>
      </c>
      <c r="D25" s="15">
        <v>161</v>
      </c>
      <c r="E25" s="15">
        <v>157</v>
      </c>
      <c r="F25" s="15">
        <v>140</v>
      </c>
      <c r="G25" s="50">
        <f>SUM(C25:F25)</f>
        <v>597</v>
      </c>
      <c r="H25" s="16">
        <v>146</v>
      </c>
      <c r="I25" s="15">
        <v>172</v>
      </c>
      <c r="J25" s="15">
        <v>150</v>
      </c>
      <c r="K25" s="15">
        <v>154</v>
      </c>
      <c r="L25" s="50">
        <f>SUM(H25:K25)</f>
        <v>622</v>
      </c>
      <c r="M25" s="15">
        <v>151</v>
      </c>
      <c r="N25" s="15">
        <v>185</v>
      </c>
      <c r="O25" s="15">
        <v>152</v>
      </c>
      <c r="P25" s="15">
        <v>155</v>
      </c>
      <c r="Q25" s="50">
        <f>SUM(M25:P25)</f>
        <v>643</v>
      </c>
      <c r="R25" s="15">
        <v>156</v>
      </c>
      <c r="S25" s="15">
        <v>189</v>
      </c>
      <c r="T25" s="15">
        <v>171</v>
      </c>
      <c r="U25" s="2">
        <v>162</v>
      </c>
      <c r="V25" s="50">
        <f>SUM(R25:U25)</f>
        <v>678</v>
      </c>
      <c r="W25" s="2">
        <v>153</v>
      </c>
      <c r="X25" s="2">
        <v>179</v>
      </c>
      <c r="AA25" s="50">
        <f>SUM(W25:Z25)</f>
        <v>332</v>
      </c>
    </row>
    <row r="26" spans="1:29" x14ac:dyDescent="0.25">
      <c r="B26" s="19" t="s">
        <v>133</v>
      </c>
      <c r="C26" s="19"/>
      <c r="D26" s="19"/>
      <c r="E26" s="19"/>
      <c r="F26" s="19"/>
      <c r="G26" s="47"/>
      <c r="H26" s="19">
        <f t="shared" ref="H26" si="27">(H25-C25)/C25</f>
        <v>5.0359712230215826E-2</v>
      </c>
      <c r="I26" s="19">
        <f t="shared" ref="I26" si="28">(I25-D25)/D25</f>
        <v>6.8322981366459631E-2</v>
      </c>
      <c r="J26" s="19">
        <f>(J25-E25)/E25</f>
        <v>-4.4585987261146494E-2</v>
      </c>
      <c r="K26" s="19">
        <f t="shared" ref="K26:L26" si="29">(K25-F25)/F25</f>
        <v>0.1</v>
      </c>
      <c r="L26" s="47">
        <f t="shared" si="29"/>
        <v>4.1876046901172533E-2</v>
      </c>
      <c r="M26" s="19">
        <f t="shared" ref="M26" si="30">(M25-H25)/H25</f>
        <v>3.4246575342465752E-2</v>
      </c>
      <c r="N26" s="19">
        <f t="shared" ref="N26" si="31">(N25-I25)/I25</f>
        <v>7.5581395348837205E-2</v>
      </c>
      <c r="O26" s="19">
        <f t="shared" ref="O26" si="32">(O25-J25)/J25</f>
        <v>1.3333333333333334E-2</v>
      </c>
      <c r="P26" s="19">
        <f t="shared" ref="P26:Q26" si="33">(P25-K25)/K25</f>
        <v>6.4935064935064939E-3</v>
      </c>
      <c r="Q26" s="47">
        <f t="shared" si="33"/>
        <v>3.3762057877813507E-2</v>
      </c>
      <c r="R26" s="19">
        <f t="shared" ref="R26" si="34">(R25-M25)/M25</f>
        <v>3.3112582781456956E-2</v>
      </c>
      <c r="S26" s="19">
        <f t="shared" ref="S26" si="35">(S25-N25)/N25</f>
        <v>2.1621621621621623E-2</v>
      </c>
      <c r="T26" s="19">
        <f t="shared" ref="T26" si="36">(T25-O25)/O25</f>
        <v>0.125</v>
      </c>
      <c r="U26" s="19">
        <f>(U25-P25)/P25</f>
        <v>4.5161290322580643E-2</v>
      </c>
      <c r="V26" s="47">
        <f t="shared" ref="V26" si="37">(V25-Q25)/Q25</f>
        <v>5.4432348367029551E-2</v>
      </c>
      <c r="W26" s="19">
        <f t="shared" ref="W26" si="38">(W25-R25)/R25</f>
        <v>-1.9230769230769232E-2</v>
      </c>
      <c r="X26" s="19">
        <f t="shared" ref="X26" si="39">(X25-S25)/S25</f>
        <v>-5.2910052910052907E-2</v>
      </c>
      <c r="Y26" s="19">
        <f t="shared" ref="Y26" si="40">(Y25-T25)/T25</f>
        <v>-1</v>
      </c>
      <c r="Z26" s="19">
        <f t="shared" ref="Z26:AA26" si="41">(Z25-U25)/U25</f>
        <v>-1</v>
      </c>
      <c r="AA26" s="47">
        <f t="shared" si="41"/>
        <v>-0.51032448377581119</v>
      </c>
    </row>
    <row r="27" spans="1:29" x14ac:dyDescent="0.25">
      <c r="B27" s="1" t="s">
        <v>135</v>
      </c>
      <c r="C27" s="16">
        <f t="shared" ref="C27:E27" si="42">C23+C25</f>
        <v>257</v>
      </c>
      <c r="D27" s="16">
        <f t="shared" si="42"/>
        <v>286</v>
      </c>
      <c r="E27" s="16">
        <f t="shared" si="42"/>
        <v>282</v>
      </c>
      <c r="F27" s="16">
        <f>F23+F25</f>
        <v>266</v>
      </c>
      <c r="G27" s="64">
        <f t="shared" ref="G27" si="43">G23+G25</f>
        <v>1091</v>
      </c>
      <c r="H27" s="1">
        <f t="shared" ref="H27:O27" si="44">H23+H25</f>
        <v>298</v>
      </c>
      <c r="I27" s="1">
        <f t="shared" si="44"/>
        <v>322</v>
      </c>
      <c r="J27" s="16">
        <f>J23+J25</f>
        <v>283</v>
      </c>
      <c r="K27" s="1">
        <f t="shared" si="44"/>
        <v>277</v>
      </c>
      <c r="L27" s="64">
        <f t="shared" si="44"/>
        <v>1180</v>
      </c>
      <c r="M27" s="1">
        <f t="shared" si="44"/>
        <v>292</v>
      </c>
      <c r="N27" s="1">
        <f t="shared" si="44"/>
        <v>329</v>
      </c>
      <c r="O27" s="1">
        <f t="shared" si="44"/>
        <v>291</v>
      </c>
      <c r="P27" s="1">
        <f>P23+P25</f>
        <v>288</v>
      </c>
      <c r="Q27" s="64">
        <f t="shared" ref="Q27" si="45">Q23+Q25</f>
        <v>1200</v>
      </c>
      <c r="R27" s="1">
        <f t="shared" ref="R27:T27" si="46">R23+R25</f>
        <v>286</v>
      </c>
      <c r="S27" s="1">
        <f t="shared" si="46"/>
        <v>302</v>
      </c>
      <c r="T27" s="1">
        <f t="shared" si="46"/>
        <v>288</v>
      </c>
      <c r="U27" s="1">
        <f>U23+U25</f>
        <v>267</v>
      </c>
      <c r="V27" s="64">
        <f t="shared" ref="V27" si="47">V23+V25</f>
        <v>1143</v>
      </c>
      <c r="W27" s="1">
        <f t="shared" ref="W27:AA27" si="48">W23+W25</f>
        <v>285</v>
      </c>
      <c r="X27" s="1">
        <f t="shared" si="48"/>
        <v>325</v>
      </c>
      <c r="Y27" s="1">
        <f t="shared" si="48"/>
        <v>0</v>
      </c>
      <c r="Z27" s="1">
        <f t="shared" si="48"/>
        <v>0</v>
      </c>
      <c r="AA27" s="64">
        <f t="shared" si="48"/>
        <v>610</v>
      </c>
    </row>
    <row r="28" spans="1:29" x14ac:dyDescent="0.25">
      <c r="B28" s="19" t="s">
        <v>133</v>
      </c>
      <c r="C28" s="19"/>
      <c r="D28" s="19"/>
      <c r="E28" s="19"/>
      <c r="F28" s="19"/>
      <c r="G28" s="47"/>
      <c r="H28" s="19">
        <f t="shared" ref="H28" si="49">(H27-C27)/C27</f>
        <v>0.15953307392996108</v>
      </c>
      <c r="I28" s="19">
        <f t="shared" ref="I28" si="50">(I27-D27)/D27</f>
        <v>0.12587412587412589</v>
      </c>
      <c r="J28" s="19">
        <f>(J27-E27)/E27</f>
        <v>3.5460992907801418E-3</v>
      </c>
      <c r="K28" s="19">
        <f t="shared" ref="K28:L28" si="51">(K27-F27)/F27</f>
        <v>4.1353383458646614E-2</v>
      </c>
      <c r="L28" s="47">
        <f t="shared" si="51"/>
        <v>8.1576535288725938E-2</v>
      </c>
      <c r="M28" s="19">
        <f t="shared" ref="M28" si="52">(M27-H27)/H27</f>
        <v>-2.0134228187919462E-2</v>
      </c>
      <c r="N28" s="19">
        <f t="shared" ref="N28" si="53">(N27-I27)/I27</f>
        <v>2.1739130434782608E-2</v>
      </c>
      <c r="O28" s="19">
        <f t="shared" ref="O28" si="54">(O27-J27)/J27</f>
        <v>2.8268551236749116E-2</v>
      </c>
      <c r="P28" s="19">
        <f t="shared" ref="P28:Q28" si="55">(P27-K27)/K27</f>
        <v>3.9711191335740074E-2</v>
      </c>
      <c r="Q28" s="47">
        <f t="shared" si="55"/>
        <v>1.6949152542372881E-2</v>
      </c>
      <c r="R28" s="19">
        <f t="shared" ref="R28" si="56">(R27-M27)/M27</f>
        <v>-2.0547945205479451E-2</v>
      </c>
      <c r="S28" s="19">
        <f t="shared" ref="S28" si="57">(S27-N27)/N27</f>
        <v>-8.2066869300911852E-2</v>
      </c>
      <c r="T28" s="19">
        <f t="shared" ref="T28" si="58">(T27-O27)/O27</f>
        <v>-1.0309278350515464E-2</v>
      </c>
      <c r="U28" s="19">
        <f>(U27-P27)/P27</f>
        <v>-7.2916666666666671E-2</v>
      </c>
      <c r="V28" s="47">
        <f t="shared" ref="V28" si="59">(V27-Q27)/Q27</f>
        <v>-4.7500000000000001E-2</v>
      </c>
      <c r="W28" s="19">
        <f t="shared" ref="W28" si="60">(W27-R27)/R27</f>
        <v>-3.4965034965034965E-3</v>
      </c>
      <c r="X28" s="19">
        <f t="shared" ref="X28" si="61">(X27-S27)/S27</f>
        <v>7.6158940397350994E-2</v>
      </c>
      <c r="Y28" s="19">
        <f t="shared" ref="Y28" si="62">(Y27-T27)/T27</f>
        <v>-1</v>
      </c>
      <c r="Z28" s="19">
        <f t="shared" ref="Z28:AA28" si="63">(Z27-U27)/U27</f>
        <v>-1</v>
      </c>
      <c r="AA28" s="47">
        <f t="shared" si="63"/>
        <v>-0.4663167104111986</v>
      </c>
    </row>
    <row r="29" spans="1:29" x14ac:dyDescent="0.25">
      <c r="B29" s="19" t="s">
        <v>109</v>
      </c>
      <c r="C29" s="19">
        <v>0.16800000000000001</v>
      </c>
      <c r="D29" s="19">
        <v>3.2000000000000001E-2</v>
      </c>
      <c r="E29" s="19">
        <v>3.2000000000000001E-2</v>
      </c>
      <c r="F29" s="19">
        <v>-5.2999999999999999E-2</v>
      </c>
      <c r="G29" s="47"/>
      <c r="H29" s="25">
        <v>8.5999999999999993E-2</v>
      </c>
      <c r="I29" s="19">
        <v>3.1E-2</v>
      </c>
      <c r="J29" s="19">
        <v>-9.6000000000000002E-2</v>
      </c>
      <c r="K29" s="19">
        <v>-4.0000000000000001E-3</v>
      </c>
      <c r="L29" s="47">
        <v>3.0000000000000001E-3</v>
      </c>
      <c r="M29" s="19">
        <v>-2.5999999999999999E-2</v>
      </c>
      <c r="N29" s="19">
        <v>1.7999999999999999E-2</v>
      </c>
      <c r="O29" s="19">
        <v>5.6000000000000001E-2</v>
      </c>
      <c r="P29" s="19">
        <v>3.5000000000000003E-2</v>
      </c>
      <c r="Q29" s="47">
        <v>0.02</v>
      </c>
      <c r="R29" s="19">
        <v>-1.6E-2</v>
      </c>
      <c r="S29" s="19">
        <v>-3.9E-2</v>
      </c>
      <c r="T29" s="19">
        <v>2.3E-2</v>
      </c>
      <c r="U29" s="19">
        <v>-2.1000000000000001E-2</v>
      </c>
      <c r="V29" s="47">
        <v>-1.4E-2</v>
      </c>
      <c r="W29" s="19">
        <v>4.8000000000000001E-2</v>
      </c>
      <c r="X29" s="19">
        <v>8.7999999999999995E-2</v>
      </c>
      <c r="Y29" s="19"/>
      <c r="Z29" s="19"/>
      <c r="AA29" s="47"/>
    </row>
    <row r="30" spans="1:29" x14ac:dyDescent="0.25">
      <c r="B30" s="19" t="s">
        <v>111</v>
      </c>
      <c r="C30" s="19"/>
      <c r="D30" s="19"/>
      <c r="E30" s="19"/>
      <c r="F30" s="19"/>
      <c r="G30" s="47"/>
      <c r="H30" s="19">
        <v>8.3000000000000004E-2</v>
      </c>
      <c r="I30" s="19">
        <v>3.1E-2</v>
      </c>
      <c r="J30" s="19">
        <v>-9.7000000000000003E-2</v>
      </c>
      <c r="K30" s="19">
        <v>-4.0000000000000001E-3</v>
      </c>
      <c r="L30" s="47"/>
      <c r="M30" s="19">
        <v>-2.5999999999999999E-2</v>
      </c>
      <c r="N30" s="19">
        <v>1.7999999999999999E-2</v>
      </c>
      <c r="O30" s="19">
        <v>5.0999999999999997E-2</v>
      </c>
      <c r="P30" s="19">
        <v>2.1000000000000001E-2</v>
      </c>
      <c r="Q30" s="47"/>
      <c r="R30" s="19">
        <v>-3.6999999999999998E-2</v>
      </c>
      <c r="S30" s="19">
        <v>-6.4000000000000001E-2</v>
      </c>
      <c r="T30" s="19">
        <v>2E-3</v>
      </c>
      <c r="U30" s="19">
        <v>-3.4000000000000002E-2</v>
      </c>
      <c r="V30" s="47">
        <v>-3.4000000000000002E-2</v>
      </c>
      <c r="W30" s="19">
        <v>4.4999999999999998E-2</v>
      </c>
      <c r="X30" s="19">
        <v>8.7999999999999995E-2</v>
      </c>
      <c r="Y30" s="19"/>
      <c r="Z30" s="19"/>
      <c r="AA30" s="47"/>
    </row>
    <row r="31" spans="1:29" x14ac:dyDescent="0.25">
      <c r="B31" s="2" t="s">
        <v>51</v>
      </c>
      <c r="C31" s="2">
        <v>197</v>
      </c>
      <c r="D31" s="2">
        <v>222</v>
      </c>
      <c r="E31" s="2">
        <v>213</v>
      </c>
      <c r="F31" s="2">
        <v>204</v>
      </c>
      <c r="G31" s="64">
        <f>SUM(C31:F31)</f>
        <v>836</v>
      </c>
      <c r="H31" s="1">
        <v>230</v>
      </c>
      <c r="I31" s="2">
        <v>240</v>
      </c>
      <c r="J31" s="2">
        <v>214</v>
      </c>
      <c r="K31" s="2">
        <v>209</v>
      </c>
      <c r="L31" s="64">
        <f>SUM(H31:K31)</f>
        <v>893</v>
      </c>
      <c r="M31" s="2">
        <v>225</v>
      </c>
      <c r="N31" s="2">
        <v>244</v>
      </c>
      <c r="O31" s="2">
        <v>219</v>
      </c>
      <c r="P31" s="2">
        <v>220</v>
      </c>
      <c r="Q31" s="64">
        <f>SUM(M31:P31)</f>
        <v>908</v>
      </c>
      <c r="R31" s="2">
        <v>217</v>
      </c>
      <c r="S31" s="2">
        <v>226</v>
      </c>
      <c r="T31" s="2">
        <v>213</v>
      </c>
      <c r="U31" s="2">
        <v>204</v>
      </c>
      <c r="V31" s="64">
        <f>SUM(R31:U31)</f>
        <v>860</v>
      </c>
      <c r="W31" s="2">
        <v>202</v>
      </c>
      <c r="X31" s="2">
        <v>232</v>
      </c>
      <c r="AA31" s="64">
        <f>SUM(W31:Z31)</f>
        <v>434</v>
      </c>
    </row>
    <row r="32" spans="1:29" x14ac:dyDescent="0.25">
      <c r="B32" s="19" t="s">
        <v>36</v>
      </c>
      <c r="C32" s="19">
        <v>0.76600000000000001</v>
      </c>
      <c r="D32" s="19">
        <v>0.77300000000000002</v>
      </c>
      <c r="E32" s="19">
        <v>0.749</v>
      </c>
      <c r="F32" s="19">
        <v>0.76300000000000001</v>
      </c>
      <c r="G32" s="65">
        <f>G31/G27</f>
        <v>0.76626947754353802</v>
      </c>
      <c r="H32" s="25">
        <v>0.77300000000000002</v>
      </c>
      <c r="I32" s="19">
        <v>0.74399999999999999</v>
      </c>
      <c r="J32" s="19">
        <v>0.752</v>
      </c>
      <c r="K32" s="19">
        <v>0.751</v>
      </c>
      <c r="L32" s="65">
        <f>L31/L27</f>
        <v>0.75677966101694916</v>
      </c>
      <c r="M32" s="19">
        <v>0.77</v>
      </c>
      <c r="N32" s="19">
        <v>0.73899999999999999</v>
      </c>
      <c r="O32" s="19">
        <v>0.755</v>
      </c>
      <c r="P32" s="19">
        <v>0.76600000000000001</v>
      </c>
      <c r="Q32" s="65">
        <f>Q31/Q27</f>
        <v>0.75666666666666671</v>
      </c>
      <c r="R32" s="19">
        <v>0.76200000000000001</v>
      </c>
      <c r="S32" s="19">
        <v>0.748</v>
      </c>
      <c r="T32" s="19">
        <v>0.73899999999999999</v>
      </c>
      <c r="U32" s="19">
        <v>0.752</v>
      </c>
      <c r="V32" s="65">
        <f>V31/V27</f>
        <v>0.75240594925634297</v>
      </c>
      <c r="W32" s="19">
        <v>0.71099999999999997</v>
      </c>
      <c r="X32" s="19">
        <v>0.71399999999999997</v>
      </c>
      <c r="Y32" s="19"/>
      <c r="Z32" s="19"/>
      <c r="AA32" s="65">
        <f>AA31/AA27</f>
        <v>0.71147540983606561</v>
      </c>
    </row>
    <row r="33" spans="2:29" x14ac:dyDescent="0.25">
      <c r="B33" s="2" t="s">
        <v>54</v>
      </c>
      <c r="C33" s="2">
        <v>61</v>
      </c>
      <c r="D33" s="2">
        <v>78</v>
      </c>
      <c r="E33" s="2">
        <v>80</v>
      </c>
      <c r="F33" s="2">
        <v>58</v>
      </c>
      <c r="G33" s="64">
        <f>SUM(C33:F33)</f>
        <v>277</v>
      </c>
      <c r="H33" s="2">
        <v>79</v>
      </c>
      <c r="I33" s="2">
        <v>81</v>
      </c>
      <c r="J33" s="2">
        <v>69</v>
      </c>
      <c r="K33" s="2">
        <v>51</v>
      </c>
      <c r="L33" s="64">
        <f>SUM(H33:K33)</f>
        <v>280</v>
      </c>
      <c r="M33" s="2">
        <v>70</v>
      </c>
      <c r="N33" s="2">
        <v>89</v>
      </c>
      <c r="O33" s="2">
        <v>74</v>
      </c>
      <c r="P33" s="2">
        <v>61</v>
      </c>
      <c r="Q33" s="64">
        <f>SUM(M33:P33)</f>
        <v>294</v>
      </c>
      <c r="R33" s="2">
        <v>52</v>
      </c>
      <c r="S33" s="2">
        <v>63</v>
      </c>
      <c r="T33" s="2">
        <v>72</v>
      </c>
      <c r="U33" s="2">
        <v>48</v>
      </c>
      <c r="V33" s="64">
        <f>SUM(R33:U33)</f>
        <v>235</v>
      </c>
      <c r="W33" s="2">
        <v>45</v>
      </c>
      <c r="X33" s="2">
        <v>64</v>
      </c>
      <c r="AA33" s="64">
        <f>SUM(W33:Z33)</f>
        <v>109</v>
      </c>
    </row>
    <row r="34" spans="2:29" x14ac:dyDescent="0.25">
      <c r="B34" s="19" t="s">
        <v>38</v>
      </c>
      <c r="C34" s="19">
        <v>0.23699999999999999</v>
      </c>
      <c r="D34" s="19">
        <v>0.27100000000000002</v>
      </c>
      <c r="E34" s="19">
        <v>0.28199999999999997</v>
      </c>
      <c r="F34" s="19">
        <v>0.218</v>
      </c>
      <c r="G34" s="65">
        <f>G33/G27</f>
        <v>0.25389550870760769</v>
      </c>
      <c r="H34" s="19">
        <v>0.26500000000000001</v>
      </c>
      <c r="I34" s="19">
        <v>0.251</v>
      </c>
      <c r="J34" s="19">
        <v>0.245</v>
      </c>
      <c r="K34" s="19">
        <v>0.183</v>
      </c>
      <c r="L34" s="65">
        <f>L33/L27</f>
        <v>0.23728813559322035</v>
      </c>
      <c r="M34" s="19">
        <v>0.23899999999999999</v>
      </c>
      <c r="N34" s="19">
        <v>0.27100000000000002</v>
      </c>
      <c r="O34" s="19">
        <v>0.255</v>
      </c>
      <c r="P34" s="19">
        <v>0.21299999999999999</v>
      </c>
      <c r="Q34" s="65">
        <f>Q33/Q27</f>
        <v>0.245</v>
      </c>
      <c r="R34" s="19">
        <v>0.182</v>
      </c>
      <c r="S34" s="19">
        <v>0.21</v>
      </c>
      <c r="T34" s="19">
        <v>0.251</v>
      </c>
      <c r="U34" s="19">
        <v>0.17899999999999999</v>
      </c>
      <c r="V34" s="65">
        <f>V33/V27</f>
        <v>0.20559930008748906</v>
      </c>
      <c r="W34" s="19">
        <v>0.158</v>
      </c>
      <c r="X34" s="19">
        <v>0.19900000000000001</v>
      </c>
      <c r="Y34" s="19"/>
      <c r="Z34" s="19"/>
      <c r="AA34" s="65">
        <f>AA33/AA27</f>
        <v>0.17868852459016393</v>
      </c>
    </row>
    <row r="35" spans="2:29" x14ac:dyDescent="0.25">
      <c r="B35" s="2" t="s">
        <v>58</v>
      </c>
      <c r="G35" s="64">
        <f>SUM(C35:F35)</f>
        <v>0</v>
      </c>
      <c r="L35" s="64">
        <f>SUM(H35:K35)</f>
        <v>0</v>
      </c>
      <c r="M35" s="2">
        <v>45</v>
      </c>
      <c r="N35" s="2">
        <v>64</v>
      </c>
      <c r="O35" s="2">
        <v>48</v>
      </c>
      <c r="P35" s="2">
        <v>33</v>
      </c>
      <c r="Q35" s="64">
        <f>SUM(M35:P35)</f>
        <v>190</v>
      </c>
      <c r="R35" s="2">
        <v>24</v>
      </c>
      <c r="S35" s="2">
        <v>34</v>
      </c>
      <c r="T35" s="2">
        <v>43</v>
      </c>
      <c r="U35" s="2">
        <v>20</v>
      </c>
      <c r="V35" s="64">
        <f>SUM(R35:U35)</f>
        <v>121</v>
      </c>
      <c r="W35" s="2">
        <v>17</v>
      </c>
      <c r="X35" s="2">
        <v>36</v>
      </c>
      <c r="AA35" s="64">
        <f>SUM(W35:Z35)</f>
        <v>53</v>
      </c>
      <c r="AC35" s="41"/>
    </row>
    <row r="36" spans="2:29" x14ac:dyDescent="0.25">
      <c r="B36" s="19" t="s">
        <v>34</v>
      </c>
      <c r="C36" s="19"/>
      <c r="D36" s="19"/>
      <c r="E36" s="19"/>
      <c r="F36" s="19"/>
      <c r="G36" s="65">
        <f>G35/G27</f>
        <v>0</v>
      </c>
      <c r="H36" s="25"/>
      <c r="I36" s="19"/>
      <c r="J36" s="19"/>
      <c r="K36" s="19"/>
      <c r="L36" s="65">
        <f>L35/L27</f>
        <v>0</v>
      </c>
      <c r="M36" s="19">
        <f>M35/M27</f>
        <v>0.1541095890410959</v>
      </c>
      <c r="N36" s="19">
        <f>N35/N27</f>
        <v>0.19452887537993921</v>
      </c>
      <c r="O36" s="19">
        <v>0.16600000000000001</v>
      </c>
      <c r="P36" s="19">
        <v>0.115</v>
      </c>
      <c r="Q36" s="65">
        <f>Q35/Q27</f>
        <v>0.15833333333333333</v>
      </c>
      <c r="R36" s="19">
        <v>8.3000000000000004E-2</v>
      </c>
      <c r="S36" s="19">
        <f>S35/S27</f>
        <v>0.11258278145695365</v>
      </c>
      <c r="T36" s="19">
        <v>0.14799999999999999</v>
      </c>
      <c r="U36" s="19">
        <v>7.2999999999999995E-2</v>
      </c>
      <c r="V36" s="65">
        <f>V35/V27</f>
        <v>0.10586176727909011</v>
      </c>
      <c r="W36" s="19">
        <v>5.8999999999999997E-2</v>
      </c>
      <c r="X36" s="19">
        <v>0.111</v>
      </c>
      <c r="Y36" s="19"/>
      <c r="Z36" s="19"/>
      <c r="AA36" s="65">
        <f>AA35/AA27</f>
        <v>8.6885245901639346E-2</v>
      </c>
    </row>
    <row r="37" spans="2:29" ht="20" thickBot="1" x14ac:dyDescent="0.3">
      <c r="B37" s="42" t="s">
        <v>125</v>
      </c>
      <c r="C37" s="43">
        <v>116</v>
      </c>
      <c r="D37" s="43">
        <v>116</v>
      </c>
      <c r="E37" s="43">
        <v>116</v>
      </c>
      <c r="F37" s="43">
        <v>116</v>
      </c>
      <c r="G37" s="51"/>
      <c r="H37" s="44">
        <v>116</v>
      </c>
      <c r="I37" s="43">
        <v>116</v>
      </c>
      <c r="J37" s="43">
        <v>115</v>
      </c>
      <c r="K37" s="43">
        <v>114</v>
      </c>
      <c r="L37" s="51"/>
      <c r="M37" s="43">
        <v>114</v>
      </c>
      <c r="N37" s="43">
        <v>114</v>
      </c>
      <c r="O37" s="43">
        <v>115</v>
      </c>
      <c r="P37" s="43">
        <v>115</v>
      </c>
      <c r="Q37" s="51"/>
      <c r="R37" s="43">
        <v>116</v>
      </c>
      <c r="S37" s="43">
        <v>117</v>
      </c>
      <c r="T37" s="43">
        <v>117</v>
      </c>
      <c r="U37" s="42">
        <v>115</v>
      </c>
      <c r="V37" s="48"/>
      <c r="W37" s="42">
        <v>114</v>
      </c>
      <c r="X37" s="42">
        <v>114</v>
      </c>
      <c r="Y37" s="42"/>
      <c r="Z37" s="42"/>
      <c r="AA37" s="48"/>
    </row>
    <row r="38" spans="2:29" x14ac:dyDescent="0.25">
      <c r="B38" s="1" t="s">
        <v>137</v>
      </c>
      <c r="G38" s="46"/>
      <c r="H38" s="1"/>
      <c r="L38" s="46"/>
      <c r="N38" s="1"/>
      <c r="Q38" s="46"/>
      <c r="T38" s="1"/>
      <c r="V38" s="46"/>
      <c r="AA38" s="46"/>
    </row>
    <row r="39" spans="2:29" x14ac:dyDescent="0.25">
      <c r="B39" s="15" t="s">
        <v>132</v>
      </c>
      <c r="C39" s="15">
        <v>111</v>
      </c>
      <c r="D39" s="15">
        <v>121</v>
      </c>
      <c r="E39" s="15">
        <v>131</v>
      </c>
      <c r="F39" s="15">
        <v>143</v>
      </c>
      <c r="G39" s="50">
        <f>SUM(C39:F39)</f>
        <v>506</v>
      </c>
      <c r="H39" s="15">
        <v>135</v>
      </c>
      <c r="I39" s="15">
        <v>130</v>
      </c>
      <c r="J39" s="15">
        <v>142</v>
      </c>
      <c r="K39" s="15">
        <v>139</v>
      </c>
      <c r="L39" s="50">
        <f>SUM(H39:K39)</f>
        <v>546</v>
      </c>
      <c r="M39" s="15">
        <v>143</v>
      </c>
      <c r="N39" s="15">
        <v>159</v>
      </c>
      <c r="O39" s="15">
        <v>152</v>
      </c>
      <c r="P39" s="15">
        <v>166</v>
      </c>
      <c r="Q39" s="50">
        <f>SUM(M39:P39)</f>
        <v>620</v>
      </c>
      <c r="R39" s="15">
        <v>171</v>
      </c>
      <c r="S39" s="15">
        <v>168</v>
      </c>
      <c r="T39" s="15">
        <v>171</v>
      </c>
      <c r="U39" s="2">
        <v>177</v>
      </c>
      <c r="V39" s="50">
        <f>SUM(R39:U39)</f>
        <v>687</v>
      </c>
      <c r="W39" s="2">
        <v>177</v>
      </c>
      <c r="X39" s="2">
        <v>204</v>
      </c>
      <c r="AA39" s="46"/>
    </row>
    <row r="40" spans="2:29" x14ac:dyDescent="0.25">
      <c r="B40" s="19" t="s">
        <v>133</v>
      </c>
      <c r="C40" s="19"/>
      <c r="D40" s="19"/>
      <c r="E40" s="19"/>
      <c r="F40" s="19"/>
      <c r="G40" s="47"/>
      <c r="H40" s="19">
        <f t="shared" ref="H40" si="64">(H39-C39)/C39</f>
        <v>0.21621621621621623</v>
      </c>
      <c r="I40" s="19">
        <f t="shared" ref="I40" si="65">(I39-D39)/D39</f>
        <v>7.43801652892562E-2</v>
      </c>
      <c r="J40" s="19">
        <f>(J39-E39)/E39</f>
        <v>8.3969465648854963E-2</v>
      </c>
      <c r="K40" s="19">
        <f t="shared" ref="K40:L40" si="66">(K39-F39)/F39</f>
        <v>-2.7972027972027972E-2</v>
      </c>
      <c r="L40" s="47">
        <f t="shared" si="66"/>
        <v>7.9051383399209488E-2</v>
      </c>
      <c r="M40" s="19">
        <f t="shared" ref="M40" si="67">(M39-H39)/H39</f>
        <v>5.9259259259259262E-2</v>
      </c>
      <c r="N40" s="19">
        <f t="shared" ref="N40" si="68">(N39-I39)/I39</f>
        <v>0.22307692307692309</v>
      </c>
      <c r="O40" s="19">
        <f t="shared" ref="O40" si="69">(O39-J39)/J39</f>
        <v>7.0422535211267609E-2</v>
      </c>
      <c r="P40" s="19">
        <f t="shared" ref="P40:Q40" si="70">(P39-K39)/K39</f>
        <v>0.19424460431654678</v>
      </c>
      <c r="Q40" s="47">
        <f t="shared" si="70"/>
        <v>0.13553113553113552</v>
      </c>
      <c r="R40" s="19">
        <f t="shared" ref="R40" si="71">(R39-M39)/M39</f>
        <v>0.19580419580419581</v>
      </c>
      <c r="S40" s="19">
        <f t="shared" ref="S40" si="72">(S39-N39)/N39</f>
        <v>5.6603773584905662E-2</v>
      </c>
      <c r="T40" s="19">
        <f t="shared" ref="T40" si="73">(T39-O39)/O39</f>
        <v>0.125</v>
      </c>
      <c r="U40" s="19">
        <f>(U39-P39)/P39</f>
        <v>6.6265060240963861E-2</v>
      </c>
      <c r="V40" s="47">
        <f>(V39-Q39)/Q39</f>
        <v>0.10806451612903226</v>
      </c>
      <c r="W40" s="19">
        <f t="shared" ref="W40" si="74">(W39-R39)/R39</f>
        <v>3.5087719298245612E-2</v>
      </c>
      <c r="X40" s="19">
        <f t="shared" ref="X40" si="75">(X39-S39)/S39</f>
        <v>0.21428571428571427</v>
      </c>
      <c r="Y40" s="19">
        <f t="shared" ref="Y40" si="76">(Y39-T39)/T39</f>
        <v>-1</v>
      </c>
      <c r="Z40" s="19">
        <f t="shared" ref="Z40" si="77">(Z39-U39)/U39</f>
        <v>-1</v>
      </c>
      <c r="AA40" s="47">
        <f t="shared" ref="AA40" si="78">(AA39-V39)/V39</f>
        <v>-1</v>
      </c>
    </row>
    <row r="41" spans="2:29" x14ac:dyDescent="0.25">
      <c r="B41" s="2" t="s">
        <v>134</v>
      </c>
      <c r="C41" s="15">
        <v>146</v>
      </c>
      <c r="D41" s="15">
        <v>174</v>
      </c>
      <c r="E41" s="15">
        <v>161</v>
      </c>
      <c r="F41" s="15">
        <v>141</v>
      </c>
      <c r="G41" s="50">
        <f>SUM(C41:F41)</f>
        <v>622</v>
      </c>
      <c r="H41" s="16">
        <v>149</v>
      </c>
      <c r="I41" s="15">
        <v>177</v>
      </c>
      <c r="J41" s="15">
        <v>166</v>
      </c>
      <c r="K41" s="15">
        <v>137</v>
      </c>
      <c r="L41" s="50">
        <f>SUM(H41:K41)</f>
        <v>629</v>
      </c>
      <c r="M41" s="15">
        <v>144</v>
      </c>
      <c r="N41" s="15">
        <v>182</v>
      </c>
      <c r="O41" s="15">
        <v>164</v>
      </c>
      <c r="P41" s="15">
        <v>149</v>
      </c>
      <c r="Q41" s="50">
        <f>SUM(M41:P41)</f>
        <v>639</v>
      </c>
      <c r="R41" s="15">
        <v>166</v>
      </c>
      <c r="S41" s="15">
        <v>192</v>
      </c>
      <c r="T41" s="15">
        <v>172</v>
      </c>
      <c r="U41" s="2">
        <v>148</v>
      </c>
      <c r="V41" s="50">
        <f>SUM(R41:U41)</f>
        <v>678</v>
      </c>
      <c r="W41" s="2">
        <v>166</v>
      </c>
      <c r="X41" s="2">
        <v>213</v>
      </c>
      <c r="AA41" s="46"/>
    </row>
    <row r="42" spans="2:29" x14ac:dyDescent="0.25">
      <c r="B42" s="19" t="s">
        <v>133</v>
      </c>
      <c r="C42" s="19"/>
      <c r="D42" s="19"/>
      <c r="E42" s="19"/>
      <c r="F42" s="19"/>
      <c r="G42" s="47"/>
      <c r="H42" s="19">
        <f t="shared" ref="H42" si="79">(H41-C41)/C41</f>
        <v>2.0547945205479451E-2</v>
      </c>
      <c r="I42" s="19">
        <f t="shared" ref="I42" si="80">(I41-D41)/D41</f>
        <v>1.7241379310344827E-2</v>
      </c>
      <c r="J42" s="19">
        <f>(J41-E41)/E41</f>
        <v>3.1055900621118012E-2</v>
      </c>
      <c r="K42" s="19">
        <f t="shared" ref="K42" si="81">(K41-F41)/F41</f>
        <v>-2.8368794326241134E-2</v>
      </c>
      <c r="L42" s="47">
        <f t="shared" ref="L42" si="82">(L41-G41)/G41</f>
        <v>1.1254019292604502E-2</v>
      </c>
      <c r="M42" s="19">
        <f t="shared" ref="M42" si="83">(M41-H41)/H41</f>
        <v>-3.3557046979865772E-2</v>
      </c>
      <c r="N42" s="19">
        <f t="shared" ref="N42" si="84">(N41-I41)/I41</f>
        <v>2.8248587570621469E-2</v>
      </c>
      <c r="O42" s="19">
        <f t="shared" ref="O42" si="85">(O41-J41)/J41</f>
        <v>-1.2048192771084338E-2</v>
      </c>
      <c r="P42" s="19">
        <f t="shared" ref="P42:Q42" si="86">(P41-K41)/K41</f>
        <v>8.7591240875912413E-2</v>
      </c>
      <c r="Q42" s="47">
        <f t="shared" si="86"/>
        <v>1.5898251192368838E-2</v>
      </c>
      <c r="R42" s="19">
        <f t="shared" ref="R42" si="87">(R41-M41)/M41</f>
        <v>0.15277777777777779</v>
      </c>
      <c r="S42" s="19">
        <f t="shared" ref="S42" si="88">(S41-N41)/N41</f>
        <v>5.4945054945054944E-2</v>
      </c>
      <c r="T42" s="19">
        <f t="shared" ref="T42" si="89">(T41-O41)/O41</f>
        <v>4.878048780487805E-2</v>
      </c>
      <c r="U42" s="19">
        <f>(U41-P41)/P41</f>
        <v>-6.7114093959731542E-3</v>
      </c>
      <c r="V42" s="47">
        <f t="shared" ref="V42" si="90">(V41-Q41)/Q41</f>
        <v>6.1032863849765258E-2</v>
      </c>
      <c r="W42" s="19">
        <f t="shared" ref="W42" si="91">(W41-R41)/R41</f>
        <v>0</v>
      </c>
      <c r="X42" s="19">
        <f t="shared" ref="X42" si="92">(X41-S41)/S41</f>
        <v>0.109375</v>
      </c>
      <c r="Y42" s="19">
        <f t="shared" ref="Y42" si="93">(Y41-T41)/T41</f>
        <v>-1</v>
      </c>
      <c r="Z42" s="19">
        <f t="shared" ref="Z42" si="94">(Z41-U41)/U41</f>
        <v>-1</v>
      </c>
      <c r="AA42" s="47">
        <f t="shared" ref="AA42" si="95">(AA41-V41)/V41</f>
        <v>-1</v>
      </c>
    </row>
    <row r="43" spans="2:29" s="15" customFormat="1" x14ac:dyDescent="0.25">
      <c r="B43" s="16" t="s">
        <v>135</v>
      </c>
      <c r="C43" s="16">
        <f t="shared" ref="C43:E43" si="96">C39+C41</f>
        <v>257</v>
      </c>
      <c r="D43" s="16">
        <f t="shared" si="96"/>
        <v>295</v>
      </c>
      <c r="E43" s="16">
        <f t="shared" si="96"/>
        <v>292</v>
      </c>
      <c r="F43" s="16">
        <f>F39+F41</f>
        <v>284</v>
      </c>
      <c r="G43" s="64">
        <f t="shared" ref="G43:O43" si="97">G39+G41</f>
        <v>1128</v>
      </c>
      <c r="H43" s="16">
        <f t="shared" si="97"/>
        <v>284</v>
      </c>
      <c r="I43" s="16">
        <f t="shared" si="97"/>
        <v>307</v>
      </c>
      <c r="J43" s="16">
        <f>J39+J41</f>
        <v>308</v>
      </c>
      <c r="K43" s="16">
        <f t="shared" si="97"/>
        <v>276</v>
      </c>
      <c r="L43" s="64">
        <f t="shared" si="97"/>
        <v>1175</v>
      </c>
      <c r="M43" s="16">
        <f t="shared" si="97"/>
        <v>287</v>
      </c>
      <c r="N43" s="16">
        <f t="shared" si="97"/>
        <v>341</v>
      </c>
      <c r="O43" s="16">
        <f t="shared" si="97"/>
        <v>316</v>
      </c>
      <c r="P43" s="16">
        <f>P39+P41</f>
        <v>315</v>
      </c>
      <c r="Q43" s="64">
        <f t="shared" ref="Q43:T43" si="98">Q39+Q41</f>
        <v>1259</v>
      </c>
      <c r="R43" s="16">
        <f t="shared" si="98"/>
        <v>337</v>
      </c>
      <c r="S43" s="16">
        <f t="shared" si="98"/>
        <v>360</v>
      </c>
      <c r="T43" s="16">
        <f t="shared" si="98"/>
        <v>343</v>
      </c>
      <c r="U43" s="16">
        <f>U39+U41</f>
        <v>325</v>
      </c>
      <c r="V43" s="64">
        <f t="shared" ref="V43:AA43" si="99">V39+V41</f>
        <v>1365</v>
      </c>
      <c r="W43" s="16">
        <f t="shared" si="99"/>
        <v>343</v>
      </c>
      <c r="X43" s="16">
        <f t="shared" si="99"/>
        <v>417</v>
      </c>
      <c r="Y43" s="16">
        <f t="shared" si="99"/>
        <v>0</v>
      </c>
      <c r="Z43" s="16">
        <f t="shared" si="99"/>
        <v>0</v>
      </c>
      <c r="AA43" s="64">
        <f t="shared" si="99"/>
        <v>0</v>
      </c>
    </row>
    <row r="44" spans="2:29" x14ac:dyDescent="0.25">
      <c r="B44" s="19" t="s">
        <v>133</v>
      </c>
      <c r="C44" s="19"/>
      <c r="D44" s="19"/>
      <c r="E44" s="19"/>
      <c r="F44" s="19"/>
      <c r="G44" s="47"/>
      <c r="H44" s="19">
        <f t="shared" ref="H44" si="100">(H43-C43)/C43</f>
        <v>0.10505836575875487</v>
      </c>
      <c r="I44" s="19">
        <f t="shared" ref="I44" si="101">(I43-D43)/D43</f>
        <v>4.0677966101694912E-2</v>
      </c>
      <c r="J44" s="19">
        <f>(J43-E43)/E43</f>
        <v>5.4794520547945202E-2</v>
      </c>
      <c r="K44" s="19">
        <f t="shared" ref="K44" si="102">(K43-F43)/F43</f>
        <v>-2.8169014084507043E-2</v>
      </c>
      <c r="L44" s="47">
        <f t="shared" ref="L44" si="103">(L43-G43)/G43</f>
        <v>4.1666666666666664E-2</v>
      </c>
      <c r="M44" s="19">
        <f t="shared" ref="M44" si="104">(M43-H43)/H43</f>
        <v>1.0563380281690141E-2</v>
      </c>
      <c r="N44" s="19">
        <f t="shared" ref="N44" si="105">(N43-I43)/I43</f>
        <v>0.11074918566775244</v>
      </c>
      <c r="O44" s="19">
        <f t="shared" ref="O44" si="106">(O43-J43)/J43</f>
        <v>2.5974025974025976E-2</v>
      </c>
      <c r="P44" s="19">
        <f t="shared" ref="P44" si="107">(P43-K43)/K43</f>
        <v>0.14130434782608695</v>
      </c>
      <c r="Q44" s="47">
        <f t="shared" ref="Q44" si="108">(Q43-L43)/L43</f>
        <v>7.1489361702127663E-2</v>
      </c>
      <c r="R44" s="19">
        <f t="shared" ref="R44" si="109">(R43-M43)/M43</f>
        <v>0.17421602787456447</v>
      </c>
      <c r="S44" s="19">
        <f t="shared" ref="S44" si="110">(S43-N43)/N43</f>
        <v>5.5718475073313782E-2</v>
      </c>
      <c r="T44" s="19">
        <f t="shared" ref="T44" si="111">(T43-O43)/O43</f>
        <v>8.5443037974683542E-2</v>
      </c>
      <c r="U44" s="19">
        <f>(U43-P43)/P43</f>
        <v>3.1746031746031744E-2</v>
      </c>
      <c r="V44" s="47">
        <f t="shared" ref="V44" si="112">(V43-Q43)/Q43</f>
        <v>8.4193804606830819E-2</v>
      </c>
      <c r="W44" s="19">
        <f t="shared" ref="W44" si="113">(W43-R43)/R43</f>
        <v>1.7804154302670624E-2</v>
      </c>
      <c r="X44" s="19">
        <f t="shared" ref="X44" si="114">(X43-S43)/S43</f>
        <v>0.15833333333333333</v>
      </c>
      <c r="Y44" s="19">
        <f t="shared" ref="Y44" si="115">(Y43-T43)/T43</f>
        <v>-1</v>
      </c>
      <c r="Z44" s="19">
        <f t="shared" ref="Z44" si="116">(Z43-U43)/U43</f>
        <v>-1</v>
      </c>
      <c r="AA44" s="47">
        <f t="shared" ref="AA44" si="117">(AA43-V43)/V43</f>
        <v>-1</v>
      </c>
    </row>
    <row r="45" spans="2:29" x14ac:dyDescent="0.25">
      <c r="B45" s="19" t="s">
        <v>109</v>
      </c>
      <c r="C45" s="19">
        <v>4.1000000000000002E-2</v>
      </c>
      <c r="D45" s="19">
        <v>6.0999999999999999E-2</v>
      </c>
      <c r="E45" s="19">
        <v>3.5999999999999997E-2</v>
      </c>
      <c r="F45" s="19">
        <v>5.6000000000000001E-2</v>
      </c>
      <c r="G45" s="47"/>
      <c r="H45" s="25">
        <v>0.14099999999999999</v>
      </c>
      <c r="I45" s="19">
        <v>0.10100000000000001</v>
      </c>
      <c r="J45" s="19">
        <v>8.1000000000000003E-2</v>
      </c>
      <c r="K45" s="19">
        <v>3.7999999999999999E-2</v>
      </c>
      <c r="L45" s="47">
        <v>8.8999999999999996E-2</v>
      </c>
      <c r="M45" s="19">
        <v>4.2000000000000003E-2</v>
      </c>
      <c r="N45" s="19">
        <v>0.107</v>
      </c>
      <c r="O45" s="19">
        <v>8.7999999999999995E-2</v>
      </c>
      <c r="P45" s="19">
        <v>0.14599999999999999</v>
      </c>
      <c r="Q45" s="47">
        <v>9.6000000000000002E-2</v>
      </c>
      <c r="R45" s="19">
        <v>0.20699999999999999</v>
      </c>
      <c r="S45" s="19">
        <v>0.11700000000000001</v>
      </c>
      <c r="T45" s="19">
        <v>0.123</v>
      </c>
      <c r="U45" s="19">
        <v>8.5999999999999993E-2</v>
      </c>
      <c r="V45" s="47">
        <v>0.13100000000000001</v>
      </c>
      <c r="W45" s="19">
        <v>4.2000000000000003E-2</v>
      </c>
      <c r="X45" s="19">
        <v>0.1</v>
      </c>
      <c r="Y45" s="19"/>
      <c r="Z45" s="19"/>
      <c r="AA45" s="47"/>
    </row>
    <row r="46" spans="2:29" x14ac:dyDescent="0.25">
      <c r="B46" s="19" t="s">
        <v>111</v>
      </c>
      <c r="C46" s="19"/>
      <c r="D46" s="19"/>
      <c r="E46" s="19"/>
      <c r="F46" s="19"/>
      <c r="G46" s="47"/>
      <c r="H46" s="19">
        <v>0.104</v>
      </c>
      <c r="I46" s="19">
        <v>7.2999999999999995E-2</v>
      </c>
      <c r="J46" s="19">
        <v>5.1999999999999998E-2</v>
      </c>
      <c r="K46" s="19">
        <v>1.2E-2</v>
      </c>
      <c r="L46" s="47"/>
      <c r="M46" s="19">
        <v>2.3E-2</v>
      </c>
      <c r="N46" s="19">
        <v>8.7999999999999995E-2</v>
      </c>
      <c r="O46" s="19">
        <v>6.3E-2</v>
      </c>
      <c r="P46" s="19">
        <v>9.4E-2</v>
      </c>
      <c r="Q46" s="47"/>
      <c r="R46" s="19">
        <v>0.152</v>
      </c>
      <c r="S46" s="19">
        <v>7.0000000000000007E-2</v>
      </c>
      <c r="T46" s="19">
        <v>8.4000000000000005E-2</v>
      </c>
      <c r="U46" s="19">
        <v>6.0999999999999999E-2</v>
      </c>
      <c r="V46" s="47">
        <v>0.09</v>
      </c>
      <c r="W46" s="19">
        <v>2.3E-2</v>
      </c>
      <c r="X46" s="19">
        <v>7.2999999999999995E-2</v>
      </c>
      <c r="Y46" s="19"/>
      <c r="Z46" s="19"/>
      <c r="AA46" s="47"/>
    </row>
    <row r="47" spans="2:29" x14ac:dyDescent="0.25">
      <c r="B47" s="2" t="s">
        <v>51</v>
      </c>
      <c r="C47" s="2">
        <v>197</v>
      </c>
      <c r="D47" s="2">
        <v>208</v>
      </c>
      <c r="E47" s="2">
        <v>219</v>
      </c>
      <c r="F47" s="2">
        <v>224</v>
      </c>
      <c r="G47" s="64">
        <f>SUM(C47:F47)</f>
        <v>848</v>
      </c>
      <c r="H47" s="1">
        <v>215</v>
      </c>
      <c r="I47" s="2">
        <v>209</v>
      </c>
      <c r="J47" s="2">
        <v>227</v>
      </c>
      <c r="K47" s="2">
        <v>210</v>
      </c>
      <c r="L47" s="64">
        <f>SUM(H47:K47)</f>
        <v>861</v>
      </c>
      <c r="M47" s="2">
        <v>211</v>
      </c>
      <c r="N47" s="2">
        <v>237</v>
      </c>
      <c r="O47" s="2">
        <v>229</v>
      </c>
      <c r="P47" s="2">
        <v>235</v>
      </c>
      <c r="Q47" s="64">
        <f>SUM(M47:P47)</f>
        <v>912</v>
      </c>
      <c r="R47" s="2">
        <v>244</v>
      </c>
      <c r="S47" s="2">
        <v>247</v>
      </c>
      <c r="T47" s="2">
        <v>237</v>
      </c>
      <c r="U47" s="2">
        <v>237</v>
      </c>
      <c r="V47" s="64">
        <f>SUM(R47:U47)</f>
        <v>965</v>
      </c>
      <c r="W47" s="2">
        <v>249</v>
      </c>
      <c r="X47" s="2">
        <v>293</v>
      </c>
      <c r="AA47" s="64">
        <f>SUM(W47:Z47)</f>
        <v>542</v>
      </c>
    </row>
    <row r="48" spans="2:29" x14ac:dyDescent="0.25">
      <c r="B48" s="19" t="s">
        <v>36</v>
      </c>
      <c r="C48" s="19">
        <v>0.76100000000000001</v>
      </c>
      <c r="D48" s="19">
        <v>0.70099999999999996</v>
      </c>
      <c r="E48" s="19">
        <v>0.748</v>
      </c>
      <c r="F48" s="19">
        <v>0.78400000000000003</v>
      </c>
      <c r="G48" s="65">
        <f>G47/G43</f>
        <v>0.75177304964539005</v>
      </c>
      <c r="H48" s="25">
        <v>0.75600000000000001</v>
      </c>
      <c r="I48" s="19">
        <v>0.67900000000000005</v>
      </c>
      <c r="J48" s="19">
        <v>0.73599999999999999</v>
      </c>
      <c r="K48" s="19">
        <v>0.75800000000000001</v>
      </c>
      <c r="L48" s="65">
        <f>L47/L43</f>
        <v>0.7327659574468085</v>
      </c>
      <c r="M48" s="19">
        <v>0.73599999999999999</v>
      </c>
      <c r="N48" s="19">
        <v>0.69399999999999995</v>
      </c>
      <c r="O48" s="19">
        <v>0.71899999999999997</v>
      </c>
      <c r="P48" s="19">
        <v>0.74399999999999999</v>
      </c>
      <c r="Q48" s="65">
        <f>Q47/Q43</f>
        <v>0.72438443208895953</v>
      </c>
      <c r="R48" s="19">
        <v>0.72299999999999998</v>
      </c>
      <c r="S48" s="19">
        <v>0.68300000000000005</v>
      </c>
      <c r="T48" s="19">
        <v>0.69099999999999995</v>
      </c>
      <c r="U48" s="19">
        <v>0.72299999999999998</v>
      </c>
      <c r="V48" s="65">
        <f>V47/V43</f>
        <v>0.706959706959707</v>
      </c>
      <c r="W48" s="19">
        <v>0.72599999999999998</v>
      </c>
      <c r="X48" s="19">
        <v>0.70299999999999996</v>
      </c>
      <c r="Y48" s="19"/>
      <c r="Z48" s="19"/>
      <c r="AA48" s="65" t="e">
        <f>AA47/AA43</f>
        <v>#DIV/0!</v>
      </c>
    </row>
    <row r="49" spans="1:29" x14ac:dyDescent="0.25">
      <c r="B49" s="2" t="s">
        <v>54</v>
      </c>
      <c r="C49" s="2">
        <v>52</v>
      </c>
      <c r="D49" s="2">
        <v>79</v>
      </c>
      <c r="E49" s="2">
        <v>55</v>
      </c>
      <c r="F49" s="2">
        <v>53</v>
      </c>
      <c r="G49" s="64">
        <f>SUM(C49:F49)</f>
        <v>239</v>
      </c>
      <c r="H49" s="2">
        <v>45</v>
      </c>
      <c r="I49" s="2">
        <v>83</v>
      </c>
      <c r="J49" s="2">
        <v>61</v>
      </c>
      <c r="K49" s="2">
        <v>48</v>
      </c>
      <c r="L49" s="64">
        <f>SUM(H49:K49)</f>
        <v>237</v>
      </c>
      <c r="M49" s="2">
        <v>47</v>
      </c>
      <c r="N49" s="2">
        <v>92</v>
      </c>
      <c r="O49" s="2">
        <v>53</v>
      </c>
      <c r="P49" s="2">
        <v>49</v>
      </c>
      <c r="Q49" s="64">
        <f>SUM(M49:P49)</f>
        <v>241</v>
      </c>
      <c r="R49" s="2">
        <v>62</v>
      </c>
      <c r="S49" s="2">
        <v>102</v>
      </c>
      <c r="T49" s="2">
        <v>51</v>
      </c>
      <c r="U49" s="2">
        <v>59</v>
      </c>
      <c r="V49" s="64">
        <f>SUM(R49:U49)</f>
        <v>274</v>
      </c>
      <c r="W49" s="2">
        <v>57</v>
      </c>
      <c r="X49" s="2">
        <v>123</v>
      </c>
      <c r="AA49" s="64">
        <f>SUM(W49:Z49)</f>
        <v>180</v>
      </c>
    </row>
    <row r="50" spans="1:29" x14ac:dyDescent="0.25">
      <c r="B50" s="19" t="s">
        <v>38</v>
      </c>
      <c r="C50" s="19">
        <v>0.2</v>
      </c>
      <c r="D50" s="19">
        <v>0.26700000000000002</v>
      </c>
      <c r="E50" s="19">
        <v>0.189</v>
      </c>
      <c r="F50" s="19">
        <v>0.185</v>
      </c>
      <c r="G50" s="65">
        <f>G49/G43</f>
        <v>0.21187943262411346</v>
      </c>
      <c r="H50" s="19">
        <v>0.157</v>
      </c>
      <c r="I50" s="19">
        <v>0.26900000000000002</v>
      </c>
      <c r="J50" s="19">
        <v>0.19600000000000001</v>
      </c>
      <c r="K50" s="19">
        <v>0.17399999999999999</v>
      </c>
      <c r="L50" s="65">
        <f>L49/L43</f>
        <v>0.20170212765957446</v>
      </c>
      <c r="M50" s="19">
        <v>0.16500000000000001</v>
      </c>
      <c r="N50" s="19">
        <v>0.27100000000000002</v>
      </c>
      <c r="O50" s="19">
        <v>0.16600000000000001</v>
      </c>
      <c r="P50" s="19">
        <v>0.156</v>
      </c>
      <c r="Q50" s="65">
        <f>Q49/Q43</f>
        <v>0.19142176330420968</v>
      </c>
      <c r="R50" s="19">
        <v>0.183</v>
      </c>
      <c r="S50" s="19">
        <v>0.28299999999999997</v>
      </c>
      <c r="T50" s="19">
        <v>0.14799999999999999</v>
      </c>
      <c r="U50" s="19">
        <v>0.18</v>
      </c>
      <c r="V50" s="65">
        <f>V49/V43</f>
        <v>0.20073260073260074</v>
      </c>
      <c r="W50" s="19">
        <v>0.16700000000000001</v>
      </c>
      <c r="X50" s="19">
        <v>0.29399999999999998</v>
      </c>
      <c r="Y50" s="19"/>
      <c r="Z50" s="19"/>
      <c r="AA50" s="65" t="e">
        <f>AA49/AA43</f>
        <v>#DIV/0!</v>
      </c>
    </row>
    <row r="51" spans="1:29" x14ac:dyDescent="0.25">
      <c r="B51" s="2" t="s">
        <v>58</v>
      </c>
      <c r="G51" s="64">
        <f>SUM(C51:F51)</f>
        <v>0</v>
      </c>
      <c r="L51" s="64">
        <f>SUM(H51:K51)</f>
        <v>0</v>
      </c>
      <c r="M51" s="2">
        <v>20</v>
      </c>
      <c r="N51" s="2">
        <v>65</v>
      </c>
      <c r="O51" s="2">
        <v>25</v>
      </c>
      <c r="P51" s="2">
        <v>19</v>
      </c>
      <c r="Q51" s="64">
        <f>SUM(M51:P51)</f>
        <v>129</v>
      </c>
      <c r="R51" s="2">
        <v>32</v>
      </c>
      <c r="S51" s="2">
        <v>73</v>
      </c>
      <c r="T51" s="2">
        <v>21</v>
      </c>
      <c r="U51" s="2">
        <v>29</v>
      </c>
      <c r="V51" s="64">
        <f>SUM(R51:U51)</f>
        <v>155</v>
      </c>
      <c r="W51" s="2">
        <v>25</v>
      </c>
      <c r="X51" s="2">
        <v>88</v>
      </c>
      <c r="AA51" s="64">
        <f>SUM(W51:Z51)</f>
        <v>113</v>
      </c>
      <c r="AC51" s="41"/>
    </row>
    <row r="52" spans="1:29" x14ac:dyDescent="0.25">
      <c r="B52" s="19" t="s">
        <v>34</v>
      </c>
      <c r="C52" s="19"/>
      <c r="D52" s="19"/>
      <c r="E52" s="19"/>
      <c r="F52" s="19"/>
      <c r="G52" s="65">
        <f>G51/G43</f>
        <v>0</v>
      </c>
      <c r="H52" s="25"/>
      <c r="I52" s="19"/>
      <c r="J52" s="19"/>
      <c r="K52" s="19"/>
      <c r="L52" s="65">
        <f>L51/L43</f>
        <v>0</v>
      </c>
      <c r="M52" s="19">
        <f>M51/M43</f>
        <v>6.968641114982578E-2</v>
      </c>
      <c r="N52" s="19">
        <f>N51/N43</f>
        <v>0.1906158357771261</v>
      </c>
      <c r="O52" s="19">
        <v>0.08</v>
      </c>
      <c r="P52" s="19">
        <v>6.2E-2</v>
      </c>
      <c r="Q52" s="65">
        <f>Q51/Q43</f>
        <v>0.10246227164416204</v>
      </c>
      <c r="R52" s="19">
        <v>9.6000000000000002E-2</v>
      </c>
      <c r="S52" s="19">
        <f>S51/S43</f>
        <v>0.20277777777777778</v>
      </c>
      <c r="T52" s="19">
        <v>6.3E-2</v>
      </c>
      <c r="U52" s="19">
        <v>8.8999999999999996E-2</v>
      </c>
      <c r="V52" s="65">
        <f>V51/V43</f>
        <v>0.11355311355311355</v>
      </c>
      <c r="W52" s="19">
        <v>7.1999999999999995E-2</v>
      </c>
      <c r="X52" s="19">
        <v>0.21</v>
      </c>
      <c r="Y52" s="19"/>
      <c r="Z52" s="19"/>
      <c r="AA52" s="65" t="e">
        <f>AA51/AA43</f>
        <v>#DIV/0!</v>
      </c>
    </row>
    <row r="53" spans="1:29" x14ac:dyDescent="0.25">
      <c r="B53" s="2" t="s">
        <v>125</v>
      </c>
      <c r="C53" s="15">
        <v>112</v>
      </c>
      <c r="D53" s="15">
        <v>114</v>
      </c>
      <c r="E53" s="15">
        <v>113</v>
      </c>
      <c r="F53" s="15">
        <v>116</v>
      </c>
      <c r="G53" s="50"/>
      <c r="H53" s="16">
        <v>118</v>
      </c>
      <c r="I53" s="15">
        <v>118</v>
      </c>
      <c r="J53" s="15">
        <v>119</v>
      </c>
      <c r="K53" s="15">
        <v>120</v>
      </c>
      <c r="L53" s="50"/>
      <c r="M53" s="15">
        <v>121</v>
      </c>
      <c r="N53" s="15">
        <v>122</v>
      </c>
      <c r="O53" s="15">
        <v>127</v>
      </c>
      <c r="P53" s="15">
        <v>131</v>
      </c>
      <c r="Q53" s="50"/>
      <c r="R53" s="15">
        <v>132</v>
      </c>
      <c r="S53" s="15">
        <v>132</v>
      </c>
      <c r="T53" s="15">
        <v>134</v>
      </c>
      <c r="U53" s="2">
        <v>136</v>
      </c>
      <c r="V53" s="46"/>
      <c r="W53" s="2">
        <v>136</v>
      </c>
      <c r="X53" s="2">
        <v>138</v>
      </c>
      <c r="AA53" s="46"/>
    </row>
    <row r="54" spans="1:29" s="74" customFormat="1" ht="20" thickBot="1" x14ac:dyDescent="0.3">
      <c r="A54" s="2"/>
      <c r="B54" s="74" t="s">
        <v>205</v>
      </c>
      <c r="G54" s="75"/>
      <c r="H54" s="76"/>
      <c r="L54" s="75"/>
      <c r="Q54" s="75"/>
      <c r="V54" s="75"/>
      <c r="X54" s="74">
        <v>0.21</v>
      </c>
      <c r="AA54" s="75"/>
    </row>
    <row r="55" spans="1:29" x14ac:dyDescent="0.25">
      <c r="B55" s="1" t="s">
        <v>138</v>
      </c>
      <c r="G55" s="46"/>
      <c r="H55" s="1"/>
      <c r="L55" s="46"/>
      <c r="N55" s="1"/>
      <c r="Q55" s="46"/>
      <c r="T55" s="1"/>
      <c r="V55" s="46"/>
      <c r="AA55" s="46"/>
    </row>
    <row r="56" spans="1:29" x14ac:dyDescent="0.25">
      <c r="B56" s="15" t="s">
        <v>132</v>
      </c>
      <c r="C56" s="15">
        <v>37</v>
      </c>
      <c r="D56" s="15">
        <v>43</v>
      </c>
      <c r="E56" s="15">
        <v>52</v>
      </c>
      <c r="F56" s="15">
        <v>55</v>
      </c>
      <c r="G56" s="50">
        <f>SUM(C56:F56)</f>
        <v>187</v>
      </c>
      <c r="H56" s="15">
        <v>62</v>
      </c>
      <c r="I56" s="15">
        <v>70</v>
      </c>
      <c r="J56" s="15">
        <v>79</v>
      </c>
      <c r="K56" s="15">
        <v>80</v>
      </c>
      <c r="L56" s="50">
        <f>SUM(H56:K56)</f>
        <v>291</v>
      </c>
      <c r="M56" s="15">
        <v>78</v>
      </c>
      <c r="N56" s="15">
        <v>89</v>
      </c>
      <c r="O56" s="15">
        <v>88</v>
      </c>
      <c r="P56" s="15">
        <v>99</v>
      </c>
      <c r="Q56" s="50">
        <f>SUM(M56:P56)</f>
        <v>354</v>
      </c>
      <c r="R56" s="15">
        <v>99</v>
      </c>
      <c r="S56" s="15">
        <v>108</v>
      </c>
      <c r="T56" s="15">
        <v>107</v>
      </c>
      <c r="U56" s="2">
        <v>121</v>
      </c>
      <c r="V56" s="50">
        <f>SUM(R56:U56)</f>
        <v>435</v>
      </c>
      <c r="W56" s="2">
        <v>116</v>
      </c>
      <c r="X56" s="2">
        <v>129</v>
      </c>
      <c r="AA56" s="46"/>
    </row>
    <row r="57" spans="1:29" x14ac:dyDescent="0.25">
      <c r="B57" s="19" t="s">
        <v>133</v>
      </c>
      <c r="C57" s="19"/>
      <c r="D57" s="19"/>
      <c r="E57" s="19"/>
      <c r="F57" s="19"/>
      <c r="G57" s="47"/>
      <c r="H57" s="19">
        <f t="shared" ref="H57" si="118">(H56-C56)/C56</f>
        <v>0.67567567567567566</v>
      </c>
      <c r="I57" s="19">
        <f t="shared" ref="I57" si="119">(I56-D56)/D56</f>
        <v>0.62790697674418605</v>
      </c>
      <c r="J57" s="19">
        <f>(J56-E56)/E56</f>
        <v>0.51923076923076927</v>
      </c>
      <c r="K57" s="19">
        <f t="shared" ref="K57" si="120">(K56-F56)/F56</f>
        <v>0.45454545454545453</v>
      </c>
      <c r="L57" s="47">
        <f>(L56-G56)/G56</f>
        <v>0.55614973262032086</v>
      </c>
      <c r="M57" s="19">
        <f t="shared" ref="M57" si="121">(M56-H56)/H56</f>
        <v>0.25806451612903225</v>
      </c>
      <c r="N57" s="19">
        <f t="shared" ref="N57" si="122">(N56-I56)/I56</f>
        <v>0.27142857142857141</v>
      </c>
      <c r="O57" s="19">
        <f t="shared" ref="O57" si="123">(O56-J56)/J56</f>
        <v>0.11392405063291139</v>
      </c>
      <c r="P57" s="19">
        <f t="shared" ref="P57" si="124">(P56-K56)/K56</f>
        <v>0.23749999999999999</v>
      </c>
      <c r="Q57" s="47">
        <f>(Q56-L56)/L56</f>
        <v>0.21649484536082475</v>
      </c>
      <c r="R57" s="19">
        <f t="shared" ref="R57" si="125">(R56-M56)/M56</f>
        <v>0.26923076923076922</v>
      </c>
      <c r="S57" s="19">
        <f t="shared" ref="S57" si="126">(S56-N56)/N56</f>
        <v>0.21348314606741572</v>
      </c>
      <c r="T57" s="19">
        <f t="shared" ref="T57" si="127">(T56-O56)/O56</f>
        <v>0.21590909090909091</v>
      </c>
      <c r="U57" s="19">
        <f>(U56-P56)/P56</f>
        <v>0.22222222222222221</v>
      </c>
      <c r="V57" s="47">
        <f>(V56-Q56)/Q56</f>
        <v>0.2288135593220339</v>
      </c>
      <c r="W57" s="19">
        <f t="shared" ref="W57" si="128">(W56-R56)/R56</f>
        <v>0.17171717171717171</v>
      </c>
      <c r="X57" s="19">
        <f t="shared" ref="X57" si="129">(X56-S56)/S56</f>
        <v>0.19444444444444445</v>
      </c>
      <c r="Y57" s="19">
        <f t="shared" ref="Y57" si="130">(Y56-T56)/T56</f>
        <v>-1</v>
      </c>
      <c r="Z57" s="19">
        <f t="shared" ref="Z57" si="131">(Z56-U56)/U56</f>
        <v>-1</v>
      </c>
      <c r="AA57" s="47">
        <f t="shared" ref="AA57" si="132">(AA56-V56)/V56</f>
        <v>-1</v>
      </c>
    </row>
    <row r="58" spans="1:29" x14ac:dyDescent="0.25">
      <c r="B58" s="2" t="s">
        <v>134</v>
      </c>
      <c r="C58" s="15">
        <v>44</v>
      </c>
      <c r="D58" s="15">
        <v>57</v>
      </c>
      <c r="E58" s="15">
        <v>53</v>
      </c>
      <c r="F58" s="15">
        <v>52</v>
      </c>
      <c r="G58" s="50">
        <f>SUM(C58:F58)</f>
        <v>206</v>
      </c>
      <c r="H58" s="16">
        <v>64</v>
      </c>
      <c r="I58" s="15">
        <v>86</v>
      </c>
      <c r="J58" s="15">
        <v>76</v>
      </c>
      <c r="K58" s="15">
        <v>74</v>
      </c>
      <c r="L58" s="50">
        <f>SUM(H58:K58)</f>
        <v>300</v>
      </c>
      <c r="M58" s="15">
        <v>76</v>
      </c>
      <c r="N58" s="15">
        <v>105</v>
      </c>
      <c r="O58" s="15">
        <v>93</v>
      </c>
      <c r="P58" s="15">
        <v>82</v>
      </c>
      <c r="Q58" s="50">
        <f>SUM(M58:P58)</f>
        <v>356</v>
      </c>
      <c r="R58" s="15">
        <v>94</v>
      </c>
      <c r="S58" s="15">
        <v>109</v>
      </c>
      <c r="T58" s="15">
        <v>113</v>
      </c>
      <c r="U58" s="2">
        <v>98</v>
      </c>
      <c r="V58" s="50">
        <f>SUM(R58:U58)</f>
        <v>414</v>
      </c>
      <c r="W58" s="2">
        <v>102</v>
      </c>
      <c r="X58" s="2">
        <v>116</v>
      </c>
      <c r="AA58" s="46"/>
    </row>
    <row r="59" spans="1:29" x14ac:dyDescent="0.25">
      <c r="B59" s="19" t="s">
        <v>133</v>
      </c>
      <c r="C59" s="19"/>
      <c r="D59" s="19"/>
      <c r="E59" s="19"/>
      <c r="F59" s="19"/>
      <c r="G59" s="47"/>
      <c r="H59" s="19">
        <f t="shared" ref="H59" si="133">(H58-C58)/C58</f>
        <v>0.45454545454545453</v>
      </c>
      <c r="I59" s="19">
        <f t="shared" ref="I59" si="134">(I58-D58)/D58</f>
        <v>0.50877192982456143</v>
      </c>
      <c r="J59" s="19">
        <f>(J58-E58)/E58</f>
        <v>0.43396226415094341</v>
      </c>
      <c r="K59" s="19">
        <f t="shared" ref="K59" si="135">(K58-F58)/F58</f>
        <v>0.42307692307692307</v>
      </c>
      <c r="L59" s="47">
        <f t="shared" ref="L59" si="136">(L58-G58)/G58</f>
        <v>0.4563106796116505</v>
      </c>
      <c r="M59" s="19">
        <f t="shared" ref="M59" si="137">(M58-H58)/H58</f>
        <v>0.1875</v>
      </c>
      <c r="N59" s="19">
        <f t="shared" ref="N59" si="138">(N58-I58)/I58</f>
        <v>0.22093023255813954</v>
      </c>
      <c r="O59" s="19">
        <f t="shared" ref="O59" si="139">(O58-J58)/J58</f>
        <v>0.22368421052631579</v>
      </c>
      <c r="P59" s="19">
        <f t="shared" ref="P59:Q59" si="140">(P58-K58)/K58</f>
        <v>0.10810810810810811</v>
      </c>
      <c r="Q59" s="47">
        <f t="shared" si="140"/>
        <v>0.18666666666666668</v>
      </c>
      <c r="R59" s="19">
        <f t="shared" ref="R59" si="141">(R58-M58)/M58</f>
        <v>0.23684210526315788</v>
      </c>
      <c r="S59" s="19">
        <f t="shared" ref="S59" si="142">(S58-N58)/N58</f>
        <v>3.8095238095238099E-2</v>
      </c>
      <c r="T59" s="19">
        <f t="shared" ref="T59" si="143">(T58-O58)/O58</f>
        <v>0.21505376344086022</v>
      </c>
      <c r="U59" s="19">
        <f>(U58-P58)/P58</f>
        <v>0.1951219512195122</v>
      </c>
      <c r="V59" s="47">
        <f t="shared" ref="V59" si="144">(V58-Q58)/Q58</f>
        <v>0.16292134831460675</v>
      </c>
      <c r="W59" s="19">
        <f t="shared" ref="W59" si="145">(W58-R58)/R58</f>
        <v>8.5106382978723402E-2</v>
      </c>
      <c r="X59" s="19">
        <f t="shared" ref="X59" si="146">(X58-S58)/S58</f>
        <v>6.4220183486238536E-2</v>
      </c>
      <c r="Y59" s="19">
        <f t="shared" ref="Y59" si="147">(Y58-T58)/T58</f>
        <v>-1</v>
      </c>
      <c r="Z59" s="19">
        <f t="shared" ref="Z59" si="148">(Z58-U58)/U58</f>
        <v>-1</v>
      </c>
      <c r="AA59" s="47">
        <f t="shared" ref="AA59" si="149">(AA58-V58)/V58</f>
        <v>-1</v>
      </c>
    </row>
    <row r="60" spans="1:29" x14ac:dyDescent="0.25">
      <c r="B60" s="1" t="s">
        <v>135</v>
      </c>
      <c r="C60" s="16">
        <f t="shared" ref="C60:E60" si="150">C56+C58</f>
        <v>81</v>
      </c>
      <c r="D60" s="16">
        <f t="shared" si="150"/>
        <v>100</v>
      </c>
      <c r="E60" s="16">
        <f t="shared" si="150"/>
        <v>105</v>
      </c>
      <c r="F60" s="16">
        <f>F56+F58</f>
        <v>107</v>
      </c>
      <c r="G60" s="64">
        <f>G56+G58</f>
        <v>393</v>
      </c>
      <c r="H60" s="1">
        <f t="shared" ref="H60:O60" si="151">H56+H58</f>
        <v>126</v>
      </c>
      <c r="I60" s="1">
        <f t="shared" si="151"/>
        <v>156</v>
      </c>
      <c r="J60" s="16">
        <f>J56+J58</f>
        <v>155</v>
      </c>
      <c r="K60" s="1">
        <f t="shared" si="151"/>
        <v>154</v>
      </c>
      <c r="L60" s="45">
        <f t="shared" si="151"/>
        <v>591</v>
      </c>
      <c r="M60" s="1">
        <f t="shared" si="151"/>
        <v>154</v>
      </c>
      <c r="N60" s="1">
        <f t="shared" si="151"/>
        <v>194</v>
      </c>
      <c r="O60" s="1">
        <f t="shared" si="151"/>
        <v>181</v>
      </c>
      <c r="P60" s="1">
        <f>P56+P58</f>
        <v>181</v>
      </c>
      <c r="Q60" s="45">
        <f t="shared" ref="Q60:T60" si="152">Q56+Q58</f>
        <v>710</v>
      </c>
      <c r="R60" s="1">
        <f t="shared" si="152"/>
        <v>193</v>
      </c>
      <c r="S60" s="1">
        <f t="shared" si="152"/>
        <v>217</v>
      </c>
      <c r="T60" s="1">
        <f t="shared" si="152"/>
        <v>220</v>
      </c>
      <c r="U60" s="1">
        <f>U56+U58</f>
        <v>219</v>
      </c>
      <c r="V60" s="45">
        <f t="shared" ref="V60:AA60" si="153">V56+V58</f>
        <v>849</v>
      </c>
      <c r="W60" s="1">
        <f t="shared" si="153"/>
        <v>218</v>
      </c>
      <c r="X60" s="1">
        <f t="shared" si="153"/>
        <v>245</v>
      </c>
      <c r="Y60" s="1">
        <f t="shared" si="153"/>
        <v>0</v>
      </c>
      <c r="Z60" s="1">
        <f t="shared" si="153"/>
        <v>0</v>
      </c>
      <c r="AA60" s="45">
        <f t="shared" si="153"/>
        <v>0</v>
      </c>
    </row>
    <row r="61" spans="1:29" x14ac:dyDescent="0.25">
      <c r="B61" s="19" t="s">
        <v>133</v>
      </c>
      <c r="C61" s="19"/>
      <c r="D61" s="19"/>
      <c r="E61" s="19"/>
      <c r="F61" s="19"/>
      <c r="G61" s="47"/>
      <c r="H61" s="19">
        <f t="shared" ref="H61" si="154">(H60-C60)/C60</f>
        <v>0.55555555555555558</v>
      </c>
      <c r="I61" s="19">
        <f t="shared" ref="I61" si="155">(I60-D60)/D60</f>
        <v>0.56000000000000005</v>
      </c>
      <c r="J61" s="19">
        <f>(J60-E60)/E60</f>
        <v>0.47619047619047616</v>
      </c>
      <c r="K61" s="19">
        <f t="shared" ref="K61" si="156">(K60-F60)/F60</f>
        <v>0.43925233644859812</v>
      </c>
      <c r="L61" s="47">
        <f t="shared" ref="L61" si="157">(L60-G60)/G60</f>
        <v>0.50381679389312972</v>
      </c>
      <c r="M61" s="19">
        <f t="shared" ref="M61" si="158">(M60-H60)/H60</f>
        <v>0.22222222222222221</v>
      </c>
      <c r="N61" s="19">
        <f t="shared" ref="N61" si="159">(N60-I60)/I60</f>
        <v>0.24358974358974358</v>
      </c>
      <c r="O61" s="19">
        <f t="shared" ref="O61" si="160">(O60-J60)/J60</f>
        <v>0.16774193548387098</v>
      </c>
      <c r="P61" s="19">
        <f t="shared" ref="P61" si="161">(P60-K60)/K60</f>
        <v>0.17532467532467533</v>
      </c>
      <c r="Q61" s="47">
        <f t="shared" ref="Q61" si="162">(Q60-L60)/L60</f>
        <v>0.20135363790186125</v>
      </c>
      <c r="R61" s="19">
        <f t="shared" ref="R61" si="163">(R60-M60)/M60</f>
        <v>0.25324675324675322</v>
      </c>
      <c r="S61" s="19">
        <f t="shared" ref="S61" si="164">(S60-N60)/N60</f>
        <v>0.11855670103092783</v>
      </c>
      <c r="T61" s="19">
        <f t="shared" ref="T61" si="165">(T60-O60)/O60</f>
        <v>0.21546961325966851</v>
      </c>
      <c r="U61" s="19">
        <f>(U60-P60)/P60</f>
        <v>0.20994475138121546</v>
      </c>
      <c r="V61" s="47">
        <f t="shared" ref="V61" si="166">(V60-Q60)/Q60</f>
        <v>0.19577464788732393</v>
      </c>
      <c r="W61" s="19">
        <f t="shared" ref="W61" si="167">(W60-R60)/R60</f>
        <v>0.12953367875647667</v>
      </c>
      <c r="X61" s="19">
        <f t="shared" ref="X61" si="168">(X60-S60)/S60</f>
        <v>0.12903225806451613</v>
      </c>
      <c r="Y61" s="19">
        <f t="shared" ref="Y61" si="169">(Y60-T60)/T60</f>
        <v>-1</v>
      </c>
      <c r="Z61" s="19">
        <f t="shared" ref="Z61" si="170">(Z60-U60)/U60</f>
        <v>-1</v>
      </c>
      <c r="AA61" s="47">
        <f t="shared" ref="AA61" si="171">(AA60-V60)/V60</f>
        <v>-1</v>
      </c>
    </row>
    <row r="62" spans="1:29" x14ac:dyDescent="0.25">
      <c r="B62" s="19" t="s">
        <v>109</v>
      </c>
      <c r="C62" s="19">
        <v>0.36099999999999999</v>
      </c>
      <c r="D62" s="19">
        <v>0.52100000000000002</v>
      </c>
      <c r="E62" s="19">
        <v>0.439</v>
      </c>
      <c r="F62" s="19">
        <v>0.32600000000000001</v>
      </c>
      <c r="G62" s="47"/>
      <c r="H62" s="25">
        <v>0.44500000000000001</v>
      </c>
      <c r="I62" s="19">
        <v>0.43099999999999999</v>
      </c>
      <c r="J62" s="19">
        <v>0.34200000000000003</v>
      </c>
      <c r="K62" s="19">
        <v>0.35899999999999999</v>
      </c>
      <c r="L62" s="47">
        <v>0.39100000000000001</v>
      </c>
      <c r="M62" s="19">
        <v>0.218</v>
      </c>
      <c r="N62" s="19">
        <v>0.24299999999999999</v>
      </c>
      <c r="O62" s="19">
        <v>0.19600000000000001</v>
      </c>
      <c r="P62" s="19">
        <v>0.17599999999999999</v>
      </c>
      <c r="Q62" s="47">
        <v>0.20799999999999999</v>
      </c>
      <c r="R62" s="19">
        <v>0.26200000000000001</v>
      </c>
      <c r="S62" s="19">
        <v>0.16600000000000001</v>
      </c>
      <c r="T62" s="19">
        <v>0.26100000000000001</v>
      </c>
      <c r="U62" s="19">
        <v>0.27100000000000002</v>
      </c>
      <c r="V62" s="47">
        <v>0.23799999999999999</v>
      </c>
      <c r="W62" s="19">
        <v>0.187</v>
      </c>
      <c r="X62" s="19">
        <v>0.13900000000000001</v>
      </c>
      <c r="Y62" s="19"/>
      <c r="Z62" s="19"/>
      <c r="AA62" s="47"/>
    </row>
    <row r="63" spans="1:29" x14ac:dyDescent="0.25">
      <c r="B63" s="19" t="s">
        <v>111</v>
      </c>
      <c r="C63" s="19"/>
      <c r="D63" s="19"/>
      <c r="E63" s="19"/>
      <c r="F63" s="19"/>
      <c r="G63" s="47"/>
      <c r="H63" s="19">
        <v>0.28000000000000003</v>
      </c>
      <c r="I63" s="19">
        <v>0.26100000000000001</v>
      </c>
      <c r="J63" s="19">
        <v>0.17599999999999999</v>
      </c>
      <c r="K63" s="19">
        <v>0.189</v>
      </c>
      <c r="L63" s="47"/>
      <c r="M63" s="19">
        <v>0.08</v>
      </c>
      <c r="N63" s="19">
        <v>0.111</v>
      </c>
      <c r="O63" s="19">
        <v>8.4000000000000005E-2</v>
      </c>
      <c r="P63" s="19">
        <v>6.2E-2</v>
      </c>
      <c r="Q63" s="47"/>
      <c r="R63" s="19">
        <v>0.16</v>
      </c>
      <c r="S63" s="19">
        <v>8.5999999999999993E-2</v>
      </c>
      <c r="T63" s="19">
        <v>0.17100000000000001</v>
      </c>
      <c r="U63" s="19">
        <v>0.21199999999999999</v>
      </c>
      <c r="V63" s="47">
        <v>0.156</v>
      </c>
      <c r="W63" s="19">
        <v>0.14099999999999999</v>
      </c>
      <c r="X63" s="19">
        <v>0.10199999999999999</v>
      </c>
      <c r="Y63" s="19"/>
      <c r="Z63" s="19"/>
      <c r="AA63" s="47"/>
      <c r="AC63" s="41"/>
    </row>
    <row r="64" spans="1:29" x14ac:dyDescent="0.25">
      <c r="B64" s="2" t="s">
        <v>51</v>
      </c>
      <c r="C64" s="2">
        <v>59</v>
      </c>
      <c r="D64" s="2">
        <v>67</v>
      </c>
      <c r="E64" s="2">
        <v>72</v>
      </c>
      <c r="F64" s="2">
        <v>77</v>
      </c>
      <c r="G64" s="64">
        <f>SUM(C64:F64)</f>
        <v>275</v>
      </c>
      <c r="H64" s="1">
        <v>88</v>
      </c>
      <c r="I64" s="2">
        <v>103</v>
      </c>
      <c r="J64" s="2">
        <v>108</v>
      </c>
      <c r="K64" s="2">
        <v>108</v>
      </c>
      <c r="L64" s="64">
        <f>SUM(H64:K64)</f>
        <v>407</v>
      </c>
      <c r="M64" s="2">
        <v>108</v>
      </c>
      <c r="N64" s="2">
        <v>130</v>
      </c>
      <c r="O64" s="2">
        <v>120</v>
      </c>
      <c r="P64" s="2">
        <v>128</v>
      </c>
      <c r="Q64" s="64">
        <f>SUM(M64:P64)</f>
        <v>486</v>
      </c>
      <c r="R64" s="2">
        <v>138</v>
      </c>
      <c r="S64" s="2">
        <v>155</v>
      </c>
      <c r="T64" s="2">
        <v>152</v>
      </c>
      <c r="U64" s="2">
        <v>158</v>
      </c>
      <c r="V64" s="64">
        <f>SUM(R64:U64)</f>
        <v>603</v>
      </c>
      <c r="W64" s="2">
        <v>157</v>
      </c>
      <c r="X64" s="2">
        <v>174</v>
      </c>
      <c r="AA64" s="64">
        <f>SUM(W64:Z64)</f>
        <v>331</v>
      </c>
    </row>
    <row r="65" spans="2:29" x14ac:dyDescent="0.25">
      <c r="B65" s="19" t="s">
        <v>36</v>
      </c>
      <c r="C65" s="19">
        <v>0.72699999999999998</v>
      </c>
      <c r="D65" s="19">
        <v>0.67100000000000004</v>
      </c>
      <c r="E65" s="19">
        <v>0.69099999999999995</v>
      </c>
      <c r="F65" s="19">
        <v>0.71699999999999997</v>
      </c>
      <c r="G65" s="65">
        <f>G64/G60</f>
        <v>0.69974554707379133</v>
      </c>
      <c r="H65" s="25">
        <v>0.70399999999999996</v>
      </c>
      <c r="I65" s="19">
        <v>0.66200000000000003</v>
      </c>
      <c r="J65" s="19">
        <v>0.69899999999999995</v>
      </c>
      <c r="K65" s="19">
        <v>0.70299999999999996</v>
      </c>
      <c r="L65" s="65">
        <f>L64/L60</f>
        <v>0.68866328257191201</v>
      </c>
      <c r="M65" s="19">
        <v>0.70399999999999996</v>
      </c>
      <c r="N65" s="19">
        <v>0.66800000000000004</v>
      </c>
      <c r="O65" s="19">
        <v>0.65600000000000003</v>
      </c>
      <c r="P65" s="19">
        <v>0.70599999999999996</v>
      </c>
      <c r="Q65" s="65">
        <f>Q64/Q60</f>
        <v>0.6845070422535211</v>
      </c>
      <c r="R65" s="19">
        <v>0.71099999999999997</v>
      </c>
      <c r="S65" s="19">
        <v>0.71299999999999997</v>
      </c>
      <c r="T65" s="19">
        <v>0.68500000000000005</v>
      </c>
      <c r="U65" s="19">
        <v>0.71799999999999997</v>
      </c>
      <c r="V65" s="65">
        <f>V64/V60</f>
        <v>0.71024734982332161</v>
      </c>
      <c r="W65" s="19">
        <v>0.71599999999999997</v>
      </c>
      <c r="X65" s="19">
        <v>0.70799999999999996</v>
      </c>
      <c r="Y65" s="19"/>
      <c r="Z65" s="19"/>
      <c r="AA65" s="65" t="e">
        <f>AA64/AA60</f>
        <v>#DIV/0!</v>
      </c>
    </row>
    <row r="66" spans="2:29" x14ac:dyDescent="0.25">
      <c r="B66" s="2" t="s">
        <v>54</v>
      </c>
      <c r="C66" s="2">
        <v>8</v>
      </c>
      <c r="D66" s="2">
        <v>8</v>
      </c>
      <c r="E66" s="2">
        <v>14</v>
      </c>
      <c r="F66" s="2">
        <v>5</v>
      </c>
      <c r="G66" s="64">
        <f>SUM(C66:F66)</f>
        <v>35</v>
      </c>
      <c r="H66" s="2">
        <v>13</v>
      </c>
      <c r="I66" s="2">
        <v>22</v>
      </c>
      <c r="J66" s="2">
        <v>25</v>
      </c>
      <c r="K66" s="2">
        <v>14</v>
      </c>
      <c r="L66" s="64">
        <f>SUM(H66:K66)</f>
        <v>74</v>
      </c>
      <c r="M66" s="2">
        <v>13</v>
      </c>
      <c r="N66" s="2">
        <v>29</v>
      </c>
      <c r="O66" s="2">
        <v>20</v>
      </c>
      <c r="P66" s="2">
        <v>14</v>
      </c>
      <c r="Q66" s="64">
        <f>SUM(M66:P66)</f>
        <v>76</v>
      </c>
      <c r="R66" s="2">
        <v>26</v>
      </c>
      <c r="S66" s="2">
        <v>33</v>
      </c>
      <c r="T66" s="2">
        <v>36</v>
      </c>
      <c r="U66" s="2">
        <v>24</v>
      </c>
      <c r="V66" s="64">
        <f>SUM(R66:U66)</f>
        <v>119</v>
      </c>
      <c r="W66" s="2">
        <v>23</v>
      </c>
      <c r="X66" s="2">
        <v>31</v>
      </c>
      <c r="AA66" s="64">
        <f>SUM(W66:Z66)</f>
        <v>54</v>
      </c>
    </row>
    <row r="67" spans="2:29" x14ac:dyDescent="0.25">
      <c r="B67" s="19" t="s">
        <v>38</v>
      </c>
      <c r="C67" s="19">
        <v>9.5000000000000001E-2</v>
      </c>
      <c r="D67" s="19">
        <v>8.3000000000000004E-2</v>
      </c>
      <c r="E67" s="19">
        <v>0.13400000000000001</v>
      </c>
      <c r="F67" s="19">
        <v>4.8000000000000001E-2</v>
      </c>
      <c r="G67" s="65">
        <f>G66/G60</f>
        <v>8.9058524173027995E-2</v>
      </c>
      <c r="H67" s="19">
        <v>0.104</v>
      </c>
      <c r="I67" s="19">
        <v>0.14000000000000001</v>
      </c>
      <c r="J67" s="19">
        <v>0.16400000000000001</v>
      </c>
      <c r="K67" s="19">
        <v>9.1999999999999998E-2</v>
      </c>
      <c r="L67" s="65">
        <f>L66/L60</f>
        <v>0.12521150592216582</v>
      </c>
      <c r="M67" s="19">
        <v>8.3000000000000004E-2</v>
      </c>
      <c r="N67" s="19">
        <v>0.14699999999999999</v>
      </c>
      <c r="O67" s="19">
        <v>0.113</v>
      </c>
      <c r="P67" s="19">
        <v>7.9000000000000001E-2</v>
      </c>
      <c r="Q67" s="65">
        <f>Q66/Q60</f>
        <v>0.10704225352112676</v>
      </c>
      <c r="R67" s="19">
        <v>0.13300000000000001</v>
      </c>
      <c r="S67" s="19">
        <v>0.15</v>
      </c>
      <c r="T67" s="19">
        <v>0.16400000000000001</v>
      </c>
      <c r="U67" s="19">
        <v>0.107</v>
      </c>
      <c r="V67" s="65">
        <f>V66/V60</f>
        <v>0.14016489988221437</v>
      </c>
      <c r="W67" s="19">
        <v>0.106</v>
      </c>
      <c r="X67" s="19">
        <v>0.125</v>
      </c>
      <c r="Y67" s="19"/>
      <c r="Z67" s="19"/>
      <c r="AA67" s="65" t="e">
        <f>AA66/AA60</f>
        <v>#DIV/0!</v>
      </c>
    </row>
    <row r="68" spans="2:29" x14ac:dyDescent="0.25">
      <c r="B68" s="2" t="s">
        <v>58</v>
      </c>
      <c r="G68" s="64">
        <f>SUM(C68:F68)</f>
        <v>0</v>
      </c>
      <c r="L68" s="64">
        <f>SUM(H68:K68)</f>
        <v>0</v>
      </c>
      <c r="M68" s="2">
        <v>-15</v>
      </c>
      <c r="N68" s="2">
        <v>-2</v>
      </c>
      <c r="O68" s="2">
        <v>-11</v>
      </c>
      <c r="P68" s="2">
        <v>-18</v>
      </c>
      <c r="Q68" s="64">
        <f>SUM(M68:P68)</f>
        <v>-46</v>
      </c>
      <c r="R68" s="2">
        <v>-6</v>
      </c>
      <c r="S68" s="2">
        <v>2</v>
      </c>
      <c r="T68" s="2">
        <v>4</v>
      </c>
      <c r="U68" s="2">
        <v>-9</v>
      </c>
      <c r="V68" s="64">
        <f>SUM(R68:U68)</f>
        <v>-9</v>
      </c>
      <c r="W68" s="2">
        <v>-7</v>
      </c>
      <c r="X68" s="2">
        <v>0</v>
      </c>
      <c r="AA68" s="64">
        <f>SUM(W68:Z68)</f>
        <v>-7</v>
      </c>
      <c r="AC68" s="41"/>
    </row>
    <row r="69" spans="2:29" x14ac:dyDescent="0.25">
      <c r="B69" s="19" t="s">
        <v>34</v>
      </c>
      <c r="C69" s="19"/>
      <c r="D69" s="19"/>
      <c r="E69" s="19"/>
      <c r="F69" s="19"/>
      <c r="G69" s="65">
        <f>G68/G60</f>
        <v>0</v>
      </c>
      <c r="H69" s="25"/>
      <c r="I69" s="19"/>
      <c r="J69" s="19"/>
      <c r="K69" s="19"/>
      <c r="L69" s="65">
        <f>L68/L60</f>
        <v>0</v>
      </c>
      <c r="M69" s="19">
        <f>M68/M60</f>
        <v>-9.7402597402597407E-2</v>
      </c>
      <c r="N69" s="19">
        <f>N68/N60</f>
        <v>-1.0309278350515464E-2</v>
      </c>
      <c r="O69" s="19">
        <v>-6.3E-2</v>
      </c>
      <c r="P69" s="19">
        <v>-9.9000000000000005E-2</v>
      </c>
      <c r="Q69" s="65">
        <f>Q68/Q60</f>
        <v>-6.4788732394366194E-2</v>
      </c>
      <c r="R69" s="19">
        <v>-2.9000000000000001E-2</v>
      </c>
      <c r="S69" s="19">
        <f>S68/S60</f>
        <v>9.2165898617511521E-3</v>
      </c>
      <c r="T69" s="19">
        <v>1.9E-2</v>
      </c>
      <c r="U69" s="19">
        <v>-4.2000000000000003E-2</v>
      </c>
      <c r="V69" s="65">
        <f>V68/V60</f>
        <v>-1.0600706713780919E-2</v>
      </c>
      <c r="W69" s="19">
        <v>-0.03</v>
      </c>
      <c r="X69" s="19">
        <v>0</v>
      </c>
      <c r="Y69" s="19"/>
      <c r="Z69" s="19"/>
      <c r="AA69" s="65" t="e">
        <f>AA68/AA60</f>
        <v>#DIV/0!</v>
      </c>
    </row>
    <row r="70" spans="2:29" ht="20" thickBot="1" x14ac:dyDescent="0.3">
      <c r="B70" s="42" t="s">
        <v>125</v>
      </c>
      <c r="C70" s="43">
        <v>43</v>
      </c>
      <c r="D70" s="43">
        <v>45</v>
      </c>
      <c r="E70" s="43">
        <v>45</v>
      </c>
      <c r="F70" s="43">
        <v>50</v>
      </c>
      <c r="G70" s="51"/>
      <c r="H70" s="44">
        <v>51</v>
      </c>
      <c r="I70" s="43">
        <v>52</v>
      </c>
      <c r="J70" s="43">
        <v>54</v>
      </c>
      <c r="K70" s="43">
        <v>55</v>
      </c>
      <c r="L70" s="51"/>
      <c r="M70" s="43">
        <v>59</v>
      </c>
      <c r="N70" s="43">
        <v>62</v>
      </c>
      <c r="O70" s="43">
        <v>64</v>
      </c>
      <c r="P70" s="43">
        <v>67</v>
      </c>
      <c r="Q70" s="51"/>
      <c r="R70" s="43">
        <v>68</v>
      </c>
      <c r="S70" s="43">
        <v>72</v>
      </c>
      <c r="T70" s="43">
        <v>72</v>
      </c>
      <c r="U70" s="42">
        <v>73</v>
      </c>
      <c r="V70" s="48"/>
      <c r="W70" s="42">
        <v>75</v>
      </c>
      <c r="X70" s="42">
        <v>75</v>
      </c>
      <c r="Y70" s="42"/>
      <c r="Z70" s="42"/>
      <c r="AA70" s="48"/>
    </row>
  </sheetData>
  <pageMargins left="0.7" right="0.7" top="0.75" bottom="0.75" header="0.3" footer="0.3"/>
  <ignoredErrors>
    <ignoredError sqref="V10:AA10 T10:U10 Q10:S10 AA7 V7 Q7 V27 W27:Y27 Z27:AA27 T27 V24:V25 R27 W43 Y43:AA43 Z60:AA60 W60:Y60 T60:V60 Q60:R60 O60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AA86-0962-284B-AB06-6FEC823C85AD}">
  <dimension ref="A1:M15"/>
  <sheetViews>
    <sheetView showGridLines="0" zoomScale="90" zoomScaleNormal="90" workbookViewId="0">
      <selection activeCell="L16" sqref="L16"/>
    </sheetView>
  </sheetViews>
  <sheetFormatPr baseColWidth="10" defaultRowHeight="26" x14ac:dyDescent="0.3"/>
  <cols>
    <col min="1" max="2" width="10.83203125" style="20"/>
    <col min="3" max="3" width="29.5" style="20" bestFit="1" customWidth="1"/>
    <col min="4" max="4" width="22.5" style="20" customWidth="1"/>
    <col min="5" max="5" width="22.83203125" style="20" customWidth="1"/>
    <col min="6" max="6" width="22.6640625" style="20" customWidth="1"/>
    <col min="7" max="7" width="17.83203125" style="20" customWidth="1"/>
    <col min="8" max="16384" width="10.83203125" style="20"/>
  </cols>
  <sheetData>
    <row r="1" spans="1:13" x14ac:dyDescent="0.3">
      <c r="I1"/>
      <c r="J1"/>
      <c r="K1"/>
      <c r="L1"/>
      <c r="M1"/>
    </row>
    <row r="2" spans="1:13" x14ac:dyDescent="0.3">
      <c r="A2" s="20" t="s">
        <v>145</v>
      </c>
      <c r="D2" s="73"/>
      <c r="I2"/>
      <c r="J2"/>
      <c r="K2"/>
      <c r="L2"/>
      <c r="M2"/>
    </row>
    <row r="3" spans="1:13" x14ac:dyDescent="0.3">
      <c r="A3" s="73">
        <f>Modell!AF13</f>
        <v>976.82999999999947</v>
      </c>
      <c r="I3"/>
      <c r="J3"/>
      <c r="K3"/>
      <c r="L3"/>
      <c r="M3"/>
    </row>
    <row r="4" spans="1:13" x14ac:dyDescent="0.3">
      <c r="C4" s="52" t="s">
        <v>39</v>
      </c>
      <c r="D4" s="52" t="s">
        <v>145</v>
      </c>
      <c r="E4" s="52" t="s">
        <v>27</v>
      </c>
      <c r="F4" s="52" t="s">
        <v>140</v>
      </c>
      <c r="G4" s="52" t="s">
        <v>141</v>
      </c>
      <c r="I4"/>
      <c r="J4"/>
      <c r="K4"/>
      <c r="L4"/>
      <c r="M4"/>
    </row>
    <row r="5" spans="1:13" x14ac:dyDescent="0.3">
      <c r="C5" s="52" t="s">
        <v>131</v>
      </c>
      <c r="D5" s="54">
        <v>850</v>
      </c>
      <c r="E5" s="52">
        <v>13</v>
      </c>
      <c r="F5" s="54">
        <f>D5*E5</f>
        <v>11050</v>
      </c>
      <c r="G5" s="55">
        <f>F5/Modell!$B$5</f>
        <v>77.371123864237418</v>
      </c>
      <c r="I5"/>
      <c r="J5"/>
      <c r="K5"/>
      <c r="L5"/>
      <c r="M5"/>
    </row>
    <row r="6" spans="1:13" x14ac:dyDescent="0.3">
      <c r="C6" s="52" t="s">
        <v>139</v>
      </c>
      <c r="D6" s="54">
        <v>90</v>
      </c>
      <c r="E6" s="52">
        <v>6</v>
      </c>
      <c r="F6" s="54">
        <f>D6*E6</f>
        <v>540</v>
      </c>
      <c r="G6" s="55">
        <f>F6/Modell!$B$5</f>
        <v>3.7810322974378465</v>
      </c>
      <c r="I6"/>
      <c r="J6"/>
      <c r="K6"/>
      <c r="L6"/>
      <c r="M6"/>
    </row>
    <row r="7" spans="1:13" x14ac:dyDescent="0.3">
      <c r="C7" s="52" t="s">
        <v>137</v>
      </c>
      <c r="D7" s="54">
        <v>120</v>
      </c>
      <c r="E7" s="52">
        <v>7</v>
      </c>
      <c r="F7" s="54">
        <f t="shared" ref="F7:F8" si="0">D7*E7</f>
        <v>840</v>
      </c>
      <c r="G7" s="55">
        <f>F7/Modell!$B$5</f>
        <v>5.8816057960144281</v>
      </c>
      <c r="I7"/>
      <c r="J7"/>
      <c r="K7"/>
      <c r="L7"/>
      <c r="M7"/>
    </row>
    <row r="8" spans="1:13" x14ac:dyDescent="0.3">
      <c r="C8" s="52" t="s">
        <v>138</v>
      </c>
      <c r="D8" s="54">
        <v>-20</v>
      </c>
      <c r="E8" s="52">
        <v>5</v>
      </c>
      <c r="F8" s="54">
        <f t="shared" si="0"/>
        <v>-100</v>
      </c>
      <c r="G8" s="55">
        <f>F8/Modell!$B$5</f>
        <v>-0.70019116619219379</v>
      </c>
      <c r="I8"/>
      <c r="J8"/>
      <c r="K8"/>
      <c r="L8"/>
      <c r="M8"/>
    </row>
    <row r="9" spans="1:13" x14ac:dyDescent="0.3">
      <c r="C9" s="53" t="s">
        <v>142</v>
      </c>
      <c r="D9" s="56">
        <f>SUM(D5:D8)</f>
        <v>1040</v>
      </c>
      <c r="E9" s="53"/>
      <c r="F9" s="56">
        <f>SUM(F5:F8)</f>
        <v>12330</v>
      </c>
      <c r="G9" s="57">
        <f>SUM(G5:G8)</f>
        <v>86.333570791497493</v>
      </c>
      <c r="I9"/>
      <c r="J9"/>
      <c r="K9"/>
      <c r="L9"/>
      <c r="M9"/>
    </row>
    <row r="10" spans="1:13" x14ac:dyDescent="0.3">
      <c r="C10" s="58"/>
      <c r="D10" s="58"/>
      <c r="E10" s="58"/>
      <c r="F10" s="59"/>
      <c r="G10" s="60"/>
      <c r="I10"/>
      <c r="J10"/>
      <c r="K10"/>
      <c r="L10"/>
      <c r="M10"/>
    </row>
    <row r="11" spans="1:13" x14ac:dyDescent="0.3">
      <c r="C11" s="52" t="s">
        <v>74</v>
      </c>
      <c r="D11" s="52"/>
      <c r="E11" s="52"/>
      <c r="F11" s="54">
        <f>Modell!B7</f>
        <v>648</v>
      </c>
      <c r="G11" s="55">
        <f>F11/Modell!$B$5</f>
        <v>4.537238756925416</v>
      </c>
      <c r="I11"/>
      <c r="J11"/>
      <c r="K11"/>
      <c r="L11"/>
      <c r="M11"/>
    </row>
    <row r="12" spans="1:13" x14ac:dyDescent="0.3">
      <c r="C12" s="52" t="s">
        <v>143</v>
      </c>
      <c r="D12" s="52"/>
      <c r="E12" s="52"/>
      <c r="F12" s="54">
        <f>Modell!B8</f>
        <v>3653</v>
      </c>
      <c r="G12" s="55">
        <f>-F12/Modell!$B$5</f>
        <v>-25.577983301000838</v>
      </c>
      <c r="I12"/>
      <c r="J12"/>
      <c r="K12"/>
      <c r="L12"/>
      <c r="M12"/>
    </row>
    <row r="13" spans="1:13" x14ac:dyDescent="0.3">
      <c r="C13" s="61"/>
      <c r="D13" s="61"/>
      <c r="E13" s="61"/>
      <c r="F13" s="63"/>
      <c r="G13" s="62"/>
      <c r="I13"/>
      <c r="J13"/>
      <c r="K13"/>
      <c r="L13"/>
      <c r="M13"/>
    </row>
    <row r="14" spans="1:13" x14ac:dyDescent="0.3">
      <c r="C14" s="53" t="s">
        <v>144</v>
      </c>
      <c r="D14" s="53"/>
      <c r="E14" s="53"/>
      <c r="F14" s="56">
        <f>F9+F11-F12</f>
        <v>9325</v>
      </c>
      <c r="G14" s="57">
        <f>SUM(G9:G12)</f>
        <v>65.29282624742207</v>
      </c>
      <c r="I14"/>
      <c r="J14"/>
      <c r="K14"/>
      <c r="L14"/>
      <c r="M14"/>
    </row>
    <row r="15" spans="1:13" x14ac:dyDescent="0.3">
      <c r="C15" s="22"/>
      <c r="D15" s="22"/>
      <c r="E15" s="22"/>
      <c r="F15" s="23"/>
      <c r="G15" s="24"/>
      <c r="I15"/>
      <c r="J15"/>
      <c r="K15"/>
      <c r="L15"/>
      <c r="M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7"/>
  <sheetViews>
    <sheetView showGridLines="0" workbookViewId="0">
      <selection activeCell="E17" sqref="E17"/>
    </sheetView>
  </sheetViews>
  <sheetFormatPr baseColWidth="10" defaultRowHeight="16" x14ac:dyDescent="0.2"/>
  <cols>
    <col min="3" max="3" width="39.6640625" bestFit="1" customWidth="1"/>
    <col min="4" max="4" width="21.6640625" customWidth="1"/>
    <col min="5" max="5" width="20.83203125" customWidth="1"/>
    <col min="6" max="6" width="19" customWidth="1"/>
    <col min="7" max="7" width="18.6640625" bestFit="1" customWidth="1"/>
  </cols>
  <sheetData>
    <row r="4" spans="3:6" ht="62" x14ac:dyDescent="0.7">
      <c r="C4" s="7"/>
      <c r="D4" s="7">
        <v>2026</v>
      </c>
      <c r="E4" s="7">
        <v>2027</v>
      </c>
      <c r="F4" s="7">
        <v>2028</v>
      </c>
    </row>
    <row r="5" spans="3:6" ht="62" x14ac:dyDescent="0.7">
      <c r="C5" s="7" t="s">
        <v>121</v>
      </c>
      <c r="D5" s="39">
        <f>Modell!$B$9/Modell!AF9</f>
        <v>5.7318893448176818</v>
      </c>
      <c r="E5" s="39">
        <f>Modell!$B$9/Modell!AG9</f>
        <v>5.3533842734599917</v>
      </c>
      <c r="F5" s="39">
        <f>Modell!$B$9/Modell!AH9</f>
        <v>5.0006069856217454</v>
      </c>
    </row>
    <row r="6" spans="3:6" ht="62" x14ac:dyDescent="0.7">
      <c r="C6" s="7" t="s">
        <v>27</v>
      </c>
      <c r="D6" s="39">
        <f>Modell!$B$9/Modell!AF13</f>
        <v>10.825180860538689</v>
      </c>
      <c r="E6" s="39">
        <f>Modell!$B$9/Modell!AG13</f>
        <v>9.9970644388237968</v>
      </c>
      <c r="F6" s="39">
        <f>Modell!$B$9/Modell!AH13</f>
        <v>8.9015742434115737</v>
      </c>
    </row>
    <row r="7" spans="3:6" ht="62" x14ac:dyDescent="0.7">
      <c r="C7" s="7" t="s">
        <v>28</v>
      </c>
      <c r="D7" s="39">
        <f>Modell!$B$4/Modell!AF20</f>
        <v>13.447454535380841</v>
      </c>
      <c r="E7" s="39">
        <f>Modell!$B$4/Modell!AG20</f>
        <v>12.139296462113936</v>
      </c>
      <c r="F7" s="39">
        <f>Modell!$B$4/Modell!AH20</f>
        <v>10.458478993908868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GS29"/>
  <sheetViews>
    <sheetView showGridLines="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M19" sqref="M19"/>
    </sheetView>
  </sheetViews>
  <sheetFormatPr baseColWidth="10" defaultRowHeight="19" x14ac:dyDescent="0.25"/>
  <cols>
    <col min="1" max="1" width="10.83203125" style="2"/>
    <col min="2" max="2" width="22.6640625" style="3" customWidth="1"/>
    <col min="3" max="3" width="31.5" style="2" customWidth="1"/>
    <col min="4" max="20" width="10.83203125" style="2"/>
    <col min="21" max="21" width="14.5" style="2" customWidth="1"/>
    <col min="22" max="22" width="12.1640625" style="2" bestFit="1" customWidth="1"/>
    <col min="23" max="16384" width="10.83203125" style="2"/>
  </cols>
  <sheetData>
    <row r="3" spans="1:19" x14ac:dyDescent="0.25">
      <c r="A3" s="1" t="s">
        <v>35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  <c r="R3" s="4" t="s">
        <v>25</v>
      </c>
      <c r="S3" s="4" t="s">
        <v>26</v>
      </c>
    </row>
    <row r="4" spans="1:19" x14ac:dyDescent="0.25">
      <c r="A4" s="1" t="s">
        <v>123</v>
      </c>
      <c r="C4" s="1" t="s">
        <v>49</v>
      </c>
      <c r="D4" s="16">
        <v>3860</v>
      </c>
      <c r="E4" s="16">
        <v>4728</v>
      </c>
      <c r="F4" s="16">
        <v>5349</v>
      </c>
      <c r="G4" s="16">
        <v>5985</v>
      </c>
      <c r="H4" s="16">
        <v>6522</v>
      </c>
      <c r="I4" s="16">
        <v>7200</v>
      </c>
      <c r="J4" s="16">
        <f>I4*1.06</f>
        <v>7632</v>
      </c>
      <c r="K4" s="16">
        <f>J4*1</f>
        <v>7632</v>
      </c>
      <c r="L4" s="16">
        <f t="shared" ref="L4:S4" si="0">K4*1</f>
        <v>7632</v>
      </c>
      <c r="M4" s="16">
        <f t="shared" si="0"/>
        <v>7632</v>
      </c>
      <c r="N4" s="16">
        <f t="shared" si="0"/>
        <v>7632</v>
      </c>
      <c r="O4" s="16">
        <f t="shared" si="0"/>
        <v>7632</v>
      </c>
      <c r="P4" s="16">
        <f t="shared" si="0"/>
        <v>7632</v>
      </c>
      <c r="Q4" s="16">
        <f t="shared" si="0"/>
        <v>7632</v>
      </c>
      <c r="R4" s="16">
        <f t="shared" si="0"/>
        <v>7632</v>
      </c>
      <c r="S4" s="16">
        <f t="shared" si="0"/>
        <v>7632</v>
      </c>
    </row>
    <row r="5" spans="1:19" x14ac:dyDescent="0.25">
      <c r="A5" s="36">
        <f>V25</f>
        <v>35.85409082962169</v>
      </c>
      <c r="C5" s="2" t="s">
        <v>50</v>
      </c>
      <c r="D5" s="15">
        <v>-953</v>
      </c>
      <c r="E5" s="15">
        <v>-1088</v>
      </c>
      <c r="F5" s="15">
        <v>-1279</v>
      </c>
      <c r="G5" s="15">
        <v>-1447</v>
      </c>
      <c r="H5" s="15">
        <v>-1591</v>
      </c>
      <c r="I5" s="15">
        <v>-1821</v>
      </c>
      <c r="J5" s="15">
        <f>J4*-0.24</f>
        <v>-1831.6799999999998</v>
      </c>
      <c r="K5" s="15">
        <f>K4*-0.26</f>
        <v>-1984.3200000000002</v>
      </c>
      <c r="L5" s="15">
        <f t="shared" ref="L5:S5" si="1">L4*-0.26</f>
        <v>-1984.3200000000002</v>
      </c>
      <c r="M5" s="15">
        <f t="shared" si="1"/>
        <v>-1984.3200000000002</v>
      </c>
      <c r="N5" s="15">
        <f t="shared" si="1"/>
        <v>-1984.3200000000002</v>
      </c>
      <c r="O5" s="15">
        <f t="shared" si="1"/>
        <v>-1984.3200000000002</v>
      </c>
      <c r="P5" s="15">
        <f t="shared" si="1"/>
        <v>-1984.3200000000002</v>
      </c>
      <c r="Q5" s="15">
        <f t="shared" si="1"/>
        <v>-1984.3200000000002</v>
      </c>
      <c r="R5" s="15">
        <f t="shared" si="1"/>
        <v>-1984.3200000000002</v>
      </c>
      <c r="S5" s="15">
        <f t="shared" si="1"/>
        <v>-1984.3200000000002</v>
      </c>
    </row>
    <row r="6" spans="1:19" x14ac:dyDescent="0.25">
      <c r="A6" s="14">
        <f>V26</f>
        <v>-0.32350772019581719</v>
      </c>
      <c r="C6" s="2" t="s">
        <v>51</v>
      </c>
      <c r="D6" s="15">
        <f t="shared" ref="D6:H6" si="2">SUM(D4:D5)</f>
        <v>2907</v>
      </c>
      <c r="E6" s="15">
        <f t="shared" si="2"/>
        <v>3640</v>
      </c>
      <c r="F6" s="15">
        <f t="shared" si="2"/>
        <v>4070</v>
      </c>
      <c r="G6" s="15">
        <f t="shared" si="2"/>
        <v>4538</v>
      </c>
      <c r="H6" s="15">
        <f t="shared" si="2"/>
        <v>4931</v>
      </c>
      <c r="I6" s="15">
        <f>SUM(I4:I5)</f>
        <v>5379</v>
      </c>
      <c r="J6" s="15">
        <f t="shared" ref="J6" si="3">SUM(J4:J5)</f>
        <v>5800.32</v>
      </c>
      <c r="K6" s="15">
        <f t="shared" ref="K6:S6" si="4">SUM(K4:K5)</f>
        <v>5647.68</v>
      </c>
      <c r="L6" s="15">
        <f t="shared" si="4"/>
        <v>5647.68</v>
      </c>
      <c r="M6" s="15">
        <f t="shared" si="4"/>
        <v>5647.68</v>
      </c>
      <c r="N6" s="15">
        <f t="shared" si="4"/>
        <v>5647.68</v>
      </c>
      <c r="O6" s="15">
        <f t="shared" si="4"/>
        <v>5647.68</v>
      </c>
      <c r="P6" s="15">
        <f t="shared" si="4"/>
        <v>5647.68</v>
      </c>
      <c r="Q6" s="15">
        <f t="shared" si="4"/>
        <v>5647.68</v>
      </c>
      <c r="R6" s="15">
        <f t="shared" si="4"/>
        <v>5647.68</v>
      </c>
      <c r="S6" s="15">
        <f t="shared" si="4"/>
        <v>5647.68</v>
      </c>
    </row>
    <row r="7" spans="1:19" x14ac:dyDescent="0.25">
      <c r="C7" s="2" t="s">
        <v>52</v>
      </c>
      <c r="D7" s="15">
        <v>-468</v>
      </c>
      <c r="E7" s="15">
        <v>-629</v>
      </c>
      <c r="F7" s="15">
        <v>-667</v>
      </c>
      <c r="G7" s="15">
        <v>-682</v>
      </c>
      <c r="H7" s="15">
        <v>-711</v>
      </c>
      <c r="I7" s="15">
        <v>-805</v>
      </c>
      <c r="J7" s="15">
        <f>I7*1.08</f>
        <v>-869.40000000000009</v>
      </c>
      <c r="K7" s="15">
        <f>J7*1</f>
        <v>-869.40000000000009</v>
      </c>
      <c r="L7" s="15">
        <f>K7</f>
        <v>-869.40000000000009</v>
      </c>
      <c r="M7" s="15">
        <f>L7*0.99</f>
        <v>-860.70600000000013</v>
      </c>
      <c r="N7" s="15">
        <f>M7*0.99</f>
        <v>-852.09894000000008</v>
      </c>
      <c r="O7" s="15">
        <f t="shared" ref="O7:S7" si="5">N7*0.99</f>
        <v>-843.57795060000012</v>
      </c>
      <c r="P7" s="15">
        <f t="shared" si="5"/>
        <v>-835.1421710940001</v>
      </c>
      <c r="Q7" s="15">
        <f t="shared" si="5"/>
        <v>-826.79074938306007</v>
      </c>
      <c r="R7" s="15">
        <f t="shared" si="5"/>
        <v>-818.52284188922943</v>
      </c>
      <c r="S7" s="15">
        <f t="shared" si="5"/>
        <v>-810.33761347033715</v>
      </c>
    </row>
    <row r="8" spans="1:19" x14ac:dyDescent="0.25">
      <c r="C8" s="2" t="s">
        <v>53</v>
      </c>
      <c r="D8" s="15">
        <v>-1505</v>
      </c>
      <c r="E8" s="15">
        <v>-1823</v>
      </c>
      <c r="F8" s="15">
        <v>-2186</v>
      </c>
      <c r="G8" s="15">
        <v>-2415</v>
      </c>
      <c r="H8" s="15">
        <v>-2624</v>
      </c>
      <c r="I8" s="15">
        <v>-2886</v>
      </c>
      <c r="J8" s="15">
        <f>I8*1.08</f>
        <v>-3116.88</v>
      </c>
      <c r="K8" s="15">
        <f>J8*1</f>
        <v>-3116.88</v>
      </c>
      <c r="L8" s="15">
        <f>K8</f>
        <v>-3116.88</v>
      </c>
      <c r="M8" s="15">
        <f t="shared" ref="M8" si="6">L8</f>
        <v>-3116.88</v>
      </c>
      <c r="N8" s="15">
        <f>M8</f>
        <v>-3116.88</v>
      </c>
      <c r="O8" s="15">
        <f t="shared" ref="O8:S8" si="7">N8</f>
        <v>-3116.88</v>
      </c>
      <c r="P8" s="15">
        <f t="shared" si="7"/>
        <v>-3116.88</v>
      </c>
      <c r="Q8" s="15">
        <f t="shared" si="7"/>
        <v>-3116.88</v>
      </c>
      <c r="R8" s="15">
        <f t="shared" si="7"/>
        <v>-3116.88</v>
      </c>
      <c r="S8" s="15">
        <f t="shared" si="7"/>
        <v>-3116.88</v>
      </c>
    </row>
    <row r="9" spans="1:19" x14ac:dyDescent="0.25">
      <c r="C9" s="1" t="s">
        <v>54</v>
      </c>
      <c r="D9" s="16">
        <f t="shared" ref="D9:H9" si="8">SUM(D6:D8)</f>
        <v>934</v>
      </c>
      <c r="E9" s="16">
        <f t="shared" si="8"/>
        <v>1188</v>
      </c>
      <c r="F9" s="16">
        <f t="shared" si="8"/>
        <v>1217</v>
      </c>
      <c r="G9" s="16">
        <f t="shared" si="8"/>
        <v>1441</v>
      </c>
      <c r="H9" s="16">
        <f t="shared" si="8"/>
        <v>1596</v>
      </c>
      <c r="I9" s="16">
        <f>SUM(I6:I8)</f>
        <v>1688</v>
      </c>
      <c r="J9" s="16">
        <f t="shared" ref="J9" si="9">SUM(J6:J8)</f>
        <v>1814.04</v>
      </c>
      <c r="K9" s="16">
        <f t="shared" ref="K9:S9" si="10">SUM(K6:K8)</f>
        <v>1661.4000000000005</v>
      </c>
      <c r="L9" s="16">
        <f t="shared" si="10"/>
        <v>1661.4000000000005</v>
      </c>
      <c r="M9" s="16">
        <f t="shared" si="10"/>
        <v>1670.0940000000001</v>
      </c>
      <c r="N9" s="16">
        <f t="shared" si="10"/>
        <v>1678.7010600000003</v>
      </c>
      <c r="O9" s="16">
        <f t="shared" si="10"/>
        <v>1687.2220494000003</v>
      </c>
      <c r="P9" s="16">
        <f t="shared" si="10"/>
        <v>1695.6578289059998</v>
      </c>
      <c r="Q9" s="16">
        <f t="shared" si="10"/>
        <v>1704.0092506169403</v>
      </c>
      <c r="R9" s="16">
        <f t="shared" si="10"/>
        <v>1712.2771581107709</v>
      </c>
      <c r="S9" s="16">
        <f t="shared" si="10"/>
        <v>1720.4623865296626</v>
      </c>
    </row>
    <row r="10" spans="1:19" x14ac:dyDescent="0.25">
      <c r="C10" s="2" t="s">
        <v>55</v>
      </c>
      <c r="D10" s="15">
        <v>-445</v>
      </c>
      <c r="E10" s="15">
        <v>-464</v>
      </c>
      <c r="F10" s="15">
        <v>-556</v>
      </c>
      <c r="G10" s="15">
        <v>-622</v>
      </c>
      <c r="H10" s="15">
        <v>-649</v>
      </c>
      <c r="I10" s="15">
        <v>-702</v>
      </c>
      <c r="J10" s="15">
        <v>-728</v>
      </c>
      <c r="K10" s="15">
        <f>J10*1</f>
        <v>-728</v>
      </c>
      <c r="L10" s="15">
        <f>K10*1</f>
        <v>-728</v>
      </c>
      <c r="M10" s="15">
        <f t="shared" ref="M10:S10" si="11">L10*1.01</f>
        <v>-735.28</v>
      </c>
      <c r="N10" s="15">
        <f t="shared" si="11"/>
        <v>-742.63279999999997</v>
      </c>
      <c r="O10" s="15">
        <f t="shared" si="11"/>
        <v>-750.05912799999999</v>
      </c>
      <c r="P10" s="15">
        <f t="shared" si="11"/>
        <v>-757.55971927999997</v>
      </c>
      <c r="Q10" s="15">
        <f t="shared" si="11"/>
        <v>-765.13531647280001</v>
      </c>
      <c r="R10" s="15">
        <f t="shared" si="11"/>
        <v>-772.78666963752801</v>
      </c>
      <c r="S10" s="15">
        <f t="shared" si="11"/>
        <v>-780.51453633390327</v>
      </c>
    </row>
    <row r="11" spans="1:19" x14ac:dyDescent="0.25">
      <c r="C11" s="1" t="s">
        <v>56</v>
      </c>
      <c r="D11" s="16">
        <f t="shared" ref="D11:H11" si="12">SUM(D9:D10)</f>
        <v>489</v>
      </c>
      <c r="E11" s="16">
        <f t="shared" si="12"/>
        <v>724</v>
      </c>
      <c r="F11" s="16">
        <f t="shared" si="12"/>
        <v>661</v>
      </c>
      <c r="G11" s="16">
        <f t="shared" si="12"/>
        <v>819</v>
      </c>
      <c r="H11" s="16">
        <f t="shared" si="12"/>
        <v>947</v>
      </c>
      <c r="I11" s="16">
        <f>SUM(I9:I10)</f>
        <v>986</v>
      </c>
      <c r="J11" s="16">
        <f t="shared" ref="J11" si="13">SUM(J9:J10)</f>
        <v>1086.04</v>
      </c>
      <c r="K11" s="16">
        <f t="shared" ref="K11:S11" si="14">SUM(K9:K10)</f>
        <v>933.40000000000055</v>
      </c>
      <c r="L11" s="16">
        <f t="shared" si="14"/>
        <v>933.40000000000055</v>
      </c>
      <c r="M11" s="16">
        <f t="shared" si="14"/>
        <v>934.81400000000008</v>
      </c>
      <c r="N11" s="16">
        <f t="shared" si="14"/>
        <v>936.06826000000035</v>
      </c>
      <c r="O11" s="16">
        <f t="shared" si="14"/>
        <v>937.1629214000003</v>
      </c>
      <c r="P11" s="16">
        <f t="shared" si="14"/>
        <v>938.09810962599988</v>
      </c>
      <c r="Q11" s="16">
        <f t="shared" si="14"/>
        <v>938.87393414414032</v>
      </c>
      <c r="R11" s="16">
        <f t="shared" si="14"/>
        <v>939.49048847324286</v>
      </c>
      <c r="S11" s="16">
        <f t="shared" si="14"/>
        <v>939.94785019575932</v>
      </c>
    </row>
    <row r="12" spans="1:19" x14ac:dyDescent="0.25">
      <c r="C12" s="2" t="s">
        <v>57</v>
      </c>
      <c r="D12" s="15">
        <v>-87</v>
      </c>
      <c r="E12" s="15">
        <v>-91</v>
      </c>
      <c r="F12" s="15">
        <v>-109</v>
      </c>
      <c r="G12" s="15">
        <v>-123</v>
      </c>
      <c r="H12" s="15">
        <v>-128</v>
      </c>
      <c r="I12" s="15">
        <v>-124</v>
      </c>
      <c r="J12" s="15">
        <v>-130</v>
      </c>
      <c r="K12" s="15">
        <f>J12*1</f>
        <v>-130</v>
      </c>
      <c r="L12" s="15">
        <f>K12*1</f>
        <v>-130</v>
      </c>
      <c r="M12" s="15">
        <f>L12*1</f>
        <v>-130</v>
      </c>
      <c r="N12" s="15">
        <f t="shared" ref="N12:S12" si="15">M12*1</f>
        <v>-130</v>
      </c>
      <c r="O12" s="15">
        <f t="shared" si="15"/>
        <v>-130</v>
      </c>
      <c r="P12" s="15">
        <f t="shared" si="15"/>
        <v>-130</v>
      </c>
      <c r="Q12" s="15">
        <f t="shared" si="15"/>
        <v>-130</v>
      </c>
      <c r="R12" s="15">
        <f t="shared" si="15"/>
        <v>-130</v>
      </c>
      <c r="S12" s="15">
        <f t="shared" si="15"/>
        <v>-130</v>
      </c>
    </row>
    <row r="13" spans="1:19" x14ac:dyDescent="0.25">
      <c r="C13" s="1" t="s">
        <v>58</v>
      </c>
      <c r="D13" s="16">
        <f t="shared" ref="D13:H13" si="16">SUM(D11:D12)</f>
        <v>402</v>
      </c>
      <c r="E13" s="16">
        <f t="shared" si="16"/>
        <v>633</v>
      </c>
      <c r="F13" s="16">
        <f t="shared" si="16"/>
        <v>552</v>
      </c>
      <c r="G13" s="16">
        <f t="shared" si="16"/>
        <v>696</v>
      </c>
      <c r="H13" s="16">
        <f t="shared" si="16"/>
        <v>819</v>
      </c>
      <c r="I13" s="16">
        <f>SUM(I11:I12)</f>
        <v>862</v>
      </c>
      <c r="J13" s="16">
        <f t="shared" ref="J13" si="17">SUM(J11:J12)</f>
        <v>956.04</v>
      </c>
      <c r="K13" s="16">
        <f t="shared" ref="K13:S13" si="18">SUM(K11:K12)</f>
        <v>803.40000000000055</v>
      </c>
      <c r="L13" s="16">
        <f t="shared" si="18"/>
        <v>803.40000000000055</v>
      </c>
      <c r="M13" s="16">
        <f t="shared" si="18"/>
        <v>804.81400000000008</v>
      </c>
      <c r="N13" s="16">
        <f t="shared" si="18"/>
        <v>806.06826000000035</v>
      </c>
      <c r="O13" s="16">
        <f t="shared" si="18"/>
        <v>807.1629214000003</v>
      </c>
      <c r="P13" s="16">
        <f t="shared" si="18"/>
        <v>808.09810962599988</v>
      </c>
      <c r="Q13" s="16">
        <f t="shared" si="18"/>
        <v>808.87393414414032</v>
      </c>
      <c r="R13" s="16">
        <f t="shared" si="18"/>
        <v>809.49048847324286</v>
      </c>
      <c r="S13" s="16">
        <f t="shared" si="18"/>
        <v>809.94785019575932</v>
      </c>
    </row>
    <row r="14" spans="1:19" x14ac:dyDescent="0.25">
      <c r="C14" s="2" t="s">
        <v>59</v>
      </c>
      <c r="D14" s="15">
        <v>98</v>
      </c>
      <c r="E14" s="15">
        <v>148</v>
      </c>
      <c r="F14" s="15">
        <v>185</v>
      </c>
      <c r="G14" s="15">
        <v>273</v>
      </c>
      <c r="H14" s="15">
        <v>326</v>
      </c>
      <c r="I14" s="15">
        <v>321</v>
      </c>
      <c r="J14" s="15">
        <f>I14*1.02</f>
        <v>327.42</v>
      </c>
      <c r="K14" s="15">
        <f>J14*1</f>
        <v>327.42</v>
      </c>
      <c r="L14" s="15">
        <f t="shared" ref="L14:S14" si="19">K14*1</f>
        <v>327.42</v>
      </c>
      <c r="M14" s="15">
        <f t="shared" si="19"/>
        <v>327.42</v>
      </c>
      <c r="N14" s="15">
        <f t="shared" si="19"/>
        <v>327.42</v>
      </c>
      <c r="O14" s="15">
        <f t="shared" si="19"/>
        <v>327.42</v>
      </c>
      <c r="P14" s="15">
        <f t="shared" si="19"/>
        <v>327.42</v>
      </c>
      <c r="Q14" s="15">
        <f t="shared" si="19"/>
        <v>327.42</v>
      </c>
      <c r="R14" s="15">
        <f t="shared" si="19"/>
        <v>327.42</v>
      </c>
      <c r="S14" s="15">
        <f t="shared" si="19"/>
        <v>327.42</v>
      </c>
    </row>
    <row r="15" spans="1:19" x14ac:dyDescent="0.25">
      <c r="C15" s="2" t="s">
        <v>60</v>
      </c>
      <c r="D15" s="15">
        <v>-636</v>
      </c>
      <c r="E15" s="15">
        <v>-618</v>
      </c>
      <c r="F15" s="15">
        <v>-322</v>
      </c>
      <c r="G15" s="15">
        <v>-554</v>
      </c>
      <c r="H15" s="15">
        <v>-652</v>
      </c>
      <c r="I15" s="15">
        <v>-593</v>
      </c>
      <c r="J15" s="15">
        <f>I15*1.02</f>
        <v>-604.86</v>
      </c>
      <c r="K15" s="15">
        <f>J15*1</f>
        <v>-604.86</v>
      </c>
      <c r="L15" s="15">
        <f t="shared" ref="L15:S15" si="20">K15*1</f>
        <v>-604.86</v>
      </c>
      <c r="M15" s="15">
        <f t="shared" si="20"/>
        <v>-604.86</v>
      </c>
      <c r="N15" s="15">
        <f t="shared" si="20"/>
        <v>-604.86</v>
      </c>
      <c r="O15" s="15">
        <f t="shared" si="20"/>
        <v>-604.86</v>
      </c>
      <c r="P15" s="15">
        <f t="shared" si="20"/>
        <v>-604.86</v>
      </c>
      <c r="Q15" s="15">
        <f t="shared" si="20"/>
        <v>-604.86</v>
      </c>
      <c r="R15" s="15">
        <f t="shared" si="20"/>
        <v>-604.86</v>
      </c>
      <c r="S15" s="15">
        <f t="shared" si="20"/>
        <v>-604.86</v>
      </c>
    </row>
    <row r="16" spans="1:19" x14ac:dyDescent="0.25">
      <c r="C16" s="2" t="s">
        <v>61</v>
      </c>
      <c r="D16" s="15">
        <f t="shared" ref="D16:H16" si="21">SUM(D13:D15)</f>
        <v>-136</v>
      </c>
      <c r="E16" s="15">
        <f t="shared" si="21"/>
        <v>163</v>
      </c>
      <c r="F16" s="15">
        <f t="shared" si="21"/>
        <v>415</v>
      </c>
      <c r="G16" s="15">
        <f t="shared" si="21"/>
        <v>415</v>
      </c>
      <c r="H16" s="15">
        <f t="shared" si="21"/>
        <v>493</v>
      </c>
      <c r="I16" s="15">
        <f>SUM(I13:I15)</f>
        <v>590</v>
      </c>
      <c r="J16" s="15">
        <f t="shared" ref="J16" si="22">SUM(J13:J15)</f>
        <v>678.6</v>
      </c>
      <c r="K16" s="15">
        <f t="shared" ref="K16:S16" si="23">SUM(K13:K15)</f>
        <v>525.9600000000006</v>
      </c>
      <c r="L16" s="15">
        <f t="shared" si="23"/>
        <v>525.9600000000006</v>
      </c>
      <c r="M16" s="15">
        <f t="shared" si="23"/>
        <v>527.37400000000014</v>
      </c>
      <c r="N16" s="15">
        <f t="shared" si="23"/>
        <v>528.6282600000003</v>
      </c>
      <c r="O16" s="15">
        <f t="shared" si="23"/>
        <v>529.72292140000025</v>
      </c>
      <c r="P16" s="15">
        <f t="shared" si="23"/>
        <v>530.65810962599983</v>
      </c>
      <c r="Q16" s="15">
        <f t="shared" si="23"/>
        <v>531.43393414414038</v>
      </c>
      <c r="R16" s="15">
        <f t="shared" si="23"/>
        <v>532.05048847324281</v>
      </c>
      <c r="S16" s="15">
        <f t="shared" si="23"/>
        <v>532.50785019575926</v>
      </c>
    </row>
    <row r="17" spans="3:201" x14ac:dyDescent="0.25">
      <c r="C17" s="2" t="s">
        <v>62</v>
      </c>
      <c r="D17" s="15">
        <v>-59</v>
      </c>
      <c r="E17" s="15">
        <v>-112</v>
      </c>
      <c r="F17" s="15">
        <v>-87</v>
      </c>
      <c r="G17" s="15">
        <v>-104</v>
      </c>
      <c r="H17" s="15">
        <v>-127</v>
      </c>
      <c r="I17" s="15">
        <v>-136</v>
      </c>
      <c r="J17" s="15">
        <f>J16*-0.2</f>
        <v>-135.72</v>
      </c>
      <c r="K17" s="15">
        <f t="shared" ref="K17:S17" si="24">K16*-0.2</f>
        <v>-105.19200000000012</v>
      </c>
      <c r="L17" s="15">
        <f t="shared" si="24"/>
        <v>-105.19200000000012</v>
      </c>
      <c r="M17" s="15">
        <f t="shared" si="24"/>
        <v>-105.47480000000003</v>
      </c>
      <c r="N17" s="15">
        <f t="shared" si="24"/>
        <v>-105.72565200000007</v>
      </c>
      <c r="O17" s="15">
        <f t="shared" si="24"/>
        <v>-105.94458428000006</v>
      </c>
      <c r="P17" s="15">
        <f t="shared" si="24"/>
        <v>-106.13162192519997</v>
      </c>
      <c r="Q17" s="15">
        <f t="shared" si="24"/>
        <v>-106.28678682882808</v>
      </c>
      <c r="R17" s="15">
        <f t="shared" si="24"/>
        <v>-106.41009769464857</v>
      </c>
      <c r="S17" s="15">
        <f t="shared" si="24"/>
        <v>-106.50157003915186</v>
      </c>
    </row>
    <row r="18" spans="3:201" x14ac:dyDescent="0.25">
      <c r="C18" s="1" t="s">
        <v>63</v>
      </c>
      <c r="D18" s="16">
        <f t="shared" ref="D18:H18" si="25">SUM(D16:D17)</f>
        <v>-195</v>
      </c>
      <c r="E18" s="16">
        <f t="shared" si="25"/>
        <v>51</v>
      </c>
      <c r="F18" s="16">
        <f t="shared" si="25"/>
        <v>328</v>
      </c>
      <c r="G18" s="16">
        <f t="shared" si="25"/>
        <v>311</v>
      </c>
      <c r="H18" s="16">
        <f t="shared" si="25"/>
        <v>366</v>
      </c>
      <c r="I18" s="16">
        <f>SUM(I16:I17)</f>
        <v>454</v>
      </c>
      <c r="J18" s="16">
        <f t="shared" ref="J18" si="26">SUM(J16:J17)</f>
        <v>542.88</v>
      </c>
      <c r="K18" s="16">
        <f t="shared" ref="K18:S18" si="27">SUM(K16:K17)</f>
        <v>420.76800000000048</v>
      </c>
      <c r="L18" s="16">
        <f t="shared" si="27"/>
        <v>420.76800000000048</v>
      </c>
      <c r="M18" s="16">
        <f t="shared" si="27"/>
        <v>421.89920000000012</v>
      </c>
      <c r="N18" s="16">
        <f t="shared" si="27"/>
        <v>422.90260800000021</v>
      </c>
      <c r="O18" s="16">
        <f t="shared" si="27"/>
        <v>423.77833712000017</v>
      </c>
      <c r="P18" s="16">
        <f t="shared" si="27"/>
        <v>424.52648770079986</v>
      </c>
      <c r="Q18" s="16">
        <f t="shared" si="27"/>
        <v>425.14714731531228</v>
      </c>
      <c r="R18" s="16">
        <f t="shared" si="27"/>
        <v>425.64039077859422</v>
      </c>
      <c r="S18" s="16">
        <f t="shared" si="27"/>
        <v>426.00628015660743</v>
      </c>
      <c r="T18" s="16">
        <f>S18*(1+$V$22)</f>
        <v>421.74621735504138</v>
      </c>
      <c r="U18" s="16">
        <f t="shared" ref="U18:CF18" si="28">T18*(1+$V$22)</f>
        <v>417.52875518149096</v>
      </c>
      <c r="V18" s="16">
        <f t="shared" si="28"/>
        <v>413.35346762967606</v>
      </c>
      <c r="W18" s="16">
        <f t="shared" si="28"/>
        <v>409.21993295337927</v>
      </c>
      <c r="X18" s="16">
        <f t="shared" si="28"/>
        <v>405.12773362384547</v>
      </c>
      <c r="Y18" s="16">
        <f t="shared" si="28"/>
        <v>401.07645628760702</v>
      </c>
      <c r="Z18" s="16">
        <f t="shared" si="28"/>
        <v>397.06569172473093</v>
      </c>
      <c r="AA18" s="16">
        <f t="shared" si="28"/>
        <v>393.09503480748361</v>
      </c>
      <c r="AB18" s="16">
        <f t="shared" si="28"/>
        <v>389.1640844594088</v>
      </c>
      <c r="AC18" s="16">
        <f t="shared" si="28"/>
        <v>385.27244361481473</v>
      </c>
      <c r="AD18" s="16">
        <f t="shared" si="28"/>
        <v>381.41971917866658</v>
      </c>
      <c r="AE18" s="16">
        <f t="shared" si="28"/>
        <v>377.60552198687992</v>
      </c>
      <c r="AF18" s="16">
        <f t="shared" si="28"/>
        <v>373.82946676701113</v>
      </c>
      <c r="AG18" s="16">
        <f t="shared" si="28"/>
        <v>370.09117209934101</v>
      </c>
      <c r="AH18" s="16">
        <f t="shared" si="28"/>
        <v>366.39026037834759</v>
      </c>
      <c r="AI18" s="16">
        <f t="shared" si="28"/>
        <v>362.72635777456412</v>
      </c>
      <c r="AJ18" s="16">
        <f t="shared" si="28"/>
        <v>359.0990941968185</v>
      </c>
      <c r="AK18" s="16">
        <f t="shared" si="28"/>
        <v>355.50810325485031</v>
      </c>
      <c r="AL18" s="16">
        <f t="shared" si="28"/>
        <v>351.9530222223018</v>
      </c>
      <c r="AM18" s="16">
        <f t="shared" si="28"/>
        <v>348.43349200007879</v>
      </c>
      <c r="AN18" s="16">
        <f t="shared" si="28"/>
        <v>344.94915708007801</v>
      </c>
      <c r="AO18" s="16">
        <f t="shared" si="28"/>
        <v>341.49966550927724</v>
      </c>
      <c r="AP18" s="16">
        <f t="shared" si="28"/>
        <v>338.08466885418449</v>
      </c>
      <c r="AQ18" s="16">
        <f t="shared" si="28"/>
        <v>334.70382216564263</v>
      </c>
      <c r="AR18" s="16">
        <f t="shared" si="28"/>
        <v>331.35678394398622</v>
      </c>
      <c r="AS18" s="16">
        <f t="shared" si="28"/>
        <v>328.04321610454633</v>
      </c>
      <c r="AT18" s="16">
        <f t="shared" si="28"/>
        <v>324.76278394350089</v>
      </c>
      <c r="AU18" s="16">
        <f t="shared" si="28"/>
        <v>321.51515610406585</v>
      </c>
      <c r="AV18" s="16">
        <f t="shared" si="28"/>
        <v>318.30000454302518</v>
      </c>
      <c r="AW18" s="16">
        <f t="shared" si="28"/>
        <v>315.11700449759491</v>
      </c>
      <c r="AX18" s="16">
        <f t="shared" si="28"/>
        <v>311.96583445261894</v>
      </c>
      <c r="AY18" s="16">
        <f t="shared" si="28"/>
        <v>308.84617610809272</v>
      </c>
      <c r="AZ18" s="16">
        <f t="shared" si="28"/>
        <v>305.75771434701181</v>
      </c>
      <c r="BA18" s="16">
        <f t="shared" si="28"/>
        <v>302.70013720354171</v>
      </c>
      <c r="BB18" s="16">
        <f t="shared" si="28"/>
        <v>299.67313583150627</v>
      </c>
      <c r="BC18" s="16">
        <f t="shared" si="28"/>
        <v>296.67640447319121</v>
      </c>
      <c r="BD18" s="16">
        <f t="shared" si="28"/>
        <v>293.70964042845929</v>
      </c>
      <c r="BE18" s="16">
        <f t="shared" si="28"/>
        <v>290.77254402417469</v>
      </c>
      <c r="BF18" s="16">
        <f t="shared" si="28"/>
        <v>287.86481858393296</v>
      </c>
      <c r="BG18" s="16">
        <f t="shared" si="28"/>
        <v>284.98617039809363</v>
      </c>
      <c r="BH18" s="16">
        <f t="shared" si="28"/>
        <v>282.1363086941127</v>
      </c>
      <c r="BI18" s="16">
        <f t="shared" si="28"/>
        <v>279.31494560717158</v>
      </c>
      <c r="BJ18" s="16">
        <f t="shared" si="28"/>
        <v>276.52179615109986</v>
      </c>
      <c r="BK18" s="16">
        <f t="shared" si="28"/>
        <v>273.75657818958888</v>
      </c>
      <c r="BL18" s="16">
        <f t="shared" si="28"/>
        <v>271.01901240769297</v>
      </c>
      <c r="BM18" s="16">
        <f t="shared" si="28"/>
        <v>268.30882228361605</v>
      </c>
      <c r="BN18" s="16">
        <f t="shared" si="28"/>
        <v>265.62573406077991</v>
      </c>
      <c r="BO18" s="16">
        <f t="shared" si="28"/>
        <v>262.96947672017211</v>
      </c>
      <c r="BP18" s="16">
        <f t="shared" si="28"/>
        <v>260.33978195297038</v>
      </c>
      <c r="BQ18" s="16">
        <f t="shared" si="28"/>
        <v>257.73638413344065</v>
      </c>
      <c r="BR18" s="16">
        <f t="shared" si="28"/>
        <v>255.15902029210625</v>
      </c>
      <c r="BS18" s="16">
        <f t="shared" si="28"/>
        <v>252.60743008918519</v>
      </c>
      <c r="BT18" s="16">
        <f t="shared" si="28"/>
        <v>250.08135578829334</v>
      </c>
      <c r="BU18" s="16">
        <f t="shared" si="28"/>
        <v>247.5805422304104</v>
      </c>
      <c r="BV18" s="16">
        <f t="shared" si="28"/>
        <v>245.10473680810628</v>
      </c>
      <c r="BW18" s="16">
        <f t="shared" si="28"/>
        <v>242.6536894400252</v>
      </c>
      <c r="BX18" s="16">
        <f t="shared" si="28"/>
        <v>240.22715254562496</v>
      </c>
      <c r="BY18" s="16">
        <f t="shared" si="28"/>
        <v>237.8248810201687</v>
      </c>
      <c r="BZ18" s="16">
        <f t="shared" si="28"/>
        <v>235.44663220996702</v>
      </c>
      <c r="CA18" s="16">
        <f t="shared" si="28"/>
        <v>233.09216588786734</v>
      </c>
      <c r="CB18" s="16">
        <f t="shared" si="28"/>
        <v>230.76124422898866</v>
      </c>
      <c r="CC18" s="16">
        <f t="shared" si="28"/>
        <v>228.45363178669876</v>
      </c>
      <c r="CD18" s="16">
        <f t="shared" si="28"/>
        <v>226.16909546883178</v>
      </c>
      <c r="CE18" s="16">
        <f t="shared" si="28"/>
        <v>223.90740451414345</v>
      </c>
      <c r="CF18" s="16">
        <f t="shared" si="28"/>
        <v>221.668330469002</v>
      </c>
      <c r="CG18" s="16">
        <f t="shared" ref="CG18:ER18" si="29">CF18*(1+$V$22)</f>
        <v>219.45164716431199</v>
      </c>
      <c r="CH18" s="16">
        <f t="shared" si="29"/>
        <v>217.25713069266888</v>
      </c>
      <c r="CI18" s="16">
        <f t="shared" si="29"/>
        <v>215.08455938574218</v>
      </c>
      <c r="CJ18" s="16">
        <f t="shared" si="29"/>
        <v>212.93371379188477</v>
      </c>
      <c r="CK18" s="16">
        <f t="shared" si="29"/>
        <v>210.80437665396593</v>
      </c>
      <c r="CL18" s="16">
        <f t="shared" si="29"/>
        <v>208.69633288742628</v>
      </c>
      <c r="CM18" s="16">
        <f t="shared" si="29"/>
        <v>206.609369558552</v>
      </c>
      <c r="CN18" s="16">
        <f t="shared" si="29"/>
        <v>204.54327586296648</v>
      </c>
      <c r="CO18" s="16">
        <f t="shared" si="29"/>
        <v>202.49784310433682</v>
      </c>
      <c r="CP18" s="16">
        <f t="shared" si="29"/>
        <v>200.47286467329346</v>
      </c>
      <c r="CQ18" s="16">
        <f t="shared" si="29"/>
        <v>198.46813602656053</v>
      </c>
      <c r="CR18" s="16">
        <f t="shared" si="29"/>
        <v>196.48345466629493</v>
      </c>
      <c r="CS18" s="16">
        <f t="shared" si="29"/>
        <v>194.51862011963198</v>
      </c>
      <c r="CT18" s="16">
        <f t="shared" si="29"/>
        <v>192.57343391843565</v>
      </c>
      <c r="CU18" s="16">
        <f t="shared" si="29"/>
        <v>190.64769957925131</v>
      </c>
      <c r="CV18" s="16">
        <f t="shared" si="29"/>
        <v>188.74122258345881</v>
      </c>
      <c r="CW18" s="16">
        <f t="shared" si="29"/>
        <v>186.85381035762421</v>
      </c>
      <c r="CX18" s="16">
        <f t="shared" si="29"/>
        <v>184.98527225404797</v>
      </c>
      <c r="CY18" s="16">
        <f t="shared" si="29"/>
        <v>183.13541953150749</v>
      </c>
      <c r="CZ18" s="16">
        <f t="shared" si="29"/>
        <v>181.30406533619242</v>
      </c>
      <c r="DA18" s="16">
        <f t="shared" si="29"/>
        <v>179.4910246828305</v>
      </c>
      <c r="DB18" s="16">
        <f t="shared" si="29"/>
        <v>177.6961144360022</v>
      </c>
      <c r="DC18" s="16">
        <f t="shared" si="29"/>
        <v>175.91915329164217</v>
      </c>
      <c r="DD18" s="16">
        <f t="shared" si="29"/>
        <v>174.15996175872576</v>
      </c>
      <c r="DE18" s="16">
        <f t="shared" si="29"/>
        <v>172.41836214113849</v>
      </c>
      <c r="DF18" s="16">
        <f t="shared" si="29"/>
        <v>170.6941785197271</v>
      </c>
      <c r="DG18" s="16">
        <f t="shared" si="29"/>
        <v>168.98723673452983</v>
      </c>
      <c r="DH18" s="16">
        <f t="shared" si="29"/>
        <v>167.29736436718454</v>
      </c>
      <c r="DI18" s="16">
        <f t="shared" si="29"/>
        <v>165.6243907235127</v>
      </c>
      <c r="DJ18" s="16">
        <f t="shared" si="29"/>
        <v>163.96814681627757</v>
      </c>
      <c r="DK18" s="16">
        <f t="shared" si="29"/>
        <v>162.3284653481148</v>
      </c>
      <c r="DL18" s="16">
        <f t="shared" si="29"/>
        <v>160.70518069463367</v>
      </c>
      <c r="DM18" s="16">
        <f t="shared" si="29"/>
        <v>159.09812888768732</v>
      </c>
      <c r="DN18" s="16">
        <f t="shared" si="29"/>
        <v>157.50714759881046</v>
      </c>
      <c r="DO18" s="16">
        <f t="shared" si="29"/>
        <v>155.93207612282237</v>
      </c>
      <c r="DP18" s="16">
        <f t="shared" si="29"/>
        <v>154.37275536159413</v>
      </c>
      <c r="DQ18" s="16">
        <f t="shared" si="29"/>
        <v>152.82902780797818</v>
      </c>
      <c r="DR18" s="16">
        <f t="shared" si="29"/>
        <v>151.30073752989838</v>
      </c>
      <c r="DS18" s="16">
        <f t="shared" si="29"/>
        <v>149.78773015459939</v>
      </c>
      <c r="DT18" s="16">
        <f t="shared" si="29"/>
        <v>148.28985285305339</v>
      </c>
      <c r="DU18" s="16">
        <f t="shared" si="29"/>
        <v>146.80695432452285</v>
      </c>
      <c r="DV18" s="16">
        <f t="shared" si="29"/>
        <v>145.33888478127761</v>
      </c>
      <c r="DW18" s="16">
        <f t="shared" si="29"/>
        <v>143.88549593346482</v>
      </c>
      <c r="DX18" s="16">
        <f t="shared" si="29"/>
        <v>142.44664097413016</v>
      </c>
      <c r="DY18" s="16">
        <f t="shared" si="29"/>
        <v>141.02217456438885</v>
      </c>
      <c r="DZ18" s="16">
        <f t="shared" si="29"/>
        <v>139.61195281874495</v>
      </c>
      <c r="EA18" s="16">
        <f t="shared" si="29"/>
        <v>138.2158332905575</v>
      </c>
      <c r="EB18" s="16">
        <f t="shared" si="29"/>
        <v>136.83367495765191</v>
      </c>
      <c r="EC18" s="16">
        <f t="shared" si="29"/>
        <v>135.46533820807539</v>
      </c>
      <c r="ED18" s="16">
        <f t="shared" si="29"/>
        <v>134.11068482599464</v>
      </c>
      <c r="EE18" s="16">
        <f t="shared" si="29"/>
        <v>132.76957797773468</v>
      </c>
      <c r="EF18" s="16">
        <f t="shared" si="29"/>
        <v>131.44188219795734</v>
      </c>
      <c r="EG18" s="16">
        <f t="shared" si="29"/>
        <v>130.12746337597775</v>
      </c>
      <c r="EH18" s="16">
        <f t="shared" si="29"/>
        <v>128.82618874221797</v>
      </c>
      <c r="EI18" s="16">
        <f t="shared" si="29"/>
        <v>127.53792685479578</v>
      </c>
      <c r="EJ18" s="16">
        <f t="shared" si="29"/>
        <v>126.26254758624782</v>
      </c>
      <c r="EK18" s="16">
        <f t="shared" si="29"/>
        <v>124.99992211038534</v>
      </c>
      <c r="EL18" s="16">
        <f t="shared" si="29"/>
        <v>123.74992288928149</v>
      </c>
      <c r="EM18" s="16">
        <f t="shared" si="29"/>
        <v>122.51242366038868</v>
      </c>
      <c r="EN18" s="16">
        <f t="shared" si="29"/>
        <v>121.28729942378479</v>
      </c>
      <c r="EO18" s="16">
        <f t="shared" si="29"/>
        <v>120.07442642954693</v>
      </c>
      <c r="EP18" s="16">
        <f t="shared" si="29"/>
        <v>118.87368216525147</v>
      </c>
      <c r="EQ18" s="16">
        <f t="shared" si="29"/>
        <v>117.68494534359895</v>
      </c>
      <c r="ER18" s="16">
        <f t="shared" si="29"/>
        <v>116.50809589016296</v>
      </c>
      <c r="ES18" s="16">
        <f t="shared" ref="ES18:GS18" si="30">ER18*(1+$V$22)</f>
        <v>115.34301493126134</v>
      </c>
      <c r="ET18" s="16">
        <f t="shared" si="30"/>
        <v>114.18958478194872</v>
      </c>
      <c r="EU18" s="16">
        <f t="shared" si="30"/>
        <v>113.04768893412924</v>
      </c>
      <c r="EV18" s="16">
        <f t="shared" si="30"/>
        <v>111.91721204478795</v>
      </c>
      <c r="EW18" s="16">
        <f t="shared" si="30"/>
        <v>110.79803992434006</v>
      </c>
      <c r="EX18" s="16">
        <f t="shared" si="30"/>
        <v>109.69005952509666</v>
      </c>
      <c r="EY18" s="16">
        <f t="shared" si="30"/>
        <v>108.59315892984569</v>
      </c>
      <c r="EZ18" s="16">
        <f t="shared" si="30"/>
        <v>107.50722734054723</v>
      </c>
      <c r="FA18" s="16">
        <f t="shared" si="30"/>
        <v>106.43215506714176</v>
      </c>
      <c r="FB18" s="16">
        <f t="shared" si="30"/>
        <v>105.36783351647034</v>
      </c>
      <c r="FC18" s="16">
        <f t="shared" si="30"/>
        <v>104.31415518130564</v>
      </c>
      <c r="FD18" s="16">
        <f t="shared" si="30"/>
        <v>103.27101362949259</v>
      </c>
      <c r="FE18" s="16">
        <f t="shared" si="30"/>
        <v>102.23830349319766</v>
      </c>
      <c r="FF18" s="16">
        <f t="shared" si="30"/>
        <v>101.21592045826569</v>
      </c>
      <c r="FG18" s="16">
        <f t="shared" si="30"/>
        <v>100.20376125368303</v>
      </c>
      <c r="FH18" s="16">
        <f t="shared" si="30"/>
        <v>99.201723641146202</v>
      </c>
      <c r="FI18" s="16">
        <f t="shared" si="30"/>
        <v>98.209706404734746</v>
      </c>
      <c r="FJ18" s="16">
        <f t="shared" si="30"/>
        <v>97.227609340687394</v>
      </c>
      <c r="FK18" s="16">
        <f t="shared" si="30"/>
        <v>96.255333247280518</v>
      </c>
      <c r="FL18" s="16">
        <f t="shared" si="30"/>
        <v>95.29277991480771</v>
      </c>
      <c r="FM18" s="16">
        <f t="shared" si="30"/>
        <v>94.339852115659639</v>
      </c>
      <c r="FN18" s="16">
        <f t="shared" si="30"/>
        <v>93.396453594503043</v>
      </c>
      <c r="FO18" s="16">
        <f t="shared" si="30"/>
        <v>92.462489058558006</v>
      </c>
      <c r="FP18" s="16">
        <f t="shared" si="30"/>
        <v>91.53786416797243</v>
      </c>
      <c r="FQ18" s="16">
        <f t="shared" si="30"/>
        <v>90.622485526292706</v>
      </c>
      <c r="FR18" s="16">
        <f t="shared" si="30"/>
        <v>89.716260671029772</v>
      </c>
      <c r="FS18" s="16">
        <f t="shared" si="30"/>
        <v>88.819098064319476</v>
      </c>
      <c r="FT18" s="16">
        <f t="shared" si="30"/>
        <v>87.930907083676274</v>
      </c>
      <c r="FU18" s="16">
        <f t="shared" si="30"/>
        <v>87.051598012839506</v>
      </c>
      <c r="FV18" s="16">
        <f t="shared" si="30"/>
        <v>86.181082032711103</v>
      </c>
      <c r="FW18" s="16">
        <f t="shared" si="30"/>
        <v>85.319271212383995</v>
      </c>
      <c r="FX18" s="16">
        <f t="shared" si="30"/>
        <v>84.466078500260153</v>
      </c>
      <c r="FY18" s="16">
        <f t="shared" si="30"/>
        <v>83.62141771525755</v>
      </c>
      <c r="FZ18" s="16">
        <f t="shared" si="30"/>
        <v>82.78520353810498</v>
      </c>
      <c r="GA18" s="16">
        <f t="shared" si="30"/>
        <v>81.957351502723924</v>
      </c>
      <c r="GB18" s="16">
        <f t="shared" si="30"/>
        <v>81.13777798769668</v>
      </c>
      <c r="GC18" s="16">
        <f t="shared" si="30"/>
        <v>80.326400207819717</v>
      </c>
      <c r="GD18" s="16">
        <f t="shared" si="30"/>
        <v>79.523136205741523</v>
      </c>
      <c r="GE18" s="16">
        <f t="shared" si="30"/>
        <v>78.727904843684101</v>
      </c>
      <c r="GF18" s="16">
        <f t="shared" si="30"/>
        <v>77.940625795247257</v>
      </c>
      <c r="GG18" s="16">
        <f t="shared" si="30"/>
        <v>77.161219537294784</v>
      </c>
      <c r="GH18" s="16">
        <f t="shared" si="30"/>
        <v>76.389607341921831</v>
      </c>
      <c r="GI18" s="16">
        <f t="shared" si="30"/>
        <v>75.625711268502613</v>
      </c>
      <c r="GJ18" s="16">
        <f t="shared" si="30"/>
        <v>74.869454155817593</v>
      </c>
      <c r="GK18" s="16">
        <f t="shared" si="30"/>
        <v>74.120759614259413</v>
      </c>
      <c r="GL18" s="16">
        <f t="shared" si="30"/>
        <v>73.379552018116811</v>
      </c>
      <c r="GM18" s="16">
        <f t="shared" si="30"/>
        <v>72.645756497935636</v>
      </c>
      <c r="GN18" s="16">
        <f t="shared" si="30"/>
        <v>71.919298932956281</v>
      </c>
      <c r="GO18" s="16">
        <f t="shared" si="30"/>
        <v>71.200105943626724</v>
      </c>
      <c r="GP18" s="16">
        <f t="shared" si="30"/>
        <v>70.488104884190463</v>
      </c>
      <c r="GQ18" s="16">
        <f t="shared" si="30"/>
        <v>69.783223835348551</v>
      </c>
      <c r="GR18" s="16">
        <f t="shared" si="30"/>
        <v>69.085391596995066</v>
      </c>
      <c r="GS18" s="16">
        <f t="shared" si="30"/>
        <v>68.394537681025113</v>
      </c>
    </row>
    <row r="19" spans="3:201" x14ac:dyDescent="0.25">
      <c r="C19" s="29" t="s">
        <v>64</v>
      </c>
      <c r="D19" s="29">
        <v>37.181941999999999</v>
      </c>
      <c r="E19" s="29">
        <v>150</v>
      </c>
      <c r="F19" s="29">
        <v>149.05500000000001</v>
      </c>
      <c r="G19" s="29">
        <v>147.423677</v>
      </c>
      <c r="H19" s="29">
        <v>146.64874800000001</v>
      </c>
      <c r="I19" s="29">
        <v>142.81814</v>
      </c>
      <c r="J19" s="29">
        <v>141.96249399999999</v>
      </c>
      <c r="K19" s="29">
        <v>142.81814</v>
      </c>
      <c r="L19" s="29">
        <v>142.81814</v>
      </c>
      <c r="M19" s="29">
        <v>142.81814</v>
      </c>
      <c r="N19" s="29">
        <v>142.81814</v>
      </c>
      <c r="O19" s="29">
        <v>142.81814</v>
      </c>
      <c r="P19" s="29">
        <v>142.81814</v>
      </c>
      <c r="Q19" s="29">
        <v>142.81814</v>
      </c>
      <c r="R19" s="29">
        <v>142.81814</v>
      </c>
      <c r="S19" s="29">
        <v>142.81814</v>
      </c>
    </row>
    <row r="20" spans="3:201" x14ac:dyDescent="0.25">
      <c r="C20" s="2" t="s">
        <v>65</v>
      </c>
      <c r="D20" s="30">
        <f t="shared" ref="D20:H20" si="31">D18/D19</f>
        <v>-5.2444813129986594</v>
      </c>
      <c r="E20" s="30">
        <f t="shared" si="31"/>
        <v>0.34</v>
      </c>
      <c r="F20" s="30">
        <f t="shared" si="31"/>
        <v>2.2005300057025927</v>
      </c>
      <c r="G20" s="30">
        <f t="shared" si="31"/>
        <v>2.1095661587656642</v>
      </c>
      <c r="H20" s="30">
        <f t="shared" si="31"/>
        <v>2.4957594591942915</v>
      </c>
      <c r="I20" s="30">
        <f>I18/I19</f>
        <v>3.1788678945125599</v>
      </c>
      <c r="J20" s="30">
        <f t="shared" ref="J20" si="32">J18/J19</f>
        <v>3.8241086409766796</v>
      </c>
      <c r="K20" s="30">
        <f t="shared" ref="K20:S20" si="33">K18/K19</f>
        <v>2.9461803661635733</v>
      </c>
      <c r="L20" s="30">
        <f t="shared" si="33"/>
        <v>2.9461803661635733</v>
      </c>
      <c r="M20" s="30">
        <f t="shared" si="33"/>
        <v>2.9541009286355369</v>
      </c>
      <c r="N20" s="30">
        <f t="shared" si="33"/>
        <v>2.9611267028124035</v>
      </c>
      <c r="O20" s="30">
        <f t="shared" si="33"/>
        <v>2.9672584807504157</v>
      </c>
      <c r="P20" s="30">
        <f t="shared" si="33"/>
        <v>2.9724969650269908</v>
      </c>
      <c r="Q20" s="30">
        <f t="shared" si="33"/>
        <v>2.976842768819929</v>
      </c>
      <c r="R20" s="30">
        <f t="shared" si="33"/>
        <v>2.9802964159776497</v>
      </c>
      <c r="S20" s="30">
        <f t="shared" si="33"/>
        <v>2.9828583410805338</v>
      </c>
    </row>
    <row r="21" spans="3:201" x14ac:dyDescent="0.25">
      <c r="H21" s="12"/>
      <c r="I21" s="12"/>
      <c r="U21" s="2" t="s">
        <v>117</v>
      </c>
      <c r="V21" s="34">
        <v>0.08</v>
      </c>
    </row>
    <row r="22" spans="3:201" x14ac:dyDescent="0.25">
      <c r="C22" s="14" t="s">
        <v>33</v>
      </c>
      <c r="D22" s="14"/>
      <c r="E22" s="14">
        <f t="shared" ref="E22:H22" si="34">(E4-D4)/D4</f>
        <v>0.22487046632124352</v>
      </c>
      <c r="F22" s="14">
        <f t="shared" si="34"/>
        <v>0.13134517766497461</v>
      </c>
      <c r="G22" s="14">
        <f t="shared" si="34"/>
        <v>0.11890072910824454</v>
      </c>
      <c r="H22" s="14">
        <f t="shared" si="34"/>
        <v>8.9724310776942359E-2</v>
      </c>
      <c r="I22" s="14">
        <f>(I4-H4)/H4</f>
        <v>0.10395584176632934</v>
      </c>
      <c r="J22" s="14">
        <f t="shared" ref="J22:S22" si="35">(J4-I4)/I4</f>
        <v>0.06</v>
      </c>
      <c r="K22" s="14">
        <f t="shared" si="35"/>
        <v>0</v>
      </c>
      <c r="L22" s="14">
        <f t="shared" si="35"/>
        <v>0</v>
      </c>
      <c r="M22" s="14">
        <f t="shared" si="35"/>
        <v>0</v>
      </c>
      <c r="N22" s="14">
        <f t="shared" si="35"/>
        <v>0</v>
      </c>
      <c r="O22" s="14">
        <f t="shared" si="35"/>
        <v>0</v>
      </c>
      <c r="P22" s="14">
        <f t="shared" si="35"/>
        <v>0</v>
      </c>
      <c r="Q22" s="14">
        <f t="shared" si="35"/>
        <v>0</v>
      </c>
      <c r="R22" s="14">
        <f t="shared" si="35"/>
        <v>0</v>
      </c>
      <c r="S22" s="14">
        <f t="shared" si="35"/>
        <v>0</v>
      </c>
      <c r="U22" s="13" t="s">
        <v>118</v>
      </c>
      <c r="V22" s="34">
        <v>-0.01</v>
      </c>
    </row>
    <row r="23" spans="3:201" x14ac:dyDescent="0.25">
      <c r="C23" s="13" t="s">
        <v>109</v>
      </c>
      <c r="D23" s="13">
        <v>3.2000000000000001E-2</v>
      </c>
      <c r="E23" s="13">
        <v>0.23200000000000001</v>
      </c>
      <c r="F23" s="13">
        <v>0.106</v>
      </c>
      <c r="G23" s="13">
        <v>0.10299999999999999</v>
      </c>
      <c r="H23" s="13">
        <v>9.1999999999999998E-2</v>
      </c>
      <c r="I23" s="13">
        <v>0.114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U23" s="33" t="s">
        <v>119</v>
      </c>
      <c r="V23" s="35">
        <f>NPV(V21,J18:GS18)</f>
        <v>5120.6145636776264</v>
      </c>
    </row>
    <row r="24" spans="3:201" x14ac:dyDescent="0.25">
      <c r="C24" s="14" t="s">
        <v>111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U24" s="13" t="s">
        <v>2</v>
      </c>
      <c r="V24" s="12">
        <v>142.81814</v>
      </c>
    </row>
    <row r="25" spans="3:201" x14ac:dyDescent="0.25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U25" s="1" t="s">
        <v>120</v>
      </c>
      <c r="V25" s="36">
        <f>V23/V24</f>
        <v>35.85409082962169</v>
      </c>
    </row>
    <row r="26" spans="3:201" x14ac:dyDescent="0.25">
      <c r="C26" s="13" t="s">
        <v>36</v>
      </c>
      <c r="D26" s="13">
        <f t="shared" ref="D26:S26" si="36">D6/D4</f>
        <v>0.75310880829015547</v>
      </c>
      <c r="E26" s="13">
        <f t="shared" si="36"/>
        <v>0.76988155668358715</v>
      </c>
      <c r="F26" s="13">
        <f t="shared" si="36"/>
        <v>0.76088988595999252</v>
      </c>
      <c r="G26" s="13">
        <f t="shared" si="36"/>
        <v>0.7582289055973267</v>
      </c>
      <c r="H26" s="13">
        <f t="shared" si="36"/>
        <v>0.75605642440969023</v>
      </c>
      <c r="I26" s="13">
        <f t="shared" si="36"/>
        <v>0.74708333333333332</v>
      </c>
      <c r="J26" s="13">
        <f t="shared" si="36"/>
        <v>0.76</v>
      </c>
      <c r="K26" s="13">
        <f t="shared" si="36"/>
        <v>0.74</v>
      </c>
      <c r="L26" s="13">
        <f t="shared" si="36"/>
        <v>0.74</v>
      </c>
      <c r="M26" s="13">
        <f t="shared" si="36"/>
        <v>0.74</v>
      </c>
      <c r="N26" s="13">
        <f t="shared" si="36"/>
        <v>0.74</v>
      </c>
      <c r="O26" s="13">
        <f t="shared" si="36"/>
        <v>0.74</v>
      </c>
      <c r="P26" s="13">
        <f t="shared" si="36"/>
        <v>0.74</v>
      </c>
      <c r="Q26" s="13">
        <f t="shared" si="36"/>
        <v>0.74</v>
      </c>
      <c r="R26" s="13">
        <f t="shared" si="36"/>
        <v>0.74</v>
      </c>
      <c r="S26" s="13">
        <f t="shared" si="36"/>
        <v>0.74</v>
      </c>
      <c r="U26" s="1" t="s">
        <v>122</v>
      </c>
      <c r="V26" s="14">
        <f>(V25-Modell!B4)/Modell!B4</f>
        <v>-0.32350772019581719</v>
      </c>
    </row>
    <row r="27" spans="3:201" x14ac:dyDescent="0.25">
      <c r="C27" s="2" t="s">
        <v>38</v>
      </c>
      <c r="D27" s="13">
        <f t="shared" ref="D27:S27" si="37">D9/D4</f>
        <v>0.24196891191709843</v>
      </c>
      <c r="E27" s="13">
        <f t="shared" si="37"/>
        <v>0.2512690355329949</v>
      </c>
      <c r="F27" s="13">
        <f t="shared" si="37"/>
        <v>0.22751916246027296</v>
      </c>
      <c r="G27" s="13">
        <f t="shared" si="37"/>
        <v>0.24076858813700919</v>
      </c>
      <c r="H27" s="13">
        <f t="shared" si="37"/>
        <v>0.24471021159153633</v>
      </c>
      <c r="I27" s="13">
        <f t="shared" si="37"/>
        <v>0.23444444444444446</v>
      </c>
      <c r="J27" s="13">
        <f t="shared" si="37"/>
        <v>0.237688679245283</v>
      </c>
      <c r="K27" s="13">
        <f t="shared" si="37"/>
        <v>0.2176886792452831</v>
      </c>
      <c r="L27" s="13">
        <f t="shared" si="37"/>
        <v>0.2176886792452831</v>
      </c>
      <c r="M27" s="13">
        <f t="shared" si="37"/>
        <v>0.21882783018867924</v>
      </c>
      <c r="N27" s="13">
        <f t="shared" si="37"/>
        <v>0.21995558962264156</v>
      </c>
      <c r="O27" s="13">
        <f t="shared" si="37"/>
        <v>0.22107207146226418</v>
      </c>
      <c r="P27" s="13">
        <f t="shared" si="37"/>
        <v>0.22217738848349056</v>
      </c>
      <c r="Q27" s="13">
        <f t="shared" si="37"/>
        <v>0.22327165233450477</v>
      </c>
      <c r="R27" s="13">
        <f t="shared" si="37"/>
        <v>0.22435497354700876</v>
      </c>
      <c r="S27" s="13">
        <f t="shared" si="37"/>
        <v>0.22542746154738766</v>
      </c>
    </row>
    <row r="28" spans="3:201" x14ac:dyDescent="0.25">
      <c r="C28" s="2" t="s">
        <v>110</v>
      </c>
      <c r="D28" s="13">
        <f t="shared" ref="D28:S28" si="38">D11/D4</f>
        <v>0.12668393782383419</v>
      </c>
      <c r="E28" s="13">
        <f t="shared" si="38"/>
        <v>0.15313028764805414</v>
      </c>
      <c r="F28" s="13">
        <f t="shared" si="38"/>
        <v>0.12357449990652458</v>
      </c>
      <c r="G28" s="13">
        <f t="shared" si="38"/>
        <v>0.1368421052631579</v>
      </c>
      <c r="H28" s="13">
        <f t="shared" si="38"/>
        <v>0.14520085863232138</v>
      </c>
      <c r="I28" s="13">
        <f t="shared" si="38"/>
        <v>0.13694444444444445</v>
      </c>
      <c r="J28" s="13">
        <f t="shared" si="38"/>
        <v>0.14230083857442347</v>
      </c>
      <c r="K28" s="13">
        <f t="shared" si="38"/>
        <v>0.12230083857442355</v>
      </c>
      <c r="L28" s="13">
        <f t="shared" si="38"/>
        <v>0.12230083857442355</v>
      </c>
      <c r="M28" s="13">
        <f t="shared" si="38"/>
        <v>0.12248611111111112</v>
      </c>
      <c r="N28" s="13">
        <f t="shared" si="38"/>
        <v>0.12265045335429774</v>
      </c>
      <c r="O28" s="13">
        <f t="shared" si="38"/>
        <v>0.12279388383123693</v>
      </c>
      <c r="P28" s="13">
        <f t="shared" si="38"/>
        <v>0.12291641897615302</v>
      </c>
      <c r="Q28" s="13">
        <f t="shared" si="38"/>
        <v>0.12301807313209386</v>
      </c>
      <c r="R28" s="13">
        <f t="shared" si="38"/>
        <v>0.12309885855257376</v>
      </c>
      <c r="S28" s="13">
        <f t="shared" si="38"/>
        <v>0.1231587854030083</v>
      </c>
    </row>
    <row r="29" spans="3:201" x14ac:dyDescent="0.25">
      <c r="C29" s="2" t="s">
        <v>34</v>
      </c>
      <c r="D29" s="13">
        <f t="shared" ref="D29:S29" si="39">D13/D4</f>
        <v>0.10414507772020726</v>
      </c>
      <c r="E29" s="13">
        <f t="shared" si="39"/>
        <v>0.13388324873096447</v>
      </c>
      <c r="F29" s="13">
        <f t="shared" si="39"/>
        <v>0.10319685922602355</v>
      </c>
      <c r="G29" s="13">
        <f t="shared" si="39"/>
        <v>0.11629072681704261</v>
      </c>
      <c r="H29" s="13">
        <f t="shared" si="39"/>
        <v>0.12557497700091996</v>
      </c>
      <c r="I29" s="13">
        <f t="shared" si="39"/>
        <v>0.11972222222222222</v>
      </c>
      <c r="J29" s="13">
        <f t="shared" si="39"/>
        <v>0.12526729559748428</v>
      </c>
      <c r="K29" s="13">
        <f t="shared" si="39"/>
        <v>0.10526729559748435</v>
      </c>
      <c r="L29" s="13">
        <f t="shared" si="39"/>
        <v>0.10526729559748435</v>
      </c>
      <c r="M29" s="13">
        <f t="shared" si="39"/>
        <v>0.10545256813417192</v>
      </c>
      <c r="N29" s="13">
        <f t="shared" si="39"/>
        <v>0.10561691037735854</v>
      </c>
      <c r="O29" s="13">
        <f t="shared" si="39"/>
        <v>0.10576034085429774</v>
      </c>
      <c r="P29" s="13">
        <f t="shared" si="39"/>
        <v>0.10588287599921382</v>
      </c>
      <c r="Q29" s="13">
        <f t="shared" si="39"/>
        <v>0.10598453015515466</v>
      </c>
      <c r="R29" s="13">
        <f t="shared" si="39"/>
        <v>0.10606531557563455</v>
      </c>
      <c r="S29" s="13">
        <f t="shared" si="39"/>
        <v>0.10612524242606909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2026-09-28T19:49:48Z</dcterms:modified>
</cp:coreProperties>
</file>