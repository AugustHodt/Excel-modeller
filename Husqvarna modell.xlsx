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BE7966A9-DB81-1243-86A1-74C5889F54B2}" xr6:coauthVersionLast="47" xr6:coauthVersionMax="47" xr10:uidLastSave="{00000000-0000-0000-0000-000000000000}"/>
  <bookViews>
    <workbookView xWindow="0" yWindow="740" windowWidth="29400" windowHeight="17240" activeTab="2" xr2:uid="{5AE0DF26-B7DD-1242-A60E-253C73A930AF}"/>
  </bookViews>
  <sheets>
    <sheet name="Info" sheetId="1" r:id="rId1"/>
    <sheet name="Modell" sheetId="2" r:id="rId2"/>
    <sheet name="Segementer" sheetId="4" r:id="rId3"/>
    <sheet name="SOTP" sheetId="6" r:id="rId4"/>
    <sheet name="Nøkkeltall" sheetId="3" r:id="rId5"/>
    <sheet name="Nedsideberegning" sheetId="5" r:id="rId6"/>
  </sheets>
  <definedNames>
    <definedName name="_xlchart.v1.0" hidden="1">SOTP!$A$61:$A$68</definedName>
    <definedName name="_xlchart.v1.1" hidden="1">SOTP!$B$61:$B$68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A4" i="6"/>
  <c r="AN9" i="2"/>
  <c r="AO9" i="2" s="1"/>
  <c r="AP9" i="2" s="1"/>
  <c r="AQ9" i="2" s="1"/>
  <c r="AR9" i="2" s="1"/>
  <c r="AS9" i="2" s="1"/>
  <c r="AM9" i="2"/>
  <c r="AM8" i="2"/>
  <c r="AN8" i="2" s="1"/>
  <c r="AO8" i="2" s="1"/>
  <c r="AP8" i="2" s="1"/>
  <c r="AQ8" i="2" s="1"/>
  <c r="AR8" i="2" s="1"/>
  <c r="AS8" i="2" s="1"/>
  <c r="AM7" i="2"/>
  <c r="AN7" i="2" s="1"/>
  <c r="AO7" i="2" s="1"/>
  <c r="AP7" i="2" s="1"/>
  <c r="AQ7" i="2" s="1"/>
  <c r="AR7" i="2" s="1"/>
  <c r="AS7" i="2" s="1"/>
  <c r="AL9" i="2"/>
  <c r="AL8" i="2"/>
  <c r="AL7" i="2"/>
  <c r="AK5" i="2"/>
  <c r="AL5" i="2"/>
  <c r="AM5" i="2"/>
  <c r="AN5" i="2"/>
  <c r="AO5" i="2"/>
  <c r="AP5" i="2"/>
  <c r="AQ5" i="2"/>
  <c r="AR5" i="2"/>
  <c r="AS5" i="2"/>
  <c r="AJ5" i="2"/>
  <c r="B12" i="2"/>
  <c r="G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U26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AG25" i="2"/>
  <c r="AF25" i="2"/>
  <c r="AF24" i="2"/>
  <c r="AG24" i="2"/>
  <c r="AH25" i="2"/>
  <c r="AI25" i="2"/>
  <c r="AH24" i="2"/>
  <c r="AI24" i="2"/>
  <c r="B8" i="2"/>
  <c r="B7" i="2"/>
  <c r="AJ4" i="2"/>
  <c r="AI82" i="2"/>
  <c r="AI76" i="2"/>
  <c r="AI73" i="2"/>
  <c r="AF63" i="2"/>
  <c r="AF47" i="2"/>
  <c r="AF44" i="2"/>
  <c r="AG63" i="2"/>
  <c r="AG47" i="2"/>
  <c r="AG44" i="2"/>
  <c r="AH63" i="2"/>
  <c r="AH47" i="2"/>
  <c r="AH44" i="2"/>
  <c r="AI63" i="2"/>
  <c r="AI47" i="2"/>
  <c r="AI44" i="2"/>
  <c r="U6" i="2"/>
  <c r="U20" i="2" s="1"/>
  <c r="U83" i="2"/>
  <c r="U77" i="2"/>
  <c r="U74" i="2"/>
  <c r="U89" i="2" s="1"/>
  <c r="U63" i="2"/>
  <c r="U47" i="2"/>
  <c r="U44" i="2"/>
  <c r="T6" i="2"/>
  <c r="T20" i="2" s="1"/>
  <c r="V20" i="2"/>
  <c r="W20" i="2"/>
  <c r="V21" i="2"/>
  <c r="W21" i="2"/>
  <c r="T18" i="2"/>
  <c r="U18" i="2"/>
  <c r="V18" i="2"/>
  <c r="W18" i="2"/>
  <c r="O28" i="5"/>
  <c r="O29" i="5"/>
  <c r="O30" i="5"/>
  <c r="O7" i="5"/>
  <c r="AJ7" i="2"/>
  <c r="AK7" i="2" s="1"/>
  <c r="AJ8" i="2"/>
  <c r="AK8" i="2" s="1"/>
  <c r="AJ9" i="2"/>
  <c r="AK9" i="2" s="1"/>
  <c r="O8" i="5"/>
  <c r="O9" i="5"/>
  <c r="N39" i="5"/>
  <c r="N27" i="5"/>
  <c r="N40" i="5" s="1"/>
  <c r="N18" i="5"/>
  <c r="N6" i="5"/>
  <c r="N19" i="5" s="1"/>
  <c r="AK4" i="2"/>
  <c r="B65" i="6"/>
  <c r="H13" i="6"/>
  <c r="I13" i="6" s="1"/>
  <c r="B67" i="6" s="1"/>
  <c r="H12" i="6"/>
  <c r="I12" i="6" s="1"/>
  <c r="B66" i="6" s="1"/>
  <c r="I9" i="6"/>
  <c r="B63" i="6" s="1"/>
  <c r="I8" i="6"/>
  <c r="B62" i="6" s="1"/>
  <c r="H9" i="6"/>
  <c r="H8" i="6"/>
  <c r="H7" i="6"/>
  <c r="I7" i="6" s="1"/>
  <c r="Z21" i="4"/>
  <c r="Y21" i="4"/>
  <c r="X21" i="4"/>
  <c r="W21" i="4"/>
  <c r="AA20" i="4"/>
  <c r="Z18" i="4"/>
  <c r="Y18" i="4"/>
  <c r="X18" i="4"/>
  <c r="W18" i="4"/>
  <c r="AA17" i="4"/>
  <c r="AA18" i="4" s="1"/>
  <c r="Z15" i="4"/>
  <c r="Y15" i="4"/>
  <c r="X15" i="4"/>
  <c r="W15" i="4"/>
  <c r="AA14" i="4"/>
  <c r="Z12" i="4"/>
  <c r="Y12" i="4"/>
  <c r="X12" i="4"/>
  <c r="W12" i="4"/>
  <c r="AA11" i="4"/>
  <c r="AA12" i="4" s="1"/>
  <c r="Z9" i="4"/>
  <c r="Y9" i="4"/>
  <c r="X9" i="4"/>
  <c r="W9" i="4"/>
  <c r="AA8" i="4"/>
  <c r="Z6" i="4"/>
  <c r="Y6" i="4"/>
  <c r="X6" i="4"/>
  <c r="W6" i="4"/>
  <c r="AA5" i="4"/>
  <c r="AA6" i="4" s="1"/>
  <c r="S73" i="2"/>
  <c r="S74" i="2" s="1"/>
  <c r="S89" i="2" s="1"/>
  <c r="V8" i="4"/>
  <c r="R73" i="2"/>
  <c r="R74" i="2" s="1"/>
  <c r="T83" i="2"/>
  <c r="S83" i="2"/>
  <c r="R83" i="2"/>
  <c r="T77" i="2"/>
  <c r="S77" i="2"/>
  <c r="R77" i="2"/>
  <c r="T74" i="2"/>
  <c r="T89" i="2" s="1"/>
  <c r="T63" i="2"/>
  <c r="S63" i="2"/>
  <c r="R63" i="2"/>
  <c r="T47" i="2"/>
  <c r="S47" i="2"/>
  <c r="R47" i="2"/>
  <c r="T44" i="2"/>
  <c r="S44" i="2"/>
  <c r="R44" i="2"/>
  <c r="AG64" i="2" l="1"/>
  <c r="AF64" i="2"/>
  <c r="AI64" i="2"/>
  <c r="AL4" i="2"/>
  <c r="AM4" i="2" s="1"/>
  <c r="AN4" i="2" s="1"/>
  <c r="AO4" i="2" s="1"/>
  <c r="AP4" i="2" s="1"/>
  <c r="AQ4" i="2" s="1"/>
  <c r="AR4" i="2" s="1"/>
  <c r="AS4" i="2" s="1"/>
  <c r="AH64" i="2"/>
  <c r="AI86" i="2"/>
  <c r="AI88" i="2"/>
  <c r="U87" i="2"/>
  <c r="U64" i="2"/>
  <c r="U10" i="2"/>
  <c r="U21" i="2" s="1"/>
  <c r="T10" i="2"/>
  <c r="T12" i="2" s="1"/>
  <c r="T14" i="2" s="1"/>
  <c r="T16" i="2" s="1"/>
  <c r="B61" i="6"/>
  <c r="I10" i="6"/>
  <c r="H10" i="6"/>
  <c r="H14" i="6" s="1"/>
  <c r="AA21" i="4"/>
  <c r="AA9" i="4"/>
  <c r="N31" i="5"/>
  <c r="N10" i="5"/>
  <c r="AA15" i="4"/>
  <c r="T64" i="2"/>
  <c r="S87" i="2"/>
  <c r="T87" i="2"/>
  <c r="R64" i="2"/>
  <c r="S64" i="2"/>
  <c r="R87" i="2"/>
  <c r="R89" i="2"/>
  <c r="U12" i="2" l="1"/>
  <c r="U14" i="2" s="1"/>
  <c r="U16" i="2" s="1"/>
  <c r="U67" i="2"/>
  <c r="T21" i="2"/>
  <c r="T67" i="2"/>
  <c r="I14" i="6"/>
  <c r="B68" i="6" s="1"/>
  <c r="B64" i="6"/>
  <c r="N41" i="5"/>
  <c r="N33" i="5"/>
  <c r="N35" i="5" s="1"/>
  <c r="N37" i="5" s="1"/>
  <c r="N20" i="5"/>
  <c r="N12" i="5"/>
  <c r="N14" i="5" s="1"/>
  <c r="N16" i="5" s="1"/>
  <c r="P29" i="5"/>
  <c r="Q29" i="5" s="1"/>
  <c r="R29" i="5" s="1"/>
  <c r="S29" i="5" s="1"/>
  <c r="T29" i="5" s="1"/>
  <c r="U29" i="5" s="1"/>
  <c r="V29" i="5" s="1"/>
  <c r="W29" i="5" s="1"/>
  <c r="X29" i="5" s="1"/>
  <c r="P30" i="5"/>
  <c r="Q30" i="5" s="1"/>
  <c r="R30" i="5" s="1"/>
  <c r="S30" i="5" s="1"/>
  <c r="T30" i="5" s="1"/>
  <c r="U30" i="5" s="1"/>
  <c r="V30" i="5" s="1"/>
  <c r="W30" i="5" s="1"/>
  <c r="X30" i="5" s="1"/>
  <c r="P28" i="5"/>
  <c r="Q28" i="5" s="1"/>
  <c r="R28" i="5" s="1"/>
  <c r="S28" i="5" s="1"/>
  <c r="T28" i="5" s="1"/>
  <c r="U28" i="5" s="1"/>
  <c r="V28" i="5" s="1"/>
  <c r="W28" i="5" s="1"/>
  <c r="X28" i="5" s="1"/>
  <c r="O25" i="5"/>
  <c r="H41" i="5"/>
  <c r="J40" i="5"/>
  <c r="I40" i="5"/>
  <c r="H40" i="5"/>
  <c r="M39" i="5"/>
  <c r="L39" i="5"/>
  <c r="K39" i="5"/>
  <c r="J39" i="5"/>
  <c r="I39" i="5"/>
  <c r="H39" i="5"/>
  <c r="G39" i="5"/>
  <c r="F39" i="5"/>
  <c r="E39" i="5"/>
  <c r="M32" i="5"/>
  <c r="L32" i="5"/>
  <c r="K32" i="5"/>
  <c r="J32" i="5"/>
  <c r="I32" i="5"/>
  <c r="H32" i="5"/>
  <c r="G32" i="5"/>
  <c r="F32" i="5"/>
  <c r="E32" i="5"/>
  <c r="D32" i="5"/>
  <c r="J31" i="5"/>
  <c r="J33" i="5" s="1"/>
  <c r="J35" i="5" s="1"/>
  <c r="J37" i="5" s="1"/>
  <c r="H31" i="5"/>
  <c r="H33" i="5" s="1"/>
  <c r="H35" i="5" s="1"/>
  <c r="H37" i="5" s="1"/>
  <c r="F31" i="5"/>
  <c r="K30" i="5"/>
  <c r="J30" i="5"/>
  <c r="I30" i="5"/>
  <c r="H30" i="5"/>
  <c r="G30" i="5"/>
  <c r="G31" i="5" s="1"/>
  <c r="F30" i="5"/>
  <c r="D30" i="5"/>
  <c r="M27" i="5"/>
  <c r="L27" i="5"/>
  <c r="K27" i="5"/>
  <c r="K31" i="5" s="1"/>
  <c r="J27" i="5"/>
  <c r="I27" i="5"/>
  <c r="I31" i="5" s="1"/>
  <c r="H27" i="5"/>
  <c r="G27" i="5"/>
  <c r="G40" i="5" s="1"/>
  <c r="F27" i="5"/>
  <c r="F40" i="5" s="1"/>
  <c r="E27" i="5"/>
  <c r="D27" i="5"/>
  <c r="D40" i="5" s="1"/>
  <c r="O4" i="5"/>
  <c r="P4" i="5"/>
  <c r="Q4" i="5"/>
  <c r="R4" i="5"/>
  <c r="S4" i="5"/>
  <c r="T4" i="5" s="1"/>
  <c r="U4" i="5" s="1"/>
  <c r="V4" i="5" s="1"/>
  <c r="W4" i="5" s="1"/>
  <c r="X4" i="5" s="1"/>
  <c r="P8" i="5"/>
  <c r="Q8" i="5" s="1"/>
  <c r="R8" i="5" s="1"/>
  <c r="S8" i="5" s="1"/>
  <c r="T8" i="5" s="1"/>
  <c r="U8" i="5" s="1"/>
  <c r="V8" i="5" s="1"/>
  <c r="W8" i="5" s="1"/>
  <c r="X8" i="5" s="1"/>
  <c r="P9" i="5"/>
  <c r="Q9" i="5" s="1"/>
  <c r="R9" i="5" s="1"/>
  <c r="S9" i="5" s="1"/>
  <c r="T9" i="5" s="1"/>
  <c r="U9" i="5" s="1"/>
  <c r="V9" i="5" s="1"/>
  <c r="W9" i="5" s="1"/>
  <c r="X9" i="5" s="1"/>
  <c r="P7" i="5"/>
  <c r="Q7" i="5" s="1"/>
  <c r="R7" i="5" s="1"/>
  <c r="S7" i="5" s="1"/>
  <c r="T7" i="5" s="1"/>
  <c r="U7" i="5" s="1"/>
  <c r="V7" i="5" s="1"/>
  <c r="W7" i="5" s="1"/>
  <c r="X7" i="5" s="1"/>
  <c r="M20" i="5"/>
  <c r="L19" i="5"/>
  <c r="K19" i="5"/>
  <c r="J19" i="5"/>
  <c r="I19" i="5"/>
  <c r="D19" i="5"/>
  <c r="M18" i="5"/>
  <c r="L18" i="5"/>
  <c r="K18" i="5"/>
  <c r="J18" i="5"/>
  <c r="I18" i="5"/>
  <c r="H18" i="5"/>
  <c r="G18" i="5"/>
  <c r="F18" i="5"/>
  <c r="E18" i="5"/>
  <c r="M11" i="5"/>
  <c r="L11" i="5"/>
  <c r="K11" i="5"/>
  <c r="J11" i="5"/>
  <c r="I11" i="5"/>
  <c r="H11" i="5"/>
  <c r="G11" i="5"/>
  <c r="F11" i="5"/>
  <c r="E11" i="5"/>
  <c r="D11" i="5"/>
  <c r="M10" i="5"/>
  <c r="M12" i="5" s="1"/>
  <c r="M14" i="5" s="1"/>
  <c r="M16" i="5" s="1"/>
  <c r="L10" i="5"/>
  <c r="L12" i="5" s="1"/>
  <c r="L14" i="5" s="1"/>
  <c r="L16" i="5" s="1"/>
  <c r="K10" i="5"/>
  <c r="K20" i="5" s="1"/>
  <c r="J10" i="5"/>
  <c r="J20" i="5" s="1"/>
  <c r="I10" i="5"/>
  <c r="I20" i="5" s="1"/>
  <c r="H10" i="5"/>
  <c r="K9" i="5"/>
  <c r="J9" i="5"/>
  <c r="I9" i="5"/>
  <c r="H9" i="5"/>
  <c r="G9" i="5"/>
  <c r="F9" i="5"/>
  <c r="D9" i="5"/>
  <c r="D10" i="5" s="1"/>
  <c r="M6" i="5"/>
  <c r="M19" i="5" s="1"/>
  <c r="L6" i="5"/>
  <c r="K6" i="5"/>
  <c r="J6" i="5"/>
  <c r="I6" i="5"/>
  <c r="H6" i="5"/>
  <c r="H19" i="5" s="1"/>
  <c r="G6" i="5"/>
  <c r="F6" i="5"/>
  <c r="E6" i="5"/>
  <c r="E19" i="5" s="1"/>
  <c r="D6" i="5"/>
  <c r="O26" i="5" l="1"/>
  <c r="O27" i="5" s="1"/>
  <c r="P25" i="5"/>
  <c r="Q25" i="5" s="1"/>
  <c r="R25" i="5" s="1"/>
  <c r="S25" i="5" s="1"/>
  <c r="T25" i="5" s="1"/>
  <c r="U25" i="5" s="1"/>
  <c r="V25" i="5" s="1"/>
  <c r="W25" i="5" s="1"/>
  <c r="X25" i="5" s="1"/>
  <c r="O39" i="5"/>
  <c r="I33" i="5"/>
  <c r="I35" i="5" s="1"/>
  <c r="I37" i="5" s="1"/>
  <c r="I41" i="5"/>
  <c r="K41" i="5"/>
  <c r="K33" i="5"/>
  <c r="K35" i="5" s="1"/>
  <c r="K37" i="5" s="1"/>
  <c r="G41" i="5"/>
  <c r="G33" i="5"/>
  <c r="G35" i="5" s="1"/>
  <c r="G37" i="5" s="1"/>
  <c r="M40" i="5"/>
  <c r="M31" i="5"/>
  <c r="P26" i="5"/>
  <c r="P27" i="5" s="1"/>
  <c r="L40" i="5"/>
  <c r="L31" i="5"/>
  <c r="D31" i="5"/>
  <c r="J41" i="5"/>
  <c r="K40" i="5"/>
  <c r="E40" i="5"/>
  <c r="E31" i="5"/>
  <c r="F33" i="5"/>
  <c r="F35" i="5" s="1"/>
  <c r="F37" i="5" s="1"/>
  <c r="F41" i="5"/>
  <c r="O5" i="5"/>
  <c r="AK18" i="2"/>
  <c r="D12" i="5"/>
  <c r="D14" i="5" s="1"/>
  <c r="D16" i="5" s="1"/>
  <c r="D20" i="5"/>
  <c r="L20" i="5"/>
  <c r="H12" i="5"/>
  <c r="H14" i="5" s="1"/>
  <c r="H16" i="5" s="1"/>
  <c r="H20" i="5"/>
  <c r="I12" i="5"/>
  <c r="I14" i="5" s="1"/>
  <c r="I16" i="5" s="1"/>
  <c r="J12" i="5"/>
  <c r="J14" i="5" s="1"/>
  <c r="J16" i="5" s="1"/>
  <c r="K12" i="5"/>
  <c r="K14" i="5" s="1"/>
  <c r="K16" i="5" s="1"/>
  <c r="F19" i="5"/>
  <c r="F10" i="5"/>
  <c r="G10" i="5"/>
  <c r="G19" i="5"/>
  <c r="E10" i="5"/>
  <c r="D73" i="2"/>
  <c r="D74" i="2" s="1"/>
  <c r="D89" i="2" s="1"/>
  <c r="H73" i="2"/>
  <c r="H74" i="2" s="1"/>
  <c r="H89" i="2" s="1"/>
  <c r="F73" i="2"/>
  <c r="F74" i="2" s="1"/>
  <c r="F89" i="2" s="1"/>
  <c r="F6" i="2"/>
  <c r="F10" i="2" s="1"/>
  <c r="G83" i="2"/>
  <c r="G73" i="2"/>
  <c r="G74" i="2" s="1"/>
  <c r="G89" i="2" s="1"/>
  <c r="G6" i="2"/>
  <c r="G10" i="2" s="1"/>
  <c r="D6" i="2"/>
  <c r="D10" i="2" s="1"/>
  <c r="H6" i="2"/>
  <c r="H20" i="2" s="1"/>
  <c r="E73" i="2"/>
  <c r="E74" i="2" s="1"/>
  <c r="E89" i="2" s="1"/>
  <c r="I73" i="2"/>
  <c r="I74" i="2" s="1"/>
  <c r="I89" i="2" s="1"/>
  <c r="I63" i="2"/>
  <c r="E6" i="2"/>
  <c r="E10" i="2" s="1"/>
  <c r="I6" i="2"/>
  <c r="I10" i="2" s="1"/>
  <c r="J73" i="2"/>
  <c r="J74" i="2" s="1"/>
  <c r="J89" i="2" s="1"/>
  <c r="N73" i="2"/>
  <c r="N74" i="2" s="1"/>
  <c r="J6" i="2"/>
  <c r="J10" i="2" s="1"/>
  <c r="N6" i="2"/>
  <c r="N10" i="2" s="1"/>
  <c r="K73" i="2"/>
  <c r="K74" i="2" s="1"/>
  <c r="K89" i="2" s="1"/>
  <c r="O73" i="2"/>
  <c r="O74" i="2" s="1"/>
  <c r="O89" i="2" s="1"/>
  <c r="K6" i="2"/>
  <c r="K10" i="2" s="1"/>
  <c r="O6" i="2"/>
  <c r="O10" i="2" s="1"/>
  <c r="L73" i="2"/>
  <c r="L74" i="2" s="1"/>
  <c r="P73" i="2"/>
  <c r="P74" i="2" s="1"/>
  <c r="P89" i="2" s="1"/>
  <c r="L6" i="2"/>
  <c r="L10" i="2" s="1"/>
  <c r="P6" i="2"/>
  <c r="P10" i="2" s="1"/>
  <c r="V20" i="4"/>
  <c r="V17" i="4"/>
  <c r="V14" i="4"/>
  <c r="V11" i="4"/>
  <c r="V5" i="4"/>
  <c r="G20" i="4"/>
  <c r="G17" i="4"/>
  <c r="G14" i="4"/>
  <c r="G11" i="4"/>
  <c r="G8" i="4"/>
  <c r="G5" i="4"/>
  <c r="G9" i="4" s="1"/>
  <c r="L14" i="4"/>
  <c r="L8" i="4"/>
  <c r="L5" i="4"/>
  <c r="L11" i="4"/>
  <c r="L12" i="4" s="1"/>
  <c r="L20" i="4"/>
  <c r="L17" i="4"/>
  <c r="Q20" i="4"/>
  <c r="Q17" i="4"/>
  <c r="Q14" i="4"/>
  <c r="Q11" i="4"/>
  <c r="Q8" i="4"/>
  <c r="Q5" i="4"/>
  <c r="Q9" i="4" s="1"/>
  <c r="U21" i="4"/>
  <c r="T21" i="4"/>
  <c r="S21" i="4"/>
  <c r="R21" i="4"/>
  <c r="P21" i="4"/>
  <c r="O21" i="4"/>
  <c r="N21" i="4"/>
  <c r="M21" i="4"/>
  <c r="K21" i="4"/>
  <c r="J21" i="4"/>
  <c r="I21" i="4"/>
  <c r="H21" i="4"/>
  <c r="F21" i="4"/>
  <c r="E21" i="4"/>
  <c r="D21" i="4"/>
  <c r="C21" i="4"/>
  <c r="U18" i="4"/>
  <c r="T18" i="4"/>
  <c r="S18" i="4"/>
  <c r="R18" i="4"/>
  <c r="P18" i="4"/>
  <c r="O18" i="4"/>
  <c r="N18" i="4"/>
  <c r="M18" i="4"/>
  <c r="K18" i="4"/>
  <c r="J18" i="4"/>
  <c r="I18" i="4"/>
  <c r="H18" i="4"/>
  <c r="U15" i="4"/>
  <c r="T15" i="4"/>
  <c r="S15" i="4"/>
  <c r="R15" i="4"/>
  <c r="P15" i="4"/>
  <c r="O15" i="4"/>
  <c r="N15" i="4"/>
  <c r="M15" i="4"/>
  <c r="K15" i="4"/>
  <c r="J15" i="4"/>
  <c r="I15" i="4"/>
  <c r="H15" i="4"/>
  <c r="F15" i="4"/>
  <c r="E15" i="4"/>
  <c r="D15" i="4"/>
  <c r="C15" i="4"/>
  <c r="U12" i="4"/>
  <c r="T12" i="4"/>
  <c r="S12" i="4"/>
  <c r="R12" i="4"/>
  <c r="P12" i="4"/>
  <c r="O12" i="4"/>
  <c r="N12" i="4"/>
  <c r="M12" i="4"/>
  <c r="K12" i="4"/>
  <c r="J12" i="4"/>
  <c r="I12" i="4"/>
  <c r="H12" i="4"/>
  <c r="C9" i="4"/>
  <c r="D9" i="4"/>
  <c r="E9" i="4"/>
  <c r="F9" i="4"/>
  <c r="H9" i="4"/>
  <c r="I9" i="4"/>
  <c r="J9" i="4"/>
  <c r="K9" i="4"/>
  <c r="M9" i="4"/>
  <c r="N9" i="4"/>
  <c r="O9" i="4"/>
  <c r="P9" i="4"/>
  <c r="R9" i="4"/>
  <c r="T9" i="4"/>
  <c r="U9" i="4"/>
  <c r="H6" i="4"/>
  <c r="I6" i="4"/>
  <c r="J6" i="4"/>
  <c r="K6" i="4"/>
  <c r="M6" i="4"/>
  <c r="N6" i="4"/>
  <c r="O6" i="4"/>
  <c r="P6" i="4"/>
  <c r="Q6" i="4"/>
  <c r="R6" i="4"/>
  <c r="T6" i="4"/>
  <c r="U6" i="4"/>
  <c r="S6" i="4"/>
  <c r="S9" i="4"/>
  <c r="AJ6" i="2"/>
  <c r="AJ10" i="2" s="1"/>
  <c r="Y81" i="2"/>
  <c r="Y80" i="2"/>
  <c r="Y72" i="2"/>
  <c r="Y68" i="2"/>
  <c r="Z81" i="2"/>
  <c r="Z80" i="2"/>
  <c r="Z72" i="2"/>
  <c r="Z68" i="2"/>
  <c r="Y11" i="2"/>
  <c r="Y9" i="2"/>
  <c r="Y6" i="2"/>
  <c r="Y20" i="2" s="1"/>
  <c r="Z11" i="2"/>
  <c r="Z6" i="2"/>
  <c r="Z20" i="2" s="1"/>
  <c r="AA81" i="2"/>
  <c r="AA80" i="2"/>
  <c r="AA72" i="2"/>
  <c r="AA68" i="2"/>
  <c r="AB81" i="2"/>
  <c r="AB80" i="2"/>
  <c r="AB72" i="2"/>
  <c r="AB68" i="2"/>
  <c r="AA11" i="2"/>
  <c r="AA9" i="2"/>
  <c r="AA6" i="2"/>
  <c r="AA20" i="2" s="1"/>
  <c r="AB11" i="2"/>
  <c r="AB9" i="2"/>
  <c r="AB6" i="2"/>
  <c r="AB20" i="2" s="1"/>
  <c r="AC81" i="2"/>
  <c r="AC80" i="2"/>
  <c r="AC72" i="2"/>
  <c r="AC68" i="2"/>
  <c r="AD81" i="2"/>
  <c r="AD80" i="2"/>
  <c r="AD72" i="2"/>
  <c r="AD68" i="2"/>
  <c r="AC11" i="2"/>
  <c r="AC9" i="2"/>
  <c r="AC6" i="2"/>
  <c r="AD11" i="2"/>
  <c r="AD9" i="2"/>
  <c r="AD6" i="2"/>
  <c r="AD10" i="2" s="1"/>
  <c r="AE81" i="2"/>
  <c r="AE80" i="2"/>
  <c r="AF81" i="2"/>
  <c r="AF80" i="2"/>
  <c r="AE72" i="2"/>
  <c r="AE68" i="2"/>
  <c r="AF72" i="2"/>
  <c r="AF68" i="2"/>
  <c r="AF73" i="2" s="1"/>
  <c r="AF88" i="2" s="1"/>
  <c r="AE11" i="2"/>
  <c r="AE9" i="2"/>
  <c r="AE6" i="2"/>
  <c r="AE20" i="2" s="1"/>
  <c r="AF11" i="2"/>
  <c r="AF9" i="2"/>
  <c r="AF6" i="2"/>
  <c r="AG81" i="2"/>
  <c r="AG80" i="2"/>
  <c r="AG82" i="2" s="1"/>
  <c r="AG72" i="2"/>
  <c r="AG68" i="2"/>
  <c r="AH81" i="2"/>
  <c r="AH80" i="2"/>
  <c r="AH75" i="2"/>
  <c r="AH76" i="2" s="1"/>
  <c r="AH72" i="2"/>
  <c r="AH68" i="2"/>
  <c r="AH73" i="2" s="1"/>
  <c r="AG76" i="2"/>
  <c r="AF76" i="2"/>
  <c r="AE76" i="2"/>
  <c r="AD76" i="2"/>
  <c r="AC76" i="2"/>
  <c r="AB76" i="2"/>
  <c r="AA76" i="2"/>
  <c r="Z76" i="2"/>
  <c r="Y76" i="2"/>
  <c r="Z18" i="2"/>
  <c r="AA18" i="2"/>
  <c r="AB18" i="2"/>
  <c r="AC18" i="2"/>
  <c r="AD18" i="2"/>
  <c r="AE18" i="2"/>
  <c r="AF18" i="2"/>
  <c r="AG18" i="2"/>
  <c r="AH18" i="2"/>
  <c r="AG11" i="2"/>
  <c r="AG6" i="2"/>
  <c r="AG10" i="2" s="1"/>
  <c r="AH11" i="2"/>
  <c r="AH6" i="2"/>
  <c r="AH10" i="2" s="1"/>
  <c r="M73" i="2"/>
  <c r="M74" i="2" s="1"/>
  <c r="D83" i="2"/>
  <c r="E83" i="2"/>
  <c r="F83" i="2"/>
  <c r="H83" i="2"/>
  <c r="I83" i="2"/>
  <c r="J83" i="2"/>
  <c r="K83" i="2"/>
  <c r="L83" i="2"/>
  <c r="M83" i="2"/>
  <c r="N83" i="2"/>
  <c r="O83" i="2"/>
  <c r="P83" i="2"/>
  <c r="Q83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Q73" i="2"/>
  <c r="Q74" i="2" s="1"/>
  <c r="Q89" i="2" s="1"/>
  <c r="D63" i="2"/>
  <c r="E63" i="2"/>
  <c r="F63" i="2"/>
  <c r="G63" i="2"/>
  <c r="H63" i="2"/>
  <c r="J63" i="2"/>
  <c r="K63" i="2"/>
  <c r="L63" i="2"/>
  <c r="M63" i="2"/>
  <c r="N63" i="2"/>
  <c r="O63" i="2"/>
  <c r="P63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63" i="2"/>
  <c r="Q47" i="2"/>
  <c r="Q44" i="2"/>
  <c r="H18" i="2"/>
  <c r="I18" i="2"/>
  <c r="J18" i="2"/>
  <c r="K18" i="2"/>
  <c r="L18" i="2"/>
  <c r="M18" i="2"/>
  <c r="N18" i="2"/>
  <c r="O18" i="2"/>
  <c r="P18" i="2"/>
  <c r="R18" i="2"/>
  <c r="S18" i="2"/>
  <c r="Q18" i="2"/>
  <c r="M6" i="2"/>
  <c r="M10" i="2" s="1"/>
  <c r="M12" i="2" s="1"/>
  <c r="M14" i="2" s="1"/>
  <c r="M16" i="2" s="1"/>
  <c r="R6" i="2"/>
  <c r="R10" i="2" s="1"/>
  <c r="S6" i="2"/>
  <c r="S10" i="2" s="1"/>
  <c r="Q6" i="2"/>
  <c r="Q10" i="2" s="1"/>
  <c r="Q67" i="2" s="1"/>
  <c r="B6" i="2"/>
  <c r="AG12" i="2" l="1"/>
  <c r="AG14" i="2" s="1"/>
  <c r="AG16" i="2" s="1"/>
  <c r="AH82" i="2"/>
  <c r="P20" i="2"/>
  <c r="Z82" i="2"/>
  <c r="B9" i="2"/>
  <c r="D5" i="3" s="1"/>
  <c r="B14" i="2"/>
  <c r="O40" i="5"/>
  <c r="O31" i="5"/>
  <c r="O33" i="5" s="1"/>
  <c r="P39" i="5"/>
  <c r="AG20" i="2"/>
  <c r="AF82" i="2"/>
  <c r="AE73" i="2"/>
  <c r="AE86" i="2" s="1"/>
  <c r="AG66" i="2"/>
  <c r="Y73" i="2"/>
  <c r="Y88" i="2" s="1"/>
  <c r="AA73" i="2"/>
  <c r="AA88" i="2" s="1"/>
  <c r="AH12" i="2"/>
  <c r="AH14" i="2" s="1"/>
  <c r="AH16" i="2" s="1"/>
  <c r="AG73" i="2"/>
  <c r="AG88" i="2" s="1"/>
  <c r="AE82" i="2"/>
  <c r="AD73" i="2"/>
  <c r="AG21" i="2"/>
  <c r="AA82" i="2"/>
  <c r="M20" i="2"/>
  <c r="AD82" i="2"/>
  <c r="AD86" i="2" s="1"/>
  <c r="AB82" i="2"/>
  <c r="AH88" i="2"/>
  <c r="AH21" i="2"/>
  <c r="Y82" i="2"/>
  <c r="Z73" i="2"/>
  <c r="Z88" i="2" s="1"/>
  <c r="J20" i="2"/>
  <c r="R12" i="2"/>
  <c r="R14" i="2" s="1"/>
  <c r="R16" i="2" s="1"/>
  <c r="R67" i="2"/>
  <c r="D64" i="2"/>
  <c r="L64" i="2"/>
  <c r="S12" i="2"/>
  <c r="S14" i="2" s="1"/>
  <c r="S16" i="2" s="1"/>
  <c r="S67" i="2"/>
  <c r="F64" i="2"/>
  <c r="M67" i="2"/>
  <c r="AF10" i="2"/>
  <c r="AF12" i="2" s="1"/>
  <c r="AF14" i="2" s="1"/>
  <c r="AF16" i="2" s="1"/>
  <c r="AC73" i="2"/>
  <c r="AC88" i="2" s="1"/>
  <c r="R20" i="2"/>
  <c r="P40" i="5"/>
  <c r="P31" i="5"/>
  <c r="L41" i="5"/>
  <c r="L33" i="5"/>
  <c r="L35" i="5" s="1"/>
  <c r="L37" i="5" s="1"/>
  <c r="D33" i="5"/>
  <c r="D35" i="5" s="1"/>
  <c r="D37" i="5" s="1"/>
  <c r="D41" i="5"/>
  <c r="E33" i="5"/>
  <c r="E35" i="5" s="1"/>
  <c r="E37" i="5" s="1"/>
  <c r="E41" i="5"/>
  <c r="Q39" i="5"/>
  <c r="Q26" i="5"/>
  <c r="Q27" i="5"/>
  <c r="M33" i="5"/>
  <c r="M35" i="5" s="1"/>
  <c r="M37" i="5" s="1"/>
  <c r="M41" i="5"/>
  <c r="P5" i="5"/>
  <c r="AK6" i="2"/>
  <c r="F12" i="5"/>
  <c r="F14" i="5" s="1"/>
  <c r="F16" i="5" s="1"/>
  <c r="F20" i="5"/>
  <c r="O6" i="5"/>
  <c r="O18" i="5"/>
  <c r="G12" i="5"/>
  <c r="G14" i="5" s="1"/>
  <c r="G16" i="5" s="1"/>
  <c r="G20" i="5"/>
  <c r="E20" i="5"/>
  <c r="E12" i="5"/>
  <c r="E14" i="5" s="1"/>
  <c r="E16" i="5" s="1"/>
  <c r="AJ20" i="2"/>
  <c r="L9" i="4"/>
  <c r="V6" i="4"/>
  <c r="Q15" i="4"/>
  <c r="V9" i="4"/>
  <c r="Q21" i="4"/>
  <c r="V15" i="4"/>
  <c r="V12" i="4"/>
  <c r="L18" i="4"/>
  <c r="V18" i="4"/>
  <c r="L21" i="4"/>
  <c r="Q18" i="4"/>
  <c r="L15" i="4"/>
  <c r="G15" i="4"/>
  <c r="L6" i="4"/>
  <c r="G21" i="4"/>
  <c r="V21" i="4"/>
  <c r="Q64" i="2"/>
  <c r="Q87" i="2"/>
  <c r="AJ21" i="2"/>
  <c r="AJ12" i="2"/>
  <c r="AJ13" i="2" s="1"/>
  <c r="AJ14" i="2" s="1"/>
  <c r="AJ16" i="2" s="1"/>
  <c r="D6" i="3" s="1"/>
  <c r="AC82" i="2"/>
  <c r="O20" i="2"/>
  <c r="K87" i="2"/>
  <c r="S21" i="2"/>
  <c r="AB73" i="2"/>
  <c r="AB88" i="2" s="1"/>
  <c r="R21" i="2"/>
  <c r="K20" i="2"/>
  <c r="AH66" i="2"/>
  <c r="M21" i="2"/>
  <c r="G64" i="2"/>
  <c r="Q20" i="2"/>
  <c r="E20" i="2"/>
  <c r="S20" i="2"/>
  <c r="AH20" i="2"/>
  <c r="AC10" i="2"/>
  <c r="AC12" i="2" s="1"/>
  <c r="AC14" i="2" s="1"/>
  <c r="AC16" i="2" s="1"/>
  <c r="AI6" i="2"/>
  <c r="AJ18" i="2"/>
  <c r="AI18" i="2"/>
  <c r="D87" i="2"/>
  <c r="H87" i="2"/>
  <c r="F87" i="2"/>
  <c r="F20" i="2"/>
  <c r="F12" i="2"/>
  <c r="F14" i="2" s="1"/>
  <c r="F16" i="2" s="1"/>
  <c r="F67" i="2"/>
  <c r="F21" i="2"/>
  <c r="G87" i="2"/>
  <c r="G12" i="2"/>
  <c r="G14" i="2" s="1"/>
  <c r="G16" i="2" s="1"/>
  <c r="G67" i="2"/>
  <c r="G20" i="2"/>
  <c r="H64" i="2"/>
  <c r="D21" i="2"/>
  <c r="D12" i="2"/>
  <c r="D14" i="2" s="1"/>
  <c r="D16" i="2" s="1"/>
  <c r="D67" i="2"/>
  <c r="D20" i="2"/>
  <c r="H10" i="2"/>
  <c r="H21" i="2" s="1"/>
  <c r="E87" i="2"/>
  <c r="I87" i="2"/>
  <c r="E64" i="2"/>
  <c r="I64" i="2"/>
  <c r="E12" i="2"/>
  <c r="E14" i="2" s="1"/>
  <c r="E16" i="2" s="1"/>
  <c r="E21" i="2"/>
  <c r="E67" i="2"/>
  <c r="I12" i="2"/>
  <c r="I14" i="2" s="1"/>
  <c r="I16" i="2" s="1"/>
  <c r="I67" i="2"/>
  <c r="I20" i="2"/>
  <c r="J87" i="2"/>
  <c r="N87" i="2"/>
  <c r="N89" i="2"/>
  <c r="J64" i="2"/>
  <c r="N64" i="2"/>
  <c r="J12" i="2"/>
  <c r="J14" i="2" s="1"/>
  <c r="J16" i="2" s="1"/>
  <c r="J67" i="2"/>
  <c r="N12" i="2"/>
  <c r="N14" i="2" s="1"/>
  <c r="N16" i="2" s="1"/>
  <c r="N67" i="2"/>
  <c r="N20" i="2"/>
  <c r="O87" i="2"/>
  <c r="K64" i="2"/>
  <c r="O64" i="2"/>
  <c r="K12" i="2"/>
  <c r="K14" i="2" s="1"/>
  <c r="K16" i="2" s="1"/>
  <c r="K67" i="2"/>
  <c r="K21" i="2"/>
  <c r="O12" i="2"/>
  <c r="O14" i="2" s="1"/>
  <c r="O16" i="2" s="1"/>
  <c r="O67" i="2"/>
  <c r="L87" i="2"/>
  <c r="L89" i="2"/>
  <c r="P87" i="2"/>
  <c r="P64" i="2"/>
  <c r="L21" i="2"/>
  <c r="L12" i="2"/>
  <c r="L14" i="2" s="1"/>
  <c r="L16" i="2" s="1"/>
  <c r="L67" i="2"/>
  <c r="L20" i="2"/>
  <c r="P67" i="2"/>
  <c r="P12" i="2"/>
  <c r="P14" i="2" s="1"/>
  <c r="P16" i="2" s="1"/>
  <c r="Q12" i="4"/>
  <c r="Y10" i="2"/>
  <c r="Y12" i="2" s="1"/>
  <c r="Y14" i="2" s="1"/>
  <c r="Y16" i="2" s="1"/>
  <c r="Z10" i="2"/>
  <c r="AA10" i="2"/>
  <c r="AB10" i="2"/>
  <c r="AB21" i="2" s="1"/>
  <c r="AD88" i="2"/>
  <c r="AC21" i="2"/>
  <c r="AC66" i="2"/>
  <c r="AC20" i="2"/>
  <c r="AD12" i="2"/>
  <c r="AD14" i="2" s="1"/>
  <c r="AD16" i="2" s="1"/>
  <c r="AD66" i="2"/>
  <c r="AD21" i="2"/>
  <c r="AD20" i="2"/>
  <c r="AF86" i="2"/>
  <c r="AE10" i="2"/>
  <c r="AF20" i="2"/>
  <c r="AH86" i="2"/>
  <c r="M87" i="2"/>
  <c r="M89" i="2"/>
  <c r="M64" i="2"/>
  <c r="G21" i="2"/>
  <c r="Q12" i="2"/>
  <c r="Q14" i="2" s="1"/>
  <c r="Q16" i="2" s="1"/>
  <c r="Q21" i="2"/>
  <c r="J21" i="2"/>
  <c r="I21" i="2"/>
  <c r="P21" i="2"/>
  <c r="O21" i="2"/>
  <c r="N21" i="2"/>
  <c r="AE88" i="2" l="1"/>
  <c r="Z86" i="2"/>
  <c r="O41" i="5"/>
  <c r="AG86" i="2"/>
  <c r="AF66" i="2"/>
  <c r="Y86" i="2"/>
  <c r="AF21" i="2"/>
  <c r="AA86" i="2"/>
  <c r="AC86" i="2"/>
  <c r="AB86" i="2"/>
  <c r="O34" i="5"/>
  <c r="O35" i="5" s="1"/>
  <c r="P33" i="5"/>
  <c r="P41" i="5"/>
  <c r="Q31" i="5"/>
  <c r="Q40" i="5"/>
  <c r="R39" i="5"/>
  <c r="R26" i="5"/>
  <c r="R27" i="5" s="1"/>
  <c r="Q5" i="5"/>
  <c r="AK10" i="2"/>
  <c r="AK20" i="2"/>
  <c r="AL6" i="2"/>
  <c r="AL18" i="2"/>
  <c r="P6" i="5"/>
  <c r="P18" i="5"/>
  <c r="O10" i="5"/>
  <c r="O19" i="5"/>
  <c r="AI20" i="2"/>
  <c r="AI10" i="2"/>
  <c r="H67" i="2"/>
  <c r="H12" i="2"/>
  <c r="H14" i="2" s="1"/>
  <c r="H16" i="2" s="1"/>
  <c r="Y66" i="2"/>
  <c r="Y21" i="2"/>
  <c r="Z21" i="2"/>
  <c r="Z12" i="2"/>
  <c r="Z14" i="2" s="1"/>
  <c r="Z16" i="2" s="1"/>
  <c r="Z66" i="2"/>
  <c r="AA12" i="2"/>
  <c r="AA14" i="2" s="1"/>
  <c r="AA16" i="2" s="1"/>
  <c r="AA66" i="2"/>
  <c r="AA21" i="2"/>
  <c r="AB66" i="2"/>
  <c r="AB12" i="2"/>
  <c r="AB14" i="2" s="1"/>
  <c r="AB16" i="2" s="1"/>
  <c r="AE21" i="2"/>
  <c r="AE12" i="2"/>
  <c r="AE14" i="2" s="1"/>
  <c r="AE16" i="2" s="1"/>
  <c r="AE66" i="2"/>
  <c r="AI21" i="2" l="1"/>
  <c r="AI66" i="2"/>
  <c r="R31" i="5"/>
  <c r="R40" i="5"/>
  <c r="O37" i="5"/>
  <c r="S39" i="5"/>
  <c r="S26" i="5"/>
  <c r="S27" i="5" s="1"/>
  <c r="Q33" i="5"/>
  <c r="Q41" i="5"/>
  <c r="P34" i="5"/>
  <c r="P35" i="5" s="1"/>
  <c r="R5" i="5"/>
  <c r="AI12" i="2"/>
  <c r="AI14" i="2" s="1"/>
  <c r="AI16" i="2" s="1"/>
  <c r="AL20" i="2"/>
  <c r="AL10" i="2"/>
  <c r="F5" i="3" s="1"/>
  <c r="AM6" i="2"/>
  <c r="AM18" i="2"/>
  <c r="AK12" i="2"/>
  <c r="AK13" i="2" s="1"/>
  <c r="AK14" i="2" s="1"/>
  <c r="AK16" i="2" s="1"/>
  <c r="E6" i="3" s="1"/>
  <c r="E5" i="3"/>
  <c r="AK21" i="2"/>
  <c r="Q6" i="5"/>
  <c r="Q18" i="5"/>
  <c r="O12" i="5"/>
  <c r="O20" i="5"/>
  <c r="P10" i="5"/>
  <c r="P19" i="5"/>
  <c r="S31" i="5" l="1"/>
  <c r="S40" i="5"/>
  <c r="P37" i="5"/>
  <c r="T39" i="5"/>
  <c r="T26" i="5"/>
  <c r="T27" i="5"/>
  <c r="Q34" i="5"/>
  <c r="Q35" i="5" s="1"/>
  <c r="Q37" i="5" s="1"/>
  <c r="R41" i="5"/>
  <c r="R33" i="5"/>
  <c r="S5" i="5"/>
  <c r="AM10" i="2"/>
  <c r="AM20" i="2"/>
  <c r="AL21" i="2"/>
  <c r="AL12" i="2"/>
  <c r="AL13" i="2" s="1"/>
  <c r="AL14" i="2" s="1"/>
  <c r="AL16" i="2" s="1"/>
  <c r="F6" i="3" s="1"/>
  <c r="AN6" i="2"/>
  <c r="AN18" i="2"/>
  <c r="O13" i="5"/>
  <c r="O14" i="5" s="1"/>
  <c r="Q10" i="5"/>
  <c r="Q19" i="5"/>
  <c r="P12" i="5"/>
  <c r="P20" i="5"/>
  <c r="R18" i="5"/>
  <c r="R6" i="5"/>
  <c r="R34" i="5" l="1"/>
  <c r="R35" i="5" s="1"/>
  <c r="T40" i="5"/>
  <c r="T31" i="5"/>
  <c r="U26" i="5"/>
  <c r="U39" i="5"/>
  <c r="U27" i="5"/>
  <c r="S33" i="5"/>
  <c r="S41" i="5"/>
  <c r="T5" i="5"/>
  <c r="AN20" i="2"/>
  <c r="AN10" i="2"/>
  <c r="AO6" i="2"/>
  <c r="AO18" i="2"/>
  <c r="AM21" i="2"/>
  <c r="AM12" i="2"/>
  <c r="AM13" i="2" s="1"/>
  <c r="AM14" i="2" s="1"/>
  <c r="Q20" i="5"/>
  <c r="Q12" i="5"/>
  <c r="R19" i="5"/>
  <c r="R10" i="5"/>
  <c r="P13" i="5"/>
  <c r="P14" i="5" s="1"/>
  <c r="S18" i="5"/>
  <c r="S6" i="5"/>
  <c r="O16" i="5"/>
  <c r="U40" i="5" l="1"/>
  <c r="U31" i="5"/>
  <c r="T33" i="5"/>
  <c r="T41" i="5"/>
  <c r="V26" i="5"/>
  <c r="V39" i="5"/>
  <c r="V27" i="5"/>
  <c r="R37" i="5"/>
  <c r="S34" i="5"/>
  <c r="S35" i="5" s="1"/>
  <c r="S37" i="5" s="1"/>
  <c r="U5" i="5"/>
  <c r="P16" i="5"/>
  <c r="AM16" i="2"/>
  <c r="AO20" i="2"/>
  <c r="AO10" i="2"/>
  <c r="AP6" i="2"/>
  <c r="AP18" i="2"/>
  <c r="AN21" i="2"/>
  <c r="AN12" i="2"/>
  <c r="AN13" i="2" s="1"/>
  <c r="AN14" i="2" s="1"/>
  <c r="AN16" i="2" s="1"/>
  <c r="T18" i="5"/>
  <c r="T6" i="5"/>
  <c r="R12" i="5"/>
  <c r="R20" i="5"/>
  <c r="Q13" i="5"/>
  <c r="Q14" i="5" s="1"/>
  <c r="Q16" i="5" s="1"/>
  <c r="S10" i="5"/>
  <c r="S19" i="5"/>
  <c r="V31" i="5" l="1"/>
  <c r="V40" i="5"/>
  <c r="W26" i="5"/>
  <c r="W39" i="5"/>
  <c r="W27" i="5"/>
  <c r="U33" i="5"/>
  <c r="U41" i="5"/>
  <c r="T34" i="5"/>
  <c r="T35" i="5" s="1"/>
  <c r="V5" i="5"/>
  <c r="AQ18" i="2"/>
  <c r="AQ6" i="2"/>
  <c r="AO12" i="2"/>
  <c r="AO13" i="2" s="1"/>
  <c r="AO14" i="2" s="1"/>
  <c r="AO16" i="2" s="1"/>
  <c r="AO21" i="2"/>
  <c r="AP10" i="2"/>
  <c r="AP20" i="2"/>
  <c r="R13" i="5"/>
  <c r="R14" i="5" s="1"/>
  <c r="R16" i="5" s="1"/>
  <c r="U6" i="5"/>
  <c r="U18" i="5"/>
  <c r="T19" i="5"/>
  <c r="T10" i="5"/>
  <c r="S20" i="5"/>
  <c r="S12" i="5"/>
  <c r="T37" i="5" l="1"/>
  <c r="U34" i="5"/>
  <c r="U35" i="5" s="1"/>
  <c r="U37" i="5" s="1"/>
  <c r="W31" i="5"/>
  <c r="W40" i="5"/>
  <c r="X39" i="5"/>
  <c r="X26" i="5"/>
  <c r="X27" i="5" s="1"/>
  <c r="V33" i="5"/>
  <c r="V41" i="5"/>
  <c r="X5" i="5"/>
  <c r="W5" i="5"/>
  <c r="AP21" i="2"/>
  <c r="AP12" i="2"/>
  <c r="AP13" i="2" s="1"/>
  <c r="AP14" i="2" s="1"/>
  <c r="AP16" i="2" s="1"/>
  <c r="AQ10" i="2"/>
  <c r="AQ20" i="2"/>
  <c r="AR6" i="2"/>
  <c r="AR18" i="2"/>
  <c r="T12" i="5"/>
  <c r="T20" i="5"/>
  <c r="V18" i="5"/>
  <c r="V6" i="5"/>
  <c r="U19" i="5"/>
  <c r="U10" i="5"/>
  <c r="S13" i="5"/>
  <c r="S14" i="5" s="1"/>
  <c r="S16" i="5" s="1"/>
  <c r="X40" i="5" l="1"/>
  <c r="X31" i="5"/>
  <c r="W41" i="5"/>
  <c r="W33" i="5"/>
  <c r="V34" i="5"/>
  <c r="V35" i="5" s="1"/>
  <c r="V37" i="5" s="1"/>
  <c r="AQ21" i="2"/>
  <c r="AQ12" i="2"/>
  <c r="AQ13" i="2" s="1"/>
  <c r="AQ14" i="2" s="1"/>
  <c r="AR10" i="2"/>
  <c r="AR20" i="2"/>
  <c r="AS18" i="2"/>
  <c r="AS6" i="2"/>
  <c r="U20" i="5"/>
  <c r="U12" i="5"/>
  <c r="W18" i="5"/>
  <c r="W6" i="5"/>
  <c r="V19" i="5"/>
  <c r="V10" i="5"/>
  <c r="T13" i="5"/>
  <c r="T14" i="5" s="1"/>
  <c r="T16" i="5" s="1"/>
  <c r="X41" i="5" l="1"/>
  <c r="X33" i="5"/>
  <c r="W34" i="5"/>
  <c r="W35" i="5" s="1"/>
  <c r="W37" i="5" s="1"/>
  <c r="AS10" i="2"/>
  <c r="AS20" i="2"/>
  <c r="AR12" i="2"/>
  <c r="AR13" i="2" s="1"/>
  <c r="AR14" i="2" s="1"/>
  <c r="AR16" i="2" s="1"/>
  <c r="AR21" i="2"/>
  <c r="AQ16" i="2"/>
  <c r="V20" i="5"/>
  <c r="V12" i="5"/>
  <c r="W10" i="5"/>
  <c r="W19" i="5"/>
  <c r="X6" i="5"/>
  <c r="X18" i="5"/>
  <c r="U13" i="5"/>
  <c r="U14" i="5" s="1"/>
  <c r="U16" i="5" s="1"/>
  <c r="X34" i="5" l="1"/>
  <c r="X35" i="5" s="1"/>
  <c r="Y35" i="5" s="1"/>
  <c r="Z35" i="5" s="1"/>
  <c r="AA35" i="5" s="1"/>
  <c r="AB35" i="5" s="1"/>
  <c r="AC35" i="5" s="1"/>
  <c r="AD35" i="5" s="1"/>
  <c r="AE35" i="5" s="1"/>
  <c r="AF35" i="5" s="1"/>
  <c r="AG35" i="5" s="1"/>
  <c r="AH35" i="5" s="1"/>
  <c r="AI35" i="5" s="1"/>
  <c r="AJ35" i="5" s="1"/>
  <c r="AK35" i="5" s="1"/>
  <c r="AL35" i="5" s="1"/>
  <c r="AM35" i="5" s="1"/>
  <c r="AN35" i="5" s="1"/>
  <c r="AO35" i="5" s="1"/>
  <c r="AP35" i="5" s="1"/>
  <c r="AQ35" i="5" s="1"/>
  <c r="AR35" i="5" s="1"/>
  <c r="AS35" i="5" s="1"/>
  <c r="AT35" i="5" s="1"/>
  <c r="AU35" i="5" s="1"/>
  <c r="AV35" i="5" s="1"/>
  <c r="AW35" i="5" s="1"/>
  <c r="AX35" i="5" s="1"/>
  <c r="AY35" i="5" s="1"/>
  <c r="AZ35" i="5" s="1"/>
  <c r="BA35" i="5" s="1"/>
  <c r="BB35" i="5" s="1"/>
  <c r="BC35" i="5" s="1"/>
  <c r="BD35" i="5" s="1"/>
  <c r="BE35" i="5" s="1"/>
  <c r="BF35" i="5" s="1"/>
  <c r="BG35" i="5" s="1"/>
  <c r="BH35" i="5" s="1"/>
  <c r="BI35" i="5" s="1"/>
  <c r="BJ35" i="5" s="1"/>
  <c r="BK35" i="5" s="1"/>
  <c r="BL35" i="5" s="1"/>
  <c r="BM35" i="5" s="1"/>
  <c r="BN35" i="5" s="1"/>
  <c r="BO35" i="5" s="1"/>
  <c r="BP35" i="5" s="1"/>
  <c r="BQ35" i="5" s="1"/>
  <c r="BR35" i="5" s="1"/>
  <c r="BS35" i="5" s="1"/>
  <c r="BT35" i="5" s="1"/>
  <c r="BU35" i="5" s="1"/>
  <c r="BV35" i="5" s="1"/>
  <c r="BW35" i="5" s="1"/>
  <c r="BX35" i="5" s="1"/>
  <c r="BY35" i="5" s="1"/>
  <c r="BZ35" i="5" s="1"/>
  <c r="CA35" i="5" s="1"/>
  <c r="CB35" i="5" s="1"/>
  <c r="CC35" i="5" s="1"/>
  <c r="CD35" i="5" s="1"/>
  <c r="CE35" i="5" s="1"/>
  <c r="CF35" i="5" s="1"/>
  <c r="CG35" i="5" s="1"/>
  <c r="CH35" i="5" s="1"/>
  <c r="CI35" i="5" s="1"/>
  <c r="CJ35" i="5" s="1"/>
  <c r="CK35" i="5" s="1"/>
  <c r="CL35" i="5" s="1"/>
  <c r="CM35" i="5" s="1"/>
  <c r="CN35" i="5" s="1"/>
  <c r="CO35" i="5" s="1"/>
  <c r="CP35" i="5" s="1"/>
  <c r="CQ35" i="5" s="1"/>
  <c r="CR35" i="5" s="1"/>
  <c r="CS35" i="5" s="1"/>
  <c r="CT35" i="5" s="1"/>
  <c r="CU35" i="5" s="1"/>
  <c r="CV35" i="5" s="1"/>
  <c r="CW35" i="5" s="1"/>
  <c r="CX35" i="5" s="1"/>
  <c r="CY35" i="5" s="1"/>
  <c r="CZ35" i="5" s="1"/>
  <c r="DA35" i="5" s="1"/>
  <c r="DB35" i="5" s="1"/>
  <c r="DC35" i="5" s="1"/>
  <c r="DD35" i="5" s="1"/>
  <c r="DE35" i="5" s="1"/>
  <c r="DF35" i="5" s="1"/>
  <c r="DG35" i="5" s="1"/>
  <c r="DH35" i="5" s="1"/>
  <c r="DI35" i="5" s="1"/>
  <c r="DJ35" i="5" s="1"/>
  <c r="DK35" i="5" s="1"/>
  <c r="DL35" i="5" s="1"/>
  <c r="DM35" i="5" s="1"/>
  <c r="DN35" i="5" s="1"/>
  <c r="DO35" i="5" s="1"/>
  <c r="DP35" i="5" s="1"/>
  <c r="DQ35" i="5" s="1"/>
  <c r="DR35" i="5" s="1"/>
  <c r="DS35" i="5" s="1"/>
  <c r="DT35" i="5" s="1"/>
  <c r="DU35" i="5" s="1"/>
  <c r="DV35" i="5" s="1"/>
  <c r="DW35" i="5" s="1"/>
  <c r="DX35" i="5" s="1"/>
  <c r="DY35" i="5" s="1"/>
  <c r="DZ35" i="5" s="1"/>
  <c r="EA35" i="5" s="1"/>
  <c r="EB35" i="5" s="1"/>
  <c r="EC35" i="5" s="1"/>
  <c r="ED35" i="5" s="1"/>
  <c r="EE35" i="5" s="1"/>
  <c r="EF35" i="5" s="1"/>
  <c r="EG35" i="5" s="1"/>
  <c r="EH35" i="5" s="1"/>
  <c r="EI35" i="5" s="1"/>
  <c r="EJ35" i="5" s="1"/>
  <c r="EK35" i="5" s="1"/>
  <c r="EL35" i="5" s="1"/>
  <c r="EM35" i="5" s="1"/>
  <c r="EN35" i="5" s="1"/>
  <c r="EO35" i="5" s="1"/>
  <c r="EP35" i="5" s="1"/>
  <c r="EQ35" i="5" s="1"/>
  <c r="ER35" i="5" s="1"/>
  <c r="ES35" i="5" s="1"/>
  <c r="ET35" i="5" s="1"/>
  <c r="EU35" i="5" s="1"/>
  <c r="EV35" i="5" s="1"/>
  <c r="EW35" i="5" s="1"/>
  <c r="EX35" i="5" s="1"/>
  <c r="EY35" i="5" s="1"/>
  <c r="EZ35" i="5" s="1"/>
  <c r="FA35" i="5" s="1"/>
  <c r="FB35" i="5" s="1"/>
  <c r="FC35" i="5" s="1"/>
  <c r="FD35" i="5" s="1"/>
  <c r="FE35" i="5" s="1"/>
  <c r="FF35" i="5" s="1"/>
  <c r="FG35" i="5" s="1"/>
  <c r="FH35" i="5" s="1"/>
  <c r="FI35" i="5" s="1"/>
  <c r="FJ35" i="5" s="1"/>
  <c r="FK35" i="5" s="1"/>
  <c r="FL35" i="5" s="1"/>
  <c r="FM35" i="5" s="1"/>
  <c r="FN35" i="5" s="1"/>
  <c r="FO35" i="5" s="1"/>
  <c r="FP35" i="5" s="1"/>
  <c r="FQ35" i="5" s="1"/>
  <c r="FR35" i="5" s="1"/>
  <c r="FS35" i="5" s="1"/>
  <c r="FT35" i="5" s="1"/>
  <c r="FU35" i="5" s="1"/>
  <c r="FV35" i="5" s="1"/>
  <c r="FW35" i="5" s="1"/>
  <c r="AS21" i="2"/>
  <c r="AS12" i="2"/>
  <c r="AS13" i="2" s="1"/>
  <c r="AS14" i="2" s="1"/>
  <c r="X19" i="5"/>
  <c r="X10" i="5"/>
  <c r="W12" i="5"/>
  <c r="W20" i="5"/>
  <c r="V13" i="5"/>
  <c r="V14" i="5" s="1"/>
  <c r="V16" i="5" s="1"/>
  <c r="AA40" i="5" l="1"/>
  <c r="AA42" i="5" s="1"/>
  <c r="X37" i="5"/>
  <c r="AS16" i="2"/>
  <c r="AT14" i="2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GM14" i="2" s="1"/>
  <c r="GN14" i="2" s="1"/>
  <c r="GO14" i="2" s="1"/>
  <c r="GP14" i="2" s="1"/>
  <c r="GQ14" i="2" s="1"/>
  <c r="GR14" i="2" s="1"/>
  <c r="AV19" i="2" s="1"/>
  <c r="AV21" i="2" s="1"/>
  <c r="AV22" i="2" s="1"/>
  <c r="W13" i="5"/>
  <c r="W14" i="5" s="1"/>
  <c r="W16" i="5" s="1"/>
  <c r="X12" i="5"/>
  <c r="X20" i="5"/>
  <c r="AA43" i="5" l="1"/>
  <c r="A25" i="5" s="1"/>
  <c r="A24" i="5"/>
  <c r="X13" i="5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EG14" i="5" s="1"/>
  <c r="EH14" i="5" s="1"/>
  <c r="EI14" i="5" s="1"/>
  <c r="EJ14" i="5" s="1"/>
  <c r="EK14" i="5" s="1"/>
  <c r="EL14" i="5" s="1"/>
  <c r="EM14" i="5" s="1"/>
  <c r="EN14" i="5" s="1"/>
  <c r="EO14" i="5" s="1"/>
  <c r="EP14" i="5" s="1"/>
  <c r="EQ14" i="5" s="1"/>
  <c r="ER14" i="5" s="1"/>
  <c r="ES14" i="5" s="1"/>
  <c r="ET14" i="5" s="1"/>
  <c r="EU14" i="5" s="1"/>
  <c r="EV14" i="5" s="1"/>
  <c r="EW14" i="5" s="1"/>
  <c r="EX14" i="5" s="1"/>
  <c r="EY14" i="5" s="1"/>
  <c r="EZ14" i="5" s="1"/>
  <c r="FA14" i="5" s="1"/>
  <c r="FB14" i="5" s="1"/>
  <c r="FC14" i="5" s="1"/>
  <c r="FD14" i="5" s="1"/>
  <c r="FE14" i="5" s="1"/>
  <c r="FF14" i="5" s="1"/>
  <c r="FG14" i="5" s="1"/>
  <c r="FH14" i="5" s="1"/>
  <c r="FI14" i="5" s="1"/>
  <c r="FJ14" i="5" s="1"/>
  <c r="FK14" i="5" s="1"/>
  <c r="FL14" i="5" s="1"/>
  <c r="FM14" i="5" s="1"/>
  <c r="FN14" i="5" s="1"/>
  <c r="FO14" i="5" s="1"/>
  <c r="FP14" i="5" s="1"/>
  <c r="FQ14" i="5" s="1"/>
  <c r="FR14" i="5" s="1"/>
  <c r="FS14" i="5" s="1"/>
  <c r="FT14" i="5" s="1"/>
  <c r="FU14" i="5" s="1"/>
  <c r="FV14" i="5" s="1"/>
  <c r="FW14" i="5" s="1"/>
  <c r="X16" i="5" l="1"/>
  <c r="AA19" i="5"/>
  <c r="AA21" i="5" s="1"/>
  <c r="AA22" i="5" l="1"/>
  <c r="A6" i="5" s="1"/>
  <c r="A5" i="5"/>
</calcChain>
</file>

<file path=xl/sharedStrings.xml><?xml version="1.0" encoding="utf-8"?>
<sst xmlns="http://schemas.openxmlformats.org/spreadsheetml/2006/main" count="291" uniqueCount="152">
  <si>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</si>
  <si>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</si>
  <si>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</si>
  <si>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</si>
  <si>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</si>
  <si>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</si>
  <si>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</si>
  <si>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</si>
  <si>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</si>
  <si>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</si>
  <si>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</si>
  <si>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</si>
  <si>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</si>
  <si>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</si>
  <si>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</si>
  <si>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</si>
  <si>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</si>
  <si>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</si>
  <si>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</si>
  <si>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</si>
  <si>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</si>
  <si>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</si>
  <si>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</si>
  <si>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</si>
  <si>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</si>
  <si>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</si>
  <si>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</si>
  <si>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</si>
  <si>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</si>
  <si>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</si>
  <si>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</si>
  <si>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</si>
  <si>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</si>
  <si>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</si>
  <si>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</si>
  <si>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</si>
  <si>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</si>
  <si>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</si>
  <si>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</si>
  <si>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</si>
  <si>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</si>
  <si>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ROE</t>
  </si>
  <si>
    <t>FY 2015</t>
  </si>
  <si>
    <t>FY 2016</t>
  </si>
  <si>
    <t>FY 2017</t>
  </si>
  <si>
    <t>FY 2018</t>
  </si>
  <si>
    <t>MC SEKm</t>
  </si>
  <si>
    <t>Cash SEKm</t>
  </si>
  <si>
    <t>Debt SEKm</t>
  </si>
  <si>
    <t>EV SEKm</t>
  </si>
  <si>
    <t>SEKm</t>
  </si>
  <si>
    <t>Balanse SEkm</t>
  </si>
  <si>
    <t xml:space="preserve">Cash flow SEKm </t>
  </si>
  <si>
    <t>Press releases:</t>
  </si>
  <si>
    <t>24.04.25: CEO Pavel Hajman har sammen med styret blitt enig om å gå av</t>
  </si>
  <si>
    <t>Revenues</t>
  </si>
  <si>
    <t>COGS</t>
  </si>
  <si>
    <t>Gross profit</t>
  </si>
  <si>
    <t>Selling expenses</t>
  </si>
  <si>
    <t>Administrative expenses</t>
  </si>
  <si>
    <t>Other operating inc/ex</t>
  </si>
  <si>
    <t>Operating income</t>
  </si>
  <si>
    <t>Financial items</t>
  </si>
  <si>
    <t>PTP</t>
  </si>
  <si>
    <t>Tax</t>
  </si>
  <si>
    <t>Net income</t>
  </si>
  <si>
    <t xml:space="preserve">Shares </t>
  </si>
  <si>
    <t>EPS</t>
  </si>
  <si>
    <t>Gross margin</t>
  </si>
  <si>
    <t>PP&amp;E</t>
  </si>
  <si>
    <t>Right of use assets</t>
  </si>
  <si>
    <t>Goodwill</t>
  </si>
  <si>
    <t>Other intangible assets</t>
  </si>
  <si>
    <t>Investments in associated comps</t>
  </si>
  <si>
    <t>Derivatives</t>
  </si>
  <si>
    <t>Other non-current assets</t>
  </si>
  <si>
    <t>Deferred tax assets</t>
  </si>
  <si>
    <t>Inventories</t>
  </si>
  <si>
    <t>Assets held for sale</t>
  </si>
  <si>
    <t>Trade receivables</t>
  </si>
  <si>
    <t>Current tax receivables</t>
  </si>
  <si>
    <t>Other current assets</t>
  </si>
  <si>
    <t>Cash</t>
  </si>
  <si>
    <t>Total assets</t>
  </si>
  <si>
    <t>Equity</t>
  </si>
  <si>
    <t>Non-controlling interests</t>
  </si>
  <si>
    <t>Total equity</t>
  </si>
  <si>
    <t>Lease liabilities</t>
  </si>
  <si>
    <t>Deferred tax liabilities</t>
  </si>
  <si>
    <t>Provisions for pension</t>
  </si>
  <si>
    <t>Other provisions</t>
  </si>
  <si>
    <t>Trade payable</t>
  </si>
  <si>
    <t>Current tax libailities</t>
  </si>
  <si>
    <t>Other liabilities</t>
  </si>
  <si>
    <t>Dividend payable</t>
  </si>
  <si>
    <t>Liabilities related to assets for sale</t>
  </si>
  <si>
    <t>Total debt</t>
  </si>
  <si>
    <t>Total E/D</t>
  </si>
  <si>
    <t>Model OI</t>
  </si>
  <si>
    <t>Reported OI</t>
  </si>
  <si>
    <t>Non-cash items</t>
  </si>
  <si>
    <t>Restructuring costs</t>
  </si>
  <si>
    <t>Net financial items</t>
  </si>
  <si>
    <t>Taxes paid</t>
  </si>
  <si>
    <t>WC</t>
  </si>
  <si>
    <t>CFFO</t>
  </si>
  <si>
    <t>Capex</t>
  </si>
  <si>
    <t>CFFI</t>
  </si>
  <si>
    <t>Dividend to shareholders</t>
  </si>
  <si>
    <t>Dividend to non-controlling</t>
  </si>
  <si>
    <t>Proceeds/repayment of borrowings</t>
  </si>
  <si>
    <t>Other financing activities</t>
  </si>
  <si>
    <t>CFFF</t>
  </si>
  <si>
    <t>FX</t>
  </si>
  <si>
    <t>CIC</t>
  </si>
  <si>
    <t>FCF</t>
  </si>
  <si>
    <t>Current borrowings</t>
  </si>
  <si>
    <t>Disocunt</t>
  </si>
  <si>
    <t>TV</t>
  </si>
  <si>
    <t>NPV</t>
  </si>
  <si>
    <t>NPV/Share</t>
  </si>
  <si>
    <t>Opp/nedside</t>
  </si>
  <si>
    <t>Forest &amp; Garden div</t>
  </si>
  <si>
    <t>Revenue</t>
  </si>
  <si>
    <t>Growth %</t>
  </si>
  <si>
    <t>Operating margin</t>
  </si>
  <si>
    <t>Gardena</t>
  </si>
  <si>
    <t xml:space="preserve">Construction </t>
  </si>
  <si>
    <t>11.08.25: Glen Instone blir ny CEO for Husqvarna</t>
  </si>
  <si>
    <t>Forest and garden</t>
  </si>
  <si>
    <t>Constuction</t>
  </si>
  <si>
    <t>09.12.24: Profit warning</t>
  </si>
  <si>
    <t>Organic growth</t>
  </si>
  <si>
    <t>Organic growth %</t>
  </si>
  <si>
    <t>Nullveskt og konstante dårligste marginer</t>
  </si>
  <si>
    <t>Negativ 2 vekst og konstante marginer</t>
  </si>
  <si>
    <t>Q126</t>
  </si>
  <si>
    <t>Q226</t>
  </si>
  <si>
    <t>Q326</t>
  </si>
  <si>
    <t>Q426</t>
  </si>
  <si>
    <t>EBIT 26E</t>
  </si>
  <si>
    <t>Value</t>
  </si>
  <si>
    <t>Per/Share</t>
  </si>
  <si>
    <t>Enterprise value</t>
  </si>
  <si>
    <t>Debt</t>
  </si>
  <si>
    <t>Equity value</t>
  </si>
  <si>
    <t>Gearing</t>
  </si>
  <si>
    <t>P/B</t>
  </si>
  <si>
    <t>Non-current Borrowings</t>
  </si>
  <si>
    <t>EBITDA</t>
  </si>
  <si>
    <t>EBITDA margin</t>
  </si>
  <si>
    <t>EBITDA 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</si>
</sst>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0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10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0" fontId="5" fillId="0" borderId="2" xfId="0" applyFont="1" applyBorder="1"/>
    <xf numFmtId="2" fontId="2" fillId="0" borderId="1" xfId="0" applyNumberFormat="1" applyFont="1" applyBorder="1"/>
    <xf numFmtId="10" fontId="1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10" fontId="4" fillId="0" borderId="0" xfId="0" applyNumberFormat="1" applyFont="1"/>
    <xf numFmtId="0" fontId="4" fillId="0" borderId="3" xfId="0" applyFont="1" applyBorder="1"/>
    <xf numFmtId="10" fontId="4" fillId="0" borderId="3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10" fontId="3" fillId="0" borderId="5" xfId="0" applyNumberFormat="1" applyFont="1" applyBorder="1"/>
    <xf numFmtId="10" fontId="3" fillId="0" borderId="4" xfId="0" applyNumberFormat="1" applyFont="1" applyBorder="1"/>
    <xf numFmtId="165" fontId="6" fillId="0" borderId="2" xfId="0" applyNumberFormat="1" applyFont="1" applyBorder="1"/>
    <xf numFmtId="165" fontId="1" fillId="0" borderId="0" xfId="0" applyNumberFormat="1" applyFont="1"/>
    <xf numFmtId="0" fontId="2" fillId="0" borderId="6" xfId="0" applyFont="1" applyBorder="1"/>
    <xf numFmtId="0" fontId="1" fillId="0" borderId="3" xfId="0" applyFont="1" applyBorder="1"/>
    <xf numFmtId="10" fontId="1" fillId="0" borderId="3" xfId="0" applyNumberFormat="1" applyFont="1" applyBorder="1"/>
    <xf numFmtId="0" fontId="8" fillId="0" borderId="0" xfId="0" applyFont="1"/>
    <xf numFmtId="0" fontId="9" fillId="0" borderId="0" xfId="0" applyFont="1"/>
    <xf numFmtId="3" fontId="1" fillId="0" borderId="5" xfId="0" applyNumberFormat="1" applyFont="1" applyBorder="1"/>
    <xf numFmtId="0" fontId="1" fillId="0" borderId="2" xfId="0" applyFont="1" applyBorder="1"/>
    <xf numFmtId="0" fontId="2" fillId="0" borderId="2" xfId="0" applyFont="1" applyBorder="1"/>
    <xf numFmtId="3" fontId="2" fillId="0" borderId="2" xfId="0" applyNumberFormat="1" applyFont="1" applyBorder="1"/>
    <xf numFmtId="1" fontId="2" fillId="0" borderId="2" xfId="0" applyNumberFormat="1" applyFont="1" applyBorder="1"/>
    <xf numFmtId="3" fontId="1" fillId="0" borderId="2" xfId="0" applyNumberFormat="1" applyFont="1" applyBorder="1"/>
    <xf numFmtId="1" fontId="1" fillId="0" borderId="2" xfId="0" applyNumberFormat="1" applyFont="1" applyBorder="1"/>
    <xf numFmtId="0" fontId="2" fillId="2" borderId="2" xfId="0" applyFont="1" applyFill="1" applyBorder="1"/>
    <xf numFmtId="1" fontId="2" fillId="0" borderId="0" xfId="0" applyNumberFormat="1" applyFont="1"/>
    <xf numFmtId="0" fontId="2" fillId="2" borderId="0" xfId="0" applyFont="1" applyFill="1"/>
    <xf numFmtId="0" fontId="2" fillId="0" borderId="1" xfId="0" applyNumberFormat="1" applyFont="1" applyBorder="1"/>
    <xf numFmtId="0" fontId="2" fillId="0" borderId="0" xfId="0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3" fontId="1" fillId="0" borderId="0" xfId="0" applyNumberFormat="1" applyFont="1" applyBorder="1"/>
    <xf numFmtId="3" fontId="2" fillId="0" borderId="0" xfId="0" applyNumberFormat="1" applyFont="1" applyBorder="1"/>
    <xf numFmtId="2" fontId="2" fillId="0" borderId="0" xfId="0" applyNumberFormat="1" applyFont="1" applyBorder="1"/>
    <xf numFmtId="165" fontId="2" fillId="0" borderId="0" xfId="0" applyNumberFormat="1" applyFont="1" applyBorder="1"/>
    <xf numFmtId="10" fontId="1" fillId="0" borderId="0" xfId="0" applyNumberFormat="1" applyFont="1" applyBorder="1"/>
    <xf numFmtId="10" fontId="2" fillId="0" borderId="0" xfId="0" applyNumberFormat="1" applyFont="1" applyBorder="1"/>
    <xf numFmtId="10" fontId="3" fillId="0" borderId="0" xfId="0" applyNumberFormat="1" applyFont="1"/>
    <xf numFmtId="10" fontId="4" fillId="0" borderId="1" xfId="0" applyNumberFormat="1" applyFont="1" applyBorder="1"/>
    <xf numFmtId="10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 HUSQ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 HUSQ</a:t>
          </a:r>
        </a:p>
      </cx:txPr>
    </cx:title>
    <cx:plotArea>
      <cx:plotAreaRegion>
        <cx:series layoutId="waterfall" uniqueId="{F026F475-1B31-334C-9D6A-215EB1A0A1A2}">
          <cx:dataPt idx="3"/>
          <cx:dataPt idx="6">
            <cx:spPr>
              <a:solidFill>
                <a:srgbClr val="FF0000"/>
              </a:solidFill>
            </cx:spPr>
          </cx:dataPt>
          <cx:dataPt idx="7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7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nb-NO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SEK/Share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nb-NO" sz="1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SEK/Share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nb-NO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642255</xdr:colOff>
      <xdr:row>0</xdr:row>
      <xdr:rowOff>0</xdr:rowOff>
    </xdr:from>
    <xdr:to>
      <xdr:col>34</xdr:col>
      <xdr:colOff>402648</xdr:colOff>
      <xdr:row>14</xdr:row>
      <xdr:rowOff>215900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7EBA98D-6DD2-0730-5AFF-E15F45C5C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06541" y="0"/>
          <a:ext cx="7271536" cy="4787900"/>
        </a:xfrm>
        <a:prstGeom prst="rect">
          <a:avLst/>
        </a:prstGeom>
      </xdr:spPr>
    </xdr:pic>
    <xdr:clientData/>
  </xdr:twoCellAnchor>
  <xdr:twoCellAnchor editAs="oneCell">
    <xdr:from>
      <xdr:col>0</xdr:col>
      <xdr:colOff>183241</xdr:colOff>
      <xdr:row>0</xdr:row>
      <xdr:rowOff>0</xdr:rowOff>
    </xdr:from>
    <xdr:to>
      <xdr:col>11</xdr:col>
      <xdr:colOff>724327</xdr:colOff>
      <xdr:row>10</xdr:row>
      <xdr:rowOff>36286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36D86FAF-87E7-16F8-64BF-AD599F9AD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241" y="0"/>
          <a:ext cx="9721372" cy="3302000"/>
        </a:xfrm>
        <a:prstGeom prst="rect">
          <a:avLst/>
        </a:prstGeom>
      </xdr:spPr>
    </xdr:pic>
    <xdr:clientData/>
  </xdr:twoCellAnchor>
  <xdr:twoCellAnchor editAs="oneCell">
    <xdr:from>
      <xdr:col>11</xdr:col>
      <xdr:colOff>707569</xdr:colOff>
      <xdr:row>0</xdr:row>
      <xdr:rowOff>0</xdr:rowOff>
    </xdr:from>
    <xdr:to>
      <xdr:col>18</xdr:col>
      <xdr:colOff>798284</xdr:colOff>
      <xdr:row>33</xdr:row>
      <xdr:rowOff>190521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4A549887-2883-EC68-D96A-A7E6C65B7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7855" y="0"/>
          <a:ext cx="5932715" cy="10967378"/>
        </a:xfrm>
        <a:prstGeom prst="rect">
          <a:avLst/>
        </a:prstGeom>
      </xdr:spPr>
    </xdr:pic>
    <xdr:clientData/>
  </xdr:twoCellAnchor>
  <xdr:twoCellAnchor editAs="oneCell">
    <xdr:from>
      <xdr:col>18</xdr:col>
      <xdr:colOff>787399</xdr:colOff>
      <xdr:row>0</xdr:row>
      <xdr:rowOff>1</xdr:rowOff>
    </xdr:from>
    <xdr:to>
      <xdr:col>25</xdr:col>
      <xdr:colOff>709049</xdr:colOff>
      <xdr:row>33</xdr:row>
      <xdr:rowOff>235858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4CC7EC57-1D1B-43C3-4023-2E22988D1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09685" y="1"/>
          <a:ext cx="5763650" cy="11012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87086</xdr:rowOff>
    </xdr:from>
    <xdr:to>
      <xdr:col>8</xdr:col>
      <xdr:colOff>165100</xdr:colOff>
      <xdr:row>48</xdr:row>
      <xdr:rowOff>89934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5B0D9365-AB3E-4989-5702-0043428EF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843657"/>
          <a:ext cx="6841671" cy="3921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56242</xdr:rowOff>
    </xdr:from>
    <xdr:to>
      <xdr:col>8</xdr:col>
      <xdr:colOff>190500</xdr:colOff>
      <xdr:row>63</xdr:row>
      <xdr:rowOff>72525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ADF7A4AD-B740-C184-0568-04615509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711385"/>
          <a:ext cx="6867071" cy="3935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295729</xdr:rowOff>
    </xdr:from>
    <xdr:to>
      <xdr:col>8</xdr:col>
      <xdr:colOff>254656</xdr:colOff>
      <xdr:row>78</xdr:row>
      <xdr:rowOff>322943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1E394FC4-A99B-227F-371B-F8C75F6CD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849443"/>
          <a:ext cx="6931227" cy="3946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15</xdr:row>
      <xdr:rowOff>82550</xdr:rowOff>
    </xdr:from>
    <xdr:to>
      <xdr:col>9</xdr:col>
      <xdr:colOff>88900</xdr:colOff>
      <xdr:row>30</xdr:row>
      <xdr:rowOff>215900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F52E07E1-9828-3312-E162-10B8562681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850" y="3702050"/>
              <a:ext cx="648335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B21806-1209-484F-B087-67A603E41D3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02690ec-3ddc-49b6-90b6-2ce3b3bb07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A66"/>
  <sheetViews>
    <sheetView showGridLines="0" zoomScale="60" zoomScaleNormal="60" workbookViewId="0">
      <selection activeCell="M37" sqref="M37"/>
    </sheetView>
  </sheetViews>
  <sheetFormatPr baseColWidth="10" defaultRowHeight="26" x14ac:dyDescent="0.3"/>
  <cols>
    <col min="1" max="16384" width="10.83203125" style="42"/>
  </cols>
  <sheetData>
    <row r="5" spans="1:1" x14ac:dyDescent="0.3">
      <c r="A5" s="41"/>
    </row>
    <row r="6" spans="1:1" x14ac:dyDescent="0.3">
      <c r="A6" s="41"/>
    </row>
    <row r="7" spans="1:1" x14ac:dyDescent="0.3">
      <c r="A7" s="41"/>
    </row>
    <row r="8" spans="1:1" x14ac:dyDescent="0.3">
      <c r="A8" s="41"/>
    </row>
    <row r="20" spans="1:1" x14ac:dyDescent="0.3">
      <c r="A20" s="41" t="s">
        <v>53</v>
      </c>
    </row>
    <row r="21" spans="1:1" x14ac:dyDescent="0.3">
      <c r="A21" s="42" t="s">
        <v>128</v>
      </c>
    </row>
    <row r="22" spans="1:1" x14ac:dyDescent="0.3">
      <c r="A22" s="42" t="s">
        <v>54</v>
      </c>
    </row>
    <row r="23" spans="1:1" x14ac:dyDescent="0.3">
      <c r="A23" s="42" t="s">
        <v>131</v>
      </c>
    </row>
    <row r="36" spans="1:1" x14ac:dyDescent="0.3">
      <c r="A36" s="41" t="s">
        <v>129</v>
      </c>
    </row>
    <row r="51" spans="1:1" x14ac:dyDescent="0.3">
      <c r="A51" s="41" t="s">
        <v>126</v>
      </c>
    </row>
    <row r="66" spans="1:1" x14ac:dyDescent="0.3">
      <c r="A66" s="41" t="s">
        <v>130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GR89"/>
  <sheetViews>
    <sheetView showGridLines="0" workbookViewId="0">
      <pane xSplit="3" ySplit="3" topLeftCell="AB4" activePane="bottomRight" state="frozen"/>
      <selection pane="topRight" activeCell="D1" sqref="D1"/>
      <selection pane="bottomLeft" activeCell="A4" sqref="A4"/>
      <selection pane="bottomRight" activeCell="AL26" sqref="AL26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4.5" style="2" customWidth="1"/>
    <col min="4" max="4" width="10.83203125" style="2"/>
    <col min="5" max="5" width="10.33203125" style="2" customWidth="1"/>
    <col min="6" max="6" width="10.164062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4" width="10.83203125" style="2"/>
    <col min="35" max="35" width="10.6640625" style="2" customWidth="1"/>
    <col min="36" max="36" width="10.83203125" style="55"/>
    <col min="37" max="46" width="10.83203125" style="2"/>
    <col min="47" max="47" width="14.1640625" style="2" bestFit="1" customWidth="1"/>
    <col min="48" max="48" width="13.33203125" style="2" bestFit="1" customWidth="1"/>
    <col min="49" max="16384" width="10.83203125" style="2"/>
  </cols>
  <sheetData>
    <row r="1" spans="1:200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200" x14ac:dyDescent="0.25">
      <c r="A3" s="1" t="s">
        <v>0</v>
      </c>
      <c r="C3" s="2" t="s">
        <v>50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7" t="s">
        <v>35</v>
      </c>
      <c r="S3" s="7" t="s">
        <v>36</v>
      </c>
      <c r="T3" s="7" t="s">
        <v>136</v>
      </c>
      <c r="U3" s="7" t="s">
        <v>137</v>
      </c>
      <c r="V3" s="7" t="s">
        <v>138</v>
      </c>
      <c r="W3" s="7" t="s">
        <v>139</v>
      </c>
      <c r="Y3" s="7" t="s">
        <v>42</v>
      </c>
      <c r="Z3" s="7" t="s">
        <v>43</v>
      </c>
      <c r="AA3" s="7" t="s">
        <v>44</v>
      </c>
      <c r="AB3" s="7" t="s">
        <v>45</v>
      </c>
      <c r="AC3" s="7" t="s">
        <v>32</v>
      </c>
      <c r="AD3" s="7" t="s">
        <v>33</v>
      </c>
      <c r="AE3" s="7" t="s">
        <v>34</v>
      </c>
      <c r="AF3" s="7" t="s">
        <v>15</v>
      </c>
      <c r="AG3" s="7" t="s">
        <v>16</v>
      </c>
      <c r="AH3" s="7" t="s">
        <v>17</v>
      </c>
      <c r="AI3" s="7" t="s">
        <v>18</v>
      </c>
      <c r="AJ3" s="56" t="s">
        <v>19</v>
      </c>
      <c r="AK3" s="7" t="s">
        <v>20</v>
      </c>
      <c r="AL3" s="7" t="s">
        <v>21</v>
      </c>
      <c r="AM3" s="7" t="s">
        <v>22</v>
      </c>
      <c r="AN3" s="7" t="s">
        <v>23</v>
      </c>
      <c r="AO3" s="7" t="s">
        <v>24</v>
      </c>
      <c r="AP3" s="7" t="s">
        <v>25</v>
      </c>
      <c r="AQ3" s="7" t="s">
        <v>26</v>
      </c>
      <c r="AR3" s="7" t="s">
        <v>27</v>
      </c>
      <c r="AS3" s="7" t="s">
        <v>28</v>
      </c>
    </row>
    <row r="4" spans="1:200" x14ac:dyDescent="0.25">
      <c r="A4" s="2" t="s">
        <v>1</v>
      </c>
      <c r="B4" s="22">
        <v>36.5</v>
      </c>
      <c r="C4" s="1" t="s">
        <v>55</v>
      </c>
      <c r="D4" s="12">
        <v>15685</v>
      </c>
      <c r="E4" s="12">
        <v>15792</v>
      </c>
      <c r="F4" s="12">
        <v>12206</v>
      </c>
      <c r="G4" s="12">
        <v>10353</v>
      </c>
      <c r="H4" s="12">
        <v>17167</v>
      </c>
      <c r="I4" s="12">
        <v>16976</v>
      </c>
      <c r="J4" s="12">
        <v>10512</v>
      </c>
      <c r="K4" s="12">
        <v>8605</v>
      </c>
      <c r="L4" s="12">
        <v>14719</v>
      </c>
      <c r="M4" s="12">
        <v>15430</v>
      </c>
      <c r="N4" s="12">
        <v>9739</v>
      </c>
      <c r="O4" s="12">
        <v>8464</v>
      </c>
      <c r="P4" s="12">
        <v>14704</v>
      </c>
      <c r="Q4" s="12">
        <v>15277</v>
      </c>
      <c r="R4" s="12">
        <v>9204</v>
      </c>
      <c r="S4" s="12">
        <v>7429</v>
      </c>
      <c r="T4" s="12">
        <v>13962</v>
      </c>
      <c r="U4" s="1">
        <v>14383</v>
      </c>
      <c r="V4" s="1"/>
      <c r="W4" s="1"/>
      <c r="Y4" s="12">
        <v>36170</v>
      </c>
      <c r="Z4" s="12">
        <v>35982</v>
      </c>
      <c r="AA4" s="12">
        <v>39394</v>
      </c>
      <c r="AB4" s="12">
        <v>41085</v>
      </c>
      <c r="AC4" s="12">
        <v>42277</v>
      </c>
      <c r="AD4" s="12">
        <v>41943</v>
      </c>
      <c r="AE4" s="12">
        <v>47059</v>
      </c>
      <c r="AF4" s="12">
        <v>54037</v>
      </c>
      <c r="AG4" s="12">
        <v>53261</v>
      </c>
      <c r="AH4" s="12">
        <v>48352</v>
      </c>
      <c r="AI4" s="12">
        <v>46614</v>
      </c>
      <c r="AJ4" s="57">
        <f>AI4*0.95</f>
        <v>44283.299999999996</v>
      </c>
      <c r="AK4" s="12">
        <f>AJ4*1.03</f>
        <v>45611.798999999999</v>
      </c>
      <c r="AL4" s="12">
        <f t="shared" ref="AL4:AS4" si="0">AK4*1.03</f>
        <v>46980.152970000003</v>
      </c>
      <c r="AM4" s="12">
        <f t="shared" si="0"/>
        <v>48389.557559100002</v>
      </c>
      <c r="AN4" s="12">
        <f t="shared" si="0"/>
        <v>49841.244285873006</v>
      </c>
      <c r="AO4" s="12">
        <f t="shared" si="0"/>
        <v>51336.4816144492</v>
      </c>
      <c r="AP4" s="12">
        <f t="shared" si="0"/>
        <v>52876.576062882676</v>
      </c>
      <c r="AQ4" s="12">
        <f t="shared" si="0"/>
        <v>54462.873344769156</v>
      </c>
      <c r="AR4" s="12">
        <f t="shared" si="0"/>
        <v>56096.759545112232</v>
      </c>
      <c r="AS4" s="12">
        <f t="shared" si="0"/>
        <v>57779.662331465603</v>
      </c>
    </row>
    <row r="5" spans="1:200" x14ac:dyDescent="0.25">
      <c r="A5" s="2" t="s">
        <v>2</v>
      </c>
      <c r="B5" s="4">
        <v>571.70000000000005</v>
      </c>
      <c r="C5" s="2" t="s">
        <v>56</v>
      </c>
      <c r="D5" s="14">
        <v>-10706</v>
      </c>
      <c r="E5" s="14">
        <v>-10580</v>
      </c>
      <c r="F5" s="14">
        <v>-9053</v>
      </c>
      <c r="G5" s="14">
        <v>-9085</v>
      </c>
      <c r="H5" s="14">
        <v>-11477</v>
      </c>
      <c r="I5" s="14">
        <v>-11430</v>
      </c>
      <c r="J5" s="14">
        <v>-7393</v>
      </c>
      <c r="K5" s="14">
        <v>-6836</v>
      </c>
      <c r="L5" s="14">
        <v>-9753</v>
      </c>
      <c r="M5" s="14">
        <v>-10236</v>
      </c>
      <c r="N5" s="14">
        <v>-7207</v>
      </c>
      <c r="O5" s="14">
        <v>-6857</v>
      </c>
      <c r="P5" s="14">
        <v>-10172</v>
      </c>
      <c r="Q5" s="14">
        <v>-10101</v>
      </c>
      <c r="R5" s="14">
        <v>-6581</v>
      </c>
      <c r="S5" s="14">
        <v>-5660</v>
      </c>
      <c r="T5" s="14">
        <v>-9417</v>
      </c>
      <c r="U5" s="2">
        <v>-9713</v>
      </c>
      <c r="Y5" s="14">
        <v>-25996</v>
      </c>
      <c r="Z5" s="14">
        <v>-24886</v>
      </c>
      <c r="AA5" s="14">
        <v>-27922</v>
      </c>
      <c r="AB5" s="14">
        <v>-30583</v>
      </c>
      <c r="AC5" s="14">
        <v>-29748</v>
      </c>
      <c r="AD5" s="14">
        <v>-29367</v>
      </c>
      <c r="AE5" s="14">
        <v>-31546</v>
      </c>
      <c r="AF5" s="14">
        <v>-39424</v>
      </c>
      <c r="AG5" s="14">
        <v>-37136</v>
      </c>
      <c r="AH5" s="14">
        <v>-34053</v>
      </c>
      <c r="AI5" s="14">
        <v>-32514</v>
      </c>
      <c r="AJ5" s="58">
        <f>AJ4*-0.7</f>
        <v>-30998.309999999994</v>
      </c>
      <c r="AK5" s="58">
        <f t="shared" ref="AK5:AS5" si="1">AK4*-0.7</f>
        <v>-31928.259299999998</v>
      </c>
      <c r="AL5" s="58">
        <f t="shared" si="1"/>
        <v>-32886.107079000001</v>
      </c>
      <c r="AM5" s="58">
        <f t="shared" si="1"/>
        <v>-33872.690291369996</v>
      </c>
      <c r="AN5" s="58">
        <f t="shared" si="1"/>
        <v>-34888.871000111103</v>
      </c>
      <c r="AO5" s="58">
        <f t="shared" si="1"/>
        <v>-35935.537130114441</v>
      </c>
      <c r="AP5" s="58">
        <f t="shared" si="1"/>
        <v>-37013.603244017868</v>
      </c>
      <c r="AQ5" s="58">
        <f t="shared" si="1"/>
        <v>-38124.01134133841</v>
      </c>
      <c r="AR5" s="58">
        <f t="shared" si="1"/>
        <v>-39267.73168157856</v>
      </c>
      <c r="AS5" s="58">
        <f t="shared" si="1"/>
        <v>-40445.763632025919</v>
      </c>
    </row>
    <row r="6" spans="1:200" x14ac:dyDescent="0.25">
      <c r="A6" s="2" t="s">
        <v>46</v>
      </c>
      <c r="B6" s="5">
        <f>B4*B5</f>
        <v>20867.050000000003</v>
      </c>
      <c r="C6" s="2" t="s">
        <v>57</v>
      </c>
      <c r="D6" s="14">
        <f t="shared" ref="D6:M6" si="2">SUM(D4:D5)</f>
        <v>4979</v>
      </c>
      <c r="E6" s="14">
        <f t="shared" si="2"/>
        <v>5212</v>
      </c>
      <c r="F6" s="14">
        <f t="shared" si="2"/>
        <v>3153</v>
      </c>
      <c r="G6" s="14">
        <f t="shared" si="2"/>
        <v>1268</v>
      </c>
      <c r="H6" s="14">
        <f t="shared" si="2"/>
        <v>5690</v>
      </c>
      <c r="I6" s="14">
        <f t="shared" si="2"/>
        <v>5546</v>
      </c>
      <c r="J6" s="14">
        <f t="shared" si="2"/>
        <v>3119</v>
      </c>
      <c r="K6" s="14">
        <f t="shared" si="2"/>
        <v>1769</v>
      </c>
      <c r="L6" s="14">
        <f t="shared" si="2"/>
        <v>4966</v>
      </c>
      <c r="M6" s="14">
        <f t="shared" si="2"/>
        <v>5194</v>
      </c>
      <c r="N6" s="14">
        <f>SUM(N4:N5)</f>
        <v>2532</v>
      </c>
      <c r="O6" s="14">
        <f>SUM(O4:O5)</f>
        <v>1607</v>
      </c>
      <c r="P6" s="14">
        <f>SUM(P4:P5)</f>
        <v>4532</v>
      </c>
      <c r="Q6" s="14">
        <f>SUM(Q4:Q5)</f>
        <v>5176</v>
      </c>
      <c r="R6" s="14">
        <f t="shared" ref="R6:S6" si="3">SUM(R4:R5)</f>
        <v>2623</v>
      </c>
      <c r="S6" s="14">
        <f t="shared" si="3"/>
        <v>1769</v>
      </c>
      <c r="T6" s="14">
        <f t="shared" ref="T6:U6" si="4">SUM(T4:T5)</f>
        <v>4545</v>
      </c>
      <c r="U6" s="14">
        <f t="shared" si="4"/>
        <v>4670</v>
      </c>
      <c r="Y6" s="14">
        <f t="shared" ref="Y6:AH6" si="5">SUM(Y4:Y5)</f>
        <v>10174</v>
      </c>
      <c r="Z6" s="14">
        <f t="shared" si="5"/>
        <v>11096</v>
      </c>
      <c r="AA6" s="14">
        <f t="shared" si="5"/>
        <v>11472</v>
      </c>
      <c r="AB6" s="14">
        <f t="shared" si="5"/>
        <v>10502</v>
      </c>
      <c r="AC6" s="14">
        <f t="shared" si="5"/>
        <v>12529</v>
      </c>
      <c r="AD6" s="14">
        <f t="shared" si="5"/>
        <v>12576</v>
      </c>
      <c r="AE6" s="14">
        <f t="shared" si="5"/>
        <v>15513</v>
      </c>
      <c r="AF6" s="14">
        <f t="shared" si="5"/>
        <v>14613</v>
      </c>
      <c r="AG6" s="14">
        <f t="shared" si="5"/>
        <v>16125</v>
      </c>
      <c r="AH6" s="14">
        <f t="shared" si="5"/>
        <v>14299</v>
      </c>
      <c r="AI6" s="14">
        <f t="shared" ref="AI6:AS6" si="6">SUM(AI4:AI5)</f>
        <v>14100</v>
      </c>
      <c r="AJ6" s="58">
        <f t="shared" si="6"/>
        <v>13284.990000000002</v>
      </c>
      <c r="AK6" s="14">
        <f t="shared" si="6"/>
        <v>13683.539700000001</v>
      </c>
      <c r="AL6" s="14">
        <f t="shared" si="6"/>
        <v>14094.045891000002</v>
      </c>
      <c r="AM6" s="14">
        <f t="shared" si="6"/>
        <v>14516.867267730006</v>
      </c>
      <c r="AN6" s="14">
        <f t="shared" si="6"/>
        <v>14952.373285761903</v>
      </c>
      <c r="AO6" s="14">
        <f t="shared" si="6"/>
        <v>15400.944484334759</v>
      </c>
      <c r="AP6" s="14">
        <f t="shared" si="6"/>
        <v>15862.972818864808</v>
      </c>
      <c r="AQ6" s="14">
        <f t="shared" si="6"/>
        <v>16338.862003430746</v>
      </c>
      <c r="AR6" s="14">
        <f t="shared" si="6"/>
        <v>16829.027863533673</v>
      </c>
      <c r="AS6" s="14">
        <f t="shared" si="6"/>
        <v>17333.898699439684</v>
      </c>
    </row>
    <row r="7" spans="1:200" x14ac:dyDescent="0.25">
      <c r="A7" s="2" t="s">
        <v>47</v>
      </c>
      <c r="B7" s="5">
        <f>U43</f>
        <v>3457</v>
      </c>
      <c r="C7" s="2" t="s">
        <v>58</v>
      </c>
      <c r="D7" s="14">
        <v>-2201</v>
      </c>
      <c r="E7" s="14">
        <v>-2344</v>
      </c>
      <c r="F7" s="14">
        <v>-2028</v>
      </c>
      <c r="G7" s="14">
        <v>-2197</v>
      </c>
      <c r="H7" s="14">
        <v>-2373</v>
      </c>
      <c r="I7" s="14">
        <v>-2598</v>
      </c>
      <c r="J7" s="14">
        <v>-2042</v>
      </c>
      <c r="K7" s="14">
        <v>-2020</v>
      </c>
      <c r="L7" s="14">
        <v>-2158</v>
      </c>
      <c r="M7" s="14">
        <v>-2423</v>
      </c>
      <c r="N7" s="14">
        <v>-1966</v>
      </c>
      <c r="O7" s="14">
        <v>-2041</v>
      </c>
      <c r="P7" s="14">
        <v>-2145</v>
      </c>
      <c r="Q7" s="14">
        <v>-2317</v>
      </c>
      <c r="R7" s="14">
        <v>-1852</v>
      </c>
      <c r="S7" s="14">
        <v>-1802</v>
      </c>
      <c r="T7" s="14">
        <v>-2024</v>
      </c>
      <c r="U7" s="2">
        <v>-2224</v>
      </c>
      <c r="Y7" s="14">
        <v>-5833</v>
      </c>
      <c r="Z7" s="14">
        <v>-6168</v>
      </c>
      <c r="AA7" s="14">
        <v>-5870</v>
      </c>
      <c r="AB7" s="14">
        <v>-6473</v>
      </c>
      <c r="AC7" s="14">
        <v>-6985</v>
      </c>
      <c r="AD7" s="14">
        <v>-6596</v>
      </c>
      <c r="AE7" s="14">
        <v>-7152</v>
      </c>
      <c r="AF7" s="14">
        <v>-8770</v>
      </c>
      <c r="AG7" s="14">
        <v>-9034</v>
      </c>
      <c r="AH7" s="14">
        <v>-8587</v>
      </c>
      <c r="AI7" s="14">
        <v>-8116</v>
      </c>
      <c r="AJ7" s="58">
        <f>AI7*0.97</f>
        <v>-7872.5199999999995</v>
      </c>
      <c r="AK7" s="14">
        <f>AJ7*1.03</f>
        <v>-8108.6956</v>
      </c>
      <c r="AL7" s="14">
        <f>AK7*1.03</f>
        <v>-8351.9564680000003</v>
      </c>
      <c r="AM7" s="14">
        <f t="shared" ref="AM7:AS7" si="7">AL7*1.03</f>
        <v>-8602.5151620400011</v>
      </c>
      <c r="AN7" s="14">
        <f t="shared" si="7"/>
        <v>-8860.5906169012014</v>
      </c>
      <c r="AO7" s="14">
        <f t="shared" si="7"/>
        <v>-9126.4083354082377</v>
      </c>
      <c r="AP7" s="14">
        <f t="shared" si="7"/>
        <v>-9400.2005854704857</v>
      </c>
      <c r="AQ7" s="14">
        <f t="shared" si="7"/>
        <v>-9682.2066030346014</v>
      </c>
      <c r="AR7" s="14">
        <f t="shared" si="7"/>
        <v>-9972.67280112564</v>
      </c>
      <c r="AS7" s="14">
        <f t="shared" si="7"/>
        <v>-10271.85298515941</v>
      </c>
    </row>
    <row r="8" spans="1:200" x14ac:dyDescent="0.25">
      <c r="A8" s="2" t="s">
        <v>48</v>
      </c>
      <c r="B8" s="5">
        <f>U48+U58</f>
        <v>11120</v>
      </c>
      <c r="C8" s="2" t="s">
        <v>59</v>
      </c>
      <c r="D8" s="14">
        <v>-801</v>
      </c>
      <c r="E8" s="14">
        <v>-815</v>
      </c>
      <c r="F8" s="14">
        <v>-575</v>
      </c>
      <c r="G8" s="14">
        <v>-810</v>
      </c>
      <c r="H8" s="14">
        <v>-934</v>
      </c>
      <c r="I8" s="14">
        <v>-854</v>
      </c>
      <c r="J8" s="14">
        <v>-687</v>
      </c>
      <c r="K8" s="14">
        <v>-736</v>
      </c>
      <c r="L8" s="14">
        <v>-879</v>
      </c>
      <c r="M8" s="14">
        <v>-874</v>
      </c>
      <c r="N8" s="14">
        <v>-665</v>
      </c>
      <c r="O8" s="14">
        <v>-858</v>
      </c>
      <c r="P8" s="14">
        <v>-872</v>
      </c>
      <c r="Q8" s="14">
        <v>-797</v>
      </c>
      <c r="R8" s="14">
        <v>-633</v>
      </c>
      <c r="S8" s="14">
        <v>-772</v>
      </c>
      <c r="T8" s="14">
        <v>-835</v>
      </c>
      <c r="U8" s="2">
        <v>-852</v>
      </c>
      <c r="Y8" s="14">
        <v>-1532</v>
      </c>
      <c r="Z8" s="14">
        <v>-1707</v>
      </c>
      <c r="AA8" s="14">
        <v>-1879</v>
      </c>
      <c r="AB8" s="14">
        <v>-2014</v>
      </c>
      <c r="AC8" s="14">
        <v>-2051</v>
      </c>
      <c r="AD8" s="14">
        <v>-2335</v>
      </c>
      <c r="AE8" s="14">
        <v>-2704</v>
      </c>
      <c r="AF8" s="14">
        <v>-3001</v>
      </c>
      <c r="AG8" s="14">
        <v>-3211</v>
      </c>
      <c r="AH8" s="14">
        <v>-3275</v>
      </c>
      <c r="AI8" s="14">
        <v>-3074</v>
      </c>
      <c r="AJ8" s="58">
        <f t="shared" ref="AJ8:AJ9" si="8">AI8*1</f>
        <v>-3074</v>
      </c>
      <c r="AK8" s="14">
        <f t="shared" ref="AK8:AK9" si="9">AJ8*1.03</f>
        <v>-3166.2200000000003</v>
      </c>
      <c r="AL8" s="14">
        <f t="shared" ref="AL8:AS9" si="10">AK8*1.03</f>
        <v>-3261.2066000000004</v>
      </c>
      <c r="AM8" s="14">
        <f t="shared" si="10"/>
        <v>-3359.0427980000004</v>
      </c>
      <c r="AN8" s="14">
        <f t="shared" si="10"/>
        <v>-3459.8140819400005</v>
      </c>
      <c r="AO8" s="14">
        <f t="shared" si="10"/>
        <v>-3563.6085043982007</v>
      </c>
      <c r="AP8" s="14">
        <f t="shared" si="10"/>
        <v>-3670.5167595301468</v>
      </c>
      <c r="AQ8" s="14">
        <f t="shared" si="10"/>
        <v>-3780.6322623160513</v>
      </c>
      <c r="AR8" s="14">
        <f t="shared" si="10"/>
        <v>-3894.0512301855329</v>
      </c>
      <c r="AS8" s="14">
        <f t="shared" si="10"/>
        <v>-4010.8727670910989</v>
      </c>
    </row>
    <row r="9" spans="1:200" x14ac:dyDescent="0.25">
      <c r="A9" s="3" t="s">
        <v>49</v>
      </c>
      <c r="B9" s="6">
        <f>B6-B7+B8</f>
        <v>28530.050000000003</v>
      </c>
      <c r="C9" s="2" t="s">
        <v>60</v>
      </c>
      <c r="D9" s="14">
        <v>182</v>
      </c>
      <c r="E9" s="14">
        <v>11</v>
      </c>
      <c r="F9" s="14">
        <v>6</v>
      </c>
      <c r="G9" s="14">
        <v>2</v>
      </c>
      <c r="H9" s="14">
        <v>-19</v>
      </c>
      <c r="I9" s="14">
        <v>7</v>
      </c>
      <c r="J9" s="14">
        <v>8</v>
      </c>
      <c r="K9" s="14">
        <v>4</v>
      </c>
      <c r="L9" s="14">
        <v>1</v>
      </c>
      <c r="M9" s="14">
        <v>1</v>
      </c>
      <c r="N9" s="14">
        <v>152</v>
      </c>
      <c r="O9" s="14">
        <v>7</v>
      </c>
      <c r="P9" s="14">
        <v>16</v>
      </c>
      <c r="Q9" s="14">
        <v>0</v>
      </c>
      <c r="R9" s="14">
        <v>4</v>
      </c>
      <c r="S9" s="14">
        <v>-31</v>
      </c>
      <c r="T9" s="14">
        <v>24</v>
      </c>
      <c r="U9" s="2">
        <v>7</v>
      </c>
      <c r="Y9" s="14">
        <f>23-5</f>
        <v>18</v>
      </c>
      <c r="Z9" s="14">
        <v>-3</v>
      </c>
      <c r="AA9" s="14">
        <f>68-1</f>
        <v>67</v>
      </c>
      <c r="AB9" s="14">
        <f>63-8</f>
        <v>55</v>
      </c>
      <c r="AC9" s="14">
        <f>203-6</f>
        <v>197</v>
      </c>
      <c r="AD9" s="14">
        <f>26-2</f>
        <v>24</v>
      </c>
      <c r="AE9" s="14">
        <f>112-23</f>
        <v>89</v>
      </c>
      <c r="AF9" s="14">
        <f>212-11</f>
        <v>201</v>
      </c>
      <c r="AG9" s="14">
        <v>0</v>
      </c>
      <c r="AH9" s="14">
        <v>160</v>
      </c>
      <c r="AI9" s="14">
        <v>-11</v>
      </c>
      <c r="AJ9" s="58">
        <f t="shared" si="8"/>
        <v>-11</v>
      </c>
      <c r="AK9" s="14">
        <f t="shared" si="9"/>
        <v>-11.33</v>
      </c>
      <c r="AL9" s="14">
        <f t="shared" si="10"/>
        <v>-11.6699</v>
      </c>
      <c r="AM9" s="14">
        <f t="shared" si="10"/>
        <v>-12.019997</v>
      </c>
      <c r="AN9" s="14">
        <f t="shared" si="10"/>
        <v>-12.38059691</v>
      </c>
      <c r="AO9" s="14">
        <f t="shared" si="10"/>
        <v>-12.752014817299999</v>
      </c>
      <c r="AP9" s="14">
        <f t="shared" si="10"/>
        <v>-13.134575261819</v>
      </c>
      <c r="AQ9" s="14">
        <f t="shared" si="10"/>
        <v>-13.528612519673571</v>
      </c>
      <c r="AR9" s="14">
        <f t="shared" si="10"/>
        <v>-13.934470895263779</v>
      </c>
      <c r="AS9" s="14">
        <f t="shared" si="10"/>
        <v>-14.352505022121692</v>
      </c>
    </row>
    <row r="10" spans="1:200" x14ac:dyDescent="0.25">
      <c r="C10" s="1" t="s">
        <v>61</v>
      </c>
      <c r="D10" s="12">
        <f t="shared" ref="D10:M10" si="11">SUM(D6:D9)</f>
        <v>2159</v>
      </c>
      <c r="E10" s="12">
        <f t="shared" si="11"/>
        <v>2064</v>
      </c>
      <c r="F10" s="12">
        <f t="shared" si="11"/>
        <v>556</v>
      </c>
      <c r="G10" s="12">
        <f t="shared" si="11"/>
        <v>-1737</v>
      </c>
      <c r="H10" s="12">
        <f t="shared" si="11"/>
        <v>2364</v>
      </c>
      <c r="I10" s="12">
        <f t="shared" si="11"/>
        <v>2101</v>
      </c>
      <c r="J10" s="12">
        <f t="shared" si="11"/>
        <v>398</v>
      </c>
      <c r="K10" s="12">
        <f t="shared" si="11"/>
        <v>-983</v>
      </c>
      <c r="L10" s="12">
        <f t="shared" si="11"/>
        <v>1930</v>
      </c>
      <c r="M10" s="12">
        <f t="shared" si="11"/>
        <v>1898</v>
      </c>
      <c r="N10" s="12">
        <f>SUM(N6:N9)</f>
        <v>53</v>
      </c>
      <c r="O10" s="12">
        <f>SUM(O6:O9)</f>
        <v>-1285</v>
      </c>
      <c r="P10" s="12">
        <f>SUM(P6:P9)</f>
        <v>1531</v>
      </c>
      <c r="Q10" s="12">
        <f>SUM(Q6:Q9)</f>
        <v>2062</v>
      </c>
      <c r="R10" s="12">
        <f t="shared" ref="R10" si="12">SUM(R6:R9)</f>
        <v>142</v>
      </c>
      <c r="S10" s="12">
        <f t="shared" ref="S10:U10" si="13">SUM(S6:S9)</f>
        <v>-836</v>
      </c>
      <c r="T10" s="12">
        <f t="shared" si="13"/>
        <v>1710</v>
      </c>
      <c r="U10" s="12">
        <f t="shared" si="13"/>
        <v>1601</v>
      </c>
      <c r="V10" s="14"/>
      <c r="W10" s="14"/>
      <c r="Y10" s="12">
        <f t="shared" ref="Y10:AH10" si="14">SUM(Y6:Y9)</f>
        <v>2827</v>
      </c>
      <c r="Z10" s="12">
        <f t="shared" si="14"/>
        <v>3218</v>
      </c>
      <c r="AA10" s="12">
        <f t="shared" si="14"/>
        <v>3790</v>
      </c>
      <c r="AB10" s="12">
        <f t="shared" si="14"/>
        <v>2070</v>
      </c>
      <c r="AC10" s="12">
        <f t="shared" si="14"/>
        <v>3690</v>
      </c>
      <c r="AD10" s="12">
        <f t="shared" si="14"/>
        <v>3669</v>
      </c>
      <c r="AE10" s="12">
        <f t="shared" si="14"/>
        <v>5746</v>
      </c>
      <c r="AF10" s="12">
        <f t="shared" si="14"/>
        <v>3043</v>
      </c>
      <c r="AG10" s="12">
        <f t="shared" si="14"/>
        <v>3880</v>
      </c>
      <c r="AH10" s="12">
        <f t="shared" si="14"/>
        <v>2597</v>
      </c>
      <c r="AI10" s="12">
        <f t="shared" ref="AI10:AS10" si="15">SUM(AI6:AI9)</f>
        <v>2899</v>
      </c>
      <c r="AJ10" s="57">
        <f t="shared" si="15"/>
        <v>2327.4700000000021</v>
      </c>
      <c r="AK10" s="12">
        <f t="shared" si="15"/>
        <v>2397.294100000001</v>
      </c>
      <c r="AL10" s="12">
        <f t="shared" si="15"/>
        <v>2469.212923000001</v>
      </c>
      <c r="AM10" s="12">
        <f t="shared" si="15"/>
        <v>2543.2893106900042</v>
      </c>
      <c r="AN10" s="12">
        <f t="shared" si="15"/>
        <v>2619.5879900107016</v>
      </c>
      <c r="AO10" s="12">
        <f t="shared" si="15"/>
        <v>2698.175629711021</v>
      </c>
      <c r="AP10" s="12">
        <f t="shared" si="15"/>
        <v>2779.1208986023562</v>
      </c>
      <c r="AQ10" s="12">
        <f t="shared" si="15"/>
        <v>2862.4945255604198</v>
      </c>
      <c r="AR10" s="12">
        <f t="shared" si="15"/>
        <v>2948.3693613272358</v>
      </c>
      <c r="AS10" s="12">
        <f t="shared" si="15"/>
        <v>3036.820442167053</v>
      </c>
    </row>
    <row r="11" spans="1:200" x14ac:dyDescent="0.25">
      <c r="C11" s="2" t="s">
        <v>62</v>
      </c>
      <c r="D11" s="14">
        <v>-61</v>
      </c>
      <c r="E11" s="14">
        <v>-87</v>
      </c>
      <c r="F11" s="14">
        <v>-87</v>
      </c>
      <c r="G11" s="14">
        <v>-226</v>
      </c>
      <c r="H11" s="14">
        <v>-245</v>
      </c>
      <c r="I11" s="14">
        <v>-247</v>
      </c>
      <c r="J11" s="14">
        <v>-221</v>
      </c>
      <c r="K11" s="14">
        <v>-289</v>
      </c>
      <c r="L11" s="14">
        <v>-229</v>
      </c>
      <c r="M11" s="14">
        <v>-258</v>
      </c>
      <c r="N11" s="14">
        <v>-206</v>
      </c>
      <c r="O11" s="14">
        <v>-171</v>
      </c>
      <c r="P11" s="14">
        <v>-199</v>
      </c>
      <c r="Q11" s="14">
        <v>-202</v>
      </c>
      <c r="R11" s="14">
        <v>-182</v>
      </c>
      <c r="S11" s="14">
        <v>-167</v>
      </c>
      <c r="T11" s="14">
        <v>-202</v>
      </c>
      <c r="U11" s="2">
        <v>-207</v>
      </c>
      <c r="Y11" s="14">
        <f>44-388</f>
        <v>-344</v>
      </c>
      <c r="Z11" s="14">
        <f>29-451</f>
        <v>-422</v>
      </c>
      <c r="AA11" s="14">
        <f>20-520</f>
        <v>-500</v>
      </c>
      <c r="AB11" s="14">
        <f>72-581</f>
        <v>-509</v>
      </c>
      <c r="AC11" s="14">
        <f>18-586</f>
        <v>-568</v>
      </c>
      <c r="AD11" s="14">
        <f>38-377</f>
        <v>-339</v>
      </c>
      <c r="AE11" s="14">
        <f>42-294</f>
        <v>-252</v>
      </c>
      <c r="AF11" s="14">
        <f>38-499</f>
        <v>-461</v>
      </c>
      <c r="AG11" s="14">
        <f>75-1077</f>
        <v>-1002</v>
      </c>
      <c r="AH11" s="14">
        <f>86-950</f>
        <v>-864</v>
      </c>
      <c r="AI11" s="14">
        <v>-750</v>
      </c>
      <c r="AJ11" s="58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</row>
    <row r="12" spans="1:200" x14ac:dyDescent="0.25">
      <c r="A12" s="2" t="s">
        <v>146</v>
      </c>
      <c r="B12" s="8">
        <f>(B8-B7)/U26</f>
        <v>1.4649206652647677</v>
      </c>
      <c r="C12" s="2" t="s">
        <v>63</v>
      </c>
      <c r="D12" s="14">
        <f t="shared" ref="D12:M12" si="16">SUM(D10:D11)</f>
        <v>2098</v>
      </c>
      <c r="E12" s="14">
        <f t="shared" si="16"/>
        <v>1977</v>
      </c>
      <c r="F12" s="14">
        <f t="shared" si="16"/>
        <v>469</v>
      </c>
      <c r="G12" s="14">
        <f t="shared" si="16"/>
        <v>-1963</v>
      </c>
      <c r="H12" s="14">
        <f t="shared" si="16"/>
        <v>2119</v>
      </c>
      <c r="I12" s="14">
        <f t="shared" si="16"/>
        <v>1854</v>
      </c>
      <c r="J12" s="14">
        <f t="shared" si="16"/>
        <v>177</v>
      </c>
      <c r="K12" s="14">
        <f t="shared" si="16"/>
        <v>-1272</v>
      </c>
      <c r="L12" s="14">
        <f t="shared" si="16"/>
        <v>1701</v>
      </c>
      <c r="M12" s="14">
        <f t="shared" si="16"/>
        <v>1640</v>
      </c>
      <c r="N12" s="14">
        <f>SUM(N10:N11)</f>
        <v>-153</v>
      </c>
      <c r="O12" s="14">
        <f>SUM(O10:O11)</f>
        <v>-1456</v>
      </c>
      <c r="P12" s="14">
        <f>SUM(P10:P11)</f>
        <v>1332</v>
      </c>
      <c r="Q12" s="14">
        <f>SUM(Q10:Q11)</f>
        <v>1860</v>
      </c>
      <c r="R12" s="14">
        <f t="shared" ref="R12:S12" si="17">SUM(R10:R11)</f>
        <v>-40</v>
      </c>
      <c r="S12" s="14">
        <f t="shared" si="17"/>
        <v>-1003</v>
      </c>
      <c r="T12" s="14">
        <f t="shared" ref="T12:U12" si="18">SUM(T10:T11)</f>
        <v>1508</v>
      </c>
      <c r="U12" s="14">
        <f t="shared" si="18"/>
        <v>1394</v>
      </c>
      <c r="Y12" s="14">
        <f t="shared" ref="Y12:AH12" si="19">SUM(Y10:Y11)</f>
        <v>2483</v>
      </c>
      <c r="Z12" s="14">
        <f t="shared" si="19"/>
        <v>2796</v>
      </c>
      <c r="AA12" s="14">
        <f t="shared" si="19"/>
        <v>3290</v>
      </c>
      <c r="AB12" s="14">
        <f t="shared" si="19"/>
        <v>1561</v>
      </c>
      <c r="AC12" s="14">
        <f t="shared" si="19"/>
        <v>3122</v>
      </c>
      <c r="AD12" s="14">
        <f t="shared" si="19"/>
        <v>3330</v>
      </c>
      <c r="AE12" s="14">
        <f t="shared" si="19"/>
        <v>5494</v>
      </c>
      <c r="AF12" s="14">
        <f t="shared" si="19"/>
        <v>2582</v>
      </c>
      <c r="AG12" s="14">
        <f t="shared" si="19"/>
        <v>2878</v>
      </c>
      <c r="AH12" s="14">
        <f t="shared" si="19"/>
        <v>1733</v>
      </c>
      <c r="AI12" s="14">
        <f t="shared" ref="AI12:AS12" si="20">SUM(AI10:AI11)</f>
        <v>2149</v>
      </c>
      <c r="AJ12" s="58">
        <f t="shared" si="20"/>
        <v>2327.4700000000021</v>
      </c>
      <c r="AK12" s="14">
        <f t="shared" si="20"/>
        <v>2397.294100000001</v>
      </c>
      <c r="AL12" s="14">
        <f t="shared" si="20"/>
        <v>2469.212923000001</v>
      </c>
      <c r="AM12" s="14">
        <f t="shared" si="20"/>
        <v>2543.2893106900042</v>
      </c>
      <c r="AN12" s="14">
        <f t="shared" si="20"/>
        <v>2619.5879900107016</v>
      </c>
      <c r="AO12" s="14">
        <f t="shared" si="20"/>
        <v>2698.175629711021</v>
      </c>
      <c r="AP12" s="14">
        <f t="shared" si="20"/>
        <v>2779.1208986023562</v>
      </c>
      <c r="AQ12" s="14">
        <f t="shared" si="20"/>
        <v>2862.4945255604198</v>
      </c>
      <c r="AR12" s="14">
        <f t="shared" si="20"/>
        <v>2948.3693613272358</v>
      </c>
      <c r="AS12" s="14">
        <f t="shared" si="20"/>
        <v>3036.820442167053</v>
      </c>
    </row>
    <row r="13" spans="1:200" x14ac:dyDescent="0.25">
      <c r="C13" s="2" t="s">
        <v>64</v>
      </c>
      <c r="D13" s="14">
        <v>-460</v>
      </c>
      <c r="E13" s="14">
        <v>-561</v>
      </c>
      <c r="F13" s="14">
        <v>-199</v>
      </c>
      <c r="G13" s="14">
        <v>571</v>
      </c>
      <c r="H13" s="14">
        <v>-466</v>
      </c>
      <c r="I13" s="14">
        <v>-443</v>
      </c>
      <c r="J13" s="14">
        <v>-53</v>
      </c>
      <c r="K13" s="14">
        <v>261</v>
      </c>
      <c r="L13" s="14">
        <v>-379</v>
      </c>
      <c r="M13" s="14">
        <v>-369</v>
      </c>
      <c r="N13" s="14">
        <v>1</v>
      </c>
      <c r="O13" s="14">
        <v>339</v>
      </c>
      <c r="P13" s="14">
        <v>-362</v>
      </c>
      <c r="Q13" s="14">
        <v>-281</v>
      </c>
      <c r="R13" s="14">
        <v>31</v>
      </c>
      <c r="S13" s="14">
        <v>233</v>
      </c>
      <c r="T13" s="14">
        <v>-335</v>
      </c>
      <c r="U13" s="2">
        <v>-363</v>
      </c>
      <c r="Y13" s="14">
        <v>-595</v>
      </c>
      <c r="Z13" s="14">
        <v>-692</v>
      </c>
      <c r="AA13" s="14">
        <v>-630</v>
      </c>
      <c r="AB13" s="14">
        <v>-348</v>
      </c>
      <c r="AC13" s="14">
        <v>-594</v>
      </c>
      <c r="AD13" s="14">
        <v>-835</v>
      </c>
      <c r="AE13" s="14">
        <v>-1057</v>
      </c>
      <c r="AF13" s="14">
        <v>-649</v>
      </c>
      <c r="AG13" s="14">
        <v>-702</v>
      </c>
      <c r="AH13" s="14">
        <v>-408</v>
      </c>
      <c r="AI13" s="14">
        <v>-379</v>
      </c>
      <c r="AJ13" s="58">
        <f>AJ12*-0.2</f>
        <v>-465.49400000000043</v>
      </c>
      <c r="AK13" s="14">
        <f t="shared" ref="AK13:AS13" si="21">AK12*-0.2</f>
        <v>-479.45882000000023</v>
      </c>
      <c r="AL13" s="14">
        <f t="shared" si="21"/>
        <v>-493.84258460000024</v>
      </c>
      <c r="AM13" s="14">
        <f t="shared" si="21"/>
        <v>-508.65786213800084</v>
      </c>
      <c r="AN13" s="14">
        <f t="shared" si="21"/>
        <v>-523.91759800214038</v>
      </c>
      <c r="AO13" s="14">
        <f t="shared" si="21"/>
        <v>-539.63512594220424</v>
      </c>
      <c r="AP13" s="14">
        <f t="shared" si="21"/>
        <v>-555.82417972047131</v>
      </c>
      <c r="AQ13" s="14">
        <f t="shared" si="21"/>
        <v>-572.498905112084</v>
      </c>
      <c r="AR13" s="14">
        <f t="shared" si="21"/>
        <v>-589.67387226544713</v>
      </c>
      <c r="AS13" s="14">
        <f t="shared" si="21"/>
        <v>-607.36408843341064</v>
      </c>
    </row>
    <row r="14" spans="1:200" x14ac:dyDescent="0.25">
      <c r="A14" s="2" t="s">
        <v>147</v>
      </c>
      <c r="B14" s="8">
        <f>B6/+U47</f>
        <v>0.80983622462840077</v>
      </c>
      <c r="C14" s="1" t="s">
        <v>65</v>
      </c>
      <c r="D14" s="12">
        <f t="shared" ref="D14:M14" si="22">SUM(D12:D13)</f>
        <v>1638</v>
      </c>
      <c r="E14" s="12">
        <f t="shared" si="22"/>
        <v>1416</v>
      </c>
      <c r="F14" s="12">
        <f t="shared" si="22"/>
        <v>270</v>
      </c>
      <c r="G14" s="12">
        <f t="shared" si="22"/>
        <v>-1392</v>
      </c>
      <c r="H14" s="12">
        <f t="shared" si="22"/>
        <v>1653</v>
      </c>
      <c r="I14" s="12">
        <f t="shared" si="22"/>
        <v>1411</v>
      </c>
      <c r="J14" s="12">
        <f t="shared" si="22"/>
        <v>124</v>
      </c>
      <c r="K14" s="12">
        <f t="shared" si="22"/>
        <v>-1011</v>
      </c>
      <c r="L14" s="12">
        <f t="shared" si="22"/>
        <v>1322</v>
      </c>
      <c r="M14" s="12">
        <f t="shared" si="22"/>
        <v>1271</v>
      </c>
      <c r="N14" s="12">
        <f>SUM(N12:N13)</f>
        <v>-152</v>
      </c>
      <c r="O14" s="12">
        <f>SUM(O12:O13)</f>
        <v>-1117</v>
      </c>
      <c r="P14" s="12">
        <f>SUM(P12:P13)</f>
        <v>970</v>
      </c>
      <c r="Q14" s="12">
        <f>SUM(Q12:Q13)</f>
        <v>1579</v>
      </c>
      <c r="R14" s="12">
        <f t="shared" ref="R14:S14" si="23">SUM(R12:R13)</f>
        <v>-9</v>
      </c>
      <c r="S14" s="12">
        <f t="shared" si="23"/>
        <v>-770</v>
      </c>
      <c r="T14" s="12">
        <f t="shared" ref="T14:U14" si="24">SUM(T12:T13)</f>
        <v>1173</v>
      </c>
      <c r="U14" s="12">
        <f t="shared" si="24"/>
        <v>1031</v>
      </c>
      <c r="Y14" s="12">
        <f t="shared" ref="Y14:AH14" si="25">SUM(Y12:Y13)</f>
        <v>1888</v>
      </c>
      <c r="Z14" s="12">
        <f t="shared" si="25"/>
        <v>2104</v>
      </c>
      <c r="AA14" s="12">
        <f t="shared" si="25"/>
        <v>2660</v>
      </c>
      <c r="AB14" s="12">
        <f t="shared" si="25"/>
        <v>1213</v>
      </c>
      <c r="AC14" s="12">
        <f t="shared" si="25"/>
        <v>2528</v>
      </c>
      <c r="AD14" s="12">
        <f t="shared" si="25"/>
        <v>2495</v>
      </c>
      <c r="AE14" s="12">
        <f t="shared" si="25"/>
        <v>4437</v>
      </c>
      <c r="AF14" s="12">
        <f t="shared" si="25"/>
        <v>1933</v>
      </c>
      <c r="AG14" s="12">
        <f t="shared" si="25"/>
        <v>2176</v>
      </c>
      <c r="AH14" s="12">
        <f t="shared" si="25"/>
        <v>1325</v>
      </c>
      <c r="AI14" s="12">
        <f t="shared" ref="AI14:AS14" si="26">SUM(AI12:AI13)</f>
        <v>1770</v>
      </c>
      <c r="AJ14" s="57">
        <f t="shared" si="26"/>
        <v>1861.9760000000017</v>
      </c>
      <c r="AK14" s="12">
        <f t="shared" si="26"/>
        <v>1917.8352800000007</v>
      </c>
      <c r="AL14" s="12">
        <f t="shared" si="26"/>
        <v>1975.3703384000007</v>
      </c>
      <c r="AM14" s="12">
        <f t="shared" si="26"/>
        <v>2034.6314485520033</v>
      </c>
      <c r="AN14" s="12">
        <f t="shared" si="26"/>
        <v>2095.6703920085611</v>
      </c>
      <c r="AO14" s="12">
        <f t="shared" si="26"/>
        <v>2158.540503768817</v>
      </c>
      <c r="AP14" s="12">
        <f t="shared" si="26"/>
        <v>2223.2967188818848</v>
      </c>
      <c r="AQ14" s="12">
        <f t="shared" si="26"/>
        <v>2289.995620448336</v>
      </c>
      <c r="AR14" s="12">
        <f t="shared" si="26"/>
        <v>2358.6954890617885</v>
      </c>
      <c r="AS14" s="12">
        <f t="shared" si="26"/>
        <v>2429.4563537336426</v>
      </c>
      <c r="AT14" s="12">
        <f>AS14*(1+$AV$18)</f>
        <v>2405.1617901963059</v>
      </c>
      <c r="AU14" s="12">
        <f t="shared" ref="AU14:DF14" si="27">AT14*(1+$AV$18)</f>
        <v>2381.1101722943426</v>
      </c>
      <c r="AV14" s="12">
        <f t="shared" si="27"/>
        <v>2357.2990705713992</v>
      </c>
      <c r="AW14" s="12">
        <f t="shared" si="27"/>
        <v>2333.7260798656853</v>
      </c>
      <c r="AX14" s="12">
        <f t="shared" si="27"/>
        <v>2310.3888190670282</v>
      </c>
      <c r="AY14" s="12">
        <f t="shared" si="27"/>
        <v>2287.284930876358</v>
      </c>
      <c r="AZ14" s="12">
        <f t="shared" si="27"/>
        <v>2264.4120815675942</v>
      </c>
      <c r="BA14" s="12">
        <f t="shared" si="27"/>
        <v>2241.7679607519181</v>
      </c>
      <c r="BB14" s="12">
        <f t="shared" si="27"/>
        <v>2219.3502811443987</v>
      </c>
      <c r="BC14" s="12">
        <f t="shared" si="27"/>
        <v>2197.1567783329547</v>
      </c>
      <c r="BD14" s="12">
        <f t="shared" si="27"/>
        <v>2175.185210549625</v>
      </c>
      <c r="BE14" s="12">
        <f t="shared" si="27"/>
        <v>2153.4333584441288</v>
      </c>
      <c r="BF14" s="12">
        <f t="shared" si="27"/>
        <v>2131.8990248596874</v>
      </c>
      <c r="BG14" s="12">
        <f t="shared" si="27"/>
        <v>2110.5800346110905</v>
      </c>
      <c r="BH14" s="12">
        <f t="shared" si="27"/>
        <v>2089.4742342649797</v>
      </c>
      <c r="BI14" s="12">
        <f t="shared" si="27"/>
        <v>2068.5794919223299</v>
      </c>
      <c r="BJ14" s="12">
        <f t="shared" si="27"/>
        <v>2047.8936970031066</v>
      </c>
      <c r="BK14" s="12">
        <f t="shared" si="27"/>
        <v>2027.4147600330755</v>
      </c>
      <c r="BL14" s="12">
        <f t="shared" si="27"/>
        <v>2007.1406124327448</v>
      </c>
      <c r="BM14" s="12">
        <f t="shared" si="27"/>
        <v>1987.0692063084173</v>
      </c>
      <c r="BN14" s="12">
        <f t="shared" si="27"/>
        <v>1967.1985142453332</v>
      </c>
      <c r="BO14" s="12">
        <f t="shared" si="27"/>
        <v>1947.5265291028797</v>
      </c>
      <c r="BP14" s="12">
        <f t="shared" si="27"/>
        <v>1928.051263811851</v>
      </c>
      <c r="BQ14" s="12">
        <f t="shared" si="27"/>
        <v>1908.7707511737324</v>
      </c>
      <c r="BR14" s="12">
        <f t="shared" si="27"/>
        <v>1889.683043661995</v>
      </c>
      <c r="BS14" s="12">
        <f t="shared" si="27"/>
        <v>1870.7862132253751</v>
      </c>
      <c r="BT14" s="12">
        <f t="shared" si="27"/>
        <v>1852.0783510931215</v>
      </c>
      <c r="BU14" s="12">
        <f t="shared" si="27"/>
        <v>1833.5575675821901</v>
      </c>
      <c r="BV14" s="12">
        <f t="shared" si="27"/>
        <v>1815.2219919063682</v>
      </c>
      <c r="BW14" s="12">
        <f t="shared" si="27"/>
        <v>1797.0697719873044</v>
      </c>
      <c r="BX14" s="12">
        <f t="shared" si="27"/>
        <v>1779.0990742674314</v>
      </c>
      <c r="BY14" s="12">
        <f t="shared" si="27"/>
        <v>1761.3080835247572</v>
      </c>
      <c r="BZ14" s="12">
        <f t="shared" si="27"/>
        <v>1743.6950026895097</v>
      </c>
      <c r="CA14" s="12">
        <f t="shared" si="27"/>
        <v>1726.2580526626145</v>
      </c>
      <c r="CB14" s="12">
        <f t="shared" si="27"/>
        <v>1708.9954721359884</v>
      </c>
      <c r="CC14" s="12">
        <f t="shared" si="27"/>
        <v>1691.9055174146285</v>
      </c>
      <c r="CD14" s="12">
        <f t="shared" si="27"/>
        <v>1674.9864622404823</v>
      </c>
      <c r="CE14" s="12">
        <f t="shared" si="27"/>
        <v>1658.2365976180774</v>
      </c>
      <c r="CF14" s="12">
        <f t="shared" si="27"/>
        <v>1641.6542316418966</v>
      </c>
      <c r="CG14" s="12">
        <f t="shared" si="27"/>
        <v>1625.2376893254775</v>
      </c>
      <c r="CH14" s="12">
        <f t="shared" si="27"/>
        <v>1608.9853124322228</v>
      </c>
      <c r="CI14" s="12">
        <f t="shared" si="27"/>
        <v>1592.8954593079006</v>
      </c>
      <c r="CJ14" s="12">
        <f t="shared" si="27"/>
        <v>1576.9665047148217</v>
      </c>
      <c r="CK14" s="12">
        <f t="shared" si="27"/>
        <v>1561.1968396676734</v>
      </c>
      <c r="CL14" s="12">
        <f t="shared" si="27"/>
        <v>1545.5848712709967</v>
      </c>
      <c r="CM14" s="12">
        <f t="shared" si="27"/>
        <v>1530.1290225582868</v>
      </c>
      <c r="CN14" s="12">
        <f t="shared" si="27"/>
        <v>1514.8277323327038</v>
      </c>
      <c r="CO14" s="12">
        <f t="shared" si="27"/>
        <v>1499.6794550093769</v>
      </c>
      <c r="CP14" s="12">
        <f t="shared" si="27"/>
        <v>1484.6826604592832</v>
      </c>
      <c r="CQ14" s="12">
        <f t="shared" si="27"/>
        <v>1469.8358338546902</v>
      </c>
      <c r="CR14" s="12">
        <f t="shared" si="27"/>
        <v>1455.1374755161432</v>
      </c>
      <c r="CS14" s="12">
        <f t="shared" si="27"/>
        <v>1440.5861007609817</v>
      </c>
      <c r="CT14" s="12">
        <f t="shared" si="27"/>
        <v>1426.1802397533718</v>
      </c>
      <c r="CU14" s="12">
        <f t="shared" si="27"/>
        <v>1411.918437355838</v>
      </c>
      <c r="CV14" s="12">
        <f t="shared" si="27"/>
        <v>1397.7992529822795</v>
      </c>
      <c r="CW14" s="12">
        <f t="shared" si="27"/>
        <v>1383.8212604524567</v>
      </c>
      <c r="CX14" s="12">
        <f t="shared" si="27"/>
        <v>1369.9830478479321</v>
      </c>
      <c r="CY14" s="12">
        <f t="shared" si="27"/>
        <v>1356.2832173694528</v>
      </c>
      <c r="CZ14" s="12">
        <f t="shared" si="27"/>
        <v>1342.7203851957584</v>
      </c>
      <c r="DA14" s="12">
        <f t="shared" si="27"/>
        <v>1329.2931813438008</v>
      </c>
      <c r="DB14" s="12">
        <f t="shared" si="27"/>
        <v>1316.0002495303629</v>
      </c>
      <c r="DC14" s="12">
        <f t="shared" si="27"/>
        <v>1302.8402470350593</v>
      </c>
      <c r="DD14" s="12">
        <f t="shared" si="27"/>
        <v>1289.8118445647087</v>
      </c>
      <c r="DE14" s="12">
        <f t="shared" si="27"/>
        <v>1276.9137261190617</v>
      </c>
      <c r="DF14" s="12">
        <f t="shared" si="27"/>
        <v>1264.144588857871</v>
      </c>
      <c r="DG14" s="12">
        <f t="shared" ref="DG14:FR14" si="28">DF14*(1+$AV$18)</f>
        <v>1251.5031429692922</v>
      </c>
      <c r="DH14" s="12">
        <f t="shared" si="28"/>
        <v>1238.9881115395992</v>
      </c>
      <c r="DI14" s="12">
        <f t="shared" si="28"/>
        <v>1226.5982304242032</v>
      </c>
      <c r="DJ14" s="12">
        <f t="shared" si="28"/>
        <v>1214.3322481199612</v>
      </c>
      <c r="DK14" s="12">
        <f t="shared" si="28"/>
        <v>1202.1889256387615</v>
      </c>
      <c r="DL14" s="12">
        <f t="shared" si="28"/>
        <v>1190.1670363823739</v>
      </c>
      <c r="DM14" s="12">
        <f t="shared" si="28"/>
        <v>1178.2653660185501</v>
      </c>
      <c r="DN14" s="12">
        <f t="shared" si="28"/>
        <v>1166.4827123583646</v>
      </c>
      <c r="DO14" s="12">
        <f t="shared" si="28"/>
        <v>1154.817885234781</v>
      </c>
      <c r="DP14" s="12">
        <f t="shared" si="28"/>
        <v>1143.2697063824332</v>
      </c>
      <c r="DQ14" s="12">
        <f t="shared" si="28"/>
        <v>1131.8370093186088</v>
      </c>
      <c r="DR14" s="12">
        <f t="shared" si="28"/>
        <v>1120.5186392254227</v>
      </c>
      <c r="DS14" s="12">
        <f t="shared" si="28"/>
        <v>1109.3134528331684</v>
      </c>
      <c r="DT14" s="12">
        <f t="shared" si="28"/>
        <v>1098.2203183048366</v>
      </c>
      <c r="DU14" s="12">
        <f t="shared" si="28"/>
        <v>1087.2381151217883</v>
      </c>
      <c r="DV14" s="12">
        <f t="shared" si="28"/>
        <v>1076.3657339705703</v>
      </c>
      <c r="DW14" s="12">
        <f t="shared" si="28"/>
        <v>1065.6020766308645</v>
      </c>
      <c r="DX14" s="12">
        <f t="shared" si="28"/>
        <v>1054.9460558645558</v>
      </c>
      <c r="DY14" s="12">
        <f t="shared" si="28"/>
        <v>1044.3965953059103</v>
      </c>
      <c r="DZ14" s="12">
        <f t="shared" si="28"/>
        <v>1033.9526293528511</v>
      </c>
      <c r="EA14" s="12">
        <f t="shared" si="28"/>
        <v>1023.6131030593226</v>
      </c>
      <c r="EB14" s="12">
        <f t="shared" si="28"/>
        <v>1013.3769720287294</v>
      </c>
      <c r="EC14" s="12">
        <f t="shared" si="28"/>
        <v>1003.2432023084421</v>
      </c>
      <c r="ED14" s="12">
        <f t="shared" si="28"/>
        <v>993.21077028535763</v>
      </c>
      <c r="EE14" s="12">
        <f t="shared" si="28"/>
        <v>983.27866258250401</v>
      </c>
      <c r="EF14" s="12">
        <f t="shared" si="28"/>
        <v>973.44587595667895</v>
      </c>
      <c r="EG14" s="12">
        <f t="shared" si="28"/>
        <v>963.71141719711216</v>
      </c>
      <c r="EH14" s="12">
        <f t="shared" si="28"/>
        <v>954.07430302514103</v>
      </c>
      <c r="EI14" s="12">
        <f t="shared" si="28"/>
        <v>944.53355999488963</v>
      </c>
      <c r="EJ14" s="12">
        <f t="shared" si="28"/>
        <v>935.08822439494077</v>
      </c>
      <c r="EK14" s="12">
        <f t="shared" si="28"/>
        <v>925.73734215099137</v>
      </c>
      <c r="EL14" s="12">
        <f t="shared" si="28"/>
        <v>916.47996872948147</v>
      </c>
      <c r="EM14" s="12">
        <f t="shared" si="28"/>
        <v>907.31516904218665</v>
      </c>
      <c r="EN14" s="12">
        <f t="shared" si="28"/>
        <v>898.24201735176473</v>
      </c>
      <c r="EO14" s="12">
        <f t="shared" si="28"/>
        <v>889.25959717824708</v>
      </c>
      <c r="EP14" s="12">
        <f t="shared" si="28"/>
        <v>880.36700120646458</v>
      </c>
      <c r="EQ14" s="12">
        <f t="shared" si="28"/>
        <v>871.56333119439989</v>
      </c>
      <c r="ER14" s="12">
        <f t="shared" si="28"/>
        <v>862.84769788245592</v>
      </c>
      <c r="ES14" s="12">
        <f t="shared" si="28"/>
        <v>854.21922090363137</v>
      </c>
      <c r="ET14" s="12">
        <f t="shared" si="28"/>
        <v>845.67702869459504</v>
      </c>
      <c r="EU14" s="12">
        <f t="shared" si="28"/>
        <v>837.22025840764911</v>
      </c>
      <c r="EV14" s="12">
        <f t="shared" si="28"/>
        <v>828.84805582357262</v>
      </c>
      <c r="EW14" s="12">
        <f t="shared" si="28"/>
        <v>820.55957526533689</v>
      </c>
      <c r="EX14" s="12">
        <f t="shared" si="28"/>
        <v>812.35397951268351</v>
      </c>
      <c r="EY14" s="12">
        <f t="shared" si="28"/>
        <v>804.23043971755669</v>
      </c>
      <c r="EZ14" s="12">
        <f t="shared" si="28"/>
        <v>796.18813532038109</v>
      </c>
      <c r="FA14" s="12">
        <f t="shared" si="28"/>
        <v>788.22625396717729</v>
      </c>
      <c r="FB14" s="12">
        <f t="shared" si="28"/>
        <v>780.34399142750556</v>
      </c>
      <c r="FC14" s="12">
        <f t="shared" si="28"/>
        <v>772.54055151323053</v>
      </c>
      <c r="FD14" s="12">
        <f t="shared" si="28"/>
        <v>764.81514599809816</v>
      </c>
      <c r="FE14" s="12">
        <f t="shared" si="28"/>
        <v>757.16699453811714</v>
      </c>
      <c r="FF14" s="12">
        <f t="shared" si="28"/>
        <v>749.59532459273601</v>
      </c>
      <c r="FG14" s="12">
        <f t="shared" si="28"/>
        <v>742.09937134680865</v>
      </c>
      <c r="FH14" s="12">
        <f t="shared" si="28"/>
        <v>734.67837763334057</v>
      </c>
      <c r="FI14" s="12">
        <f t="shared" si="28"/>
        <v>727.33159385700719</v>
      </c>
      <c r="FJ14" s="12">
        <f t="shared" si="28"/>
        <v>720.05827791843717</v>
      </c>
      <c r="FK14" s="12">
        <f t="shared" si="28"/>
        <v>712.85769513925277</v>
      </c>
      <c r="FL14" s="12">
        <f t="shared" si="28"/>
        <v>705.72911818786019</v>
      </c>
      <c r="FM14" s="12">
        <f t="shared" si="28"/>
        <v>698.67182700598164</v>
      </c>
      <c r="FN14" s="12">
        <f t="shared" si="28"/>
        <v>691.68510873592186</v>
      </c>
      <c r="FO14" s="12">
        <f t="shared" si="28"/>
        <v>684.76825764856267</v>
      </c>
      <c r="FP14" s="12">
        <f t="shared" si="28"/>
        <v>677.92057507207699</v>
      </c>
      <c r="FQ14" s="12">
        <f t="shared" si="28"/>
        <v>671.14136932135625</v>
      </c>
      <c r="FR14" s="12">
        <f t="shared" si="28"/>
        <v>664.42995562814269</v>
      </c>
      <c r="FS14" s="12">
        <f t="shared" ref="FS14:GR14" si="29">FR14*(1+$AV$18)</f>
        <v>657.78565607186124</v>
      </c>
      <c r="FT14" s="12">
        <f t="shared" si="29"/>
        <v>651.20779951114264</v>
      </c>
      <c r="FU14" s="12">
        <f t="shared" si="29"/>
        <v>644.6957215160312</v>
      </c>
      <c r="FV14" s="12">
        <f t="shared" si="29"/>
        <v>638.2487643008709</v>
      </c>
      <c r="FW14" s="12">
        <f t="shared" si="29"/>
        <v>631.86627665786216</v>
      </c>
      <c r="FX14" s="12">
        <f t="shared" si="29"/>
        <v>625.5476138912835</v>
      </c>
      <c r="FY14" s="12">
        <f t="shared" si="29"/>
        <v>619.29213775237065</v>
      </c>
      <c r="FZ14" s="12">
        <f t="shared" si="29"/>
        <v>613.09921637484695</v>
      </c>
      <c r="GA14" s="12">
        <f t="shared" si="29"/>
        <v>606.96822421109846</v>
      </c>
      <c r="GB14" s="12">
        <f t="shared" si="29"/>
        <v>600.8985419689875</v>
      </c>
      <c r="GC14" s="12">
        <f t="shared" si="29"/>
        <v>594.88955654929759</v>
      </c>
      <c r="GD14" s="12">
        <f t="shared" si="29"/>
        <v>588.94066098380461</v>
      </c>
      <c r="GE14" s="12">
        <f t="shared" si="29"/>
        <v>583.05125437396657</v>
      </c>
      <c r="GF14" s="12">
        <f t="shared" si="29"/>
        <v>577.22074183022687</v>
      </c>
      <c r="GG14" s="12">
        <f t="shared" si="29"/>
        <v>571.44853441192458</v>
      </c>
      <c r="GH14" s="12">
        <f t="shared" si="29"/>
        <v>565.73404906780536</v>
      </c>
      <c r="GI14" s="12">
        <f t="shared" si="29"/>
        <v>560.07670857712731</v>
      </c>
      <c r="GJ14" s="12">
        <f t="shared" si="29"/>
        <v>554.47594149135602</v>
      </c>
      <c r="GK14" s="12">
        <f t="shared" si="29"/>
        <v>548.9311820764425</v>
      </c>
      <c r="GL14" s="12">
        <f t="shared" si="29"/>
        <v>543.44187025567805</v>
      </c>
      <c r="GM14" s="12">
        <f t="shared" si="29"/>
        <v>538.00745155312131</v>
      </c>
      <c r="GN14" s="12">
        <f t="shared" si="29"/>
        <v>532.62737703759012</v>
      </c>
      <c r="GO14" s="12">
        <f t="shared" si="29"/>
        <v>527.30110326721422</v>
      </c>
      <c r="GP14" s="12">
        <f t="shared" si="29"/>
        <v>522.0280922345421</v>
      </c>
      <c r="GQ14" s="12">
        <f t="shared" si="29"/>
        <v>516.80781131219669</v>
      </c>
      <c r="GR14" s="12">
        <f t="shared" si="29"/>
        <v>511.63973319907473</v>
      </c>
    </row>
    <row r="15" spans="1:200" x14ac:dyDescent="0.25">
      <c r="C15" s="2" t="s">
        <v>66</v>
      </c>
      <c r="D15" s="14">
        <v>571.6</v>
      </c>
      <c r="E15" s="14">
        <v>571.6</v>
      </c>
      <c r="F15" s="14">
        <v>571.6</v>
      </c>
      <c r="G15" s="14">
        <v>571.6</v>
      </c>
      <c r="H15" s="14">
        <v>571.6</v>
      </c>
      <c r="I15" s="14">
        <v>571.6</v>
      </c>
      <c r="J15" s="14">
        <v>571.6</v>
      </c>
      <c r="K15" s="14">
        <v>571.6</v>
      </c>
      <c r="L15" s="14">
        <v>571.6</v>
      </c>
      <c r="M15" s="14">
        <v>571.6</v>
      </c>
      <c r="N15" s="2">
        <v>571.70000000000005</v>
      </c>
      <c r="O15" s="2">
        <v>571.70000000000005</v>
      </c>
      <c r="P15" s="2">
        <v>571.70000000000005</v>
      </c>
      <c r="Q15" s="2">
        <v>571.70000000000005</v>
      </c>
      <c r="R15" s="2">
        <v>571.70000000000005</v>
      </c>
      <c r="S15" s="2">
        <v>571.70000000000005</v>
      </c>
      <c r="T15" s="2">
        <v>571.70000000000005</v>
      </c>
      <c r="U15" s="2">
        <v>571.70000000000005</v>
      </c>
      <c r="Y15" s="2">
        <v>571.70000000000005</v>
      </c>
      <c r="Z15" s="2">
        <v>571.70000000000005</v>
      </c>
      <c r="AA15" s="2">
        <v>571.70000000000005</v>
      </c>
      <c r="AB15" s="2">
        <v>571.70000000000005</v>
      </c>
      <c r="AC15" s="2">
        <v>571.70000000000005</v>
      </c>
      <c r="AD15" s="2">
        <v>571.70000000000005</v>
      </c>
      <c r="AE15" s="2">
        <v>571.70000000000005</v>
      </c>
      <c r="AF15" s="2">
        <v>571.70000000000005</v>
      </c>
      <c r="AG15" s="2">
        <v>571.70000000000005</v>
      </c>
      <c r="AH15" s="2">
        <v>571.70000000000005</v>
      </c>
      <c r="AI15" s="2">
        <v>571.70000000000005</v>
      </c>
      <c r="AJ15" s="55">
        <v>571.70000000000005</v>
      </c>
      <c r="AK15" s="2">
        <v>571.70000000000005</v>
      </c>
      <c r="AL15" s="2">
        <v>571.70000000000005</v>
      </c>
      <c r="AM15" s="2">
        <v>571.70000000000005</v>
      </c>
      <c r="AN15" s="2">
        <v>571.70000000000005</v>
      </c>
      <c r="AO15" s="2">
        <v>571.70000000000005</v>
      </c>
      <c r="AP15" s="2">
        <v>571.70000000000005</v>
      </c>
      <c r="AQ15" s="2">
        <v>571.70000000000005</v>
      </c>
      <c r="AR15" s="2">
        <v>571.70000000000005</v>
      </c>
      <c r="AS15" s="2">
        <v>571.70000000000005</v>
      </c>
    </row>
    <row r="16" spans="1:200" x14ac:dyDescent="0.25">
      <c r="C16" s="2" t="s">
        <v>67</v>
      </c>
      <c r="D16" s="19">
        <f t="shared" ref="D16:O16" si="30">D14/D15</f>
        <v>2.8656403079076278</v>
      </c>
      <c r="E16" s="19">
        <f t="shared" si="30"/>
        <v>2.4772568229531138</v>
      </c>
      <c r="F16" s="19">
        <f t="shared" si="30"/>
        <v>0.47235829251224631</v>
      </c>
      <c r="G16" s="19">
        <f t="shared" si="30"/>
        <v>-2.4352694191742477</v>
      </c>
      <c r="H16" s="19">
        <f t="shared" si="30"/>
        <v>2.891882435269419</v>
      </c>
      <c r="I16" s="19">
        <f t="shared" si="30"/>
        <v>2.4685094471658502</v>
      </c>
      <c r="J16" s="19">
        <f t="shared" si="30"/>
        <v>0.21693491952414276</v>
      </c>
      <c r="K16" s="19">
        <f t="shared" si="30"/>
        <v>-1.7687193841847446</v>
      </c>
      <c r="L16" s="19">
        <f t="shared" si="30"/>
        <v>2.3128061581525543</v>
      </c>
      <c r="M16" s="19">
        <f t="shared" si="30"/>
        <v>2.223582925122463</v>
      </c>
      <c r="N16" s="19">
        <f t="shared" si="30"/>
        <v>-0.26587370998775578</v>
      </c>
      <c r="O16" s="19">
        <f t="shared" si="30"/>
        <v>-1.9538219345810739</v>
      </c>
      <c r="P16" s="19">
        <f>P14/P15</f>
        <v>1.6966940703165996</v>
      </c>
      <c r="Q16" s="19">
        <f>Q14/Q15</f>
        <v>2.7619380794122788</v>
      </c>
      <c r="R16" s="19">
        <f t="shared" ref="R16:S16" si="31">R14/R15</f>
        <v>-1.5742522301906592E-2</v>
      </c>
      <c r="S16" s="19">
        <f t="shared" si="31"/>
        <v>-1.3468602413853419</v>
      </c>
      <c r="T16" s="19">
        <f t="shared" ref="T16:U16" si="32">T14/T15</f>
        <v>2.0517754066818261</v>
      </c>
      <c r="U16" s="19">
        <f t="shared" si="32"/>
        <v>1.803393388140633</v>
      </c>
      <c r="X16" s="19"/>
      <c r="Y16" s="19">
        <f t="shared" ref="Y16:AH16" si="33">Y14/Y15</f>
        <v>3.3024313451110721</v>
      </c>
      <c r="Z16" s="19">
        <f t="shared" si="33"/>
        <v>3.6802518803568303</v>
      </c>
      <c r="AA16" s="19">
        <f t="shared" si="33"/>
        <v>4.6527899247857265</v>
      </c>
      <c r="AB16" s="19">
        <f t="shared" si="33"/>
        <v>2.1217421724680774</v>
      </c>
      <c r="AC16" s="19">
        <f t="shared" si="33"/>
        <v>4.4218995976910964</v>
      </c>
      <c r="AD16" s="19">
        <f t="shared" si="33"/>
        <v>4.3641770159174387</v>
      </c>
      <c r="AE16" s="19">
        <f t="shared" si="33"/>
        <v>7.7610634948399504</v>
      </c>
      <c r="AF16" s="19">
        <f t="shared" si="33"/>
        <v>3.3811439566206047</v>
      </c>
      <c r="AG16" s="19">
        <f t="shared" si="33"/>
        <v>3.806192058772083</v>
      </c>
      <c r="AH16" s="19">
        <f t="shared" si="33"/>
        <v>2.3176491166695818</v>
      </c>
      <c r="AI16" s="19">
        <f t="shared" ref="AI16:AS16" si="34">AI14/AI15</f>
        <v>3.0960293860416299</v>
      </c>
      <c r="AJ16" s="59">
        <f t="shared" si="34"/>
        <v>3.2569109672905396</v>
      </c>
      <c r="AK16" s="19">
        <f t="shared" si="34"/>
        <v>3.3546182963092539</v>
      </c>
      <c r="AL16" s="19">
        <f t="shared" si="34"/>
        <v>3.4552568451985315</v>
      </c>
      <c r="AM16" s="19">
        <f t="shared" si="34"/>
        <v>3.5589145505544924</v>
      </c>
      <c r="AN16" s="19">
        <f t="shared" si="34"/>
        <v>3.6656819870711228</v>
      </c>
      <c r="AO16" s="19">
        <f t="shared" si="34"/>
        <v>3.7756524466832548</v>
      </c>
      <c r="AP16" s="19">
        <f t="shared" si="34"/>
        <v>3.8889220200837582</v>
      </c>
      <c r="AQ16" s="19">
        <f t="shared" si="34"/>
        <v>4.0055896806862616</v>
      </c>
      <c r="AR16" s="19">
        <f t="shared" si="34"/>
        <v>4.1257573711068538</v>
      </c>
      <c r="AS16" s="19">
        <f t="shared" si="34"/>
        <v>4.2495300922400601</v>
      </c>
    </row>
    <row r="17" spans="1:48" x14ac:dyDescent="0.25">
      <c r="E17" s="9"/>
      <c r="F17" s="9"/>
      <c r="G17" s="9"/>
      <c r="H17" s="9"/>
      <c r="I17" s="9"/>
      <c r="J17" s="9"/>
      <c r="K17" s="9"/>
      <c r="AI17" s="9"/>
      <c r="AJ17" s="60"/>
      <c r="AK17" s="9"/>
      <c r="AL17" s="9"/>
      <c r="AM17" s="9"/>
      <c r="AN17" s="9"/>
      <c r="AO17" s="9"/>
      <c r="AP17" s="9"/>
      <c r="AQ17" s="9"/>
      <c r="AR17" s="9"/>
      <c r="AS17" s="9"/>
      <c r="AU17" s="2" t="s">
        <v>117</v>
      </c>
      <c r="AV17" s="27">
        <v>0.08</v>
      </c>
    </row>
    <row r="18" spans="1:48" x14ac:dyDescent="0.25">
      <c r="C18" s="1" t="s">
        <v>38</v>
      </c>
      <c r="D18" s="19"/>
      <c r="E18" s="19"/>
      <c r="F18" s="19"/>
      <c r="G18" s="19"/>
      <c r="H18" s="18">
        <f t="shared" ref="H18:P18" si="35">(H4-D4)/D4</f>
        <v>9.4485176920624803E-2</v>
      </c>
      <c r="I18" s="18">
        <f t="shared" si="35"/>
        <v>7.4974670719351572E-2</v>
      </c>
      <c r="J18" s="18">
        <f t="shared" si="35"/>
        <v>-0.13878420448959528</v>
      </c>
      <c r="K18" s="18">
        <f t="shared" si="35"/>
        <v>-0.16883994977301264</v>
      </c>
      <c r="L18" s="18">
        <f t="shared" si="35"/>
        <v>-0.14259917283159551</v>
      </c>
      <c r="M18" s="18">
        <f t="shared" si="35"/>
        <v>-9.1069745523091425E-2</v>
      </c>
      <c r="N18" s="18">
        <f t="shared" si="35"/>
        <v>-7.3535007610350075E-2</v>
      </c>
      <c r="O18" s="18">
        <f t="shared" si="35"/>
        <v>-1.6385822196397445E-2</v>
      </c>
      <c r="P18" s="18">
        <f t="shared" si="35"/>
        <v>-1.0190909708539982E-3</v>
      </c>
      <c r="Q18" s="18">
        <f>(Q4-M4)/M4</f>
        <v>-9.9157485418016854E-3</v>
      </c>
      <c r="R18" s="18">
        <f t="shared" ref="R18:S18" si="36">(R4-N4)/N4</f>
        <v>-5.4933771434438852E-2</v>
      </c>
      <c r="S18" s="18">
        <f t="shared" si="36"/>
        <v>-0.12228260869565218</v>
      </c>
      <c r="T18" s="18">
        <f t="shared" ref="T18" si="37">(T4-P4)/P4</f>
        <v>-5.0462459194776932E-2</v>
      </c>
      <c r="U18" s="18">
        <f t="shared" ref="U18" si="38">(U4-Q4)/Q4</f>
        <v>-5.8519342802906327E-2</v>
      </c>
      <c r="V18" s="18">
        <f t="shared" ref="V18" si="39">(V4-R4)/R4</f>
        <v>-1</v>
      </c>
      <c r="W18" s="18">
        <f t="shared" ref="W18" si="40">(W4-S4)/S4</f>
        <v>-1</v>
      </c>
      <c r="Z18" s="18">
        <f t="shared" ref="Z18:AG18" si="41">(Z4-Y4)/Y4</f>
        <v>-5.1976776333978432E-3</v>
      </c>
      <c r="AA18" s="18">
        <f t="shared" si="41"/>
        <v>9.482519037296426E-2</v>
      </c>
      <c r="AB18" s="18">
        <f t="shared" si="41"/>
        <v>4.2925318576432961E-2</v>
      </c>
      <c r="AC18" s="18">
        <f t="shared" si="41"/>
        <v>2.901302178410612E-2</v>
      </c>
      <c r="AD18" s="18">
        <f t="shared" si="41"/>
        <v>-7.9002767462213498E-3</v>
      </c>
      <c r="AE18" s="18">
        <f t="shared" si="41"/>
        <v>0.12197506139284267</v>
      </c>
      <c r="AF18" s="18">
        <f t="shared" si="41"/>
        <v>0.14828194394271021</v>
      </c>
      <c r="AG18" s="18">
        <f t="shared" si="41"/>
        <v>-1.4360530747450822E-2</v>
      </c>
      <c r="AH18" s="18">
        <f>(AH4-AG4)/AG4</f>
        <v>-9.2168753872439502E-2</v>
      </c>
      <c r="AI18" s="18">
        <f t="shared" ref="AI18:AS18" si="42">(AI4-AH4)/AH4</f>
        <v>-3.5944738583719389E-2</v>
      </c>
      <c r="AJ18" s="61">
        <f t="shared" si="42"/>
        <v>-5.0000000000000093E-2</v>
      </c>
      <c r="AK18" s="18">
        <f t="shared" si="42"/>
        <v>3.0000000000000082E-2</v>
      </c>
      <c r="AL18" s="18">
        <f t="shared" si="42"/>
        <v>3.0000000000000082E-2</v>
      </c>
      <c r="AM18" s="18">
        <f t="shared" si="42"/>
        <v>2.9999999999999971E-2</v>
      </c>
      <c r="AN18" s="18">
        <f t="shared" si="42"/>
        <v>3.00000000000001E-2</v>
      </c>
      <c r="AO18" s="18">
        <f t="shared" si="42"/>
        <v>3.0000000000000061E-2</v>
      </c>
      <c r="AP18" s="18">
        <f t="shared" si="42"/>
        <v>0.03</v>
      </c>
      <c r="AQ18" s="18">
        <f t="shared" si="42"/>
        <v>2.9999999999999995E-2</v>
      </c>
      <c r="AR18" s="18">
        <f t="shared" si="42"/>
        <v>3.0000000000000037E-2</v>
      </c>
      <c r="AS18" s="18">
        <f t="shared" si="42"/>
        <v>3.0000000000000058E-2</v>
      </c>
      <c r="AU18" s="2" t="s">
        <v>118</v>
      </c>
      <c r="AV18" s="27">
        <v>-0.01</v>
      </c>
    </row>
    <row r="19" spans="1:48" x14ac:dyDescent="0.25">
      <c r="C19" s="1" t="s">
        <v>132</v>
      </c>
      <c r="D19" s="18">
        <v>-0.02</v>
      </c>
      <c r="E19" s="18">
        <v>7.0000000000000007E-2</v>
      </c>
      <c r="F19" s="18">
        <v>0.01</v>
      </c>
      <c r="G19" s="18">
        <v>0.08</v>
      </c>
      <c r="H19" s="18">
        <v>0.02</v>
      </c>
      <c r="I19" s="18">
        <v>0</v>
      </c>
      <c r="J19" s="18">
        <v>-0.15</v>
      </c>
      <c r="K19" s="18">
        <v>-0.15</v>
      </c>
      <c r="L19" s="18">
        <v>-0.11</v>
      </c>
      <c r="M19" s="18">
        <v>-0.06</v>
      </c>
      <c r="N19" s="18">
        <v>-0.04</v>
      </c>
      <c r="O19" s="18">
        <v>-0.03</v>
      </c>
      <c r="P19" s="18">
        <v>-0.01</v>
      </c>
      <c r="Q19" s="18">
        <v>0.05</v>
      </c>
      <c r="R19" s="18">
        <v>0</v>
      </c>
      <c r="S19" s="18">
        <v>-0.03</v>
      </c>
      <c r="T19" s="18">
        <v>0.02</v>
      </c>
      <c r="U19" s="18">
        <v>-0.04</v>
      </c>
      <c r="V19" s="18"/>
      <c r="W19" s="18"/>
      <c r="AU19" s="26" t="s">
        <v>119</v>
      </c>
      <c r="AV19" s="28">
        <f>NPV(AV17,AJ14:GR14)</f>
        <v>26436.542522310003</v>
      </c>
    </row>
    <row r="20" spans="1:48" x14ac:dyDescent="0.25">
      <c r="C20" s="2" t="s">
        <v>68</v>
      </c>
      <c r="D20" s="20">
        <f t="shared" ref="D20:S20" si="43">D6/D4</f>
        <v>0.31743704175964299</v>
      </c>
      <c r="E20" s="20">
        <f t="shared" si="43"/>
        <v>0.33004052684903751</v>
      </c>
      <c r="F20" s="20">
        <f t="shared" si="43"/>
        <v>0.25831558250040965</v>
      </c>
      <c r="G20" s="20">
        <f t="shared" si="43"/>
        <v>0.12247657683763161</v>
      </c>
      <c r="H20" s="20">
        <f t="shared" si="43"/>
        <v>0.33144987475971338</v>
      </c>
      <c r="I20" s="20">
        <f t="shared" si="43"/>
        <v>0.32669651272384542</v>
      </c>
      <c r="J20" s="20">
        <f t="shared" si="43"/>
        <v>0.29670852359208522</v>
      </c>
      <c r="K20" s="20">
        <f t="shared" si="43"/>
        <v>0.20557815223707146</v>
      </c>
      <c r="L20" s="20">
        <f t="shared" si="43"/>
        <v>0.33738705075073033</v>
      </c>
      <c r="M20" s="20">
        <f t="shared" si="43"/>
        <v>0.33661697990926764</v>
      </c>
      <c r="N20" s="20">
        <f t="shared" si="43"/>
        <v>0.25998562480747511</v>
      </c>
      <c r="O20" s="20">
        <f t="shared" si="43"/>
        <v>0.18986294896030245</v>
      </c>
      <c r="P20" s="20">
        <f t="shared" si="43"/>
        <v>0.30821545157780195</v>
      </c>
      <c r="Q20" s="20">
        <f t="shared" si="43"/>
        <v>0.33880997578058519</v>
      </c>
      <c r="R20" s="20">
        <f t="shared" si="43"/>
        <v>0.28498478922207737</v>
      </c>
      <c r="S20" s="20">
        <f t="shared" si="43"/>
        <v>0.23812087764167453</v>
      </c>
      <c r="T20" s="20">
        <f t="shared" ref="T20:W20" si="44">T6/T4</f>
        <v>0.32552642887838418</v>
      </c>
      <c r="U20" s="20">
        <f t="shared" si="44"/>
        <v>0.32468886880344849</v>
      </c>
      <c r="V20" s="20" t="e">
        <f t="shared" si="44"/>
        <v>#DIV/0!</v>
      </c>
      <c r="W20" s="20" t="e">
        <f t="shared" si="44"/>
        <v>#DIV/0!</v>
      </c>
      <c r="Y20" s="20">
        <f t="shared" ref="Y20:AS20" si="45">Y6/Y4</f>
        <v>0.28128283107547691</v>
      </c>
      <c r="Z20" s="20">
        <f t="shared" si="45"/>
        <v>0.30837641042743597</v>
      </c>
      <c r="AA20" s="20">
        <f t="shared" si="45"/>
        <v>0.29121185967406205</v>
      </c>
      <c r="AB20" s="20">
        <f t="shared" si="45"/>
        <v>0.25561640501399535</v>
      </c>
      <c r="AC20" s="20">
        <f t="shared" si="45"/>
        <v>0.29635499207606975</v>
      </c>
      <c r="AD20" s="20">
        <f t="shared" si="45"/>
        <v>0.29983549102353196</v>
      </c>
      <c r="AE20" s="20">
        <f t="shared" si="45"/>
        <v>0.32965001381244818</v>
      </c>
      <c r="AF20" s="20">
        <f t="shared" si="45"/>
        <v>0.27042581934600368</v>
      </c>
      <c r="AG20" s="20">
        <f t="shared" si="45"/>
        <v>0.30275436060156585</v>
      </c>
      <c r="AH20" s="20">
        <f t="shared" si="45"/>
        <v>0.29572716743878225</v>
      </c>
      <c r="AI20" s="20">
        <f t="shared" si="45"/>
        <v>0.30248423220491699</v>
      </c>
      <c r="AJ20" s="62">
        <f t="shared" si="45"/>
        <v>0.30000000000000004</v>
      </c>
      <c r="AK20" s="20">
        <f t="shared" si="45"/>
        <v>0.30000000000000004</v>
      </c>
      <c r="AL20" s="20">
        <f t="shared" si="45"/>
        <v>0.3</v>
      </c>
      <c r="AM20" s="20">
        <f t="shared" si="45"/>
        <v>0.3000000000000001</v>
      </c>
      <c r="AN20" s="20">
        <f t="shared" si="45"/>
        <v>0.30000000000000004</v>
      </c>
      <c r="AO20" s="20">
        <f t="shared" si="45"/>
        <v>0.3</v>
      </c>
      <c r="AP20" s="20">
        <f t="shared" si="45"/>
        <v>0.3000000000000001</v>
      </c>
      <c r="AQ20" s="20">
        <f t="shared" si="45"/>
        <v>0.3</v>
      </c>
      <c r="AR20" s="20">
        <f t="shared" si="45"/>
        <v>0.30000000000000004</v>
      </c>
      <c r="AS20" s="20">
        <f t="shared" si="45"/>
        <v>0.30000000000000004</v>
      </c>
      <c r="AU20" s="2" t="s">
        <v>2</v>
      </c>
      <c r="AV20" s="2">
        <v>571.70000000000005</v>
      </c>
    </row>
    <row r="21" spans="1:48" x14ac:dyDescent="0.25">
      <c r="C21" s="20" t="s">
        <v>39</v>
      </c>
      <c r="D21" s="20">
        <f t="shared" ref="D21:S21" si="46">D10/D4</f>
        <v>0.13764743385400063</v>
      </c>
      <c r="E21" s="20">
        <f t="shared" si="46"/>
        <v>0.13069908814589665</v>
      </c>
      <c r="F21" s="20">
        <f t="shared" si="46"/>
        <v>4.5551368179583808E-2</v>
      </c>
      <c r="G21" s="20">
        <f t="shared" si="46"/>
        <v>-0.16777745580991016</v>
      </c>
      <c r="H21" s="20">
        <f t="shared" si="46"/>
        <v>0.1377060639599231</v>
      </c>
      <c r="I21" s="20">
        <f t="shared" si="46"/>
        <v>0.12376295947219604</v>
      </c>
      <c r="J21" s="20">
        <f t="shared" si="46"/>
        <v>3.7861491628614914E-2</v>
      </c>
      <c r="K21" s="20">
        <f t="shared" si="46"/>
        <v>-0.11423590935502614</v>
      </c>
      <c r="L21" s="20">
        <f t="shared" si="46"/>
        <v>0.13112303824988111</v>
      </c>
      <c r="M21" s="20">
        <f t="shared" si="46"/>
        <v>0.12300712896953986</v>
      </c>
      <c r="N21" s="20">
        <f t="shared" si="46"/>
        <v>5.4420371701406718E-3</v>
      </c>
      <c r="O21" s="20">
        <f t="shared" si="46"/>
        <v>-0.15181947069943288</v>
      </c>
      <c r="P21" s="20">
        <f t="shared" si="46"/>
        <v>0.10412132752992383</v>
      </c>
      <c r="Q21" s="20">
        <f t="shared" si="46"/>
        <v>0.13497414413824704</v>
      </c>
      <c r="R21" s="20">
        <f t="shared" si="46"/>
        <v>1.5428074750108649E-2</v>
      </c>
      <c r="S21" s="20">
        <f t="shared" si="46"/>
        <v>-0.11253196930946291</v>
      </c>
      <c r="T21" s="20">
        <f t="shared" ref="T21:W21" si="47">T10/T4</f>
        <v>0.12247529007305544</v>
      </c>
      <c r="U21" s="20">
        <f t="shared" si="47"/>
        <v>0.11131196551484392</v>
      </c>
      <c r="V21" s="20" t="e">
        <f t="shared" si="47"/>
        <v>#DIV/0!</v>
      </c>
      <c r="W21" s="20" t="e">
        <f t="shared" si="47"/>
        <v>#DIV/0!</v>
      </c>
      <c r="Y21" s="20">
        <f t="shared" ref="Y21:AS21" si="48">Y10/Y4</f>
        <v>7.8158695051147364E-2</v>
      </c>
      <c r="Z21" s="20">
        <f t="shared" si="48"/>
        <v>8.9433605691734752E-2</v>
      </c>
      <c r="AA21" s="20">
        <f t="shared" si="48"/>
        <v>9.6207544296085704E-2</v>
      </c>
      <c r="AB21" s="20">
        <f t="shared" si="48"/>
        <v>5.0383351588170866E-2</v>
      </c>
      <c r="AC21" s="20">
        <f t="shared" si="48"/>
        <v>8.7281500579511312E-2</v>
      </c>
      <c r="AD21" s="20">
        <f t="shared" si="48"/>
        <v>8.7475860095844363E-2</v>
      </c>
      <c r="AE21" s="20">
        <f t="shared" si="48"/>
        <v>0.12210204211734206</v>
      </c>
      <c r="AF21" s="20">
        <f t="shared" si="48"/>
        <v>5.6313266835686659E-2</v>
      </c>
      <c r="AG21" s="20">
        <f t="shared" si="48"/>
        <v>7.2848801186609344E-2</v>
      </c>
      <c r="AH21" s="20">
        <f t="shared" si="48"/>
        <v>5.3710291197882197E-2</v>
      </c>
      <c r="AI21" s="20">
        <f t="shared" si="48"/>
        <v>6.2191616252627965E-2</v>
      </c>
      <c r="AJ21" s="62">
        <f t="shared" si="48"/>
        <v>5.255863948712048E-2</v>
      </c>
      <c r="AK21" s="20">
        <f t="shared" si="48"/>
        <v>5.2558639487120452E-2</v>
      </c>
      <c r="AL21" s="20">
        <f t="shared" si="48"/>
        <v>5.2558639487120445E-2</v>
      </c>
      <c r="AM21" s="20">
        <f t="shared" si="48"/>
        <v>5.2558639487120515E-2</v>
      </c>
      <c r="AN21" s="20">
        <f t="shared" si="48"/>
        <v>5.2558639487120452E-2</v>
      </c>
      <c r="AO21" s="20">
        <f t="shared" si="48"/>
        <v>5.2558639487120418E-2</v>
      </c>
      <c r="AP21" s="20">
        <f t="shared" si="48"/>
        <v>5.2558639487120501E-2</v>
      </c>
      <c r="AQ21" s="20">
        <f t="shared" si="48"/>
        <v>5.2558639487120376E-2</v>
      </c>
      <c r="AR21" s="20">
        <f t="shared" si="48"/>
        <v>5.2558639487120432E-2</v>
      </c>
      <c r="AS21" s="20">
        <f t="shared" si="48"/>
        <v>5.2558639487120432E-2</v>
      </c>
      <c r="AU21" s="2" t="s">
        <v>120</v>
      </c>
      <c r="AV21" s="9">
        <f>AV19/AV20</f>
        <v>46.241984471418576</v>
      </c>
    </row>
    <row r="22" spans="1:48" x14ac:dyDescent="0.25">
      <c r="C22" s="2" t="s">
        <v>41</v>
      </c>
      <c r="D22" s="20"/>
      <c r="E22" s="20"/>
      <c r="F22" s="20"/>
      <c r="G22" s="20"/>
      <c r="H22" s="18"/>
      <c r="I22" s="18"/>
      <c r="J22" s="18"/>
      <c r="K22" s="18"/>
      <c r="L22" s="18"/>
      <c r="M22" s="18"/>
      <c r="N22" s="18"/>
      <c r="O22" s="18"/>
      <c r="P22" s="18"/>
      <c r="Y22" s="20">
        <v>0.14599999999999999</v>
      </c>
      <c r="Z22" s="20">
        <v>0.152</v>
      </c>
      <c r="AA22" s="20">
        <v>0.17399999999999999</v>
      </c>
      <c r="AB22" s="20">
        <v>7.2999999999999995E-2</v>
      </c>
      <c r="AC22" s="20">
        <v>0.14699999999999999</v>
      </c>
      <c r="AD22" s="20">
        <v>0.13500000000000001</v>
      </c>
      <c r="AE22" s="20">
        <v>0.222</v>
      </c>
      <c r="AF22" s="20">
        <v>7.9000000000000001E-2</v>
      </c>
      <c r="AG22" s="20">
        <v>8.5000000000000006E-2</v>
      </c>
      <c r="AH22" s="20">
        <v>5.2999999999999999E-2</v>
      </c>
      <c r="AU22" s="1" t="s">
        <v>121</v>
      </c>
      <c r="AV22" s="18">
        <f>(AV21-B4)/B4</f>
        <v>0.26690368414845411</v>
      </c>
    </row>
    <row r="23" spans="1:48" x14ac:dyDescent="0.25">
      <c r="D23" s="20"/>
      <c r="E23" s="20"/>
      <c r="F23" s="20"/>
      <c r="G23" s="20"/>
      <c r="H23" s="18"/>
      <c r="I23" s="18"/>
      <c r="J23" s="18"/>
      <c r="K23" s="18"/>
      <c r="L23" s="18"/>
      <c r="M23" s="18"/>
      <c r="N23" s="18"/>
      <c r="O23" s="18"/>
      <c r="P23" s="18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U23" s="1"/>
      <c r="AV23" s="18"/>
    </row>
    <row r="24" spans="1:48" s="14" customFormat="1" x14ac:dyDescent="0.25">
      <c r="B24" s="15"/>
      <c r="C24" s="14" t="s">
        <v>149</v>
      </c>
      <c r="D24" s="14">
        <f t="shared" ref="D24:U24" si="49">D10+D68</f>
        <v>4318</v>
      </c>
      <c r="E24" s="14">
        <f t="shared" si="49"/>
        <v>4129</v>
      </c>
      <c r="F24" s="14">
        <f t="shared" si="49"/>
        <v>1111</v>
      </c>
      <c r="G24" s="14">
        <f t="shared" si="49"/>
        <v>-3474</v>
      </c>
      <c r="H24" s="14">
        <f t="shared" si="49"/>
        <v>4728</v>
      </c>
      <c r="I24" s="14">
        <f t="shared" si="49"/>
        <v>4202</v>
      </c>
      <c r="J24" s="14">
        <f t="shared" si="49"/>
        <v>796</v>
      </c>
      <c r="K24" s="14">
        <f t="shared" si="49"/>
        <v>-1966</v>
      </c>
      <c r="L24" s="14">
        <f t="shared" si="49"/>
        <v>3860</v>
      </c>
      <c r="M24" s="14">
        <f t="shared" si="49"/>
        <v>3797</v>
      </c>
      <c r="N24" s="14">
        <f t="shared" si="49"/>
        <v>105</v>
      </c>
      <c r="O24" s="14">
        <f t="shared" si="49"/>
        <v>-2570</v>
      </c>
      <c r="P24" s="14">
        <f t="shared" si="49"/>
        <v>3063</v>
      </c>
      <c r="Q24" s="14">
        <f t="shared" si="49"/>
        <v>4125</v>
      </c>
      <c r="R24" s="14">
        <f t="shared" si="49"/>
        <v>283</v>
      </c>
      <c r="S24" s="14">
        <f t="shared" si="49"/>
        <v>-1673</v>
      </c>
      <c r="T24" s="14">
        <f t="shared" si="49"/>
        <v>3420</v>
      </c>
      <c r="U24" s="14">
        <f t="shared" si="49"/>
        <v>3201</v>
      </c>
      <c r="AF24" s="14">
        <f t="shared" ref="AF24:AG24" si="50">AF10+AF68</f>
        <v>7022</v>
      </c>
      <c r="AG24" s="14">
        <f t="shared" si="50"/>
        <v>7466</v>
      </c>
      <c r="AH24" s="14">
        <f>AH10+AH68</f>
        <v>5951</v>
      </c>
      <c r="AI24" s="14">
        <f>AI10+AI68</f>
        <v>5900</v>
      </c>
      <c r="AJ24" s="58"/>
      <c r="AU24" s="12"/>
      <c r="AV24" s="12"/>
    </row>
    <row r="25" spans="1:48" s="29" customFormat="1" x14ac:dyDescent="0.25">
      <c r="B25" s="64"/>
      <c r="C25" s="29" t="s">
        <v>150</v>
      </c>
      <c r="D25" s="29">
        <f t="shared" ref="D25" si="51">D24/D4</f>
        <v>0.27529486770800127</v>
      </c>
      <c r="E25" s="29">
        <f t="shared" ref="E25" si="52">E24/E4</f>
        <v>0.26146149949341441</v>
      </c>
      <c r="F25" s="29">
        <f t="shared" ref="F25" si="53">F24/F4</f>
        <v>9.1020809437981326E-2</v>
      </c>
      <c r="G25" s="29">
        <f t="shared" ref="G25" si="54">G24/G4</f>
        <v>-0.33555491161982032</v>
      </c>
      <c r="H25" s="29">
        <f t="shared" ref="H25" si="55">H24/H4</f>
        <v>0.27541212791984621</v>
      </c>
      <c r="I25" s="29">
        <f t="shared" ref="I25" si="56">I24/I4</f>
        <v>0.24752591894439208</v>
      </c>
      <c r="J25" s="29">
        <f t="shared" ref="J25" si="57">J24/J4</f>
        <v>7.5722983257229828E-2</v>
      </c>
      <c r="K25" s="29">
        <f t="shared" ref="K25" si="58">K24/K4</f>
        <v>-0.22847181871005229</v>
      </c>
      <c r="L25" s="29">
        <f t="shared" ref="L25" si="59">L24/L4</f>
        <v>0.26224607649976223</v>
      </c>
      <c r="M25" s="29">
        <f t="shared" ref="M25" si="60">M24/M4</f>
        <v>0.24607906675307842</v>
      </c>
      <c r="N25" s="29">
        <f t="shared" ref="N25" si="61">N24/N4</f>
        <v>1.0781394393674915E-2</v>
      </c>
      <c r="O25" s="29">
        <f t="shared" ref="O25" si="62">O24/O4</f>
        <v>-0.30363894139886577</v>
      </c>
      <c r="P25" s="29">
        <f t="shared" ref="P25" si="63">P24/P4</f>
        <v>0.20831066376496191</v>
      </c>
      <c r="Q25" s="29">
        <f t="shared" ref="Q25" si="64">Q24/Q4</f>
        <v>0.2700137461543497</v>
      </c>
      <c r="R25" s="29">
        <f t="shared" ref="R25" si="65">R24/R4</f>
        <v>3.0747501086484136E-2</v>
      </c>
      <c r="S25" s="29">
        <f t="shared" ref="S25" si="66">S24/S4</f>
        <v>-0.22519854623771707</v>
      </c>
      <c r="T25" s="29">
        <f t="shared" ref="T25" si="67">T24/T4</f>
        <v>0.24495058014611087</v>
      </c>
      <c r="U25" s="29">
        <f t="shared" ref="U25" si="68">U24/U4</f>
        <v>0.22255440450531877</v>
      </c>
      <c r="AF25" s="29">
        <f t="shared" ref="AF25:AG25" si="69">AF24/AF4</f>
        <v>0.12994799859355627</v>
      </c>
      <c r="AG25" s="29">
        <f t="shared" si="69"/>
        <v>0.14017761589155292</v>
      </c>
      <c r="AH25" s="29">
        <f>AH24/AH4</f>
        <v>0.12307660489741892</v>
      </c>
      <c r="AI25" s="29">
        <f>AI24/AI4</f>
        <v>0.12657141631269575</v>
      </c>
      <c r="AJ25" s="65"/>
      <c r="AU25" s="63"/>
      <c r="AV25" s="63"/>
    </row>
    <row r="26" spans="1:48" x14ac:dyDescent="0.25">
      <c r="C26" s="2" t="s">
        <v>151</v>
      </c>
      <c r="D26" s="14"/>
      <c r="E26" s="14"/>
      <c r="F26" s="14"/>
      <c r="G26" s="14">
        <f t="shared" ref="D26:T26" si="70">SUM(D24:G24)</f>
        <v>6084</v>
      </c>
      <c r="H26" s="14">
        <f t="shared" si="70"/>
        <v>6494</v>
      </c>
      <c r="I26" s="14">
        <f t="shared" si="70"/>
        <v>6567</v>
      </c>
      <c r="J26" s="14">
        <f t="shared" si="70"/>
        <v>6252</v>
      </c>
      <c r="K26" s="14">
        <f t="shared" si="70"/>
        <v>7760</v>
      </c>
      <c r="L26" s="14">
        <f t="shared" si="70"/>
        <v>6892</v>
      </c>
      <c r="M26" s="14">
        <f t="shared" si="70"/>
        <v>6487</v>
      </c>
      <c r="N26" s="14">
        <f t="shared" si="70"/>
        <v>5796</v>
      </c>
      <c r="O26" s="14">
        <f t="shared" si="70"/>
        <v>5192</v>
      </c>
      <c r="P26" s="14">
        <f t="shared" si="70"/>
        <v>4395</v>
      </c>
      <c r="Q26" s="14">
        <f t="shared" si="70"/>
        <v>4723</v>
      </c>
      <c r="R26" s="14">
        <f t="shared" si="70"/>
        <v>4901</v>
      </c>
      <c r="S26" s="14">
        <f t="shared" si="70"/>
        <v>5798</v>
      </c>
      <c r="T26" s="14">
        <f t="shared" si="70"/>
        <v>6155</v>
      </c>
      <c r="U26" s="14">
        <f>SUM(R24:U24)</f>
        <v>5231</v>
      </c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U26" s="1"/>
      <c r="AV26" s="18"/>
    </row>
    <row r="27" spans="1:48" x14ac:dyDescent="0.25">
      <c r="C27" s="1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AC27" s="10"/>
      <c r="AD27" s="10"/>
      <c r="AE27" s="10"/>
      <c r="AF27" s="10"/>
      <c r="AG27" s="10"/>
      <c r="AH27" s="10"/>
    </row>
    <row r="28" spans="1:48" x14ac:dyDescent="0.25">
      <c r="C28" s="1" t="s">
        <v>51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48" s="14" customFormat="1" x14ac:dyDescent="0.25">
      <c r="A29" s="2"/>
      <c r="B29" s="4"/>
      <c r="C29" s="2" t="s">
        <v>69</v>
      </c>
      <c r="D29" s="14">
        <v>7349</v>
      </c>
      <c r="E29" s="14">
        <v>7668</v>
      </c>
      <c r="F29" s="14">
        <v>7834</v>
      </c>
      <c r="G29" s="14">
        <v>7151</v>
      </c>
      <c r="H29" s="14">
        <v>7128</v>
      </c>
      <c r="I29" s="14">
        <v>7372</v>
      </c>
      <c r="J29" s="14">
        <v>7240</v>
      </c>
      <c r="K29" s="14">
        <v>7205</v>
      </c>
      <c r="L29" s="14">
        <v>7360</v>
      </c>
      <c r="M29" s="14">
        <v>7381</v>
      </c>
      <c r="N29" s="14">
        <v>7281</v>
      </c>
      <c r="O29" s="14">
        <v>7221</v>
      </c>
      <c r="P29" s="14">
        <v>6901</v>
      </c>
      <c r="Q29" s="14">
        <v>6981</v>
      </c>
      <c r="R29" s="14">
        <v>6879</v>
      </c>
      <c r="S29" s="14">
        <v>6668</v>
      </c>
      <c r="T29" s="14">
        <v>6607</v>
      </c>
      <c r="U29" s="14">
        <v>6501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4">
        <v>7151</v>
      </c>
      <c r="AG29" s="14">
        <v>7205</v>
      </c>
      <c r="AH29" s="14">
        <v>7221</v>
      </c>
      <c r="AI29" s="14">
        <v>6668</v>
      </c>
      <c r="AJ29" s="58"/>
    </row>
    <row r="30" spans="1:48" s="14" customFormat="1" x14ac:dyDescent="0.25">
      <c r="A30" s="2"/>
      <c r="B30" s="4"/>
      <c r="C30" s="2" t="s">
        <v>70</v>
      </c>
      <c r="D30" s="14">
        <v>1779</v>
      </c>
      <c r="E30" s="14">
        <v>1786</v>
      </c>
      <c r="F30" s="14">
        <v>1856</v>
      </c>
      <c r="G30" s="14">
        <v>2288</v>
      </c>
      <c r="H30" s="14">
        <v>2202</v>
      </c>
      <c r="I30" s="14">
        <v>2207</v>
      </c>
      <c r="J30" s="14">
        <v>2209</v>
      </c>
      <c r="K30" s="14">
        <v>2068</v>
      </c>
      <c r="L30" s="14">
        <v>2147</v>
      </c>
      <c r="M30" s="14">
        <v>2058</v>
      </c>
      <c r="N30" s="14">
        <v>1914</v>
      </c>
      <c r="O30" s="14">
        <v>1975</v>
      </c>
      <c r="P30" s="14">
        <v>1767</v>
      </c>
      <c r="Q30" s="14">
        <v>1710</v>
      </c>
      <c r="R30" s="14">
        <v>1600</v>
      </c>
      <c r="S30" s="14">
        <v>1641</v>
      </c>
      <c r="T30" s="14">
        <v>1653</v>
      </c>
      <c r="U30" s="14">
        <v>1893</v>
      </c>
      <c r="AF30" s="14">
        <v>2288</v>
      </c>
      <c r="AG30" s="14">
        <v>2068</v>
      </c>
      <c r="AH30" s="14">
        <v>1975</v>
      </c>
      <c r="AI30" s="14">
        <v>1641</v>
      </c>
      <c r="AJ30" s="58"/>
    </row>
    <row r="31" spans="1:48" s="14" customFormat="1" x14ac:dyDescent="0.25">
      <c r="A31" s="54"/>
      <c r="B31" s="53"/>
      <c r="C31" s="54" t="s">
        <v>71</v>
      </c>
      <c r="D31" s="14">
        <v>9433</v>
      </c>
      <c r="E31" s="14">
        <v>10090</v>
      </c>
      <c r="F31" s="14">
        <v>10591</v>
      </c>
      <c r="G31" s="14">
        <v>10187</v>
      </c>
      <c r="H31" s="14">
        <v>10176</v>
      </c>
      <c r="I31" s="14">
        <v>10581</v>
      </c>
      <c r="J31" s="14">
        <v>10452</v>
      </c>
      <c r="K31" s="14">
        <v>9920</v>
      </c>
      <c r="L31" s="14">
        <v>10374</v>
      </c>
      <c r="M31" s="14">
        <v>10292</v>
      </c>
      <c r="N31" s="14">
        <v>10030</v>
      </c>
      <c r="O31" s="14">
        <v>10521</v>
      </c>
      <c r="P31" s="14">
        <v>9848</v>
      </c>
      <c r="Q31" s="14">
        <v>9633</v>
      </c>
      <c r="R31" s="14">
        <v>9569</v>
      </c>
      <c r="S31" s="14">
        <v>9380</v>
      </c>
      <c r="T31" s="14">
        <v>9620</v>
      </c>
      <c r="U31" s="14">
        <v>9753</v>
      </c>
      <c r="AF31" s="14">
        <v>10187</v>
      </c>
      <c r="AG31" s="14">
        <v>9920</v>
      </c>
      <c r="AH31" s="14">
        <v>10521</v>
      </c>
      <c r="AI31" s="14">
        <v>9380</v>
      </c>
      <c r="AJ31" s="58"/>
    </row>
    <row r="32" spans="1:48" s="14" customFormat="1" x14ac:dyDescent="0.25">
      <c r="A32" s="2"/>
      <c r="B32" s="4"/>
      <c r="C32" s="2" t="s">
        <v>72</v>
      </c>
      <c r="D32" s="14">
        <v>7756</v>
      </c>
      <c r="E32" s="14">
        <v>8114</v>
      </c>
      <c r="F32" s="14">
        <v>8384</v>
      </c>
      <c r="G32" s="14">
        <v>8408</v>
      </c>
      <c r="H32" s="14">
        <v>8447</v>
      </c>
      <c r="I32" s="14">
        <v>8785</v>
      </c>
      <c r="J32" s="14">
        <v>8639</v>
      </c>
      <c r="K32" s="14">
        <v>8400</v>
      </c>
      <c r="L32" s="14">
        <v>8667</v>
      </c>
      <c r="M32" s="14">
        <v>8624</v>
      </c>
      <c r="N32" s="14">
        <v>8487</v>
      </c>
      <c r="O32" s="14">
        <v>8911</v>
      </c>
      <c r="P32" s="14">
        <v>8513</v>
      </c>
      <c r="Q32" s="14">
        <v>8510</v>
      </c>
      <c r="R32" s="14">
        <v>8375</v>
      </c>
      <c r="S32" s="14">
        <v>8265</v>
      </c>
      <c r="T32" s="14">
        <v>8310</v>
      </c>
      <c r="U32" s="14">
        <v>8382</v>
      </c>
      <c r="AF32" s="14">
        <v>8408</v>
      </c>
      <c r="AG32" s="14">
        <v>8400</v>
      </c>
      <c r="AH32" s="14">
        <v>8911</v>
      </c>
      <c r="AI32" s="14">
        <v>8265</v>
      </c>
      <c r="AJ32" s="58"/>
    </row>
    <row r="33" spans="1:36" s="14" customFormat="1" x14ac:dyDescent="0.25">
      <c r="A33" s="2"/>
      <c r="B33" s="4"/>
      <c r="C33" s="2" t="s">
        <v>73</v>
      </c>
      <c r="D33" s="14">
        <v>36</v>
      </c>
      <c r="E33" s="14">
        <v>24</v>
      </c>
      <c r="F33" s="14">
        <v>24</v>
      </c>
      <c r="G33" s="14">
        <v>16</v>
      </c>
      <c r="H33" s="14">
        <v>16</v>
      </c>
      <c r="I33" s="14">
        <v>16</v>
      </c>
      <c r="J33" s="14">
        <v>16</v>
      </c>
      <c r="K33" s="14">
        <v>14</v>
      </c>
      <c r="L33" s="14">
        <v>14</v>
      </c>
      <c r="M33" s="14">
        <v>0.13</v>
      </c>
      <c r="N33" s="14">
        <v>35</v>
      </c>
      <c r="O33" s="14">
        <v>34</v>
      </c>
      <c r="P33" s="14">
        <v>34</v>
      </c>
      <c r="Q33" s="14">
        <v>32</v>
      </c>
      <c r="R33" s="14">
        <v>32</v>
      </c>
      <c r="S33" s="14">
        <v>2</v>
      </c>
      <c r="T33" s="14">
        <v>2</v>
      </c>
      <c r="U33" s="14">
        <v>2</v>
      </c>
      <c r="AF33" s="14">
        <v>16</v>
      </c>
      <c r="AG33" s="14">
        <v>14</v>
      </c>
      <c r="AH33" s="14">
        <v>34</v>
      </c>
      <c r="AI33" s="14">
        <v>2</v>
      </c>
      <c r="AJ33" s="58"/>
    </row>
    <row r="34" spans="1:36" s="14" customFormat="1" x14ac:dyDescent="0.25">
      <c r="A34" s="2"/>
      <c r="B34" s="4"/>
      <c r="C34" s="2" t="s">
        <v>74</v>
      </c>
      <c r="D34" s="14">
        <v>29</v>
      </c>
      <c r="E34" s="14">
        <v>47</v>
      </c>
      <c r="F34" s="14">
        <v>54</v>
      </c>
      <c r="G34" s="14">
        <v>53</v>
      </c>
      <c r="H34" s="14">
        <v>29</v>
      </c>
      <c r="I34" s="14">
        <v>29</v>
      </c>
      <c r="J34" s="14">
        <v>38</v>
      </c>
      <c r="K34" s="14">
        <v>0</v>
      </c>
      <c r="L34" s="14">
        <v>0</v>
      </c>
      <c r="M34" s="14">
        <v>0</v>
      </c>
      <c r="N34" s="14">
        <v>0</v>
      </c>
      <c r="O34" s="14">
        <v>23</v>
      </c>
      <c r="P34" s="14">
        <v>19</v>
      </c>
      <c r="Q34" s="14">
        <v>0</v>
      </c>
      <c r="R34" s="14">
        <v>0</v>
      </c>
      <c r="S34" s="14">
        <v>13</v>
      </c>
      <c r="T34" s="14">
        <v>44</v>
      </c>
      <c r="U34" s="14">
        <v>2</v>
      </c>
      <c r="AF34" s="14">
        <v>53</v>
      </c>
      <c r="AG34" s="14">
        <v>0</v>
      </c>
      <c r="AH34" s="14">
        <v>23</v>
      </c>
      <c r="AI34" s="14">
        <v>13</v>
      </c>
      <c r="AJ34" s="58"/>
    </row>
    <row r="35" spans="1:36" s="14" customFormat="1" x14ac:dyDescent="0.25">
      <c r="A35" s="2"/>
      <c r="B35" s="4"/>
      <c r="C35" s="2" t="s">
        <v>75</v>
      </c>
      <c r="D35" s="14">
        <v>888</v>
      </c>
      <c r="E35" s="14">
        <v>1061</v>
      </c>
      <c r="F35" s="14">
        <v>1216</v>
      </c>
      <c r="G35" s="14">
        <v>913</v>
      </c>
      <c r="H35" s="14">
        <v>851</v>
      </c>
      <c r="I35" s="14">
        <v>896</v>
      </c>
      <c r="J35" s="14">
        <v>916</v>
      </c>
      <c r="K35" s="14">
        <v>843</v>
      </c>
      <c r="L35" s="14">
        <v>871</v>
      </c>
      <c r="M35" s="14">
        <v>909</v>
      </c>
      <c r="N35" s="14">
        <v>806</v>
      </c>
      <c r="O35" s="14">
        <v>840</v>
      </c>
      <c r="P35" s="14">
        <v>923</v>
      </c>
      <c r="Q35" s="14">
        <v>891</v>
      </c>
      <c r="R35" s="14">
        <v>879</v>
      </c>
      <c r="S35" s="14">
        <v>1072</v>
      </c>
      <c r="T35" s="14">
        <v>1093</v>
      </c>
      <c r="U35" s="14">
        <v>1044</v>
      </c>
      <c r="AF35" s="14">
        <v>913</v>
      </c>
      <c r="AG35" s="14">
        <v>843</v>
      </c>
      <c r="AH35" s="14">
        <v>840</v>
      </c>
      <c r="AI35" s="14">
        <v>1072</v>
      </c>
      <c r="AJ35" s="58"/>
    </row>
    <row r="36" spans="1:36" s="14" customFormat="1" x14ac:dyDescent="0.25">
      <c r="A36" s="2"/>
      <c r="B36" s="4"/>
      <c r="C36" s="2" t="s">
        <v>76</v>
      </c>
      <c r="D36" s="14">
        <v>1625</v>
      </c>
      <c r="E36" s="14">
        <v>986</v>
      </c>
      <c r="F36" s="14">
        <v>878</v>
      </c>
      <c r="G36" s="14">
        <v>1834</v>
      </c>
      <c r="H36" s="14">
        <v>2379</v>
      </c>
      <c r="I36" s="14">
        <v>2452</v>
      </c>
      <c r="J36" s="14">
        <v>1758</v>
      </c>
      <c r="K36" s="14">
        <v>2143</v>
      </c>
      <c r="L36" s="14">
        <v>2243</v>
      </c>
      <c r="M36" s="14">
        <v>1984</v>
      </c>
      <c r="N36" s="14">
        <v>1806</v>
      </c>
      <c r="O36" s="14">
        <v>2418</v>
      </c>
      <c r="P36" s="14">
        <v>2051</v>
      </c>
      <c r="Q36" s="14">
        <v>1856</v>
      </c>
      <c r="R36" s="14">
        <v>1836</v>
      </c>
      <c r="S36" s="14">
        <v>1828</v>
      </c>
      <c r="T36" s="14">
        <v>1511</v>
      </c>
      <c r="U36" s="14">
        <v>1736</v>
      </c>
      <c r="AF36" s="14">
        <v>1834</v>
      </c>
      <c r="AG36" s="14">
        <v>2143</v>
      </c>
      <c r="AH36" s="14">
        <v>2418</v>
      </c>
      <c r="AI36" s="14">
        <v>1828</v>
      </c>
      <c r="AJ36" s="58"/>
    </row>
    <row r="37" spans="1:36" s="14" customFormat="1" x14ac:dyDescent="0.25">
      <c r="A37" s="2"/>
      <c r="B37" s="4"/>
      <c r="C37" s="2" t="s">
        <v>77</v>
      </c>
      <c r="D37" s="14">
        <v>15192</v>
      </c>
      <c r="E37" s="14">
        <v>16455</v>
      </c>
      <c r="F37" s="14">
        <v>17612</v>
      </c>
      <c r="G37" s="14">
        <v>19334</v>
      </c>
      <c r="H37" s="14">
        <v>18670</v>
      </c>
      <c r="I37" s="14">
        <v>17949</v>
      </c>
      <c r="J37" s="14">
        <v>17090</v>
      </c>
      <c r="K37" s="14">
        <v>17184</v>
      </c>
      <c r="L37" s="14">
        <v>17094</v>
      </c>
      <c r="M37" s="14">
        <v>14720</v>
      </c>
      <c r="N37" s="14">
        <v>13521</v>
      </c>
      <c r="O37" s="14">
        <v>13828</v>
      </c>
      <c r="P37" s="14">
        <v>13024</v>
      </c>
      <c r="Q37" s="14">
        <v>11954</v>
      </c>
      <c r="R37" s="14">
        <v>12248</v>
      </c>
      <c r="S37" s="14">
        <v>13847</v>
      </c>
      <c r="T37" s="14">
        <v>13952</v>
      </c>
      <c r="U37" s="14">
        <v>12682</v>
      </c>
      <c r="AF37" s="14">
        <v>19334</v>
      </c>
      <c r="AG37" s="14">
        <v>17184</v>
      </c>
      <c r="AH37" s="14">
        <v>13828</v>
      </c>
      <c r="AI37" s="14">
        <v>13847</v>
      </c>
      <c r="AJ37" s="58"/>
    </row>
    <row r="38" spans="1:36" s="14" customFormat="1" x14ac:dyDescent="0.25">
      <c r="A38" s="2"/>
      <c r="B38" s="4"/>
      <c r="C38" s="2" t="s">
        <v>78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1410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AF38" s="14">
        <v>0</v>
      </c>
      <c r="AG38" s="14">
        <v>0</v>
      </c>
      <c r="AH38" s="14">
        <v>1410</v>
      </c>
      <c r="AI38" s="14">
        <v>0</v>
      </c>
      <c r="AJ38" s="58"/>
    </row>
    <row r="39" spans="1:36" s="14" customFormat="1" x14ac:dyDescent="0.25">
      <c r="A39" s="2"/>
      <c r="B39" s="4"/>
      <c r="C39" s="2" t="s">
        <v>79</v>
      </c>
      <c r="D39" s="14">
        <v>8522</v>
      </c>
      <c r="E39" s="14">
        <v>8204</v>
      </c>
      <c r="F39" s="14">
        <v>6896</v>
      </c>
      <c r="G39" s="14">
        <v>6267</v>
      </c>
      <c r="H39" s="14">
        <v>10355</v>
      </c>
      <c r="I39" s="14">
        <v>9373</v>
      </c>
      <c r="J39" s="14">
        <v>6562</v>
      </c>
      <c r="K39" s="14">
        <v>5289</v>
      </c>
      <c r="L39" s="14">
        <v>11302</v>
      </c>
      <c r="M39" s="14">
        <v>10519</v>
      </c>
      <c r="N39" s="14">
        <v>6081</v>
      </c>
      <c r="O39" s="14">
        <v>5552</v>
      </c>
      <c r="P39" s="14">
        <v>10806</v>
      </c>
      <c r="Q39" s="14">
        <v>10683</v>
      </c>
      <c r="R39" s="14">
        <v>5730</v>
      </c>
      <c r="S39" s="14">
        <v>4990</v>
      </c>
      <c r="T39" s="14">
        <v>11219</v>
      </c>
      <c r="U39" s="14">
        <v>10443</v>
      </c>
      <c r="AF39" s="14">
        <v>6267</v>
      </c>
      <c r="AG39" s="14">
        <v>5289</v>
      </c>
      <c r="AH39" s="14">
        <v>5552</v>
      </c>
      <c r="AI39" s="14">
        <v>4990</v>
      </c>
      <c r="AJ39" s="58"/>
    </row>
    <row r="40" spans="1:36" s="14" customFormat="1" x14ac:dyDescent="0.25">
      <c r="A40" s="2"/>
      <c r="B40" s="4"/>
      <c r="C40" s="2" t="s">
        <v>74</v>
      </c>
      <c r="D40" s="14">
        <v>622</v>
      </c>
      <c r="E40" s="14">
        <v>622</v>
      </c>
      <c r="F40" s="14">
        <v>739</v>
      </c>
      <c r="G40" s="14">
        <v>795</v>
      </c>
      <c r="H40" s="14">
        <v>510</v>
      </c>
      <c r="I40" s="14">
        <v>500</v>
      </c>
      <c r="J40" s="14">
        <v>719</v>
      </c>
      <c r="K40" s="14">
        <v>1604</v>
      </c>
      <c r="L40" s="14">
        <v>413</v>
      </c>
      <c r="M40" s="14">
        <v>406</v>
      </c>
      <c r="N40" s="14">
        <v>409</v>
      </c>
      <c r="O40" s="14">
        <v>386</v>
      </c>
      <c r="P40" s="14">
        <v>1520</v>
      </c>
      <c r="Q40" s="14">
        <v>438</v>
      </c>
      <c r="R40" s="14">
        <v>321</v>
      </c>
      <c r="S40" s="14">
        <v>577</v>
      </c>
      <c r="T40" s="14">
        <v>308</v>
      </c>
      <c r="U40" s="14">
        <v>388</v>
      </c>
      <c r="AF40" s="14">
        <v>795</v>
      </c>
      <c r="AG40" s="14">
        <v>1604</v>
      </c>
      <c r="AH40" s="14">
        <v>386</v>
      </c>
      <c r="AI40" s="14">
        <v>577</v>
      </c>
      <c r="AJ40" s="58"/>
    </row>
    <row r="41" spans="1:36" s="14" customFormat="1" x14ac:dyDescent="0.25">
      <c r="A41" s="2"/>
      <c r="B41" s="4"/>
      <c r="C41" s="2" t="s">
        <v>80</v>
      </c>
      <c r="D41" s="14">
        <v>265</v>
      </c>
      <c r="E41" s="14">
        <v>477</v>
      </c>
      <c r="F41" s="14">
        <v>600</v>
      </c>
      <c r="G41" s="14">
        <v>524</v>
      </c>
      <c r="H41" s="14">
        <v>629</v>
      </c>
      <c r="I41" s="14">
        <v>544</v>
      </c>
      <c r="J41" s="14">
        <v>568</v>
      </c>
      <c r="K41" s="14">
        <v>242</v>
      </c>
      <c r="L41" s="14">
        <v>292</v>
      </c>
      <c r="M41" s="14">
        <v>295</v>
      </c>
      <c r="N41" s="14">
        <v>383</v>
      </c>
      <c r="O41" s="14">
        <v>437</v>
      </c>
      <c r="P41" s="14">
        <v>345</v>
      </c>
      <c r="Q41" s="14">
        <v>477</v>
      </c>
      <c r="R41" s="14">
        <v>427</v>
      </c>
      <c r="S41" s="14">
        <v>462</v>
      </c>
      <c r="T41" s="14">
        <v>417</v>
      </c>
      <c r="U41" s="14">
        <v>455</v>
      </c>
      <c r="AF41" s="14">
        <v>524</v>
      </c>
      <c r="AG41" s="14">
        <v>242</v>
      </c>
      <c r="AH41" s="14">
        <v>437</v>
      </c>
      <c r="AI41" s="14">
        <v>462</v>
      </c>
      <c r="AJ41" s="58"/>
    </row>
    <row r="42" spans="1:36" s="14" customFormat="1" x14ac:dyDescent="0.25">
      <c r="A42" s="2"/>
      <c r="B42" s="4"/>
      <c r="C42" s="2" t="s">
        <v>81</v>
      </c>
      <c r="D42" s="14">
        <v>1034</v>
      </c>
      <c r="E42" s="14">
        <v>1296</v>
      </c>
      <c r="F42" s="14">
        <v>1318</v>
      </c>
      <c r="G42" s="14">
        <v>1538</v>
      </c>
      <c r="H42" s="14">
        <v>1604</v>
      </c>
      <c r="I42" s="14">
        <v>1576</v>
      </c>
      <c r="J42" s="14">
        <v>1187</v>
      </c>
      <c r="K42" s="14">
        <v>1171</v>
      </c>
      <c r="L42" s="14">
        <v>1669</v>
      </c>
      <c r="M42" s="14">
        <v>1221</v>
      </c>
      <c r="N42" s="14">
        <v>1053</v>
      </c>
      <c r="O42" s="14">
        <v>1279</v>
      </c>
      <c r="P42" s="14">
        <v>1778</v>
      </c>
      <c r="Q42" s="14">
        <v>1775</v>
      </c>
      <c r="R42" s="14">
        <v>1667</v>
      </c>
      <c r="S42" s="14">
        <v>1641</v>
      </c>
      <c r="T42" s="14">
        <v>1788</v>
      </c>
      <c r="U42" s="14">
        <v>1923</v>
      </c>
      <c r="AF42" s="14">
        <v>1538</v>
      </c>
      <c r="AG42" s="14">
        <v>1171</v>
      </c>
      <c r="AH42" s="14">
        <v>1279</v>
      </c>
      <c r="AI42" s="14">
        <v>1641</v>
      </c>
      <c r="AJ42" s="58"/>
    </row>
    <row r="43" spans="1:36" s="14" customFormat="1" x14ac:dyDescent="0.25">
      <c r="A43" s="2"/>
      <c r="B43" s="4"/>
      <c r="C43" s="2" t="s">
        <v>82</v>
      </c>
      <c r="D43" s="14">
        <v>2659</v>
      </c>
      <c r="E43" s="14">
        <v>2558</v>
      </c>
      <c r="F43" s="14">
        <v>2423</v>
      </c>
      <c r="G43" s="14">
        <v>2328</v>
      </c>
      <c r="H43" s="14">
        <v>2571</v>
      </c>
      <c r="I43" s="14">
        <v>3990</v>
      </c>
      <c r="J43" s="14">
        <v>2196</v>
      </c>
      <c r="K43" s="14">
        <v>1527</v>
      </c>
      <c r="L43" s="14">
        <v>1898</v>
      </c>
      <c r="M43" s="14">
        <v>2059</v>
      </c>
      <c r="N43" s="14">
        <v>3428</v>
      </c>
      <c r="O43" s="14">
        <v>1970</v>
      </c>
      <c r="P43" s="14">
        <v>1919</v>
      </c>
      <c r="Q43" s="14">
        <v>3475</v>
      </c>
      <c r="R43" s="14">
        <v>3895</v>
      </c>
      <c r="S43" s="14">
        <v>1707</v>
      </c>
      <c r="T43" s="14">
        <v>1708</v>
      </c>
      <c r="U43" s="14">
        <v>3457</v>
      </c>
      <c r="AF43" s="14">
        <v>2328</v>
      </c>
      <c r="AG43" s="14">
        <v>1527</v>
      </c>
      <c r="AH43" s="14">
        <v>1970</v>
      </c>
      <c r="AI43" s="14">
        <v>1707</v>
      </c>
      <c r="AJ43" s="58"/>
    </row>
    <row r="44" spans="1:36" s="14" customFormat="1" x14ac:dyDescent="0.25">
      <c r="A44" s="2"/>
      <c r="B44" s="4"/>
      <c r="C44" s="1" t="s">
        <v>83</v>
      </c>
      <c r="D44" s="12">
        <f t="shared" ref="D44:P44" si="71">SUM(D29:D43)</f>
        <v>57189</v>
      </c>
      <c r="E44" s="12">
        <f t="shared" si="71"/>
        <v>59388</v>
      </c>
      <c r="F44" s="12">
        <f t="shared" si="71"/>
        <v>60425</v>
      </c>
      <c r="G44" s="12">
        <f t="shared" si="71"/>
        <v>61636</v>
      </c>
      <c r="H44" s="12">
        <f t="shared" si="71"/>
        <v>65567</v>
      </c>
      <c r="I44" s="12">
        <f t="shared" si="71"/>
        <v>66270</v>
      </c>
      <c r="J44" s="12">
        <f t="shared" si="71"/>
        <v>59590</v>
      </c>
      <c r="K44" s="12">
        <f t="shared" si="71"/>
        <v>57610</v>
      </c>
      <c r="L44" s="12">
        <f t="shared" si="71"/>
        <v>64344</v>
      </c>
      <c r="M44" s="12">
        <f t="shared" si="71"/>
        <v>60468.130000000005</v>
      </c>
      <c r="N44" s="12">
        <f>SUM(N29:N43)</f>
        <v>55234</v>
      </c>
      <c r="O44" s="12">
        <f t="shared" si="71"/>
        <v>56805</v>
      </c>
      <c r="P44" s="12">
        <f t="shared" si="71"/>
        <v>59448</v>
      </c>
      <c r="Q44" s="12">
        <f>SUM(Q29:Q43)</f>
        <v>58415</v>
      </c>
      <c r="R44" s="12">
        <f t="shared" ref="R44:S44" si="72">SUM(R29:R43)</f>
        <v>53458</v>
      </c>
      <c r="S44" s="12">
        <f t="shared" si="72"/>
        <v>52093</v>
      </c>
      <c r="T44" s="12">
        <f>SUM(T29:T43)</f>
        <v>58232</v>
      </c>
      <c r="U44" s="12">
        <f>SUM(U29:U43)</f>
        <v>58661</v>
      </c>
      <c r="V44" s="12"/>
      <c r="W44" s="12"/>
      <c r="X44" s="12"/>
      <c r="AF44" s="12">
        <f t="shared" ref="AF44" si="73">SUM(AF29:AF43)</f>
        <v>61636</v>
      </c>
      <c r="AG44" s="12">
        <f t="shared" ref="AG44" si="74">SUM(AG29:AG43)</f>
        <v>57610</v>
      </c>
      <c r="AH44" s="12">
        <f t="shared" ref="AH44" si="75">SUM(AH29:AH43)</f>
        <v>56805</v>
      </c>
      <c r="AI44" s="12">
        <f t="shared" ref="AI44" si="76">SUM(AI29:AI43)</f>
        <v>52093</v>
      </c>
      <c r="AJ44" s="58"/>
    </row>
    <row r="45" spans="1:36" s="14" customFormat="1" x14ac:dyDescent="0.25">
      <c r="A45" s="2"/>
      <c r="B45" s="4"/>
      <c r="C45" s="2" t="s">
        <v>84</v>
      </c>
      <c r="D45" s="14">
        <v>23657</v>
      </c>
      <c r="E45" s="14">
        <v>25021</v>
      </c>
      <c r="F45" s="14">
        <v>26461</v>
      </c>
      <c r="G45" s="14">
        <v>24002</v>
      </c>
      <c r="H45" s="14">
        <v>25807</v>
      </c>
      <c r="I45" s="14">
        <v>26276</v>
      </c>
      <c r="J45" s="14">
        <v>26127</v>
      </c>
      <c r="K45" s="14">
        <v>23770</v>
      </c>
      <c r="L45" s="14">
        <v>25961</v>
      </c>
      <c r="M45" s="14">
        <v>25512</v>
      </c>
      <c r="N45" s="14">
        <v>24700</v>
      </c>
      <c r="O45" s="14">
        <v>24619</v>
      </c>
      <c r="P45" s="14">
        <v>24163</v>
      </c>
      <c r="Q45" s="14">
        <v>24641</v>
      </c>
      <c r="R45" s="14">
        <v>24640</v>
      </c>
      <c r="S45" s="14">
        <v>23637</v>
      </c>
      <c r="T45" s="14">
        <v>25157</v>
      </c>
      <c r="U45" s="14">
        <v>25764</v>
      </c>
      <c r="AF45" s="14">
        <v>24002</v>
      </c>
      <c r="AG45" s="14">
        <v>23770</v>
      </c>
      <c r="AH45" s="14">
        <v>24619</v>
      </c>
      <c r="AI45" s="14">
        <v>23637</v>
      </c>
      <c r="AJ45" s="58"/>
    </row>
    <row r="46" spans="1:36" s="14" customFormat="1" x14ac:dyDescent="0.25">
      <c r="A46" s="2"/>
      <c r="B46" s="4"/>
      <c r="C46" s="2" t="s">
        <v>85</v>
      </c>
      <c r="D46" s="14">
        <v>14</v>
      </c>
      <c r="E46" s="14">
        <v>13</v>
      </c>
      <c r="F46" s="14">
        <v>11</v>
      </c>
      <c r="G46" s="14">
        <v>10</v>
      </c>
      <c r="H46" s="14">
        <v>10</v>
      </c>
      <c r="I46" s="14">
        <v>3</v>
      </c>
      <c r="J46" s="14">
        <v>2</v>
      </c>
      <c r="K46" s="14">
        <v>2</v>
      </c>
      <c r="L46" s="14">
        <v>3</v>
      </c>
      <c r="M46" s="14">
        <v>3</v>
      </c>
      <c r="N46" s="14">
        <v>3</v>
      </c>
      <c r="O46" s="14">
        <v>3</v>
      </c>
      <c r="P46" s="14">
        <v>4</v>
      </c>
      <c r="Q46" s="14">
        <v>4</v>
      </c>
      <c r="R46" s="14">
        <v>4</v>
      </c>
      <c r="S46" s="14">
        <v>3</v>
      </c>
      <c r="T46" s="14">
        <v>4</v>
      </c>
      <c r="U46" s="14">
        <v>3</v>
      </c>
      <c r="AF46" s="14">
        <v>10</v>
      </c>
      <c r="AG46" s="14">
        <v>2</v>
      </c>
      <c r="AH46" s="14">
        <v>3</v>
      </c>
      <c r="AI46" s="14">
        <v>3</v>
      </c>
      <c r="AJ46" s="58"/>
    </row>
    <row r="47" spans="1:36" s="14" customFormat="1" x14ac:dyDescent="0.25">
      <c r="A47" s="2"/>
      <c r="B47" s="4"/>
      <c r="C47" s="11" t="s">
        <v>86</v>
      </c>
      <c r="D47" s="16">
        <f t="shared" ref="D47:P47" si="77">SUM(D45:D46)</f>
        <v>23671</v>
      </c>
      <c r="E47" s="16">
        <f t="shared" si="77"/>
        <v>25034</v>
      </c>
      <c r="F47" s="16">
        <f t="shared" si="77"/>
        <v>26472</v>
      </c>
      <c r="G47" s="16">
        <f t="shared" si="77"/>
        <v>24012</v>
      </c>
      <c r="H47" s="16">
        <f t="shared" si="77"/>
        <v>25817</v>
      </c>
      <c r="I47" s="16">
        <f t="shared" si="77"/>
        <v>26279</v>
      </c>
      <c r="J47" s="16">
        <f t="shared" si="77"/>
        <v>26129</v>
      </c>
      <c r="K47" s="16">
        <f t="shared" si="77"/>
        <v>23772</v>
      </c>
      <c r="L47" s="16">
        <f t="shared" si="77"/>
        <v>25964</v>
      </c>
      <c r="M47" s="16">
        <f t="shared" si="77"/>
        <v>25515</v>
      </c>
      <c r="N47" s="16">
        <f t="shared" si="77"/>
        <v>24703</v>
      </c>
      <c r="O47" s="16">
        <f t="shared" si="77"/>
        <v>24622</v>
      </c>
      <c r="P47" s="16">
        <f t="shared" si="77"/>
        <v>24167</v>
      </c>
      <c r="Q47" s="16">
        <f>SUM(Q45:Q46)</f>
        <v>24645</v>
      </c>
      <c r="R47" s="16">
        <f t="shared" ref="R47:U47" si="78">SUM(R45:R46)</f>
        <v>24644</v>
      </c>
      <c r="S47" s="16">
        <f t="shared" si="78"/>
        <v>23640</v>
      </c>
      <c r="T47" s="16">
        <f t="shared" si="78"/>
        <v>25161</v>
      </c>
      <c r="U47" s="16">
        <f t="shared" si="78"/>
        <v>25767</v>
      </c>
      <c r="V47" s="16"/>
      <c r="W47" s="16"/>
      <c r="X47" s="16"/>
      <c r="AF47" s="16">
        <f t="shared" ref="AF47" si="79">SUM(AF45:AF46)</f>
        <v>24012</v>
      </c>
      <c r="AG47" s="16">
        <f t="shared" ref="AG47" si="80">SUM(AG45:AG46)</f>
        <v>23772</v>
      </c>
      <c r="AH47" s="16">
        <f t="shared" ref="AH47" si="81">SUM(AH45:AH46)</f>
        <v>24622</v>
      </c>
      <c r="AI47" s="16">
        <f t="shared" ref="AI47" si="82">SUM(AI45:AI46)</f>
        <v>23640</v>
      </c>
      <c r="AJ47" s="58"/>
    </row>
    <row r="48" spans="1:36" s="14" customFormat="1" x14ac:dyDescent="0.25">
      <c r="A48" s="2"/>
      <c r="B48" s="4"/>
      <c r="C48" s="2" t="s">
        <v>148</v>
      </c>
      <c r="D48" s="14">
        <v>2272</v>
      </c>
      <c r="E48" s="14">
        <v>3933</v>
      </c>
      <c r="F48" s="14">
        <v>3826</v>
      </c>
      <c r="G48" s="14">
        <v>8927</v>
      </c>
      <c r="H48" s="14">
        <v>11301</v>
      </c>
      <c r="I48" s="14">
        <v>12074</v>
      </c>
      <c r="J48" s="14">
        <v>12053</v>
      </c>
      <c r="K48" s="14">
        <v>8556</v>
      </c>
      <c r="L48" s="14">
        <v>11549</v>
      </c>
      <c r="M48" s="14">
        <v>11629</v>
      </c>
      <c r="N48" s="14">
        <v>8721</v>
      </c>
      <c r="O48" s="14">
        <v>10316</v>
      </c>
      <c r="P48" s="14">
        <v>10181</v>
      </c>
      <c r="Q48" s="14">
        <v>9816</v>
      </c>
      <c r="R48" s="14">
        <v>9802</v>
      </c>
      <c r="S48" s="14">
        <v>9200</v>
      </c>
      <c r="T48" s="14">
        <v>8485</v>
      </c>
      <c r="U48" s="14">
        <v>8245</v>
      </c>
      <c r="AF48" s="14">
        <v>8927</v>
      </c>
      <c r="AG48" s="14">
        <v>8556</v>
      </c>
      <c r="AH48" s="14">
        <v>10316</v>
      </c>
      <c r="AI48" s="14">
        <v>9200</v>
      </c>
      <c r="AJ48" s="58"/>
    </row>
    <row r="49" spans="1:36" s="14" customFormat="1" x14ac:dyDescent="0.25">
      <c r="A49" s="2"/>
      <c r="B49" s="4"/>
      <c r="C49" s="2" t="s">
        <v>87</v>
      </c>
      <c r="D49" s="16">
        <v>1330</v>
      </c>
      <c r="E49" s="14">
        <v>1312</v>
      </c>
      <c r="F49" s="14">
        <v>1349</v>
      </c>
      <c r="G49" s="14">
        <v>1708</v>
      </c>
      <c r="H49" s="14">
        <v>1642</v>
      </c>
      <c r="I49" s="14">
        <v>1613</v>
      </c>
      <c r="J49" s="14">
        <v>1610</v>
      </c>
      <c r="K49" s="14">
        <v>1436</v>
      </c>
      <c r="L49" s="14">
        <v>1473</v>
      </c>
      <c r="M49" s="14">
        <v>1390</v>
      </c>
      <c r="N49" s="14">
        <v>1269</v>
      </c>
      <c r="O49" s="14">
        <v>1315</v>
      </c>
      <c r="P49" s="14">
        <v>1146</v>
      </c>
      <c r="Q49" s="14">
        <v>1108</v>
      </c>
      <c r="R49" s="14">
        <v>1028</v>
      </c>
      <c r="S49" s="14">
        <v>1199</v>
      </c>
      <c r="T49" s="14">
        <v>1195</v>
      </c>
      <c r="U49" s="14">
        <v>1376</v>
      </c>
      <c r="AF49" s="14">
        <v>1708</v>
      </c>
      <c r="AG49" s="14">
        <v>1436</v>
      </c>
      <c r="AH49" s="14">
        <v>1315</v>
      </c>
      <c r="AI49" s="14">
        <v>1199</v>
      </c>
      <c r="AJ49" s="58"/>
    </row>
    <row r="50" spans="1:36" s="14" customFormat="1" x14ac:dyDescent="0.25">
      <c r="A50" s="2"/>
      <c r="B50" s="4"/>
      <c r="C50" s="2" t="s">
        <v>74</v>
      </c>
      <c r="D50" s="14">
        <v>60</v>
      </c>
      <c r="E50" s="14">
        <v>73</v>
      </c>
      <c r="F50" s="14">
        <v>102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2</v>
      </c>
      <c r="N50" s="14">
        <v>37</v>
      </c>
      <c r="O50" s="14">
        <v>34</v>
      </c>
      <c r="P50" s="14">
        <v>28</v>
      </c>
      <c r="Q50" s="14">
        <v>49</v>
      </c>
      <c r="R50" s="14">
        <v>41</v>
      </c>
      <c r="S50" s="14">
        <v>18</v>
      </c>
      <c r="T50" s="14">
        <v>0</v>
      </c>
      <c r="U50" s="14">
        <v>10</v>
      </c>
      <c r="AF50" s="14">
        <v>0</v>
      </c>
      <c r="AG50" s="14">
        <v>0</v>
      </c>
      <c r="AH50" s="14">
        <v>34</v>
      </c>
      <c r="AI50" s="14">
        <v>18</v>
      </c>
      <c r="AJ50" s="58"/>
    </row>
    <row r="51" spans="1:36" s="14" customFormat="1" x14ac:dyDescent="0.25">
      <c r="A51" s="2"/>
      <c r="B51" s="4"/>
      <c r="C51" s="2" t="s">
        <v>88</v>
      </c>
      <c r="D51" s="14">
        <v>2210</v>
      </c>
      <c r="E51" s="14">
        <v>1907</v>
      </c>
      <c r="F51" s="14">
        <v>2086</v>
      </c>
      <c r="G51" s="14">
        <v>2056</v>
      </c>
      <c r="H51" s="14">
        <v>2522</v>
      </c>
      <c r="I51" s="14">
        <v>2607</v>
      </c>
      <c r="J51" s="14">
        <v>2064</v>
      </c>
      <c r="K51" s="14">
        <v>2334</v>
      </c>
      <c r="L51" s="14">
        <v>2378</v>
      </c>
      <c r="M51" s="14">
        <v>2351</v>
      </c>
      <c r="N51" s="14">
        <v>2308</v>
      </c>
      <c r="O51" s="14">
        <v>2349</v>
      </c>
      <c r="P51" s="14">
        <v>2265</v>
      </c>
      <c r="Q51" s="14">
        <v>2205</v>
      </c>
      <c r="R51" s="14">
        <v>2167</v>
      </c>
      <c r="S51" s="14">
        <v>2291</v>
      </c>
      <c r="T51" s="14">
        <v>1943</v>
      </c>
      <c r="U51" s="14">
        <v>2215</v>
      </c>
      <c r="AF51" s="14">
        <v>2056</v>
      </c>
      <c r="AG51" s="14">
        <v>2334</v>
      </c>
      <c r="AH51" s="14">
        <v>2349</v>
      </c>
      <c r="AI51" s="14">
        <v>2291</v>
      </c>
      <c r="AJ51" s="58"/>
    </row>
    <row r="52" spans="1:36" s="14" customFormat="1" x14ac:dyDescent="0.25">
      <c r="A52" s="2"/>
      <c r="B52" s="4"/>
      <c r="C52" s="2" t="s">
        <v>89</v>
      </c>
      <c r="D52" s="14">
        <v>2215</v>
      </c>
      <c r="E52" s="14">
        <v>1701</v>
      </c>
      <c r="F52" s="14">
        <v>1631</v>
      </c>
      <c r="G52" s="14">
        <v>1681</v>
      </c>
      <c r="H52" s="14">
        <v>1599</v>
      </c>
      <c r="I52" s="14">
        <v>1713</v>
      </c>
      <c r="J52" s="14">
        <v>1637</v>
      </c>
      <c r="K52" s="14">
        <v>2209</v>
      </c>
      <c r="L52" s="14">
        <v>2229</v>
      </c>
      <c r="M52" s="14">
        <v>1935</v>
      </c>
      <c r="N52" s="14">
        <v>2110</v>
      </c>
      <c r="O52" s="14">
        <v>2056</v>
      </c>
      <c r="P52" s="14">
        <v>2005</v>
      </c>
      <c r="Q52" s="14">
        <v>2040</v>
      </c>
      <c r="R52" s="14">
        <v>1931</v>
      </c>
      <c r="S52" s="14">
        <v>1905</v>
      </c>
      <c r="T52" s="14">
        <v>2042</v>
      </c>
      <c r="U52" s="14">
        <v>2065</v>
      </c>
      <c r="AF52" s="14">
        <v>1681</v>
      </c>
      <c r="AG52" s="14">
        <v>2209</v>
      </c>
      <c r="AH52" s="14">
        <v>2056</v>
      </c>
      <c r="AI52" s="14">
        <v>1905</v>
      </c>
      <c r="AJ52" s="58"/>
    </row>
    <row r="53" spans="1:36" s="14" customFormat="1" x14ac:dyDescent="0.25">
      <c r="A53" s="2"/>
      <c r="B53" s="4"/>
      <c r="C53" s="2" t="s">
        <v>90</v>
      </c>
      <c r="D53" s="14">
        <v>635</v>
      </c>
      <c r="E53" s="14">
        <v>641</v>
      </c>
      <c r="F53" s="14">
        <v>660</v>
      </c>
      <c r="G53" s="14">
        <v>700</v>
      </c>
      <c r="H53" s="14">
        <v>710</v>
      </c>
      <c r="I53" s="14">
        <v>713</v>
      </c>
      <c r="J53" s="14">
        <v>666</v>
      </c>
      <c r="K53" s="14">
        <v>620</v>
      </c>
      <c r="L53" s="14">
        <v>677</v>
      </c>
      <c r="M53" s="14">
        <v>682</v>
      </c>
      <c r="N53" s="14">
        <v>620</v>
      </c>
      <c r="O53" s="14">
        <v>679</v>
      </c>
      <c r="P53" s="14">
        <v>634</v>
      </c>
      <c r="Q53" s="14">
        <v>641</v>
      </c>
      <c r="R53" s="14">
        <v>600</v>
      </c>
      <c r="S53" s="14">
        <v>556</v>
      </c>
      <c r="T53" s="14">
        <v>597</v>
      </c>
      <c r="U53" s="14">
        <v>612</v>
      </c>
      <c r="AF53" s="14">
        <v>700</v>
      </c>
      <c r="AG53" s="14">
        <v>620</v>
      </c>
      <c r="AH53" s="14">
        <v>679</v>
      </c>
      <c r="AI53" s="14">
        <v>556</v>
      </c>
      <c r="AJ53" s="58"/>
    </row>
    <row r="54" spans="1:36" s="14" customFormat="1" x14ac:dyDescent="0.25">
      <c r="A54" s="2"/>
      <c r="B54" s="4"/>
      <c r="C54" s="2" t="s">
        <v>91</v>
      </c>
      <c r="D54" s="14">
        <v>8224</v>
      </c>
      <c r="E54" s="14">
        <v>7918</v>
      </c>
      <c r="F54" s="14">
        <v>6843</v>
      </c>
      <c r="G54" s="14">
        <v>7111</v>
      </c>
      <c r="H54" s="14">
        <v>7613</v>
      </c>
      <c r="I54" s="14">
        <v>7017</v>
      </c>
      <c r="J54" s="14">
        <v>5016</v>
      </c>
      <c r="K54" s="14">
        <v>5487</v>
      </c>
      <c r="L54" s="14">
        <v>6841</v>
      </c>
      <c r="M54" s="14">
        <v>5934</v>
      </c>
      <c r="N54" s="14">
        <v>4341</v>
      </c>
      <c r="O54" s="14">
        <v>5896</v>
      </c>
      <c r="P54" s="14">
        <v>7892</v>
      </c>
      <c r="Q54" s="14">
        <v>6786</v>
      </c>
      <c r="R54" s="14">
        <v>5253</v>
      </c>
      <c r="S54" s="14">
        <v>5786</v>
      </c>
      <c r="T54" s="14">
        <v>6827</v>
      </c>
      <c r="U54" s="14">
        <v>6163</v>
      </c>
      <c r="AF54" s="14">
        <v>7111</v>
      </c>
      <c r="AG54" s="14">
        <v>5487</v>
      </c>
      <c r="AH54" s="14">
        <v>5896</v>
      </c>
      <c r="AI54" s="14">
        <v>5786</v>
      </c>
      <c r="AJ54" s="58"/>
    </row>
    <row r="55" spans="1:36" s="14" customFormat="1" x14ac:dyDescent="0.25">
      <c r="A55" s="2"/>
      <c r="B55" s="4"/>
      <c r="C55" s="2" t="s">
        <v>92</v>
      </c>
      <c r="D55" s="14">
        <v>1225</v>
      </c>
      <c r="E55" s="14">
        <v>1289</v>
      </c>
      <c r="F55" s="14">
        <v>655</v>
      </c>
      <c r="G55" s="14">
        <v>667</v>
      </c>
      <c r="H55" s="14">
        <v>785</v>
      </c>
      <c r="I55" s="14">
        <v>749</v>
      </c>
      <c r="J55" s="14">
        <v>633</v>
      </c>
      <c r="K55" s="14">
        <v>662</v>
      </c>
      <c r="L55" s="14">
        <v>728</v>
      </c>
      <c r="M55" s="14">
        <v>829</v>
      </c>
      <c r="N55" s="14">
        <v>537</v>
      </c>
      <c r="O55" s="14">
        <v>371</v>
      </c>
      <c r="P55" s="14">
        <v>505</v>
      </c>
      <c r="Q55" s="14">
        <v>786</v>
      </c>
      <c r="R55" s="14">
        <v>695</v>
      </c>
      <c r="S55" s="14">
        <v>381</v>
      </c>
      <c r="T55" s="14">
        <v>513</v>
      </c>
      <c r="U55" s="14">
        <v>598</v>
      </c>
      <c r="AF55" s="14">
        <v>667</v>
      </c>
      <c r="AG55" s="14">
        <v>662</v>
      </c>
      <c r="AH55" s="14">
        <v>371</v>
      </c>
      <c r="AI55" s="14">
        <v>381</v>
      </c>
      <c r="AJ55" s="58"/>
    </row>
    <row r="56" spans="1:36" s="14" customFormat="1" x14ac:dyDescent="0.25">
      <c r="A56" s="2"/>
      <c r="B56" s="4"/>
      <c r="C56" s="2" t="s">
        <v>93</v>
      </c>
      <c r="D56" s="14">
        <v>4985</v>
      </c>
      <c r="E56" s="14">
        <v>5062</v>
      </c>
      <c r="F56" s="14">
        <v>4776</v>
      </c>
      <c r="G56" s="14">
        <v>4097</v>
      </c>
      <c r="H56" s="14">
        <v>5639</v>
      </c>
      <c r="I56" s="14">
        <v>6202</v>
      </c>
      <c r="J56" s="14">
        <v>4791</v>
      </c>
      <c r="K56" s="14">
        <v>3866</v>
      </c>
      <c r="L56" s="14">
        <v>5448</v>
      </c>
      <c r="M56" s="14">
        <v>4916</v>
      </c>
      <c r="N56" s="14">
        <v>4233</v>
      </c>
      <c r="O56" s="14">
        <v>4038</v>
      </c>
      <c r="P56" s="14">
        <v>4941</v>
      </c>
      <c r="Q56" s="14">
        <v>5330</v>
      </c>
      <c r="R56" s="14">
        <v>4350</v>
      </c>
      <c r="S56" s="14">
        <v>3814</v>
      </c>
      <c r="T56" s="14">
        <v>5675</v>
      </c>
      <c r="U56" s="14">
        <v>5670</v>
      </c>
      <c r="AC56" s="12"/>
      <c r="AD56" s="12"/>
      <c r="AE56" s="12"/>
      <c r="AF56" s="14">
        <v>4097</v>
      </c>
      <c r="AG56" s="14">
        <v>3866</v>
      </c>
      <c r="AH56" s="14">
        <v>4038</v>
      </c>
      <c r="AI56" s="14">
        <v>3814</v>
      </c>
      <c r="AJ56" s="58"/>
    </row>
    <row r="57" spans="1:36" s="14" customFormat="1" x14ac:dyDescent="0.25">
      <c r="A57" s="2"/>
      <c r="B57" s="4"/>
      <c r="C57" s="2" t="s">
        <v>94</v>
      </c>
      <c r="D57" s="14">
        <v>8346</v>
      </c>
      <c r="E57" s="14">
        <v>1141</v>
      </c>
      <c r="F57" s="14">
        <v>1141</v>
      </c>
      <c r="G57" s="14">
        <v>7700</v>
      </c>
      <c r="H57" s="14">
        <v>5213</v>
      </c>
      <c r="I57" s="14">
        <v>1141</v>
      </c>
      <c r="J57" s="14">
        <v>1141</v>
      </c>
      <c r="K57" s="14">
        <v>6031</v>
      </c>
      <c r="L57" s="14">
        <v>4145</v>
      </c>
      <c r="M57" s="14">
        <v>1143</v>
      </c>
      <c r="N57" s="14">
        <v>1143</v>
      </c>
      <c r="O57" s="14">
        <v>2203</v>
      </c>
      <c r="P57" s="14">
        <v>3383</v>
      </c>
      <c r="Q57" s="14">
        <v>288</v>
      </c>
      <c r="R57" s="14">
        <v>288</v>
      </c>
      <c r="S57" s="14">
        <v>1716</v>
      </c>
      <c r="T57" s="14">
        <v>3592</v>
      </c>
      <c r="U57" s="14">
        <v>432</v>
      </c>
      <c r="AF57" s="14">
        <v>7700</v>
      </c>
      <c r="AG57" s="14">
        <v>6031</v>
      </c>
      <c r="AH57" s="14">
        <v>2203</v>
      </c>
      <c r="AI57" s="14">
        <v>1716</v>
      </c>
      <c r="AJ57" s="58"/>
    </row>
    <row r="58" spans="1:36" s="14" customFormat="1" x14ac:dyDescent="0.25">
      <c r="A58" s="2"/>
      <c r="B58" s="4"/>
      <c r="C58" s="2" t="s">
        <v>116</v>
      </c>
      <c r="D58" s="14">
        <v>515</v>
      </c>
      <c r="E58" s="14">
        <v>6914</v>
      </c>
      <c r="F58" s="14">
        <v>8122</v>
      </c>
      <c r="G58" s="14">
        <v>649</v>
      </c>
      <c r="H58" s="14">
        <v>608</v>
      </c>
      <c r="I58" s="14">
        <v>2358</v>
      </c>
      <c r="J58" s="14">
        <v>1246</v>
      </c>
      <c r="K58" s="14">
        <v>648</v>
      </c>
      <c r="L58" s="14">
        <v>691</v>
      </c>
      <c r="M58" s="14">
        <v>1647</v>
      </c>
      <c r="N58" s="14">
        <v>3047</v>
      </c>
      <c r="O58" s="14">
        <v>687</v>
      </c>
      <c r="P58" s="14">
        <v>641</v>
      </c>
      <c r="Q58" s="14">
        <v>2492</v>
      </c>
      <c r="R58" s="14">
        <v>697</v>
      </c>
      <c r="S58" s="14">
        <v>616</v>
      </c>
      <c r="T58" s="14">
        <v>621</v>
      </c>
      <c r="U58" s="14">
        <v>2875</v>
      </c>
      <c r="AF58" s="14">
        <v>649</v>
      </c>
      <c r="AG58" s="14">
        <v>648</v>
      </c>
      <c r="AH58" s="14">
        <v>687</v>
      </c>
      <c r="AI58" s="14">
        <v>616</v>
      </c>
      <c r="AJ58" s="58"/>
    </row>
    <row r="59" spans="1:36" s="14" customFormat="1" x14ac:dyDescent="0.25">
      <c r="A59" s="2"/>
      <c r="B59" s="4"/>
      <c r="C59" s="2" t="s">
        <v>87</v>
      </c>
      <c r="D59" s="14">
        <v>531</v>
      </c>
      <c r="E59" s="14">
        <v>539</v>
      </c>
      <c r="F59" s="14">
        <v>574</v>
      </c>
      <c r="G59" s="14">
        <v>912</v>
      </c>
      <c r="H59" s="14">
        <v>672</v>
      </c>
      <c r="I59" s="14">
        <v>636</v>
      </c>
      <c r="J59" s="14">
        <v>636</v>
      </c>
      <c r="K59" s="14">
        <v>575</v>
      </c>
      <c r="L59" s="14">
        <v>688</v>
      </c>
      <c r="M59" s="14">
        <v>691</v>
      </c>
      <c r="N59" s="14">
        <v>671</v>
      </c>
      <c r="O59" s="14">
        <v>873</v>
      </c>
      <c r="P59" s="14">
        <v>342</v>
      </c>
      <c r="Q59" s="14">
        <v>618</v>
      </c>
      <c r="R59" s="14">
        <v>586</v>
      </c>
      <c r="S59" s="14">
        <v>249</v>
      </c>
      <c r="T59" s="14">
        <v>678</v>
      </c>
      <c r="U59" s="14">
        <v>673</v>
      </c>
      <c r="AF59" s="14">
        <v>912</v>
      </c>
      <c r="AG59" s="14">
        <v>575</v>
      </c>
      <c r="AH59" s="14">
        <v>873</v>
      </c>
      <c r="AI59" s="14">
        <v>249</v>
      </c>
      <c r="AJ59" s="58"/>
    </row>
    <row r="60" spans="1:36" s="14" customFormat="1" x14ac:dyDescent="0.25">
      <c r="A60" s="2"/>
      <c r="B60" s="4"/>
      <c r="C60" s="2" t="s">
        <v>74</v>
      </c>
      <c r="D60" s="14">
        <v>970</v>
      </c>
      <c r="E60" s="14">
        <v>980</v>
      </c>
      <c r="F60" s="14">
        <v>1309</v>
      </c>
      <c r="G60" s="14">
        <v>1416</v>
      </c>
      <c r="H60" s="14">
        <v>1447</v>
      </c>
      <c r="I60" s="14">
        <v>1460</v>
      </c>
      <c r="J60" s="14">
        <v>565</v>
      </c>
      <c r="K60" s="14">
        <v>1415</v>
      </c>
      <c r="L60" s="14">
        <v>1532</v>
      </c>
      <c r="M60" s="14">
        <v>355</v>
      </c>
      <c r="N60" s="14">
        <v>275</v>
      </c>
      <c r="O60" s="14">
        <v>1224</v>
      </c>
      <c r="P60" s="14">
        <v>1319</v>
      </c>
      <c r="Q60" s="14">
        <v>357</v>
      </c>
      <c r="R60" s="14">
        <v>285</v>
      </c>
      <c r="S60" s="14">
        <v>823</v>
      </c>
      <c r="T60" s="14">
        <v>905</v>
      </c>
      <c r="U60" s="14">
        <v>713</v>
      </c>
      <c r="AC60" s="12"/>
      <c r="AD60" s="12"/>
      <c r="AE60" s="12"/>
      <c r="AF60" s="14">
        <v>1416</v>
      </c>
      <c r="AG60" s="14">
        <v>1415</v>
      </c>
      <c r="AH60" s="14">
        <v>1224</v>
      </c>
      <c r="AI60" s="14">
        <v>823</v>
      </c>
      <c r="AJ60" s="58"/>
    </row>
    <row r="61" spans="1:36" s="14" customFormat="1" x14ac:dyDescent="0.25">
      <c r="A61" s="2"/>
      <c r="B61" s="4"/>
      <c r="C61" s="2" t="s">
        <v>90</v>
      </c>
      <c r="D61" s="14">
        <v>0</v>
      </c>
      <c r="E61" s="14">
        <v>942</v>
      </c>
      <c r="F61" s="14">
        <v>878</v>
      </c>
      <c r="G61" s="14">
        <v>0</v>
      </c>
      <c r="H61" s="14">
        <v>0</v>
      </c>
      <c r="I61" s="14">
        <v>1708</v>
      </c>
      <c r="J61" s="14">
        <v>1398</v>
      </c>
      <c r="K61" s="14">
        <v>0</v>
      </c>
      <c r="L61" s="14">
        <v>0</v>
      </c>
      <c r="M61" s="14">
        <v>1462</v>
      </c>
      <c r="N61" s="14">
        <v>1219</v>
      </c>
      <c r="O61" s="14">
        <v>140</v>
      </c>
      <c r="P61" s="14">
        <v>0</v>
      </c>
      <c r="Q61" s="14">
        <v>1253</v>
      </c>
      <c r="R61" s="14">
        <v>1118</v>
      </c>
      <c r="S61" s="14">
        <v>0</v>
      </c>
      <c r="T61" s="14">
        <v>0</v>
      </c>
      <c r="U61" s="14">
        <v>1250</v>
      </c>
      <c r="AF61" s="14">
        <v>0</v>
      </c>
      <c r="AG61" s="14">
        <v>0</v>
      </c>
      <c r="AH61" s="14">
        <v>140</v>
      </c>
      <c r="AI61" s="14">
        <v>0</v>
      </c>
      <c r="AJ61" s="58"/>
    </row>
    <row r="62" spans="1:36" s="14" customFormat="1" x14ac:dyDescent="0.25">
      <c r="A62" s="2"/>
      <c r="B62" s="4"/>
      <c r="C62" s="2" t="s">
        <v>95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AF62" s="14">
        <v>0</v>
      </c>
      <c r="AG62" s="14">
        <v>0</v>
      </c>
      <c r="AH62" s="14">
        <v>0</v>
      </c>
      <c r="AI62" s="14">
        <v>0</v>
      </c>
      <c r="AJ62" s="58"/>
    </row>
    <row r="63" spans="1:36" s="14" customFormat="1" x14ac:dyDescent="0.25">
      <c r="A63" s="2"/>
      <c r="B63" s="4"/>
      <c r="C63" s="11" t="s">
        <v>96</v>
      </c>
      <c r="D63" s="16">
        <f t="shared" ref="D63:P63" si="83">SUM(D48:D62)</f>
        <v>33518</v>
      </c>
      <c r="E63" s="16">
        <f t="shared" si="83"/>
        <v>34352</v>
      </c>
      <c r="F63" s="16">
        <f t="shared" si="83"/>
        <v>33952</v>
      </c>
      <c r="G63" s="16">
        <f t="shared" si="83"/>
        <v>37624</v>
      </c>
      <c r="H63" s="16">
        <f t="shared" si="83"/>
        <v>39751</v>
      </c>
      <c r="I63" s="16">
        <f t="shared" si="83"/>
        <v>39991</v>
      </c>
      <c r="J63" s="16">
        <f t="shared" si="83"/>
        <v>33456</v>
      </c>
      <c r="K63" s="16">
        <f t="shared" si="83"/>
        <v>33839</v>
      </c>
      <c r="L63" s="16">
        <f t="shared" si="83"/>
        <v>38379</v>
      </c>
      <c r="M63" s="16">
        <f t="shared" si="83"/>
        <v>34966</v>
      </c>
      <c r="N63" s="16">
        <f t="shared" si="83"/>
        <v>30531</v>
      </c>
      <c r="O63" s="16">
        <f t="shared" si="83"/>
        <v>32181</v>
      </c>
      <c r="P63" s="16">
        <f t="shared" si="83"/>
        <v>35282</v>
      </c>
      <c r="Q63" s="16">
        <f>SUM(Q48:Q62)</f>
        <v>33769</v>
      </c>
      <c r="R63" s="16">
        <f t="shared" ref="R63:T63" si="84">SUM(R48:R62)</f>
        <v>28841</v>
      </c>
      <c r="S63" s="16">
        <f t="shared" si="84"/>
        <v>28554</v>
      </c>
      <c r="T63" s="16">
        <f t="shared" si="84"/>
        <v>33073</v>
      </c>
      <c r="U63" s="16">
        <f t="shared" ref="U63" si="85">SUM(U48:U62)</f>
        <v>32897</v>
      </c>
      <c r="V63" s="16"/>
      <c r="W63" s="16"/>
      <c r="X63" s="16"/>
      <c r="AF63" s="16">
        <f t="shared" ref="AF63" si="86">SUM(AF48:AF62)</f>
        <v>37624</v>
      </c>
      <c r="AG63" s="16">
        <f t="shared" ref="AG63" si="87">SUM(AG48:AG62)</f>
        <v>33839</v>
      </c>
      <c r="AH63" s="16">
        <f t="shared" ref="AH63" si="88">SUM(AH48:AH62)</f>
        <v>32181</v>
      </c>
      <c r="AI63" s="16">
        <f t="shared" ref="AI63" si="89">SUM(AI48:AI62)</f>
        <v>28554</v>
      </c>
      <c r="AJ63" s="58"/>
    </row>
    <row r="64" spans="1:36" s="14" customFormat="1" x14ac:dyDescent="0.25">
      <c r="A64" s="2"/>
      <c r="B64" s="4"/>
      <c r="C64" s="1" t="s">
        <v>97</v>
      </c>
      <c r="D64" s="12">
        <f t="shared" ref="D64:P64" si="90">D47+D63</f>
        <v>57189</v>
      </c>
      <c r="E64" s="12">
        <f t="shared" si="90"/>
        <v>59386</v>
      </c>
      <c r="F64" s="12">
        <f t="shared" si="90"/>
        <v>60424</v>
      </c>
      <c r="G64" s="12">
        <f t="shared" si="90"/>
        <v>61636</v>
      </c>
      <c r="H64" s="12">
        <f t="shared" si="90"/>
        <v>65568</v>
      </c>
      <c r="I64" s="12">
        <f t="shared" si="90"/>
        <v>66270</v>
      </c>
      <c r="J64" s="12">
        <f t="shared" si="90"/>
        <v>59585</v>
      </c>
      <c r="K64" s="12">
        <f t="shared" si="90"/>
        <v>57611</v>
      </c>
      <c r="L64" s="12">
        <f t="shared" si="90"/>
        <v>64343</v>
      </c>
      <c r="M64" s="12">
        <f t="shared" si="90"/>
        <v>60481</v>
      </c>
      <c r="N64" s="12">
        <f t="shared" si="90"/>
        <v>55234</v>
      </c>
      <c r="O64" s="12">
        <f t="shared" si="90"/>
        <v>56803</v>
      </c>
      <c r="P64" s="12">
        <f t="shared" si="90"/>
        <v>59449</v>
      </c>
      <c r="Q64" s="12">
        <f>Q47+Q63</f>
        <v>58414</v>
      </c>
      <c r="R64" s="12">
        <f t="shared" ref="R64:T64" si="91">R47+R63</f>
        <v>53485</v>
      </c>
      <c r="S64" s="12">
        <f t="shared" si="91"/>
        <v>52194</v>
      </c>
      <c r="T64" s="12">
        <f t="shared" si="91"/>
        <v>58234</v>
      </c>
      <c r="U64" s="12">
        <f t="shared" ref="U64" si="92">U47+U63</f>
        <v>58664</v>
      </c>
      <c r="V64" s="12"/>
      <c r="W64" s="12"/>
      <c r="X64" s="12"/>
      <c r="Y64" s="12"/>
      <c r="Z64" s="12"/>
      <c r="AA64" s="12"/>
      <c r="AB64" s="12"/>
      <c r="AF64" s="12">
        <f t="shared" ref="AF64" si="93">AF47+AF63</f>
        <v>61636</v>
      </c>
      <c r="AG64" s="12">
        <f t="shared" ref="AG64" si="94">AG47+AG63</f>
        <v>57611</v>
      </c>
      <c r="AH64" s="12">
        <f t="shared" ref="AH64" si="95">AH47+AH63</f>
        <v>56803</v>
      </c>
      <c r="AI64" s="12">
        <f t="shared" ref="AI64" si="96">AI47+AI63</f>
        <v>52194</v>
      </c>
      <c r="AJ64" s="58"/>
    </row>
    <row r="65" spans="1:36" x14ac:dyDescent="0.25"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T65" s="1"/>
      <c r="U65" s="1"/>
      <c r="V65" s="1"/>
      <c r="W65" s="1"/>
      <c r="X65" s="1"/>
      <c r="Y65" s="1"/>
      <c r="Z65" s="1"/>
      <c r="AA65" s="1"/>
      <c r="AB65" s="1"/>
    </row>
    <row r="66" spans="1:36" x14ac:dyDescent="0.25">
      <c r="C66" s="1" t="s">
        <v>52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Q66" s="1"/>
      <c r="R66" s="1"/>
      <c r="S66" s="1"/>
      <c r="T66" s="1"/>
      <c r="U66" s="1"/>
      <c r="V66" s="1"/>
      <c r="W66" s="1"/>
      <c r="X66" s="1"/>
      <c r="Y66" s="14">
        <f>Y10</f>
        <v>2827</v>
      </c>
      <c r="Z66" s="14">
        <f t="shared" ref="Z66:AI66" si="97">Z10</f>
        <v>3218</v>
      </c>
      <c r="AA66" s="14">
        <f t="shared" si="97"/>
        <v>3790</v>
      </c>
      <c r="AB66" s="14">
        <f t="shared" si="97"/>
        <v>2070</v>
      </c>
      <c r="AC66" s="14">
        <f t="shared" si="97"/>
        <v>3690</v>
      </c>
      <c r="AD66" s="14">
        <f t="shared" si="97"/>
        <v>3669</v>
      </c>
      <c r="AE66" s="14">
        <f t="shared" si="97"/>
        <v>5746</v>
      </c>
      <c r="AF66" s="14">
        <f t="shared" si="97"/>
        <v>3043</v>
      </c>
      <c r="AG66" s="14">
        <f t="shared" si="97"/>
        <v>3880</v>
      </c>
      <c r="AH66" s="14">
        <f t="shared" si="97"/>
        <v>2597</v>
      </c>
      <c r="AI66" s="14">
        <f t="shared" si="97"/>
        <v>2899</v>
      </c>
    </row>
    <row r="67" spans="1:36" s="14" customFormat="1" x14ac:dyDescent="0.25">
      <c r="A67" s="2"/>
      <c r="B67" s="4"/>
      <c r="C67" s="2" t="s">
        <v>98</v>
      </c>
      <c r="D67" s="14">
        <f t="shared" ref="D67:U67" si="98">D10</f>
        <v>2159</v>
      </c>
      <c r="E67" s="14">
        <f t="shared" si="98"/>
        <v>2064</v>
      </c>
      <c r="F67" s="14">
        <f t="shared" si="98"/>
        <v>556</v>
      </c>
      <c r="G67" s="14">
        <f t="shared" si="98"/>
        <v>-1737</v>
      </c>
      <c r="H67" s="14">
        <f t="shared" si="98"/>
        <v>2364</v>
      </c>
      <c r="I67" s="14">
        <f t="shared" si="98"/>
        <v>2101</v>
      </c>
      <c r="J67" s="14">
        <f t="shared" si="98"/>
        <v>398</v>
      </c>
      <c r="K67" s="14">
        <f t="shared" si="98"/>
        <v>-983</v>
      </c>
      <c r="L67" s="14">
        <f t="shared" si="98"/>
        <v>1930</v>
      </c>
      <c r="M67" s="14">
        <f t="shared" si="98"/>
        <v>1898</v>
      </c>
      <c r="N67" s="14">
        <f t="shared" si="98"/>
        <v>53</v>
      </c>
      <c r="O67" s="14">
        <f t="shared" si="98"/>
        <v>-1285</v>
      </c>
      <c r="P67" s="14">
        <f t="shared" si="98"/>
        <v>1531</v>
      </c>
      <c r="Q67" s="14">
        <f t="shared" si="98"/>
        <v>2062</v>
      </c>
      <c r="R67" s="14">
        <f t="shared" si="98"/>
        <v>142</v>
      </c>
      <c r="S67" s="14">
        <f t="shared" si="98"/>
        <v>-836</v>
      </c>
      <c r="T67" s="14">
        <f t="shared" si="98"/>
        <v>1710</v>
      </c>
      <c r="U67" s="14">
        <f t="shared" si="98"/>
        <v>1601</v>
      </c>
      <c r="Y67" s="14">
        <v>2827</v>
      </c>
      <c r="Z67" s="14">
        <v>3218</v>
      </c>
      <c r="AA67" s="14">
        <v>3790</v>
      </c>
      <c r="AB67" s="14">
        <v>2070</v>
      </c>
      <c r="AC67" s="14">
        <v>3690</v>
      </c>
      <c r="AD67" s="14">
        <v>3669</v>
      </c>
      <c r="AE67" s="14">
        <v>5746</v>
      </c>
      <c r="AF67" s="14">
        <v>3043</v>
      </c>
      <c r="AG67" s="14">
        <v>3880</v>
      </c>
      <c r="AH67" s="14">
        <v>2597</v>
      </c>
      <c r="AI67" s="14">
        <v>2899</v>
      </c>
      <c r="AJ67" s="58"/>
    </row>
    <row r="68" spans="1:36" s="14" customFormat="1" x14ac:dyDescent="0.25">
      <c r="A68" s="2"/>
      <c r="B68" s="4"/>
      <c r="C68" s="2" t="s">
        <v>99</v>
      </c>
      <c r="D68" s="14">
        <v>2159</v>
      </c>
      <c r="E68" s="14">
        <v>2065</v>
      </c>
      <c r="F68" s="14">
        <v>555</v>
      </c>
      <c r="G68" s="14">
        <v>-1737</v>
      </c>
      <c r="H68" s="14">
        <v>2364</v>
      </c>
      <c r="I68" s="14">
        <v>2101</v>
      </c>
      <c r="J68" s="14">
        <v>398</v>
      </c>
      <c r="K68" s="14">
        <v>-983</v>
      </c>
      <c r="L68" s="14">
        <v>1930</v>
      </c>
      <c r="M68" s="14">
        <v>1899</v>
      </c>
      <c r="N68" s="14">
        <v>52</v>
      </c>
      <c r="O68" s="14">
        <v>-1285</v>
      </c>
      <c r="P68" s="14">
        <v>1532</v>
      </c>
      <c r="Q68" s="14">
        <v>2063</v>
      </c>
      <c r="R68" s="14">
        <v>141</v>
      </c>
      <c r="S68" s="14">
        <v>-837</v>
      </c>
      <c r="T68" s="14">
        <v>1710</v>
      </c>
      <c r="U68" s="14">
        <v>1600</v>
      </c>
      <c r="X68" s="12"/>
      <c r="Y68" s="14">
        <f>1153+253</f>
        <v>1406</v>
      </c>
      <c r="Z68" s="14">
        <f>1164-91</f>
        <v>1073</v>
      </c>
      <c r="AA68" s="14">
        <f>1315-118</f>
        <v>1197</v>
      </c>
      <c r="AB68" s="14">
        <f>1930+676</f>
        <v>2606</v>
      </c>
      <c r="AC68" s="14">
        <f>2089+270</f>
        <v>2359</v>
      </c>
      <c r="AD68" s="14">
        <f>2537+807</f>
        <v>3344</v>
      </c>
      <c r="AE68" s="14">
        <f>2241+71</f>
        <v>2312</v>
      </c>
      <c r="AF68" s="14">
        <f>3342+637</f>
        <v>3979</v>
      </c>
      <c r="AG68" s="14">
        <f>3105+481</f>
        <v>3586</v>
      </c>
      <c r="AH68" s="14">
        <f>2908+446</f>
        <v>3354</v>
      </c>
      <c r="AI68" s="14">
        <v>3001</v>
      </c>
      <c r="AJ68" s="58"/>
    </row>
    <row r="69" spans="1:36" s="14" customFormat="1" x14ac:dyDescent="0.25">
      <c r="A69" s="2"/>
      <c r="B69" s="4"/>
      <c r="C69" s="2" t="s">
        <v>100</v>
      </c>
      <c r="D69" s="14">
        <v>662</v>
      </c>
      <c r="E69" s="14">
        <v>433</v>
      </c>
      <c r="F69" s="14">
        <v>646</v>
      </c>
      <c r="G69" s="14">
        <v>2239</v>
      </c>
      <c r="H69" s="14">
        <v>916</v>
      </c>
      <c r="I69" s="14">
        <v>994</v>
      </c>
      <c r="J69" s="14">
        <v>399</v>
      </c>
      <c r="K69" s="14">
        <v>1276</v>
      </c>
      <c r="L69" s="14">
        <v>900</v>
      </c>
      <c r="M69" s="14">
        <v>762</v>
      </c>
      <c r="N69" s="14">
        <v>592</v>
      </c>
      <c r="O69" s="14">
        <v>1101</v>
      </c>
      <c r="P69" s="14">
        <v>790</v>
      </c>
      <c r="Q69" s="14">
        <v>905</v>
      </c>
      <c r="R69" s="14">
        <v>711</v>
      </c>
      <c r="S69" s="14">
        <v>595</v>
      </c>
      <c r="T69" s="14">
        <v>888</v>
      </c>
      <c r="U69" s="14">
        <v>1196</v>
      </c>
      <c r="X69" s="12"/>
      <c r="Y69" s="14">
        <v>-27</v>
      </c>
      <c r="Z69" s="14">
        <v>-45</v>
      </c>
      <c r="AA69" s="14">
        <v>-52</v>
      </c>
      <c r="AB69" s="14">
        <v>-62</v>
      </c>
      <c r="AC69" s="14">
        <v>-272</v>
      </c>
      <c r="AD69" s="14">
        <v>-244</v>
      </c>
      <c r="AE69" s="14">
        <v>-192</v>
      </c>
      <c r="AF69" s="14">
        <v>-222</v>
      </c>
      <c r="AG69" s="14">
        <v>-565</v>
      </c>
      <c r="AH69" s="14">
        <v>-591</v>
      </c>
      <c r="AI69" s="14">
        <v>-583</v>
      </c>
      <c r="AJ69" s="58"/>
    </row>
    <row r="70" spans="1:36" s="14" customFormat="1" x14ac:dyDescent="0.25">
      <c r="A70" s="2"/>
      <c r="B70" s="4"/>
      <c r="C70" s="2" t="s">
        <v>101</v>
      </c>
      <c r="D70" s="14">
        <v>-44</v>
      </c>
      <c r="E70" s="14">
        <v>-29</v>
      </c>
      <c r="F70" s="14">
        <v>-39</v>
      </c>
      <c r="G70" s="14">
        <v>-111</v>
      </c>
      <c r="H70" s="14">
        <v>-88</v>
      </c>
      <c r="I70" s="14">
        <v>-60</v>
      </c>
      <c r="J70" s="14">
        <v>-143</v>
      </c>
      <c r="K70" s="14">
        <v>-274</v>
      </c>
      <c r="L70" s="14">
        <v>-75</v>
      </c>
      <c r="M70" s="14">
        <v>-116</v>
      </c>
      <c r="N70" s="14">
        <v>-88</v>
      </c>
      <c r="O70" s="14">
        <v>-314</v>
      </c>
      <c r="P70" s="14">
        <v>-154</v>
      </c>
      <c r="Q70" s="14">
        <v>-153</v>
      </c>
      <c r="R70" s="14">
        <v>-96</v>
      </c>
      <c r="S70" s="14">
        <v>-181</v>
      </c>
      <c r="T70" s="14">
        <v>-56</v>
      </c>
      <c r="U70" s="14">
        <v>-62</v>
      </c>
      <c r="X70" s="12"/>
      <c r="Y70" s="14">
        <v>-251</v>
      </c>
      <c r="Z70" s="14">
        <v>-353</v>
      </c>
      <c r="AA70" s="14">
        <v>-467</v>
      </c>
      <c r="AB70" s="14">
        <v>-448</v>
      </c>
      <c r="AC70" s="14">
        <v>-490</v>
      </c>
      <c r="AD70" s="14">
        <v>-327</v>
      </c>
      <c r="AE70" s="14">
        <v>-180</v>
      </c>
      <c r="AF70" s="14">
        <v>-247</v>
      </c>
      <c r="AG70" s="14">
        <v>-862</v>
      </c>
      <c r="AH70" s="14">
        <v>-745</v>
      </c>
      <c r="AI70" s="14">
        <v>-575</v>
      </c>
      <c r="AJ70" s="58"/>
    </row>
    <row r="71" spans="1:36" s="14" customFormat="1" x14ac:dyDescent="0.25">
      <c r="A71" s="2"/>
      <c r="B71" s="4"/>
      <c r="C71" s="2" t="s">
        <v>102</v>
      </c>
      <c r="D71" s="14">
        <v>-57</v>
      </c>
      <c r="E71" s="14">
        <v>-29</v>
      </c>
      <c r="F71" s="14">
        <v>-53</v>
      </c>
      <c r="G71" s="14">
        <v>-108</v>
      </c>
      <c r="H71" s="14">
        <v>-174</v>
      </c>
      <c r="I71" s="14">
        <v>-195</v>
      </c>
      <c r="J71" s="14">
        <v>-177</v>
      </c>
      <c r="K71" s="14">
        <v>-315</v>
      </c>
      <c r="L71" s="14">
        <v>-166</v>
      </c>
      <c r="M71" s="14">
        <v>-234</v>
      </c>
      <c r="N71" s="14">
        <v>-217</v>
      </c>
      <c r="O71" s="14">
        <v>-128</v>
      </c>
      <c r="P71" s="14">
        <v>-150</v>
      </c>
      <c r="Q71" s="14">
        <v>-156</v>
      </c>
      <c r="R71" s="14">
        <v>-141</v>
      </c>
      <c r="S71" s="14">
        <v>-128</v>
      </c>
      <c r="T71" s="14">
        <v>-173</v>
      </c>
      <c r="U71" s="14">
        <v>-249</v>
      </c>
      <c r="Y71" s="14">
        <v>-252</v>
      </c>
      <c r="Z71" s="14">
        <v>-280</v>
      </c>
      <c r="AA71" s="14">
        <v>-431</v>
      </c>
      <c r="AB71" s="14">
        <v>-970</v>
      </c>
      <c r="AC71" s="14">
        <v>-811</v>
      </c>
      <c r="AD71" s="14">
        <v>-291</v>
      </c>
      <c r="AE71" s="14">
        <v>-198</v>
      </c>
      <c r="AF71" s="14">
        <v>-2318</v>
      </c>
      <c r="AG71" s="14">
        <v>-493</v>
      </c>
      <c r="AH71" s="14">
        <v>-1017</v>
      </c>
      <c r="AI71" s="14">
        <v>-370</v>
      </c>
      <c r="AJ71" s="58"/>
    </row>
    <row r="72" spans="1:36" s="14" customFormat="1" x14ac:dyDescent="0.25">
      <c r="A72" s="2"/>
      <c r="B72" s="4"/>
      <c r="C72" s="2" t="s">
        <v>103</v>
      </c>
      <c r="D72" s="14">
        <v>-1013</v>
      </c>
      <c r="E72" s="14">
        <v>-451</v>
      </c>
      <c r="F72" s="14">
        <v>-548</v>
      </c>
      <c r="G72" s="14">
        <v>-305</v>
      </c>
      <c r="H72" s="14">
        <v>-620</v>
      </c>
      <c r="I72" s="14">
        <v>-205</v>
      </c>
      <c r="J72" s="14">
        <v>-99</v>
      </c>
      <c r="K72" s="14">
        <v>431</v>
      </c>
      <c r="L72" s="14">
        <v>-253</v>
      </c>
      <c r="M72" s="14">
        <v>-100</v>
      </c>
      <c r="N72" s="14">
        <v>-336</v>
      </c>
      <c r="O72" s="14">
        <v>-328</v>
      </c>
      <c r="P72" s="14">
        <v>-121</v>
      </c>
      <c r="Q72" s="14">
        <v>-133</v>
      </c>
      <c r="R72" s="14">
        <v>-56</v>
      </c>
      <c r="S72" s="14">
        <v>-60</v>
      </c>
      <c r="T72" s="14">
        <v>-82</v>
      </c>
      <c r="U72" s="14">
        <v>-208</v>
      </c>
      <c r="Y72" s="14">
        <f>-89-287-175-32</f>
        <v>-583</v>
      </c>
      <c r="Z72" s="14">
        <f>-821+56+537+170</f>
        <v>-58</v>
      </c>
      <c r="AA72" s="14">
        <f>-567-104+406-33</f>
        <v>-298</v>
      </c>
      <c r="AB72" s="14">
        <f>-1366-69+296-70</f>
        <v>-1209</v>
      </c>
      <c r="AC72" s="14">
        <f>627+114-656+347</f>
        <v>432</v>
      </c>
      <c r="AD72" s="14">
        <f>278+55+1014+584</f>
        <v>1931</v>
      </c>
      <c r="AE72" s="14">
        <f>-2695-528+1476-76</f>
        <v>-1823</v>
      </c>
      <c r="AF72" s="14">
        <f>-3832-1511-336-264</f>
        <v>-5943</v>
      </c>
      <c r="AG72" s="14">
        <f>1918+917-1579+264</f>
        <v>1520</v>
      </c>
      <c r="AH72" s="14">
        <f>3150-120+222-13</f>
        <v>3239</v>
      </c>
      <c r="AI72" s="14">
        <v>-168</v>
      </c>
      <c r="AJ72" s="58"/>
    </row>
    <row r="73" spans="1:36" s="14" customFormat="1" x14ac:dyDescent="0.25">
      <c r="A73" s="2"/>
      <c r="B73" s="4"/>
      <c r="C73" s="2" t="s">
        <v>104</v>
      </c>
      <c r="D73" s="14">
        <f>-847-4112+1146+1163</f>
        <v>-2650</v>
      </c>
      <c r="E73" s="14">
        <f>-372+643-596-280</f>
        <v>-605</v>
      </c>
      <c r="F73" s="14">
        <f>-599+1450-1224-271</f>
        <v>-644</v>
      </c>
      <c r="G73" s="14">
        <f>-2014+508+338-876</f>
        <v>-2044</v>
      </c>
      <c r="H73" s="14">
        <f>729-4062+479+1583</f>
        <v>-1271</v>
      </c>
      <c r="I73" s="14">
        <f>1509+1336-825+340</f>
        <v>2360</v>
      </c>
      <c r="J73" s="14">
        <f>532+2586-1878-912</f>
        <v>328</v>
      </c>
      <c r="K73" s="14">
        <f>-852+1057+645-747</f>
        <v>103</v>
      </c>
      <c r="L73" s="14">
        <f>778-5716+1164+898</f>
        <v>-2876</v>
      </c>
      <c r="M73" s="14">
        <f>2196+590-836+1</f>
        <v>1951</v>
      </c>
      <c r="N73" s="14">
        <f>923+4345-1540-487</f>
        <v>3241</v>
      </c>
      <c r="O73" s="14">
        <f>-748+662+1434-425</f>
        <v>923</v>
      </c>
      <c r="P73" s="14">
        <f>442-5347+1928+1218</f>
        <v>-1759</v>
      </c>
      <c r="Q73" s="14">
        <f>1085-171-744+130</f>
        <v>300</v>
      </c>
      <c r="R73" s="14">
        <f>-383+4990-1542-824</f>
        <v>2241</v>
      </c>
      <c r="S73" s="14">
        <f>-1872+647+607-332</f>
        <v>-950</v>
      </c>
      <c r="T73" s="14">
        <v>-3192</v>
      </c>
      <c r="U73" s="14">
        <v>1476</v>
      </c>
      <c r="Y73" s="12">
        <f t="shared" ref="Y73:AI73" si="99">SUM(Y67:Y72)</f>
        <v>3120</v>
      </c>
      <c r="Z73" s="12">
        <f t="shared" si="99"/>
        <v>3555</v>
      </c>
      <c r="AA73" s="12">
        <f t="shared" si="99"/>
        <v>3739</v>
      </c>
      <c r="AB73" s="12">
        <f t="shared" si="99"/>
        <v>1987</v>
      </c>
      <c r="AC73" s="12">
        <f t="shared" si="99"/>
        <v>4908</v>
      </c>
      <c r="AD73" s="12">
        <f t="shared" si="99"/>
        <v>8082</v>
      </c>
      <c r="AE73" s="12">
        <f t="shared" si="99"/>
        <v>5665</v>
      </c>
      <c r="AF73" s="12">
        <f t="shared" si="99"/>
        <v>-1708</v>
      </c>
      <c r="AG73" s="12">
        <f t="shared" si="99"/>
        <v>7066</v>
      </c>
      <c r="AH73" s="12">
        <f t="shared" si="99"/>
        <v>6837</v>
      </c>
      <c r="AI73" s="12">
        <f t="shared" si="99"/>
        <v>4204</v>
      </c>
      <c r="AJ73" s="58"/>
    </row>
    <row r="74" spans="1:36" s="14" customFormat="1" x14ac:dyDescent="0.25">
      <c r="A74" s="2"/>
      <c r="B74" s="4"/>
      <c r="C74" s="1" t="s">
        <v>105</v>
      </c>
      <c r="D74" s="12">
        <f t="shared" ref="D74:P74" si="100">SUM(D68:D73)</f>
        <v>-943</v>
      </c>
      <c r="E74" s="12">
        <f t="shared" si="100"/>
        <v>1384</v>
      </c>
      <c r="F74" s="12">
        <f t="shared" si="100"/>
        <v>-83</v>
      </c>
      <c r="G74" s="12">
        <f t="shared" si="100"/>
        <v>-2066</v>
      </c>
      <c r="H74" s="12">
        <f t="shared" si="100"/>
        <v>1127</v>
      </c>
      <c r="I74" s="12">
        <f t="shared" si="100"/>
        <v>4995</v>
      </c>
      <c r="J74" s="12">
        <f t="shared" si="100"/>
        <v>706</v>
      </c>
      <c r="K74" s="12">
        <f t="shared" si="100"/>
        <v>238</v>
      </c>
      <c r="L74" s="12">
        <f t="shared" si="100"/>
        <v>-540</v>
      </c>
      <c r="M74" s="12">
        <f t="shared" si="100"/>
        <v>4162</v>
      </c>
      <c r="N74" s="12">
        <f t="shared" si="100"/>
        <v>3244</v>
      </c>
      <c r="O74" s="12">
        <f t="shared" si="100"/>
        <v>-31</v>
      </c>
      <c r="P74" s="12">
        <f t="shared" si="100"/>
        <v>138</v>
      </c>
      <c r="Q74" s="12">
        <f>SUM(Q68:Q73)</f>
        <v>2826</v>
      </c>
      <c r="R74" s="12">
        <f t="shared" ref="R74:U74" si="101">SUM(R68:R73)</f>
        <v>2800</v>
      </c>
      <c r="S74" s="12">
        <f t="shared" si="101"/>
        <v>-1561</v>
      </c>
      <c r="T74" s="12">
        <f t="shared" si="101"/>
        <v>-905</v>
      </c>
      <c r="U74" s="12">
        <f t="shared" si="101"/>
        <v>3753</v>
      </c>
      <c r="V74" s="12"/>
      <c r="AJ74" s="58"/>
    </row>
    <row r="75" spans="1:36" s="14" customFormat="1" x14ac:dyDescent="0.25">
      <c r="A75" s="2"/>
      <c r="B75" s="4"/>
      <c r="C75" s="2"/>
      <c r="Y75" s="14">
        <v>-1325</v>
      </c>
      <c r="Z75" s="14">
        <v>-1830</v>
      </c>
      <c r="AA75" s="14">
        <v>-3869</v>
      </c>
      <c r="AB75" s="14">
        <v>-2472</v>
      </c>
      <c r="AC75" s="14">
        <v>-1939</v>
      </c>
      <c r="AD75" s="14">
        <v>-2395</v>
      </c>
      <c r="AE75" s="14">
        <v>-6376</v>
      </c>
      <c r="AF75" s="14">
        <v>-2301</v>
      </c>
      <c r="AG75" s="14">
        <v>-2652</v>
      </c>
      <c r="AH75" s="14">
        <f>-2465</f>
        <v>-2465</v>
      </c>
      <c r="AI75" s="14">
        <v>-1886</v>
      </c>
      <c r="AJ75" s="58"/>
    </row>
    <row r="76" spans="1:36" s="14" customFormat="1" x14ac:dyDescent="0.25">
      <c r="A76" s="2"/>
      <c r="B76" s="4"/>
      <c r="C76" s="2" t="s">
        <v>106</v>
      </c>
      <c r="D76" s="14">
        <v>-276</v>
      </c>
      <c r="E76" s="14">
        <v>-683</v>
      </c>
      <c r="F76" s="14">
        <v>-563</v>
      </c>
      <c r="G76" s="14">
        <v>-779</v>
      </c>
      <c r="H76" s="14">
        <v>-539</v>
      </c>
      <c r="I76" s="14">
        <v>-562</v>
      </c>
      <c r="J76" s="14">
        <v>-570</v>
      </c>
      <c r="K76" s="14">
        <v>-981</v>
      </c>
      <c r="L76" s="14">
        <v>-517</v>
      </c>
      <c r="M76" s="14">
        <v>-704</v>
      </c>
      <c r="N76" s="14">
        <v>-351</v>
      </c>
      <c r="O76" s="14">
        <v>-894</v>
      </c>
      <c r="P76" s="14">
        <v>-234</v>
      </c>
      <c r="Q76" s="14">
        <v>-626</v>
      </c>
      <c r="R76" s="14">
        <v>-468</v>
      </c>
      <c r="S76" s="14">
        <v>-558</v>
      </c>
      <c r="T76" s="14">
        <v>-384</v>
      </c>
      <c r="U76" s="14">
        <v>-466</v>
      </c>
      <c r="Y76" s="12">
        <f t="shared" ref="Y76:AI76" si="102">Y75</f>
        <v>-1325</v>
      </c>
      <c r="Z76" s="12">
        <f t="shared" si="102"/>
        <v>-1830</v>
      </c>
      <c r="AA76" s="12">
        <f t="shared" si="102"/>
        <v>-3869</v>
      </c>
      <c r="AB76" s="12">
        <f t="shared" si="102"/>
        <v>-2472</v>
      </c>
      <c r="AC76" s="12">
        <f t="shared" si="102"/>
        <v>-1939</v>
      </c>
      <c r="AD76" s="12">
        <f t="shared" si="102"/>
        <v>-2395</v>
      </c>
      <c r="AE76" s="12">
        <f t="shared" si="102"/>
        <v>-6376</v>
      </c>
      <c r="AF76" s="12">
        <f t="shared" si="102"/>
        <v>-2301</v>
      </c>
      <c r="AG76" s="12">
        <f t="shared" si="102"/>
        <v>-2652</v>
      </c>
      <c r="AH76" s="12">
        <f t="shared" si="102"/>
        <v>-2465</v>
      </c>
      <c r="AI76" s="12">
        <f t="shared" si="102"/>
        <v>-1886</v>
      </c>
      <c r="AJ76" s="58"/>
    </row>
    <row r="77" spans="1:36" s="14" customFormat="1" x14ac:dyDescent="0.25">
      <c r="A77" s="2"/>
      <c r="B77" s="4"/>
      <c r="C77" s="1" t="s">
        <v>107</v>
      </c>
      <c r="D77" s="12">
        <f t="shared" ref="D77:P77" si="103">D76</f>
        <v>-276</v>
      </c>
      <c r="E77" s="12">
        <f t="shared" si="103"/>
        <v>-683</v>
      </c>
      <c r="F77" s="12">
        <f t="shared" si="103"/>
        <v>-563</v>
      </c>
      <c r="G77" s="12">
        <f t="shared" si="103"/>
        <v>-779</v>
      </c>
      <c r="H77" s="12">
        <f t="shared" si="103"/>
        <v>-539</v>
      </c>
      <c r="I77" s="12">
        <f t="shared" si="103"/>
        <v>-562</v>
      </c>
      <c r="J77" s="12">
        <f t="shared" si="103"/>
        <v>-570</v>
      </c>
      <c r="K77" s="12">
        <f t="shared" si="103"/>
        <v>-981</v>
      </c>
      <c r="L77" s="12">
        <f t="shared" si="103"/>
        <v>-517</v>
      </c>
      <c r="M77" s="12">
        <f t="shared" si="103"/>
        <v>-704</v>
      </c>
      <c r="N77" s="12">
        <f t="shared" si="103"/>
        <v>-351</v>
      </c>
      <c r="O77" s="12">
        <f t="shared" si="103"/>
        <v>-894</v>
      </c>
      <c r="P77" s="12">
        <f t="shared" si="103"/>
        <v>-234</v>
      </c>
      <c r="Q77" s="12">
        <f>Q76</f>
        <v>-626</v>
      </c>
      <c r="R77" s="12">
        <f t="shared" ref="R77:U77" si="104">R76</f>
        <v>-468</v>
      </c>
      <c r="S77" s="12">
        <f t="shared" si="104"/>
        <v>-558</v>
      </c>
      <c r="T77" s="12">
        <f t="shared" si="104"/>
        <v>-384</v>
      </c>
      <c r="U77" s="12">
        <f t="shared" si="104"/>
        <v>-466</v>
      </c>
      <c r="V77" s="12"/>
      <c r="AJ77" s="58"/>
    </row>
    <row r="78" spans="1:36" s="14" customFormat="1" x14ac:dyDescent="0.25">
      <c r="A78" s="2"/>
      <c r="B78" s="4"/>
      <c r="C78" s="2"/>
      <c r="Y78" s="14">
        <v>-945</v>
      </c>
      <c r="Z78" s="14">
        <v>-944</v>
      </c>
      <c r="AA78" s="14">
        <v>-1114</v>
      </c>
      <c r="AB78" s="14">
        <v>-1286</v>
      </c>
      <c r="AC78" s="14">
        <v>-1287</v>
      </c>
      <c r="AD78" s="14">
        <v>-1288</v>
      </c>
      <c r="AE78" s="14">
        <v>-1375</v>
      </c>
      <c r="AF78" s="14">
        <v>-1711</v>
      </c>
      <c r="AG78" s="14">
        <v>-1714</v>
      </c>
      <c r="AH78" s="14">
        <v>-1715</v>
      </c>
      <c r="AI78" s="14">
        <v>-572</v>
      </c>
      <c r="AJ78" s="58"/>
    </row>
    <row r="79" spans="1:36" s="14" customFormat="1" x14ac:dyDescent="0.25">
      <c r="A79" s="2"/>
      <c r="B79" s="4"/>
      <c r="C79" s="2" t="s">
        <v>108</v>
      </c>
      <c r="D79" s="14">
        <v>0</v>
      </c>
      <c r="E79" s="14">
        <v>-570</v>
      </c>
      <c r="F79" s="14">
        <v>0</v>
      </c>
      <c r="G79" s="14">
        <v>-1141</v>
      </c>
      <c r="H79" s="14">
        <v>0</v>
      </c>
      <c r="I79" s="14">
        <v>-571</v>
      </c>
      <c r="J79" s="14">
        <v>0</v>
      </c>
      <c r="K79" s="14">
        <v>-1143</v>
      </c>
      <c r="L79" s="14">
        <v>0</v>
      </c>
      <c r="M79" s="14">
        <v>-570</v>
      </c>
      <c r="N79" s="14">
        <v>0</v>
      </c>
      <c r="O79" s="14">
        <v>-1144</v>
      </c>
      <c r="P79" s="14">
        <v>0</v>
      </c>
      <c r="Q79" s="14">
        <v>-286</v>
      </c>
      <c r="R79" s="14">
        <v>0</v>
      </c>
      <c r="S79" s="14">
        <v>-286</v>
      </c>
      <c r="T79" s="14">
        <v>0</v>
      </c>
      <c r="U79" s="14">
        <v>-284</v>
      </c>
      <c r="Y79" s="14">
        <v>-3</v>
      </c>
      <c r="Z79" s="14">
        <v>-1</v>
      </c>
      <c r="AA79" s="14">
        <v>-10</v>
      </c>
      <c r="AB79" s="14">
        <v>-6</v>
      </c>
      <c r="AC79" s="14">
        <v>-1</v>
      </c>
      <c r="AD79" s="14">
        <v>0</v>
      </c>
      <c r="AE79" s="14">
        <v>-2</v>
      </c>
      <c r="AF79" s="14">
        <v>-2</v>
      </c>
      <c r="AG79" s="14">
        <v>-2</v>
      </c>
      <c r="AH79" s="14">
        <v>0</v>
      </c>
      <c r="AI79" s="14">
        <v>-1</v>
      </c>
      <c r="AJ79" s="58"/>
    </row>
    <row r="80" spans="1:36" s="14" customFormat="1" x14ac:dyDescent="0.25">
      <c r="A80" s="2"/>
      <c r="B80" s="4"/>
      <c r="C80" s="2" t="s">
        <v>109</v>
      </c>
      <c r="D80" s="14">
        <v>0</v>
      </c>
      <c r="E80" s="14">
        <v>-1</v>
      </c>
      <c r="F80" s="14">
        <v>0</v>
      </c>
      <c r="G80" s="14">
        <v>0</v>
      </c>
      <c r="H80" s="14">
        <v>0</v>
      </c>
      <c r="I80" s="14">
        <v>-2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-1</v>
      </c>
      <c r="R80" s="14">
        <v>0</v>
      </c>
      <c r="S80" s="14">
        <v>0</v>
      </c>
      <c r="T80" s="14">
        <v>0</v>
      </c>
      <c r="U80" s="14">
        <v>-1</v>
      </c>
      <c r="Y80" s="14">
        <f>946-938</f>
        <v>8</v>
      </c>
      <c r="Z80" s="14">
        <f>1791-2100</f>
        <v>-309</v>
      </c>
      <c r="AA80" s="14">
        <f>2412-1453</f>
        <v>959</v>
      </c>
      <c r="AB80" s="14">
        <f>4875-2950</f>
        <v>1925</v>
      </c>
      <c r="AC80" s="14">
        <f>3577-3466</f>
        <v>111</v>
      </c>
      <c r="AD80" s="14">
        <f>2601-2609</f>
        <v>-8</v>
      </c>
      <c r="AE80" s="14">
        <f>2100-3803</f>
        <v>-1703</v>
      </c>
      <c r="AF80" s="14">
        <f>10796-2543</f>
        <v>8253</v>
      </c>
      <c r="AG80" s="14">
        <f>5585-7650</f>
        <v>-2065</v>
      </c>
      <c r="AH80" s="14">
        <f>5735-7882</f>
        <v>-2147</v>
      </c>
      <c r="AI80" s="14">
        <v>-1414</v>
      </c>
      <c r="AJ80" s="58"/>
    </row>
    <row r="81" spans="1:36" s="14" customFormat="1" x14ac:dyDescent="0.25">
      <c r="A81" s="2"/>
      <c r="B81" s="4"/>
      <c r="C81" s="2" t="s">
        <v>110</v>
      </c>
      <c r="D81" s="14">
        <v>0</v>
      </c>
      <c r="E81" s="14">
        <v>113</v>
      </c>
      <c r="F81" s="14">
        <v>0</v>
      </c>
      <c r="G81" s="14">
        <v>0</v>
      </c>
      <c r="H81" s="14">
        <v>0</v>
      </c>
      <c r="I81" s="14">
        <v>-2229</v>
      </c>
      <c r="J81" s="14">
        <v>-1024</v>
      </c>
      <c r="K81" s="14">
        <v>1392</v>
      </c>
      <c r="L81" s="14">
        <v>971</v>
      </c>
      <c r="M81" s="14">
        <v>-2370</v>
      </c>
      <c r="N81" s="14">
        <v>-1398</v>
      </c>
      <c r="O81" s="14">
        <v>651</v>
      </c>
      <c r="P81" s="14">
        <v>1165</v>
      </c>
      <c r="Q81" s="14">
        <v>-1320</v>
      </c>
      <c r="R81" s="14">
        <v>-1759</v>
      </c>
      <c r="S81" s="14">
        <v>500</v>
      </c>
      <c r="T81" s="14">
        <v>1098</v>
      </c>
      <c r="U81" s="14">
        <v>-999</v>
      </c>
      <c r="Y81" s="14">
        <f>-774-63</f>
        <v>-837</v>
      </c>
      <c r="Z81" s="14">
        <f>-239-29</f>
        <v>-268</v>
      </c>
      <c r="AA81" s="14">
        <f>98+55+155</f>
        <v>308</v>
      </c>
      <c r="AB81" s="14">
        <f>-1053+332</f>
        <v>-721</v>
      </c>
      <c r="AC81" s="14">
        <f>-447+194-1017</f>
        <v>-1270</v>
      </c>
      <c r="AD81" s="14">
        <f>-461+1003-529</f>
        <v>13</v>
      </c>
      <c r="AE81" s="14">
        <f>-478+63+137</f>
        <v>-278</v>
      </c>
      <c r="AF81" s="14">
        <f>-540-2131+105</f>
        <v>-2566</v>
      </c>
      <c r="AG81" s="14">
        <f>-744-157-478</f>
        <v>-1379</v>
      </c>
      <c r="AH81" s="14">
        <f>-748+574+52</f>
        <v>-122</v>
      </c>
      <c r="AI81" s="14">
        <v>-475</v>
      </c>
      <c r="AJ81" s="58"/>
    </row>
    <row r="82" spans="1:36" s="14" customFormat="1" x14ac:dyDescent="0.25">
      <c r="A82" s="2"/>
      <c r="B82" s="4"/>
      <c r="C82" s="2" t="s">
        <v>111</v>
      </c>
      <c r="D82" s="14">
        <v>1626</v>
      </c>
      <c r="E82" s="14">
        <v>-566</v>
      </c>
      <c r="F82" s="14">
        <v>540</v>
      </c>
      <c r="G82" s="14">
        <v>3975</v>
      </c>
      <c r="H82" s="14">
        <v>-337</v>
      </c>
      <c r="I82" s="14">
        <v>-279</v>
      </c>
      <c r="J82" s="14">
        <v>-850</v>
      </c>
      <c r="K82" s="14">
        <v>-119</v>
      </c>
      <c r="L82" s="14">
        <v>393</v>
      </c>
      <c r="M82" s="14">
        <v>-337</v>
      </c>
      <c r="N82" s="14">
        <v>-74</v>
      </c>
      <c r="O82" s="14">
        <v>-103</v>
      </c>
      <c r="P82" s="14">
        <v>-1010</v>
      </c>
      <c r="Q82" s="14">
        <v>952</v>
      </c>
      <c r="R82" s="14">
        <v>-145</v>
      </c>
      <c r="S82" s="14">
        <v>-272</v>
      </c>
      <c r="T82" s="14">
        <v>133</v>
      </c>
      <c r="U82" s="14">
        <v>-318</v>
      </c>
      <c r="Y82" s="12">
        <f t="shared" ref="Y82:AI82" si="105">SUM(Y78:Y81)</f>
        <v>-1777</v>
      </c>
      <c r="Z82" s="12">
        <f t="shared" si="105"/>
        <v>-1522</v>
      </c>
      <c r="AA82" s="12">
        <f t="shared" si="105"/>
        <v>143</v>
      </c>
      <c r="AB82" s="12">
        <f t="shared" si="105"/>
        <v>-88</v>
      </c>
      <c r="AC82" s="12">
        <f t="shared" si="105"/>
        <v>-2447</v>
      </c>
      <c r="AD82" s="12">
        <f t="shared" si="105"/>
        <v>-1283</v>
      </c>
      <c r="AE82" s="12">
        <f t="shared" si="105"/>
        <v>-3358</v>
      </c>
      <c r="AF82" s="12">
        <f t="shared" si="105"/>
        <v>3974</v>
      </c>
      <c r="AG82" s="12">
        <f t="shared" si="105"/>
        <v>-5160</v>
      </c>
      <c r="AH82" s="12">
        <f t="shared" si="105"/>
        <v>-3984</v>
      </c>
      <c r="AI82" s="12">
        <f t="shared" si="105"/>
        <v>-2462</v>
      </c>
      <c r="AJ82" s="58"/>
    </row>
    <row r="83" spans="1:36" s="14" customFormat="1" x14ac:dyDescent="0.25">
      <c r="A83" s="2"/>
      <c r="B83" s="4"/>
      <c r="C83" s="1" t="s">
        <v>112</v>
      </c>
      <c r="D83" s="12">
        <f t="shared" ref="D83:P83" si="106">SUM(D79:D82)</f>
        <v>1626</v>
      </c>
      <c r="E83" s="12">
        <f t="shared" si="106"/>
        <v>-1024</v>
      </c>
      <c r="F83" s="12">
        <f t="shared" si="106"/>
        <v>540</v>
      </c>
      <c r="G83" s="12">
        <f>SUM(G79:G82)</f>
        <v>2834</v>
      </c>
      <c r="H83" s="12">
        <f t="shared" si="106"/>
        <v>-337</v>
      </c>
      <c r="I83" s="12">
        <f t="shared" si="106"/>
        <v>-3081</v>
      </c>
      <c r="J83" s="12">
        <f t="shared" si="106"/>
        <v>-1874</v>
      </c>
      <c r="K83" s="12">
        <f t="shared" si="106"/>
        <v>130</v>
      </c>
      <c r="L83" s="12">
        <f t="shared" si="106"/>
        <v>1364</v>
      </c>
      <c r="M83" s="12">
        <f t="shared" si="106"/>
        <v>-3277</v>
      </c>
      <c r="N83" s="12">
        <f t="shared" si="106"/>
        <v>-1472</v>
      </c>
      <c r="O83" s="12">
        <f t="shared" si="106"/>
        <v>-596</v>
      </c>
      <c r="P83" s="12">
        <f t="shared" si="106"/>
        <v>155</v>
      </c>
      <c r="Q83" s="12">
        <f>SUM(Q79:Q82)</f>
        <v>-655</v>
      </c>
      <c r="R83" s="12">
        <f t="shared" ref="R83:U83" si="107">SUM(R79:R82)</f>
        <v>-1904</v>
      </c>
      <c r="S83" s="12">
        <f t="shared" si="107"/>
        <v>-58</v>
      </c>
      <c r="T83" s="12">
        <f t="shared" si="107"/>
        <v>1231</v>
      </c>
      <c r="U83" s="12">
        <f t="shared" si="107"/>
        <v>-1602</v>
      </c>
      <c r="V83" s="12"/>
      <c r="X83" s="12"/>
      <c r="AJ83" s="58"/>
    </row>
    <row r="84" spans="1:36" s="14" customFormat="1" x14ac:dyDescent="0.25">
      <c r="A84" s="2"/>
      <c r="B84" s="4"/>
      <c r="C84" s="2"/>
      <c r="Y84" s="14">
        <v>25</v>
      </c>
      <c r="Z84" s="14">
        <v>112</v>
      </c>
      <c r="AA84" s="14">
        <v>-78</v>
      </c>
      <c r="AB84" s="14">
        <v>47</v>
      </c>
      <c r="AC84" s="14">
        <v>43</v>
      </c>
      <c r="AD84" s="14">
        <v>-162</v>
      </c>
      <c r="AE84" s="14">
        <v>126</v>
      </c>
      <c r="AF84" s="14">
        <v>154</v>
      </c>
      <c r="AG84" s="14">
        <v>-55</v>
      </c>
      <c r="AH84" s="14">
        <v>55</v>
      </c>
      <c r="AI84" s="14">
        <v>-117</v>
      </c>
      <c r="AJ84" s="58"/>
    </row>
    <row r="85" spans="1:36" s="14" customFormat="1" x14ac:dyDescent="0.25">
      <c r="A85" s="2"/>
      <c r="B85" s="4"/>
      <c r="C85" s="2" t="s">
        <v>113</v>
      </c>
      <c r="D85" s="14">
        <v>44</v>
      </c>
      <c r="E85" s="14">
        <v>226</v>
      </c>
      <c r="F85" s="14">
        <v>-31</v>
      </c>
      <c r="G85" s="14">
        <v>-84</v>
      </c>
      <c r="H85" s="14">
        <v>-8</v>
      </c>
      <c r="I85" s="14">
        <v>-608</v>
      </c>
      <c r="J85" s="14">
        <v>-58</v>
      </c>
      <c r="K85" s="14">
        <v>-57</v>
      </c>
      <c r="L85" s="14">
        <v>64</v>
      </c>
      <c r="M85" s="14">
        <v>-19</v>
      </c>
      <c r="N85" s="14">
        <v>-52</v>
      </c>
      <c r="O85" s="14">
        <v>63</v>
      </c>
      <c r="P85" s="14">
        <v>-110</v>
      </c>
      <c r="Q85" s="14">
        <v>13</v>
      </c>
      <c r="R85" s="14">
        <v>-8</v>
      </c>
      <c r="S85" s="14">
        <v>-12</v>
      </c>
      <c r="T85" s="14">
        <v>33</v>
      </c>
      <c r="U85" s="14">
        <v>62</v>
      </c>
      <c r="AJ85" s="58"/>
    </row>
    <row r="86" spans="1:36" s="14" customFormat="1" x14ac:dyDescent="0.25">
      <c r="A86" s="2"/>
      <c r="B86" s="4"/>
      <c r="C86" s="2"/>
      <c r="Y86" s="14">
        <f t="shared" ref="Y86:AH86" si="108">Y73+Y76+Y82+Y84</f>
        <v>43</v>
      </c>
      <c r="Z86" s="14">
        <f t="shared" si="108"/>
        <v>315</v>
      </c>
      <c r="AA86" s="14">
        <f t="shared" si="108"/>
        <v>-65</v>
      </c>
      <c r="AB86" s="14">
        <f t="shared" si="108"/>
        <v>-526</v>
      </c>
      <c r="AC86" s="14">
        <f t="shared" si="108"/>
        <v>565</v>
      </c>
      <c r="AD86" s="14">
        <f t="shared" si="108"/>
        <v>4242</v>
      </c>
      <c r="AE86" s="14">
        <f t="shared" si="108"/>
        <v>-3943</v>
      </c>
      <c r="AF86" s="14">
        <f t="shared" si="108"/>
        <v>119</v>
      </c>
      <c r="AG86" s="14">
        <f t="shared" si="108"/>
        <v>-801</v>
      </c>
      <c r="AH86" s="14">
        <f t="shared" si="108"/>
        <v>443</v>
      </c>
      <c r="AI86" s="14">
        <f t="shared" ref="AI86" si="109">AI73+AI76+AI82+AI84</f>
        <v>-261</v>
      </c>
      <c r="AJ86" s="58"/>
    </row>
    <row r="87" spans="1:36" s="14" customFormat="1" x14ac:dyDescent="0.25">
      <c r="A87" s="2"/>
      <c r="B87" s="4"/>
      <c r="C87" s="2" t="s">
        <v>114</v>
      </c>
      <c r="D87" s="14">
        <f t="shared" ref="D87:P87" si="110">D74+D77+D83+D85</f>
        <v>451</v>
      </c>
      <c r="E87" s="14">
        <f t="shared" si="110"/>
        <v>-97</v>
      </c>
      <c r="F87" s="14">
        <f t="shared" si="110"/>
        <v>-137</v>
      </c>
      <c r="G87" s="14">
        <f t="shared" si="110"/>
        <v>-95</v>
      </c>
      <c r="H87" s="14">
        <f t="shared" si="110"/>
        <v>243</v>
      </c>
      <c r="I87" s="14">
        <f t="shared" si="110"/>
        <v>744</v>
      </c>
      <c r="J87" s="14">
        <f t="shared" si="110"/>
        <v>-1796</v>
      </c>
      <c r="K87" s="14">
        <f t="shared" si="110"/>
        <v>-670</v>
      </c>
      <c r="L87" s="14">
        <f t="shared" si="110"/>
        <v>371</v>
      </c>
      <c r="M87" s="14">
        <f t="shared" si="110"/>
        <v>162</v>
      </c>
      <c r="N87" s="14">
        <f t="shared" si="110"/>
        <v>1369</v>
      </c>
      <c r="O87" s="14">
        <f t="shared" si="110"/>
        <v>-1458</v>
      </c>
      <c r="P87" s="14">
        <f t="shared" si="110"/>
        <v>-51</v>
      </c>
      <c r="Q87" s="14">
        <f>Q74+Q77+Q83+Q85</f>
        <v>1558</v>
      </c>
      <c r="R87" s="14">
        <f t="shared" ref="R87:T87" si="111">R74+R77+R83+R85</f>
        <v>420</v>
      </c>
      <c r="S87" s="14">
        <f t="shared" si="111"/>
        <v>-2189</v>
      </c>
      <c r="T87" s="14">
        <f t="shared" si="111"/>
        <v>-25</v>
      </c>
      <c r="U87" s="14">
        <f t="shared" ref="U87" si="112">U74+U77+U83+U85</f>
        <v>1747</v>
      </c>
      <c r="AJ87" s="58"/>
    </row>
    <row r="88" spans="1:36" s="14" customFormat="1" x14ac:dyDescent="0.25">
      <c r="A88" s="2"/>
      <c r="B88" s="4"/>
      <c r="C88" s="2"/>
      <c r="Y88" s="14">
        <f t="shared" ref="Y88:AH88" si="113">Y73+Y75</f>
        <v>1795</v>
      </c>
      <c r="Z88" s="14">
        <f t="shared" si="113"/>
        <v>1725</v>
      </c>
      <c r="AA88" s="14">
        <f t="shared" si="113"/>
        <v>-130</v>
      </c>
      <c r="AB88" s="14">
        <f t="shared" si="113"/>
        <v>-485</v>
      </c>
      <c r="AC88" s="14">
        <f t="shared" si="113"/>
        <v>2969</v>
      </c>
      <c r="AD88" s="14">
        <f t="shared" si="113"/>
        <v>5687</v>
      </c>
      <c r="AE88" s="14">
        <f t="shared" si="113"/>
        <v>-711</v>
      </c>
      <c r="AF88" s="14">
        <f t="shared" si="113"/>
        <v>-4009</v>
      </c>
      <c r="AG88" s="14">
        <f t="shared" si="113"/>
        <v>4414</v>
      </c>
      <c r="AH88" s="14">
        <f t="shared" si="113"/>
        <v>4372</v>
      </c>
      <c r="AI88" s="14">
        <f t="shared" ref="AI88" si="114">AI73+AI75</f>
        <v>2318</v>
      </c>
      <c r="AJ88" s="58"/>
    </row>
    <row r="89" spans="1:36" s="14" customFormat="1" x14ac:dyDescent="0.25">
      <c r="A89" s="2"/>
      <c r="B89" s="4"/>
      <c r="C89" s="2" t="s">
        <v>115</v>
      </c>
      <c r="D89" s="14">
        <f t="shared" ref="D89:P89" si="115">D74+D76</f>
        <v>-1219</v>
      </c>
      <c r="E89" s="14">
        <f t="shared" si="115"/>
        <v>701</v>
      </c>
      <c r="F89" s="14">
        <f t="shared" si="115"/>
        <v>-646</v>
      </c>
      <c r="G89" s="14">
        <f t="shared" si="115"/>
        <v>-2845</v>
      </c>
      <c r="H89" s="14">
        <f t="shared" si="115"/>
        <v>588</v>
      </c>
      <c r="I89" s="14">
        <f t="shared" si="115"/>
        <v>4433</v>
      </c>
      <c r="J89" s="14">
        <f t="shared" si="115"/>
        <v>136</v>
      </c>
      <c r="K89" s="14">
        <f t="shared" si="115"/>
        <v>-743</v>
      </c>
      <c r="L89" s="14">
        <f t="shared" si="115"/>
        <v>-1057</v>
      </c>
      <c r="M89" s="14">
        <f t="shared" si="115"/>
        <v>3458</v>
      </c>
      <c r="N89" s="14">
        <f t="shared" si="115"/>
        <v>2893</v>
      </c>
      <c r="O89" s="14">
        <f t="shared" si="115"/>
        <v>-925</v>
      </c>
      <c r="P89" s="14">
        <f t="shared" si="115"/>
        <v>-96</v>
      </c>
      <c r="Q89" s="14">
        <f>Q74+Q76</f>
        <v>2200</v>
      </c>
      <c r="R89" s="14">
        <f t="shared" ref="R89:T89" si="116">R74+R76</f>
        <v>2332</v>
      </c>
      <c r="S89" s="14">
        <f t="shared" si="116"/>
        <v>-2119</v>
      </c>
      <c r="T89" s="14">
        <f t="shared" si="116"/>
        <v>-1289</v>
      </c>
      <c r="U89" s="14">
        <f t="shared" ref="U89" si="117">U74+U76</f>
        <v>3287</v>
      </c>
      <c r="AJ89" s="58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C21"/>
  <sheetViews>
    <sheetView showGridLines="0" tabSelected="1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AC12" sqref="AC12:AC18"/>
    </sheetView>
  </sheetViews>
  <sheetFormatPr baseColWidth="10" defaultRowHeight="19" x14ac:dyDescent="0.25"/>
  <cols>
    <col min="1" max="1" width="10.83203125" style="2"/>
    <col min="2" max="2" width="21.1640625" style="2" customWidth="1"/>
    <col min="3" max="16384" width="10.83203125" style="2"/>
  </cols>
  <sheetData>
    <row r="3" spans="2:29" x14ac:dyDescent="0.25">
      <c r="B3" s="2" t="s">
        <v>50</v>
      </c>
      <c r="C3" s="7" t="s">
        <v>3</v>
      </c>
      <c r="D3" s="7" t="s">
        <v>4</v>
      </c>
      <c r="E3" s="7" t="s">
        <v>5</v>
      </c>
      <c r="F3" s="7" t="s">
        <v>6</v>
      </c>
      <c r="G3" s="32">
        <v>2022</v>
      </c>
      <c r="H3" s="7" t="s">
        <v>7</v>
      </c>
      <c r="I3" s="7" t="s">
        <v>8</v>
      </c>
      <c r="J3" s="7" t="s">
        <v>9</v>
      </c>
      <c r="K3" s="7" t="s">
        <v>10</v>
      </c>
      <c r="L3" s="32">
        <v>2023</v>
      </c>
      <c r="M3" s="7" t="s">
        <v>11</v>
      </c>
      <c r="N3" s="7" t="s">
        <v>12</v>
      </c>
      <c r="O3" s="7" t="s">
        <v>13</v>
      </c>
      <c r="P3" s="7" t="s">
        <v>14</v>
      </c>
      <c r="Q3" s="32">
        <v>2024</v>
      </c>
      <c r="R3" s="7" t="s">
        <v>37</v>
      </c>
      <c r="S3" s="7" t="s">
        <v>31</v>
      </c>
      <c r="T3" s="7" t="s">
        <v>35</v>
      </c>
      <c r="U3" s="7" t="s">
        <v>36</v>
      </c>
      <c r="V3" s="33">
        <v>2025</v>
      </c>
      <c r="W3" s="7" t="s">
        <v>136</v>
      </c>
      <c r="X3" s="7" t="s">
        <v>137</v>
      </c>
      <c r="Y3" s="7" t="s">
        <v>138</v>
      </c>
      <c r="Z3" s="7" t="s">
        <v>139</v>
      </c>
      <c r="AA3" s="33">
        <v>2026</v>
      </c>
    </row>
    <row r="4" spans="2:29" x14ac:dyDescent="0.25">
      <c r="B4" s="1" t="s">
        <v>122</v>
      </c>
      <c r="G4" s="33"/>
      <c r="L4" s="33"/>
      <c r="Q4" s="33"/>
      <c r="V4" s="33"/>
      <c r="AA4" s="33"/>
    </row>
    <row r="5" spans="2:29" x14ac:dyDescent="0.25">
      <c r="B5" s="2" t="s">
        <v>123</v>
      </c>
      <c r="C5" s="14">
        <v>8701</v>
      </c>
      <c r="D5" s="14">
        <v>8826</v>
      </c>
      <c r="E5" s="14">
        <v>7761</v>
      </c>
      <c r="F5" s="14">
        <v>6793</v>
      </c>
      <c r="G5" s="43">
        <f>SUM(C5:F5)</f>
        <v>32081</v>
      </c>
      <c r="H5" s="14">
        <v>10656</v>
      </c>
      <c r="I5" s="14">
        <v>9722</v>
      </c>
      <c r="J5" s="14">
        <v>6123</v>
      </c>
      <c r="K5" s="14">
        <v>5257</v>
      </c>
      <c r="L5" s="43">
        <f>SUM(H5:K5)</f>
        <v>31758</v>
      </c>
      <c r="M5" s="14">
        <v>8272</v>
      </c>
      <c r="N5" s="14">
        <v>8722</v>
      </c>
      <c r="O5" s="14">
        <v>5825</v>
      </c>
      <c r="P5" s="14">
        <v>5332</v>
      </c>
      <c r="Q5" s="43">
        <f>SUM(M5:P5)</f>
        <v>28151</v>
      </c>
      <c r="R5" s="14">
        <v>8768</v>
      </c>
      <c r="S5" s="14">
        <v>8701</v>
      </c>
      <c r="T5" s="14">
        <v>5594</v>
      </c>
      <c r="U5" s="14">
        <v>4725</v>
      </c>
      <c r="V5" s="43">
        <f>SUM(R5:U5)</f>
        <v>27788</v>
      </c>
      <c r="W5" s="14">
        <v>8468</v>
      </c>
      <c r="X5" s="14">
        <v>8338</v>
      </c>
      <c r="Y5" s="14"/>
      <c r="Z5" s="14"/>
      <c r="AA5" s="43">
        <f>SUM(W5:Z5)</f>
        <v>16806</v>
      </c>
    </row>
    <row r="6" spans="2:29" x14ac:dyDescent="0.25">
      <c r="B6" s="11" t="s">
        <v>124</v>
      </c>
      <c r="C6" s="29"/>
      <c r="D6" s="29"/>
      <c r="E6" s="29"/>
      <c r="F6" s="29"/>
      <c r="G6" s="34"/>
      <c r="H6" s="29">
        <f t="shared" ref="H6:R6" si="0">(H5-C5)/C5</f>
        <v>0.2246868176071716</v>
      </c>
      <c r="I6" s="29">
        <f t="shared" si="0"/>
        <v>0.10151824155903014</v>
      </c>
      <c r="J6" s="29">
        <f t="shared" si="0"/>
        <v>-0.21105527638190955</v>
      </c>
      <c r="K6" s="29">
        <f t="shared" si="0"/>
        <v>-0.22611511850434271</v>
      </c>
      <c r="L6" s="34">
        <f t="shared" si="0"/>
        <v>-1.0068264704965557E-2</v>
      </c>
      <c r="M6" s="29">
        <f t="shared" si="0"/>
        <v>-0.22372372372372373</v>
      </c>
      <c r="N6" s="29">
        <f t="shared" si="0"/>
        <v>-0.10285949393128986</v>
      </c>
      <c r="O6" s="29">
        <f t="shared" si="0"/>
        <v>-4.8668953127551852E-2</v>
      </c>
      <c r="P6" s="29">
        <f t="shared" si="0"/>
        <v>1.426669202967472E-2</v>
      </c>
      <c r="Q6" s="34">
        <f t="shared" si="0"/>
        <v>-0.11357768121418226</v>
      </c>
      <c r="R6" s="29">
        <f t="shared" si="0"/>
        <v>5.9961315280464215E-2</v>
      </c>
      <c r="S6" s="29">
        <f>(S5-N5)/N5</f>
        <v>-2.407704654895666E-3</v>
      </c>
      <c r="T6" s="29">
        <f t="shared" ref="T6:V6" si="1">(T5-O5)/O5</f>
        <v>-3.9656652360515021E-2</v>
      </c>
      <c r="U6" s="29">
        <f t="shared" si="1"/>
        <v>-0.11384096024006002</v>
      </c>
      <c r="V6" s="34">
        <f t="shared" si="1"/>
        <v>-1.2894746190188626E-2</v>
      </c>
      <c r="W6" s="29">
        <f t="shared" ref="W6" si="2">(W5-R5)/R5</f>
        <v>-3.4215328467153285E-2</v>
      </c>
      <c r="X6" s="29">
        <f>(X5-S5)/S5</f>
        <v>-4.1719342604298354E-2</v>
      </c>
      <c r="Y6" s="29">
        <f t="shared" ref="Y6" si="3">(Y5-T5)/T5</f>
        <v>-1</v>
      </c>
      <c r="Z6" s="29">
        <f t="shared" ref="Z6" si="4">(Z5-U5)/U5</f>
        <v>-1</v>
      </c>
      <c r="AA6" s="34">
        <f t="shared" ref="AA6" si="5">(AA5-V5)/V5</f>
        <v>-0.3952065639844537</v>
      </c>
    </row>
    <row r="7" spans="2:29" x14ac:dyDescent="0.25">
      <c r="B7" s="11" t="s">
        <v>133</v>
      </c>
      <c r="C7" s="29">
        <v>-7.0000000000000007E-2</v>
      </c>
      <c r="D7" s="29">
        <v>-0.08</v>
      </c>
      <c r="E7" s="29">
        <v>0.09</v>
      </c>
      <c r="F7" s="29">
        <v>0.15</v>
      </c>
      <c r="G7" s="34"/>
      <c r="H7" s="29">
        <v>0.14000000000000001</v>
      </c>
      <c r="I7" s="29">
        <v>0.03</v>
      </c>
      <c r="J7" s="29">
        <v>-0.21</v>
      </c>
      <c r="K7" s="29">
        <v>-0.21</v>
      </c>
      <c r="L7" s="34"/>
      <c r="M7" s="29">
        <v>-0.17</v>
      </c>
      <c r="N7" s="29">
        <v>-0.06</v>
      </c>
      <c r="O7" s="29">
        <v>-0.01</v>
      </c>
      <c r="P7" s="29">
        <v>0</v>
      </c>
      <c r="Q7" s="34"/>
      <c r="R7" s="29">
        <v>0.06</v>
      </c>
      <c r="S7" s="29">
        <v>0.05</v>
      </c>
      <c r="T7" s="29">
        <v>0.01</v>
      </c>
      <c r="U7" s="29">
        <v>-0.03</v>
      </c>
      <c r="V7" s="34"/>
      <c r="W7" s="29">
        <v>0.03</v>
      </c>
      <c r="X7" s="29">
        <v>-0.03</v>
      </c>
      <c r="Y7" s="29"/>
      <c r="Z7" s="29"/>
      <c r="AA7" s="34"/>
    </row>
    <row r="8" spans="2:29" x14ac:dyDescent="0.25">
      <c r="B8" s="2" t="s">
        <v>61</v>
      </c>
      <c r="C8" s="14">
        <v>1392</v>
      </c>
      <c r="D8" s="14">
        <v>1107</v>
      </c>
      <c r="E8" s="14">
        <v>560</v>
      </c>
      <c r="F8" s="14">
        <v>-1252</v>
      </c>
      <c r="G8" s="43">
        <f>SUM(C8:F8)</f>
        <v>1807</v>
      </c>
      <c r="H8" s="14">
        <v>1670</v>
      </c>
      <c r="I8" s="14">
        <v>1123</v>
      </c>
      <c r="J8" s="14">
        <v>291</v>
      </c>
      <c r="K8" s="14">
        <v>-379</v>
      </c>
      <c r="L8" s="43">
        <f>SUM(H8:K8)</f>
        <v>2705</v>
      </c>
      <c r="M8" s="14">
        <v>1191</v>
      </c>
      <c r="N8" s="14">
        <v>1145</v>
      </c>
      <c r="O8" s="14">
        <v>144</v>
      </c>
      <c r="P8" s="14">
        <v>-414</v>
      </c>
      <c r="Q8" s="43">
        <f>SUM(M8:P8)</f>
        <v>2066</v>
      </c>
      <c r="R8" s="14">
        <v>1107</v>
      </c>
      <c r="S8" s="14">
        <v>1145</v>
      </c>
      <c r="T8" s="14">
        <v>222</v>
      </c>
      <c r="U8" s="14">
        <v>-327</v>
      </c>
      <c r="V8" s="43">
        <f>SUM(R8:U8)</f>
        <v>2147</v>
      </c>
      <c r="W8" s="14">
        <v>1308</v>
      </c>
      <c r="X8" s="14">
        <v>1099</v>
      </c>
      <c r="Y8" s="14"/>
      <c r="Z8" s="14"/>
      <c r="AA8" s="43">
        <f>SUM(W8:Z8)</f>
        <v>2407</v>
      </c>
      <c r="AC8" s="14"/>
    </row>
    <row r="9" spans="2:29" x14ac:dyDescent="0.25">
      <c r="B9" s="30" t="s">
        <v>125</v>
      </c>
      <c r="C9" s="31">
        <f t="shared" ref="C9:V9" si="6">C8/C5</f>
        <v>0.15998161130904492</v>
      </c>
      <c r="D9" s="31">
        <f t="shared" si="6"/>
        <v>0.12542488103331068</v>
      </c>
      <c r="E9" s="31">
        <f t="shared" si="6"/>
        <v>7.2155650045097275E-2</v>
      </c>
      <c r="F9" s="31">
        <f t="shared" si="6"/>
        <v>-0.18430737523921684</v>
      </c>
      <c r="G9" s="35">
        <f t="shared" si="6"/>
        <v>5.6326174371123097E-2</v>
      </c>
      <c r="H9" s="31">
        <f t="shared" si="6"/>
        <v>0.15671921921921922</v>
      </c>
      <c r="I9" s="31">
        <f t="shared" si="6"/>
        <v>0.11551121168483851</v>
      </c>
      <c r="J9" s="31">
        <f t="shared" si="6"/>
        <v>4.7525722684958353E-2</v>
      </c>
      <c r="K9" s="31">
        <f t="shared" si="6"/>
        <v>-7.2094350389956249E-2</v>
      </c>
      <c r="L9" s="35">
        <f t="shared" si="6"/>
        <v>8.5175388878392849E-2</v>
      </c>
      <c r="M9" s="31">
        <f t="shared" si="6"/>
        <v>0.14397969052224371</v>
      </c>
      <c r="N9" s="31">
        <f t="shared" si="6"/>
        <v>0.13127722999312083</v>
      </c>
      <c r="O9" s="31">
        <f t="shared" si="6"/>
        <v>2.4721030042918455E-2</v>
      </c>
      <c r="P9" s="31">
        <f t="shared" si="6"/>
        <v>-7.7644411102775687E-2</v>
      </c>
      <c r="Q9" s="35">
        <f t="shared" si="6"/>
        <v>7.3389932862065285E-2</v>
      </c>
      <c r="R9" s="31">
        <f t="shared" si="6"/>
        <v>0.12625456204379562</v>
      </c>
      <c r="S9" s="31">
        <f t="shared" si="6"/>
        <v>0.13159406964716699</v>
      </c>
      <c r="T9" s="31">
        <f t="shared" si="6"/>
        <v>3.9685377189846265E-2</v>
      </c>
      <c r="U9" s="31">
        <f t="shared" si="6"/>
        <v>-6.9206349206349202E-2</v>
      </c>
      <c r="V9" s="35">
        <f t="shared" si="6"/>
        <v>7.7263567007341299E-2</v>
      </c>
      <c r="W9" s="31">
        <f t="shared" ref="W9:AA9" si="7">W8/W5</f>
        <v>0.15446386395843173</v>
      </c>
      <c r="X9" s="31">
        <f t="shared" si="7"/>
        <v>0.13180618853442072</v>
      </c>
      <c r="Y9" s="31" t="e">
        <f t="shared" si="7"/>
        <v>#DIV/0!</v>
      </c>
      <c r="Z9" s="31" t="e">
        <f t="shared" si="7"/>
        <v>#DIV/0!</v>
      </c>
      <c r="AA9" s="35">
        <f t="shared" si="7"/>
        <v>0.14322265857431871</v>
      </c>
      <c r="AC9" s="14"/>
    </row>
    <row r="10" spans="2:29" x14ac:dyDescent="0.25">
      <c r="B10" s="1" t="s">
        <v>126</v>
      </c>
      <c r="G10" s="33"/>
      <c r="L10" s="33"/>
      <c r="Q10" s="33"/>
      <c r="V10" s="33"/>
      <c r="AA10" s="33"/>
    </row>
    <row r="11" spans="2:29" x14ac:dyDescent="0.25">
      <c r="B11" s="2" t="s">
        <v>123</v>
      </c>
      <c r="C11" s="14">
        <v>4960</v>
      </c>
      <c r="D11" s="14">
        <v>4775</v>
      </c>
      <c r="E11" s="14">
        <v>2400</v>
      </c>
      <c r="F11" s="14">
        <v>1470</v>
      </c>
      <c r="G11" s="43">
        <f>SUM(C11:F11)</f>
        <v>13605</v>
      </c>
      <c r="H11" s="14">
        <v>4321</v>
      </c>
      <c r="I11" s="14">
        <v>5031</v>
      </c>
      <c r="J11" s="14">
        <v>2287</v>
      </c>
      <c r="K11" s="14">
        <v>1326</v>
      </c>
      <c r="L11" s="43">
        <f>SUM(H11:K11)</f>
        <v>12965</v>
      </c>
      <c r="M11" s="14">
        <v>4414</v>
      </c>
      <c r="N11" s="14">
        <v>4566</v>
      </c>
      <c r="O11" s="14">
        <v>2037</v>
      </c>
      <c r="P11" s="14">
        <v>1264</v>
      </c>
      <c r="Q11" s="43">
        <f>SUM(M11:P11)</f>
        <v>12281</v>
      </c>
      <c r="R11" s="14">
        <v>4045</v>
      </c>
      <c r="S11" s="14">
        <v>4668</v>
      </c>
      <c r="T11" s="14">
        <v>1799</v>
      </c>
      <c r="U11" s="14">
        <v>981</v>
      </c>
      <c r="V11" s="43">
        <f>SUM(R11:U11)</f>
        <v>11493</v>
      </c>
      <c r="W11" s="14">
        <v>3743</v>
      </c>
      <c r="X11" s="14">
        <v>4072</v>
      </c>
      <c r="Y11" s="14"/>
      <c r="Z11" s="14"/>
      <c r="AA11" s="43">
        <f>SUM(W11:Z11)</f>
        <v>7815</v>
      </c>
    </row>
    <row r="12" spans="2:29" x14ac:dyDescent="0.25">
      <c r="B12" s="11" t="s">
        <v>124</v>
      </c>
      <c r="C12" s="29"/>
      <c r="D12" s="29"/>
      <c r="E12" s="29"/>
      <c r="F12" s="29"/>
      <c r="G12" s="34"/>
      <c r="H12" s="29">
        <f t="shared" ref="H12" si="8">(H11-C11)/C11</f>
        <v>-0.12883064516129034</v>
      </c>
      <c r="I12" s="29">
        <f t="shared" ref="I12" si="9">(I11-D11)/D11</f>
        <v>5.3612565445026177E-2</v>
      </c>
      <c r="J12" s="29">
        <f t="shared" ref="J12" si="10">(J11-E11)/E11</f>
        <v>-4.7083333333333331E-2</v>
      </c>
      <c r="K12" s="29">
        <f>(K11-F11)/F11</f>
        <v>-9.7959183673469383E-2</v>
      </c>
      <c r="L12" s="34">
        <f t="shared" ref="L12" si="11">(L11-G11)/G11</f>
        <v>-4.7041528849687618E-2</v>
      </c>
      <c r="M12" s="29">
        <f t="shared" ref="M12" si="12">(M11-H11)/H11</f>
        <v>2.1522795649155289E-2</v>
      </c>
      <c r="N12" s="29">
        <f t="shared" ref="N12" si="13">(N11-I11)/I11</f>
        <v>-9.2426952892069175E-2</v>
      </c>
      <c r="O12" s="29">
        <f t="shared" ref="O12" si="14">(O11-J11)/J11</f>
        <v>-0.10931351114997814</v>
      </c>
      <c r="P12" s="29">
        <f>(P11-K11)/K11</f>
        <v>-4.6757164404223228E-2</v>
      </c>
      <c r="Q12" s="34">
        <f t="shared" ref="Q12" si="15">(Q11-L11)/L11</f>
        <v>-5.2757423833397606E-2</v>
      </c>
      <c r="R12" s="29">
        <f t="shared" ref="R12" si="16">(R11-M11)/M11</f>
        <v>-8.3597643860444049E-2</v>
      </c>
      <c r="S12" s="29">
        <f>(S11-N11)/N11</f>
        <v>2.2339027595269383E-2</v>
      </c>
      <c r="T12" s="29">
        <f t="shared" ref="T12" si="17">(T11-O11)/O11</f>
        <v>-0.11683848797250859</v>
      </c>
      <c r="U12" s="29">
        <f t="shared" ref="U12:V12" si="18">(U11-P11)/P11</f>
        <v>-0.22389240506329114</v>
      </c>
      <c r="V12" s="34">
        <f t="shared" si="18"/>
        <v>-6.4164156013353957E-2</v>
      </c>
      <c r="W12" s="29">
        <f t="shared" ref="W12" si="19">(W11-R11)/R11</f>
        <v>-7.4660074165636595E-2</v>
      </c>
      <c r="X12" s="29">
        <f>(X11-S11)/S11</f>
        <v>-0.12767780634104542</v>
      </c>
      <c r="Y12" s="29">
        <f t="shared" ref="Y12" si="20">(Y11-T11)/T11</f>
        <v>-1</v>
      </c>
      <c r="Z12" s="29">
        <f t="shared" ref="Z12" si="21">(Z11-U11)/U11</f>
        <v>-1</v>
      </c>
      <c r="AA12" s="34">
        <f t="shared" ref="AA12" si="22">(AA11-V11)/V11</f>
        <v>-0.32002088227616809</v>
      </c>
    </row>
    <row r="13" spans="2:29" x14ac:dyDescent="0.25">
      <c r="B13" s="11" t="s">
        <v>133</v>
      </c>
      <c r="C13" s="29">
        <v>0.05</v>
      </c>
      <c r="D13" s="29">
        <v>-0.1</v>
      </c>
      <c r="E13" s="29">
        <v>-0.2</v>
      </c>
      <c r="F13" s="29">
        <v>-0.11</v>
      </c>
      <c r="G13" s="34"/>
      <c r="H13" s="29">
        <v>-0.2</v>
      </c>
      <c r="I13" s="29">
        <v>-0.02</v>
      </c>
      <c r="J13" s="29">
        <v>-0.08</v>
      </c>
      <c r="K13" s="29">
        <v>-0.04</v>
      </c>
      <c r="L13" s="34"/>
      <c r="M13" s="29">
        <v>0.02</v>
      </c>
      <c r="N13" s="29">
        <v>-0.09</v>
      </c>
      <c r="O13" s="29">
        <v>-0.08</v>
      </c>
      <c r="P13" s="29">
        <v>-0.08</v>
      </c>
      <c r="Q13" s="34"/>
      <c r="R13" s="29">
        <v>-0.09</v>
      </c>
      <c r="S13" s="29">
        <v>7.0000000000000007E-2</v>
      </c>
      <c r="T13" s="29">
        <v>-7.0000000000000007E-2</v>
      </c>
      <c r="U13" s="29">
        <v>-0.1</v>
      </c>
      <c r="V13" s="34"/>
      <c r="W13" s="29">
        <v>-0.01</v>
      </c>
      <c r="X13" s="29">
        <v>-0.11</v>
      </c>
      <c r="Y13" s="29"/>
      <c r="Z13" s="29"/>
      <c r="AA13" s="34"/>
    </row>
    <row r="14" spans="2:29" x14ac:dyDescent="0.25">
      <c r="B14" s="2" t="s">
        <v>61</v>
      </c>
      <c r="C14" s="14">
        <v>706</v>
      </c>
      <c r="D14" s="14">
        <v>773</v>
      </c>
      <c r="E14" s="14">
        <v>-93</v>
      </c>
      <c r="F14" s="14">
        <v>-468</v>
      </c>
      <c r="G14" s="43">
        <f>SUM(C14:F14)</f>
        <v>918</v>
      </c>
      <c r="H14" s="14">
        <v>585</v>
      </c>
      <c r="I14" s="14">
        <v>818</v>
      </c>
      <c r="J14" s="14">
        <v>-46</v>
      </c>
      <c r="K14" s="14">
        <v>-407</v>
      </c>
      <c r="L14" s="43">
        <f>SUM(H14:K14)</f>
        <v>950</v>
      </c>
      <c r="M14" s="14">
        <v>673</v>
      </c>
      <c r="N14" s="14">
        <v>691</v>
      </c>
      <c r="O14" s="14">
        <v>-156</v>
      </c>
      <c r="P14" s="14">
        <v>-467</v>
      </c>
      <c r="Q14" s="43">
        <f>SUM(M14:P14)</f>
        <v>741</v>
      </c>
      <c r="R14" s="14">
        <v>451</v>
      </c>
      <c r="S14" s="14">
        <v>816</v>
      </c>
      <c r="T14" s="14">
        <v>-161</v>
      </c>
      <c r="U14" s="14">
        <v>-377</v>
      </c>
      <c r="V14" s="43">
        <f>SUM(R14:U14)</f>
        <v>729</v>
      </c>
      <c r="W14" s="14">
        <v>447</v>
      </c>
      <c r="X14" s="14">
        <v>420</v>
      </c>
      <c r="Y14" s="14"/>
      <c r="Z14" s="14"/>
      <c r="AA14" s="43">
        <f>SUM(W14:Z14)</f>
        <v>867</v>
      </c>
      <c r="AC14" s="14"/>
    </row>
    <row r="15" spans="2:29" x14ac:dyDescent="0.25">
      <c r="B15" s="30" t="s">
        <v>125</v>
      </c>
      <c r="C15" s="31">
        <f t="shared" ref="C15:V15" si="23">C14/C11</f>
        <v>0.14233870967741935</v>
      </c>
      <c r="D15" s="31">
        <f t="shared" si="23"/>
        <v>0.16188481675392671</v>
      </c>
      <c r="E15" s="31">
        <f t="shared" si="23"/>
        <v>-3.875E-2</v>
      </c>
      <c r="F15" s="31">
        <f t="shared" si="23"/>
        <v>-0.3183673469387755</v>
      </c>
      <c r="G15" s="35">
        <f t="shared" si="23"/>
        <v>6.7475192943770676E-2</v>
      </c>
      <c r="H15" s="31">
        <f t="shared" si="23"/>
        <v>0.13538532747049295</v>
      </c>
      <c r="I15" s="31">
        <f t="shared" si="23"/>
        <v>0.16259193003379049</v>
      </c>
      <c r="J15" s="31">
        <f t="shared" si="23"/>
        <v>-2.0113686051595976E-2</v>
      </c>
      <c r="K15" s="31">
        <f t="shared" si="23"/>
        <v>-0.30693815987933637</v>
      </c>
      <c r="L15" s="35">
        <f t="shared" si="23"/>
        <v>7.3274199768607787E-2</v>
      </c>
      <c r="M15" s="31">
        <f t="shared" si="23"/>
        <v>0.15246941549614862</v>
      </c>
      <c r="N15" s="31">
        <f t="shared" si="23"/>
        <v>0.1513359614542269</v>
      </c>
      <c r="O15" s="31">
        <f t="shared" si="23"/>
        <v>-7.6583210603829166E-2</v>
      </c>
      <c r="P15" s="31">
        <f t="shared" si="23"/>
        <v>-0.36946202531645572</v>
      </c>
      <c r="Q15" s="35">
        <f t="shared" si="23"/>
        <v>6.0337106098851886E-2</v>
      </c>
      <c r="R15" s="31">
        <f t="shared" si="23"/>
        <v>0.11149567367119902</v>
      </c>
      <c r="S15" s="31">
        <f t="shared" si="23"/>
        <v>0.17480719794344474</v>
      </c>
      <c r="T15" s="31">
        <f t="shared" si="23"/>
        <v>-8.9494163424124515E-2</v>
      </c>
      <c r="U15" s="31">
        <f t="shared" si="23"/>
        <v>-0.38430173292558611</v>
      </c>
      <c r="V15" s="35">
        <f t="shared" si="23"/>
        <v>6.3429913860610809E-2</v>
      </c>
      <c r="W15" s="31">
        <f t="shared" ref="W15:AA15" si="24">W14/W11</f>
        <v>0.11942292278920652</v>
      </c>
      <c r="X15" s="31">
        <f t="shared" si="24"/>
        <v>0.1031434184675835</v>
      </c>
      <c r="Y15" s="31" t="e">
        <f t="shared" si="24"/>
        <v>#DIV/0!</v>
      </c>
      <c r="Z15" s="31" t="e">
        <f t="shared" si="24"/>
        <v>#DIV/0!</v>
      </c>
      <c r="AA15" s="35">
        <f t="shared" si="24"/>
        <v>0.1109404990403071</v>
      </c>
      <c r="AC15" s="14"/>
    </row>
    <row r="16" spans="2:29" x14ac:dyDescent="0.25">
      <c r="B16" s="1" t="s">
        <v>127</v>
      </c>
      <c r="G16" s="33"/>
      <c r="L16" s="33"/>
      <c r="Q16" s="33"/>
      <c r="V16" s="33"/>
      <c r="AA16" s="33"/>
    </row>
    <row r="17" spans="2:27" x14ac:dyDescent="0.25">
      <c r="B17" s="2" t="s">
        <v>123</v>
      </c>
      <c r="C17" s="14">
        <v>1981</v>
      </c>
      <c r="D17" s="14">
        <v>2157</v>
      </c>
      <c r="E17" s="14">
        <v>2024</v>
      </c>
      <c r="F17" s="14">
        <v>2071</v>
      </c>
      <c r="G17" s="43">
        <f>SUM(C17:F17)</f>
        <v>8233</v>
      </c>
      <c r="H17" s="14">
        <v>2177</v>
      </c>
      <c r="I17" s="14">
        <v>2192</v>
      </c>
      <c r="J17" s="14">
        <v>2061</v>
      </c>
      <c r="K17" s="14">
        <v>1968</v>
      </c>
      <c r="L17" s="43">
        <f>SUM(H17:K17)</f>
        <v>8398</v>
      </c>
      <c r="M17" s="14">
        <v>2008</v>
      </c>
      <c r="N17" s="14">
        <v>2105</v>
      </c>
      <c r="O17" s="14">
        <v>1832</v>
      </c>
      <c r="P17" s="14">
        <v>1820</v>
      </c>
      <c r="Q17" s="43">
        <f>SUM(M17:P17)</f>
        <v>7765</v>
      </c>
      <c r="R17" s="14">
        <v>1857</v>
      </c>
      <c r="S17" s="14">
        <v>1871</v>
      </c>
      <c r="T17" s="14">
        <v>1773</v>
      </c>
      <c r="U17" s="14">
        <v>1676</v>
      </c>
      <c r="V17" s="43">
        <f>SUM(R17:U17)</f>
        <v>7177</v>
      </c>
      <c r="W17" s="14">
        <v>1712</v>
      </c>
      <c r="X17" s="14">
        <v>1928</v>
      </c>
      <c r="Y17" s="14"/>
      <c r="Z17" s="14"/>
      <c r="AA17" s="43">
        <f>SUM(W17:Z17)</f>
        <v>3640</v>
      </c>
    </row>
    <row r="18" spans="2:27" x14ac:dyDescent="0.25">
      <c r="B18" s="11" t="s">
        <v>124</v>
      </c>
      <c r="C18" s="29"/>
      <c r="D18" s="29"/>
      <c r="E18" s="29"/>
      <c r="F18" s="29"/>
      <c r="G18" s="34"/>
      <c r="H18" s="29">
        <f t="shared" ref="H18" si="25">(H17-C17)/C17</f>
        <v>9.8939929328621903E-2</v>
      </c>
      <c r="I18" s="29">
        <f t="shared" ref="I18" si="26">(I17-D17)/D17</f>
        <v>1.6226240148354196E-2</v>
      </c>
      <c r="J18" s="29">
        <f t="shared" ref="J18" si="27">(J17-E17)/E17</f>
        <v>1.8280632411067192E-2</v>
      </c>
      <c r="K18" s="29">
        <f t="shared" ref="K18:L18" si="28">(K17-F17)/F17</f>
        <v>-4.9734427812650896E-2</v>
      </c>
      <c r="L18" s="34">
        <f t="shared" si="28"/>
        <v>2.0041297218510872E-2</v>
      </c>
      <c r="M18" s="29">
        <f t="shared" ref="M18" si="29">(M17-H17)/H17</f>
        <v>-7.7629765732659617E-2</v>
      </c>
      <c r="N18" s="29">
        <f t="shared" ref="N18" si="30">(N17-I17)/I17</f>
        <v>-3.968978102189781E-2</v>
      </c>
      <c r="O18" s="29">
        <f t="shared" ref="O18" si="31">(O17-J17)/J17</f>
        <v>-0.1111111111111111</v>
      </c>
      <c r="P18" s="29">
        <f t="shared" ref="P18:Q18" si="32">(P17-K17)/K17</f>
        <v>-7.5203252032520332E-2</v>
      </c>
      <c r="Q18" s="34">
        <f t="shared" si="32"/>
        <v>-7.5375089306977852E-2</v>
      </c>
      <c r="R18" s="29">
        <f t="shared" ref="R18" si="33">(R17-M17)/M17</f>
        <v>-7.5199203187250999E-2</v>
      </c>
      <c r="S18" s="29">
        <f>(S17-N17)/N17</f>
        <v>-0.11116389548693587</v>
      </c>
      <c r="T18" s="29">
        <f t="shared" ref="T18" si="34">(T17-O17)/O17</f>
        <v>-3.2205240174672488E-2</v>
      </c>
      <c r="U18" s="29">
        <f t="shared" ref="U18:V18" si="35">(U17-P17)/P17</f>
        <v>-7.9120879120879117E-2</v>
      </c>
      <c r="V18" s="34">
        <f t="shared" si="35"/>
        <v>-7.5724404378622018E-2</v>
      </c>
      <c r="W18" s="29">
        <f t="shared" ref="W18" si="36">(W17-R17)/R17</f>
        <v>-7.8082929456112005E-2</v>
      </c>
      <c r="X18" s="29">
        <f>(X17-S17)/S17</f>
        <v>3.0464991982896848E-2</v>
      </c>
      <c r="Y18" s="29">
        <f t="shared" ref="Y18" si="37">(Y17-T17)/T17</f>
        <v>-1</v>
      </c>
      <c r="Z18" s="29">
        <f t="shared" ref="Z18" si="38">(Z17-U17)/U17</f>
        <v>-1</v>
      </c>
      <c r="AA18" s="34">
        <f t="shared" ref="AA18" si="39">(AA17-V17)/V17</f>
        <v>-0.49282429984673259</v>
      </c>
    </row>
    <row r="19" spans="2:27" x14ac:dyDescent="0.25">
      <c r="B19" s="11" t="s">
        <v>133</v>
      </c>
      <c r="C19" s="29">
        <v>0.1</v>
      </c>
      <c r="D19" s="29">
        <v>0.02</v>
      </c>
      <c r="E19" s="29">
        <v>-0.02</v>
      </c>
      <c r="F19" s="29">
        <v>-0.01</v>
      </c>
      <c r="G19" s="34"/>
      <c r="H19" s="29">
        <v>0</v>
      </c>
      <c r="I19" s="29">
        <v>-0.05</v>
      </c>
      <c r="J19" s="29">
        <v>-0.01</v>
      </c>
      <c r="K19" s="29">
        <v>-0.06</v>
      </c>
      <c r="L19" s="34"/>
      <c r="M19" s="29">
        <v>-0.08</v>
      </c>
      <c r="N19" s="29">
        <v>-0.03</v>
      </c>
      <c r="O19" s="29">
        <v>-0.08</v>
      </c>
      <c r="P19" s="29">
        <v>-0.09</v>
      </c>
      <c r="Q19" s="34"/>
      <c r="R19" s="29">
        <v>-0.08</v>
      </c>
      <c r="S19" s="29">
        <v>-0.04</v>
      </c>
      <c r="T19" s="29">
        <v>0.03</v>
      </c>
      <c r="U19" s="29">
        <v>0.02</v>
      </c>
      <c r="V19" s="34"/>
      <c r="W19" s="29">
        <v>0.01</v>
      </c>
      <c r="X19" s="29">
        <v>0.05</v>
      </c>
      <c r="Y19" s="29"/>
      <c r="Z19" s="29"/>
      <c r="AA19" s="34"/>
    </row>
    <row r="20" spans="2:27" x14ac:dyDescent="0.25">
      <c r="B20" s="2" t="s">
        <v>61</v>
      </c>
      <c r="C20" s="14">
        <v>152</v>
      </c>
      <c r="D20" s="14">
        <v>299</v>
      </c>
      <c r="E20" s="14">
        <v>183</v>
      </c>
      <c r="F20" s="14">
        <v>80</v>
      </c>
      <c r="G20" s="43">
        <f>SUM(C20:F20)</f>
        <v>714</v>
      </c>
      <c r="H20" s="14">
        <v>262</v>
      </c>
      <c r="I20" s="14">
        <v>272</v>
      </c>
      <c r="J20" s="14">
        <v>225</v>
      </c>
      <c r="K20" s="14">
        <v>-4</v>
      </c>
      <c r="L20" s="43">
        <f>SUM(H20:K20)</f>
        <v>755</v>
      </c>
      <c r="M20" s="14">
        <v>203</v>
      </c>
      <c r="N20" s="14">
        <v>204</v>
      </c>
      <c r="O20" s="14">
        <v>150</v>
      </c>
      <c r="P20" s="14">
        <v>-239</v>
      </c>
      <c r="Q20" s="43">
        <f>SUM(M20:P20)</f>
        <v>318</v>
      </c>
      <c r="R20" s="14">
        <v>135</v>
      </c>
      <c r="S20" s="14">
        <v>237</v>
      </c>
      <c r="T20" s="14">
        <v>205</v>
      </c>
      <c r="U20" s="14">
        <v>63</v>
      </c>
      <c r="V20" s="43">
        <f>SUM(R20:U20)</f>
        <v>640</v>
      </c>
      <c r="W20" s="14">
        <v>110</v>
      </c>
      <c r="X20" s="14">
        <v>267</v>
      </c>
      <c r="Y20" s="14"/>
      <c r="Z20" s="14"/>
      <c r="AA20" s="43">
        <f>SUM(W20:Z20)</f>
        <v>377</v>
      </c>
    </row>
    <row r="21" spans="2:27" x14ac:dyDescent="0.25">
      <c r="B21" s="30" t="s">
        <v>125</v>
      </c>
      <c r="C21" s="31">
        <f t="shared" ref="C21:V21" si="40">C20/C17</f>
        <v>7.6728924785461894E-2</v>
      </c>
      <c r="D21" s="31">
        <f t="shared" si="40"/>
        <v>0.13861845155308297</v>
      </c>
      <c r="E21" s="31">
        <f t="shared" si="40"/>
        <v>9.0415019762845855E-2</v>
      </c>
      <c r="F21" s="31">
        <f t="shared" si="40"/>
        <v>3.8628681796233702E-2</v>
      </c>
      <c r="G21" s="35">
        <f t="shared" si="40"/>
        <v>8.672415887282886E-2</v>
      </c>
      <c r="H21" s="31">
        <f t="shared" si="40"/>
        <v>0.12034910427193385</v>
      </c>
      <c r="I21" s="31">
        <f t="shared" si="40"/>
        <v>0.12408759124087591</v>
      </c>
      <c r="J21" s="31">
        <f t="shared" si="40"/>
        <v>0.1091703056768559</v>
      </c>
      <c r="K21" s="31">
        <f t="shared" si="40"/>
        <v>-2.0325203252032522E-3</v>
      </c>
      <c r="L21" s="35">
        <f t="shared" si="40"/>
        <v>8.9902357704215285E-2</v>
      </c>
      <c r="M21" s="31">
        <f t="shared" si="40"/>
        <v>0.10109561752988047</v>
      </c>
      <c r="N21" s="31">
        <f t="shared" si="40"/>
        <v>9.6912114014251788E-2</v>
      </c>
      <c r="O21" s="31">
        <f t="shared" si="40"/>
        <v>8.1877729257641918E-2</v>
      </c>
      <c r="P21" s="31">
        <f t="shared" si="40"/>
        <v>-0.13131868131868132</v>
      </c>
      <c r="Q21" s="35">
        <f t="shared" si="40"/>
        <v>4.0952994204764968E-2</v>
      </c>
      <c r="R21" s="31">
        <f t="shared" si="40"/>
        <v>7.2697899838449112E-2</v>
      </c>
      <c r="S21" s="31">
        <f t="shared" si="40"/>
        <v>0.12667022982362372</v>
      </c>
      <c r="T21" s="31">
        <f t="shared" si="40"/>
        <v>0.11562323745064862</v>
      </c>
      <c r="U21" s="31">
        <f t="shared" si="40"/>
        <v>3.7589498806682581E-2</v>
      </c>
      <c r="V21" s="35">
        <f t="shared" si="40"/>
        <v>8.9173749477497566E-2</v>
      </c>
      <c r="W21" s="31">
        <f t="shared" ref="W21:AA21" si="41">W20/W17</f>
        <v>6.4252336448598124E-2</v>
      </c>
      <c r="X21" s="31">
        <f t="shared" si="41"/>
        <v>0.13848547717842324</v>
      </c>
      <c r="Y21" s="31" t="e">
        <f t="shared" si="41"/>
        <v>#DIV/0!</v>
      </c>
      <c r="Z21" s="31" t="e">
        <f t="shared" si="41"/>
        <v>#DIV/0!</v>
      </c>
      <c r="AA21" s="35">
        <f t="shared" si="41"/>
        <v>0.10357142857142858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810A-3E55-C349-A3D0-E0F5837F2D04}">
  <dimension ref="A3:I68"/>
  <sheetViews>
    <sheetView showGridLines="0" workbookViewId="0">
      <selection activeCell="E11" sqref="E11"/>
    </sheetView>
  </sheetViews>
  <sheetFormatPr baseColWidth="10" defaultRowHeight="19" x14ac:dyDescent="0.25"/>
  <cols>
    <col min="1" max="2" width="10.83203125" style="2"/>
    <col min="3" max="3" width="19.83203125" style="2" customWidth="1"/>
    <col min="4" max="16384" width="10.83203125" style="2"/>
  </cols>
  <sheetData>
    <row r="3" spans="1:9" x14ac:dyDescent="0.25">
      <c r="A3" s="2" t="s">
        <v>140</v>
      </c>
    </row>
    <row r="4" spans="1:9" x14ac:dyDescent="0.25">
      <c r="A4" s="14">
        <f>Modell!AJ10</f>
        <v>2327.4700000000021</v>
      </c>
    </row>
    <row r="6" spans="1:9" x14ac:dyDescent="0.25">
      <c r="C6" s="44" t="s">
        <v>50</v>
      </c>
      <c r="D6" s="44"/>
      <c r="E6" s="44" t="s">
        <v>140</v>
      </c>
      <c r="F6" s="44"/>
      <c r="G6" s="44" t="s">
        <v>29</v>
      </c>
      <c r="H6" s="44" t="s">
        <v>141</v>
      </c>
      <c r="I6" s="44" t="s">
        <v>142</v>
      </c>
    </row>
    <row r="7" spans="1:9" x14ac:dyDescent="0.25">
      <c r="C7" s="45" t="s">
        <v>122</v>
      </c>
      <c r="D7" s="45"/>
      <c r="E7" s="46">
        <v>2200</v>
      </c>
      <c r="F7" s="46"/>
      <c r="G7" s="46">
        <v>10</v>
      </c>
      <c r="H7" s="46">
        <f>E7*G7</f>
        <v>22000</v>
      </c>
      <c r="I7" s="47">
        <f>H7/Modell!$B$5</f>
        <v>38.481721182438342</v>
      </c>
    </row>
    <row r="8" spans="1:9" x14ac:dyDescent="0.25">
      <c r="C8" s="45" t="s">
        <v>126</v>
      </c>
      <c r="D8" s="45"/>
      <c r="E8" s="46">
        <v>750</v>
      </c>
      <c r="F8" s="46"/>
      <c r="G8" s="46">
        <v>8</v>
      </c>
      <c r="H8" s="46">
        <f t="shared" ref="H8:H9" si="0">E8*G8</f>
        <v>6000</v>
      </c>
      <c r="I8" s="47">
        <f>H8/Modell!$B$5</f>
        <v>10.495014867937728</v>
      </c>
    </row>
    <row r="9" spans="1:9" x14ac:dyDescent="0.25">
      <c r="C9" s="45" t="s">
        <v>127</v>
      </c>
      <c r="D9" s="45"/>
      <c r="E9" s="46">
        <v>700</v>
      </c>
      <c r="F9" s="46"/>
      <c r="G9" s="46">
        <v>6</v>
      </c>
      <c r="H9" s="46">
        <f t="shared" si="0"/>
        <v>4200</v>
      </c>
      <c r="I9" s="47">
        <f>H9/Modell!$B$5</f>
        <v>7.3465104075564103</v>
      </c>
    </row>
    <row r="10" spans="1:9" x14ac:dyDescent="0.25">
      <c r="C10" s="44" t="s">
        <v>143</v>
      </c>
      <c r="D10" s="44"/>
      <c r="E10" s="48">
        <f>SUM(E7:E9)</f>
        <v>3650</v>
      </c>
      <c r="F10" s="48"/>
      <c r="G10" s="48"/>
      <c r="H10" s="48">
        <f>SUM(H7:H9)</f>
        <v>32200</v>
      </c>
      <c r="I10" s="49">
        <f>SUM(I7:I9)</f>
        <v>56.323246457932477</v>
      </c>
    </row>
    <row r="11" spans="1:9" x14ac:dyDescent="0.25">
      <c r="C11" s="50"/>
      <c r="D11" s="50"/>
      <c r="E11" s="50"/>
      <c r="F11" s="50"/>
      <c r="G11" s="50"/>
      <c r="H11" s="50"/>
      <c r="I11" s="50"/>
    </row>
    <row r="12" spans="1:9" x14ac:dyDescent="0.25">
      <c r="C12" s="45" t="s">
        <v>82</v>
      </c>
      <c r="D12" s="45"/>
      <c r="E12" s="45"/>
      <c r="F12" s="45"/>
      <c r="G12" s="45"/>
      <c r="H12" s="46">
        <f>Modell!B7</f>
        <v>3457</v>
      </c>
      <c r="I12" s="47">
        <f>H12/Modell!$B$5</f>
        <v>6.046877733076788</v>
      </c>
    </row>
    <row r="13" spans="1:9" x14ac:dyDescent="0.25">
      <c r="C13" s="45" t="s">
        <v>144</v>
      </c>
      <c r="D13" s="45"/>
      <c r="E13" s="45"/>
      <c r="F13" s="45"/>
      <c r="G13" s="45"/>
      <c r="H13" s="46">
        <f>-Modell!B8</f>
        <v>-11120</v>
      </c>
      <c r="I13" s="47">
        <f>H13/Modell!$B$5</f>
        <v>-19.450760888577925</v>
      </c>
    </row>
    <row r="14" spans="1:9" x14ac:dyDescent="0.25">
      <c r="C14" s="44" t="s">
        <v>145</v>
      </c>
      <c r="D14" s="44"/>
      <c r="E14" s="44"/>
      <c r="F14" s="44"/>
      <c r="G14" s="44"/>
      <c r="H14" s="48">
        <f>SUM(H10:H13)</f>
        <v>24537</v>
      </c>
      <c r="I14" s="49">
        <f>SUM(I10:I13)</f>
        <v>42.919363302431343</v>
      </c>
    </row>
    <row r="61" spans="1:2" x14ac:dyDescent="0.25">
      <c r="A61" s="2" t="s">
        <v>122</v>
      </c>
      <c r="B61" s="51">
        <f t="shared" ref="B61:B68" si="1">I7</f>
        <v>38.481721182438342</v>
      </c>
    </row>
    <row r="62" spans="1:2" x14ac:dyDescent="0.25">
      <c r="A62" s="2" t="s">
        <v>126</v>
      </c>
      <c r="B62" s="51">
        <f t="shared" si="1"/>
        <v>10.495014867937728</v>
      </c>
    </row>
    <row r="63" spans="1:2" x14ac:dyDescent="0.25">
      <c r="A63" s="2" t="s">
        <v>127</v>
      </c>
      <c r="B63" s="51">
        <f t="shared" si="1"/>
        <v>7.3465104075564103</v>
      </c>
    </row>
    <row r="64" spans="1:2" x14ac:dyDescent="0.25">
      <c r="A64" s="1" t="s">
        <v>143</v>
      </c>
      <c r="B64" s="51">
        <f t="shared" si="1"/>
        <v>56.323246457932477</v>
      </c>
    </row>
    <row r="65" spans="1:2" x14ac:dyDescent="0.25">
      <c r="A65" s="52"/>
      <c r="B65" s="51">
        <f t="shared" si="1"/>
        <v>0</v>
      </c>
    </row>
    <row r="66" spans="1:2" x14ac:dyDescent="0.25">
      <c r="A66" s="2" t="s">
        <v>82</v>
      </c>
      <c r="B66" s="51">
        <f t="shared" si="1"/>
        <v>6.046877733076788</v>
      </c>
    </row>
    <row r="67" spans="1:2" x14ac:dyDescent="0.25">
      <c r="A67" s="2" t="s">
        <v>144</v>
      </c>
      <c r="B67" s="51">
        <f t="shared" si="1"/>
        <v>-19.450760888577925</v>
      </c>
    </row>
    <row r="68" spans="1:2" x14ac:dyDescent="0.25">
      <c r="A68" s="1" t="s">
        <v>145</v>
      </c>
      <c r="B68" s="51">
        <f t="shared" si="1"/>
        <v>42.919363302431343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E17" sqref="E17"/>
    </sheetView>
  </sheetViews>
  <sheetFormatPr baseColWidth="10" defaultRowHeight="16" x14ac:dyDescent="0.2"/>
  <cols>
    <col min="3" max="3" width="29.5" bestFit="1" customWidth="1"/>
    <col min="4" max="4" width="24.1640625" customWidth="1"/>
    <col min="5" max="5" width="24.33203125" customWidth="1"/>
    <col min="6" max="6" width="23" customWidth="1"/>
    <col min="7" max="7" width="18.6640625" bestFit="1" customWidth="1"/>
  </cols>
  <sheetData>
    <row r="4" spans="3:6" ht="62" x14ac:dyDescent="0.7">
      <c r="C4" s="23"/>
      <c r="D4" s="23">
        <v>2026</v>
      </c>
      <c r="E4" s="23">
        <v>2027</v>
      </c>
      <c r="F4" s="23">
        <v>2028</v>
      </c>
    </row>
    <row r="5" spans="3:6" ht="62" x14ac:dyDescent="0.7">
      <c r="C5" s="23" t="s">
        <v>29</v>
      </c>
      <c r="D5" s="36">
        <f>Modell!$B$9/Modell!AJ10</f>
        <v>12.257966805157523</v>
      </c>
      <c r="E5" s="36">
        <f>Modell!$B$9/Modell!AK10</f>
        <v>11.900938645784008</v>
      </c>
      <c r="F5" s="36">
        <f>Modell!$B$9/Modell!AL10</f>
        <v>11.554309364838842</v>
      </c>
    </row>
    <row r="6" spans="3:6" ht="62" x14ac:dyDescent="0.7">
      <c r="C6" s="23" t="s">
        <v>30</v>
      </c>
      <c r="D6" s="36">
        <f>Modell!$B$4/Modell!AJ16</f>
        <v>11.206938220471146</v>
      </c>
      <c r="E6" s="36">
        <f>Modell!$B$4/Modell!AK16</f>
        <v>10.88052254414675</v>
      </c>
      <c r="F6" s="36">
        <f>Modell!$B$4/Modell!AL16</f>
        <v>10.563614120530826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FW43"/>
  <sheetViews>
    <sheetView showGridLines="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Z29" sqref="Z29"/>
    </sheetView>
  </sheetViews>
  <sheetFormatPr baseColWidth="10" defaultRowHeight="19" x14ac:dyDescent="0.25"/>
  <cols>
    <col min="1" max="1" width="10.83203125" style="2"/>
    <col min="2" max="2" width="27.83203125" style="4" customWidth="1"/>
    <col min="3" max="3" width="31.5" style="2" customWidth="1"/>
    <col min="4" max="25" width="10.83203125" style="2"/>
    <col min="26" max="26" width="14.1640625" style="2" bestFit="1" customWidth="1"/>
    <col min="27" max="27" width="13.33203125" style="2" bestFit="1" customWidth="1"/>
    <col min="28" max="16384" width="10.83203125" style="2"/>
  </cols>
  <sheetData>
    <row r="3" spans="1:179" x14ac:dyDescent="0.25">
      <c r="A3" s="1" t="s">
        <v>40</v>
      </c>
      <c r="D3" s="7" t="s">
        <v>42</v>
      </c>
      <c r="E3" s="7" t="s">
        <v>43</v>
      </c>
      <c r="F3" s="7" t="s">
        <v>44</v>
      </c>
      <c r="G3" s="7" t="s">
        <v>45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179" x14ac:dyDescent="0.25">
      <c r="A4" s="1" t="s">
        <v>134</v>
      </c>
      <c r="C4" s="1" t="s">
        <v>55</v>
      </c>
      <c r="D4" s="12">
        <v>36170</v>
      </c>
      <c r="E4" s="12">
        <v>35982</v>
      </c>
      <c r="F4" s="12">
        <v>39394</v>
      </c>
      <c r="G4" s="12">
        <v>41085</v>
      </c>
      <c r="H4" s="12">
        <v>42277</v>
      </c>
      <c r="I4" s="12">
        <v>41943</v>
      </c>
      <c r="J4" s="12">
        <v>47059</v>
      </c>
      <c r="K4" s="12">
        <v>54037</v>
      </c>
      <c r="L4" s="12">
        <v>53261</v>
      </c>
      <c r="M4" s="12">
        <v>48352</v>
      </c>
      <c r="N4" s="13">
        <v>46614</v>
      </c>
      <c r="O4" s="12">
        <f>N4*1</f>
        <v>46614</v>
      </c>
      <c r="P4" s="12">
        <f t="shared" ref="P4:X4" si="0">O4*1</f>
        <v>46614</v>
      </c>
      <c r="Q4" s="12">
        <f t="shared" si="0"/>
        <v>46614</v>
      </c>
      <c r="R4" s="12">
        <f t="shared" si="0"/>
        <v>46614</v>
      </c>
      <c r="S4" s="12">
        <f t="shared" si="0"/>
        <v>46614</v>
      </c>
      <c r="T4" s="12">
        <f t="shared" si="0"/>
        <v>46614</v>
      </c>
      <c r="U4" s="12">
        <f t="shared" si="0"/>
        <v>46614</v>
      </c>
      <c r="V4" s="12">
        <f t="shared" si="0"/>
        <v>46614</v>
      </c>
      <c r="W4" s="12">
        <f t="shared" si="0"/>
        <v>46614</v>
      </c>
      <c r="X4" s="12">
        <f t="shared" si="0"/>
        <v>46614</v>
      </c>
    </row>
    <row r="5" spans="1:179" x14ac:dyDescent="0.25">
      <c r="A5" s="37">
        <f>AA21</f>
        <v>38.720238849988995</v>
      </c>
      <c r="C5" s="2" t="s">
        <v>56</v>
      </c>
      <c r="D5" s="14">
        <v>-25996</v>
      </c>
      <c r="E5" s="14">
        <v>-24886</v>
      </c>
      <c r="F5" s="14">
        <v>-27922</v>
      </c>
      <c r="G5" s="14">
        <v>-30583</v>
      </c>
      <c r="H5" s="14">
        <v>-29748</v>
      </c>
      <c r="I5" s="14">
        <v>-29367</v>
      </c>
      <c r="J5" s="14">
        <v>-31546</v>
      </c>
      <c r="K5" s="14">
        <v>-39424</v>
      </c>
      <c r="L5" s="14">
        <v>-37136</v>
      </c>
      <c r="M5" s="14">
        <v>-34053</v>
      </c>
      <c r="N5" s="15">
        <v>-32514</v>
      </c>
      <c r="O5" s="14">
        <f>O4*-0.74</f>
        <v>-34494.36</v>
      </c>
      <c r="P5" s="14">
        <f t="shared" ref="P5:X5" si="1">P4*-0.74</f>
        <v>-34494.36</v>
      </c>
      <c r="Q5" s="14">
        <f t="shared" si="1"/>
        <v>-34494.36</v>
      </c>
      <c r="R5" s="14">
        <f t="shared" si="1"/>
        <v>-34494.36</v>
      </c>
      <c r="S5" s="14">
        <f t="shared" si="1"/>
        <v>-34494.36</v>
      </c>
      <c r="T5" s="14">
        <f t="shared" si="1"/>
        <v>-34494.36</v>
      </c>
      <c r="U5" s="14">
        <f t="shared" si="1"/>
        <v>-34494.36</v>
      </c>
      <c r="V5" s="14">
        <f t="shared" si="1"/>
        <v>-34494.36</v>
      </c>
      <c r="W5" s="14">
        <f t="shared" si="1"/>
        <v>-34494.36</v>
      </c>
      <c r="X5" s="14">
        <f t="shared" si="1"/>
        <v>-34494.36</v>
      </c>
    </row>
    <row r="6" spans="1:179" x14ac:dyDescent="0.25">
      <c r="A6" s="18">
        <f>AA22</f>
        <v>6.0828461643534108E-2</v>
      </c>
      <c r="C6" s="2" t="s">
        <v>57</v>
      </c>
      <c r="D6" s="14">
        <f t="shared" ref="D6:M6" si="2">SUM(D4:D5)</f>
        <v>10174</v>
      </c>
      <c r="E6" s="14">
        <f t="shared" si="2"/>
        <v>11096</v>
      </c>
      <c r="F6" s="14">
        <f t="shared" si="2"/>
        <v>11472</v>
      </c>
      <c r="G6" s="14">
        <f t="shared" si="2"/>
        <v>10502</v>
      </c>
      <c r="H6" s="14">
        <f t="shared" si="2"/>
        <v>12529</v>
      </c>
      <c r="I6" s="14">
        <f t="shared" si="2"/>
        <v>12576</v>
      </c>
      <c r="J6" s="14">
        <f t="shared" si="2"/>
        <v>15513</v>
      </c>
      <c r="K6" s="14">
        <f t="shared" si="2"/>
        <v>14613</v>
      </c>
      <c r="L6" s="14">
        <f t="shared" si="2"/>
        <v>16125</v>
      </c>
      <c r="M6" s="14">
        <f t="shared" si="2"/>
        <v>14299</v>
      </c>
      <c r="N6" s="15">
        <f t="shared" ref="N6" si="3">SUM(N4:N5)</f>
        <v>14100</v>
      </c>
      <c r="O6" s="14">
        <f t="shared" ref="O6:X6" si="4">SUM(O4:O5)</f>
        <v>12119.64</v>
      </c>
      <c r="P6" s="14">
        <f t="shared" si="4"/>
        <v>12119.64</v>
      </c>
      <c r="Q6" s="14">
        <f t="shared" si="4"/>
        <v>12119.64</v>
      </c>
      <c r="R6" s="14">
        <f t="shared" si="4"/>
        <v>12119.64</v>
      </c>
      <c r="S6" s="14">
        <f t="shared" si="4"/>
        <v>12119.64</v>
      </c>
      <c r="T6" s="14">
        <f t="shared" si="4"/>
        <v>12119.64</v>
      </c>
      <c r="U6" s="14">
        <f t="shared" si="4"/>
        <v>12119.64</v>
      </c>
      <c r="V6" s="14">
        <f t="shared" si="4"/>
        <v>12119.64</v>
      </c>
      <c r="W6" s="14">
        <f t="shared" si="4"/>
        <v>12119.64</v>
      </c>
      <c r="X6" s="14">
        <f t="shared" si="4"/>
        <v>12119.64</v>
      </c>
    </row>
    <row r="7" spans="1:179" x14ac:dyDescent="0.25">
      <c r="C7" s="2" t="s">
        <v>58</v>
      </c>
      <c r="D7" s="14">
        <v>-5833</v>
      </c>
      <c r="E7" s="14">
        <v>-6168</v>
      </c>
      <c r="F7" s="14">
        <v>-5870</v>
      </c>
      <c r="G7" s="14">
        <v>-6473</v>
      </c>
      <c r="H7" s="14">
        <v>-6985</v>
      </c>
      <c r="I7" s="14">
        <v>-6596</v>
      </c>
      <c r="J7" s="14">
        <v>-7152</v>
      </c>
      <c r="K7" s="14">
        <v>-8770</v>
      </c>
      <c r="L7" s="14">
        <v>-9034</v>
      </c>
      <c r="M7" s="14">
        <v>-8587</v>
      </c>
      <c r="N7" s="15">
        <v>-8116</v>
      </c>
      <c r="O7" s="14">
        <f>N7*0.87</f>
        <v>-7060.92</v>
      </c>
      <c r="P7" s="14">
        <f t="shared" ref="P7:X7" si="5">O7*1</f>
        <v>-7060.92</v>
      </c>
      <c r="Q7" s="14">
        <f t="shared" si="5"/>
        <v>-7060.92</v>
      </c>
      <c r="R7" s="14">
        <f t="shared" si="5"/>
        <v>-7060.92</v>
      </c>
      <c r="S7" s="14">
        <f t="shared" si="5"/>
        <v>-7060.92</v>
      </c>
      <c r="T7" s="14">
        <f t="shared" si="5"/>
        <v>-7060.92</v>
      </c>
      <c r="U7" s="14">
        <f t="shared" si="5"/>
        <v>-7060.92</v>
      </c>
      <c r="V7" s="14">
        <f t="shared" si="5"/>
        <v>-7060.92</v>
      </c>
      <c r="W7" s="14">
        <f t="shared" si="5"/>
        <v>-7060.92</v>
      </c>
      <c r="X7" s="14">
        <f t="shared" si="5"/>
        <v>-7060.92</v>
      </c>
    </row>
    <row r="8" spans="1:179" x14ac:dyDescent="0.25">
      <c r="C8" s="2" t="s">
        <v>59</v>
      </c>
      <c r="D8" s="14">
        <v>-1532</v>
      </c>
      <c r="E8" s="14">
        <v>-1707</v>
      </c>
      <c r="F8" s="14">
        <v>-1879</v>
      </c>
      <c r="G8" s="14">
        <v>-2014</v>
      </c>
      <c r="H8" s="14">
        <v>-2051</v>
      </c>
      <c r="I8" s="14">
        <v>-2335</v>
      </c>
      <c r="J8" s="14">
        <v>-2704</v>
      </c>
      <c r="K8" s="14">
        <v>-3001</v>
      </c>
      <c r="L8" s="14">
        <v>-3211</v>
      </c>
      <c r="M8" s="14">
        <v>-3275</v>
      </c>
      <c r="N8" s="15">
        <v>-3074</v>
      </c>
      <c r="O8" s="14">
        <f t="shared" ref="O8:O9" si="6">N8*0.88</f>
        <v>-2705.12</v>
      </c>
      <c r="P8" s="14">
        <f t="shared" ref="P8:X9" si="7">O8*1</f>
        <v>-2705.12</v>
      </c>
      <c r="Q8" s="14">
        <f t="shared" si="7"/>
        <v>-2705.12</v>
      </c>
      <c r="R8" s="14">
        <f t="shared" si="7"/>
        <v>-2705.12</v>
      </c>
      <c r="S8" s="14">
        <f t="shared" si="7"/>
        <v>-2705.12</v>
      </c>
      <c r="T8" s="14">
        <f t="shared" si="7"/>
        <v>-2705.12</v>
      </c>
      <c r="U8" s="14">
        <f t="shared" si="7"/>
        <v>-2705.12</v>
      </c>
      <c r="V8" s="14">
        <f t="shared" si="7"/>
        <v>-2705.12</v>
      </c>
      <c r="W8" s="14">
        <f t="shared" si="7"/>
        <v>-2705.12</v>
      </c>
      <c r="X8" s="14">
        <f t="shared" si="7"/>
        <v>-2705.12</v>
      </c>
    </row>
    <row r="9" spans="1:179" x14ac:dyDescent="0.25">
      <c r="C9" s="2" t="s">
        <v>60</v>
      </c>
      <c r="D9" s="14">
        <f>23-5</f>
        <v>18</v>
      </c>
      <c r="E9" s="14">
        <v>-3</v>
      </c>
      <c r="F9" s="14">
        <f>68-1</f>
        <v>67</v>
      </c>
      <c r="G9" s="14">
        <f>63-8</f>
        <v>55</v>
      </c>
      <c r="H9" s="14">
        <f>203-6</f>
        <v>197</v>
      </c>
      <c r="I9" s="14">
        <f>26-2</f>
        <v>24</v>
      </c>
      <c r="J9" s="14">
        <f>112-23</f>
        <v>89</v>
      </c>
      <c r="K9" s="14">
        <f>212-11</f>
        <v>201</v>
      </c>
      <c r="L9" s="14">
        <v>0</v>
      </c>
      <c r="M9" s="14">
        <v>160</v>
      </c>
      <c r="N9" s="15">
        <v>-11</v>
      </c>
      <c r="O9" s="14">
        <f t="shared" si="6"/>
        <v>-9.68</v>
      </c>
      <c r="P9" s="14">
        <f t="shared" si="7"/>
        <v>-9.68</v>
      </c>
      <c r="Q9" s="14">
        <f t="shared" si="7"/>
        <v>-9.68</v>
      </c>
      <c r="R9" s="14">
        <f t="shared" si="7"/>
        <v>-9.68</v>
      </c>
      <c r="S9" s="14">
        <f t="shared" si="7"/>
        <v>-9.68</v>
      </c>
      <c r="T9" s="14">
        <f t="shared" si="7"/>
        <v>-9.68</v>
      </c>
      <c r="U9" s="14">
        <f t="shared" si="7"/>
        <v>-9.68</v>
      </c>
      <c r="V9" s="14">
        <f t="shared" si="7"/>
        <v>-9.68</v>
      </c>
      <c r="W9" s="14">
        <f t="shared" si="7"/>
        <v>-9.68</v>
      </c>
      <c r="X9" s="14">
        <f t="shared" si="7"/>
        <v>-9.68</v>
      </c>
    </row>
    <row r="10" spans="1:179" x14ac:dyDescent="0.25">
      <c r="C10" s="1" t="s">
        <v>61</v>
      </c>
      <c r="D10" s="12">
        <f t="shared" ref="D10:M10" si="8">SUM(D6:D9)</f>
        <v>2827</v>
      </c>
      <c r="E10" s="12">
        <f t="shared" si="8"/>
        <v>3218</v>
      </c>
      <c r="F10" s="12">
        <f t="shared" si="8"/>
        <v>3790</v>
      </c>
      <c r="G10" s="12">
        <f t="shared" si="8"/>
        <v>2070</v>
      </c>
      <c r="H10" s="12">
        <f t="shared" si="8"/>
        <v>3690</v>
      </c>
      <c r="I10" s="12">
        <f t="shared" si="8"/>
        <v>3669</v>
      </c>
      <c r="J10" s="12">
        <f t="shared" si="8"/>
        <v>5746</v>
      </c>
      <c r="K10" s="12">
        <f t="shared" si="8"/>
        <v>3043</v>
      </c>
      <c r="L10" s="12">
        <f t="shared" si="8"/>
        <v>3880</v>
      </c>
      <c r="M10" s="12">
        <f t="shared" si="8"/>
        <v>2597</v>
      </c>
      <c r="N10" s="13">
        <f t="shared" ref="N10" si="9">SUM(N6:N9)</f>
        <v>2899</v>
      </c>
      <c r="O10" s="12">
        <f t="shared" ref="O10:X10" si="10">SUM(O6:O9)</f>
        <v>2343.9199999999996</v>
      </c>
      <c r="P10" s="12">
        <f t="shared" si="10"/>
        <v>2343.9199999999996</v>
      </c>
      <c r="Q10" s="12">
        <f t="shared" si="10"/>
        <v>2343.9199999999996</v>
      </c>
      <c r="R10" s="12">
        <f t="shared" si="10"/>
        <v>2343.9199999999996</v>
      </c>
      <c r="S10" s="12">
        <f t="shared" si="10"/>
        <v>2343.9199999999996</v>
      </c>
      <c r="T10" s="12">
        <f t="shared" si="10"/>
        <v>2343.9199999999996</v>
      </c>
      <c r="U10" s="12">
        <f t="shared" si="10"/>
        <v>2343.9199999999996</v>
      </c>
      <c r="V10" s="12">
        <f t="shared" si="10"/>
        <v>2343.9199999999996</v>
      </c>
      <c r="W10" s="12">
        <f t="shared" si="10"/>
        <v>2343.9199999999996</v>
      </c>
      <c r="X10" s="12">
        <f t="shared" si="10"/>
        <v>2343.9199999999996</v>
      </c>
    </row>
    <row r="11" spans="1:179" x14ac:dyDescent="0.25">
      <c r="C11" s="2" t="s">
        <v>62</v>
      </c>
      <c r="D11" s="14">
        <f>44-388</f>
        <v>-344</v>
      </c>
      <c r="E11" s="14">
        <f>29-451</f>
        <v>-422</v>
      </c>
      <c r="F11" s="14">
        <f>20-520</f>
        <v>-500</v>
      </c>
      <c r="G11" s="14">
        <f>72-581</f>
        <v>-509</v>
      </c>
      <c r="H11" s="14">
        <f>18-586</f>
        <v>-568</v>
      </c>
      <c r="I11" s="14">
        <f>38-377</f>
        <v>-339</v>
      </c>
      <c r="J11" s="14">
        <f>42-294</f>
        <v>-252</v>
      </c>
      <c r="K11" s="14">
        <f>38-499</f>
        <v>-461</v>
      </c>
      <c r="L11" s="14">
        <f>75-1077</f>
        <v>-1002</v>
      </c>
      <c r="M11" s="14">
        <f>86-950</f>
        <v>-864</v>
      </c>
      <c r="N11" s="15">
        <v>-750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</row>
    <row r="12" spans="1:179" x14ac:dyDescent="0.25">
      <c r="C12" s="2" t="s">
        <v>63</v>
      </c>
      <c r="D12" s="14">
        <f t="shared" ref="D12:M12" si="11">SUM(D10:D11)</f>
        <v>2483</v>
      </c>
      <c r="E12" s="14">
        <f t="shared" si="11"/>
        <v>2796</v>
      </c>
      <c r="F12" s="14">
        <f t="shared" si="11"/>
        <v>3290</v>
      </c>
      <c r="G12" s="14">
        <f t="shared" si="11"/>
        <v>1561</v>
      </c>
      <c r="H12" s="14">
        <f t="shared" si="11"/>
        <v>3122</v>
      </c>
      <c r="I12" s="14">
        <f t="shared" si="11"/>
        <v>3330</v>
      </c>
      <c r="J12" s="14">
        <f t="shared" si="11"/>
        <v>5494</v>
      </c>
      <c r="K12" s="14">
        <f t="shared" si="11"/>
        <v>2582</v>
      </c>
      <c r="L12" s="14">
        <f t="shared" si="11"/>
        <v>2878</v>
      </c>
      <c r="M12" s="14">
        <f t="shared" si="11"/>
        <v>1733</v>
      </c>
      <c r="N12" s="15">
        <f t="shared" ref="N12" si="12">SUM(N10:N11)</f>
        <v>2149</v>
      </c>
      <c r="O12" s="14">
        <f t="shared" ref="O12:X12" si="13">SUM(O10:O11)</f>
        <v>2343.9199999999996</v>
      </c>
      <c r="P12" s="14">
        <f t="shared" si="13"/>
        <v>2343.9199999999996</v>
      </c>
      <c r="Q12" s="14">
        <f t="shared" si="13"/>
        <v>2343.9199999999996</v>
      </c>
      <c r="R12" s="14">
        <f t="shared" si="13"/>
        <v>2343.9199999999996</v>
      </c>
      <c r="S12" s="14">
        <f t="shared" si="13"/>
        <v>2343.9199999999996</v>
      </c>
      <c r="T12" s="14">
        <f t="shared" si="13"/>
        <v>2343.9199999999996</v>
      </c>
      <c r="U12" s="14">
        <f t="shared" si="13"/>
        <v>2343.9199999999996</v>
      </c>
      <c r="V12" s="14">
        <f t="shared" si="13"/>
        <v>2343.9199999999996</v>
      </c>
      <c r="W12" s="14">
        <f t="shared" si="13"/>
        <v>2343.9199999999996</v>
      </c>
      <c r="X12" s="14">
        <f t="shared" si="13"/>
        <v>2343.9199999999996</v>
      </c>
    </row>
    <row r="13" spans="1:179" x14ac:dyDescent="0.25">
      <c r="C13" s="2" t="s">
        <v>64</v>
      </c>
      <c r="D13" s="14">
        <v>-595</v>
      </c>
      <c r="E13" s="14">
        <v>-692</v>
      </c>
      <c r="F13" s="14">
        <v>-630</v>
      </c>
      <c r="G13" s="14">
        <v>-348</v>
      </c>
      <c r="H13" s="14">
        <v>-594</v>
      </c>
      <c r="I13" s="14">
        <v>-835</v>
      </c>
      <c r="J13" s="14">
        <v>-1057</v>
      </c>
      <c r="K13" s="14">
        <v>-649</v>
      </c>
      <c r="L13" s="14">
        <v>-702</v>
      </c>
      <c r="M13" s="14">
        <v>-408</v>
      </c>
      <c r="N13" s="15">
        <v>-379</v>
      </c>
      <c r="O13" s="14">
        <f>O12*-0.2</f>
        <v>-468.78399999999993</v>
      </c>
      <c r="P13" s="14">
        <f t="shared" ref="P13:X13" si="14">P12*-0.2</f>
        <v>-468.78399999999993</v>
      </c>
      <c r="Q13" s="14">
        <f t="shared" si="14"/>
        <v>-468.78399999999993</v>
      </c>
      <c r="R13" s="14">
        <f t="shared" si="14"/>
        <v>-468.78399999999993</v>
      </c>
      <c r="S13" s="14">
        <f t="shared" si="14"/>
        <v>-468.78399999999993</v>
      </c>
      <c r="T13" s="14">
        <f t="shared" si="14"/>
        <v>-468.78399999999993</v>
      </c>
      <c r="U13" s="14">
        <f t="shared" si="14"/>
        <v>-468.78399999999993</v>
      </c>
      <c r="V13" s="14">
        <f t="shared" si="14"/>
        <v>-468.78399999999993</v>
      </c>
      <c r="W13" s="14">
        <f t="shared" si="14"/>
        <v>-468.78399999999993</v>
      </c>
      <c r="X13" s="14">
        <f t="shared" si="14"/>
        <v>-468.78399999999993</v>
      </c>
    </row>
    <row r="14" spans="1:179" x14ac:dyDescent="0.25">
      <c r="C14" s="1" t="s">
        <v>65</v>
      </c>
      <c r="D14" s="12">
        <f t="shared" ref="D14:M14" si="15">SUM(D12:D13)</f>
        <v>1888</v>
      </c>
      <c r="E14" s="12">
        <f t="shared" si="15"/>
        <v>2104</v>
      </c>
      <c r="F14" s="12">
        <f t="shared" si="15"/>
        <v>2660</v>
      </c>
      <c r="G14" s="12">
        <f t="shared" si="15"/>
        <v>1213</v>
      </c>
      <c r="H14" s="12">
        <f t="shared" si="15"/>
        <v>2528</v>
      </c>
      <c r="I14" s="12">
        <f t="shared" si="15"/>
        <v>2495</v>
      </c>
      <c r="J14" s="12">
        <f t="shared" si="15"/>
        <v>4437</v>
      </c>
      <c r="K14" s="12">
        <f t="shared" si="15"/>
        <v>1933</v>
      </c>
      <c r="L14" s="12">
        <f t="shared" si="15"/>
        <v>2176</v>
      </c>
      <c r="M14" s="12">
        <f t="shared" si="15"/>
        <v>1325</v>
      </c>
      <c r="N14" s="13">
        <f t="shared" ref="N14" si="16">SUM(N12:N13)</f>
        <v>1770</v>
      </c>
      <c r="O14" s="12">
        <f t="shared" ref="O14:X14" si="17">SUM(O12:O13)</f>
        <v>1875.1359999999997</v>
      </c>
      <c r="P14" s="12">
        <f t="shared" si="17"/>
        <v>1875.1359999999997</v>
      </c>
      <c r="Q14" s="12">
        <f t="shared" si="17"/>
        <v>1875.1359999999997</v>
      </c>
      <c r="R14" s="12">
        <f t="shared" si="17"/>
        <v>1875.1359999999997</v>
      </c>
      <c r="S14" s="12">
        <f t="shared" si="17"/>
        <v>1875.1359999999997</v>
      </c>
      <c r="T14" s="12">
        <f t="shared" si="17"/>
        <v>1875.1359999999997</v>
      </c>
      <c r="U14" s="12">
        <f t="shared" si="17"/>
        <v>1875.1359999999997</v>
      </c>
      <c r="V14" s="12">
        <f t="shared" si="17"/>
        <v>1875.1359999999997</v>
      </c>
      <c r="W14" s="12">
        <f t="shared" si="17"/>
        <v>1875.1359999999997</v>
      </c>
      <c r="X14" s="12">
        <f t="shared" si="17"/>
        <v>1875.1359999999997</v>
      </c>
      <c r="Y14" s="12">
        <f>X14*(1+$AA$18)</f>
        <v>1856.3846399999998</v>
      </c>
      <c r="Z14" s="12">
        <f t="shared" ref="Z14:CK14" si="18">Y14*(1+$AA$18)</f>
        <v>1837.8207935999997</v>
      </c>
      <c r="AA14" s="12">
        <f t="shared" si="18"/>
        <v>1819.4425856639996</v>
      </c>
      <c r="AB14" s="12">
        <f t="shared" si="18"/>
        <v>1801.2481598073596</v>
      </c>
      <c r="AC14" s="12">
        <f t="shared" si="18"/>
        <v>1783.2356782092859</v>
      </c>
      <c r="AD14" s="12">
        <f t="shared" si="18"/>
        <v>1765.4033214271931</v>
      </c>
      <c r="AE14" s="12">
        <f t="shared" si="18"/>
        <v>1747.7492882129211</v>
      </c>
      <c r="AF14" s="12">
        <f t="shared" si="18"/>
        <v>1730.271795330792</v>
      </c>
      <c r="AG14" s="12">
        <f t="shared" si="18"/>
        <v>1712.9690773774839</v>
      </c>
      <c r="AH14" s="12">
        <f t="shared" si="18"/>
        <v>1695.839386603709</v>
      </c>
      <c r="AI14" s="12">
        <f t="shared" si="18"/>
        <v>1678.8809927376719</v>
      </c>
      <c r="AJ14" s="12">
        <f t="shared" si="18"/>
        <v>1662.0921828102953</v>
      </c>
      <c r="AK14" s="12">
        <f t="shared" si="18"/>
        <v>1645.4712609821922</v>
      </c>
      <c r="AL14" s="12">
        <f t="shared" si="18"/>
        <v>1629.0165483723704</v>
      </c>
      <c r="AM14" s="12">
        <f t="shared" si="18"/>
        <v>1612.7263828886466</v>
      </c>
      <c r="AN14" s="12">
        <f t="shared" si="18"/>
        <v>1596.5991190597601</v>
      </c>
      <c r="AO14" s="12">
        <f t="shared" si="18"/>
        <v>1580.6331278691625</v>
      </c>
      <c r="AP14" s="12">
        <f t="shared" si="18"/>
        <v>1564.8267965904708</v>
      </c>
      <c r="AQ14" s="12">
        <f t="shared" si="18"/>
        <v>1549.1785286245661</v>
      </c>
      <c r="AR14" s="12">
        <f t="shared" si="18"/>
        <v>1533.6867433383204</v>
      </c>
      <c r="AS14" s="12">
        <f t="shared" si="18"/>
        <v>1518.3498759049371</v>
      </c>
      <c r="AT14" s="12">
        <f t="shared" si="18"/>
        <v>1503.1663771458877</v>
      </c>
      <c r="AU14" s="12">
        <f t="shared" si="18"/>
        <v>1488.1347133744289</v>
      </c>
      <c r="AV14" s="12">
        <f t="shared" si="18"/>
        <v>1473.2533662406845</v>
      </c>
      <c r="AW14" s="12">
        <f t="shared" si="18"/>
        <v>1458.5208325782776</v>
      </c>
      <c r="AX14" s="12">
        <f t="shared" si="18"/>
        <v>1443.9356242524948</v>
      </c>
      <c r="AY14" s="12">
        <f t="shared" si="18"/>
        <v>1429.4962680099698</v>
      </c>
      <c r="AZ14" s="12">
        <f t="shared" si="18"/>
        <v>1415.2013053298701</v>
      </c>
      <c r="BA14" s="12">
        <f t="shared" si="18"/>
        <v>1401.0492922765714</v>
      </c>
      <c r="BB14" s="12">
        <f t="shared" si="18"/>
        <v>1387.0387993538056</v>
      </c>
      <c r="BC14" s="12">
        <f t="shared" si="18"/>
        <v>1373.1684113602676</v>
      </c>
      <c r="BD14" s="12">
        <f t="shared" si="18"/>
        <v>1359.4367272466648</v>
      </c>
      <c r="BE14" s="12">
        <f t="shared" si="18"/>
        <v>1345.8423599741982</v>
      </c>
      <c r="BF14" s="12">
        <f t="shared" si="18"/>
        <v>1332.3839363744562</v>
      </c>
      <c r="BG14" s="12">
        <f t="shared" si="18"/>
        <v>1319.0600970107116</v>
      </c>
      <c r="BH14" s="12">
        <f t="shared" si="18"/>
        <v>1305.8694960406044</v>
      </c>
      <c r="BI14" s="12">
        <f t="shared" si="18"/>
        <v>1292.8108010801984</v>
      </c>
      <c r="BJ14" s="12">
        <f t="shared" si="18"/>
        <v>1279.8826930693965</v>
      </c>
      <c r="BK14" s="12">
        <f t="shared" si="18"/>
        <v>1267.0838661387024</v>
      </c>
      <c r="BL14" s="12">
        <f t="shared" si="18"/>
        <v>1254.4130274773154</v>
      </c>
      <c r="BM14" s="12">
        <f t="shared" si="18"/>
        <v>1241.8688972025423</v>
      </c>
      <c r="BN14" s="12">
        <f t="shared" si="18"/>
        <v>1229.4502082305169</v>
      </c>
      <c r="BO14" s="12">
        <f t="shared" si="18"/>
        <v>1217.1557061482117</v>
      </c>
      <c r="BP14" s="12">
        <f t="shared" si="18"/>
        <v>1204.9841490867295</v>
      </c>
      <c r="BQ14" s="12">
        <f t="shared" si="18"/>
        <v>1192.9343075958623</v>
      </c>
      <c r="BR14" s="12">
        <f t="shared" si="18"/>
        <v>1181.0049645199035</v>
      </c>
      <c r="BS14" s="12">
        <f t="shared" si="18"/>
        <v>1169.1949148747044</v>
      </c>
      <c r="BT14" s="12">
        <f t="shared" si="18"/>
        <v>1157.5029657259574</v>
      </c>
      <c r="BU14" s="12">
        <f t="shared" si="18"/>
        <v>1145.9279360686978</v>
      </c>
      <c r="BV14" s="12">
        <f t="shared" si="18"/>
        <v>1134.4686567080109</v>
      </c>
      <c r="BW14" s="12">
        <f t="shared" si="18"/>
        <v>1123.1239701409309</v>
      </c>
      <c r="BX14" s="12">
        <f t="shared" si="18"/>
        <v>1111.8927304395215</v>
      </c>
      <c r="BY14" s="12">
        <f t="shared" si="18"/>
        <v>1100.7738031351264</v>
      </c>
      <c r="BZ14" s="12">
        <f t="shared" si="18"/>
        <v>1089.7660651037752</v>
      </c>
      <c r="CA14" s="12">
        <f t="shared" si="18"/>
        <v>1078.8684044527374</v>
      </c>
      <c r="CB14" s="12">
        <f t="shared" si="18"/>
        <v>1068.0797204082101</v>
      </c>
      <c r="CC14" s="12">
        <f t="shared" si="18"/>
        <v>1057.3989232041279</v>
      </c>
      <c r="CD14" s="12">
        <f t="shared" si="18"/>
        <v>1046.8249339720867</v>
      </c>
      <c r="CE14" s="12">
        <f t="shared" si="18"/>
        <v>1036.3566846323658</v>
      </c>
      <c r="CF14" s="12">
        <f t="shared" si="18"/>
        <v>1025.9931177860421</v>
      </c>
      <c r="CG14" s="12">
        <f t="shared" si="18"/>
        <v>1015.7331866081818</v>
      </c>
      <c r="CH14" s="12">
        <f t="shared" si="18"/>
        <v>1005.5758547421</v>
      </c>
      <c r="CI14" s="12">
        <f t="shared" si="18"/>
        <v>995.52009619467901</v>
      </c>
      <c r="CJ14" s="12">
        <f t="shared" si="18"/>
        <v>985.56489523273217</v>
      </c>
      <c r="CK14" s="12">
        <f t="shared" si="18"/>
        <v>975.70924628040484</v>
      </c>
      <c r="CL14" s="12">
        <f t="shared" ref="CL14:EW14" si="19">CK14*(1+$AA$18)</f>
        <v>965.95215381760079</v>
      </c>
      <c r="CM14" s="12">
        <f t="shared" si="19"/>
        <v>956.29263227942477</v>
      </c>
      <c r="CN14" s="12">
        <f t="shared" si="19"/>
        <v>946.72970595663048</v>
      </c>
      <c r="CO14" s="12">
        <f t="shared" si="19"/>
        <v>937.26240889706412</v>
      </c>
      <c r="CP14" s="12">
        <f t="shared" si="19"/>
        <v>927.88978480809351</v>
      </c>
      <c r="CQ14" s="12">
        <f t="shared" si="19"/>
        <v>918.61088696001252</v>
      </c>
      <c r="CR14" s="12">
        <f t="shared" si="19"/>
        <v>909.42477809041236</v>
      </c>
      <c r="CS14" s="12">
        <f t="shared" si="19"/>
        <v>900.33053030950828</v>
      </c>
      <c r="CT14" s="12">
        <f t="shared" si="19"/>
        <v>891.32722500641319</v>
      </c>
      <c r="CU14" s="12">
        <f t="shared" si="19"/>
        <v>882.41395275634909</v>
      </c>
      <c r="CV14" s="12">
        <f t="shared" si="19"/>
        <v>873.5898132287856</v>
      </c>
      <c r="CW14" s="12">
        <f t="shared" si="19"/>
        <v>864.85391509649776</v>
      </c>
      <c r="CX14" s="12">
        <f t="shared" si="19"/>
        <v>856.20537594553275</v>
      </c>
      <c r="CY14" s="12">
        <f t="shared" si="19"/>
        <v>847.6433221860774</v>
      </c>
      <c r="CZ14" s="12">
        <f t="shared" si="19"/>
        <v>839.16688896421658</v>
      </c>
      <c r="DA14" s="12">
        <f t="shared" si="19"/>
        <v>830.77522007457446</v>
      </c>
      <c r="DB14" s="12">
        <f t="shared" si="19"/>
        <v>822.4674678738287</v>
      </c>
      <c r="DC14" s="12">
        <f t="shared" si="19"/>
        <v>814.24279319509037</v>
      </c>
      <c r="DD14" s="12">
        <f t="shared" si="19"/>
        <v>806.10036526313945</v>
      </c>
      <c r="DE14" s="12">
        <f t="shared" si="19"/>
        <v>798.03936161050808</v>
      </c>
      <c r="DF14" s="12">
        <f t="shared" si="19"/>
        <v>790.05896799440302</v>
      </c>
      <c r="DG14" s="12">
        <f t="shared" si="19"/>
        <v>782.15837831445901</v>
      </c>
      <c r="DH14" s="12">
        <f t="shared" si="19"/>
        <v>774.33679453131447</v>
      </c>
      <c r="DI14" s="12">
        <f t="shared" si="19"/>
        <v>766.59342658600133</v>
      </c>
      <c r="DJ14" s="12">
        <f t="shared" si="19"/>
        <v>758.92749232014125</v>
      </c>
      <c r="DK14" s="12">
        <f t="shared" si="19"/>
        <v>751.33821739693985</v>
      </c>
      <c r="DL14" s="12">
        <f t="shared" si="19"/>
        <v>743.82483522297048</v>
      </c>
      <c r="DM14" s="12">
        <f t="shared" si="19"/>
        <v>736.38658687074076</v>
      </c>
      <c r="DN14" s="12">
        <f t="shared" si="19"/>
        <v>729.02272100203334</v>
      </c>
      <c r="DO14" s="12">
        <f t="shared" si="19"/>
        <v>721.73249379201297</v>
      </c>
      <c r="DP14" s="12">
        <f t="shared" si="19"/>
        <v>714.51516885409285</v>
      </c>
      <c r="DQ14" s="12">
        <f t="shared" si="19"/>
        <v>707.37001716555187</v>
      </c>
      <c r="DR14" s="12">
        <f t="shared" si="19"/>
        <v>700.29631699389631</v>
      </c>
      <c r="DS14" s="12">
        <f t="shared" si="19"/>
        <v>693.29335382395732</v>
      </c>
      <c r="DT14" s="12">
        <f t="shared" si="19"/>
        <v>686.36042028571774</v>
      </c>
      <c r="DU14" s="12">
        <f t="shared" si="19"/>
        <v>679.49681608286051</v>
      </c>
      <c r="DV14" s="12">
        <f t="shared" si="19"/>
        <v>672.7018479220319</v>
      </c>
      <c r="DW14" s="12">
        <f t="shared" si="19"/>
        <v>665.9748294428116</v>
      </c>
      <c r="DX14" s="12">
        <f t="shared" si="19"/>
        <v>659.31508114838346</v>
      </c>
      <c r="DY14" s="12">
        <f t="shared" si="19"/>
        <v>652.72193033689962</v>
      </c>
      <c r="DZ14" s="12">
        <f t="shared" si="19"/>
        <v>646.19471103353067</v>
      </c>
      <c r="EA14" s="12">
        <f t="shared" si="19"/>
        <v>639.73276392319531</v>
      </c>
      <c r="EB14" s="12">
        <f t="shared" si="19"/>
        <v>633.3354362839633</v>
      </c>
      <c r="EC14" s="12">
        <f t="shared" si="19"/>
        <v>627.0020819211237</v>
      </c>
      <c r="ED14" s="12">
        <f t="shared" si="19"/>
        <v>620.73206110191245</v>
      </c>
      <c r="EE14" s="12">
        <f t="shared" si="19"/>
        <v>614.52474049089335</v>
      </c>
      <c r="EF14" s="12">
        <f t="shared" si="19"/>
        <v>608.37949308598445</v>
      </c>
      <c r="EG14" s="12">
        <f t="shared" si="19"/>
        <v>602.29569815512457</v>
      </c>
      <c r="EH14" s="12">
        <f t="shared" si="19"/>
        <v>596.27274117357331</v>
      </c>
      <c r="EI14" s="12">
        <f t="shared" si="19"/>
        <v>590.31001376183758</v>
      </c>
      <c r="EJ14" s="12">
        <f t="shared" si="19"/>
        <v>584.40691362421921</v>
      </c>
      <c r="EK14" s="12">
        <f t="shared" si="19"/>
        <v>578.56284448797703</v>
      </c>
      <c r="EL14" s="12">
        <f t="shared" si="19"/>
        <v>572.77721604309727</v>
      </c>
      <c r="EM14" s="12">
        <f t="shared" si="19"/>
        <v>567.04944388266631</v>
      </c>
      <c r="EN14" s="12">
        <f t="shared" si="19"/>
        <v>561.37894944383959</v>
      </c>
      <c r="EO14" s="12">
        <f t="shared" si="19"/>
        <v>555.76515994940121</v>
      </c>
      <c r="EP14" s="12">
        <f t="shared" si="19"/>
        <v>550.20750834990724</v>
      </c>
      <c r="EQ14" s="12">
        <f t="shared" si="19"/>
        <v>544.70543326640814</v>
      </c>
      <c r="ER14" s="12">
        <f t="shared" si="19"/>
        <v>539.2583789337441</v>
      </c>
      <c r="ES14" s="12">
        <f t="shared" si="19"/>
        <v>533.86579514440666</v>
      </c>
      <c r="ET14" s="12">
        <f t="shared" si="19"/>
        <v>528.52713719296264</v>
      </c>
      <c r="EU14" s="12">
        <f t="shared" si="19"/>
        <v>523.241865821033</v>
      </c>
      <c r="EV14" s="12">
        <f t="shared" si="19"/>
        <v>518.00944716282265</v>
      </c>
      <c r="EW14" s="12">
        <f t="shared" si="19"/>
        <v>512.82935269119446</v>
      </c>
      <c r="EX14" s="12">
        <f t="shared" ref="EX14:FW14" si="20">EW14*(1+$AA$18)</f>
        <v>507.70105916428253</v>
      </c>
      <c r="EY14" s="12">
        <f t="shared" si="20"/>
        <v>502.62404857263971</v>
      </c>
      <c r="EZ14" s="12">
        <f t="shared" si="20"/>
        <v>497.59780808691329</v>
      </c>
      <c r="FA14" s="12">
        <f t="shared" si="20"/>
        <v>492.62183000604415</v>
      </c>
      <c r="FB14" s="12">
        <f t="shared" si="20"/>
        <v>487.69561170598371</v>
      </c>
      <c r="FC14" s="12">
        <f t="shared" si="20"/>
        <v>482.81865558892389</v>
      </c>
      <c r="FD14" s="12">
        <f t="shared" si="20"/>
        <v>477.99046903303463</v>
      </c>
      <c r="FE14" s="12">
        <f t="shared" si="20"/>
        <v>473.21056434270429</v>
      </c>
      <c r="FF14" s="12">
        <f t="shared" si="20"/>
        <v>468.47845869927727</v>
      </c>
      <c r="FG14" s="12">
        <f t="shared" si="20"/>
        <v>463.79367411228446</v>
      </c>
      <c r="FH14" s="12">
        <f t="shared" si="20"/>
        <v>459.15573737116159</v>
      </c>
      <c r="FI14" s="12">
        <f t="shared" si="20"/>
        <v>454.56417999744997</v>
      </c>
      <c r="FJ14" s="12">
        <f t="shared" si="20"/>
        <v>450.01853819747549</v>
      </c>
      <c r="FK14" s="12">
        <f t="shared" si="20"/>
        <v>445.51835281550075</v>
      </c>
      <c r="FL14" s="12">
        <f t="shared" si="20"/>
        <v>441.06316928734572</v>
      </c>
      <c r="FM14" s="12">
        <f t="shared" si="20"/>
        <v>436.65253759447228</v>
      </c>
      <c r="FN14" s="12">
        <f t="shared" si="20"/>
        <v>432.28601221852756</v>
      </c>
      <c r="FO14" s="12">
        <f t="shared" si="20"/>
        <v>427.9631520963423</v>
      </c>
      <c r="FP14" s="12">
        <f t="shared" si="20"/>
        <v>423.68352057537885</v>
      </c>
      <c r="FQ14" s="12">
        <f t="shared" si="20"/>
        <v>419.44668536962507</v>
      </c>
      <c r="FR14" s="12">
        <f t="shared" si="20"/>
        <v>415.2522185159288</v>
      </c>
      <c r="FS14" s="12">
        <f t="shared" si="20"/>
        <v>411.09969633076952</v>
      </c>
      <c r="FT14" s="12">
        <f t="shared" si="20"/>
        <v>406.98869936746183</v>
      </c>
      <c r="FU14" s="12">
        <f t="shared" si="20"/>
        <v>402.9188123737872</v>
      </c>
      <c r="FV14" s="12">
        <f t="shared" si="20"/>
        <v>398.88962425004934</v>
      </c>
      <c r="FW14" s="12">
        <f t="shared" si="20"/>
        <v>394.90072800754882</v>
      </c>
    </row>
    <row r="15" spans="1:179" x14ac:dyDescent="0.25">
      <c r="C15" s="2" t="s">
        <v>66</v>
      </c>
      <c r="D15" s="2">
        <v>571.70000000000005</v>
      </c>
      <c r="E15" s="2">
        <v>571.70000000000005</v>
      </c>
      <c r="F15" s="2">
        <v>571.70000000000005</v>
      </c>
      <c r="G15" s="2">
        <v>571.70000000000005</v>
      </c>
      <c r="H15" s="2">
        <v>571.70000000000005</v>
      </c>
      <c r="I15" s="2">
        <v>571.70000000000005</v>
      </c>
      <c r="J15" s="2">
        <v>571.70000000000005</v>
      </c>
      <c r="K15" s="2">
        <v>571.70000000000005</v>
      </c>
      <c r="L15" s="2">
        <v>571.70000000000005</v>
      </c>
      <c r="M15" s="2">
        <v>571.70000000000005</v>
      </c>
      <c r="N15" s="4">
        <v>571.70000000000005</v>
      </c>
      <c r="O15" s="2">
        <v>571.70000000000005</v>
      </c>
      <c r="P15" s="2">
        <v>571.70000000000005</v>
      </c>
      <c r="Q15" s="2">
        <v>571.70000000000005</v>
      </c>
      <c r="R15" s="2">
        <v>571.70000000000005</v>
      </c>
      <c r="S15" s="2">
        <v>571.70000000000005</v>
      </c>
      <c r="T15" s="2">
        <v>571.70000000000005</v>
      </c>
      <c r="U15" s="2">
        <v>571.70000000000005</v>
      </c>
      <c r="V15" s="2">
        <v>571.70000000000005</v>
      </c>
      <c r="W15" s="2">
        <v>571.70000000000005</v>
      </c>
      <c r="X15" s="2">
        <v>571.70000000000005</v>
      </c>
    </row>
    <row r="16" spans="1:179" x14ac:dyDescent="0.25">
      <c r="C16" s="2" t="s">
        <v>67</v>
      </c>
      <c r="D16" s="19">
        <f t="shared" ref="D16:N16" si="21">D14/D15</f>
        <v>3.3024313451110721</v>
      </c>
      <c r="E16" s="19">
        <f t="shared" si="21"/>
        <v>3.6802518803568303</v>
      </c>
      <c r="F16" s="19">
        <f t="shared" si="21"/>
        <v>4.6527899247857265</v>
      </c>
      <c r="G16" s="19">
        <f t="shared" si="21"/>
        <v>2.1217421724680774</v>
      </c>
      <c r="H16" s="19">
        <f t="shared" si="21"/>
        <v>4.4218995976910964</v>
      </c>
      <c r="I16" s="19">
        <f t="shared" si="21"/>
        <v>4.3641770159174387</v>
      </c>
      <c r="J16" s="19">
        <f t="shared" si="21"/>
        <v>7.7610634948399504</v>
      </c>
      <c r="K16" s="19">
        <f t="shared" si="21"/>
        <v>3.3811439566206047</v>
      </c>
      <c r="L16" s="19">
        <f t="shared" si="21"/>
        <v>3.806192058772083</v>
      </c>
      <c r="M16" s="19">
        <f t="shared" si="21"/>
        <v>2.3176491166695818</v>
      </c>
      <c r="N16" s="24">
        <f t="shared" si="21"/>
        <v>3.0960293860416299</v>
      </c>
      <c r="O16" s="19">
        <f t="shared" ref="O16:X16" si="22">O14/O15</f>
        <v>3.2799300332342129</v>
      </c>
      <c r="P16" s="19">
        <f t="shared" si="22"/>
        <v>3.2799300332342129</v>
      </c>
      <c r="Q16" s="19">
        <f t="shared" si="22"/>
        <v>3.2799300332342129</v>
      </c>
      <c r="R16" s="19">
        <f t="shared" si="22"/>
        <v>3.2799300332342129</v>
      </c>
      <c r="S16" s="19">
        <f t="shared" si="22"/>
        <v>3.2799300332342129</v>
      </c>
      <c r="T16" s="19">
        <f t="shared" si="22"/>
        <v>3.2799300332342129</v>
      </c>
      <c r="U16" s="19">
        <f t="shared" si="22"/>
        <v>3.2799300332342129</v>
      </c>
      <c r="V16" s="19">
        <f t="shared" si="22"/>
        <v>3.2799300332342129</v>
      </c>
      <c r="W16" s="19">
        <f t="shared" si="22"/>
        <v>3.2799300332342129</v>
      </c>
      <c r="X16" s="19">
        <f t="shared" si="22"/>
        <v>3.2799300332342129</v>
      </c>
    </row>
    <row r="17" spans="1:27" x14ac:dyDescent="0.25"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Z17" s="2" t="s">
        <v>117</v>
      </c>
      <c r="AA17" s="27">
        <v>0.08</v>
      </c>
    </row>
    <row r="18" spans="1:27" x14ac:dyDescent="0.25">
      <c r="C18" s="1" t="s">
        <v>38</v>
      </c>
      <c r="E18" s="18">
        <f t="shared" ref="E18:L18" si="23">(E4-D4)/D4</f>
        <v>-5.1976776333978432E-3</v>
      </c>
      <c r="F18" s="18">
        <f t="shared" si="23"/>
        <v>9.482519037296426E-2</v>
      </c>
      <c r="G18" s="18">
        <f t="shared" si="23"/>
        <v>4.2925318576432961E-2</v>
      </c>
      <c r="H18" s="18">
        <f t="shared" si="23"/>
        <v>2.901302178410612E-2</v>
      </c>
      <c r="I18" s="18">
        <f t="shared" si="23"/>
        <v>-7.9002767462213498E-3</v>
      </c>
      <c r="J18" s="18">
        <f t="shared" si="23"/>
        <v>0.12197506139284267</v>
      </c>
      <c r="K18" s="18">
        <f t="shared" si="23"/>
        <v>0.14828194394271021</v>
      </c>
      <c r="L18" s="18">
        <f t="shared" si="23"/>
        <v>-1.4360530747450822E-2</v>
      </c>
      <c r="M18" s="18">
        <f>(M4-L4)/L4</f>
        <v>-9.2168753872439502E-2</v>
      </c>
      <c r="N18" s="25">
        <f t="shared" ref="N18" si="24">(N4-M4)/M4</f>
        <v>-3.5944738583719389E-2</v>
      </c>
      <c r="O18" s="18">
        <f t="shared" ref="O18:X18" si="25">(O4-N4)/N4</f>
        <v>0</v>
      </c>
      <c r="P18" s="18">
        <f t="shared" si="25"/>
        <v>0</v>
      </c>
      <c r="Q18" s="18">
        <f t="shared" si="25"/>
        <v>0</v>
      </c>
      <c r="R18" s="18">
        <f t="shared" si="25"/>
        <v>0</v>
      </c>
      <c r="S18" s="18">
        <f t="shared" si="25"/>
        <v>0</v>
      </c>
      <c r="T18" s="18">
        <f t="shared" si="25"/>
        <v>0</v>
      </c>
      <c r="U18" s="18">
        <f t="shared" si="25"/>
        <v>0</v>
      </c>
      <c r="V18" s="18">
        <f t="shared" si="25"/>
        <v>0</v>
      </c>
      <c r="W18" s="18">
        <f t="shared" si="25"/>
        <v>0</v>
      </c>
      <c r="X18" s="18">
        <f t="shared" si="25"/>
        <v>0</v>
      </c>
      <c r="Z18" s="2" t="s">
        <v>118</v>
      </c>
      <c r="AA18" s="27">
        <v>-0.01</v>
      </c>
    </row>
    <row r="19" spans="1:27" x14ac:dyDescent="0.25">
      <c r="C19" s="2" t="s">
        <v>68</v>
      </c>
      <c r="D19" s="20">
        <f t="shared" ref="D19:X19" si="26">D6/D4</f>
        <v>0.28128283107547691</v>
      </c>
      <c r="E19" s="20">
        <f t="shared" si="26"/>
        <v>0.30837641042743597</v>
      </c>
      <c r="F19" s="20">
        <f t="shared" si="26"/>
        <v>0.29121185967406205</v>
      </c>
      <c r="G19" s="20">
        <f t="shared" si="26"/>
        <v>0.25561640501399535</v>
      </c>
      <c r="H19" s="20">
        <f t="shared" si="26"/>
        <v>0.29635499207606975</v>
      </c>
      <c r="I19" s="20">
        <f t="shared" si="26"/>
        <v>0.29983549102353196</v>
      </c>
      <c r="J19" s="20">
        <f t="shared" si="26"/>
        <v>0.32965001381244818</v>
      </c>
      <c r="K19" s="20">
        <f t="shared" si="26"/>
        <v>0.27042581934600368</v>
      </c>
      <c r="L19" s="20">
        <f t="shared" si="26"/>
        <v>0.30275436060156585</v>
      </c>
      <c r="M19" s="20">
        <f t="shared" si="26"/>
        <v>0.29572716743878225</v>
      </c>
      <c r="N19" s="21">
        <f>N6/N4</f>
        <v>0.30248423220491699</v>
      </c>
      <c r="O19" s="20">
        <f t="shared" si="26"/>
        <v>0.26</v>
      </c>
      <c r="P19" s="20">
        <f t="shared" si="26"/>
        <v>0.26</v>
      </c>
      <c r="Q19" s="20">
        <f t="shared" si="26"/>
        <v>0.26</v>
      </c>
      <c r="R19" s="20">
        <f t="shared" si="26"/>
        <v>0.26</v>
      </c>
      <c r="S19" s="20">
        <f t="shared" si="26"/>
        <v>0.26</v>
      </c>
      <c r="T19" s="20">
        <f t="shared" si="26"/>
        <v>0.26</v>
      </c>
      <c r="U19" s="20">
        <f t="shared" si="26"/>
        <v>0.26</v>
      </c>
      <c r="V19" s="20">
        <f t="shared" si="26"/>
        <v>0.26</v>
      </c>
      <c r="W19" s="20">
        <f t="shared" si="26"/>
        <v>0.26</v>
      </c>
      <c r="X19" s="20">
        <f t="shared" si="26"/>
        <v>0.26</v>
      </c>
      <c r="Z19" s="26" t="s">
        <v>119</v>
      </c>
      <c r="AA19" s="28">
        <f>NPV(AA17,O14:FW14)</f>
        <v>22136.36055053871</v>
      </c>
    </row>
    <row r="20" spans="1:27" x14ac:dyDescent="0.25">
      <c r="C20" s="20" t="s">
        <v>39</v>
      </c>
      <c r="D20" s="20">
        <f t="shared" ref="D20:X20" si="27">D10/D4</f>
        <v>7.8158695051147364E-2</v>
      </c>
      <c r="E20" s="20">
        <f t="shared" si="27"/>
        <v>8.9433605691734752E-2</v>
      </c>
      <c r="F20" s="20">
        <f t="shared" si="27"/>
        <v>9.6207544296085704E-2</v>
      </c>
      <c r="G20" s="20">
        <f t="shared" si="27"/>
        <v>5.0383351588170866E-2</v>
      </c>
      <c r="H20" s="20">
        <f t="shared" si="27"/>
        <v>8.7281500579511312E-2</v>
      </c>
      <c r="I20" s="20">
        <f t="shared" si="27"/>
        <v>8.7475860095844363E-2</v>
      </c>
      <c r="J20" s="20">
        <f t="shared" si="27"/>
        <v>0.12210204211734206</v>
      </c>
      <c r="K20" s="20">
        <f t="shared" si="27"/>
        <v>5.6313266835686659E-2</v>
      </c>
      <c r="L20" s="20">
        <f t="shared" si="27"/>
        <v>7.2848801186609344E-2</v>
      </c>
      <c r="M20" s="20">
        <f t="shared" si="27"/>
        <v>5.3710291197882197E-2</v>
      </c>
      <c r="N20" s="21">
        <f>N10/N4</f>
        <v>6.2191616252627965E-2</v>
      </c>
      <c r="O20" s="20">
        <f t="shared" si="27"/>
        <v>5.0283605783670131E-2</v>
      </c>
      <c r="P20" s="20">
        <f t="shared" si="27"/>
        <v>5.0283605783670131E-2</v>
      </c>
      <c r="Q20" s="20">
        <f t="shared" si="27"/>
        <v>5.0283605783670131E-2</v>
      </c>
      <c r="R20" s="20">
        <f t="shared" si="27"/>
        <v>5.0283605783670131E-2</v>
      </c>
      <c r="S20" s="20">
        <f t="shared" si="27"/>
        <v>5.0283605783670131E-2</v>
      </c>
      <c r="T20" s="20">
        <f t="shared" si="27"/>
        <v>5.0283605783670131E-2</v>
      </c>
      <c r="U20" s="20">
        <f t="shared" si="27"/>
        <v>5.0283605783670131E-2</v>
      </c>
      <c r="V20" s="20">
        <f t="shared" si="27"/>
        <v>5.0283605783670131E-2</v>
      </c>
      <c r="W20" s="20">
        <f t="shared" si="27"/>
        <v>5.0283605783670131E-2</v>
      </c>
      <c r="X20" s="20">
        <f t="shared" si="27"/>
        <v>5.0283605783670131E-2</v>
      </c>
      <c r="Z20" s="2" t="s">
        <v>2</v>
      </c>
      <c r="AA20" s="2">
        <v>571.70000000000005</v>
      </c>
    </row>
    <row r="21" spans="1:27" x14ac:dyDescent="0.25">
      <c r="N21" s="4"/>
      <c r="Z21" s="2" t="s">
        <v>120</v>
      </c>
      <c r="AA21" s="9">
        <f>AA19/AA20</f>
        <v>38.720238849988995</v>
      </c>
    </row>
    <row r="22" spans="1:27" s="26" customFormat="1" x14ac:dyDescent="0.25">
      <c r="B22" s="38"/>
      <c r="N22" s="38"/>
      <c r="Z22" s="39" t="s">
        <v>121</v>
      </c>
      <c r="AA22" s="40">
        <f>(AA21-Modell!B4)/Modell!B4</f>
        <v>6.0828461643534108E-2</v>
      </c>
    </row>
    <row r="23" spans="1:27" x14ac:dyDescent="0.25">
      <c r="A23" s="1" t="s">
        <v>135</v>
      </c>
    </row>
    <row r="24" spans="1:27" x14ac:dyDescent="0.25">
      <c r="A24" s="37">
        <f>AA42</f>
        <v>33.59856686803306</v>
      </c>
      <c r="D24" s="7" t="s">
        <v>42</v>
      </c>
      <c r="E24" s="7" t="s">
        <v>43</v>
      </c>
      <c r="F24" s="7" t="s">
        <v>44</v>
      </c>
      <c r="G24" s="7" t="s">
        <v>45</v>
      </c>
      <c r="H24" s="7" t="s">
        <v>32</v>
      </c>
      <c r="I24" s="7" t="s">
        <v>33</v>
      </c>
      <c r="J24" s="7" t="s">
        <v>34</v>
      </c>
      <c r="K24" s="7" t="s">
        <v>15</v>
      </c>
      <c r="L24" s="7" t="s">
        <v>16</v>
      </c>
      <c r="M24" s="7" t="s">
        <v>17</v>
      </c>
      <c r="N24" s="17" t="s">
        <v>18</v>
      </c>
      <c r="O24" s="7" t="s">
        <v>19</v>
      </c>
      <c r="P24" s="7" t="s">
        <v>20</v>
      </c>
      <c r="Q24" s="7" t="s">
        <v>21</v>
      </c>
      <c r="R24" s="7" t="s">
        <v>22</v>
      </c>
      <c r="S24" s="7" t="s">
        <v>23</v>
      </c>
      <c r="T24" s="7" t="s">
        <v>24</v>
      </c>
      <c r="U24" s="7" t="s">
        <v>25</v>
      </c>
      <c r="V24" s="7" t="s">
        <v>26</v>
      </c>
      <c r="W24" s="7" t="s">
        <v>27</v>
      </c>
      <c r="X24" s="7" t="s">
        <v>28</v>
      </c>
    </row>
    <row r="25" spans="1:27" x14ac:dyDescent="0.25">
      <c r="A25" s="18">
        <f>AA43</f>
        <v>-7.9491318684025744E-2</v>
      </c>
      <c r="C25" s="1" t="s">
        <v>55</v>
      </c>
      <c r="D25" s="12">
        <v>36170</v>
      </c>
      <c r="E25" s="12">
        <v>35982</v>
      </c>
      <c r="F25" s="12">
        <v>39394</v>
      </c>
      <c r="G25" s="12">
        <v>41085</v>
      </c>
      <c r="H25" s="12">
        <v>42277</v>
      </c>
      <c r="I25" s="12">
        <v>41943</v>
      </c>
      <c r="J25" s="12">
        <v>47059</v>
      </c>
      <c r="K25" s="12">
        <v>54037</v>
      </c>
      <c r="L25" s="12">
        <v>53261</v>
      </c>
      <c r="M25" s="12">
        <v>48352</v>
      </c>
      <c r="N25" s="13">
        <v>46614</v>
      </c>
      <c r="O25" s="12">
        <f>N25*0.98</f>
        <v>45681.72</v>
      </c>
      <c r="P25" s="12">
        <f t="shared" ref="P25:X25" si="28">O25*0.98</f>
        <v>44768.085599999999</v>
      </c>
      <c r="Q25" s="12">
        <f t="shared" si="28"/>
        <v>43872.723888</v>
      </c>
      <c r="R25" s="12">
        <f t="shared" si="28"/>
        <v>42995.269410239998</v>
      </c>
      <c r="S25" s="12">
        <f t="shared" si="28"/>
        <v>42135.364022035195</v>
      </c>
      <c r="T25" s="12">
        <f t="shared" si="28"/>
        <v>41292.656741594488</v>
      </c>
      <c r="U25" s="12">
        <f t="shared" si="28"/>
        <v>40466.803606762594</v>
      </c>
      <c r="V25" s="12">
        <f t="shared" si="28"/>
        <v>39657.467534627343</v>
      </c>
      <c r="W25" s="12">
        <f t="shared" si="28"/>
        <v>38864.318183934796</v>
      </c>
      <c r="X25" s="12">
        <f t="shared" si="28"/>
        <v>38087.031820256103</v>
      </c>
    </row>
    <row r="26" spans="1:27" x14ac:dyDescent="0.25">
      <c r="C26" s="2" t="s">
        <v>56</v>
      </c>
      <c r="D26" s="14">
        <v>-25996</v>
      </c>
      <c r="E26" s="14">
        <v>-24886</v>
      </c>
      <c r="F26" s="14">
        <v>-27922</v>
      </c>
      <c r="G26" s="14">
        <v>-30583</v>
      </c>
      <c r="H26" s="14">
        <v>-29748</v>
      </c>
      <c r="I26" s="14">
        <v>-29367</v>
      </c>
      <c r="J26" s="14">
        <v>-31546</v>
      </c>
      <c r="K26" s="14">
        <v>-39424</v>
      </c>
      <c r="L26" s="14">
        <v>-37136</v>
      </c>
      <c r="M26" s="14">
        <v>-34053</v>
      </c>
      <c r="N26" s="15">
        <v>-32514</v>
      </c>
      <c r="O26" s="14">
        <f>O25*-0.74</f>
        <v>-33804.472800000003</v>
      </c>
      <c r="P26" s="14">
        <f t="shared" ref="P26" si="29">P25*-0.74</f>
        <v>-33128.383344000002</v>
      </c>
      <c r="Q26" s="14">
        <f t="shared" ref="Q26" si="30">Q25*-0.74</f>
        <v>-32465.815677120001</v>
      </c>
      <c r="R26" s="14">
        <f t="shared" ref="R26" si="31">R25*-0.74</f>
        <v>-31816.499363577597</v>
      </c>
      <c r="S26" s="14">
        <f t="shared" ref="S26" si="32">S25*-0.74</f>
        <v>-31180.169376306043</v>
      </c>
      <c r="T26" s="14">
        <f t="shared" ref="T26" si="33">T25*-0.74</f>
        <v>-30556.565988779919</v>
      </c>
      <c r="U26" s="14">
        <f t="shared" ref="U26" si="34">U25*-0.74</f>
        <v>-29945.43466900432</v>
      </c>
      <c r="V26" s="14">
        <f t="shared" ref="V26" si="35">V25*-0.74</f>
        <v>-29346.525975624234</v>
      </c>
      <c r="W26" s="14">
        <f t="shared" ref="W26" si="36">W25*-0.74</f>
        <v>-28759.595456111751</v>
      </c>
      <c r="X26" s="14">
        <f t="shared" ref="X26" si="37">X25*-0.74</f>
        <v>-28184.403546989517</v>
      </c>
    </row>
    <row r="27" spans="1:27" x14ac:dyDescent="0.25">
      <c r="C27" s="2" t="s">
        <v>57</v>
      </c>
      <c r="D27" s="14">
        <f t="shared" ref="D27:M27" si="38">SUM(D25:D26)</f>
        <v>10174</v>
      </c>
      <c r="E27" s="14">
        <f t="shared" si="38"/>
        <v>11096</v>
      </c>
      <c r="F27" s="14">
        <f t="shared" si="38"/>
        <v>11472</v>
      </c>
      <c r="G27" s="14">
        <f t="shared" si="38"/>
        <v>10502</v>
      </c>
      <c r="H27" s="14">
        <f t="shared" si="38"/>
        <v>12529</v>
      </c>
      <c r="I27" s="14">
        <f t="shared" si="38"/>
        <v>12576</v>
      </c>
      <c r="J27" s="14">
        <f t="shared" si="38"/>
        <v>15513</v>
      </c>
      <c r="K27" s="14">
        <f t="shared" si="38"/>
        <v>14613</v>
      </c>
      <c r="L27" s="14">
        <f t="shared" si="38"/>
        <v>16125</v>
      </c>
      <c r="M27" s="14">
        <f t="shared" si="38"/>
        <v>14299</v>
      </c>
      <c r="N27" s="15">
        <f t="shared" ref="N27" si="39">SUM(N25:N26)</f>
        <v>14100</v>
      </c>
      <c r="O27" s="14">
        <f t="shared" ref="O27" si="40">SUM(O25:O26)</f>
        <v>11877.247199999998</v>
      </c>
      <c r="P27" s="14">
        <f t="shared" ref="P27" si="41">SUM(P25:P26)</f>
        <v>11639.702255999997</v>
      </c>
      <c r="Q27" s="14">
        <f t="shared" ref="Q27" si="42">SUM(Q25:Q26)</f>
        <v>11406.908210879999</v>
      </c>
      <c r="R27" s="14">
        <f t="shared" ref="R27" si="43">SUM(R25:R26)</f>
        <v>11178.770046662401</v>
      </c>
      <c r="S27" s="14">
        <f t="shared" ref="S27" si="44">SUM(S25:S26)</f>
        <v>10955.194645729152</v>
      </c>
      <c r="T27" s="14">
        <f t="shared" ref="T27" si="45">SUM(T25:T26)</f>
        <v>10736.090752814569</v>
      </c>
      <c r="U27" s="14">
        <f t="shared" ref="U27" si="46">SUM(U25:U26)</f>
        <v>10521.368937758274</v>
      </c>
      <c r="V27" s="14">
        <f t="shared" ref="V27" si="47">SUM(V25:V26)</f>
        <v>10310.941559003109</v>
      </c>
      <c r="W27" s="14">
        <f t="shared" ref="W27" si="48">SUM(W25:W26)</f>
        <v>10104.722727823046</v>
      </c>
      <c r="X27" s="14">
        <f t="shared" ref="X27" si="49">SUM(X25:X26)</f>
        <v>9902.6282732665859</v>
      </c>
    </row>
    <row r="28" spans="1:27" x14ac:dyDescent="0.25">
      <c r="C28" s="2" t="s">
        <v>58</v>
      </c>
      <c r="D28" s="14">
        <v>-5833</v>
      </c>
      <c r="E28" s="14">
        <v>-6168</v>
      </c>
      <c r="F28" s="14">
        <v>-5870</v>
      </c>
      <c r="G28" s="14">
        <v>-6473</v>
      </c>
      <c r="H28" s="14">
        <v>-6985</v>
      </c>
      <c r="I28" s="14">
        <v>-6596</v>
      </c>
      <c r="J28" s="14">
        <v>-7152</v>
      </c>
      <c r="K28" s="14">
        <v>-8770</v>
      </c>
      <c r="L28" s="14">
        <v>-9034</v>
      </c>
      <c r="M28" s="14">
        <v>-8587</v>
      </c>
      <c r="N28" s="15">
        <v>-8116</v>
      </c>
      <c r="O28" s="14">
        <f>N28*0.85</f>
        <v>-6898.5999999999995</v>
      </c>
      <c r="P28" s="14">
        <f>O28*0.98</f>
        <v>-6760.6279999999997</v>
      </c>
      <c r="Q28" s="14">
        <f t="shared" ref="Q28:X28" si="50">P28*0.98</f>
        <v>-6625.4154399999998</v>
      </c>
      <c r="R28" s="14">
        <f t="shared" si="50"/>
        <v>-6492.9071311999996</v>
      </c>
      <c r="S28" s="14">
        <f t="shared" si="50"/>
        <v>-6363.0489885759998</v>
      </c>
      <c r="T28" s="14">
        <f t="shared" si="50"/>
        <v>-6235.7880088044794</v>
      </c>
      <c r="U28" s="14">
        <f t="shared" si="50"/>
        <v>-6111.0722486283894</v>
      </c>
      <c r="V28" s="14">
        <f t="shared" si="50"/>
        <v>-5988.8508036558214</v>
      </c>
      <c r="W28" s="14">
        <f t="shared" si="50"/>
        <v>-5869.0737875827053</v>
      </c>
      <c r="X28" s="14">
        <f t="shared" si="50"/>
        <v>-5751.6923118310515</v>
      </c>
    </row>
    <row r="29" spans="1:27" x14ac:dyDescent="0.25">
      <c r="C29" s="2" t="s">
        <v>59</v>
      </c>
      <c r="D29" s="14">
        <v>-1532</v>
      </c>
      <c r="E29" s="14">
        <v>-1707</v>
      </c>
      <c r="F29" s="14">
        <v>-1879</v>
      </c>
      <c r="G29" s="14">
        <v>-2014</v>
      </c>
      <c r="H29" s="14">
        <v>-2051</v>
      </c>
      <c r="I29" s="14">
        <v>-2335</v>
      </c>
      <c r="J29" s="14">
        <v>-2704</v>
      </c>
      <c r="K29" s="14">
        <v>-3001</v>
      </c>
      <c r="L29" s="14">
        <v>-3211</v>
      </c>
      <c r="M29" s="14">
        <v>-3275</v>
      </c>
      <c r="N29" s="15">
        <v>-3074</v>
      </c>
      <c r="O29" s="14">
        <f t="shared" ref="O29:O30" si="51">N29*0.87</f>
        <v>-2674.38</v>
      </c>
      <c r="P29" s="14">
        <f t="shared" ref="P29:X30" si="52">O29*0.98</f>
        <v>-2620.8924000000002</v>
      </c>
      <c r="Q29" s="14">
        <f t="shared" si="52"/>
        <v>-2568.4745520000001</v>
      </c>
      <c r="R29" s="14">
        <f t="shared" si="52"/>
        <v>-2517.1050609600002</v>
      </c>
      <c r="S29" s="14">
        <f t="shared" si="52"/>
        <v>-2466.7629597407999</v>
      </c>
      <c r="T29" s="14">
        <f t="shared" si="52"/>
        <v>-2417.427700545984</v>
      </c>
      <c r="U29" s="14">
        <f t="shared" si="52"/>
        <v>-2369.0791465350644</v>
      </c>
      <c r="V29" s="14">
        <f t="shared" si="52"/>
        <v>-2321.697563604363</v>
      </c>
      <c r="W29" s="14">
        <f t="shared" si="52"/>
        <v>-2275.2636123322759</v>
      </c>
      <c r="X29" s="14">
        <f t="shared" si="52"/>
        <v>-2229.7583400856302</v>
      </c>
    </row>
    <row r="30" spans="1:27" x14ac:dyDescent="0.25">
      <c r="C30" s="2" t="s">
        <v>60</v>
      </c>
      <c r="D30" s="14">
        <f>23-5</f>
        <v>18</v>
      </c>
      <c r="E30" s="14">
        <v>-3</v>
      </c>
      <c r="F30" s="14">
        <f>68-1</f>
        <v>67</v>
      </c>
      <c r="G30" s="14">
        <f>63-8</f>
        <v>55</v>
      </c>
      <c r="H30" s="14">
        <f>203-6</f>
        <v>197</v>
      </c>
      <c r="I30" s="14">
        <f>26-2</f>
        <v>24</v>
      </c>
      <c r="J30" s="14">
        <f>112-23</f>
        <v>89</v>
      </c>
      <c r="K30" s="14">
        <f>212-11</f>
        <v>201</v>
      </c>
      <c r="L30" s="14">
        <v>0</v>
      </c>
      <c r="M30" s="14">
        <v>160</v>
      </c>
      <c r="N30" s="15">
        <v>-11</v>
      </c>
      <c r="O30" s="14">
        <f t="shared" si="51"/>
        <v>-9.57</v>
      </c>
      <c r="P30" s="14">
        <f t="shared" si="52"/>
        <v>-9.3786000000000005</v>
      </c>
      <c r="Q30" s="14">
        <f t="shared" si="52"/>
        <v>-9.1910280000000011</v>
      </c>
      <c r="R30" s="14">
        <f t="shared" si="52"/>
        <v>-9.0072074400000002</v>
      </c>
      <c r="S30" s="14">
        <f t="shared" si="52"/>
        <v>-8.8270632912</v>
      </c>
      <c r="T30" s="14">
        <f t="shared" si="52"/>
        <v>-8.6505220253760005</v>
      </c>
      <c r="U30" s="14">
        <f t="shared" si="52"/>
        <v>-8.4775115848684806</v>
      </c>
      <c r="V30" s="14">
        <f t="shared" si="52"/>
        <v>-8.3079613531711107</v>
      </c>
      <c r="W30" s="14">
        <f t="shared" si="52"/>
        <v>-8.1418021261076881</v>
      </c>
      <c r="X30" s="14">
        <f t="shared" si="52"/>
        <v>-7.9789660835855338</v>
      </c>
    </row>
    <row r="31" spans="1:27" x14ac:dyDescent="0.25">
      <c r="C31" s="1" t="s">
        <v>61</v>
      </c>
      <c r="D31" s="12">
        <f t="shared" ref="D31:M31" si="53">SUM(D27:D30)</f>
        <v>2827</v>
      </c>
      <c r="E31" s="12">
        <f t="shared" si="53"/>
        <v>3218</v>
      </c>
      <c r="F31" s="12">
        <f t="shared" si="53"/>
        <v>3790</v>
      </c>
      <c r="G31" s="12">
        <f t="shared" si="53"/>
        <v>2070</v>
      </c>
      <c r="H31" s="12">
        <f t="shared" si="53"/>
        <v>3690</v>
      </c>
      <c r="I31" s="12">
        <f t="shared" si="53"/>
        <v>3669</v>
      </c>
      <c r="J31" s="12">
        <f t="shared" si="53"/>
        <v>5746</v>
      </c>
      <c r="K31" s="12">
        <f t="shared" si="53"/>
        <v>3043</v>
      </c>
      <c r="L31" s="12">
        <f t="shared" si="53"/>
        <v>3880</v>
      </c>
      <c r="M31" s="12">
        <f t="shared" si="53"/>
        <v>2597</v>
      </c>
      <c r="N31" s="13">
        <f t="shared" ref="N31" si="54">SUM(N27:N30)</f>
        <v>2899</v>
      </c>
      <c r="O31" s="12">
        <f t="shared" ref="O31" si="55">SUM(O27:O30)</f>
        <v>2294.6971999999982</v>
      </c>
      <c r="P31" s="12">
        <f t="shared" ref="P31" si="56">SUM(P27:P30)</f>
        <v>2248.803255999997</v>
      </c>
      <c r="Q31" s="12">
        <f t="shared" ref="Q31" si="57">SUM(Q27:Q30)</f>
        <v>2203.8271908799993</v>
      </c>
      <c r="R31" s="12">
        <f t="shared" ref="R31" si="58">SUM(R27:R30)</f>
        <v>2159.7506470624012</v>
      </c>
      <c r="S31" s="12">
        <f t="shared" ref="S31" si="59">SUM(S27:S30)</f>
        <v>2116.5556341211527</v>
      </c>
      <c r="T31" s="12">
        <f t="shared" ref="T31" si="60">SUM(T27:T30)</f>
        <v>2074.2245214387294</v>
      </c>
      <c r="U31" s="12">
        <f t="shared" ref="U31" si="61">SUM(U27:U30)</f>
        <v>2032.7400310099517</v>
      </c>
      <c r="V31" s="12">
        <f t="shared" ref="V31" si="62">SUM(V27:V30)</f>
        <v>1992.0852303897539</v>
      </c>
      <c r="W31" s="12">
        <f t="shared" ref="W31" si="63">SUM(W27:W30)</f>
        <v>1952.2435257819568</v>
      </c>
      <c r="X31" s="12">
        <f t="shared" ref="X31" si="64">SUM(X27:X30)</f>
        <v>1913.1986552663186</v>
      </c>
    </row>
    <row r="32" spans="1:27" x14ac:dyDescent="0.25">
      <c r="C32" s="2" t="s">
        <v>62</v>
      </c>
      <c r="D32" s="14">
        <f>44-388</f>
        <v>-344</v>
      </c>
      <c r="E32" s="14">
        <f>29-451</f>
        <v>-422</v>
      </c>
      <c r="F32" s="14">
        <f>20-520</f>
        <v>-500</v>
      </c>
      <c r="G32" s="14">
        <f>72-581</f>
        <v>-509</v>
      </c>
      <c r="H32" s="14">
        <f>18-586</f>
        <v>-568</v>
      </c>
      <c r="I32" s="14">
        <f>38-377</f>
        <v>-339</v>
      </c>
      <c r="J32" s="14">
        <f>42-294</f>
        <v>-252</v>
      </c>
      <c r="K32" s="14">
        <f>38-499</f>
        <v>-461</v>
      </c>
      <c r="L32" s="14">
        <f>75-1077</f>
        <v>-1002</v>
      </c>
      <c r="M32" s="14">
        <f>86-950</f>
        <v>-864</v>
      </c>
      <c r="N32" s="15">
        <v>-750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</row>
    <row r="33" spans="2:179" x14ac:dyDescent="0.25">
      <c r="C33" s="2" t="s">
        <v>63</v>
      </c>
      <c r="D33" s="14">
        <f t="shared" ref="D33:M33" si="65">SUM(D31:D32)</f>
        <v>2483</v>
      </c>
      <c r="E33" s="14">
        <f t="shared" si="65"/>
        <v>2796</v>
      </c>
      <c r="F33" s="14">
        <f t="shared" si="65"/>
        <v>3290</v>
      </c>
      <c r="G33" s="14">
        <f t="shared" si="65"/>
        <v>1561</v>
      </c>
      <c r="H33" s="14">
        <f t="shared" si="65"/>
        <v>3122</v>
      </c>
      <c r="I33" s="14">
        <f t="shared" si="65"/>
        <v>3330</v>
      </c>
      <c r="J33" s="14">
        <f t="shared" si="65"/>
        <v>5494</v>
      </c>
      <c r="K33" s="14">
        <f t="shared" si="65"/>
        <v>2582</v>
      </c>
      <c r="L33" s="14">
        <f t="shared" si="65"/>
        <v>2878</v>
      </c>
      <c r="M33" s="14">
        <f t="shared" si="65"/>
        <v>1733</v>
      </c>
      <c r="N33" s="15">
        <f t="shared" ref="N33" si="66">SUM(N31:N32)</f>
        <v>2149</v>
      </c>
      <c r="O33" s="14">
        <f t="shared" ref="O33" si="67">SUM(O31:O32)</f>
        <v>2294.6971999999982</v>
      </c>
      <c r="P33" s="14">
        <f t="shared" ref="P33" si="68">SUM(P31:P32)</f>
        <v>2248.803255999997</v>
      </c>
      <c r="Q33" s="14">
        <f t="shared" ref="Q33" si="69">SUM(Q31:Q32)</f>
        <v>2203.8271908799993</v>
      </c>
      <c r="R33" s="14">
        <f t="shared" ref="R33" si="70">SUM(R31:R32)</f>
        <v>2159.7506470624012</v>
      </c>
      <c r="S33" s="14">
        <f t="shared" ref="S33" si="71">SUM(S31:S32)</f>
        <v>2116.5556341211527</v>
      </c>
      <c r="T33" s="14">
        <f t="shared" ref="T33" si="72">SUM(T31:T32)</f>
        <v>2074.2245214387294</v>
      </c>
      <c r="U33" s="14">
        <f t="shared" ref="U33" si="73">SUM(U31:U32)</f>
        <v>2032.7400310099517</v>
      </c>
      <c r="V33" s="14">
        <f t="shared" ref="V33" si="74">SUM(V31:V32)</f>
        <v>1992.0852303897539</v>
      </c>
      <c r="W33" s="14">
        <f t="shared" ref="W33" si="75">SUM(W31:W32)</f>
        <v>1952.2435257819568</v>
      </c>
      <c r="X33" s="14">
        <f t="shared" ref="X33" si="76">SUM(X31:X32)</f>
        <v>1913.1986552663186</v>
      </c>
    </row>
    <row r="34" spans="2:179" x14ac:dyDescent="0.25">
      <c r="C34" s="2" t="s">
        <v>64</v>
      </c>
      <c r="D34" s="14">
        <v>-595</v>
      </c>
      <c r="E34" s="14">
        <v>-692</v>
      </c>
      <c r="F34" s="14">
        <v>-630</v>
      </c>
      <c r="G34" s="14">
        <v>-348</v>
      </c>
      <c r="H34" s="14">
        <v>-594</v>
      </c>
      <c r="I34" s="14">
        <v>-835</v>
      </c>
      <c r="J34" s="14">
        <v>-1057</v>
      </c>
      <c r="K34" s="14">
        <v>-649</v>
      </c>
      <c r="L34" s="14">
        <v>-702</v>
      </c>
      <c r="M34" s="14">
        <v>-408</v>
      </c>
      <c r="N34" s="15">
        <v>-379</v>
      </c>
      <c r="O34" s="14">
        <f>O33*-0.2</f>
        <v>-458.93943999999965</v>
      </c>
      <c r="P34" s="14">
        <f t="shared" ref="P34" si="77">P33*-0.2</f>
        <v>-449.76065119999942</v>
      </c>
      <c r="Q34" s="14">
        <f t="shared" ref="Q34" si="78">Q33*-0.2</f>
        <v>-440.76543817599986</v>
      </c>
      <c r="R34" s="14">
        <f t="shared" ref="R34" si="79">R33*-0.2</f>
        <v>-431.95012941248024</v>
      </c>
      <c r="S34" s="14">
        <f t="shared" ref="S34" si="80">S33*-0.2</f>
        <v>-423.31112682423054</v>
      </c>
      <c r="T34" s="14">
        <f t="shared" ref="T34" si="81">T33*-0.2</f>
        <v>-414.84490428774592</v>
      </c>
      <c r="U34" s="14">
        <f t="shared" ref="U34" si="82">U33*-0.2</f>
        <v>-406.54800620199035</v>
      </c>
      <c r="V34" s="14">
        <f t="shared" ref="V34" si="83">V33*-0.2</f>
        <v>-398.41704607795077</v>
      </c>
      <c r="W34" s="14">
        <f t="shared" ref="W34" si="84">W33*-0.2</f>
        <v>-390.44870515639138</v>
      </c>
      <c r="X34" s="14">
        <f t="shared" ref="X34" si="85">X33*-0.2</f>
        <v>-382.63973105326374</v>
      </c>
    </row>
    <row r="35" spans="2:179" x14ac:dyDescent="0.25">
      <c r="C35" s="1" t="s">
        <v>65</v>
      </c>
      <c r="D35" s="12">
        <f t="shared" ref="D35:M35" si="86">SUM(D33:D34)</f>
        <v>1888</v>
      </c>
      <c r="E35" s="12">
        <f t="shared" si="86"/>
        <v>2104</v>
      </c>
      <c r="F35" s="12">
        <f t="shared" si="86"/>
        <v>2660</v>
      </c>
      <c r="G35" s="12">
        <f t="shared" si="86"/>
        <v>1213</v>
      </c>
      <c r="H35" s="12">
        <f t="shared" si="86"/>
        <v>2528</v>
      </c>
      <c r="I35" s="12">
        <f t="shared" si="86"/>
        <v>2495</v>
      </c>
      <c r="J35" s="12">
        <f t="shared" si="86"/>
        <v>4437</v>
      </c>
      <c r="K35" s="12">
        <f t="shared" si="86"/>
        <v>1933</v>
      </c>
      <c r="L35" s="12">
        <f t="shared" si="86"/>
        <v>2176</v>
      </c>
      <c r="M35" s="12">
        <f t="shared" si="86"/>
        <v>1325</v>
      </c>
      <c r="N35" s="13">
        <f t="shared" ref="N35" si="87">SUM(N33:N34)</f>
        <v>1770</v>
      </c>
      <c r="O35" s="12">
        <f t="shared" ref="O35" si="88">SUM(O33:O34)</f>
        <v>1835.7577599999986</v>
      </c>
      <c r="P35" s="12">
        <f t="shared" ref="P35" si="89">SUM(P33:P34)</f>
        <v>1799.0426047999977</v>
      </c>
      <c r="Q35" s="12">
        <f t="shared" ref="Q35" si="90">SUM(Q33:Q34)</f>
        <v>1763.0617527039994</v>
      </c>
      <c r="R35" s="12">
        <f t="shared" ref="R35" si="91">SUM(R33:R34)</f>
        <v>1727.8005176499209</v>
      </c>
      <c r="S35" s="12">
        <f t="shared" ref="S35" si="92">SUM(S33:S34)</f>
        <v>1693.2445072969222</v>
      </c>
      <c r="T35" s="12">
        <f t="shared" ref="T35" si="93">SUM(T33:T34)</f>
        <v>1659.3796171509834</v>
      </c>
      <c r="U35" s="12">
        <f t="shared" ref="U35" si="94">SUM(U33:U34)</f>
        <v>1626.1920248079614</v>
      </c>
      <c r="V35" s="12">
        <f t="shared" ref="V35" si="95">SUM(V33:V34)</f>
        <v>1593.6681843118031</v>
      </c>
      <c r="W35" s="12">
        <f t="shared" ref="W35" si="96">SUM(W33:W34)</f>
        <v>1561.7948206255655</v>
      </c>
      <c r="X35" s="12">
        <f t="shared" ref="X35" si="97">SUM(X33:X34)</f>
        <v>1530.558924213055</v>
      </c>
      <c r="Y35" s="12">
        <f>X35*(1+$AA$39)</f>
        <v>1515.2533349709245</v>
      </c>
      <c r="Z35" s="12">
        <f t="shared" ref="Z35:CK35" si="98">Y35*(1+$AA$39)</f>
        <v>1500.1008016212152</v>
      </c>
      <c r="AA35" s="12">
        <f t="shared" si="98"/>
        <v>1485.099793605003</v>
      </c>
      <c r="AB35" s="12">
        <f t="shared" si="98"/>
        <v>1470.2487956689529</v>
      </c>
      <c r="AC35" s="12">
        <f t="shared" si="98"/>
        <v>1455.5463077122633</v>
      </c>
      <c r="AD35" s="12">
        <f t="shared" si="98"/>
        <v>1440.9908446351408</v>
      </c>
      <c r="AE35" s="12">
        <f t="shared" si="98"/>
        <v>1426.5809361887893</v>
      </c>
      <c r="AF35" s="12">
        <f t="shared" si="98"/>
        <v>1412.3151268269014</v>
      </c>
      <c r="AG35" s="12">
        <f t="shared" si="98"/>
        <v>1398.1919755586323</v>
      </c>
      <c r="AH35" s="12">
        <f t="shared" si="98"/>
        <v>1384.2100558030459</v>
      </c>
      <c r="AI35" s="12">
        <f t="shared" si="98"/>
        <v>1370.3679552450153</v>
      </c>
      <c r="AJ35" s="12">
        <f t="shared" si="98"/>
        <v>1356.6642756925651</v>
      </c>
      <c r="AK35" s="12">
        <f t="shared" si="98"/>
        <v>1343.0976329356395</v>
      </c>
      <c r="AL35" s="12">
        <f t="shared" si="98"/>
        <v>1329.6666566062831</v>
      </c>
      <c r="AM35" s="12">
        <f t="shared" si="98"/>
        <v>1316.3699900402203</v>
      </c>
      <c r="AN35" s="12">
        <f t="shared" si="98"/>
        <v>1303.2062901398181</v>
      </c>
      <c r="AO35" s="12">
        <f t="shared" si="98"/>
        <v>1290.1742272384199</v>
      </c>
      <c r="AP35" s="12">
        <f t="shared" si="98"/>
        <v>1277.2724849660358</v>
      </c>
      <c r="AQ35" s="12">
        <f t="shared" si="98"/>
        <v>1264.4997601163755</v>
      </c>
      <c r="AR35" s="12">
        <f t="shared" si="98"/>
        <v>1251.8547625152116</v>
      </c>
      <c r="AS35" s="12">
        <f t="shared" si="98"/>
        <v>1239.3362148900594</v>
      </c>
      <c r="AT35" s="12">
        <f t="shared" si="98"/>
        <v>1226.9428527411587</v>
      </c>
      <c r="AU35" s="12">
        <f t="shared" si="98"/>
        <v>1214.6734242137472</v>
      </c>
      <c r="AV35" s="12">
        <f t="shared" si="98"/>
        <v>1202.5266899716098</v>
      </c>
      <c r="AW35" s="12">
        <f t="shared" si="98"/>
        <v>1190.5014230718937</v>
      </c>
      <c r="AX35" s="12">
        <f t="shared" si="98"/>
        <v>1178.5964088411747</v>
      </c>
      <c r="AY35" s="12">
        <f t="shared" si="98"/>
        <v>1166.810444752763</v>
      </c>
      <c r="AZ35" s="12">
        <f t="shared" si="98"/>
        <v>1155.1423403052354</v>
      </c>
      <c r="BA35" s="12">
        <f t="shared" si="98"/>
        <v>1143.5909169021829</v>
      </c>
      <c r="BB35" s="12">
        <f t="shared" si="98"/>
        <v>1132.155007733161</v>
      </c>
      <c r="BC35" s="12">
        <f t="shared" si="98"/>
        <v>1120.8334576558293</v>
      </c>
      <c r="BD35" s="12">
        <f t="shared" si="98"/>
        <v>1109.6251230792709</v>
      </c>
      <c r="BE35" s="12">
        <f t="shared" si="98"/>
        <v>1098.5288718484783</v>
      </c>
      <c r="BF35" s="12">
        <f t="shared" si="98"/>
        <v>1087.5435831299935</v>
      </c>
      <c r="BG35" s="12">
        <f t="shared" si="98"/>
        <v>1076.6681472986936</v>
      </c>
      <c r="BH35" s="12">
        <f t="shared" si="98"/>
        <v>1065.9014658257067</v>
      </c>
      <c r="BI35" s="12">
        <f t="shared" si="98"/>
        <v>1055.2424511674496</v>
      </c>
      <c r="BJ35" s="12">
        <f t="shared" si="98"/>
        <v>1044.6900266557752</v>
      </c>
      <c r="BK35" s="12">
        <f t="shared" si="98"/>
        <v>1034.2431263892174</v>
      </c>
      <c r="BL35" s="12">
        <f t="shared" si="98"/>
        <v>1023.9006951253252</v>
      </c>
      <c r="BM35" s="12">
        <f t="shared" si="98"/>
        <v>1013.661688174072</v>
      </c>
      <c r="BN35" s="12">
        <f t="shared" si="98"/>
        <v>1003.5250712923313</v>
      </c>
      <c r="BO35" s="12">
        <f t="shared" si="98"/>
        <v>993.48982057940793</v>
      </c>
      <c r="BP35" s="12">
        <f t="shared" si="98"/>
        <v>983.55492237361386</v>
      </c>
      <c r="BQ35" s="12">
        <f t="shared" si="98"/>
        <v>973.7193731498777</v>
      </c>
      <c r="BR35" s="12">
        <f t="shared" si="98"/>
        <v>963.98217941837891</v>
      </c>
      <c r="BS35" s="12">
        <f t="shared" si="98"/>
        <v>954.34235762419507</v>
      </c>
      <c r="BT35" s="12">
        <f t="shared" si="98"/>
        <v>944.79893404795314</v>
      </c>
      <c r="BU35" s="12">
        <f t="shared" si="98"/>
        <v>935.35094470747356</v>
      </c>
      <c r="BV35" s="12">
        <f t="shared" si="98"/>
        <v>925.99743526039879</v>
      </c>
      <c r="BW35" s="12">
        <f t="shared" si="98"/>
        <v>916.7374609077948</v>
      </c>
      <c r="BX35" s="12">
        <f t="shared" si="98"/>
        <v>907.57008629871689</v>
      </c>
      <c r="BY35" s="12">
        <f t="shared" si="98"/>
        <v>898.49438543572967</v>
      </c>
      <c r="BZ35" s="12">
        <f t="shared" si="98"/>
        <v>889.50944158137236</v>
      </c>
      <c r="CA35" s="12">
        <f t="shared" si="98"/>
        <v>880.61434716555857</v>
      </c>
      <c r="CB35" s="12">
        <f t="shared" si="98"/>
        <v>871.80820369390301</v>
      </c>
      <c r="CC35" s="12">
        <f t="shared" si="98"/>
        <v>863.09012165696402</v>
      </c>
      <c r="CD35" s="12">
        <f t="shared" si="98"/>
        <v>854.45922044039435</v>
      </c>
      <c r="CE35" s="12">
        <f t="shared" si="98"/>
        <v>845.91462823599045</v>
      </c>
      <c r="CF35" s="12">
        <f t="shared" si="98"/>
        <v>837.45548195363051</v>
      </c>
      <c r="CG35" s="12">
        <f t="shared" si="98"/>
        <v>829.08092713409417</v>
      </c>
      <c r="CH35" s="12">
        <f t="shared" si="98"/>
        <v>820.79011786275316</v>
      </c>
      <c r="CI35" s="12">
        <f t="shared" si="98"/>
        <v>812.58221668412557</v>
      </c>
      <c r="CJ35" s="12">
        <f t="shared" si="98"/>
        <v>804.45639451728425</v>
      </c>
      <c r="CK35" s="12">
        <f t="shared" si="98"/>
        <v>796.4118305721114</v>
      </c>
      <c r="CL35" s="12">
        <f t="shared" ref="CL35:EW35" si="99">CK35*(1+$AA$39)</f>
        <v>788.44771226639023</v>
      </c>
      <c r="CM35" s="12">
        <f t="shared" si="99"/>
        <v>780.56323514372627</v>
      </c>
      <c r="CN35" s="12">
        <f t="shared" si="99"/>
        <v>772.75760279228905</v>
      </c>
      <c r="CO35" s="12">
        <f t="shared" si="99"/>
        <v>765.0300267643662</v>
      </c>
      <c r="CP35" s="12">
        <f t="shared" si="99"/>
        <v>757.37972649672258</v>
      </c>
      <c r="CQ35" s="12">
        <f t="shared" si="99"/>
        <v>749.80592923175539</v>
      </c>
      <c r="CR35" s="12">
        <f t="shared" si="99"/>
        <v>742.30786993943786</v>
      </c>
      <c r="CS35" s="12">
        <f t="shared" si="99"/>
        <v>734.88479124004346</v>
      </c>
      <c r="CT35" s="12">
        <f t="shared" si="99"/>
        <v>727.53594332764305</v>
      </c>
      <c r="CU35" s="12">
        <f t="shared" si="99"/>
        <v>720.26058389436662</v>
      </c>
      <c r="CV35" s="12">
        <f t="shared" si="99"/>
        <v>713.05797805542295</v>
      </c>
      <c r="CW35" s="12">
        <f t="shared" si="99"/>
        <v>705.92739827486866</v>
      </c>
      <c r="CX35" s="12">
        <f t="shared" si="99"/>
        <v>698.86812429212</v>
      </c>
      <c r="CY35" s="12">
        <f t="shared" si="99"/>
        <v>691.87944304919881</v>
      </c>
      <c r="CZ35" s="12">
        <f t="shared" si="99"/>
        <v>684.96064861870684</v>
      </c>
      <c r="DA35" s="12">
        <f t="shared" si="99"/>
        <v>678.11104213251974</v>
      </c>
      <c r="DB35" s="12">
        <f t="shared" si="99"/>
        <v>671.32993171119449</v>
      </c>
      <c r="DC35" s="12">
        <f t="shared" si="99"/>
        <v>664.61663239408256</v>
      </c>
      <c r="DD35" s="12">
        <f t="shared" si="99"/>
        <v>657.9704660701417</v>
      </c>
      <c r="DE35" s="12">
        <f t="shared" si="99"/>
        <v>651.3907614094403</v>
      </c>
      <c r="DF35" s="12">
        <f t="shared" si="99"/>
        <v>644.87685379534594</v>
      </c>
      <c r="DG35" s="12">
        <f t="shared" si="99"/>
        <v>638.42808525739247</v>
      </c>
      <c r="DH35" s="12">
        <f t="shared" si="99"/>
        <v>632.0438044048185</v>
      </c>
      <c r="DI35" s="12">
        <f t="shared" si="99"/>
        <v>625.72336636077034</v>
      </c>
      <c r="DJ35" s="12">
        <f t="shared" si="99"/>
        <v>619.46613269716261</v>
      </c>
      <c r="DK35" s="12">
        <f t="shared" si="99"/>
        <v>613.27147137019097</v>
      </c>
      <c r="DL35" s="12">
        <f t="shared" si="99"/>
        <v>607.13875665648902</v>
      </c>
      <c r="DM35" s="12">
        <f t="shared" si="99"/>
        <v>601.06736908992411</v>
      </c>
      <c r="DN35" s="12">
        <f t="shared" si="99"/>
        <v>595.05669539902487</v>
      </c>
      <c r="DO35" s="12">
        <f t="shared" si="99"/>
        <v>589.10612844503464</v>
      </c>
      <c r="DP35" s="12">
        <f t="shared" si="99"/>
        <v>583.21506716058434</v>
      </c>
      <c r="DQ35" s="12">
        <f t="shared" si="99"/>
        <v>577.38291648897848</v>
      </c>
      <c r="DR35" s="12">
        <f t="shared" si="99"/>
        <v>571.6090873240887</v>
      </c>
      <c r="DS35" s="12">
        <f t="shared" si="99"/>
        <v>565.89299645084782</v>
      </c>
      <c r="DT35" s="12">
        <f t="shared" si="99"/>
        <v>560.23406648633932</v>
      </c>
      <c r="DU35" s="12">
        <f t="shared" si="99"/>
        <v>554.63172582147592</v>
      </c>
      <c r="DV35" s="12">
        <f t="shared" si="99"/>
        <v>549.08540856326113</v>
      </c>
      <c r="DW35" s="12">
        <f t="shared" si="99"/>
        <v>543.59455447762855</v>
      </c>
      <c r="DX35" s="12">
        <f t="shared" si="99"/>
        <v>538.1586089328523</v>
      </c>
      <c r="DY35" s="12">
        <f t="shared" si="99"/>
        <v>532.77702284352381</v>
      </c>
      <c r="DZ35" s="12">
        <f t="shared" si="99"/>
        <v>527.44925261508854</v>
      </c>
      <c r="EA35" s="12">
        <f t="shared" si="99"/>
        <v>522.17476008893766</v>
      </c>
      <c r="EB35" s="12">
        <f t="shared" si="99"/>
        <v>516.95301248804833</v>
      </c>
      <c r="EC35" s="12">
        <f t="shared" si="99"/>
        <v>511.78348236316782</v>
      </c>
      <c r="ED35" s="12">
        <f t="shared" si="99"/>
        <v>506.66564753953611</v>
      </c>
      <c r="EE35" s="12">
        <f t="shared" si="99"/>
        <v>501.59899106414076</v>
      </c>
      <c r="EF35" s="12">
        <f t="shared" si="99"/>
        <v>496.58300115349937</v>
      </c>
      <c r="EG35" s="12">
        <f t="shared" si="99"/>
        <v>491.61717114196438</v>
      </c>
      <c r="EH35" s="12">
        <f t="shared" si="99"/>
        <v>486.70099943054475</v>
      </c>
      <c r="EI35" s="12">
        <f t="shared" si="99"/>
        <v>481.83398943623928</v>
      </c>
      <c r="EJ35" s="12">
        <f t="shared" si="99"/>
        <v>477.01564954187688</v>
      </c>
      <c r="EK35" s="12">
        <f t="shared" si="99"/>
        <v>472.24549304645814</v>
      </c>
      <c r="EL35" s="12">
        <f t="shared" si="99"/>
        <v>467.52303811599353</v>
      </c>
      <c r="EM35" s="12">
        <f t="shared" si="99"/>
        <v>462.84780773483357</v>
      </c>
      <c r="EN35" s="12">
        <f t="shared" si="99"/>
        <v>458.21932965748522</v>
      </c>
      <c r="EO35" s="12">
        <f t="shared" si="99"/>
        <v>453.63713636091035</v>
      </c>
      <c r="EP35" s="12">
        <f t="shared" si="99"/>
        <v>449.10076499730121</v>
      </c>
      <c r="EQ35" s="12">
        <f t="shared" si="99"/>
        <v>444.60975734732818</v>
      </c>
      <c r="ER35" s="12">
        <f t="shared" si="99"/>
        <v>440.16365977385487</v>
      </c>
      <c r="ES35" s="12">
        <f t="shared" si="99"/>
        <v>435.76202317611632</v>
      </c>
      <c r="ET35" s="12">
        <f t="shared" si="99"/>
        <v>431.40440294435513</v>
      </c>
      <c r="EU35" s="12">
        <f t="shared" si="99"/>
        <v>427.09035891491158</v>
      </c>
      <c r="EV35" s="12">
        <f t="shared" si="99"/>
        <v>422.81945532576248</v>
      </c>
      <c r="EW35" s="12">
        <f t="shared" si="99"/>
        <v>418.59126077250482</v>
      </c>
      <c r="EX35" s="12">
        <f t="shared" ref="EX35:FW35" si="100">EW35*(1+$AA$39)</f>
        <v>414.40534816477975</v>
      </c>
      <c r="EY35" s="12">
        <f t="shared" si="100"/>
        <v>410.26129468313195</v>
      </c>
      <c r="EZ35" s="12">
        <f t="shared" si="100"/>
        <v>406.15868173630065</v>
      </c>
      <c r="FA35" s="12">
        <f t="shared" si="100"/>
        <v>402.09709491893761</v>
      </c>
      <c r="FB35" s="12">
        <f t="shared" si="100"/>
        <v>398.07612396974821</v>
      </c>
      <c r="FC35" s="12">
        <f t="shared" si="100"/>
        <v>394.09536273005074</v>
      </c>
      <c r="FD35" s="12">
        <f t="shared" si="100"/>
        <v>390.15440910275021</v>
      </c>
      <c r="FE35" s="12">
        <f t="shared" si="100"/>
        <v>386.25286501172269</v>
      </c>
      <c r="FF35" s="12">
        <f t="shared" si="100"/>
        <v>382.39033636160548</v>
      </c>
      <c r="FG35" s="12">
        <f t="shared" si="100"/>
        <v>378.56643299798941</v>
      </c>
      <c r="FH35" s="12">
        <f t="shared" si="100"/>
        <v>374.7807686680095</v>
      </c>
      <c r="FI35" s="12">
        <f t="shared" si="100"/>
        <v>371.03296098132938</v>
      </c>
      <c r="FJ35" s="12">
        <f t="shared" si="100"/>
        <v>367.32263137151608</v>
      </c>
      <c r="FK35" s="12">
        <f t="shared" si="100"/>
        <v>363.64940505780089</v>
      </c>
      <c r="FL35" s="12">
        <f t="shared" si="100"/>
        <v>360.0129110072229</v>
      </c>
      <c r="FM35" s="12">
        <f t="shared" si="100"/>
        <v>356.41278189715064</v>
      </c>
      <c r="FN35" s="12">
        <f t="shared" si="100"/>
        <v>352.84865407817915</v>
      </c>
      <c r="FO35" s="12">
        <f t="shared" si="100"/>
        <v>349.32016753739737</v>
      </c>
      <c r="FP35" s="12">
        <f t="shared" si="100"/>
        <v>345.82696586202337</v>
      </c>
      <c r="FQ35" s="12">
        <f t="shared" si="100"/>
        <v>342.36869620340315</v>
      </c>
      <c r="FR35" s="12">
        <f t="shared" si="100"/>
        <v>338.94500924136912</v>
      </c>
      <c r="FS35" s="12">
        <f t="shared" si="100"/>
        <v>335.55555914895541</v>
      </c>
      <c r="FT35" s="12">
        <f t="shared" si="100"/>
        <v>332.20000355746583</v>
      </c>
      <c r="FU35" s="12">
        <f t="shared" si="100"/>
        <v>328.87800352189117</v>
      </c>
      <c r="FV35" s="12">
        <f t="shared" si="100"/>
        <v>325.58922348667227</v>
      </c>
      <c r="FW35" s="12">
        <f t="shared" si="100"/>
        <v>322.33333125180553</v>
      </c>
    </row>
    <row r="36" spans="2:179" x14ac:dyDescent="0.25">
      <c r="C36" s="2" t="s">
        <v>66</v>
      </c>
      <c r="D36" s="2">
        <v>571.70000000000005</v>
      </c>
      <c r="E36" s="2">
        <v>571.70000000000005</v>
      </c>
      <c r="F36" s="2">
        <v>571.70000000000005</v>
      </c>
      <c r="G36" s="2">
        <v>571.70000000000005</v>
      </c>
      <c r="H36" s="2">
        <v>571.70000000000005</v>
      </c>
      <c r="I36" s="2">
        <v>571.70000000000005</v>
      </c>
      <c r="J36" s="2">
        <v>571.70000000000005</v>
      </c>
      <c r="K36" s="2">
        <v>571.70000000000005</v>
      </c>
      <c r="L36" s="2">
        <v>571.70000000000005</v>
      </c>
      <c r="M36" s="2">
        <v>571.70000000000005</v>
      </c>
      <c r="N36" s="4">
        <v>571.70000000000005</v>
      </c>
      <c r="O36" s="2">
        <v>571.70000000000005</v>
      </c>
      <c r="P36" s="2">
        <v>571.70000000000005</v>
      </c>
      <c r="Q36" s="2">
        <v>571.70000000000005</v>
      </c>
      <c r="R36" s="2">
        <v>571.70000000000005</v>
      </c>
      <c r="S36" s="2">
        <v>571.70000000000005</v>
      </c>
      <c r="T36" s="2">
        <v>571.70000000000005</v>
      </c>
      <c r="U36" s="2">
        <v>571.70000000000005</v>
      </c>
      <c r="V36" s="2">
        <v>571.70000000000005</v>
      </c>
      <c r="W36" s="2">
        <v>571.70000000000005</v>
      </c>
      <c r="X36" s="2">
        <v>571.70000000000005</v>
      </c>
    </row>
    <row r="37" spans="2:179" x14ac:dyDescent="0.25">
      <c r="C37" s="2" t="s">
        <v>67</v>
      </c>
      <c r="D37" s="19">
        <f t="shared" ref="D37:N37" si="101">D35/D36</f>
        <v>3.3024313451110721</v>
      </c>
      <c r="E37" s="19">
        <f t="shared" si="101"/>
        <v>3.6802518803568303</v>
      </c>
      <c r="F37" s="19">
        <f t="shared" si="101"/>
        <v>4.6527899247857265</v>
      </c>
      <c r="G37" s="19">
        <f t="shared" si="101"/>
        <v>2.1217421724680774</v>
      </c>
      <c r="H37" s="19">
        <f t="shared" si="101"/>
        <v>4.4218995976910964</v>
      </c>
      <c r="I37" s="19">
        <f t="shared" si="101"/>
        <v>4.3641770159174387</v>
      </c>
      <c r="J37" s="19">
        <f t="shared" si="101"/>
        <v>7.7610634948399504</v>
      </c>
      <c r="K37" s="19">
        <f t="shared" si="101"/>
        <v>3.3811439566206047</v>
      </c>
      <c r="L37" s="19">
        <f t="shared" si="101"/>
        <v>3.806192058772083</v>
      </c>
      <c r="M37" s="19">
        <f t="shared" si="101"/>
        <v>2.3176491166695818</v>
      </c>
      <c r="N37" s="24">
        <f t="shared" si="101"/>
        <v>3.0960293860416299</v>
      </c>
      <c r="O37" s="19">
        <f t="shared" ref="O37" si="102">O35/O36</f>
        <v>3.2110508308553412</v>
      </c>
      <c r="P37" s="19">
        <f t="shared" ref="P37" si="103">P35/P36</f>
        <v>3.1468298142382327</v>
      </c>
      <c r="Q37" s="19">
        <f t="shared" ref="Q37" si="104">Q35/Q36</f>
        <v>3.083893217953471</v>
      </c>
      <c r="R37" s="19">
        <f t="shared" ref="R37" si="105">R35/R36</f>
        <v>3.0222153535944041</v>
      </c>
      <c r="S37" s="19">
        <f t="shared" ref="S37" si="106">S35/S36</f>
        <v>2.9617710465225153</v>
      </c>
      <c r="T37" s="19">
        <f t="shared" ref="T37" si="107">T35/T36</f>
        <v>2.9025356255920647</v>
      </c>
      <c r="U37" s="19">
        <f t="shared" ref="U37" si="108">U35/U36</f>
        <v>2.844484913080219</v>
      </c>
      <c r="V37" s="19">
        <f t="shared" ref="V37" si="109">V35/V36</f>
        <v>2.7875952148186163</v>
      </c>
      <c r="W37" s="19">
        <f t="shared" ref="W37" si="110">W35/W36</f>
        <v>2.7318433105222413</v>
      </c>
      <c r="X37" s="19">
        <f t="shared" ref="X37" si="111">X35/X36</f>
        <v>2.677206444311798</v>
      </c>
    </row>
    <row r="38" spans="2:179" x14ac:dyDescent="0.25">
      <c r="N38" s="8"/>
      <c r="O38" s="9"/>
      <c r="P38" s="9"/>
      <c r="Q38" s="9"/>
      <c r="R38" s="9"/>
      <c r="S38" s="9"/>
      <c r="T38" s="9"/>
      <c r="U38" s="9"/>
      <c r="V38" s="9"/>
      <c r="W38" s="9"/>
      <c r="X38" s="9"/>
      <c r="Z38" s="2" t="s">
        <v>117</v>
      </c>
      <c r="AA38" s="27">
        <v>0.08</v>
      </c>
    </row>
    <row r="39" spans="2:179" x14ac:dyDescent="0.25">
      <c r="C39" s="1" t="s">
        <v>38</v>
      </c>
      <c r="E39" s="18">
        <f t="shared" ref="E39:L39" si="112">(E25-D25)/D25</f>
        <v>-5.1976776333978432E-3</v>
      </c>
      <c r="F39" s="18">
        <f t="shared" si="112"/>
        <v>9.482519037296426E-2</v>
      </c>
      <c r="G39" s="18">
        <f t="shared" si="112"/>
        <v>4.2925318576432961E-2</v>
      </c>
      <c r="H39" s="18">
        <f t="shared" si="112"/>
        <v>2.901302178410612E-2</v>
      </c>
      <c r="I39" s="18">
        <f t="shared" si="112"/>
        <v>-7.9002767462213498E-3</v>
      </c>
      <c r="J39" s="18">
        <f t="shared" si="112"/>
        <v>0.12197506139284267</v>
      </c>
      <c r="K39" s="18">
        <f t="shared" si="112"/>
        <v>0.14828194394271021</v>
      </c>
      <c r="L39" s="18">
        <f t="shared" si="112"/>
        <v>-1.4360530747450822E-2</v>
      </c>
      <c r="M39" s="18">
        <f>(M25-L25)/L25</f>
        <v>-9.2168753872439502E-2</v>
      </c>
      <c r="N39" s="25">
        <f t="shared" ref="N39" si="113">(N25-M25)/M25</f>
        <v>-3.5944738583719389E-2</v>
      </c>
      <c r="O39" s="18">
        <f t="shared" ref="O39:X39" si="114">(O25-N25)/N25</f>
        <v>-1.9999999999999976E-2</v>
      </c>
      <c r="P39" s="18">
        <f t="shared" si="114"/>
        <v>-2.0000000000000056E-2</v>
      </c>
      <c r="Q39" s="18">
        <f t="shared" si="114"/>
        <v>-1.9999999999999959E-2</v>
      </c>
      <c r="R39" s="18">
        <f t="shared" si="114"/>
        <v>-2.0000000000000049E-2</v>
      </c>
      <c r="S39" s="18">
        <f t="shared" si="114"/>
        <v>-2.0000000000000066E-2</v>
      </c>
      <c r="T39" s="18">
        <f t="shared" si="114"/>
        <v>-2.0000000000000077E-2</v>
      </c>
      <c r="U39" s="18">
        <f t="shared" si="114"/>
        <v>-2.0000000000000098E-2</v>
      </c>
      <c r="V39" s="18">
        <f t="shared" si="114"/>
        <v>-1.999999999999998E-2</v>
      </c>
      <c r="W39" s="18">
        <f t="shared" si="114"/>
        <v>-2.0000000000000007E-2</v>
      </c>
      <c r="X39" s="18">
        <f t="shared" si="114"/>
        <v>-1.9999999999999931E-2</v>
      </c>
      <c r="Z39" s="2" t="s">
        <v>118</v>
      </c>
      <c r="AA39" s="27">
        <v>-0.01</v>
      </c>
    </row>
    <row r="40" spans="2:179" x14ac:dyDescent="0.25">
      <c r="C40" s="2" t="s">
        <v>68</v>
      </c>
      <c r="D40" s="20">
        <f t="shared" ref="D40:X40" si="115">D27/D25</f>
        <v>0.28128283107547691</v>
      </c>
      <c r="E40" s="20">
        <f t="shared" si="115"/>
        <v>0.30837641042743597</v>
      </c>
      <c r="F40" s="20">
        <f t="shared" si="115"/>
        <v>0.29121185967406205</v>
      </c>
      <c r="G40" s="20">
        <f t="shared" si="115"/>
        <v>0.25561640501399535</v>
      </c>
      <c r="H40" s="20">
        <f t="shared" si="115"/>
        <v>0.29635499207606975</v>
      </c>
      <c r="I40" s="20">
        <f t="shared" si="115"/>
        <v>0.29983549102353196</v>
      </c>
      <c r="J40" s="20">
        <f t="shared" si="115"/>
        <v>0.32965001381244818</v>
      </c>
      <c r="K40" s="20">
        <f t="shared" si="115"/>
        <v>0.27042581934600368</v>
      </c>
      <c r="L40" s="20">
        <f t="shared" si="115"/>
        <v>0.30275436060156585</v>
      </c>
      <c r="M40" s="20">
        <f t="shared" si="115"/>
        <v>0.29572716743878225</v>
      </c>
      <c r="N40" s="21">
        <f>N27/N25</f>
        <v>0.30248423220491699</v>
      </c>
      <c r="O40" s="20">
        <f t="shared" si="115"/>
        <v>0.25999999999999995</v>
      </c>
      <c r="P40" s="20">
        <f t="shared" si="115"/>
        <v>0.25999999999999995</v>
      </c>
      <c r="Q40" s="20">
        <f t="shared" si="115"/>
        <v>0.26</v>
      </c>
      <c r="R40" s="20">
        <f t="shared" si="115"/>
        <v>0.26</v>
      </c>
      <c r="S40" s="20">
        <f t="shared" si="115"/>
        <v>0.26000000000000006</v>
      </c>
      <c r="T40" s="20">
        <f t="shared" si="115"/>
        <v>0.26000000000000006</v>
      </c>
      <c r="U40" s="20">
        <f t="shared" si="115"/>
        <v>0.26</v>
      </c>
      <c r="V40" s="20">
        <f t="shared" si="115"/>
        <v>0.26</v>
      </c>
      <c r="W40" s="20">
        <f t="shared" si="115"/>
        <v>0.25999999999999995</v>
      </c>
      <c r="X40" s="20">
        <f t="shared" si="115"/>
        <v>0.25999999999999995</v>
      </c>
      <c r="Z40" s="26" t="s">
        <v>119</v>
      </c>
      <c r="AA40" s="28">
        <f>NPV(AA38,O35:FW35)</f>
        <v>19208.300678454503</v>
      </c>
    </row>
    <row r="41" spans="2:179" x14ac:dyDescent="0.25">
      <c r="C41" s="20" t="s">
        <v>39</v>
      </c>
      <c r="D41" s="20">
        <f t="shared" ref="D41:X41" si="116">D31/D25</f>
        <v>7.8158695051147364E-2</v>
      </c>
      <c r="E41" s="20">
        <f t="shared" si="116"/>
        <v>8.9433605691734752E-2</v>
      </c>
      <c r="F41" s="20">
        <f t="shared" si="116"/>
        <v>9.6207544296085704E-2</v>
      </c>
      <c r="G41" s="20">
        <f t="shared" si="116"/>
        <v>5.0383351588170866E-2</v>
      </c>
      <c r="H41" s="20">
        <f t="shared" si="116"/>
        <v>8.7281500579511312E-2</v>
      </c>
      <c r="I41" s="20">
        <f t="shared" si="116"/>
        <v>8.7475860095844363E-2</v>
      </c>
      <c r="J41" s="20">
        <f t="shared" si="116"/>
        <v>0.12210204211734206</v>
      </c>
      <c r="K41" s="20">
        <f t="shared" si="116"/>
        <v>5.6313266835686659E-2</v>
      </c>
      <c r="L41" s="20">
        <f t="shared" si="116"/>
        <v>7.2848801186609344E-2</v>
      </c>
      <c r="M41" s="20">
        <f t="shared" si="116"/>
        <v>5.3710291197882197E-2</v>
      </c>
      <c r="N41" s="21">
        <f>N31/N25</f>
        <v>6.2191616252627965E-2</v>
      </c>
      <c r="O41" s="20">
        <f t="shared" si="116"/>
        <v>5.0232285474364764E-2</v>
      </c>
      <c r="P41" s="20">
        <f t="shared" si="116"/>
        <v>5.0232285474364737E-2</v>
      </c>
      <c r="Q41" s="20">
        <f t="shared" si="116"/>
        <v>5.0232285474364785E-2</v>
      </c>
      <c r="R41" s="20">
        <f t="shared" si="116"/>
        <v>5.0232285474364834E-2</v>
      </c>
      <c r="S41" s="20">
        <f t="shared" si="116"/>
        <v>5.023228547436482E-2</v>
      </c>
      <c r="T41" s="20">
        <f t="shared" si="116"/>
        <v>5.023228547436482E-2</v>
      </c>
      <c r="U41" s="20">
        <f t="shared" si="116"/>
        <v>5.023228547436475E-2</v>
      </c>
      <c r="V41" s="20">
        <f t="shared" si="116"/>
        <v>5.0232285474364778E-2</v>
      </c>
      <c r="W41" s="20">
        <f t="shared" si="116"/>
        <v>5.023228547436473E-2</v>
      </c>
      <c r="X41" s="20">
        <f t="shared" si="116"/>
        <v>5.023228547436475E-2</v>
      </c>
      <c r="Z41" s="2" t="s">
        <v>2</v>
      </c>
      <c r="AA41" s="2">
        <v>571.70000000000005</v>
      </c>
    </row>
    <row r="42" spans="2:179" x14ac:dyDescent="0.25">
      <c r="N42" s="4"/>
      <c r="Z42" s="2" t="s">
        <v>120</v>
      </c>
      <c r="AA42" s="9">
        <f>AA40/AA41</f>
        <v>33.59856686803306</v>
      </c>
    </row>
    <row r="43" spans="2:179" s="26" customFormat="1" x14ac:dyDescent="0.25">
      <c r="B43" s="38"/>
      <c r="N43" s="38"/>
      <c r="Z43" s="39" t="s">
        <v>121</v>
      </c>
      <c r="AA43" s="40">
        <f>(AA42-Modell!B4)/Modell!B4</f>
        <v>-7.9491318684025744E-2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2026-07-19T07:30:29Z</dcterms:modified>
</cp:coreProperties>
</file>